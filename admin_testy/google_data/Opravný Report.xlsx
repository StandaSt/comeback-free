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  <sheet state="visible" name="Kontrola" sheetId="2" r:id="rId5"/>
    <sheet state="visible" name="RestiaCSV" sheetId="3" r:id="rId6"/>
    <sheet state="visible" name="August 2024" sheetId="4" r:id="rId7"/>
    <sheet state="visible" name="HR" sheetId="5" r:id="rId8"/>
  </sheets>
  <definedNames/>
  <calcPr/>
  <extLst>
    <ext uri="GoogleSheetsCustomDataVersion2">
      <go:sheetsCustomData xmlns:go="http://customooxmlschemas.google.com/" r:id="rId9" roundtripDataChecksum="aCwTTZ9YL7zzmedtRyVujbWFWK19W6Wwz1cZcVaq3I4="/>
    </ext>
  </extLst>
</workbook>
</file>

<file path=xl/sharedStrings.xml><?xml version="1.0" encoding="utf-8"?>
<sst xmlns="http://schemas.openxmlformats.org/spreadsheetml/2006/main" count="840" uniqueCount="345">
  <si>
    <t>Prosek</t>
  </si>
  <si>
    <t>Datum</t>
  </si>
  <si>
    <t>COL</t>
  </si>
  <si>
    <t>Tržba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</si>
  <si>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</si>
  <si>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</si>
  <si>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</si>
  <si>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</si>
  <si>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</si>
  <si>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</si>
  <si>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</si>
  <si>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</si>
  <si>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Hotovost</t>
  </si>
  <si>
    <t>Terminál</t>
  </si>
  <si>
    <t>Instor</t>
  </si>
  <si>
    <t>Otevíral</t>
  </si>
  <si>
    <t>Pokladna</t>
  </si>
  <si>
    <t>Stravenky</t>
  </si>
  <si>
    <t>Jméno</t>
  </si>
  <si>
    <t>Začátek směny</t>
  </si>
  <si>
    <t>Konec směny</t>
  </si>
  <si>
    <t>pauza</t>
  </si>
  <si>
    <t>Počet hodin</t>
  </si>
  <si>
    <t>Makula Radek</t>
  </si>
  <si>
    <t>10:00</t>
  </si>
  <si>
    <t>18:00</t>
  </si>
  <si>
    <t>Výdaje</t>
  </si>
  <si>
    <t>Šebesta Tomáš</t>
  </si>
  <si>
    <t>01:00</t>
  </si>
  <si>
    <t>Benzín</t>
  </si>
  <si>
    <t>Bušek Pavel</t>
  </si>
  <si>
    <t>17:00</t>
  </si>
  <si>
    <t>21:00</t>
  </si>
  <si>
    <t>Auta</t>
  </si>
  <si>
    <t>Suroviny</t>
  </si>
  <si>
    <t>Ostatní</t>
  </si>
  <si>
    <t>PHM - soukromé</t>
  </si>
  <si>
    <t>Zavíral</t>
  </si>
  <si>
    <t>Zrušené obj. ks</t>
  </si>
  <si>
    <t>Zrušené obj. $</t>
  </si>
  <si>
    <t>Počet zpožděných našich rozvozů +5 min</t>
  </si>
  <si>
    <t>Průměrný make Time</t>
  </si>
  <si>
    <t>Kurýr</t>
  </si>
  <si>
    <t>Počet rozvozů</t>
  </si>
  <si>
    <t xml:space="preserve">Vlastní vůz </t>
  </si>
  <si>
    <t>Vyplatit PHM</t>
  </si>
  <si>
    <t>počet výdajových dokadů</t>
  </si>
  <si>
    <t>Počet nezrušených celkem</t>
  </si>
  <si>
    <t>Počet našich rozvozů</t>
  </si>
  <si>
    <t>Počet pozdě přiřazeným WoltDrive 5+</t>
  </si>
  <si>
    <t>Kináč Jozef</t>
  </si>
  <si>
    <t>11:00</t>
  </si>
  <si>
    <t>Vychivskyi Volodymyr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</si>
  <si>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</si>
  <si>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</si>
  <si>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</si>
  <si>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</si>
  <si>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</si>
  <si>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Wolt Kurýr</t>
  </si>
  <si>
    <t>Wolt drive</t>
  </si>
  <si>
    <t>Vyber datum    &lt;----------&gt;</t>
  </si>
  <si>
    <t>Celkem hodin Instor</t>
  </si>
  <si>
    <t>Celkem hodin Kurýr</t>
  </si>
  <si>
    <t>Počet dní</t>
  </si>
  <si>
    <t>29:00</t>
  </si>
  <si>
    <t>23:00</t>
  </si>
  <si>
    <t>13:00</t>
  </si>
  <si>
    <t>7:00</t>
  </si>
  <si>
    <t>11 min 49 s</t>
  </si>
  <si>
    <t>Platforma</t>
  </si>
  <si>
    <t>Stav</t>
  </si>
  <si>
    <t>Cena</t>
  </si>
  <si>
    <t>Sleva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</si>
  <si>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</si>
  <si>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</si>
  <si>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</si>
  <si>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</si>
  <si>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</si>
  <si>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</si>
  <si>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</si>
  <si>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</si>
  <si>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</si>
  <si>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</si>
  <si>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</si>
  <si>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damejidlo</t>
  </si>
  <si>
    <t>rejected</t>
  </si>
  <si>
    <t>external-delivery</t>
  </si>
  <si>
    <t>online</t>
  </si>
  <si>
    <t>2026-03-13T02:28:37.200+01:00</t>
  </si>
  <si>
    <t>Pizza Comeback Prosek</t>
  </si>
  <si>
    <t>[{"id":"59610965","note":"","size":"Quattro Formaggi 32cm","count":1,"label":"Quattro Formaggi 32cm","posId":"123","price":24900,"isExtra":false},{"id":"57081111","note":"","count":1,"label":"Balné","posId":"K0000","price":1500,"isExtra":true}]</t>
  </si>
  <si>
    <t>ready_pickup</t>
  </si>
  <si>
    <t>2026-03-13T00:40:51.895+01:00</t>
  </si>
  <si>
    <t>2026-03-13T00:47:17.399+01:00</t>
  </si>
  <si>
    <t>[{"id":"57081028","note":"","size":"BBQ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základ","posId":"ZBS40","price":0,"isExtra":true}]</t>
  </si>
  <si>
    <t>wolt</t>
  </si>
  <si>
    <t>delivered</t>
  </si>
  <si>
    <t>2026-03-13T00:24:22.612+01:00</t>
  </si>
  <si>
    <t>2026-03-13T00:28:54.619+01:00</t>
  </si>
  <si>
    <t>[{"id":"69400db90dc626f6c3c3fc05","count":1,"label":"Hot &amp; Spicy 40cm 🌶️🌶️","posId":"110","price":30900,"isExtra":false},{"id":"01f1f771ad243e9a3e1e67cc","count":1,"label":"Balné","posId":"K0000","price":2000,"isExtra":true}]</t>
  </si>
  <si>
    <t>manual</t>
  </si>
  <si>
    <t>pickup</t>
  </si>
  <si>
    <t>cash</t>
  </si>
  <si>
    <t>2026-03-13T00:20:20.595+01:00</t>
  </si>
  <si>
    <t>2026-03-13T00:20:22.603+01:00</t>
  </si>
  <si>
    <t>Ručně zadané obj.</t>
  </si>
  <si>
    <t>[{"id":"9c4c1ddf-cd82-4c07-89d0-ed3e0fb213ef","count":1,"label":"Guarana kiwi a jablko","posId":"N144","price":5500,"isExtra":false,"discount":{"type":"absolute","value":5},"creatorId":"nSzasvALKY8TX6m0-hDQT","isPackging":0,"actualLabel":"Guarana kiwi a jablko"}]</t>
  </si>
  <si>
    <t>2026-03-13T00:01:07.757+01:00</t>
  </si>
  <si>
    <t>2026-03-13T00:06:40.377+01:00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</si>
  <si>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</si>
  <si>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2026-03-12T23:53:01.360+01:00</t>
  </si>
  <si>
    <t>2026-03-13T00:04:24.264+01:00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</si>
  <si>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</si>
  <si>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2026-03-12T23:51:34.851+01:00</t>
  </si>
  <si>
    <t>2026-03-13T00:03:13.320+01:00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</si>
  <si>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🌶️🌶️","posId":"120","price":24900,"isExtra":false},{"id":"57081111","note":"","count":1,"label":"Balné","posId":"K0000","price":1500,"isExtra":true},{"id":"61956712","note":"","size":"Guarana kiwi a jablko","count":1,"label":"Guarana kiwi a jablko","posId":"N144","price":5500,"isExtra":false}]</t>
  </si>
  <si>
    <t>bolt</t>
  </si>
  <si>
    <t>Ruslan</t>
  </si>
  <si>
    <t>2026-03-12T23:49:41.171+01:00</t>
  </si>
  <si>
    <t>2026-03-13T00:01:59.191+01:00</t>
  </si>
  <si>
    <t>[{"id":"100","note":"","count":1,"label":"Margherita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114","note":"","count":1,"label":"Kuře","posId":"C114","price":4000,"KDSTags":["greenhighlight"],"isExtra":true}]</t>
  </si>
  <si>
    <t>2026-03-12T23:47:58.977+01:00</t>
  </si>
  <si>
    <t>2026-03-12T23:59:55.279+01:00</t>
  </si>
  <si>
    <t>[{"id":"69400db90dc626f6c3c3fc03","count":2,"label":"Quattro Formaggi 40cm","posId":"111","price":30900,"isExtra":false},{"id":"01f1f771ad243e9a3e1e67cc","count":2,"label":"Balné","posId":"K0000","price":2000,"isExtra":true},{"id":"674840e52b930230e954cfbe","count":2,"label":"BBQ základ","posId":"ZSB49","price":0,"isExtra":true},{"id":"6980a3b6f008291838b883ff","count":2,"label":"bez plněných okrajů","posId":"X1000","price":0,"isExtra":true}]</t>
  </si>
  <si>
    <t>2026-03-12T23:46:56.717+01:00</t>
  </si>
  <si>
    <t>2026-03-12T23:55:15.374+01:00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</si>
  <si>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</si>
  <si>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2026-03-12T23:24:30.964+01:00</t>
  </si>
  <si>
    <t>2026-03-12T23:47:47.199+01:00</t>
  </si>
  <si>
    <t>[{"id":"57081066","note":"","size":"Pečené brambory","count":2,"label":"Pečené brambory","posId":"P103","price":6900,"isExtra":false},{"id":"57081111","note":"","count":2,"label":"Balné","posId":"K0000","price":1500,"isExtra":true},{"id":"59610967","note":"","size":"Comeback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32cm","posId":"116","price":24900,"isExtra":false},{"id":"57081111","note":"","count":1,"label":"Balné","posId":"K0000","price":1500,"isExtra":true},{"id":"57081156","note":"","count":1,"label":"Bez špenátu s česnekem","posId":"X107","price":0,"KDSTags":["redhighlight"],"isExtra":true},{"id":"57081202","note":"","count":1,"label":"Kukuřice","posId":"B115","price":2500,"KDSTags":["greenhighlight"],"isExtra":true},{"id":"57405792","note":"","size":"Mirinda 1l","count":1,"label":"Mirinda 1l","posId":"N126","price":5900,"isExtra":false}]</t>
  </si>
  <si>
    <t>Aliaksandr</t>
  </si>
  <si>
    <t>2026-03-12T23:11:40.893+01:00</t>
  </si>
  <si>
    <t>2026-03-12T23:27:43.189+01:00</t>
  </si>
  <si>
    <t>[{"id":"123","note":"","count":1,"label":"Quattro Formaggi 32cm","posId":"123","price":24900,"isExtra":false},{"id":"K0000","note":"","count":1,"label":"Balné","posId":"K0000","price":1500,"isExtra":true}]</t>
  </si>
  <si>
    <t>2026-03-12T23:11:31.883+01:00</t>
  </si>
  <si>
    <t>2026-03-12T23:26:07.056+01:00</t>
  </si>
  <si>
    <t>[{"id":"69400db90dc626f6c3c3fc09","count":1,"label":"Pepperoni 40cm 🌶️🌶️","posId":"108","price":30900,"isExtra":false},{"id":"01f1f771ad243e9a3e1e67cc","count":1,"label":"Balné","posId":"K0000","price":2000,"isExtra":true}]</t>
  </si>
  <si>
    <t>2026-03-12T22:57:52.962+01:00</t>
  </si>
  <si>
    <t>2026-03-12T23:06:42.982+01:00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</si>
  <si>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</si>
  <si>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2026-03-12T22:50:18.461+01:00</t>
  </si>
  <si>
    <t>2026-03-12T22:55:35.841+01:00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</si>
  <si>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okrajů","posId":"X1000","price":0,"isExtra":true},{"id":"69400db90dc626f6c3c3fc71","count":1,"label":"Aquilla černý čaj a broskev 0,5l","posId":"N120","price":4900,"isExtra":false}]</t>
  </si>
  <si>
    <t>2026-03-12T22:45:46.481+01:00</t>
  </si>
  <si>
    <t>2026-03-12T22:51:25.764+01:00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</si>
  <si>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</si>
  <si>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2026-03-12T22:40:51.467+01:00</t>
  </si>
  <si>
    <t>2026-03-12T22:49:57.883+01:00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</si>
  <si>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</si>
  <si>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2026-03-12T22:39:14.534+01:00</t>
  </si>
  <si>
    <t>2026-03-12T22:49:45.776+01:00</t>
  </si>
  <si>
    <t>[{"id":"69400db90dc626f6c3c3fc2b","count":1,"label":"Hawai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základ","posId":"ZRB32","price":0,"isExtra":true},{"id":"69400db90dc626f6c3c3fc5d","count":1,"label":"Česnekový dip","posId":"P106","price":2000,"isExtra":false},{"id":"0828382bbc0f39abdadd9b99","count":1,"label":"Balné","posId":"K0000","price":1500,"isExtra":true},{"id":"69400db90dc626f6c3c3fc7d","count":1,"label":"Poděbradská malinovka 0,5l","posId":"N129","price":4900,"isExtra":false}]</t>
  </si>
  <si>
    <t>Hryhorii</t>
  </si>
  <si>
    <t>2026-03-12T22:19:10.710+01:00</t>
  </si>
  <si>
    <t>2026-03-12T22:26:32.688+01:00</t>
  </si>
  <si>
    <t>[{"id":"121","note":"","count":1,"label":"Comeback 32cm 🌶️","posId":"121","price":24900,"isExtra":false},{"id":"K0000","note":"","count":1,"label":"Balné","posId":"K0000","price":1500,"isExtra":true},{"id":"P100","note":"","count":1,"label":"Pepperoni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</si>
  <si>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2026-03-12T21:59:59.616+01:00</t>
  </si>
  <si>
    <t>2026-03-12T22:08:49.469+01:00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</si>
  <si>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</si>
  <si>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2026-03-12T21:49:59.068+01:00</t>
  </si>
  <si>
    <t>2026-03-12T21:58:37.460+01:00</t>
  </si>
  <si>
    <t>[{"id":"69400db90dc626f6c3c3fc71","count":1,"label":"Aquilla černý čaj a broskev 0,5l","posId":"N120","price":4900,"isExtra":false},{"id":"69400db90dc626f6c3c3fc1b","count":1,"label":"Margherita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</si>
  <si>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2026-03-12T21:48:27.253+01:00</t>
  </si>
  <si>
    <t>2026-03-12T21:57:00.616+01:00</t>
  </si>
  <si>
    <t>[{"id":"69400db90dc626f6c3c3fc11","count":1,"label":"Hawai 40cm","posId":"102","price":30900,"isExtra":false},{"id":"01f1f771ad243e9a3e1e67cc","count":1,"label":"Balné","posId":"K0000","price":2000,"isExtra":true},{"id":"6980a3b6f008291838b883ff","count":1,"label":"bez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okrajů","posId":"X1000","price":0,"isExtra":true},{"id":"695458c28103d4672f51a9ec","count":1,"label":"Kuře","posId":"C114","price":4000,"KDSTags":["greenhighlight"],"isExtra":true}]</t>
  </si>
  <si>
    <t>2026-03-12T20:52:50.969+01:00</t>
  </si>
  <si>
    <t>2026-03-12T21:08:40.280+01:00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</si>
  <si>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</si>
  <si>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2026-03-12T20:16:12.981+01:00</t>
  </si>
  <si>
    <t>2026-03-12T20:26:46.049+01:00</t>
  </si>
  <si>
    <t>[{"id":"3d349fca-a560-44e4-966f-e75699784d8e","count":1,"label":"Pizza Comeback 40","posId":"109","price":30900,"isExtra":false,"creatorId":"_J7nutTYSSz6vtTK5Ik_2","isPackging":0,"actualLabel":"Pizza Comeback 40"},{"id":"31cc2dec-1acd-4403-88c1-9561117576d8","count":1,"label":"Pizza Špenát kuře 40 cm","posId":"104","price":30900,"isExtra":false,"creatorId":"jV7SyoGjufXGVa59AwLIp","isPackging":0,"actualLabel":"Pizza Špenát kuře 40 cm"}]</t>
  </si>
  <si>
    <t>2026-03-12T20:11:37.938+01:00</t>
  </si>
  <si>
    <t>2026-03-12T20:24:37.238+01:00</t>
  </si>
  <si>
    <t>[{"id":"69400db90dc626f6c3c3fc13","count":1,"label":"Capricciosa 40cm","posId":"101","price":30900,"isExtra":false},{"id":"01f1f771ad243e9a3e1e67cc","count":1,"label":"Balné","posId":"K0000","price":2000,"isExtra":true}]</t>
  </si>
  <si>
    <t>2026-03-12T20:07:25.497+01:00</t>
  </si>
  <si>
    <t>2026-03-12T20:23:02.264+01:00</t>
  </si>
  <si>
    <t>[{"id":"57081023","note":"","size":"Margherita 40cm","count":1,"label":"Margherita 40cm","posId":"100","price":26900,"isExtra":false},{"id":"57081101","note":"","count":1,"label":"Balné","posId":"K0000","price":2000,"isExtra":true},{"id":"57405790","note":"","size":"Pepsi 1l","count":1,"label":"Pepsi 1l","posId":"N124","price":5900,"isExtra":false}]</t>
  </si>
  <si>
    <t>2026-03-12T20:02:59.524+01:00</t>
  </si>
  <si>
    <t>2026-03-12T20:11:44.174+01:00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</si>
  <si>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dip","posId":"P106","price":2000,"isExtra":false},{"id":"57081111","note":"","count":1,"label":"Balné","posId":"K0000","price":1500,"isExtra":true},{"id":"57081025","note":"Prosím šlo by udělat polovinu bez Jalapeňos a Cibule? Dekuji!","size":"Hot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okrajů","posId":"X1000","price":0,"isExtra":true}]</t>
  </si>
  <si>
    <t>generic</t>
  </si>
  <si>
    <t>delivery</t>
  </si>
  <si>
    <t>2026-03-12T19:49:03.827+01:00</t>
  </si>
  <si>
    <t>2026-03-12T19:58:29.075+01:00</t>
  </si>
  <si>
    <t>2026-03-12T20:29:42.715+01:00</t>
  </si>
  <si>
    <t>2026-03-12T19:49:04.660+01:00</t>
  </si>
  <si>
    <t>Adaptee bridge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</si>
  <si>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</si>
  <si>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2026-03-12T19:37:54.380+01:00</t>
  </si>
  <si>
    <t>2026-03-12T19:50:16.207+01:00</t>
  </si>
  <si>
    <t>[{"id":"69400db90dc626f6c3c3fc1f","count":1,"label":"Hot &amp; Spicy 32cm 🌶️🌶️","posId":"122","price":24900,"isExtra":false},{"id":"0828382bbc0f39abdadd9b99","count":1,"label":"Balné","posId":"K0000","price":1500,"isExtra":true}]</t>
  </si>
  <si>
    <t>2026-03-12T19:32:04.653+01:00</t>
  </si>
  <si>
    <t>2026-03-12T19:50:19.185+01:00</t>
  </si>
  <si>
    <t>[{"id":"59278383","note":"","size":"Masové kuličky","count":1,"label":"Masové kuličky","posId":"P102","price":9900,"isExtra":false},{"id":"57081111","note":"","count":1,"label":"Balné","posId":"K0000","price":1500,"isExtra":true},{"id":"57081066","note":"","size":"Pečené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🌶️🌶️","posId":"110","price":30900,"isExtra":false},{"id":"57081101","note":"","count":1,"label":"Balné","posId":"K0000","price":2000,"isExtra":true},{"id":"59555779","note":"","size":"Choco Rolls","count":1,"label":"Choco Rolls","posId":"chr100","price":8900,"isExtra":false},{"id":"57081111","note":"","count":1,"label":"Balné","posId":"K0000","price":1500,"isExtra":true},{"id":"57405791","note":"","size":"Pepsi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</si>
  <si>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2026-03-12T19:26:47.955+01:00</t>
  </si>
  <si>
    <t>2026-03-12T19:45:11.361+01:00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</si>
  <si>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základ","posId":"ZBS32","price":0,"isExtra":true}]</t>
  </si>
  <si>
    <t>2026-03-12T19:24:48.663+01:00</t>
  </si>
  <si>
    <t>2026-03-12T19:39:51.206+01:00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</si>
  <si>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bylinky","posId":"A122","price":6500,"isExtra":true},{"id":"57081184","note":"","count":1,"label":"Ananas","posId":"C100","price":3500,"KDSTags":["greenhighlight"],"isExtra":true},{"id":"57405791","note":"","size":"Pepsi zero sugar 1l","count":1,"label":"Pepsi zero sugar 1l","posId":"N125","price":5900,"isExtra":false}]</t>
  </si>
  <si>
    <t>2026-03-12T19:08:03.724+01:00</t>
  </si>
  <si>
    <t>2026-03-12T19:29:29.982+01:00</t>
  </si>
  <si>
    <t>2026-03-12T19:55:56.568+01:00</t>
  </si>
  <si>
    <t>2026-03-12T19:08:04.057+01:00</t>
  </si>
  <si>
    <t>[{"id":"ff8bc446-e047-44f1-bae5-423b565e0123","note":"","count":1,"label":"Capricciosa 32 cm","posId":"137","price":24900,"isExtra":false},{"id":"2585f58b-88a9-4cf3-bee9-d0f178b1877c","note":"","count":1,"label":"okraj Hotdog bez omáčky","posId":"A125","price":5700,"isExtra":true},{"id":"359ee68f-359e-4708-988b-1790e467ff73","note":"","count":1,"label":"Jablečno-skořicové rolls, 8ks","posId":"18","price":8900,"isExtra":false},{"id":"a851d29a-5134-4946-b96f-7df04ca56ce8","note":"","count":1,"label":"Pepsi zero sugar 1l","posId":"N125","price":5900,"isExtra":false}]</t>
  </si>
  <si>
    <t>2026-03-12T18:55:54.821+01:00</t>
  </si>
  <si>
    <t>2026-03-12T18:59:47.378+01:00</t>
  </si>
  <si>
    <t>[{"id":"9c4c1ddf-cd82-4c07-89d0-ed3e0fb213ef","count":1,"label":"Guarana kiwi a jablko","posId":"N144","price":5500,"isExtra":false,"creatorId":"vkNCxZtkfj7dlgyDz0UzQ","isPackging":0,"actualLabel":"Guarana kiwi a jablko"}]</t>
  </si>
  <si>
    <t>2026-03-12T18:49:03.429+01:00</t>
  </si>
  <si>
    <t>2026-03-12T18:59:54.397+01:00</t>
  </si>
  <si>
    <t>2026-03-12T19:09:51.235+01:00</t>
  </si>
  <si>
    <t>2026-03-12T18:49:04.540+01:00</t>
  </si>
  <si>
    <t>[{"id":"076ed74a-9e28-4a30-9b7c-06e6adbd9e27","note":"","count":1,"label":"Margherita 18 cm","posId":"124","price":11900,"isExtra":false},{"id":"36ea3088-07fd-428f-b871-c4a5ee9cef7b","note":"","count":1,"label":"Comeback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</si>
  <si>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2026-03-12T18:45:08.275+01:00</t>
  </si>
  <si>
    <t>2026-03-12T18:56:35.605+01:00</t>
  </si>
  <si>
    <t>2026-03-12T19:25:12.343+01:00</t>
  </si>
  <si>
    <t>2026-03-12T18:45:12.823+01:00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</si>
  <si>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3214bac7-f6a4-460b-92bd-e59397636ecb","note":"","count":1,"label":"BEZ -kuře","posId":"X114","price":0,"KDSTags":["redhighlight"],"isExtra":true}]</t>
  </si>
  <si>
    <t>2026-03-12T18:28:30.988+01:00</t>
  </si>
  <si>
    <t>2026-03-12T18:38:55.399+01:00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</si>
  <si>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</si>
  <si>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2026-03-12T18:18:34.832+01:00</t>
  </si>
  <si>
    <t>2026-03-12T18:26:40.507+01:00</t>
  </si>
  <si>
    <t>[{"id":"57081023","note":"","size":"Margherita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</si>
  <si>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Enes</t>
  </si>
  <si>
    <t>2026-03-12T18:16:10.165+01:00</t>
  </si>
  <si>
    <t>2026-03-12T18:24:46.276+01:00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</si>
  <si>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</si>
  <si>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2026-03-12T18:11:48.636+01:00</t>
  </si>
  <si>
    <t>2026-03-12T18:23:27.360+01:00</t>
  </si>
  <si>
    <t>[{"id":"69400db90dc626f6c3c3fc03","count":1,"label":"Quattro Formaggi 40cm","posId":"111","price":30900,"isExtra":false},{"id":"01f1f771ad243e9a3e1e67cc","count":1,"label":"Balné","posId":"K0000","price":2000,"isExtra":true}]</t>
  </si>
  <si>
    <t>2026-03-12T18:10:19.096+01:00</t>
  </si>
  <si>
    <t>2026-03-12T18:18:07.749+01:00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</si>
  <si>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2","count":1,"label":"Olivy","posId":"C112","price":3500,"KDSTags":["greenhighlight"],"isExtra":true},{"id":"695458c28103d4672f51a9e5","count":1,"label":"Cibule","posId":"C103","price":3500,"KDSTags":["greenhighlight"],"isExtra":true},{"id":"695458c28103d4672f51a9ed","count":1,"label":"Pepperoni salám","posId":"C109","price":4000,"KDSTags":["greenhighlight"],"isExtra":true}]</t>
  </si>
  <si>
    <t>Yaroslav</t>
  </si>
  <si>
    <t>2026-03-12T18:01:01.690+01:00</t>
  </si>
  <si>
    <t>2026-03-12T18:14:42.513+01:00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</si>
  <si>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</si>
  <si>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2026-03-12T18:00:36.898+01:00</t>
  </si>
  <si>
    <t>2026-03-12T18:10:48.386+01:00</t>
  </si>
  <si>
    <t>2026-03-12T17:58:36.426+01:00</t>
  </si>
  <si>
    <t>2026-03-12T18:09:05.635+01:00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</si>
  <si>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</si>
  <si>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Mykhailo</t>
  </si>
  <si>
    <t>2026-03-12T17:53:33.635+01:00</t>
  </si>
  <si>
    <t>2026-03-12T18:08:58.329+01:00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</si>
  <si>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</si>
  <si>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2026-03-12T17:41:27.665+01:00</t>
  </si>
  <si>
    <t>2026-03-12T17:58:05.428+01:00</t>
  </si>
  <si>
    <t>[{"id":"59610969","note":"","size":"BBQ Texas 32cm","count":1,"label":"BBQ Texas 32cm","posId":"119","price":24900,"isExtra":false},{"id":"57081111","note":"","count":1,"label":"Balné","posId":"K0000","price":1500,"isExtra":true},{"id":"59610972","note":"","size":"Hawai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Rolls","posId":"jpr200","price":8900,"isExtra":false},{"id":"57081111","note":"","count":1,"label":"Balné","posId":"K0000","price":1500,"isExtra":true}]</t>
  </si>
  <si>
    <t>2026-03-12T17:26:05.515+01:00</t>
  </si>
  <si>
    <t>2026-03-12T17:43:32.352+01:00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</si>
  <si>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</si>
  <si>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2026-03-12T16:55:17.405+01:00</t>
  </si>
  <si>
    <t>2026-03-12T17:08:08.186+01:00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</si>
  <si>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</si>
  <si>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2026-03-12T16:54:03.460+01:00</t>
  </si>
  <si>
    <t>2026-03-12T17:01:02.216+01:00</t>
  </si>
  <si>
    <t>2026-03-12T17:16:01.109+01:00</t>
  </si>
  <si>
    <t>2026-03-12T16:54:04.013+01:00</t>
  </si>
  <si>
    <t>[{"id":"1da47ebe-2592-435a-b854-8cbe80b56263","note":"","count":1,"label":"Hawai 32 cm","posId":"138","price":24900,"isExtra":false},{"id":"85dc195f-7d7b-4fb5-b41d-eb1c9c76b3a3","note":"","count":1,"label":"Hot &amp; Spicy 32 cm","posId":"146","price":24900,"isExtra":false}]</t>
  </si>
  <si>
    <t>2026-03-12T16:49:38.070+01:00</t>
  </si>
  <si>
    <t>2026-03-12T16:58:51.695+01:00</t>
  </si>
  <si>
    <t>[{"id":"69400db90dc626f6c3c3fc07","count":1,"label":"Comeback 40cm 🌶️","posId":"109","price":30900,"isExtra":false},{"id":"01f1f771ad243e9a3e1e67cc","count":1,"label":"Balné","posId":"K0000","price":2000,"isExtra":true}]</t>
  </si>
  <si>
    <t>2026-03-12T16:47:37.407+01:00</t>
  </si>
  <si>
    <t>2026-03-12T16:53:35.251+01:00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</si>
  <si>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</si>
  <si>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2026-03-12T16:39:57.826+01:00</t>
  </si>
  <si>
    <t>2026-03-12T16:43:02.089+01:00</t>
  </si>
  <si>
    <t>[{"id":"d2fa657b-d549-4d8e-967b-ea5a926c3245","count":1,"label":"Pizza Hawai 32 cm 0,5","posId":"H114","price":12450,"isExtra":false,"creatorId":"hdn-Hq617FVTbQb5hNNAv","isPackging":0,"actualLabel":"Pizza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italské","posId":"H32","price":0,"isExtra":true,"mainItemId":"d2fa657b-d549-4d8e-967b-ea5a926c3245"},{"id":"8236a52b-9ff3-43ae-a341-1b70a94388b5","count":1,"label":"Pizza Pepperoni 32 0,5","posId":"H120","price":12450,"isExtra":false,"creatorId":"GPjZwK5GvsnQNue7SCCjF","isPackging":0,"actualLabel":"Pizza Pepperoni 32 0,5"},{"id":"ZMn0kE3IRVJjsfXstBxZb","count":1,"label":"Bez plněných okrajů","posId":"X1000","price":0,"isExtra":true,"mainItemId":"8236a52b-9ff3-43ae-a341-1b70a94388b5"},{"id":"aRPAiqbCW3Z9trz5KoEBF","count":1,"label":"Těsto italské","posId":"H32","price":0,"isExtra":true,"mainItemId":"8236a52b-9ff3-43ae-a341-1b70a94388b5"}]</t>
  </si>
  <si>
    <t>2026-03-12T16:38:33.748+01:00</t>
  </si>
  <si>
    <t>2026-03-12T16:48:52.187+01:00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</si>
  <si>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parmazán","posId":"C130","price":4000,"KDSTags":["greenhighlight"],"isExtra":true},{"id":"69400db90dc626f6c3c3fc5d","count":4,"label":"Česnekový dip","posId":"P106","price":2000,"isExtra":false},{"id":"0828382bbc0f39abdadd9b99","count":4,"label":"Balné","posId":"K0000","price":1500,"isExtra":true},{"id":"69400db90dc626f6c3c3fc5b","count":1,"label":"Pepperoni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</si>
  <si>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2026-03-12T16:16:04.514+01:00</t>
  </si>
  <si>
    <t>2026-03-12T16:20:45.883+01:00</t>
  </si>
  <si>
    <t>[{"id":"4b4a3c41-e6f7-4559-ba91-d32fecf13e87","count":1,"label":"Pizza Hawai 18 cm","posId":"126","price":11900,"isExtra":false,"creatorId":"WeOzAFWjGD_t8e_jZBxNT","isPackging":0,"actualLabel":"Pizza Hawai 18 cm"}]</t>
  </si>
  <si>
    <t>2026-03-12T15:51:51.345+01:00</t>
  </si>
  <si>
    <t>2026-03-12T15:53:09.662+01:00</t>
  </si>
  <si>
    <t>[{"id":"630ace20-5d22-4b96-8f2b-c71d934b1c69","count":1,"label":"Aquilla neperlivá","posId":"N140","price":3900,"isExtra":false,"creatorId":"qmodP9Q48Q4iGG9uCMvKH","isPackging":0,"actualLabel":"Aquilla neperlivá"}]</t>
  </si>
  <si>
    <t>2026-03-12T15:28:13.418+01:00</t>
  </si>
  <si>
    <t>2026-03-12T15:39:45.840+01:00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</si>
  <si>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okrajů","posId":"X1000","price":0,"isExtra":true}]</t>
  </si>
  <si>
    <t>Lukáš</t>
  </si>
  <si>
    <t>2026-03-12T15:27:34.702+01:00</t>
  </si>
  <si>
    <t>2026-03-12T15:38:44.045+01:00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</si>
  <si>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102","note":"","count":1,"label":"Hawai 40cm","posId":"102","price":30900,"isExtra":false},{"id":"K0000","note":"","count":1,"label":"Balné","posId":"K0000","price":2000,"isExtra":true}]</t>
  </si>
  <si>
    <t>2026-03-12T14:24:07.789+01:00</t>
  </si>
  <si>
    <t>2026-03-12T14:37:20.305+01:00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</si>
  <si>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</si>
  <si>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2026-03-12T13:30:22.683+01:00</t>
  </si>
  <si>
    <t>2026-03-12T13:42:00.192+01:00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</si>
  <si>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69400db90dc626f6c3c3fc7b","count":1,"label":"Mirinda 1l","posId":"N126","price":5900,"isExtra":false}]</t>
  </si>
  <si>
    <t>2026-03-12T12:51:22.693+01:00</t>
  </si>
  <si>
    <t>2026-03-12T12:55:58.613+01:00</t>
  </si>
  <si>
    <t>[{"id":"31c0dfca-6f85-4bc6-9421-409b4483b607","count":1,"label":"Pizza Pepperoni 32","posId":"120","price":24900,"isExtra":false,"creatorId":"X9aCjQu4xkSVBUgdiFOqd","isPackging":0,"actualLabel":"Pizza Pepperoni 32"}]</t>
  </si>
  <si>
    <t>2026-03-12T12:36:26.471+01:00</t>
  </si>
  <si>
    <t>2026-03-12T12:45:53.772+01:00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</si>
  <si>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</si>
  <si>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2026-03-12T12:32:04.886+01:00</t>
  </si>
  <si>
    <t>2026-03-12T12:40:04.856+01:00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</si>
  <si>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</si>
  <si>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2026-03-12T12:28:29.473+01:00</t>
  </si>
  <si>
    <t>2026-03-12T12:37:34.656+01:00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</si>
  <si>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omáčka","posId":"A120","price":6500,"isExtra":true}]</t>
  </si>
  <si>
    <t>2026-03-12T11:09:09.468+01:00</t>
  </si>
  <si>
    <t>2026-03-12T11:24:27.563+01:00</t>
  </si>
  <si>
    <t>[{"id":"57405792","note":"","size":"Mirinda 1l","count":1,"label":"Mirinda 1l","posId":"N126","price":5900,"isExtra":false},{"id":"59610967","note":"","size":"Comeback 32cm 🌶️","count":1,"label":"Comeback 32cm 🌶️","posId":"121","price":24900,"isExtra":false},{"id":"57081111","note":"","count":1,"label":"Balné","posId":"K0000","price":1500,"isExtra":true}]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</si>
  <si>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</si>
  <si>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</si>
  <si>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</si>
  <si>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</si>
  <si>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</si>
  <si>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</si>
  <si>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</si>
  <si>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</si>
  <si>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</si>
  <si>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</si>
  <si>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</si>
  <si>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</si>
  <si>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</si>
  <si>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</si>
  <si>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</si>
  <si>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</si>
  <si>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</si>
  <si>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</si>
  <si>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</si>
  <si>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Pokladna - VÝSLEDEK</t>
  </si>
  <si>
    <t>Počet zpožděných objednávek z webu +5 min</t>
  </si>
  <si>
    <t>Počet vydajových dokladů</t>
  </si>
  <si>
    <t>Woltrdrive zpožděný kvůli našemu pozdnímu přiřazení</t>
  </si>
  <si>
    <t>Úterý</t>
  </si>
  <si>
    <t>Martin Sova</t>
  </si>
  <si>
    <t>03:00</t>
  </si>
  <si>
    <t>Ahurieva Viktoriia</t>
  </si>
  <si>
    <t>12:00</t>
  </si>
  <si>
    <t>Ondřej Navrátil</t>
  </si>
  <si>
    <t>07:00</t>
  </si>
  <si>
    <t>Zbyněk Hyský</t>
  </si>
  <si>
    <t>00:00</t>
  </si>
  <si>
    <t>06:00</t>
  </si>
  <si>
    <t>Pešová Hana</t>
  </si>
  <si>
    <t>08:00</t>
  </si>
  <si>
    <t>15 min 46 s</t>
  </si>
  <si>
    <t>Manažeři</t>
  </si>
  <si>
    <t>Zamestnanci pobocky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</si>
</sst>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&quot;-&quot;yyyy"/>
    <numFmt numFmtId="165" formatCode="d.m.yyyy"/>
    <numFmt numFmtId="166" formatCode="#,##0\ [$Kč-405]"/>
    <numFmt numFmtId="167" formatCode="&quot;/&quot;d&quot;/&quot;myy"/>
    <numFmt numFmtId="168" formatCode="H:mm:ss"/>
  </numFmts>
  <fonts count="21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color theme="1"/>
      <name val="Arial"/>
    </font>
    <font>
      <b/>
      <sz val="17.0"/>
      <color theme="1"/>
      <name val="Arial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6.0"/>
      <color rgb="FF000000"/>
      <name val="Google Sans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23.0"/>
      <color theme="1"/>
      <name val="Arial"/>
    </font>
    <font>
      <sz val="9.0"/>
      <color theme="1"/>
      <name val="Google Sans"/>
    </font>
    <font>
      <sz val="10.0"/>
      <color rgb="FF000000"/>
      <name val="Arial"/>
    </font>
    <font>
      <sz val="11.0"/>
      <color theme="1"/>
      <name val="Arial"/>
    </font>
    <font>
      <b/>
      <sz val="11.0"/>
      <color rgb="FFEFEFEF"/>
      <name val="Arial"/>
    </font>
    <font>
      <b/>
      <sz val="13.0"/>
      <color theme="1"/>
      <name val="Google Sans"/>
    </font>
    <font>
      <b/>
      <sz val="25.0"/>
      <color rgb="FF000000"/>
      <name val="Google Sans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</fills>
  <borders count="51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1" fillId="2" fontId="1" numFmtId="2" xfId="0" applyBorder="1" applyFill="1" applyFont="1" applyNumberFormat="1"/>
    <xf borderId="2" fillId="3" fontId="2" numFmtId="2" xfId="0" applyAlignment="1" applyBorder="1" applyFill="1" applyFont="1" applyNumberFormat="1">
      <alignment horizontal="center" shrinkToFit="0" vertical="center" wrapText="0"/>
    </xf>
    <xf borderId="2" fillId="3" fontId="3" numFmtId="164" xfId="0" applyAlignment="1" applyBorder="1" applyFont="1" applyNumberFormat="1">
      <alignment horizontal="center" shrinkToFit="0" vertical="center" wrapText="0"/>
    </xf>
    <xf borderId="3" fillId="3" fontId="4" numFmtId="165" xfId="0" applyAlignment="1" applyBorder="1" applyFont="1" applyNumberFormat="1">
      <alignment horizontal="center" shrinkToFit="0" vertical="center" wrapText="0"/>
    </xf>
    <xf borderId="4" fillId="0" fontId="5" numFmtId="0" xfId="0" applyBorder="1" applyFont="1"/>
    <xf borderId="5" fillId="4" fontId="6" numFmtId="0" xfId="0" applyAlignment="1" applyBorder="1" applyFill="1" applyFont="1">
      <alignment horizontal="center" shrinkToFit="0" vertical="center" wrapText="0"/>
    </xf>
    <xf borderId="5" fillId="0" fontId="5" numFmtId="0" xfId="0" applyBorder="1" applyFont="1"/>
    <xf borderId="6" fillId="0" fontId="5" numFmtId="0" xfId="0" applyBorder="1" applyFont="1"/>
    <xf borderId="7" fillId="4" fontId="7" numFmtId="0" xfId="0" applyAlignment="1" applyBorder="1" applyFont="1">
      <alignment horizontal="center" shrinkToFit="0" vertical="center" wrapText="0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2" fontId="8" numFmtId="10" xfId="0" applyAlignment="1" applyFont="1" applyNumberFormat="1">
      <alignment horizontal="center" vertical="center"/>
    </xf>
    <xf borderId="1" fillId="0" fontId="5" numFmtId="0" xfId="0" applyBorder="1" applyFont="1"/>
    <xf borderId="0" fillId="5" fontId="6" numFmtId="166" xfId="0" applyAlignment="1" applyFill="1" applyFont="1" applyNumberFormat="1">
      <alignment horizontal="center" shrinkToFit="0" vertical="center" wrapText="0"/>
    </xf>
    <xf borderId="12" fillId="6" fontId="9" numFmtId="0" xfId="0" applyAlignment="1" applyBorder="1" applyFill="1" applyFont="1">
      <alignment horizontal="center" shrinkToFit="0" vertical="center" wrapText="0"/>
    </xf>
    <xf borderId="13" fillId="5" fontId="10" numFmtId="166" xfId="0" applyAlignment="1" applyBorder="1" applyFont="1" applyNumberFormat="1">
      <alignment horizontal="center" vertical="bottom"/>
    </xf>
    <xf borderId="3" fillId="3" fontId="11" numFmtId="167" xfId="0" applyAlignment="1" applyBorder="1" applyFont="1" applyNumberFormat="1">
      <alignment horizontal="center" shrinkToFit="0" vertical="center" wrapText="0"/>
    </xf>
    <xf borderId="14" fillId="0" fontId="5" numFmtId="0" xfId="0" applyBorder="1" applyFont="1"/>
    <xf borderId="15" fillId="0" fontId="5" numFmtId="0" xfId="0" applyBorder="1" applyFont="1"/>
    <xf borderId="3" fillId="7" fontId="6" numFmtId="0" xfId="0" applyAlignment="1" applyBorder="1" applyFill="1" applyFont="1">
      <alignment horizontal="center" shrinkToFit="0" vertical="center" wrapText="0"/>
    </xf>
    <xf borderId="16" fillId="6" fontId="9" numFmtId="0" xfId="0" applyAlignment="1" applyBorder="1" applyFont="1">
      <alignment horizontal="center" shrinkToFit="0" vertical="center" wrapText="0"/>
    </xf>
    <xf borderId="3" fillId="8" fontId="1" numFmtId="1" xfId="0" applyAlignment="1" applyBorder="1" applyFill="1" applyFont="1" applyNumberFormat="1">
      <alignment horizontal="center" shrinkToFit="0" vertical="center" wrapText="0"/>
    </xf>
    <xf borderId="0" fillId="8" fontId="1" numFmtId="1" xfId="0" applyAlignment="1" applyFont="1" applyNumberFormat="1">
      <alignment horizontal="center" shrinkToFit="0" vertical="center" wrapText="0"/>
    </xf>
    <xf borderId="3" fillId="9" fontId="1" numFmtId="0" xfId="0" applyAlignment="1" applyBorder="1" applyFill="1" applyFont="1">
      <alignment horizontal="center" shrinkToFit="0" vertical="center" wrapText="0"/>
    </xf>
    <xf borderId="17" fillId="6" fontId="9" numFmtId="0" xfId="0" applyAlignment="1" applyBorder="1" applyFont="1">
      <alignment horizontal="center" shrinkToFit="0" vertical="center" wrapText="0"/>
    </xf>
    <xf borderId="1" fillId="5" fontId="10" numFmtId="166" xfId="0" applyAlignment="1" applyBorder="1" applyFont="1" applyNumberFormat="1">
      <alignment horizontal="center" vertical="bottom"/>
    </xf>
    <xf borderId="18" fillId="0" fontId="5" numFmtId="0" xfId="0" applyBorder="1" applyFont="1"/>
    <xf borderId="19" fillId="4" fontId="7" numFmtId="0" xfId="0" applyAlignment="1" applyBorder="1" applyFont="1">
      <alignment horizontal="center" shrinkToFit="0" vertical="center" wrapText="0"/>
    </xf>
    <xf borderId="11" fillId="8" fontId="1" numFmtId="166" xfId="0" applyAlignment="1" applyBorder="1" applyFont="1" applyNumberFormat="1">
      <alignment horizontal="center" shrinkToFit="0" vertical="center" wrapText="0"/>
    </xf>
    <xf borderId="18" fillId="4" fontId="12" numFmtId="49" xfId="0" applyAlignment="1" applyBorder="1" applyFont="1" applyNumberFormat="1">
      <alignment horizontal="center" shrinkToFit="0" vertical="center" wrapText="0"/>
    </xf>
    <xf borderId="15" fillId="4" fontId="7" numFmtId="49" xfId="0" applyAlignment="1" applyBorder="1" applyFont="1" applyNumberFormat="1">
      <alignment horizontal="center" shrinkToFit="0" vertical="center" wrapText="0"/>
    </xf>
    <xf borderId="10" fillId="4" fontId="12" numFmtId="166" xfId="0" applyAlignment="1" applyBorder="1" applyFont="1" applyNumberFormat="1">
      <alignment horizontal="center" shrinkToFit="0" vertical="center" wrapText="0"/>
    </xf>
    <xf borderId="0" fillId="2" fontId="1" numFmtId="2" xfId="0" applyFont="1" applyNumberFormat="1"/>
    <xf borderId="20" fillId="0" fontId="13" numFmtId="49" xfId="0" applyAlignment="1" applyBorder="1" applyFont="1" applyNumberFormat="1">
      <alignment horizontal="center" shrinkToFit="0" vertical="center" wrapText="0"/>
    </xf>
    <xf borderId="21" fillId="0" fontId="13" numFmtId="20" xfId="0" applyAlignment="1" applyBorder="1" applyFont="1" applyNumberFormat="1">
      <alignment horizontal="center" shrinkToFit="0" vertical="center" wrapText="0"/>
    </xf>
    <xf borderId="22" fillId="0" fontId="13" numFmtId="49" xfId="0" applyAlignment="1" applyBorder="1" applyFont="1" applyNumberFormat="1">
      <alignment horizontal="center" shrinkToFit="0" vertical="center" wrapText="0"/>
    </xf>
    <xf borderId="0" fillId="8" fontId="1" numFmtId="49" xfId="0" applyAlignment="1" applyFont="1" applyNumberFormat="1">
      <alignment horizontal="center" shrinkToFit="0" vertical="center" wrapText="0"/>
    </xf>
    <xf borderId="3" fillId="10" fontId="14" numFmtId="166" xfId="0" applyAlignment="1" applyBorder="1" applyFill="1" applyFont="1" applyNumberFormat="1">
      <alignment horizontal="center" vertical="center"/>
    </xf>
    <xf borderId="23" fillId="6" fontId="9" numFmtId="0" xfId="0" applyAlignment="1" applyBorder="1" applyFont="1">
      <alignment horizontal="center" shrinkToFit="0" vertical="center" wrapText="0"/>
    </xf>
    <xf borderId="0" fillId="2" fontId="15" numFmtId="2" xfId="0" applyAlignment="1" applyFont="1" applyNumberFormat="1">
      <alignment horizontal="center" vertical="bottom"/>
    </xf>
    <xf borderId="16" fillId="8" fontId="1" numFmtId="49" xfId="0" applyAlignment="1" applyBorder="1" applyFont="1" applyNumberFormat="1">
      <alignment horizontal="center" shrinkToFit="0" vertical="center" wrapText="0"/>
    </xf>
    <xf borderId="12" fillId="8" fontId="1" numFmtId="49" xfId="0" applyAlignment="1" applyBorder="1" applyFont="1" applyNumberFormat="1">
      <alignment horizontal="center" shrinkToFit="0" vertical="center" wrapText="0"/>
    </xf>
    <xf borderId="24" fillId="8" fontId="1" numFmtId="49" xfId="0" applyAlignment="1" applyBorder="1" applyFont="1" applyNumberFormat="1">
      <alignment horizontal="center" shrinkToFit="0" vertical="center" wrapText="0"/>
    </xf>
    <xf borderId="25" fillId="11" fontId="10" numFmtId="20" xfId="0" applyAlignment="1" applyBorder="1" applyFill="1" applyFont="1" applyNumberFormat="1">
      <alignment horizontal="center"/>
    </xf>
    <xf borderId="15" fillId="4" fontId="7" numFmtId="0" xfId="0" applyAlignment="1" applyBorder="1" applyFont="1">
      <alignment horizontal="center" shrinkToFit="0" vertical="center" wrapText="0"/>
    </xf>
    <xf borderId="26" fillId="8" fontId="1" numFmtId="0" xfId="0" applyAlignment="1" applyBorder="1" applyFont="1">
      <alignment vertical="bottom"/>
    </xf>
    <xf borderId="13" fillId="8" fontId="1" numFmtId="166" xfId="0" applyAlignment="1" applyBorder="1" applyFont="1" applyNumberFormat="1">
      <alignment horizontal="center" shrinkToFit="0" vertical="center" wrapText="0"/>
    </xf>
    <xf borderId="26" fillId="8" fontId="16" numFmtId="0" xfId="0" applyAlignment="1" applyBorder="1" applyFont="1">
      <alignment horizontal="left"/>
    </xf>
    <xf borderId="25" fillId="11" fontId="10" numFmtId="49" xfId="0" applyAlignment="1" applyBorder="1" applyFont="1" applyNumberFormat="1">
      <alignment horizontal="center"/>
    </xf>
    <xf borderId="0" fillId="7" fontId="1" numFmtId="49" xfId="0" applyAlignment="1" applyFont="1" applyNumberFormat="1">
      <alignment horizontal="center" shrinkToFit="0" vertical="center" wrapText="0"/>
    </xf>
    <xf borderId="12" fillId="6" fontId="13" numFmtId="0" xfId="0" applyAlignment="1" applyBorder="1" applyFont="1">
      <alignment horizontal="center" shrinkToFit="0" vertical="center" wrapText="0"/>
    </xf>
    <xf borderId="26" fillId="8" fontId="1" numFmtId="0" xfId="0" applyBorder="1" applyFont="1"/>
    <xf borderId="24" fillId="8" fontId="1" numFmtId="20" xfId="0" applyAlignment="1" applyBorder="1" applyFont="1" applyNumberFormat="1">
      <alignment horizontal="center" shrinkToFit="0" vertical="center" wrapText="0"/>
    </xf>
    <xf borderId="23" fillId="6" fontId="13" numFmtId="0" xfId="0" applyAlignment="1" applyBorder="1" applyFont="1">
      <alignment horizontal="center" shrinkToFit="0" vertical="center" wrapText="0"/>
    </xf>
    <xf borderId="11" fillId="11" fontId="10" numFmtId="166" xfId="0" applyAlignment="1" applyBorder="1" applyFont="1" applyNumberFormat="1">
      <alignment horizontal="center" vertical="center"/>
    </xf>
    <xf borderId="0" fillId="9" fontId="1" numFmtId="0" xfId="0" applyAlignment="1" applyFont="1">
      <alignment horizontal="center" shrinkToFit="0" vertical="center" wrapText="0"/>
    </xf>
    <xf borderId="17" fillId="0" fontId="5" numFmtId="0" xfId="0" applyBorder="1" applyFont="1"/>
    <xf borderId="12" fillId="8" fontId="1" numFmtId="20" xfId="0" applyAlignment="1" applyBorder="1" applyFont="1" applyNumberFormat="1">
      <alignment horizontal="center" shrinkToFit="0" vertical="center" wrapText="0"/>
    </xf>
    <xf borderId="27" fillId="11" fontId="10" numFmtId="49" xfId="0" applyAlignment="1" applyBorder="1" applyFont="1" applyNumberFormat="1">
      <alignment horizontal="center"/>
    </xf>
    <xf borderId="28" fillId="8" fontId="1" numFmtId="49" xfId="0" applyAlignment="1" applyBorder="1" applyFont="1" applyNumberFormat="1">
      <alignment horizontal="center" shrinkToFit="0" vertical="center" wrapText="0"/>
    </xf>
    <xf borderId="23" fillId="8" fontId="1" numFmtId="20" xfId="0" applyAlignment="1" applyBorder="1" applyFont="1" applyNumberFormat="1">
      <alignment horizontal="center" shrinkToFit="0" vertical="center" wrapText="0"/>
    </xf>
    <xf borderId="15" fillId="8" fontId="1" numFmtId="20" xfId="0" applyAlignment="1" applyBorder="1" applyFont="1" applyNumberFormat="1">
      <alignment horizontal="center" shrinkToFit="0" vertical="center" wrapText="0"/>
    </xf>
    <xf borderId="29" fillId="11" fontId="10" numFmtId="49" xfId="0" applyAlignment="1" applyBorder="1" applyFont="1" applyNumberFormat="1">
      <alignment horizontal="center"/>
    </xf>
    <xf borderId="1" fillId="2" fontId="1" numFmtId="2" xfId="0" applyAlignment="1" applyBorder="1" applyFont="1" applyNumberFormat="1">
      <alignment vertical="bottom"/>
    </xf>
    <xf borderId="10" fillId="9" fontId="1" numFmtId="49" xfId="0" applyAlignment="1" applyBorder="1" applyFont="1" applyNumberFormat="1">
      <alignment horizontal="center" shrinkToFit="0" vertical="center" wrapText="0"/>
    </xf>
    <xf borderId="25" fillId="9" fontId="17" numFmtId="0" xfId="0" applyAlignment="1" applyBorder="1" applyFont="1">
      <alignment horizontal="center" shrinkToFit="0" vertical="bottom" wrapText="1"/>
    </xf>
    <xf borderId="25" fillId="9" fontId="13" numFmtId="0" xfId="0" applyAlignment="1" applyBorder="1" applyFont="1">
      <alignment horizontal="center" shrinkToFit="0" vertical="bottom" wrapText="1"/>
    </xf>
    <xf borderId="25" fillId="12" fontId="17" numFmtId="0" xfId="0" applyAlignment="1" applyBorder="1" applyFill="1" applyFont="1">
      <alignment horizontal="center" shrinkToFit="0" vertical="bottom" wrapText="1"/>
    </xf>
    <xf borderId="25" fillId="12" fontId="17" numFmtId="166" xfId="0" applyAlignment="1" applyBorder="1" applyFont="1" applyNumberFormat="1">
      <alignment horizontal="center" shrinkToFit="0" vertical="bottom" wrapText="1"/>
    </xf>
    <xf borderId="25" fillId="12" fontId="1" numFmtId="0" xfId="0" applyAlignment="1" applyBorder="1" applyFont="1">
      <alignment horizontal="center" vertical="bottom"/>
    </xf>
    <xf borderId="21" fillId="0" fontId="13" numFmtId="49" xfId="0" applyAlignment="1" applyBorder="1" applyFont="1" applyNumberFormat="1">
      <alignment horizontal="center" shrinkToFit="0" vertical="center" wrapText="0"/>
    </xf>
    <xf borderId="30" fillId="0" fontId="13" numFmtId="49" xfId="0" applyAlignment="1" applyBorder="1" applyFont="1" applyNumberFormat="1">
      <alignment horizontal="center" shrinkToFit="0" vertical="center" wrapText="0"/>
    </xf>
    <xf borderId="27" fillId="9" fontId="13" numFmtId="0" xfId="0" applyAlignment="1" applyBorder="1" applyFont="1">
      <alignment horizontal="center" shrinkToFit="0" vertical="bottom" wrapText="1"/>
    </xf>
    <xf borderId="27" fillId="9" fontId="17" numFmtId="0" xfId="0" applyAlignment="1" applyBorder="1" applyFont="1">
      <alignment horizontal="center" shrinkToFit="0" vertical="bottom" wrapText="1"/>
    </xf>
    <xf borderId="25" fillId="8" fontId="1" numFmtId="49" xfId="0" applyAlignment="1" applyBorder="1" applyFont="1" applyNumberFormat="1">
      <alignment horizontal="center" shrinkToFit="0" vertical="center" wrapText="0"/>
    </xf>
    <xf borderId="12" fillId="5" fontId="1" numFmtId="49" xfId="0" applyAlignment="1" applyBorder="1" applyFont="1" applyNumberFormat="1">
      <alignment horizontal="center"/>
    </xf>
    <xf borderId="12" fillId="13" fontId="18" numFmtId="0" xfId="0" applyAlignment="1" applyBorder="1" applyFill="1" applyFont="1">
      <alignment horizontal="center" shrinkToFit="0" vertical="center" wrapText="0"/>
    </xf>
    <xf borderId="24" fillId="11" fontId="13" numFmtId="49" xfId="0" applyAlignment="1" applyBorder="1" applyFont="1" applyNumberFormat="1">
      <alignment horizontal="center"/>
    </xf>
    <xf borderId="31" fillId="0" fontId="5" numFmtId="0" xfId="0" applyBorder="1" applyFont="1"/>
    <xf borderId="25" fillId="8" fontId="1" numFmtId="20" xfId="0" applyAlignment="1" applyBorder="1" applyFont="1" applyNumberFormat="1">
      <alignment horizontal="center" shrinkToFit="0" vertical="center" wrapText="0"/>
    </xf>
    <xf borderId="13" fillId="11" fontId="13" numFmtId="49" xfId="0" applyAlignment="1" applyBorder="1" applyFont="1" applyNumberFormat="1">
      <alignment horizontal="center"/>
    </xf>
    <xf borderId="25" fillId="14" fontId="17" numFmtId="0" xfId="0" applyAlignment="1" applyBorder="1" applyFill="1" applyFont="1">
      <alignment horizontal="center" shrinkToFit="0" vertical="bottom" wrapText="1"/>
    </xf>
    <xf borderId="25" fillId="15" fontId="1" numFmtId="0" xfId="0" applyAlignment="1" applyBorder="1" applyFill="1" applyFont="1">
      <alignment horizontal="center" vertical="bottom"/>
    </xf>
    <xf borderId="32" fillId="8" fontId="1" numFmtId="49" xfId="0" applyAlignment="1" applyBorder="1" applyFont="1" applyNumberFormat="1">
      <alignment horizontal="center" shrinkToFit="0" vertical="center" wrapText="0"/>
    </xf>
    <xf borderId="33" fillId="9" fontId="13" numFmtId="0" xfId="0" applyAlignment="1" applyBorder="1" applyFont="1">
      <alignment horizontal="center" shrinkToFit="0" vertical="bottom" wrapText="1"/>
    </xf>
    <xf borderId="34" fillId="0" fontId="5" numFmtId="0" xfId="0" applyBorder="1" applyFont="1"/>
    <xf borderId="27" fillId="9" fontId="13" numFmtId="10" xfId="0" applyAlignment="1" applyBorder="1" applyFont="1" applyNumberFormat="1">
      <alignment horizontal="center" shrinkToFit="0" vertical="bottom" wrapText="1"/>
    </xf>
    <xf borderId="35" fillId="0" fontId="5" numFmtId="0" xfId="0" applyBorder="1" applyFont="1"/>
    <xf borderId="12" fillId="0" fontId="5" numFmtId="0" xfId="0" applyBorder="1" applyFont="1"/>
    <xf borderId="12" fillId="13" fontId="18" numFmtId="49" xfId="0" applyAlignment="1" applyBorder="1" applyFont="1" applyNumberFormat="1">
      <alignment horizontal="center" shrinkToFit="0" vertical="center" wrapText="0"/>
    </xf>
    <xf borderId="36" fillId="15" fontId="1" numFmtId="0" xfId="0" applyAlignment="1" applyBorder="1" applyFont="1">
      <alignment horizontal="center" vertical="bottom"/>
    </xf>
    <xf borderId="32" fillId="0" fontId="5" numFmtId="0" xfId="0" applyBorder="1" applyFont="1"/>
    <xf borderId="25" fillId="12" fontId="1" numFmtId="10" xfId="0" applyAlignment="1" applyBorder="1" applyFont="1" applyNumberFormat="1">
      <alignment horizontal="center" vertical="bottom"/>
    </xf>
    <xf borderId="0" fillId="16" fontId="1" numFmtId="168" xfId="0" applyAlignment="1" applyFill="1" applyFont="1" applyNumberFormat="1">
      <alignment vertical="bottom"/>
    </xf>
    <xf borderId="27" fillId="9" fontId="17" numFmtId="10" xfId="0" applyAlignment="1" applyBorder="1" applyFont="1" applyNumberFormat="1">
      <alignment horizontal="center" shrinkToFit="0" vertical="bottom" wrapText="1"/>
    </xf>
    <xf borderId="16" fillId="8" fontId="1" numFmtId="0" xfId="0" applyAlignment="1" applyBorder="1" applyFont="1">
      <alignment horizontal="center" shrinkToFit="0" vertical="center" wrapText="0"/>
    </xf>
    <xf borderId="12" fillId="5" fontId="1" numFmtId="0" xfId="0" applyAlignment="1" applyBorder="1" applyFont="1">
      <alignment horizontal="center"/>
    </xf>
    <xf borderId="13" fillId="11" fontId="13" numFmtId="0" xfId="0" applyAlignment="1" applyBorder="1" applyFont="1">
      <alignment horizontal="center"/>
    </xf>
    <xf borderId="0" fillId="16" fontId="1" numFmtId="0" xfId="0" applyAlignment="1" applyFont="1">
      <alignment vertical="bottom"/>
    </xf>
    <xf borderId="28" fillId="17" fontId="13" numFmtId="0" xfId="0" applyAlignment="1" applyBorder="1" applyFill="1" applyFont="1">
      <alignment horizontal="center" shrinkToFit="0" vertical="center" wrapText="0"/>
    </xf>
    <xf borderId="15" fillId="17" fontId="13" numFmtId="0" xfId="0" applyAlignment="1" applyBorder="1" applyFont="1">
      <alignment horizontal="center" shrinkToFit="0" vertical="center" wrapText="0"/>
    </xf>
    <xf borderId="23" fillId="0" fontId="5" numFmtId="0" xfId="0" applyBorder="1" applyFont="1"/>
    <xf borderId="23" fillId="5" fontId="13" numFmtId="0" xfId="0" applyAlignment="1" applyBorder="1" applyFont="1">
      <alignment horizontal="center"/>
    </xf>
    <xf borderId="23" fillId="17" fontId="13" numFmtId="0" xfId="0" applyAlignment="1" applyBorder="1" applyFont="1">
      <alignment horizontal="center" shrinkToFit="0" vertical="center" wrapText="0"/>
    </xf>
    <xf borderId="11" fillId="17" fontId="13" numFmtId="0" xfId="0" applyAlignment="1" applyBorder="1" applyFont="1">
      <alignment horizontal="center"/>
    </xf>
    <xf borderId="24" fillId="16" fontId="1" numFmtId="0" xfId="0" applyAlignment="1" applyBorder="1" applyFont="1">
      <alignment vertical="bottom"/>
    </xf>
    <xf borderId="0" fillId="11" fontId="2" numFmtId="2" xfId="0" applyAlignment="1" applyFont="1" applyNumberFormat="1">
      <alignment horizontal="center" vertical="center"/>
    </xf>
    <xf borderId="2" fillId="11" fontId="2" numFmtId="2" xfId="0" applyAlignment="1" applyBorder="1" applyFont="1" applyNumberFormat="1">
      <alignment horizontal="center" vertical="center"/>
    </xf>
    <xf borderId="3" fillId="2" fontId="19" numFmtId="164" xfId="0" applyAlignment="1" applyBorder="1" applyFont="1" applyNumberFormat="1">
      <alignment horizontal="center" shrinkToFit="0" vertical="center" wrapText="0"/>
    </xf>
    <xf borderId="2" fillId="18" fontId="7" numFmtId="0" xfId="0" applyAlignment="1" applyBorder="1" applyFill="1" applyFont="1">
      <alignment horizontal="center" shrinkToFit="0" vertical="center" wrapText="1"/>
    </xf>
    <xf borderId="4" fillId="2" fontId="19" numFmtId="164" xfId="0" applyAlignment="1" applyBorder="1" applyFont="1" applyNumberFormat="1">
      <alignment horizontal="center" shrinkToFit="0" vertical="center" wrapText="0"/>
    </xf>
    <xf borderId="5" fillId="2" fontId="6" numFmtId="0" xfId="0" applyAlignment="1" applyBorder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20" numFmtId="0" xfId="0" applyAlignment="1" applyFont="1">
      <alignment horizontal="center" vertical="center"/>
    </xf>
    <xf borderId="0" fillId="2" fontId="6" numFmtId="166" xfId="0" applyAlignment="1" applyFont="1" applyNumberFormat="1">
      <alignment horizontal="center" vertical="center"/>
    </xf>
    <xf borderId="20" fillId="2" fontId="9" numFmtId="0" xfId="0" applyAlignment="1" applyBorder="1" applyFont="1">
      <alignment horizontal="center" vertical="center"/>
    </xf>
    <xf borderId="22" fillId="2" fontId="10" numFmtId="166" xfId="0" applyAlignment="1" applyBorder="1" applyFont="1" applyNumberFormat="1">
      <alignment horizontal="center" vertical="center"/>
    </xf>
    <xf borderId="0" fillId="2" fontId="10" numFmtId="10" xfId="0" applyAlignment="1" applyFont="1" applyNumberFormat="1">
      <alignment horizontal="center" vertical="center"/>
    </xf>
    <xf borderId="0" fillId="2" fontId="10" numFmtId="166" xfId="0" applyAlignment="1" applyFont="1" applyNumberFormat="1">
      <alignment horizontal="center" vertical="center"/>
    </xf>
    <xf borderId="0" fillId="2" fontId="11" numFmtId="167" xfId="0" applyAlignment="1" applyFont="1" applyNumberFormat="1">
      <alignment horizontal="center" vertical="center"/>
    </xf>
    <xf borderId="3" fillId="2" fontId="11" numFmtId="167" xfId="0" applyAlignment="1" applyBorder="1" applyFont="1" applyNumberFormat="1">
      <alignment horizontal="center" vertical="center"/>
    </xf>
    <xf borderId="16" fillId="2" fontId="9" numFmtId="0" xfId="0" applyAlignment="1" applyBorder="1" applyFont="1">
      <alignment horizontal="center" vertical="center"/>
    </xf>
    <xf borderId="13" fillId="2" fontId="10" numFmtId="166" xfId="0" applyAlignment="1" applyBorder="1" applyFont="1" applyNumberFormat="1">
      <alignment horizontal="center" vertical="center"/>
    </xf>
    <xf borderId="0" fillId="2" fontId="6" numFmtId="0" xfId="0" applyAlignment="1" applyFont="1">
      <alignment horizontal="left" vertical="center"/>
    </xf>
    <xf borderId="3" fillId="2" fontId="6" numFmtId="0" xfId="0" applyAlignment="1" applyBorder="1" applyFont="1">
      <alignment horizontal="left" vertical="center"/>
    </xf>
    <xf borderId="14" fillId="2" fontId="6" numFmtId="0" xfId="0" applyAlignment="1" applyBorder="1" applyFont="1">
      <alignment horizontal="left" vertical="center"/>
    </xf>
    <xf borderId="10" fillId="2" fontId="7" numFmtId="0" xfId="0" applyAlignment="1" applyBorder="1" applyFont="1">
      <alignment horizontal="center" vertical="center"/>
    </xf>
    <xf borderId="19" fillId="2" fontId="7" numFmtId="0" xfId="0" applyAlignment="1" applyBorder="1" applyFont="1">
      <alignment horizontal="center" vertical="center"/>
    </xf>
    <xf borderId="0" fillId="13" fontId="1" numFmtId="0" xfId="0" applyFont="1"/>
    <xf borderId="37" fillId="2" fontId="9" numFmtId="0" xfId="0" applyAlignment="1" applyBorder="1" applyFont="1">
      <alignment horizontal="center" vertical="center"/>
    </xf>
    <xf borderId="0" fillId="2" fontId="12" numFmtId="0" xfId="0" applyAlignment="1" applyFont="1">
      <alignment horizontal="center" vertical="center"/>
    </xf>
    <xf borderId="3" fillId="2" fontId="12" numFmtId="0" xfId="0" applyAlignment="1" applyBorder="1" applyFont="1">
      <alignment horizontal="center" vertical="center"/>
    </xf>
    <xf borderId="14" fillId="2" fontId="13" numFmtId="0" xfId="0" applyAlignment="1" applyBorder="1" applyFont="1">
      <alignment horizontal="center" vertical="center"/>
    </xf>
    <xf borderId="0" fillId="2" fontId="13" numFmtId="0" xfId="0" applyAlignment="1" applyFont="1">
      <alignment horizontal="center" vertical="center"/>
    </xf>
    <xf borderId="20" fillId="2" fontId="13" numFmtId="0" xfId="0" applyAlignment="1" applyBorder="1" applyFont="1">
      <alignment horizontal="center" vertical="center"/>
    </xf>
    <xf borderId="21" fillId="2" fontId="13" numFmtId="0" xfId="0" applyAlignment="1" applyBorder="1" applyFont="1">
      <alignment horizontal="center" vertical="center"/>
    </xf>
    <xf borderId="21" fillId="13" fontId="13" numFmtId="20" xfId="0" applyAlignment="1" applyBorder="1" applyFont="1" applyNumberFormat="1">
      <alignment horizontal="center" vertical="center"/>
    </xf>
    <xf borderId="38" fillId="2" fontId="13" numFmtId="0" xfId="0" applyAlignment="1" applyBorder="1" applyFont="1">
      <alignment horizontal="center" vertical="center"/>
    </xf>
    <xf borderId="14" fillId="2" fontId="14" numFmtId="0" xfId="0" applyAlignment="1" applyBorder="1" applyFont="1">
      <alignment horizontal="center" vertical="center"/>
    </xf>
    <xf borderId="12" fillId="2" fontId="9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16" fillId="2" fontId="1" numFmtId="49" xfId="0" applyAlignment="1" applyBorder="1" applyFont="1" applyNumberFormat="1">
      <alignment horizontal="center" vertical="center"/>
    </xf>
    <xf quotePrefix="1" borderId="24" fillId="13" fontId="1" numFmtId="49" xfId="0" applyAlignment="1" applyBorder="1" applyFont="1" applyNumberFormat="1">
      <alignment horizontal="center" vertical="center"/>
    </xf>
    <xf borderId="23" fillId="2" fontId="9" numFmtId="0" xfId="0" applyAlignment="1" applyBorder="1" applyFont="1">
      <alignment horizontal="center" vertical="center"/>
    </xf>
    <xf borderId="15" fillId="2" fontId="7" numFmtId="0" xfId="0" applyAlignment="1" applyBorder="1" applyFont="1">
      <alignment horizontal="center" vertical="center"/>
    </xf>
    <xf borderId="16" fillId="2" fontId="13" numFmtId="0" xfId="0" applyAlignment="1" applyBorder="1" applyFont="1">
      <alignment horizontal="center" vertical="center"/>
    </xf>
    <xf borderId="24" fillId="13" fontId="1" numFmtId="49" xfId="0" applyAlignment="1" applyBorder="1" applyFont="1" applyNumberFormat="1">
      <alignment horizontal="center" vertical="center"/>
    </xf>
    <xf borderId="28" fillId="2" fontId="13" numFmtId="0" xfId="0" applyAlignment="1" applyBorder="1" applyFont="1">
      <alignment horizontal="center" vertical="center"/>
    </xf>
    <xf borderId="19" fillId="2" fontId="14" numFmtId="0" xfId="0" applyAlignment="1" applyBorder="1" applyFont="1">
      <alignment horizontal="center" vertical="center"/>
    </xf>
    <xf borderId="0" fillId="2" fontId="17" numFmtId="0" xfId="0" applyAlignment="1" applyFont="1">
      <alignment horizontal="center" shrinkToFit="0" vertical="top" wrapText="1"/>
    </xf>
    <xf borderId="39" fillId="9" fontId="17" numFmtId="0" xfId="0" applyAlignment="1" applyBorder="1" applyFont="1">
      <alignment horizontal="center" shrinkToFit="0" vertical="center" wrapText="1"/>
    </xf>
    <xf borderId="40" fillId="9" fontId="17" numFmtId="0" xfId="0" applyAlignment="1" applyBorder="1" applyFont="1">
      <alignment horizontal="center" shrinkToFit="0" vertical="center" wrapText="1"/>
    </xf>
    <xf borderId="40" fillId="9" fontId="13" numFmtId="0" xfId="0" applyAlignment="1" applyBorder="1" applyFont="1">
      <alignment horizontal="center" shrinkToFit="0" vertical="center" wrapText="1"/>
    </xf>
    <xf borderId="41" fillId="9" fontId="13" numFmtId="0" xfId="0" applyAlignment="1" applyBorder="1" applyFont="1">
      <alignment horizontal="center" shrinkToFit="0" vertical="center" wrapText="1"/>
    </xf>
    <xf borderId="16" fillId="0" fontId="5" numFmtId="0" xfId="0" applyBorder="1" applyFont="1"/>
    <xf borderId="42" fillId="0" fontId="5" numFmtId="0" xfId="0" applyBorder="1" applyFont="1"/>
    <xf borderId="43" fillId="12" fontId="17" numFmtId="0" xfId="0" applyAlignment="1" applyBorder="1" applyFont="1">
      <alignment horizontal="center" shrinkToFit="0" vertical="center" wrapText="1"/>
    </xf>
    <xf borderId="25" fillId="12" fontId="17" numFmtId="166" xfId="0" applyAlignment="1" applyBorder="1" applyFont="1" applyNumberFormat="1">
      <alignment horizontal="center" shrinkToFit="0" vertical="center" wrapText="1"/>
    </xf>
    <xf borderId="25" fillId="12" fontId="1" numFmtId="0" xfId="0" applyAlignment="1" applyBorder="1" applyFont="1">
      <alignment horizontal="center" vertical="center"/>
    </xf>
    <xf borderId="44" fillId="12" fontId="17" numFmtId="0" xfId="0" applyAlignment="1" applyBorder="1" applyFont="1">
      <alignment horizontal="center" shrinkToFit="0" vertical="center" wrapText="1"/>
    </xf>
    <xf borderId="45" fillId="9" fontId="13" numFmtId="0" xfId="0" applyAlignment="1" applyBorder="1" applyFont="1">
      <alignment horizontal="center" shrinkToFit="0" vertical="center" wrapText="1"/>
    </xf>
    <xf borderId="27" fillId="9" fontId="17" numFmtId="0" xfId="0" applyAlignment="1" applyBorder="1" applyFont="1">
      <alignment horizontal="center" shrinkToFit="0" vertical="center" wrapText="1"/>
    </xf>
    <xf borderId="27" fillId="9" fontId="13" numFmtId="0" xfId="0" applyAlignment="1" applyBorder="1" applyFont="1">
      <alignment horizontal="center" shrinkToFit="0" vertical="center" wrapText="1"/>
    </xf>
    <xf borderId="46" fillId="9" fontId="17" numFmtId="0" xfId="0" applyAlignment="1" applyBorder="1" applyFont="1">
      <alignment horizontal="center" shrinkToFit="0" vertical="center" wrapText="1"/>
    </xf>
    <xf borderId="43" fillId="14" fontId="17" numFmtId="0" xfId="0" applyAlignment="1" applyBorder="1" applyFont="1">
      <alignment horizontal="center" shrinkToFit="0" vertical="center" wrapText="1"/>
    </xf>
    <xf borderId="44" fillId="19" fontId="1" numFmtId="0" xfId="0" applyAlignment="1" applyBorder="1" applyFill="1" applyFont="1">
      <alignment horizontal="center" vertical="center"/>
    </xf>
    <xf borderId="47" fillId="9" fontId="13" numFmtId="0" xfId="0" applyAlignment="1" applyBorder="1" applyFont="1">
      <alignment horizontal="center" shrinkToFit="0" vertical="center" wrapText="1"/>
    </xf>
    <xf borderId="48" fillId="0" fontId="5" numFmtId="0" xfId="0" applyBorder="1" applyFont="1"/>
    <xf borderId="49" fillId="19" fontId="1" numFmtId="0" xfId="0" applyAlignment="1" applyBorder="1" applyFont="1">
      <alignment horizontal="center" vertical="center"/>
    </xf>
    <xf borderId="25" fillId="12" fontId="1" numFmtId="10" xfId="0" applyAlignment="1" applyBorder="1" applyFont="1" applyNumberFormat="1">
      <alignment horizontal="center" vertical="center"/>
    </xf>
    <xf borderId="44" fillId="12" fontId="1" numFmtId="0" xfId="0" applyAlignment="1" applyBorder="1" applyFont="1">
      <alignment horizontal="center" vertical="center"/>
    </xf>
    <xf borderId="18" fillId="16" fontId="17" numFmtId="0" xfId="0" applyAlignment="1" applyBorder="1" applyFont="1">
      <alignment horizontal="center" shrinkToFit="0" vertical="center" wrapText="1"/>
    </xf>
    <xf borderId="28" fillId="2" fontId="1" numFmtId="49" xfId="0" applyAlignment="1" applyBorder="1" applyFont="1" applyNumberFormat="1">
      <alignment horizontal="center" vertical="center"/>
    </xf>
    <xf borderId="15" fillId="13" fontId="1" numFmtId="49" xfId="0" applyAlignment="1" applyBorder="1" applyFont="1" applyNumberFormat="1">
      <alignment horizontal="center" vertical="center"/>
    </xf>
    <xf borderId="29" fillId="12" fontId="1" numFmtId="10" xfId="0" applyAlignment="1" applyBorder="1" applyFont="1" applyNumberFormat="1">
      <alignment horizontal="center" vertical="center"/>
    </xf>
    <xf borderId="50" fillId="12" fontId="1" numFmtId="10" xfId="0" applyAlignment="1" applyBorder="1" applyFont="1" applyNumberFormat="1">
      <alignment horizontal="center" vertical="center"/>
    </xf>
    <xf borderId="0" fillId="0" fontId="1" numFmtId="0" xfId="0" applyFont="1"/>
    <xf borderId="0" fillId="0" fontId="1" numFmtId="11" xfId="0" applyFont="1" applyNumberFormat="1"/>
    <xf borderId="0" fillId="0" fontId="1" numFmtId="14" xfId="0" applyFont="1" applyNumberFormat="1"/>
    <xf quotePrefix="1" borderId="0" fillId="0" fontId="1" numFmtId="0" xfId="0" applyFont="1"/>
    <xf borderId="0" fillId="0" fontId="1" numFmtId="0" xfId="0" applyAlignment="1" applyFont="1">
      <alignment vertical="bottom"/>
    </xf>
    <xf borderId="0" fillId="20" fontId="1" numFmtId="0" xfId="0" applyAlignment="1" applyFill="1" applyFont="1">
      <alignment vertical="bottom"/>
    </xf>
    <xf borderId="0" fillId="20" fontId="1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15" fontId="1" numFmtId="0" xfId="0" applyAlignment="1" applyFont="1">
      <alignment vertical="bottom"/>
    </xf>
    <xf borderId="0" fillId="2" fontId="15" numFmtId="0" xfId="0" applyAlignment="1" applyFont="1">
      <alignment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771525</xdr:colOff>
      <xdr:row>16</xdr:row>
      <xdr:rowOff>209550</xdr:rowOff>
    </xdr:from>
    <xdr:ext cx="1552575" cy="1047750"/>
    <xdr:sp>
      <xdr:nvSpPr>
        <xdr:cNvPr id="3" name="Shape 3"/>
        <xdr:cNvSpPr/>
      </xdr:nvSpPr>
      <xdr:spPr>
        <a:xfrm>
          <a:off x="4588763" y="3275175"/>
          <a:ext cx="1514475" cy="100965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8</xdr:col>
      <xdr:colOff>942975</xdr:colOff>
      <xdr:row>16</xdr:row>
      <xdr:rowOff>161925</xdr:rowOff>
    </xdr:from>
    <xdr:ext cx="1276350" cy="1143000"/>
    <xdr:sp>
      <xdr:nvSpPr>
        <xdr:cNvPr id="4" name="Shape 4"/>
        <xdr:cNvSpPr/>
      </xdr:nvSpPr>
      <xdr:spPr>
        <a:xfrm>
          <a:off x="4712588" y="3213263"/>
          <a:ext cx="1266825" cy="1133475"/>
        </a:xfrm>
        <a:prstGeom prst="smileyFace">
          <a:avLst>
            <a:gd fmla="val 4653" name="adj"/>
          </a:avLst>
        </a:prstGeom>
        <a:solidFill>
          <a:srgbClr val="FFD96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495300</xdr:colOff>
      <xdr:row>1</xdr:row>
      <xdr:rowOff>209550</xdr:rowOff>
    </xdr:from>
    <xdr:ext cx="1438275" cy="485775"/>
    <xdr:sp>
      <xdr:nvSpPr>
        <xdr:cNvPr id="5" name="Shape 5"/>
        <xdr:cNvSpPr/>
      </xdr:nvSpPr>
      <xdr:spPr>
        <a:xfrm>
          <a:off x="4631625" y="3541875"/>
          <a:ext cx="1428750" cy="476250"/>
        </a:xfrm>
        <a:prstGeom prst="rect">
          <a:avLst/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500"/>
            <a:buFont typeface="Arial"/>
            <a:buNone/>
          </a:pPr>
          <a:r>
            <a:rPr b="1" lang="en-US" sz="1500"/>
            <a:t>Nahraj z databaze</a:t>
          </a:r>
          <a:endParaRPr b="1" sz="15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90600" cy="676275"/>
    <xdr:sp>
      <xdr:nvSpPr>
        <xdr:cNvPr id="6" name="Shape 6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0.25"/>
    <col customWidth="1" min="2" max="2" width="16.75"/>
    <col customWidth="1" min="3" max="3" width="15.13"/>
    <col customWidth="1" min="4" max="6" width="12.63"/>
    <col customWidth="1" min="11" max="11" width="11.63"/>
    <col customWidth="1" min="12" max="12" width="17.88"/>
  </cols>
  <sheetData>
    <row r="1" ht="15.75" customHeight="1">
      <c r="A1" s="1"/>
      <c r="B1" s="2" t="s">
        <v>0</v>
      </c>
      <c r="C1" s="3" t="s">
        <v>1</v>
      </c>
      <c r="D1" s="4">
        <v>46093.0</v>
      </c>
      <c r="E1" s="5"/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</row>
    <row r="2" ht="19.5" customHeight="1">
      <c r="A2" s="1"/>
      <c r="B2" s="11"/>
      <c r="C2" s="11"/>
      <c r="D2" s="12"/>
      <c r="E2" s="13"/>
      <c r="F2" s="14">
        <f>IFERROR(__xludf.DUMMYFUNCTION("IF(I2&gt;0, 100 / (I2 / 112 * 100 / ((SUM(A12:A21, A25:A31) + (M17 + I32) + IFERROR(SUM(FILTER(HR!W5:W48, LEN(HR!A5:A48) &gt; 0)), 0)) / 100)), ""Zadej tržbu"")"),0.008812305755537196)</f>
        <v>0.008812305756</v>
      </c>
      <c r="H2" s="15"/>
      <c r="I2" s="16">
        <f>SUM(RestiaCSV!C:C) - SUMIFS(RestiaCSV!C:C, RestiaCSV!B:B, "canceled")</f>
        <v>25419</v>
      </c>
      <c r="K2" s="15"/>
      <c r="L2" s="17" t="s">
        <v>5</v>
      </c>
      <c r="M2" s="18">
        <f>SUMIFS(RestiaCSV!C:C, RestiaCSV!A:A, Report!L2, RestiaCSV!B:B, "&lt;&gt;canceled")</f>
        <v>11538</v>
      </c>
    </row>
    <row r="3" ht="15.75" customHeight="1">
      <c r="A3" s="1"/>
      <c r="B3" s="19" t="str">
        <f>CHOOSE(WEEKDAY(D1), "Neděle", "Pondělí", "Úterý", "Středa", "Čtvrtek", "Pátek", "Sobota")</f>
        <v>Čtvrtek</v>
      </c>
      <c r="C3" s="20"/>
      <c r="D3" s="20"/>
      <c r="E3" s="5"/>
      <c r="H3" s="15"/>
      <c r="K3" s="15"/>
      <c r="L3" s="17" t="s">
        <v>6</v>
      </c>
      <c r="M3" s="18">
        <f>SUMIFS(RestiaCSV!C:C, RestiaCSV!A:A, Report!L3, RestiaCSV!B:B, "&lt;&gt;canceled")</f>
        <v>3460</v>
      </c>
    </row>
    <row r="4" ht="15.75" customHeight="1">
      <c r="A4" s="1"/>
      <c r="B4" s="12"/>
      <c r="C4" s="21"/>
      <c r="D4" s="21"/>
      <c r="E4" s="13"/>
      <c r="F4" s="21"/>
      <c r="G4" s="21"/>
      <c r="H4" s="13"/>
      <c r="I4" s="21"/>
      <c r="J4" s="21"/>
      <c r="K4" s="13"/>
      <c r="L4" s="17" t="s">
        <v>7</v>
      </c>
      <c r="M4" s="18">
        <f>SUMIFS(RestiaCSV!C:C, RestiaCSV!A:A, "damejidlo", RestiaCSV!G:G, "online", RestiaCSV!B:B, "&lt;&gt;canceled")</f>
        <v>6740</v>
      </c>
    </row>
    <row r="5" ht="15.75" customHeight="1">
      <c r="A5" s="1"/>
      <c r="B5" s="22" t="s">
        <v>8</v>
      </c>
      <c r="C5" s="20"/>
      <c r="D5" s="20"/>
      <c r="E5" s="20"/>
      <c r="F5" s="20"/>
      <c r="G5" s="20"/>
      <c r="H5" s="20"/>
      <c r="I5" s="20"/>
      <c r="J5" s="20"/>
      <c r="K5" s="5"/>
      <c r="L5" s="23" t="s">
        <v>9</v>
      </c>
      <c r="M5" s="18">
        <f>SUMIFS(RestiaCSV!C:C, RestiaCSV!A:A, "generic", RestiaCSV!G:G, "online", RestiaCSV!B:B, "&lt;&gt;canceled") </f>
        <v>1957</v>
      </c>
    </row>
    <row r="6" ht="15.75" customHeight="1">
      <c r="A6" s="1"/>
      <c r="B6" s="12"/>
      <c r="C6" s="21"/>
      <c r="D6" s="21"/>
      <c r="E6" s="21"/>
      <c r="F6" s="21"/>
      <c r="G6" s="21"/>
      <c r="H6" s="21"/>
      <c r="I6" s="21"/>
      <c r="J6" s="21"/>
      <c r="K6" s="13"/>
      <c r="L6" s="23" t="s">
        <v>10</v>
      </c>
      <c r="M6" s="18">
        <f>SUMIFS(RestiaCSV!C:C, RestiaCSV!E:E, "wolt kurýr", RestiaCSV!A:A, "&lt;&gt;wolt", RestiaCSV!G:G, "cash", RestiaCSV!B:B, "&lt;&gt;canceled")</f>
        <v>0</v>
      </c>
    </row>
    <row r="7" ht="15.75" customHeight="1">
      <c r="A7" s="1"/>
      <c r="B7" s="24"/>
      <c r="C7" s="20"/>
      <c r="D7" s="20"/>
      <c r="E7" s="5"/>
      <c r="F7" s="25"/>
      <c r="J7" s="26"/>
      <c r="K7" s="5"/>
      <c r="L7" s="27" t="s">
        <v>11</v>
      </c>
      <c r="M7" s="28">
        <f>SUMIFS(RestiaCSV!C:C, RestiaCSV!A:A, "damejidlo", RestiaCSV!G:G, "cash", RestiaCSV!B:B, "&lt;&gt;canceled") </f>
        <v>0</v>
      </c>
    </row>
    <row r="8" ht="15.75" customHeight="1">
      <c r="A8" s="1"/>
      <c r="B8" s="29"/>
      <c r="E8" s="15"/>
      <c r="J8" s="29"/>
      <c r="K8" s="15"/>
      <c r="L8" s="30" t="s">
        <v>12</v>
      </c>
      <c r="M8" s="8"/>
    </row>
    <row r="9" ht="15.75" customHeight="1">
      <c r="A9" s="1"/>
      <c r="B9" s="12"/>
      <c r="C9" s="21"/>
      <c r="D9" s="21"/>
      <c r="E9" s="13"/>
      <c r="F9" s="21"/>
      <c r="G9" s="21"/>
      <c r="H9" s="21"/>
      <c r="I9" s="21"/>
      <c r="J9" s="12"/>
      <c r="K9" s="13"/>
      <c r="L9" s="17" t="s">
        <v>13</v>
      </c>
      <c r="M9" s="31">
        <v>676.0</v>
      </c>
    </row>
    <row r="10" ht="15.75" customHeight="1">
      <c r="A10" s="1"/>
      <c r="B10" s="32" t="s">
        <v>14</v>
      </c>
      <c r="F10" s="15"/>
      <c r="G10" s="33" t="s">
        <v>15</v>
      </c>
      <c r="H10" s="21"/>
      <c r="I10" s="13"/>
      <c r="J10" s="34" t="s">
        <v>16</v>
      </c>
      <c r="K10" s="13"/>
      <c r="L10" s="17" t="s">
        <v>17</v>
      </c>
      <c r="M10" s="31"/>
    </row>
    <row r="11" ht="15.75" customHeight="1">
      <c r="A11" s="35"/>
      <c r="B11" s="36" t="s">
        <v>18</v>
      </c>
      <c r="C11" s="37" t="s">
        <v>19</v>
      </c>
      <c r="D11" s="37" t="s">
        <v>20</v>
      </c>
      <c r="E11" s="37" t="s">
        <v>21</v>
      </c>
      <c r="F11" s="38" t="s">
        <v>22</v>
      </c>
      <c r="G11" s="39" t="s">
        <v>23</v>
      </c>
      <c r="I11" s="15"/>
      <c r="J11" s="40">
        <f>M2+M3+M4+M5+M6+M13+M14+M15+M16+M17+M9+M10+M11-I2</f>
        <v>2</v>
      </c>
      <c r="K11" s="5"/>
      <c r="L11" s="41" t="s">
        <v>12</v>
      </c>
      <c r="M11" s="31">
        <v>447.0</v>
      </c>
    </row>
    <row r="12" ht="15.75" customHeight="1">
      <c r="A12" s="42">
        <f t="array" ref="A12">IF(ISBLANK(B12), 0, IF(ISNUMBER(MATCH(B12, HR!A:A, 0)), 0, IF(ISNUMBER(MATCH(B12, HR!B:B, 0)), INDEX(HR!V:V, MATCH(B12, HR!B:B, 0)) * (F12 * 24), 0)))</f>
        <v>0</v>
      </c>
      <c r="B12" s="43" t="s">
        <v>23</v>
      </c>
      <c r="C12" s="44" t="s">
        <v>24</v>
      </c>
      <c r="D12" s="44" t="s">
        <v>25</v>
      </c>
      <c r="E12" s="45"/>
      <c r="F12" s="46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08:00</v>
      </c>
      <c r="I12" s="15"/>
      <c r="J12" s="29"/>
      <c r="K12" s="15"/>
      <c r="L12" s="47" t="s">
        <v>26</v>
      </c>
      <c r="M12" s="13"/>
    </row>
    <row r="13" ht="15.75" customHeight="1">
      <c r="A13" s="42">
        <f t="array" ref="A13">IF(ISBLANK(B13), 0, IF(ISNUMBER(MATCH(B13, HR!A:A, 0)), 0, IF(ISNUMBER(MATCH(B13, HR!B:B, 0)), INDEX(HR!V:V, MATCH(B13, HR!B:B, 0)) * (F13 * 24), 0)))</f>
        <v>0</v>
      </c>
      <c r="B13" s="48" t="s">
        <v>27</v>
      </c>
      <c r="C13" s="44" t="s">
        <v>25</v>
      </c>
      <c r="D13" s="44" t="s">
        <v>28</v>
      </c>
      <c r="E13" s="45"/>
      <c r="F13" s="46" t="str">
        <f t="shared" si="1"/>
        <v>07:00</v>
      </c>
      <c r="G13" s="21"/>
      <c r="H13" s="21"/>
      <c r="I13" s="13"/>
      <c r="J13" s="29"/>
      <c r="K13" s="15"/>
      <c r="L13" s="17" t="s">
        <v>29</v>
      </c>
      <c r="M13" s="49"/>
    </row>
    <row r="14" ht="15.75" customHeight="1">
      <c r="A14" s="42">
        <f t="array" ref="A14">IF(ISBLANK(B14), 0, IF(ISNUMBER(MATCH(B14, HR!A:A, 0)), 0, IF(ISNUMBER(MATCH(B14, HR!B:B, 0)), INDEX(HR!V:V, MATCH(B14, HR!B:B, 0)) * (F14 * 24), 0)))</f>
        <v>0</v>
      </c>
      <c r="B14" s="50" t="s">
        <v>30</v>
      </c>
      <c r="C14" s="44" t="s">
        <v>31</v>
      </c>
      <c r="D14" s="44" t="s">
        <v>32</v>
      </c>
      <c r="E14" s="45"/>
      <c r="F14" s="51" t="str">
        <f t="shared" si="1"/>
        <v>04:00</v>
      </c>
      <c r="G14" s="52"/>
      <c r="I14" s="15"/>
      <c r="J14" s="29"/>
      <c r="K14" s="15"/>
      <c r="L14" s="53" t="s">
        <v>33</v>
      </c>
      <c r="M14" s="49"/>
    </row>
    <row r="15" ht="15.75" customHeight="1">
      <c r="A15" s="42">
        <f t="array" ref="A15">IF(ISBLANK(B15), 0, IF(ISNUMBER(MATCH(B15, HR!A:A, 0)), 0, IF(ISNUMBER(MATCH(B15, HR!B:B, 0)), INDEX(HR!V:V, MATCH(B15, HR!B:B, 0)) * (F15 * 24), 0)))</f>
        <v>0</v>
      </c>
      <c r="B15" s="54"/>
      <c r="C15" s="44"/>
      <c r="D15" s="44"/>
      <c r="E15" s="55"/>
      <c r="F15" s="51" t="str">
        <f t="shared" si="1"/>
        <v>0:00</v>
      </c>
      <c r="I15" s="15"/>
      <c r="J15" s="29"/>
      <c r="K15" s="15"/>
      <c r="L15" s="53" t="s">
        <v>34</v>
      </c>
      <c r="M15" s="49"/>
    </row>
    <row r="16" ht="15.75" customHeight="1">
      <c r="A16" s="42">
        <f t="array" ref="A16">IF(ISBLANK(B16), 0, IF(ISNUMBER(MATCH(B16, HR!A:A, 0)), 0, IF(ISNUMBER(MATCH(B16, HR!B:B, 0)), INDEX(HR!V:V, MATCH(B16, HR!B:B, 0)) * (F16 * 24), 0)))</f>
        <v>0</v>
      </c>
      <c r="B16" s="43"/>
      <c r="C16" s="44"/>
      <c r="D16" s="44"/>
      <c r="E16" s="55"/>
      <c r="F16" s="51" t="str">
        <f t="shared" si="1"/>
        <v>0:00</v>
      </c>
      <c r="I16" s="15"/>
      <c r="J16" s="29"/>
      <c r="K16" s="15"/>
      <c r="L16" s="53" t="s">
        <v>35</v>
      </c>
      <c r="M16" s="49">
        <v>403.0</v>
      </c>
    </row>
    <row r="17" ht="15.75" customHeight="1">
      <c r="A17" s="42">
        <f t="array" ref="A17">IF(ISBLANK(B17), 0, IF(ISNUMBER(MATCH(B17, HR!A:A, 0)), 0, IF(ISNUMBER(MATCH(B17, HR!B:B, 0)), INDEX(HR!V:V, MATCH(B17, HR!B:B, 0)) * (F17 * 24), 0)))</f>
        <v>0</v>
      </c>
      <c r="B17" s="43"/>
      <c r="C17" s="44"/>
      <c r="D17" s="44"/>
      <c r="E17" s="45"/>
      <c r="F17" s="51" t="str">
        <f t="shared" si="1"/>
        <v>0:00</v>
      </c>
      <c r="G17" s="21"/>
      <c r="H17" s="21"/>
      <c r="I17" s="13"/>
      <c r="J17" s="12"/>
      <c r="K17" s="13"/>
      <c r="L17" s="56" t="s">
        <v>36</v>
      </c>
      <c r="M17" s="57">
        <f>SUM(I25:I31)</f>
        <v>200</v>
      </c>
    </row>
    <row r="18" ht="21.75" customHeight="1">
      <c r="A18" s="42">
        <f t="array" ref="A18">IF(ISBLANK(B18), 0, IF(ISNUMBER(MATCH(B18, HR!A:A, 0)), 0, IF(ISNUMBER(MATCH(B18, HR!B:B, 0)), INDEX(HR!V:V, MATCH(B18, HR!B:B, 0)) * (F18 * 24), 0)))</f>
        <v>0</v>
      </c>
      <c r="B18" s="43"/>
      <c r="C18" s="44"/>
      <c r="D18" s="44"/>
      <c r="E18" s="55"/>
      <c r="F18" s="51" t="str">
        <f t="shared" si="1"/>
        <v>0:00</v>
      </c>
      <c r="G18" s="33" t="s">
        <v>37</v>
      </c>
      <c r="H18" s="21"/>
      <c r="I18" s="13"/>
      <c r="J18" s="58"/>
      <c r="M18" s="59"/>
    </row>
    <row r="19" ht="15.75" customHeight="1">
      <c r="A19" s="42">
        <f t="array" ref="A19">IF(ISBLANK(B19), 0, IF(ISNUMBER(MATCH(B19, HR!A:A, 0)), 0, IF(ISNUMBER(MATCH(B19, HR!B:B, 0)), INDEX(HR!V:V, MATCH(B19, HR!B:B, 0)) * (F19 * 24), 0)))</f>
        <v>0</v>
      </c>
      <c r="B19" s="43"/>
      <c r="C19" s="44"/>
      <c r="D19" s="44"/>
      <c r="E19" s="55"/>
      <c r="F19" s="51" t="str">
        <f t="shared" si="1"/>
        <v>0:00</v>
      </c>
      <c r="G19" s="39" t="s">
        <v>27</v>
      </c>
      <c r="I19" s="15"/>
      <c r="M19" s="59"/>
    </row>
    <row r="20" ht="15.75" customHeight="1">
      <c r="A20" s="42">
        <f t="array" ref="A20">IF(ISBLANK(B20), 0, IF(ISNUMBER(MATCH(B20, HR!A:A, 0)), 0, IF(ISNUMBER(MATCH(B20, HR!B:B, 0)), INDEX(HR!V:V, MATCH(B20, HR!B:B, 0)) * (F20 * 24), 0)))</f>
        <v>0</v>
      </c>
      <c r="B20" s="43"/>
      <c r="C20" s="60"/>
      <c r="D20" s="60"/>
      <c r="E20" s="55"/>
      <c r="F20" s="61" t="str">
        <f t="shared" si="1"/>
        <v>0:00</v>
      </c>
      <c r="I20" s="15"/>
      <c r="M20" s="59"/>
    </row>
    <row r="21" ht="23.25" customHeight="1">
      <c r="A21" s="42">
        <f t="array" ref="A21">IF(ISBLANK(B21), 0, IF(ISNUMBER(MATCH(B21, HR!A:A, 0)), 0, IF(ISNUMBER(MATCH(B21, HR!B:B, 0)), INDEX(HR!V:V, MATCH(B21, HR!B:B, 0)) * (F21 * 24), 0)))</f>
        <v>0</v>
      </c>
      <c r="B21" s="62"/>
      <c r="C21" s="63"/>
      <c r="D21" s="63"/>
      <c r="E21" s="64"/>
      <c r="F21" s="65" t="str">
        <f t="shared" si="1"/>
        <v>0:00</v>
      </c>
      <c r="G21" s="21"/>
      <c r="H21" s="21"/>
      <c r="I21" s="13"/>
      <c r="M21" s="59"/>
    </row>
    <row r="22" ht="42.0" customHeight="1">
      <c r="A22" s="66"/>
      <c r="B22" s="67"/>
      <c r="C22" s="21"/>
      <c r="D22" s="21"/>
      <c r="E22" s="21"/>
      <c r="F22" s="21"/>
      <c r="G22" s="21"/>
      <c r="H22" s="21"/>
      <c r="I22" s="13"/>
      <c r="J22" s="68" t="s">
        <v>38</v>
      </c>
      <c r="K22" s="68" t="s">
        <v>39</v>
      </c>
      <c r="L22" s="69" t="s">
        <v>40</v>
      </c>
      <c r="M22" s="69" t="s">
        <v>41</v>
      </c>
    </row>
    <row r="23" ht="15.75" customHeight="1">
      <c r="A23" s="66"/>
      <c r="B23" s="32" t="s">
        <v>42</v>
      </c>
      <c r="I23" s="15"/>
      <c r="J23" s="70">
        <f>COUNTIF(RestiaCSV!B:B, "canceled")</f>
        <v>0</v>
      </c>
      <c r="K23" s="71">
        <f>SUMIF(RestiaCSV!B:B, "canceled", RestiaCSV!C:C)</f>
        <v>0</v>
      </c>
      <c r="L23" s="72">
        <f>COUNTIFS(RestiaCSV!L:L, "&gt;5", RestiaCSV!F:F, "delivery")</f>
        <v>1</v>
      </c>
      <c r="M23" s="70" t="str">
        <f>INT(AVERAGE(RestiaCSV!N2:N32)) &amp; " min " &amp; TEXT(MOD(AVERAGE(RestiaCSV!N2:N32) * 60, 60), "00") &amp; " s"
</f>
        <v>10 min 42 s</v>
      </c>
    </row>
    <row r="24" ht="21.75" customHeight="1">
      <c r="A24" s="66"/>
      <c r="B24" s="36" t="s">
        <v>18</v>
      </c>
      <c r="C24" s="37" t="s">
        <v>19</v>
      </c>
      <c r="D24" s="37" t="s">
        <v>20</v>
      </c>
      <c r="E24" s="37" t="s">
        <v>21</v>
      </c>
      <c r="F24" s="73" t="s">
        <v>22</v>
      </c>
      <c r="G24" s="73" t="s">
        <v>43</v>
      </c>
      <c r="H24" s="73" t="s">
        <v>44</v>
      </c>
      <c r="I24" s="74" t="s">
        <v>45</v>
      </c>
      <c r="J24" s="75" t="s">
        <v>46</v>
      </c>
      <c r="K24" s="76" t="s">
        <v>47</v>
      </c>
      <c r="L24" s="75" t="s">
        <v>48</v>
      </c>
      <c r="M24" s="76" t="s">
        <v>49</v>
      </c>
    </row>
    <row r="25" ht="15.75" customHeight="1">
      <c r="A25" s="42">
        <f t="array" ref="A25">IF(ISBLANK(B25), 0, IF(ISNUMBER(MATCH(B25, HR!A:A, 0)), 0, IF(ISNUMBER(MATCH(B25, HR!B:B, 0)), INDEX(HR!V:V, MATCH(B25, HR!B:B, 0)) * (F25 * 24), 0)))</f>
        <v>0</v>
      </c>
      <c r="B25" s="50" t="s">
        <v>50</v>
      </c>
      <c r="C25" s="44" t="s">
        <v>51</v>
      </c>
      <c r="D25" s="44" t="s">
        <v>31</v>
      </c>
      <c r="E25" s="77"/>
      <c r="F25" s="46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06:00</v>
      </c>
      <c r="G25" s="78">
        <f>COUNTIF(RestiaCSV!E:E, B25)</f>
        <v>0</v>
      </c>
      <c r="H25" s="79"/>
      <c r="I25" s="80">
        <f t="shared" ref="I25:I31" si="3">IF(H25,G25*40, 0)</f>
        <v>0</v>
      </c>
      <c r="J25" s="81"/>
      <c r="K25" s="81"/>
      <c r="L25" s="81"/>
      <c r="M25" s="81"/>
    </row>
    <row r="26" ht="15.75" customHeight="1">
      <c r="A26" s="42">
        <f t="array" ref="A26">IF(ISBLANK(B26), 0, IF(ISNUMBER(MATCH(B26, HR!A:A, 0)), 0, IF(ISNUMBER(MATCH(B26, HR!B:B, 0)), INDEX(HR!V:V, MATCH(B26, HR!B:B, 0)) * (F26 * 24), 0)))</f>
        <v>0</v>
      </c>
      <c r="B26" s="54" t="s">
        <v>52</v>
      </c>
      <c r="C26" s="44" t="s">
        <v>51</v>
      </c>
      <c r="D26" s="44" t="s">
        <v>28</v>
      </c>
      <c r="E26" s="82"/>
      <c r="F26" s="46" t="str">
        <f t="shared" si="2"/>
        <v>14:00</v>
      </c>
      <c r="G26" s="78">
        <f>COUNTIF(RestiaCSV!E:E, B26)</f>
        <v>5</v>
      </c>
      <c r="H26" s="79" t="b">
        <v>1</v>
      </c>
      <c r="I26" s="83">
        <f t="shared" si="3"/>
        <v>200</v>
      </c>
      <c r="J26" s="84">
        <f>COUNTIF(I25:I31, "&gt;0")</f>
        <v>1</v>
      </c>
      <c r="K26" s="72">
        <f>IFERROR(__xludf.DUMMYFUNCTION("COUNTA(FILTER(RestiaCSV!B2:B32, RestiaCSV!B2:B32 &lt;&gt; ""canceled""))"),31.0)</f>
        <v>31</v>
      </c>
      <c r="L26" s="72">
        <f>COUNTIF(RestiaCSV!F1:F32, "delivery")</f>
        <v>1</v>
      </c>
      <c r="M26" s="85">
        <f>COUNTIF(RestiaCSV!M:M, "&gt;5")</f>
        <v>0</v>
      </c>
    </row>
    <row r="27" ht="22.5" customHeight="1">
      <c r="A27" s="42">
        <f t="array" ref="A27">IF(ISBLANK(B27), 0, IF(ISNUMBER(MATCH(B27, HR!A:A, 0)), 0, IF(ISNUMBER(MATCH(B27, HR!B:B, 0)), INDEX(HR!V:V, MATCH(B27, HR!B:B, 0)) * (F27 * 24), 0)))</f>
        <v>0</v>
      </c>
      <c r="B27" s="50"/>
      <c r="C27" s="86"/>
      <c r="D27" s="77"/>
      <c r="E27" s="82"/>
      <c r="F27" s="51" t="str">
        <f t="shared" si="2"/>
        <v>0:00</v>
      </c>
      <c r="G27" s="78">
        <f>COUNTIF(RestiaCSV!E:E, B27)</f>
        <v>0</v>
      </c>
      <c r="H27" s="79"/>
      <c r="I27" s="83">
        <f t="shared" si="3"/>
        <v>0</v>
      </c>
      <c r="J27" s="87" t="s">
        <v>53</v>
      </c>
      <c r="K27" s="88"/>
      <c r="L27" s="89" t="s">
        <v>54</v>
      </c>
      <c r="M27" s="76" t="s">
        <v>55</v>
      </c>
    </row>
    <row r="28" ht="15.75" customHeight="1">
      <c r="A28" s="42">
        <f t="array" ref="A28">IF(ISBLANK(B28), 0, IF(ISNUMBER(MATCH(B28, HR!A:A, 0)), 0, IF(ISNUMBER(MATCH(B28, HR!B:B, 0)), INDEX(HR!V:V, MATCH(B28, HR!B:B, 0)) * (F28 * 24), 0)))</f>
        <v>0</v>
      </c>
      <c r="B28" s="43"/>
      <c r="C28" s="86"/>
      <c r="D28" s="77"/>
      <c r="E28" s="82"/>
      <c r="F28" s="51" t="str">
        <f t="shared" si="2"/>
        <v>0:00</v>
      </c>
      <c r="G28" s="78">
        <f>COUNTIF(RestiaCSV!E:E, B28)</f>
        <v>0</v>
      </c>
      <c r="H28" s="79"/>
      <c r="I28" s="83">
        <f t="shared" si="3"/>
        <v>0</v>
      </c>
      <c r="J28" s="90"/>
      <c r="K28" s="91"/>
      <c r="L28" s="81"/>
      <c r="M28" s="81"/>
    </row>
    <row r="29" ht="15.75" customHeight="1">
      <c r="A29" s="42">
        <f t="array" ref="A29">IF(ISBLANK(B29), 0, IF(ISNUMBER(MATCH(B29, HR!A:A, 0)), 0, IF(ISNUMBER(MATCH(B29, HR!B:B, 0)), INDEX(HR!V:V, MATCH(B29, HR!B:B, 0)) * (F29 * 24), 0)))</f>
        <v>0</v>
      </c>
      <c r="B29" s="43"/>
      <c r="C29" s="86"/>
      <c r="D29" s="77"/>
      <c r="E29" s="82"/>
      <c r="F29" s="51" t="str">
        <f t="shared" si="2"/>
        <v>0:00</v>
      </c>
      <c r="G29" s="78">
        <f>COUNTIF(RestiaCSV!E:E, B29)</f>
        <v>0</v>
      </c>
      <c r="H29" s="92"/>
      <c r="I29" s="83">
        <f t="shared" si="3"/>
        <v>0</v>
      </c>
      <c r="J29" s="93">
        <f>COUNTIFS(RestiaCSV!M:M, "&gt;5", RestiaCSV!L:L, "&gt;5")</f>
        <v>0</v>
      </c>
      <c r="K29" s="94"/>
      <c r="L29" s="95">
        <f>L23/L26</f>
        <v>1</v>
      </c>
      <c r="M29" s="72">
        <f>COUNTIFS(RestiaCSV!L:L, "&gt;5", RestiaCSV!F:F, "delivery", RestiaCSV!E:E, "Wolt Kurýr")</f>
        <v>0</v>
      </c>
    </row>
    <row r="30" ht="15.75" customHeight="1">
      <c r="A30" s="42">
        <f t="array" ref="A30">IF(ISBLANK(B30), 0, IF(ISNUMBER(MATCH(B30, HR!A:A, 0)), 0, IF(ISNUMBER(MATCH(B30, HR!B:B, 0)), INDEX(HR!V:V, MATCH(B30, HR!B:B, 0)) * (F30 * 24), 0)))</f>
        <v>0</v>
      </c>
      <c r="B30" s="43"/>
      <c r="C30" s="86"/>
      <c r="D30" s="77"/>
      <c r="E30" s="82"/>
      <c r="F30" s="51" t="str">
        <f t="shared" si="2"/>
        <v>0:00</v>
      </c>
      <c r="G30" s="78">
        <f>COUNTIF(RestiaCSV!E:E, B30)</f>
        <v>0</v>
      </c>
      <c r="H30" s="92"/>
      <c r="I30" s="83">
        <f t="shared" si="3"/>
        <v>0</v>
      </c>
      <c r="J30" s="96"/>
      <c r="K30" s="96"/>
      <c r="L30" s="97" t="s">
        <v>56</v>
      </c>
      <c r="M30" s="97" t="s">
        <v>57</v>
      </c>
    </row>
    <row r="31" ht="21.75" customHeight="1">
      <c r="A31" s="42">
        <f t="array" ref="A31">IF(ISBLANK(B31), 0, IF(ISNUMBER(MATCH(B31, HR!A:A, 0)), 0, IF(ISNUMBER(MATCH(B31, HR!B:B, 0)), INDEX(HR!V:V, MATCH(B31, HR!B:B, 0)) * (F31 * 24), 0)))</f>
        <v>0</v>
      </c>
      <c r="B31" s="98"/>
      <c r="C31" s="86"/>
      <c r="D31" s="77"/>
      <c r="E31" s="82"/>
      <c r="F31" s="51" t="str">
        <f t="shared" si="2"/>
        <v>0:00</v>
      </c>
      <c r="G31" s="99">
        <f>COUNTIF(RestiaCSV!E:E, B31)</f>
        <v>0</v>
      </c>
      <c r="H31" s="79"/>
      <c r="I31" s="100">
        <f t="shared" si="3"/>
        <v>0</v>
      </c>
      <c r="J31" s="101"/>
      <c r="K31" s="101"/>
      <c r="L31" s="81"/>
      <c r="M31" s="81"/>
    </row>
    <row r="32" ht="15.75" customHeight="1">
      <c r="A32" s="35"/>
      <c r="B32" s="102" t="s">
        <v>58</v>
      </c>
      <c r="C32" s="103" t="s">
        <v>59</v>
      </c>
      <c r="D32" s="21"/>
      <c r="E32" s="21"/>
      <c r="F32" s="104"/>
      <c r="G32" s="105">
        <f>COUNTIFS(RestiaCSV!E:E, "wolt kurýr", RestiaCSV!A:A, "&lt;&gt;wolt")</f>
        <v>0</v>
      </c>
      <c r="H32" s="106" t="b">
        <v>1</v>
      </c>
      <c r="I32" s="107">
        <f>G32*127</f>
        <v>0</v>
      </c>
      <c r="J32" s="108"/>
      <c r="K32" s="108"/>
      <c r="L32" s="95">
        <f>100%-L29</f>
        <v>0</v>
      </c>
      <c r="M32" s="95">
        <f>M29/L26</f>
        <v>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dataValidations>
    <dataValidation type="list" allowBlank="1" sqref="B1">
      <formula1>"Bolevec,Malešice,Prosek,Zličín,Libuš,Chodov,Výroba,Předloha"</formula1>
    </dataValidation>
    <dataValidation type="list" allowBlank="1" sqref="B25:B31">
      <formula1>"Mikuš Pavel,Šmídová Sabina,Vychivskyi Volodymyr,Petržilka Lukáš,Dvořák Radim,Hřebík Martin,Reischl Jan,Kináč Jozef,Novák Dalibor,Novák Matěj"</formula1>
    </dataValidation>
    <dataValidation type="list" allowBlank="1" sqref="G11 G19">
      <formula1>"Makula Radek,Kopic Jakub"</formula1>
    </dataValidation>
    <dataValidation type="list" allowBlank="1" sqref="B12:B21">
      <formula1>"Nedbal Michal,Ahurieva Viktoriia,Šebesta Tomáš,Pekárková Milena,Nováková Adéla,Makula Radek,Kopic Jakub,Fáberová Kateřina"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5.5"/>
    <col customWidth="1" min="2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 ht="15.75" customHeight="1">
      <c r="A1" s="109"/>
      <c r="B1" s="110" t="str">
        <f>Report!B1</f>
        <v>Prosek</v>
      </c>
      <c r="C1" s="111">
        <v>46028.0</v>
      </c>
      <c r="D1" s="112" t="s">
        <v>60</v>
      </c>
      <c r="E1" s="113">
        <v>46028.0</v>
      </c>
      <c r="F1" s="114" t="s">
        <v>2</v>
      </c>
      <c r="G1" s="7"/>
      <c r="H1" s="8"/>
      <c r="I1" s="114" t="s">
        <v>3</v>
      </c>
      <c r="J1" s="7"/>
      <c r="K1" s="8"/>
      <c r="L1" s="115" t="s">
        <v>4</v>
      </c>
      <c r="M1" s="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</row>
    <row r="2" ht="19.5" customHeight="1">
      <c r="A2" s="109"/>
      <c r="B2" s="11"/>
      <c r="C2" s="12"/>
      <c r="D2" s="11"/>
      <c r="E2" s="13"/>
      <c r="F2" s="116">
        <v>0.23392066851018306</v>
      </c>
      <c r="H2" s="15"/>
      <c r="I2" s="117">
        <v>49543.0</v>
      </c>
      <c r="K2" s="15"/>
      <c r="L2" s="118" t="s">
        <v>5</v>
      </c>
      <c r="M2" s="119"/>
      <c r="N2" s="120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</row>
    <row r="3" ht="15.75" customHeight="1">
      <c r="A3" s="122"/>
      <c r="B3" s="123" t="str">
        <f>CHOOSE(WEEKDAY(C1), "Neděle", "Pondělí", "Úterý", "Středa", "Čtvrtek", "Pátek", "Sobota")</f>
        <v>Úterý</v>
      </c>
      <c r="C3" s="20"/>
      <c r="D3" s="123" t="str">
        <f>CHOOSE(WEEKDAY(E1), "Neděle", "Pondělí", "Úterý", "Středa", "Čtvrtek", "Pátek", "Sobota")</f>
        <v>Úterý</v>
      </c>
      <c r="E3" s="5"/>
      <c r="H3" s="15"/>
      <c r="K3" s="15"/>
      <c r="L3" s="124" t="s">
        <v>6</v>
      </c>
      <c r="M3" s="125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</row>
    <row r="4" ht="15.75" customHeight="1">
      <c r="A4" s="122"/>
      <c r="B4" s="12"/>
      <c r="C4" s="21"/>
      <c r="D4" s="12"/>
      <c r="E4" s="13"/>
      <c r="F4" s="21"/>
      <c r="G4" s="21"/>
      <c r="H4" s="13"/>
      <c r="I4" s="21"/>
      <c r="J4" s="21"/>
      <c r="K4" s="13"/>
      <c r="L4" s="124" t="s">
        <v>7</v>
      </c>
      <c r="M4" s="125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</row>
    <row r="5" ht="15.75" customHeight="1">
      <c r="A5" s="126"/>
      <c r="B5" s="127" t="s">
        <v>61</v>
      </c>
      <c r="C5" s="20"/>
      <c r="D5" s="20"/>
      <c r="E5" s="5"/>
      <c r="F5" s="128" t="s">
        <v>62</v>
      </c>
      <c r="G5" s="20"/>
      <c r="H5" s="20"/>
      <c r="I5" s="20"/>
      <c r="J5" s="20"/>
      <c r="K5" s="5"/>
      <c r="L5" s="124" t="s">
        <v>9</v>
      </c>
      <c r="M5" s="119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</row>
    <row r="6" ht="15.75" customHeight="1">
      <c r="A6" s="126"/>
      <c r="B6" s="12"/>
      <c r="C6" s="21"/>
      <c r="D6" s="21"/>
      <c r="E6" s="13"/>
      <c r="F6" s="21"/>
      <c r="G6" s="21"/>
      <c r="H6" s="21"/>
      <c r="I6" s="21"/>
      <c r="J6" s="21"/>
      <c r="K6" s="13"/>
      <c r="L6" s="124" t="s">
        <v>10</v>
      </c>
      <c r="M6" s="125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</row>
    <row r="7" ht="15.75" customHeight="1">
      <c r="A7" s="115"/>
      <c r="B7" s="129">
        <f>TEXT(SUMPRODUCT((IFERROR(LEFT(D10:D30, FIND(":", D10:D30) - 1) * 60, 0) + IFERROR(MID(D10:D30, FIND(":", D10:D30) + 1, LEN(D10:D30) - FIND(":", D10:D30)), 0))), "[h]:mm")/60</f>
        <v>0</v>
      </c>
      <c r="C7" s="21"/>
      <c r="D7" s="21"/>
      <c r="E7" s="13"/>
      <c r="F7" s="130">
        <f>TEXT(SUMPRODUCT((IFERROR(LEFT(H10:H30, FIND(":", H10:H30) - 1) * 60, 0) + IFERROR(MID(H10:H30, FIND(":", H10:H30) + 1, LEN(H10:H30) - FIND(":", H10:H30)), 0))), "[h]:mm")/60</f>
        <v>0</v>
      </c>
      <c r="G7" s="7"/>
      <c r="H7" s="7"/>
      <c r="I7" s="7"/>
      <c r="J7" s="131"/>
      <c r="K7" s="131"/>
      <c r="L7" s="132" t="s">
        <v>11</v>
      </c>
      <c r="M7" s="125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</row>
    <row r="8" ht="15.75" customHeight="1">
      <c r="A8" s="133"/>
      <c r="B8" s="134" t="s">
        <v>14</v>
      </c>
      <c r="C8" s="20"/>
      <c r="D8" s="20"/>
      <c r="E8" s="5"/>
      <c r="F8" s="135" t="s">
        <v>42</v>
      </c>
      <c r="G8" s="20"/>
      <c r="H8" s="20"/>
      <c r="I8" s="5"/>
      <c r="J8" s="134" t="s">
        <v>16</v>
      </c>
      <c r="K8" s="5"/>
      <c r="L8" s="130" t="s">
        <v>12</v>
      </c>
      <c r="M8" s="8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</row>
    <row r="9" ht="15.75" customHeight="1">
      <c r="A9" s="136"/>
      <c r="B9" s="137" t="s">
        <v>18</v>
      </c>
      <c r="C9" s="138" t="s">
        <v>63</v>
      </c>
      <c r="D9" s="138" t="s">
        <v>22</v>
      </c>
      <c r="E9" s="139"/>
      <c r="F9" s="137" t="s">
        <v>18</v>
      </c>
      <c r="G9" s="138" t="s">
        <v>63</v>
      </c>
      <c r="H9" s="138" t="s">
        <v>22</v>
      </c>
      <c r="I9" s="140" t="s">
        <v>43</v>
      </c>
      <c r="J9" s="141">
        <v>-1.0</v>
      </c>
      <c r="K9" s="5"/>
      <c r="L9" s="142" t="s">
        <v>13</v>
      </c>
      <c r="M9" s="119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</row>
    <row r="10" ht="18.75" customHeight="1">
      <c r="A10" s="143"/>
      <c r="B10" s="144"/>
      <c r="C10" s="144"/>
      <c r="D10" s="144"/>
      <c r="E10" s="145" t="s">
        <v>64</v>
      </c>
      <c r="F10" s="144"/>
      <c r="G10" s="144"/>
      <c r="H10" s="144"/>
      <c r="I10" s="144"/>
      <c r="K10" s="15"/>
      <c r="L10" s="142" t="s">
        <v>17</v>
      </c>
      <c r="M10" s="125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</row>
    <row r="11" ht="18.75" customHeight="1">
      <c r="A11" s="143"/>
      <c r="B11" s="144"/>
      <c r="C11" s="144"/>
      <c r="D11" s="144"/>
      <c r="E11" s="145" t="s">
        <v>65</v>
      </c>
      <c r="F11" s="144"/>
      <c r="G11" s="144"/>
      <c r="H11" s="144"/>
      <c r="I11" s="144"/>
      <c r="K11" s="15"/>
      <c r="L11" s="146" t="s">
        <v>12</v>
      </c>
      <c r="M11" s="125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</row>
    <row r="12" ht="18.75" customHeight="1">
      <c r="A12" s="143"/>
      <c r="B12" s="144"/>
      <c r="C12" s="144"/>
      <c r="D12" s="144"/>
      <c r="E12" s="145" t="s">
        <v>66</v>
      </c>
      <c r="F12" s="144"/>
      <c r="G12" s="144"/>
      <c r="H12" s="144"/>
      <c r="I12" s="144"/>
      <c r="K12" s="15"/>
      <c r="L12" s="147" t="s">
        <v>26</v>
      </c>
      <c r="M12" s="13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</row>
    <row r="13" ht="18.75" customHeight="1">
      <c r="A13" s="143"/>
      <c r="B13" s="144"/>
      <c r="C13" s="144"/>
      <c r="D13" s="144"/>
      <c r="E13" s="145" t="s">
        <v>66</v>
      </c>
      <c r="F13" s="144"/>
      <c r="G13" s="144"/>
      <c r="H13" s="144"/>
      <c r="I13" s="144"/>
      <c r="K13" s="15"/>
      <c r="L13" s="118" t="s">
        <v>29</v>
      </c>
      <c r="M13" s="119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</row>
    <row r="14" ht="18.75" customHeight="1">
      <c r="A14" s="143"/>
      <c r="B14" s="144"/>
      <c r="C14" s="144"/>
      <c r="D14" s="144"/>
      <c r="E14" s="145" t="s">
        <v>67</v>
      </c>
      <c r="F14" s="144"/>
      <c r="G14" s="144"/>
      <c r="H14" s="144"/>
      <c r="I14" s="144"/>
      <c r="K14" s="15"/>
      <c r="L14" s="148" t="s">
        <v>33</v>
      </c>
      <c r="M14" s="125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</row>
    <row r="15" ht="18.75" customHeight="1">
      <c r="A15" s="143"/>
      <c r="B15" s="144"/>
      <c r="C15" s="144"/>
      <c r="D15" s="144"/>
      <c r="E15" s="145" t="s">
        <v>67</v>
      </c>
      <c r="F15" s="144"/>
      <c r="G15" s="144"/>
      <c r="H15" s="144"/>
      <c r="I15" s="144"/>
      <c r="K15" s="15"/>
      <c r="L15" s="148" t="s">
        <v>34</v>
      </c>
      <c r="M15" s="119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</row>
    <row r="16" ht="18.75" customHeight="1">
      <c r="A16" s="143"/>
      <c r="B16" s="144"/>
      <c r="C16" s="144"/>
      <c r="D16" s="144"/>
      <c r="E16" s="149"/>
      <c r="F16" s="144"/>
      <c r="G16" s="144"/>
      <c r="H16" s="144"/>
      <c r="I16" s="144"/>
      <c r="K16" s="15"/>
      <c r="L16" s="148" t="s">
        <v>35</v>
      </c>
      <c r="M16" s="125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</row>
    <row r="17" ht="18.75" customHeight="1">
      <c r="A17" s="143"/>
      <c r="B17" s="144"/>
      <c r="C17" s="144"/>
      <c r="D17" s="144"/>
      <c r="E17" s="149"/>
      <c r="F17" s="144"/>
      <c r="G17" s="144"/>
      <c r="H17" s="144"/>
      <c r="I17" s="144"/>
      <c r="J17" s="21"/>
      <c r="K17" s="13"/>
      <c r="L17" s="150" t="s">
        <v>36</v>
      </c>
      <c r="M17" s="125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</row>
    <row r="18" ht="18.75" customHeight="1">
      <c r="A18" s="143"/>
      <c r="B18" s="144"/>
      <c r="C18" s="144"/>
      <c r="D18" s="144"/>
      <c r="E18" s="149"/>
      <c r="F18" s="144"/>
      <c r="G18" s="144"/>
      <c r="H18" s="144"/>
      <c r="I18" s="144"/>
      <c r="J18" s="151"/>
      <c r="K18" s="7"/>
      <c r="L18" s="7"/>
      <c r="M18" s="8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</row>
    <row r="19" ht="18.75" customHeight="1">
      <c r="A19" s="143"/>
      <c r="B19" s="144"/>
      <c r="C19" s="144"/>
      <c r="D19" s="144"/>
      <c r="E19" s="149"/>
      <c r="F19" s="144"/>
      <c r="G19" s="144"/>
      <c r="H19" s="144"/>
      <c r="I19" s="144"/>
      <c r="J19" s="153" t="s">
        <v>38</v>
      </c>
      <c r="K19" s="154" t="s">
        <v>39</v>
      </c>
      <c r="L19" s="155" t="s">
        <v>40</v>
      </c>
      <c r="M19" s="156" t="s">
        <v>41</v>
      </c>
    </row>
    <row r="20" ht="18.75" customHeight="1">
      <c r="A20" s="143"/>
      <c r="B20" s="144"/>
      <c r="C20" s="144"/>
      <c r="D20" s="144"/>
      <c r="E20" s="149"/>
      <c r="F20" s="144"/>
      <c r="G20" s="144"/>
      <c r="H20" s="144"/>
      <c r="I20" s="144"/>
      <c r="J20" s="157"/>
      <c r="K20" s="81"/>
      <c r="L20" s="81"/>
      <c r="M20" s="158"/>
    </row>
    <row r="21" ht="18.75" customHeight="1">
      <c r="A21" s="143"/>
      <c r="B21" s="144"/>
      <c r="C21" s="144"/>
      <c r="D21" s="144"/>
      <c r="E21" s="149"/>
      <c r="F21" s="144"/>
      <c r="G21" s="144"/>
      <c r="H21" s="144"/>
      <c r="I21" s="144"/>
      <c r="J21" s="159">
        <v>0.0</v>
      </c>
      <c r="K21" s="160">
        <v>0.0</v>
      </c>
      <c r="L21" s="161">
        <v>2.0</v>
      </c>
      <c r="M21" s="162" t="s">
        <v>68</v>
      </c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</row>
    <row r="22" ht="18.75" customHeight="1">
      <c r="A22" s="143"/>
      <c r="B22" s="144"/>
      <c r="C22" s="144"/>
      <c r="D22" s="144"/>
      <c r="E22" s="149"/>
      <c r="F22" s="144"/>
      <c r="G22" s="144"/>
      <c r="H22" s="144"/>
      <c r="I22" s="144"/>
      <c r="J22" s="163" t="s">
        <v>46</v>
      </c>
      <c r="K22" s="164" t="s">
        <v>47</v>
      </c>
      <c r="L22" s="165" t="s">
        <v>48</v>
      </c>
      <c r="M22" s="166" t="s">
        <v>49</v>
      </c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</row>
    <row r="23" ht="18.75" customHeight="1">
      <c r="A23" s="143"/>
      <c r="B23" s="144"/>
      <c r="C23" s="144"/>
      <c r="D23" s="144"/>
      <c r="E23" s="149"/>
      <c r="F23" s="144"/>
      <c r="G23" s="144"/>
      <c r="H23" s="144"/>
      <c r="I23" s="144"/>
      <c r="J23" s="157"/>
      <c r="K23" s="81"/>
      <c r="L23" s="81"/>
      <c r="M23" s="158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</row>
    <row r="24" ht="18.75" customHeight="1">
      <c r="A24" s="143"/>
      <c r="B24" s="144"/>
      <c r="C24" s="144"/>
      <c r="D24" s="144"/>
      <c r="E24" s="149"/>
      <c r="F24" s="144"/>
      <c r="G24" s="144"/>
      <c r="H24" s="144"/>
      <c r="I24" s="144"/>
      <c r="J24" s="167">
        <v>2.0</v>
      </c>
      <c r="K24" s="161">
        <v>124.0</v>
      </c>
      <c r="L24" s="161">
        <v>27.0</v>
      </c>
      <c r="M24" s="168">
        <v>0.0</v>
      </c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</row>
    <row r="25" ht="18.75" customHeight="1">
      <c r="A25" s="143"/>
      <c r="B25" s="144"/>
      <c r="C25" s="144"/>
      <c r="D25" s="144"/>
      <c r="E25" s="149"/>
      <c r="F25" s="144"/>
      <c r="G25" s="144"/>
      <c r="H25" s="144"/>
      <c r="I25" s="144"/>
      <c r="J25" s="169" t="s">
        <v>53</v>
      </c>
      <c r="K25" s="88"/>
      <c r="L25" s="165" t="s">
        <v>54</v>
      </c>
      <c r="M25" s="166" t="s">
        <v>55</v>
      </c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</row>
    <row r="26" ht="18.75" customHeight="1">
      <c r="A26" s="143"/>
      <c r="B26" s="144"/>
      <c r="C26" s="144"/>
      <c r="D26" s="144"/>
      <c r="E26" s="149"/>
      <c r="F26" s="144"/>
      <c r="G26" s="144"/>
      <c r="H26" s="144"/>
      <c r="I26" s="144"/>
      <c r="J26" s="170"/>
      <c r="K26" s="91"/>
      <c r="L26" s="81"/>
      <c r="M26" s="158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</row>
    <row r="27" ht="18.75" customHeight="1">
      <c r="A27" s="143"/>
      <c r="B27" s="144"/>
      <c r="C27" s="144"/>
      <c r="D27" s="144"/>
      <c r="E27" s="149"/>
      <c r="F27" s="144"/>
      <c r="G27" s="144"/>
      <c r="H27" s="144"/>
      <c r="I27" s="144"/>
      <c r="J27" s="171">
        <v>0.0</v>
      </c>
      <c r="K27" s="94"/>
      <c r="L27" s="172">
        <v>0.07407407407407407</v>
      </c>
      <c r="M27" s="173">
        <v>0.0</v>
      </c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</row>
    <row r="28" ht="18.75" customHeight="1">
      <c r="A28" s="143"/>
      <c r="B28" s="144"/>
      <c r="C28" s="144"/>
      <c r="D28" s="144"/>
      <c r="E28" s="149"/>
      <c r="F28" s="144"/>
      <c r="G28" s="144"/>
      <c r="H28" s="144"/>
      <c r="I28" s="144"/>
      <c r="J28" s="174"/>
      <c r="L28" s="164" t="s">
        <v>56</v>
      </c>
      <c r="M28" s="166" t="s">
        <v>57</v>
      </c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</row>
    <row r="29" ht="18.75" customHeight="1">
      <c r="A29" s="143"/>
      <c r="B29" s="144"/>
      <c r="C29" s="144"/>
      <c r="D29" s="144"/>
      <c r="E29" s="149"/>
      <c r="F29" s="144"/>
      <c r="G29" s="144"/>
      <c r="H29" s="144"/>
      <c r="I29" s="144"/>
      <c r="J29" s="29"/>
      <c r="L29" s="81"/>
      <c r="M29" s="158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</row>
    <row r="30" ht="18.75" customHeight="1">
      <c r="A30" s="143"/>
      <c r="B30" s="175"/>
      <c r="C30" s="175"/>
      <c r="D30" s="175"/>
      <c r="E30" s="176"/>
      <c r="F30" s="175"/>
      <c r="G30" s="175"/>
      <c r="H30" s="175"/>
      <c r="I30" s="175"/>
      <c r="J30" s="12"/>
      <c r="K30" s="21"/>
      <c r="L30" s="177">
        <v>0.9259259259259259</v>
      </c>
      <c r="M30" s="178">
        <v>0.0</v>
      </c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2" priority="1" operator="lessThan">
      <formula>1</formula>
    </cfRule>
  </conditionalFormatting>
  <conditionalFormatting sqref="M24">
    <cfRule type="cellIs" dxfId="2" priority="2" operator="equal">
      <formula>0</formula>
    </cfRule>
  </conditionalFormatting>
  <conditionalFormatting sqref="F2">
    <cfRule type="cellIs" dxfId="0" priority="3" operator="greaterThan">
      <formula>"30%"</formula>
    </cfRule>
  </conditionalFormatting>
  <conditionalFormatting sqref="F2:H4">
    <cfRule type="containsText" dxfId="3" priority="4" operator="containsText" text="Zadej">
      <formula>NOT(ISERROR(SEARCH(("Zadej"),(F2))))</formula>
    </cfRule>
  </conditionalFormatting>
  <conditionalFormatting sqref="J8:K18">
    <cfRule type="cellIs" dxfId="0" priority="5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9" width="25.38"/>
  </cols>
  <sheetData>
    <row r="1" ht="15.75" customHeight="1">
      <c r="A1" s="179" t="s">
        <v>69</v>
      </c>
      <c r="B1" s="179" t="s">
        <v>70</v>
      </c>
      <c r="C1" s="179" t="s">
        <v>71</v>
      </c>
      <c r="D1" s="179" t="s">
        <v>72</v>
      </c>
      <c r="E1" s="179" t="s">
        <v>42</v>
      </c>
      <c r="F1" s="179" t="s">
        <v>73</v>
      </c>
      <c r="G1" s="179" t="s">
        <v>74</v>
      </c>
      <c r="H1" s="179" t="s">
        <v>75</v>
      </c>
      <c r="I1" s="179" t="s">
        <v>76</v>
      </c>
      <c r="J1" s="179" t="s">
        <v>77</v>
      </c>
      <c r="K1" s="179" t="s">
        <v>78</v>
      </c>
      <c r="L1" s="179" t="s">
        <v>79</v>
      </c>
      <c r="M1" s="179" t="s">
        <v>80</v>
      </c>
      <c r="N1" s="179" t="s">
        <v>81</v>
      </c>
      <c r="O1" s="179" t="s">
        <v>82</v>
      </c>
      <c r="P1" s="179" t="s">
        <v>83</v>
      </c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</row>
    <row r="2" ht="15.75" customHeight="1">
      <c r="A2" s="179" t="s">
        <v>84</v>
      </c>
      <c r="B2" s="179" t="s">
        <v>85</v>
      </c>
      <c r="C2" s="179">
        <v>264.0</v>
      </c>
      <c r="D2" s="179">
        <v>0.0</v>
      </c>
      <c r="E2" s="179"/>
      <c r="F2" s="179" t="s">
        <v>86</v>
      </c>
      <c r="G2" s="179" t="s">
        <v>87</v>
      </c>
      <c r="H2" s="179" t="s">
        <v>88</v>
      </c>
      <c r="I2" s="179"/>
      <c r="J2" s="179"/>
      <c r="K2" s="179"/>
      <c r="L2" s="179">
        <v>0.0</v>
      </c>
      <c r="M2" s="179"/>
      <c r="N2" s="179"/>
      <c r="O2" s="179" t="s">
        <v>89</v>
      </c>
      <c r="P2" s="179" t="s">
        <v>90</v>
      </c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</row>
    <row r="3" ht="15.75" customHeight="1">
      <c r="A3" s="179" t="s">
        <v>84</v>
      </c>
      <c r="B3" s="179" t="s">
        <v>91</v>
      </c>
      <c r="C3" s="179">
        <v>329.0</v>
      </c>
      <c r="D3" s="179">
        <v>0.0</v>
      </c>
      <c r="E3" s="179"/>
      <c r="F3" s="179" t="s">
        <v>86</v>
      </c>
      <c r="G3" s="179" t="s">
        <v>87</v>
      </c>
      <c r="H3" s="179" t="s">
        <v>92</v>
      </c>
      <c r="I3" s="179" t="s">
        <v>93</v>
      </c>
      <c r="J3" s="179" t="s">
        <v>93</v>
      </c>
      <c r="K3" s="179"/>
      <c r="L3" s="179">
        <v>-8.0</v>
      </c>
      <c r="M3" s="179"/>
      <c r="N3" s="179">
        <v>6.425066666666667</v>
      </c>
      <c r="O3" s="179" t="s">
        <v>89</v>
      </c>
      <c r="P3" s="179" t="s">
        <v>94</v>
      </c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</row>
    <row r="4" ht="15.75" customHeight="1">
      <c r="A4" s="179" t="s">
        <v>95</v>
      </c>
      <c r="B4" s="179" t="s">
        <v>96</v>
      </c>
      <c r="C4" s="179">
        <v>329.0</v>
      </c>
      <c r="D4" s="179">
        <v>0.0</v>
      </c>
      <c r="E4" s="179" t="s">
        <v>58</v>
      </c>
      <c r="F4" s="179" t="s">
        <v>86</v>
      </c>
      <c r="G4" s="179" t="s">
        <v>87</v>
      </c>
      <c r="H4" s="179" t="s">
        <v>97</v>
      </c>
      <c r="I4" s="179" t="s">
        <v>98</v>
      </c>
      <c r="J4" s="179" t="s">
        <v>98</v>
      </c>
      <c r="K4" s="179"/>
      <c r="L4" s="179">
        <v>-10.0</v>
      </c>
      <c r="M4" s="179"/>
      <c r="N4" s="179">
        <v>4.53345</v>
      </c>
      <c r="O4" s="179" t="s">
        <v>89</v>
      </c>
      <c r="P4" s="179" t="s">
        <v>99</v>
      </c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E4" s="179"/>
      <c r="AF4" s="179"/>
    </row>
    <row r="5" ht="15.75" customHeight="1">
      <c r="A5" s="179" t="s">
        <v>100</v>
      </c>
      <c r="B5" s="179" t="s">
        <v>96</v>
      </c>
      <c r="C5" s="179">
        <v>20.0</v>
      </c>
      <c r="D5" s="179">
        <v>35.0</v>
      </c>
      <c r="E5" s="179"/>
      <c r="F5" s="179" t="s">
        <v>101</v>
      </c>
      <c r="G5" s="179" t="s">
        <v>102</v>
      </c>
      <c r="H5" s="179" t="s">
        <v>103</v>
      </c>
      <c r="I5" s="179" t="s">
        <v>104</v>
      </c>
      <c r="J5" s="179" t="s">
        <v>104</v>
      </c>
      <c r="K5" s="179"/>
      <c r="L5" s="179">
        <v>-4.0</v>
      </c>
      <c r="M5" s="179"/>
      <c r="N5" s="179">
        <v>0.033466666666666665</v>
      </c>
      <c r="O5" s="179" t="s">
        <v>105</v>
      </c>
      <c r="P5" s="179" t="s">
        <v>106</v>
      </c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</row>
    <row r="6" ht="15.75" customHeight="1">
      <c r="A6" s="179" t="s">
        <v>95</v>
      </c>
      <c r="B6" s="179" t="s">
        <v>96</v>
      </c>
      <c r="C6" s="180">
        <v>329.0</v>
      </c>
      <c r="D6" s="179">
        <v>0.0</v>
      </c>
      <c r="E6" s="179" t="s">
        <v>58</v>
      </c>
      <c r="F6" s="179" t="s">
        <v>86</v>
      </c>
      <c r="G6" s="179" t="s">
        <v>87</v>
      </c>
      <c r="H6" s="179" t="s">
        <v>107</v>
      </c>
      <c r="I6" s="179" t="s">
        <v>108</v>
      </c>
      <c r="J6" s="179" t="s">
        <v>108</v>
      </c>
      <c r="K6" s="179"/>
      <c r="L6" s="179">
        <v>-9.0</v>
      </c>
      <c r="M6" s="179"/>
      <c r="N6" s="179">
        <v>5.543666666666667</v>
      </c>
      <c r="O6" s="179" t="s">
        <v>89</v>
      </c>
      <c r="P6" s="179" t="s">
        <v>109</v>
      </c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</row>
    <row r="7" ht="15.75" customHeight="1">
      <c r="A7" s="179" t="s">
        <v>95</v>
      </c>
      <c r="B7" s="179" t="s">
        <v>96</v>
      </c>
      <c r="C7" s="179">
        <v>316.0</v>
      </c>
      <c r="D7" s="179">
        <v>0.0</v>
      </c>
      <c r="E7" s="179" t="s">
        <v>58</v>
      </c>
      <c r="F7" s="179" t="s">
        <v>86</v>
      </c>
      <c r="G7" s="179" t="s">
        <v>87</v>
      </c>
      <c r="H7" s="179" t="s">
        <v>110</v>
      </c>
      <c r="I7" s="179" t="s">
        <v>111</v>
      </c>
      <c r="J7" s="179" t="s">
        <v>111</v>
      </c>
      <c r="K7" s="179"/>
      <c r="L7" s="179">
        <v>-3.0</v>
      </c>
      <c r="M7" s="179"/>
      <c r="N7" s="179">
        <v>11.381733333333333</v>
      </c>
      <c r="O7" s="179" t="s">
        <v>89</v>
      </c>
      <c r="P7" s="179" t="s">
        <v>112</v>
      </c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</row>
    <row r="8" ht="15.75" customHeight="1">
      <c r="A8" s="179" t="s">
        <v>84</v>
      </c>
      <c r="B8" s="179" t="s">
        <v>96</v>
      </c>
      <c r="C8" s="179">
        <v>319.0</v>
      </c>
      <c r="D8" s="179">
        <v>0.0</v>
      </c>
      <c r="E8" s="179"/>
      <c r="F8" s="179" t="s">
        <v>86</v>
      </c>
      <c r="G8" s="179" t="s">
        <v>87</v>
      </c>
      <c r="H8" s="179" t="s">
        <v>113</v>
      </c>
      <c r="I8" s="179" t="s">
        <v>114</v>
      </c>
      <c r="J8" s="179" t="s">
        <v>114</v>
      </c>
      <c r="K8" s="179"/>
      <c r="L8" s="179">
        <v>-3.0</v>
      </c>
      <c r="M8" s="179"/>
      <c r="N8" s="179">
        <v>11.64115</v>
      </c>
      <c r="O8" s="179" t="s">
        <v>89</v>
      </c>
      <c r="P8" s="179" t="s">
        <v>115</v>
      </c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</row>
    <row r="9" ht="15.75" customHeight="1">
      <c r="A9" s="179" t="s">
        <v>116</v>
      </c>
      <c r="B9" s="179" t="s">
        <v>96</v>
      </c>
      <c r="C9" s="179">
        <v>364.0</v>
      </c>
      <c r="D9" s="179">
        <v>0.0</v>
      </c>
      <c r="E9" s="179" t="s">
        <v>117</v>
      </c>
      <c r="F9" s="179" t="s">
        <v>86</v>
      </c>
      <c r="G9" s="179" t="s">
        <v>87</v>
      </c>
      <c r="H9" s="179" t="s">
        <v>118</v>
      </c>
      <c r="I9" s="179" t="s">
        <v>119</v>
      </c>
      <c r="J9" s="179" t="s">
        <v>119</v>
      </c>
      <c r="K9" s="179"/>
      <c r="L9" s="179">
        <v>-2.0</v>
      </c>
      <c r="M9" s="179"/>
      <c r="N9" s="179">
        <v>12.300333333333333</v>
      </c>
      <c r="O9" s="179" t="s">
        <v>89</v>
      </c>
      <c r="P9" s="179" t="s">
        <v>120</v>
      </c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</row>
    <row r="10" ht="15.75" customHeight="1">
      <c r="A10" s="179" t="s">
        <v>95</v>
      </c>
      <c r="B10" s="179" t="s">
        <v>96</v>
      </c>
      <c r="C10" s="180">
        <v>658.0</v>
      </c>
      <c r="D10" s="179">
        <v>0.0</v>
      </c>
      <c r="E10" s="179" t="s">
        <v>58</v>
      </c>
      <c r="F10" s="179" t="s">
        <v>86</v>
      </c>
      <c r="G10" s="179" t="s">
        <v>87</v>
      </c>
      <c r="H10" s="179" t="s">
        <v>121</v>
      </c>
      <c r="I10" s="179" t="s">
        <v>122</v>
      </c>
      <c r="J10" s="179" t="s">
        <v>122</v>
      </c>
      <c r="K10" s="179"/>
      <c r="L10" s="179">
        <v>-8.0</v>
      </c>
      <c r="M10" s="179"/>
      <c r="N10" s="179">
        <v>11.938366666666667</v>
      </c>
      <c r="O10" s="179" t="s">
        <v>89</v>
      </c>
      <c r="P10" s="179" t="s">
        <v>123</v>
      </c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</row>
    <row r="11" ht="15.75" customHeight="1">
      <c r="A11" s="179" t="s">
        <v>95</v>
      </c>
      <c r="B11" s="179" t="s">
        <v>96</v>
      </c>
      <c r="C11" s="179">
        <v>563.0</v>
      </c>
      <c r="D11" s="179">
        <v>0.0</v>
      </c>
      <c r="E11" s="179" t="s">
        <v>58</v>
      </c>
      <c r="F11" s="179" t="s">
        <v>86</v>
      </c>
      <c r="G11" s="179" t="s">
        <v>87</v>
      </c>
      <c r="H11" s="179" t="s">
        <v>124</v>
      </c>
      <c r="I11" s="179" t="s">
        <v>125</v>
      </c>
      <c r="J11" s="179" t="s">
        <v>125</v>
      </c>
      <c r="K11" s="179"/>
      <c r="L11" s="179">
        <v>-11.0</v>
      </c>
      <c r="M11" s="179"/>
      <c r="N11" s="179">
        <v>8.31095</v>
      </c>
      <c r="O11" s="179" t="s">
        <v>89</v>
      </c>
      <c r="P11" s="179" t="s">
        <v>126</v>
      </c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</row>
    <row r="12" ht="15.75" customHeight="1">
      <c r="A12" s="179" t="s">
        <v>84</v>
      </c>
      <c r="B12" s="179" t="s">
        <v>96</v>
      </c>
      <c r="C12" s="179">
        <v>780.0</v>
      </c>
      <c r="D12" s="179">
        <v>0.0</v>
      </c>
      <c r="E12" s="179"/>
      <c r="F12" s="179" t="s">
        <v>86</v>
      </c>
      <c r="G12" s="179" t="s">
        <v>87</v>
      </c>
      <c r="H12" s="179" t="s">
        <v>127</v>
      </c>
      <c r="I12" s="179" t="s">
        <v>128</v>
      </c>
      <c r="J12" s="179" t="s">
        <v>128</v>
      </c>
      <c r="K12" s="179"/>
      <c r="L12" s="179">
        <v>3.0</v>
      </c>
      <c r="M12" s="179"/>
      <c r="N12" s="179">
        <v>23.270583333333335</v>
      </c>
      <c r="O12" s="179" t="s">
        <v>89</v>
      </c>
      <c r="P12" s="179" t="s">
        <v>129</v>
      </c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</row>
    <row r="13" ht="15.75" customHeight="1">
      <c r="A13" s="179" t="s">
        <v>116</v>
      </c>
      <c r="B13" s="179" t="s">
        <v>96</v>
      </c>
      <c r="C13" s="179">
        <v>264.0</v>
      </c>
      <c r="D13" s="179">
        <v>0.0</v>
      </c>
      <c r="E13" s="179" t="s">
        <v>130</v>
      </c>
      <c r="F13" s="179" t="s">
        <v>86</v>
      </c>
      <c r="G13" s="179" t="s">
        <v>87</v>
      </c>
      <c r="H13" s="179" t="s">
        <v>131</v>
      </c>
      <c r="I13" s="179" t="s">
        <v>132</v>
      </c>
      <c r="J13" s="179" t="s">
        <v>132</v>
      </c>
      <c r="K13" s="179"/>
      <c r="L13" s="179">
        <v>1.0</v>
      </c>
      <c r="M13" s="179"/>
      <c r="N13" s="179">
        <v>16.038266666666665</v>
      </c>
      <c r="O13" s="179" t="s">
        <v>89</v>
      </c>
      <c r="P13" s="179" t="s">
        <v>133</v>
      </c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E13" s="179"/>
      <c r="AF13" s="179"/>
    </row>
    <row r="14" ht="15.75" customHeight="1">
      <c r="A14" s="179" t="s">
        <v>95</v>
      </c>
      <c r="B14" s="179" t="s">
        <v>96</v>
      </c>
      <c r="C14" s="179">
        <v>329.0</v>
      </c>
      <c r="D14" s="179">
        <v>0.0</v>
      </c>
      <c r="E14" s="179" t="s">
        <v>58</v>
      </c>
      <c r="F14" s="179" t="s">
        <v>86</v>
      </c>
      <c r="G14" s="179" t="s">
        <v>87</v>
      </c>
      <c r="H14" s="179" t="s">
        <v>134</v>
      </c>
      <c r="I14" s="179" t="s">
        <v>135</v>
      </c>
      <c r="J14" s="179" t="s">
        <v>135</v>
      </c>
      <c r="K14" s="179"/>
      <c r="L14" s="179">
        <v>0.0</v>
      </c>
      <c r="M14" s="179"/>
      <c r="N14" s="179">
        <v>14.586216666666667</v>
      </c>
      <c r="O14" s="179" t="s">
        <v>89</v>
      </c>
      <c r="P14" s="179" t="s">
        <v>136</v>
      </c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</row>
    <row r="15" ht="15.75" customHeight="1">
      <c r="A15" s="179" t="s">
        <v>95</v>
      </c>
      <c r="B15" s="179" t="s">
        <v>96</v>
      </c>
      <c r="C15" s="180">
        <v>364.0</v>
      </c>
      <c r="D15" s="179">
        <v>0.0</v>
      </c>
      <c r="E15" s="179" t="s">
        <v>58</v>
      </c>
      <c r="F15" s="179" t="s">
        <v>86</v>
      </c>
      <c r="G15" s="179" t="s">
        <v>87</v>
      </c>
      <c r="H15" s="179" t="s">
        <v>137</v>
      </c>
      <c r="I15" s="179" t="s">
        <v>138</v>
      </c>
      <c r="J15" s="179" t="s">
        <v>138</v>
      </c>
      <c r="K15" s="179"/>
      <c r="L15" s="179">
        <v>-6.0</v>
      </c>
      <c r="M15" s="179"/>
      <c r="N15" s="179">
        <v>8.833666666666666</v>
      </c>
      <c r="O15" s="179" t="s">
        <v>89</v>
      </c>
      <c r="P15" s="179" t="s">
        <v>139</v>
      </c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E15" s="179"/>
      <c r="AF15" s="179"/>
    </row>
    <row r="16" ht="15.75" customHeight="1">
      <c r="A16" s="179" t="s">
        <v>95</v>
      </c>
      <c r="B16" s="179" t="s">
        <v>96</v>
      </c>
      <c r="C16" s="180">
        <v>313.0</v>
      </c>
      <c r="D16" s="179">
        <v>0.0</v>
      </c>
      <c r="E16" s="179" t="s">
        <v>58</v>
      </c>
      <c r="F16" s="179" t="s">
        <v>86</v>
      </c>
      <c r="G16" s="179" t="s">
        <v>87</v>
      </c>
      <c r="H16" s="179" t="s">
        <v>140</v>
      </c>
      <c r="I16" s="179" t="s">
        <v>141</v>
      </c>
      <c r="J16" s="179" t="s">
        <v>141</v>
      </c>
      <c r="K16" s="179"/>
      <c r="L16" s="179">
        <v>-9.0</v>
      </c>
      <c r="M16" s="179"/>
      <c r="N16" s="179">
        <v>5.289666666666666</v>
      </c>
      <c r="O16" s="179" t="s">
        <v>89</v>
      </c>
      <c r="P16" s="179" t="s">
        <v>142</v>
      </c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</row>
    <row r="17" ht="15.75" customHeight="1">
      <c r="A17" s="179" t="s">
        <v>95</v>
      </c>
      <c r="B17" s="179" t="s">
        <v>96</v>
      </c>
      <c r="C17" s="180">
        <v>329.0</v>
      </c>
      <c r="D17" s="179">
        <v>0.0</v>
      </c>
      <c r="E17" s="179" t="s">
        <v>58</v>
      </c>
      <c r="F17" s="179" t="s">
        <v>86</v>
      </c>
      <c r="G17" s="179" t="s">
        <v>87</v>
      </c>
      <c r="H17" s="179" t="s">
        <v>143</v>
      </c>
      <c r="I17" s="179" t="s">
        <v>144</v>
      </c>
      <c r="J17" s="179" t="s">
        <v>144</v>
      </c>
      <c r="K17" s="179"/>
      <c r="L17" s="179">
        <v>-9.0</v>
      </c>
      <c r="M17" s="179"/>
      <c r="N17" s="179">
        <v>5.654716666666666</v>
      </c>
      <c r="O17" s="179" t="s">
        <v>89</v>
      </c>
      <c r="P17" s="179" t="s">
        <v>145</v>
      </c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</row>
    <row r="18" ht="15.75" customHeight="1">
      <c r="A18" s="179" t="s">
        <v>84</v>
      </c>
      <c r="B18" s="179" t="s">
        <v>96</v>
      </c>
      <c r="C18" s="179">
        <v>264.0</v>
      </c>
      <c r="D18" s="179">
        <v>0.0</v>
      </c>
      <c r="E18" s="179"/>
      <c r="F18" s="179" t="s">
        <v>86</v>
      </c>
      <c r="G18" s="179" t="s">
        <v>87</v>
      </c>
      <c r="H18" s="179" t="s">
        <v>146</v>
      </c>
      <c r="I18" s="179" t="s">
        <v>147</v>
      </c>
      <c r="J18" s="179" t="s">
        <v>147</v>
      </c>
      <c r="K18" s="179"/>
      <c r="L18" s="179">
        <v>-5.0</v>
      </c>
      <c r="M18" s="179"/>
      <c r="N18" s="179">
        <v>9.106933333333334</v>
      </c>
      <c r="O18" s="179" t="s">
        <v>89</v>
      </c>
      <c r="P18" s="179" t="s">
        <v>148</v>
      </c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</row>
    <row r="19" ht="15.75" customHeight="1">
      <c r="A19" s="179" t="s">
        <v>95</v>
      </c>
      <c r="B19" s="179" t="s">
        <v>96</v>
      </c>
      <c r="C19" s="180">
        <v>348.0</v>
      </c>
      <c r="D19" s="179">
        <v>0.0</v>
      </c>
      <c r="E19" s="179" t="s">
        <v>58</v>
      </c>
      <c r="F19" s="179" t="s">
        <v>86</v>
      </c>
      <c r="G19" s="179" t="s">
        <v>87</v>
      </c>
      <c r="H19" s="179" t="s">
        <v>149</v>
      </c>
      <c r="I19" s="179" t="s">
        <v>150</v>
      </c>
      <c r="J19" s="179" t="s">
        <v>150</v>
      </c>
      <c r="K19" s="179"/>
      <c r="L19" s="179">
        <v>-4.0</v>
      </c>
      <c r="M19" s="179"/>
      <c r="N19" s="179">
        <v>10.5207</v>
      </c>
      <c r="O19" s="179" t="s">
        <v>89</v>
      </c>
      <c r="P19" s="179" t="s">
        <v>151</v>
      </c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</row>
    <row r="20" ht="15.75" customHeight="1">
      <c r="A20" s="179" t="s">
        <v>116</v>
      </c>
      <c r="B20" s="179" t="s">
        <v>96</v>
      </c>
      <c r="C20" s="179">
        <v>368.0</v>
      </c>
      <c r="D20" s="179">
        <v>0.0</v>
      </c>
      <c r="E20" s="179" t="s">
        <v>152</v>
      </c>
      <c r="F20" s="179" t="s">
        <v>86</v>
      </c>
      <c r="G20" s="179" t="s">
        <v>87</v>
      </c>
      <c r="H20" s="179" t="s">
        <v>153</v>
      </c>
      <c r="I20" s="179" t="s">
        <v>154</v>
      </c>
      <c r="J20" s="179" t="s">
        <v>154</v>
      </c>
      <c r="K20" s="179"/>
      <c r="L20" s="179">
        <v>-7.0</v>
      </c>
      <c r="M20" s="179"/>
      <c r="N20" s="179">
        <v>7.3663</v>
      </c>
      <c r="O20" s="179" t="s">
        <v>89</v>
      </c>
      <c r="P20" s="179" t="s">
        <v>155</v>
      </c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</row>
    <row r="21" ht="15.75" customHeight="1">
      <c r="A21" s="179" t="s">
        <v>95</v>
      </c>
      <c r="B21" s="179" t="s">
        <v>96</v>
      </c>
      <c r="C21" s="180">
        <v>404.0</v>
      </c>
      <c r="D21" s="179">
        <v>0.0</v>
      </c>
      <c r="E21" s="179" t="s">
        <v>58</v>
      </c>
      <c r="F21" s="179" t="s">
        <v>86</v>
      </c>
      <c r="G21" s="179" t="s">
        <v>87</v>
      </c>
      <c r="H21" s="179" t="s">
        <v>156</v>
      </c>
      <c r="I21" s="179" t="s">
        <v>157</v>
      </c>
      <c r="J21" s="179" t="s">
        <v>157</v>
      </c>
      <c r="K21" s="179"/>
      <c r="L21" s="179">
        <v>-6.0</v>
      </c>
      <c r="M21" s="179"/>
      <c r="N21" s="179">
        <v>8.830883333333333</v>
      </c>
      <c r="O21" s="179" t="s">
        <v>89</v>
      </c>
      <c r="P21" s="179" t="s">
        <v>158</v>
      </c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</row>
    <row r="22" ht="15.75" customHeight="1">
      <c r="A22" s="179" t="s">
        <v>95</v>
      </c>
      <c r="B22" s="179" t="s">
        <v>96</v>
      </c>
      <c r="C22" s="179">
        <v>537.0</v>
      </c>
      <c r="D22" s="179">
        <v>0.0</v>
      </c>
      <c r="E22" s="179" t="s">
        <v>58</v>
      </c>
      <c r="F22" s="179" t="s">
        <v>86</v>
      </c>
      <c r="G22" s="179" t="s">
        <v>87</v>
      </c>
      <c r="H22" s="179" t="s">
        <v>159</v>
      </c>
      <c r="I22" s="179" t="s">
        <v>160</v>
      </c>
      <c r="J22" s="179" t="s">
        <v>160</v>
      </c>
      <c r="K22" s="179"/>
      <c r="L22" s="179">
        <v>-11.0</v>
      </c>
      <c r="M22" s="179"/>
      <c r="N22" s="179">
        <v>8.639866666666666</v>
      </c>
      <c r="O22" s="179" t="s">
        <v>89</v>
      </c>
      <c r="P22" s="179" t="s">
        <v>161</v>
      </c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</row>
    <row r="23" ht="15.75" customHeight="1">
      <c r="A23" s="179" t="s">
        <v>95</v>
      </c>
      <c r="B23" s="179" t="s">
        <v>96</v>
      </c>
      <c r="C23" s="179">
        <v>369.0</v>
      </c>
      <c r="D23" s="179">
        <v>0.0</v>
      </c>
      <c r="E23" s="179" t="s">
        <v>58</v>
      </c>
      <c r="F23" s="179" t="s">
        <v>86</v>
      </c>
      <c r="G23" s="179" t="s">
        <v>87</v>
      </c>
      <c r="H23" s="179" t="s">
        <v>162</v>
      </c>
      <c r="I23" s="179" t="s">
        <v>163</v>
      </c>
      <c r="J23" s="179" t="s">
        <v>163</v>
      </c>
      <c r="K23" s="179"/>
      <c r="L23" s="179">
        <v>-6.0</v>
      </c>
      <c r="M23" s="179"/>
      <c r="N23" s="179">
        <v>8.55605</v>
      </c>
      <c r="O23" s="179" t="s">
        <v>89</v>
      </c>
      <c r="P23" s="179" t="s">
        <v>164</v>
      </c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</row>
    <row r="24" ht="15.75" customHeight="1">
      <c r="A24" s="179" t="s">
        <v>95</v>
      </c>
      <c r="B24" s="179" t="s">
        <v>96</v>
      </c>
      <c r="C24" s="179">
        <v>299.0</v>
      </c>
      <c r="D24" s="179">
        <v>0.0</v>
      </c>
      <c r="E24" s="179" t="s">
        <v>58</v>
      </c>
      <c r="F24" s="179" t="s">
        <v>86</v>
      </c>
      <c r="G24" s="179" t="s">
        <v>87</v>
      </c>
      <c r="H24" s="179" t="s">
        <v>165</v>
      </c>
      <c r="I24" s="179" t="s">
        <v>166</v>
      </c>
      <c r="J24" s="179" t="s">
        <v>166</v>
      </c>
      <c r="K24" s="179"/>
      <c r="L24" s="179">
        <v>0.0</v>
      </c>
      <c r="M24" s="179"/>
      <c r="N24" s="179">
        <v>15.82185</v>
      </c>
      <c r="O24" s="179" t="s">
        <v>89</v>
      </c>
      <c r="P24" s="179" t="s">
        <v>167</v>
      </c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</row>
    <row r="25" ht="15.75" customHeight="1">
      <c r="A25" s="179" t="s">
        <v>100</v>
      </c>
      <c r="B25" s="179" t="s">
        <v>96</v>
      </c>
      <c r="C25" s="179">
        <v>618.0</v>
      </c>
      <c r="D25" s="179">
        <v>0.0</v>
      </c>
      <c r="E25" s="179"/>
      <c r="F25" s="179" t="s">
        <v>101</v>
      </c>
      <c r="G25" s="179" t="s">
        <v>102</v>
      </c>
      <c r="H25" s="179" t="s">
        <v>168</v>
      </c>
      <c r="I25" s="179" t="s">
        <v>169</v>
      </c>
      <c r="J25" s="179" t="s">
        <v>169</v>
      </c>
      <c r="K25" s="179"/>
      <c r="L25" s="179">
        <v>0.0</v>
      </c>
      <c r="M25" s="179"/>
      <c r="N25" s="179">
        <v>10.551133333333333</v>
      </c>
      <c r="O25" s="179" t="s">
        <v>105</v>
      </c>
      <c r="P25" s="179" t="s">
        <v>170</v>
      </c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</row>
    <row r="26" ht="15.75" customHeight="1">
      <c r="A26" s="179" t="s">
        <v>95</v>
      </c>
      <c r="B26" s="179" t="s">
        <v>96</v>
      </c>
      <c r="C26" s="179">
        <v>329.0</v>
      </c>
      <c r="D26" s="179">
        <v>0.0</v>
      </c>
      <c r="E26" s="179" t="s">
        <v>58</v>
      </c>
      <c r="F26" s="179" t="s">
        <v>86</v>
      </c>
      <c r="G26" s="179" t="s">
        <v>87</v>
      </c>
      <c r="H26" s="179" t="s">
        <v>171</v>
      </c>
      <c r="I26" s="179" t="s">
        <v>172</v>
      </c>
      <c r="J26" s="179" t="s">
        <v>172</v>
      </c>
      <c r="K26" s="179"/>
      <c r="L26" s="179">
        <v>-2.0</v>
      </c>
      <c r="M26" s="179"/>
      <c r="N26" s="179">
        <v>12.988333333333333</v>
      </c>
      <c r="O26" s="179" t="s">
        <v>89</v>
      </c>
      <c r="P26" s="179" t="s">
        <v>173</v>
      </c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</row>
    <row r="27" ht="15.75" customHeight="1">
      <c r="A27" s="179" t="s">
        <v>84</v>
      </c>
      <c r="B27" s="179" t="s">
        <v>96</v>
      </c>
      <c r="C27" s="180">
        <v>348.0</v>
      </c>
      <c r="D27" s="179">
        <v>0.0</v>
      </c>
      <c r="E27" s="179"/>
      <c r="F27" s="179" t="s">
        <v>86</v>
      </c>
      <c r="G27" s="179" t="s">
        <v>87</v>
      </c>
      <c r="H27" s="179" t="s">
        <v>174</v>
      </c>
      <c r="I27" s="179" t="s">
        <v>175</v>
      </c>
      <c r="J27" s="179" t="s">
        <v>175</v>
      </c>
      <c r="K27" s="179"/>
      <c r="L27" s="179">
        <v>0.0</v>
      </c>
      <c r="M27" s="179"/>
      <c r="N27" s="179">
        <v>15.612783333333333</v>
      </c>
      <c r="O27" s="179" t="s">
        <v>89</v>
      </c>
      <c r="P27" s="179" t="s">
        <v>176</v>
      </c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E27" s="179"/>
      <c r="AF27" s="179"/>
    </row>
    <row r="28" ht="15.75" customHeight="1">
      <c r="A28" s="179" t="s">
        <v>84</v>
      </c>
      <c r="B28" s="179" t="s">
        <v>96</v>
      </c>
      <c r="C28" s="180">
        <v>364.0</v>
      </c>
      <c r="D28" s="179">
        <v>0.0</v>
      </c>
      <c r="E28" s="179"/>
      <c r="F28" s="179" t="s">
        <v>86</v>
      </c>
      <c r="G28" s="179" t="s">
        <v>87</v>
      </c>
      <c r="H28" s="179" t="s">
        <v>177</v>
      </c>
      <c r="I28" s="179" t="s">
        <v>178</v>
      </c>
      <c r="J28" s="179" t="s">
        <v>178</v>
      </c>
      <c r="K28" s="179"/>
      <c r="L28" s="179">
        <v>-6.0</v>
      </c>
      <c r="M28" s="179"/>
      <c r="N28" s="179">
        <v>8.744166666666667</v>
      </c>
      <c r="O28" s="179" t="s">
        <v>89</v>
      </c>
      <c r="P28" s="179" t="s">
        <v>179</v>
      </c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E28" s="179"/>
      <c r="AF28" s="179"/>
    </row>
    <row r="29" ht="15.75" customHeight="1">
      <c r="A29" s="179" t="s">
        <v>180</v>
      </c>
      <c r="B29" s="179" t="s">
        <v>96</v>
      </c>
      <c r="C29" s="180">
        <v>410.0</v>
      </c>
      <c r="D29" s="179">
        <v>0.0</v>
      </c>
      <c r="E29" s="179" t="s">
        <v>52</v>
      </c>
      <c r="F29" s="179" t="s">
        <v>181</v>
      </c>
      <c r="G29" s="179" t="s">
        <v>102</v>
      </c>
      <c r="H29" s="179" t="s">
        <v>182</v>
      </c>
      <c r="I29" s="179" t="s">
        <v>183</v>
      </c>
      <c r="J29" s="179" t="s">
        <v>184</v>
      </c>
      <c r="K29" s="179" t="s">
        <v>185</v>
      </c>
      <c r="L29" s="179">
        <v>-8.0</v>
      </c>
      <c r="M29" s="179">
        <v>0.013883333333333333</v>
      </c>
      <c r="N29" s="179">
        <v>9.4208</v>
      </c>
      <c r="O29" s="179" t="s">
        <v>186</v>
      </c>
      <c r="P29" s="179" t="s">
        <v>187</v>
      </c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</row>
    <row r="30" ht="15.75" customHeight="1">
      <c r="A30" s="179" t="s">
        <v>95</v>
      </c>
      <c r="B30" s="179" t="s">
        <v>96</v>
      </c>
      <c r="C30" s="180">
        <v>264.0</v>
      </c>
      <c r="D30" s="179">
        <v>0.0</v>
      </c>
      <c r="E30" s="179" t="s">
        <v>58</v>
      </c>
      <c r="F30" s="179" t="s">
        <v>86</v>
      </c>
      <c r="G30" s="179" t="s">
        <v>87</v>
      </c>
      <c r="H30" s="179" t="s">
        <v>188</v>
      </c>
      <c r="I30" s="179" t="s">
        <v>189</v>
      </c>
      <c r="J30" s="179" t="s">
        <v>189</v>
      </c>
      <c r="K30" s="179"/>
      <c r="L30" s="179">
        <v>-2.0</v>
      </c>
      <c r="M30" s="179"/>
      <c r="N30" s="179">
        <v>12.363783333333334</v>
      </c>
      <c r="O30" s="179" t="s">
        <v>89</v>
      </c>
      <c r="P30" s="179" t="s">
        <v>190</v>
      </c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</row>
    <row r="31" ht="15.75" customHeight="1">
      <c r="A31" s="179" t="s">
        <v>84</v>
      </c>
      <c r="B31" s="179" t="s">
        <v>96</v>
      </c>
      <c r="C31" s="179">
        <v>725.0</v>
      </c>
      <c r="D31" s="179">
        <v>0.0</v>
      </c>
      <c r="E31" s="179"/>
      <c r="F31" s="179" t="s">
        <v>86</v>
      </c>
      <c r="G31" s="179" t="s">
        <v>87</v>
      </c>
      <c r="H31" s="179" t="s">
        <v>191</v>
      </c>
      <c r="I31" s="179" t="s">
        <v>192</v>
      </c>
      <c r="J31" s="179" t="s">
        <v>192</v>
      </c>
      <c r="K31" s="179"/>
      <c r="L31" s="179">
        <v>-1.0</v>
      </c>
      <c r="M31" s="179"/>
      <c r="N31" s="179">
        <v>18.2422</v>
      </c>
      <c r="O31" s="179" t="s">
        <v>89</v>
      </c>
      <c r="P31" s="179" t="s">
        <v>193</v>
      </c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</row>
    <row r="32" ht="15.75" customHeight="1">
      <c r="A32" s="179" t="s">
        <v>84</v>
      </c>
      <c r="B32" s="179" t="s">
        <v>96</v>
      </c>
      <c r="C32" s="179">
        <v>528.0</v>
      </c>
      <c r="D32" s="179">
        <v>0.0</v>
      </c>
      <c r="E32" s="179"/>
      <c r="F32" s="179" t="s">
        <v>86</v>
      </c>
      <c r="G32" s="179" t="s">
        <v>87</v>
      </c>
      <c r="H32" s="179" t="s">
        <v>194</v>
      </c>
      <c r="I32" s="179" t="s">
        <v>195</v>
      </c>
      <c r="J32" s="179" t="s">
        <v>195</v>
      </c>
      <c r="K32" s="179"/>
      <c r="L32" s="179">
        <v>-1.0</v>
      </c>
      <c r="M32" s="179"/>
      <c r="N32" s="179">
        <v>18.3901</v>
      </c>
      <c r="O32" s="179" t="s">
        <v>89</v>
      </c>
      <c r="P32" s="179" t="s">
        <v>196</v>
      </c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</row>
    <row r="33" ht="15.75" customHeight="1">
      <c r="A33" s="179" t="s">
        <v>84</v>
      </c>
      <c r="B33" s="179" t="s">
        <v>96</v>
      </c>
      <c r="C33" s="179">
        <v>917.0</v>
      </c>
      <c r="D33" s="179">
        <v>0.0</v>
      </c>
      <c r="E33" s="179"/>
      <c r="F33" s="179" t="s">
        <v>86</v>
      </c>
      <c r="G33" s="179" t="s">
        <v>87</v>
      </c>
      <c r="H33" s="179" t="s">
        <v>197</v>
      </c>
      <c r="I33" s="179" t="s">
        <v>198</v>
      </c>
      <c r="J33" s="179" t="s">
        <v>198</v>
      </c>
      <c r="K33" s="179"/>
      <c r="L33" s="179">
        <v>-4.0</v>
      </c>
      <c r="M33" s="179"/>
      <c r="N33" s="179">
        <v>15.042383333333333</v>
      </c>
      <c r="O33" s="179" t="s">
        <v>89</v>
      </c>
      <c r="P33" s="179" t="s">
        <v>199</v>
      </c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</row>
    <row r="34" ht="15.75" customHeight="1">
      <c r="A34" s="179" t="s">
        <v>180</v>
      </c>
      <c r="B34" s="179" t="s">
        <v>96</v>
      </c>
      <c r="C34" s="179">
        <v>493.0</v>
      </c>
      <c r="D34" s="179">
        <v>0.0</v>
      </c>
      <c r="E34" s="179" t="s">
        <v>52</v>
      </c>
      <c r="F34" s="179" t="s">
        <v>181</v>
      </c>
      <c r="G34" s="179" t="s">
        <v>87</v>
      </c>
      <c r="H34" s="179" t="s">
        <v>200</v>
      </c>
      <c r="I34" s="179" t="s">
        <v>201</v>
      </c>
      <c r="J34" s="179" t="s">
        <v>202</v>
      </c>
      <c r="K34" s="179" t="s">
        <v>203</v>
      </c>
      <c r="L34" s="179">
        <v>21.0</v>
      </c>
      <c r="M34" s="179">
        <v>0.00555</v>
      </c>
      <c r="N34" s="179">
        <v>21.437633333333334</v>
      </c>
      <c r="O34" s="179" t="s">
        <v>186</v>
      </c>
      <c r="P34" s="179" t="s">
        <v>204</v>
      </c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</row>
    <row r="35" ht="15.75" customHeight="1">
      <c r="A35" s="179" t="s">
        <v>100</v>
      </c>
      <c r="B35" s="179" t="s">
        <v>96</v>
      </c>
      <c r="C35" s="180">
        <v>20.0</v>
      </c>
      <c r="D35" s="179">
        <v>35.0</v>
      </c>
      <c r="E35" s="179"/>
      <c r="F35" s="179" t="s">
        <v>101</v>
      </c>
      <c r="G35" s="179" t="s">
        <v>102</v>
      </c>
      <c r="H35" s="179" t="s">
        <v>205</v>
      </c>
      <c r="I35" s="179" t="s">
        <v>206</v>
      </c>
      <c r="J35" s="179" t="s">
        <v>206</v>
      </c>
      <c r="K35" s="179"/>
      <c r="L35" s="179">
        <v>-1.0</v>
      </c>
      <c r="M35" s="179"/>
      <c r="N35" s="179">
        <v>3.87595</v>
      </c>
      <c r="O35" s="179" t="s">
        <v>105</v>
      </c>
      <c r="P35" s="179" t="s">
        <v>207</v>
      </c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</row>
    <row r="36" ht="15.75" customHeight="1">
      <c r="A36" s="179" t="s">
        <v>180</v>
      </c>
      <c r="B36" s="179" t="s">
        <v>96</v>
      </c>
      <c r="C36" s="180">
        <v>528.0</v>
      </c>
      <c r="D36" s="179">
        <v>0.0</v>
      </c>
      <c r="E36" s="179" t="s">
        <v>52</v>
      </c>
      <c r="F36" s="179" t="s">
        <v>181</v>
      </c>
      <c r="G36" s="179" t="s">
        <v>87</v>
      </c>
      <c r="H36" s="179" t="s">
        <v>208</v>
      </c>
      <c r="I36" s="179" t="s">
        <v>209</v>
      </c>
      <c r="J36" s="179" t="s">
        <v>210</v>
      </c>
      <c r="K36" s="179" t="s">
        <v>211</v>
      </c>
      <c r="L36" s="179">
        <v>-13.0</v>
      </c>
      <c r="M36" s="179">
        <v>0.018516666666666667</v>
      </c>
      <c r="N36" s="179">
        <v>10.849466666666666</v>
      </c>
      <c r="O36" s="179" t="s">
        <v>186</v>
      </c>
      <c r="P36" s="179" t="s">
        <v>212</v>
      </c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</row>
    <row r="37" ht="15.75" customHeight="1">
      <c r="A37" s="179" t="s">
        <v>180</v>
      </c>
      <c r="B37" s="179" t="s">
        <v>96</v>
      </c>
      <c r="C37" s="179">
        <v>409.0</v>
      </c>
      <c r="D37" s="179">
        <v>0.0</v>
      </c>
      <c r="E37" s="179" t="s">
        <v>52</v>
      </c>
      <c r="F37" s="179" t="s">
        <v>181</v>
      </c>
      <c r="G37" s="179" t="s">
        <v>87</v>
      </c>
      <c r="H37" s="179" t="s">
        <v>213</v>
      </c>
      <c r="I37" s="179" t="s">
        <v>214</v>
      </c>
      <c r="J37" s="179" t="s">
        <v>215</v>
      </c>
      <c r="K37" s="179" t="s">
        <v>216</v>
      </c>
      <c r="L37" s="179">
        <v>-8.0</v>
      </c>
      <c r="M37" s="179">
        <v>0.0758</v>
      </c>
      <c r="N37" s="179">
        <v>11.4555</v>
      </c>
      <c r="O37" s="179" t="s">
        <v>186</v>
      </c>
      <c r="P37" s="179" t="s">
        <v>217</v>
      </c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</row>
    <row r="38" ht="15.75" customHeight="1">
      <c r="A38" s="179" t="s">
        <v>95</v>
      </c>
      <c r="B38" s="179" t="s">
        <v>96</v>
      </c>
      <c r="C38" s="180">
        <v>429.0</v>
      </c>
      <c r="D38" s="179">
        <v>0.0</v>
      </c>
      <c r="E38" s="179" t="s">
        <v>58</v>
      </c>
      <c r="F38" s="179" t="s">
        <v>86</v>
      </c>
      <c r="G38" s="179" t="s">
        <v>87</v>
      </c>
      <c r="H38" s="179" t="s">
        <v>218</v>
      </c>
      <c r="I38" s="179" t="s">
        <v>219</v>
      </c>
      <c r="J38" s="179" t="s">
        <v>219</v>
      </c>
      <c r="K38" s="179"/>
      <c r="L38" s="179">
        <v>-4.0</v>
      </c>
      <c r="M38" s="179"/>
      <c r="N38" s="179">
        <v>10.40685</v>
      </c>
      <c r="O38" s="179" t="s">
        <v>89</v>
      </c>
      <c r="P38" s="179" t="s">
        <v>220</v>
      </c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</row>
    <row r="39" ht="15.75" customHeight="1">
      <c r="A39" s="179" t="s">
        <v>84</v>
      </c>
      <c r="B39" s="179" t="s">
        <v>91</v>
      </c>
      <c r="C39" s="179">
        <v>289.0</v>
      </c>
      <c r="D39" s="179">
        <v>0.0</v>
      </c>
      <c r="E39" s="179"/>
      <c r="F39" s="179" t="s">
        <v>86</v>
      </c>
      <c r="G39" s="179" t="s">
        <v>87</v>
      </c>
      <c r="H39" s="179" t="s">
        <v>221</v>
      </c>
      <c r="I39" s="179" t="s">
        <v>222</v>
      </c>
      <c r="J39" s="179" t="s">
        <v>222</v>
      </c>
      <c r="K39" s="179"/>
      <c r="L39" s="179">
        <v>-6.0</v>
      </c>
      <c r="M39" s="179"/>
      <c r="N39" s="179">
        <v>8.094583333333333</v>
      </c>
      <c r="O39" s="179" t="s">
        <v>89</v>
      </c>
      <c r="P39" s="179" t="s">
        <v>223</v>
      </c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</row>
    <row r="40" ht="15.75" customHeight="1">
      <c r="A40" s="179" t="s">
        <v>116</v>
      </c>
      <c r="B40" s="179" t="s">
        <v>91</v>
      </c>
      <c r="C40" s="179">
        <v>399.0</v>
      </c>
      <c r="D40" s="179">
        <v>0.0</v>
      </c>
      <c r="E40" s="179" t="s">
        <v>224</v>
      </c>
      <c r="F40" s="179" t="s">
        <v>86</v>
      </c>
      <c r="G40" s="179" t="s">
        <v>87</v>
      </c>
      <c r="H40" s="179" t="s">
        <v>225</v>
      </c>
      <c r="I40" s="179" t="s">
        <v>226</v>
      </c>
      <c r="J40" s="179" t="s">
        <v>226</v>
      </c>
      <c r="K40" s="179"/>
      <c r="L40" s="179">
        <v>-6.0</v>
      </c>
      <c r="M40" s="179"/>
      <c r="N40" s="179">
        <v>8.60185</v>
      </c>
      <c r="O40" s="179" t="s">
        <v>89</v>
      </c>
      <c r="P40" s="179" t="s">
        <v>227</v>
      </c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</row>
    <row r="41" ht="15.75" customHeight="1">
      <c r="A41" s="179" t="s">
        <v>95</v>
      </c>
      <c r="B41" s="179" t="s">
        <v>96</v>
      </c>
      <c r="C41" s="180">
        <v>329.0</v>
      </c>
      <c r="D41" s="179">
        <v>0.0</v>
      </c>
      <c r="E41" s="179" t="s">
        <v>58</v>
      </c>
      <c r="F41" s="179" t="s">
        <v>86</v>
      </c>
      <c r="G41" s="179" t="s">
        <v>87</v>
      </c>
      <c r="H41" s="179" t="s">
        <v>228</v>
      </c>
      <c r="I41" s="179" t="s">
        <v>229</v>
      </c>
      <c r="J41" s="179" t="s">
        <v>229</v>
      </c>
      <c r="K41" s="179"/>
      <c r="L41" s="179">
        <v>-3.0</v>
      </c>
      <c r="M41" s="179"/>
      <c r="N41" s="179">
        <v>11.6454</v>
      </c>
      <c r="O41" s="179" t="s">
        <v>89</v>
      </c>
      <c r="P41" s="179" t="s">
        <v>230</v>
      </c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</row>
    <row r="42" ht="15.75" customHeight="1">
      <c r="A42" s="179" t="s">
        <v>95</v>
      </c>
      <c r="B42" s="179" t="s">
        <v>96</v>
      </c>
      <c r="C42" s="180">
        <v>439.0</v>
      </c>
      <c r="D42" s="179">
        <v>0.0</v>
      </c>
      <c r="E42" s="179" t="s">
        <v>58</v>
      </c>
      <c r="F42" s="179" t="s">
        <v>86</v>
      </c>
      <c r="G42" s="179" t="s">
        <v>87</v>
      </c>
      <c r="H42" s="179" t="s">
        <v>231</v>
      </c>
      <c r="I42" s="179" t="s">
        <v>232</v>
      </c>
      <c r="J42" s="179" t="s">
        <v>232</v>
      </c>
      <c r="K42" s="179"/>
      <c r="L42" s="179">
        <v>-7.0</v>
      </c>
      <c r="M42" s="179"/>
      <c r="N42" s="179">
        <v>7.810883333333333</v>
      </c>
      <c r="O42" s="179" t="s">
        <v>89</v>
      </c>
      <c r="P42" s="179" t="s">
        <v>233</v>
      </c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</row>
    <row r="43" ht="15.75" customHeight="1">
      <c r="A43" s="179" t="s">
        <v>116</v>
      </c>
      <c r="B43" s="179" t="s">
        <v>91</v>
      </c>
      <c r="C43" s="179">
        <v>642.0</v>
      </c>
      <c r="D43" s="179">
        <v>0.0</v>
      </c>
      <c r="E43" s="179" t="s">
        <v>234</v>
      </c>
      <c r="F43" s="179" t="s">
        <v>86</v>
      </c>
      <c r="G43" s="179" t="s">
        <v>87</v>
      </c>
      <c r="H43" s="179" t="s">
        <v>235</v>
      </c>
      <c r="I43" s="179" t="s">
        <v>236</v>
      </c>
      <c r="J43" s="179" t="s">
        <v>236</v>
      </c>
      <c r="K43" s="179"/>
      <c r="L43" s="179">
        <v>-6.0</v>
      </c>
      <c r="M43" s="179"/>
      <c r="N43" s="179">
        <v>13.680383333333333</v>
      </c>
      <c r="O43" s="179" t="s">
        <v>89</v>
      </c>
      <c r="P43" s="179" t="s">
        <v>237</v>
      </c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</row>
    <row r="44" ht="15.75" customHeight="1">
      <c r="A44" s="179" t="s">
        <v>95</v>
      </c>
      <c r="B44" s="179" t="s">
        <v>96</v>
      </c>
      <c r="C44" s="180">
        <v>329.0</v>
      </c>
      <c r="D44" s="179">
        <v>0.0</v>
      </c>
      <c r="E44" s="179" t="s">
        <v>58</v>
      </c>
      <c r="F44" s="179" t="s">
        <v>86</v>
      </c>
      <c r="G44" s="179" t="s">
        <v>87</v>
      </c>
      <c r="H44" s="179" t="s">
        <v>238</v>
      </c>
      <c r="I44" s="179" t="s">
        <v>239</v>
      </c>
      <c r="J44" s="179" t="s">
        <v>239</v>
      </c>
      <c r="K44" s="179"/>
      <c r="L44" s="179">
        <v>-4.0</v>
      </c>
      <c r="M44" s="179"/>
      <c r="N44" s="179">
        <v>10.191466666666667</v>
      </c>
      <c r="O44" s="179" t="s">
        <v>89</v>
      </c>
      <c r="P44" s="179" t="s">
        <v>136</v>
      </c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</row>
    <row r="45" ht="15.75" customHeight="1">
      <c r="A45" s="179" t="s">
        <v>95</v>
      </c>
      <c r="B45" s="179" t="s">
        <v>96</v>
      </c>
      <c r="C45" s="179">
        <v>429.0</v>
      </c>
      <c r="D45" s="179">
        <v>0.0</v>
      </c>
      <c r="E45" s="179" t="s">
        <v>58</v>
      </c>
      <c r="F45" s="179" t="s">
        <v>86</v>
      </c>
      <c r="G45" s="179" t="s">
        <v>87</v>
      </c>
      <c r="H45" s="179" t="s">
        <v>240</v>
      </c>
      <c r="I45" s="179" t="s">
        <v>241</v>
      </c>
      <c r="J45" s="179" t="s">
        <v>241</v>
      </c>
      <c r="K45" s="179"/>
      <c r="L45" s="179">
        <v>-4.0</v>
      </c>
      <c r="M45" s="179"/>
      <c r="N45" s="179">
        <v>10.486816666666666</v>
      </c>
      <c r="O45" s="179" t="s">
        <v>89</v>
      </c>
      <c r="P45" s="179" t="s">
        <v>242</v>
      </c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</row>
    <row r="46" ht="15.75" customHeight="1">
      <c r="A46" s="179" t="s">
        <v>116</v>
      </c>
      <c r="B46" s="179" t="s">
        <v>91</v>
      </c>
      <c r="C46" s="180">
        <v>366.0</v>
      </c>
      <c r="D46" s="179">
        <v>0.0</v>
      </c>
      <c r="E46" s="179" t="s">
        <v>243</v>
      </c>
      <c r="F46" s="179" t="s">
        <v>86</v>
      </c>
      <c r="G46" s="179" t="s">
        <v>87</v>
      </c>
      <c r="H46" s="179" t="s">
        <v>244</v>
      </c>
      <c r="I46" s="179" t="s">
        <v>245</v>
      </c>
      <c r="J46" s="179" t="s">
        <v>245</v>
      </c>
      <c r="K46" s="179"/>
      <c r="L46" s="179">
        <v>0.0</v>
      </c>
      <c r="M46" s="179"/>
      <c r="N46" s="179">
        <v>15.411566666666667</v>
      </c>
      <c r="O46" s="179" t="s">
        <v>89</v>
      </c>
      <c r="P46" s="179" t="s">
        <v>246</v>
      </c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</row>
    <row r="47" ht="15.75" customHeight="1">
      <c r="A47" s="179" t="s">
        <v>84</v>
      </c>
      <c r="B47" s="179" t="s">
        <v>91</v>
      </c>
      <c r="C47" s="180">
        <v>632.0</v>
      </c>
      <c r="D47" s="179">
        <v>0.0</v>
      </c>
      <c r="E47" s="179"/>
      <c r="F47" s="179" t="s">
        <v>86</v>
      </c>
      <c r="G47" s="179" t="s">
        <v>87</v>
      </c>
      <c r="H47" s="179" t="s">
        <v>247</v>
      </c>
      <c r="I47" s="179" t="s">
        <v>248</v>
      </c>
      <c r="J47" s="179" t="s">
        <v>248</v>
      </c>
      <c r="K47" s="179"/>
      <c r="L47" s="179">
        <v>6.0</v>
      </c>
      <c r="M47" s="179"/>
      <c r="N47" s="179">
        <v>16.629383333333333</v>
      </c>
      <c r="O47" s="179" t="s">
        <v>89</v>
      </c>
      <c r="P47" s="179" t="s">
        <v>249</v>
      </c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  <c r="AC47" s="179"/>
      <c r="AD47" s="179"/>
      <c r="AE47" s="179"/>
      <c r="AF47" s="179"/>
    </row>
    <row r="48" ht="15.75" customHeight="1">
      <c r="A48" s="179" t="s">
        <v>95</v>
      </c>
      <c r="B48" s="179" t="s">
        <v>96</v>
      </c>
      <c r="C48" s="180">
        <v>528.0</v>
      </c>
      <c r="D48" s="179">
        <v>0.0</v>
      </c>
      <c r="E48" s="179" t="s">
        <v>58</v>
      </c>
      <c r="F48" s="179" t="s">
        <v>86</v>
      </c>
      <c r="G48" s="179" t="s">
        <v>87</v>
      </c>
      <c r="H48" s="179" t="s">
        <v>250</v>
      </c>
      <c r="I48" s="179" t="s">
        <v>251</v>
      </c>
      <c r="J48" s="179" t="s">
        <v>251</v>
      </c>
      <c r="K48" s="179"/>
      <c r="L48" s="179">
        <v>-6.0</v>
      </c>
      <c r="M48" s="179"/>
      <c r="N48" s="179">
        <v>17.447283333333335</v>
      </c>
      <c r="O48" s="179" t="s">
        <v>89</v>
      </c>
      <c r="P48" s="179" t="s">
        <v>252</v>
      </c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</row>
    <row r="49" ht="15.75" customHeight="1">
      <c r="A49" s="179" t="s">
        <v>116</v>
      </c>
      <c r="B49" s="179" t="s">
        <v>96</v>
      </c>
      <c r="C49" s="179">
        <v>364.0</v>
      </c>
      <c r="D49" s="179">
        <v>0.0</v>
      </c>
      <c r="E49" s="179" t="s">
        <v>224</v>
      </c>
      <c r="F49" s="179" t="s">
        <v>86</v>
      </c>
      <c r="G49" s="179" t="s">
        <v>87</v>
      </c>
      <c r="H49" s="179" t="s">
        <v>253</v>
      </c>
      <c r="I49" s="179" t="s">
        <v>254</v>
      </c>
      <c r="J49" s="179" t="s">
        <v>254</v>
      </c>
      <c r="K49" s="179"/>
      <c r="L49" s="179">
        <v>-2.0</v>
      </c>
      <c r="M49" s="179"/>
      <c r="N49" s="179">
        <v>12.84635</v>
      </c>
      <c r="O49" s="179" t="s">
        <v>89</v>
      </c>
      <c r="P49" s="179" t="s">
        <v>255</v>
      </c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</row>
    <row r="50" ht="15.75" customHeight="1">
      <c r="A50" s="179" t="s">
        <v>180</v>
      </c>
      <c r="B50" s="179" t="s">
        <v>96</v>
      </c>
      <c r="C50" s="179">
        <v>527.0</v>
      </c>
      <c r="D50" s="179">
        <v>0.0</v>
      </c>
      <c r="E50" s="179" t="s">
        <v>52</v>
      </c>
      <c r="F50" s="179" t="s">
        <v>181</v>
      </c>
      <c r="G50" s="179" t="s">
        <v>87</v>
      </c>
      <c r="H50" s="179" t="s">
        <v>256</v>
      </c>
      <c r="I50" s="179" t="s">
        <v>257</v>
      </c>
      <c r="J50" s="179" t="s">
        <v>258</v>
      </c>
      <c r="K50" s="179" t="s">
        <v>259</v>
      </c>
      <c r="L50" s="179">
        <v>-12.0</v>
      </c>
      <c r="M50" s="179">
        <v>0.009216666666666666</v>
      </c>
      <c r="N50" s="179">
        <v>6.979266666666667</v>
      </c>
      <c r="O50" s="179" t="s">
        <v>186</v>
      </c>
      <c r="P50" s="179" t="s">
        <v>260</v>
      </c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</row>
    <row r="51" ht="15.75" customHeight="1">
      <c r="A51" s="179" t="s">
        <v>95</v>
      </c>
      <c r="B51" s="179" t="s">
        <v>96</v>
      </c>
      <c r="C51" s="179">
        <v>329.0</v>
      </c>
      <c r="D51" s="179">
        <v>0.0</v>
      </c>
      <c r="E51" s="179" t="s">
        <v>58</v>
      </c>
      <c r="F51" s="179" t="s">
        <v>86</v>
      </c>
      <c r="G51" s="179" t="s">
        <v>87</v>
      </c>
      <c r="H51" s="179" t="s">
        <v>261</v>
      </c>
      <c r="I51" s="179" t="s">
        <v>262</v>
      </c>
      <c r="J51" s="179" t="s">
        <v>262</v>
      </c>
      <c r="K51" s="179"/>
      <c r="L51" s="179">
        <v>-6.0</v>
      </c>
      <c r="M51" s="179"/>
      <c r="N51" s="179">
        <v>9.227083333333333</v>
      </c>
      <c r="O51" s="179" t="s">
        <v>89</v>
      </c>
      <c r="P51" s="179" t="s">
        <v>263</v>
      </c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</row>
    <row r="52" ht="15.75" customHeight="1">
      <c r="A52" s="179" t="s">
        <v>95</v>
      </c>
      <c r="B52" s="179" t="s">
        <v>96</v>
      </c>
      <c r="C52" s="180">
        <v>274.0</v>
      </c>
      <c r="D52" s="179">
        <v>0.0</v>
      </c>
      <c r="E52" s="179" t="s">
        <v>58</v>
      </c>
      <c r="F52" s="179" t="s">
        <v>86</v>
      </c>
      <c r="G52" s="179" t="s">
        <v>87</v>
      </c>
      <c r="H52" s="179" t="s">
        <v>264</v>
      </c>
      <c r="I52" s="179" t="s">
        <v>265</v>
      </c>
      <c r="J52" s="179" t="s">
        <v>265</v>
      </c>
      <c r="K52" s="179"/>
      <c r="L52" s="179">
        <v>-9.0</v>
      </c>
      <c r="M52" s="179"/>
      <c r="N52" s="179">
        <v>5.964066666666667</v>
      </c>
      <c r="O52" s="179" t="s">
        <v>89</v>
      </c>
      <c r="P52" s="179" t="s">
        <v>266</v>
      </c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  <c r="AC52" s="179"/>
      <c r="AD52" s="179"/>
      <c r="AE52" s="179"/>
      <c r="AF52" s="179"/>
    </row>
    <row r="53" ht="15.75" customHeight="1">
      <c r="A53" s="179" t="s">
        <v>100</v>
      </c>
      <c r="B53" s="179" t="s">
        <v>96</v>
      </c>
      <c r="C53" s="180">
        <v>249.0</v>
      </c>
      <c r="D53" s="179">
        <v>0.0</v>
      </c>
      <c r="E53" s="179"/>
      <c r="F53" s="179" t="s">
        <v>101</v>
      </c>
      <c r="G53" s="179" t="s">
        <v>102</v>
      </c>
      <c r="H53" s="179" t="s">
        <v>267</v>
      </c>
      <c r="I53" s="179" t="s">
        <v>268</v>
      </c>
      <c r="J53" s="179" t="s">
        <v>268</v>
      </c>
      <c r="K53" s="179"/>
      <c r="L53" s="179">
        <v>-1.0</v>
      </c>
      <c r="M53" s="179"/>
      <c r="N53" s="179">
        <v>3.07105</v>
      </c>
      <c r="O53" s="179" t="s">
        <v>105</v>
      </c>
      <c r="P53" s="179" t="s">
        <v>269</v>
      </c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</row>
    <row r="54" ht="15.75" customHeight="1">
      <c r="A54" s="179" t="s">
        <v>95</v>
      </c>
      <c r="B54" s="179" t="s">
        <v>96</v>
      </c>
      <c r="C54" s="179">
        <v>737.0</v>
      </c>
      <c r="D54" s="179">
        <v>0.0</v>
      </c>
      <c r="E54" s="179" t="s">
        <v>58</v>
      </c>
      <c r="F54" s="179" t="s">
        <v>86</v>
      </c>
      <c r="G54" s="179" t="s">
        <v>87</v>
      </c>
      <c r="H54" s="179" t="s">
        <v>270</v>
      </c>
      <c r="I54" s="179" t="s">
        <v>271</v>
      </c>
      <c r="J54" s="179" t="s">
        <v>271</v>
      </c>
      <c r="K54" s="179"/>
      <c r="L54" s="179">
        <v>-9.0</v>
      </c>
      <c r="M54" s="179"/>
      <c r="N54" s="179">
        <v>10.307316666666667</v>
      </c>
      <c r="O54" s="179" t="s">
        <v>89</v>
      </c>
      <c r="P54" s="179" t="s">
        <v>272</v>
      </c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</row>
    <row r="55" ht="15.75" customHeight="1">
      <c r="A55" s="179" t="s">
        <v>100</v>
      </c>
      <c r="B55" s="179" t="s">
        <v>96</v>
      </c>
      <c r="C55" s="180">
        <v>119.0</v>
      </c>
      <c r="D55" s="179">
        <v>0.0</v>
      </c>
      <c r="E55" s="179"/>
      <c r="F55" s="179" t="s">
        <v>101</v>
      </c>
      <c r="G55" s="179" t="s">
        <v>102</v>
      </c>
      <c r="H55" s="179" t="s">
        <v>273</v>
      </c>
      <c r="I55" s="179" t="s">
        <v>274</v>
      </c>
      <c r="J55" s="179" t="s">
        <v>274</v>
      </c>
      <c r="K55" s="179"/>
      <c r="L55" s="179">
        <v>0.0</v>
      </c>
      <c r="M55" s="179"/>
      <c r="N55" s="179">
        <v>4.6894833333333334</v>
      </c>
      <c r="O55" s="179" t="s">
        <v>105</v>
      </c>
      <c r="P55" s="179" t="s">
        <v>275</v>
      </c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</row>
    <row r="56" ht="15.75" customHeight="1">
      <c r="A56" s="179" t="s">
        <v>100</v>
      </c>
      <c r="B56" s="179" t="s">
        <v>96</v>
      </c>
      <c r="C56" s="180">
        <v>39.0</v>
      </c>
      <c r="D56" s="179">
        <v>0.0</v>
      </c>
      <c r="E56" s="179"/>
      <c r="F56" s="179" t="s">
        <v>101</v>
      </c>
      <c r="G56" s="179" t="s">
        <v>102</v>
      </c>
      <c r="H56" s="179" t="s">
        <v>276</v>
      </c>
      <c r="I56" s="179" t="s">
        <v>277</v>
      </c>
      <c r="J56" s="179" t="s">
        <v>277</v>
      </c>
      <c r="K56" s="179"/>
      <c r="L56" s="179">
        <v>-3.0</v>
      </c>
      <c r="M56" s="179"/>
      <c r="N56" s="179">
        <v>1.3052833333333334</v>
      </c>
      <c r="O56" s="179" t="s">
        <v>105</v>
      </c>
      <c r="P56" s="179" t="s">
        <v>278</v>
      </c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</row>
    <row r="57" ht="15.75" customHeight="1">
      <c r="A57" s="179" t="s">
        <v>95</v>
      </c>
      <c r="B57" s="179" t="s">
        <v>96</v>
      </c>
      <c r="C57" s="180">
        <v>358.0</v>
      </c>
      <c r="D57" s="179">
        <v>0.0</v>
      </c>
      <c r="E57" s="179" t="s">
        <v>58</v>
      </c>
      <c r="F57" s="179" t="s">
        <v>86</v>
      </c>
      <c r="G57" s="179" t="s">
        <v>87</v>
      </c>
      <c r="H57" s="179" t="s">
        <v>279</v>
      </c>
      <c r="I57" s="179" t="s">
        <v>280</v>
      </c>
      <c r="J57" s="179" t="s">
        <v>280</v>
      </c>
      <c r="K57" s="179"/>
      <c r="L57" s="179">
        <v>-3.0</v>
      </c>
      <c r="M57" s="179"/>
      <c r="N57" s="179">
        <v>11.540366666666667</v>
      </c>
      <c r="O57" s="179" t="s">
        <v>89</v>
      </c>
      <c r="P57" s="179" t="s">
        <v>281</v>
      </c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</row>
    <row r="58" ht="15.75" customHeight="1">
      <c r="A58" s="179" t="s">
        <v>116</v>
      </c>
      <c r="B58" s="179" t="s">
        <v>96</v>
      </c>
      <c r="C58" s="179">
        <v>693.0</v>
      </c>
      <c r="D58" s="179">
        <v>0.0</v>
      </c>
      <c r="E58" s="179" t="s">
        <v>282</v>
      </c>
      <c r="F58" s="179" t="s">
        <v>86</v>
      </c>
      <c r="G58" s="179" t="s">
        <v>87</v>
      </c>
      <c r="H58" s="179" t="s">
        <v>283</v>
      </c>
      <c r="I58" s="179" t="s">
        <v>284</v>
      </c>
      <c r="J58" s="179" t="s">
        <v>284</v>
      </c>
      <c r="K58" s="179"/>
      <c r="L58" s="179">
        <v>-8.0</v>
      </c>
      <c r="M58" s="179"/>
      <c r="N58" s="179">
        <v>11.155716666666667</v>
      </c>
      <c r="O58" s="179" t="s">
        <v>89</v>
      </c>
      <c r="P58" s="179" t="s">
        <v>285</v>
      </c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  <c r="AC58" s="179"/>
      <c r="AD58" s="179"/>
      <c r="AE58" s="179"/>
      <c r="AF58" s="179"/>
    </row>
    <row r="59" ht="15.75" customHeight="1">
      <c r="A59" s="179" t="s">
        <v>95</v>
      </c>
      <c r="B59" s="179" t="s">
        <v>96</v>
      </c>
      <c r="C59" s="180">
        <v>366.0</v>
      </c>
      <c r="D59" s="179">
        <v>0.0</v>
      </c>
      <c r="E59" s="179" t="s">
        <v>58</v>
      </c>
      <c r="F59" s="179" t="s">
        <v>86</v>
      </c>
      <c r="G59" s="179" t="s">
        <v>87</v>
      </c>
      <c r="H59" s="179" t="s">
        <v>286</v>
      </c>
      <c r="I59" s="179" t="s">
        <v>287</v>
      </c>
      <c r="J59" s="179" t="s">
        <v>287</v>
      </c>
      <c r="K59" s="179"/>
      <c r="L59" s="179">
        <v>-1.0</v>
      </c>
      <c r="M59" s="179"/>
      <c r="N59" s="179">
        <v>13.2086</v>
      </c>
      <c r="O59" s="179" t="s">
        <v>89</v>
      </c>
      <c r="P59" s="179" t="s">
        <v>288</v>
      </c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</row>
    <row r="60" ht="15.75" customHeight="1">
      <c r="A60" s="179" t="s">
        <v>95</v>
      </c>
      <c r="B60" s="179" t="s">
        <v>96</v>
      </c>
      <c r="C60" s="179">
        <v>528.0</v>
      </c>
      <c r="D60" s="179">
        <v>0.0</v>
      </c>
      <c r="E60" s="179" t="s">
        <v>58</v>
      </c>
      <c r="F60" s="179" t="s">
        <v>86</v>
      </c>
      <c r="G60" s="179" t="s">
        <v>87</v>
      </c>
      <c r="H60" s="179" t="s">
        <v>289</v>
      </c>
      <c r="I60" s="179" t="s">
        <v>290</v>
      </c>
      <c r="J60" s="179" t="s">
        <v>290</v>
      </c>
      <c r="K60" s="179"/>
      <c r="L60" s="179">
        <v>-8.0</v>
      </c>
      <c r="M60" s="179"/>
      <c r="N60" s="179">
        <v>11.62515</v>
      </c>
      <c r="O60" s="179" t="s">
        <v>89</v>
      </c>
      <c r="P60" s="179" t="s">
        <v>291</v>
      </c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9"/>
    </row>
    <row r="61" ht="15.75" customHeight="1">
      <c r="A61" s="179" t="s">
        <v>100</v>
      </c>
      <c r="B61" s="179" t="s">
        <v>96</v>
      </c>
      <c r="C61" s="180">
        <v>249.0</v>
      </c>
      <c r="D61" s="179">
        <v>0.0</v>
      </c>
      <c r="E61" s="179"/>
      <c r="F61" s="179" t="s">
        <v>101</v>
      </c>
      <c r="G61" s="179" t="s">
        <v>102</v>
      </c>
      <c r="H61" s="179" t="s">
        <v>292</v>
      </c>
      <c r="I61" s="179" t="s">
        <v>293</v>
      </c>
      <c r="J61" s="179" t="s">
        <v>293</v>
      </c>
      <c r="K61" s="179"/>
      <c r="L61" s="179">
        <v>0.0</v>
      </c>
      <c r="M61" s="179"/>
      <c r="N61" s="179">
        <v>4.5986666666666665</v>
      </c>
      <c r="O61" s="179" t="s">
        <v>105</v>
      </c>
      <c r="P61" s="179" t="s">
        <v>294</v>
      </c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</row>
    <row r="62" ht="15.75" customHeight="1">
      <c r="A62" s="179" t="s">
        <v>95</v>
      </c>
      <c r="B62" s="179" t="s">
        <v>96</v>
      </c>
      <c r="C62" s="179">
        <v>383.0</v>
      </c>
      <c r="D62" s="179">
        <v>0.0</v>
      </c>
      <c r="E62" s="179" t="s">
        <v>58</v>
      </c>
      <c r="F62" s="179" t="s">
        <v>86</v>
      </c>
      <c r="G62" s="179" t="s">
        <v>87</v>
      </c>
      <c r="H62" s="179" t="s">
        <v>295</v>
      </c>
      <c r="I62" s="179" t="s">
        <v>296</v>
      </c>
      <c r="J62" s="179" t="s">
        <v>296</v>
      </c>
      <c r="K62" s="179"/>
      <c r="L62" s="179">
        <v>-6.0</v>
      </c>
      <c r="M62" s="179"/>
      <c r="N62" s="179">
        <v>9.455016666666667</v>
      </c>
      <c r="O62" s="179" t="s">
        <v>89</v>
      </c>
      <c r="P62" s="179" t="s">
        <v>297</v>
      </c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9"/>
    </row>
    <row r="63" ht="15.75" customHeight="1">
      <c r="A63" s="179" t="s">
        <v>84</v>
      </c>
      <c r="B63" s="179" t="s">
        <v>96</v>
      </c>
      <c r="C63" s="179">
        <v>264.0</v>
      </c>
      <c r="D63" s="179">
        <v>0.0</v>
      </c>
      <c r="E63" s="179"/>
      <c r="F63" s="179" t="s">
        <v>86</v>
      </c>
      <c r="G63" s="179" t="s">
        <v>87</v>
      </c>
      <c r="H63" s="179" t="s">
        <v>298</v>
      </c>
      <c r="I63" s="179" t="s">
        <v>299</v>
      </c>
      <c r="J63" s="179" t="s">
        <v>299</v>
      </c>
      <c r="K63" s="179"/>
      <c r="L63" s="179">
        <v>-7.0</v>
      </c>
      <c r="M63" s="179"/>
      <c r="N63" s="179">
        <v>7.9995</v>
      </c>
      <c r="O63" s="179" t="s">
        <v>89</v>
      </c>
      <c r="P63" s="179" t="s">
        <v>300</v>
      </c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9"/>
    </row>
    <row r="64" ht="15.75" customHeight="1">
      <c r="A64" s="179" t="s">
        <v>84</v>
      </c>
      <c r="B64" s="179" t="s">
        <v>96</v>
      </c>
      <c r="C64" s="179">
        <v>394.0</v>
      </c>
      <c r="D64" s="179">
        <v>0.0</v>
      </c>
      <c r="E64" s="179"/>
      <c r="F64" s="179" t="s">
        <v>86</v>
      </c>
      <c r="G64" s="179" t="s">
        <v>87</v>
      </c>
      <c r="H64" s="179" t="s">
        <v>301</v>
      </c>
      <c r="I64" s="179" t="s">
        <v>302</v>
      </c>
      <c r="J64" s="179" t="s">
        <v>302</v>
      </c>
      <c r="K64" s="179"/>
      <c r="L64" s="179">
        <v>-5.0</v>
      </c>
      <c r="M64" s="179"/>
      <c r="N64" s="179">
        <v>9.086383333333334</v>
      </c>
      <c r="O64" s="179" t="s">
        <v>89</v>
      </c>
      <c r="P64" s="179" t="s">
        <v>303</v>
      </c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  <c r="AC64" s="179"/>
      <c r="AD64" s="179"/>
      <c r="AE64" s="179"/>
      <c r="AF64" s="179"/>
    </row>
    <row r="65" ht="15.75" customHeight="1">
      <c r="A65" s="179" t="s">
        <v>84</v>
      </c>
      <c r="B65" s="179" t="s">
        <v>96</v>
      </c>
      <c r="C65" s="180">
        <v>323.0</v>
      </c>
      <c r="D65" s="179">
        <v>0.0</v>
      </c>
      <c r="E65" s="179"/>
      <c r="F65" s="179" t="s">
        <v>86</v>
      </c>
      <c r="G65" s="179" t="s">
        <v>87</v>
      </c>
      <c r="H65" s="179" t="s">
        <v>304</v>
      </c>
      <c r="I65" s="179" t="s">
        <v>305</v>
      </c>
      <c r="J65" s="179" t="s">
        <v>305</v>
      </c>
      <c r="K65" s="179"/>
      <c r="L65" s="179">
        <v>0.0</v>
      </c>
      <c r="M65" s="179"/>
      <c r="N65" s="179">
        <v>15.301583333333333</v>
      </c>
      <c r="O65" s="179" t="s">
        <v>89</v>
      </c>
      <c r="P65" s="179" t="s">
        <v>306</v>
      </c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79"/>
      <c r="AC65" s="179"/>
      <c r="AD65" s="179"/>
      <c r="AE65" s="179"/>
      <c r="AF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  <c r="AC67" s="179"/>
      <c r="AD67" s="179"/>
      <c r="AE67" s="179"/>
      <c r="AF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  <c r="AC68" s="179"/>
      <c r="AD68" s="179"/>
      <c r="AE68" s="179"/>
      <c r="AF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79"/>
    </row>
    <row r="70" ht="15.75" customHeight="1">
      <c r="A70" s="179"/>
      <c r="B70" s="179"/>
      <c r="C70" s="180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  <c r="AC70" s="179"/>
      <c r="AD70" s="179"/>
      <c r="AE70" s="179"/>
      <c r="AF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  <c r="AC71" s="179"/>
      <c r="AD71" s="179"/>
      <c r="AE71" s="179"/>
      <c r="AF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  <c r="AC72" s="179"/>
      <c r="AD72" s="179"/>
      <c r="AE72" s="179"/>
      <c r="AF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79"/>
      <c r="AB73" s="179"/>
      <c r="AC73" s="179"/>
      <c r="AD73" s="179"/>
      <c r="AE73" s="179"/>
      <c r="AF73" s="179"/>
    </row>
    <row r="74" ht="15.75" customHeight="1">
      <c r="A74" s="179"/>
      <c r="B74" s="179"/>
      <c r="C74" s="180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  <c r="AE74" s="179"/>
      <c r="AF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  <c r="AF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9"/>
    </row>
    <row r="77" ht="15.75" customHeight="1">
      <c r="A77" s="179"/>
      <c r="B77" s="179"/>
      <c r="C77" s="180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  <c r="AE77" s="179"/>
      <c r="AF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</row>
    <row r="80" ht="15.75" customHeight="1">
      <c r="A80" s="179"/>
      <c r="B80" s="179"/>
      <c r="C80" s="180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79"/>
    </row>
    <row r="82" ht="15.75" customHeight="1">
      <c r="A82" s="179"/>
      <c r="B82" s="179"/>
      <c r="C82" s="180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9"/>
    </row>
    <row r="84" ht="15.75" customHeight="1">
      <c r="A84" s="179"/>
      <c r="B84" s="179"/>
      <c r="C84" s="180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  <c r="AC84" s="179"/>
      <c r="AD84" s="179"/>
      <c r="AE84" s="179"/>
      <c r="AF84" s="179"/>
    </row>
    <row r="85" ht="15.75" customHeight="1">
      <c r="A85" s="179"/>
      <c r="B85" s="179"/>
      <c r="C85" s="180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F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  <c r="AC86" s="179"/>
      <c r="AD86" s="179"/>
      <c r="AE86" s="179"/>
      <c r="AF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  <c r="AE87" s="179"/>
      <c r="AF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9"/>
    </row>
    <row r="89" ht="15.75" customHeight="1">
      <c r="A89" s="179"/>
      <c r="B89" s="179"/>
      <c r="C89" s="180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9"/>
    </row>
    <row r="90" ht="15.75" customHeight="1">
      <c r="A90" s="179"/>
      <c r="B90" s="179"/>
      <c r="C90" s="180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  <c r="AE90" s="179"/>
      <c r="AF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  <c r="AF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</row>
    <row r="93" ht="15.75" customHeight="1">
      <c r="A93" s="179"/>
      <c r="B93" s="179"/>
      <c r="C93" s="180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  <c r="AC93" s="179"/>
      <c r="AD93" s="179"/>
      <c r="AE93" s="179"/>
      <c r="AF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  <c r="AC94" s="179"/>
      <c r="AD94" s="179"/>
      <c r="AE94" s="179"/>
      <c r="AF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  <c r="AC95" s="179"/>
      <c r="AD95" s="179"/>
      <c r="AE95" s="179"/>
      <c r="AF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  <c r="AC96" s="179"/>
      <c r="AD96" s="179"/>
      <c r="AE96" s="179"/>
      <c r="AF96" s="179"/>
    </row>
    <row r="97" ht="15.75" customHeight="1">
      <c r="A97" s="179"/>
      <c r="B97" s="179"/>
      <c r="C97" s="180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  <c r="AB97" s="179"/>
      <c r="AC97" s="179"/>
      <c r="AD97" s="179"/>
      <c r="AE97" s="179"/>
      <c r="AF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  <c r="AC98" s="179"/>
      <c r="AD98" s="179"/>
      <c r="AE98" s="179"/>
      <c r="AF98" s="179"/>
    </row>
    <row r="99" ht="15.75" customHeight="1">
      <c r="A99" s="179"/>
      <c r="B99" s="179"/>
      <c r="C99" s="180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</row>
    <row r="100" ht="15.75" customHeight="1">
      <c r="A100" s="179"/>
      <c r="B100" s="179"/>
      <c r="C100" s="180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  <c r="AC100" s="179"/>
      <c r="AD100" s="179"/>
      <c r="AE100" s="179"/>
      <c r="AF100" s="179"/>
    </row>
    <row r="101" ht="15.75" customHeight="1">
      <c r="A101" s="179"/>
      <c r="B101" s="179"/>
      <c r="C101" s="180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  <c r="AC102" s="179"/>
      <c r="AD102" s="179"/>
      <c r="AE102" s="179"/>
      <c r="AF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  <c r="AC103" s="179"/>
      <c r="AD103" s="179"/>
      <c r="AE103" s="179"/>
      <c r="AF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  <c r="AC105" s="179"/>
      <c r="AD105" s="179"/>
      <c r="AE105" s="179"/>
      <c r="AF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  <c r="AC106" s="179"/>
      <c r="AD106" s="179"/>
      <c r="AE106" s="179"/>
      <c r="AF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  <c r="AC107" s="179"/>
      <c r="AD107" s="179"/>
      <c r="AE107" s="179"/>
      <c r="AF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  <c r="AC108" s="179"/>
      <c r="AD108" s="179"/>
      <c r="AE108" s="179"/>
      <c r="AF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  <c r="AC109" s="179"/>
      <c r="AD109" s="179"/>
      <c r="AE109" s="179"/>
      <c r="AF109" s="179"/>
    </row>
    <row r="110" ht="15.75" customHeight="1">
      <c r="A110" s="179"/>
      <c r="B110" s="179"/>
      <c r="C110" s="180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  <c r="AC110" s="179"/>
      <c r="AD110" s="179"/>
      <c r="AE110" s="179"/>
      <c r="AF110" s="179"/>
    </row>
    <row r="111" ht="15.75" customHeight="1">
      <c r="A111" s="179"/>
      <c r="B111" s="179"/>
      <c r="C111" s="180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  <c r="AC111" s="179"/>
      <c r="AD111" s="179"/>
      <c r="AE111" s="179"/>
      <c r="AF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  <c r="AC112" s="179"/>
      <c r="AD112" s="179"/>
      <c r="AE112" s="179"/>
      <c r="AF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  <c r="AC113" s="179"/>
      <c r="AD113" s="179"/>
      <c r="AE113" s="179"/>
      <c r="AF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  <c r="AC114" s="179"/>
      <c r="AD114" s="179"/>
      <c r="AE114" s="179"/>
      <c r="AF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  <c r="AC115" s="179"/>
      <c r="AD115" s="179"/>
      <c r="AE115" s="179"/>
      <c r="AF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  <c r="AC116" s="179"/>
      <c r="AE116" s="179"/>
      <c r="AF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  <c r="AC117" s="179"/>
      <c r="AE117" s="179"/>
      <c r="AF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  <c r="AC119" s="179"/>
      <c r="AE119" s="179"/>
      <c r="AF119" s="179"/>
    </row>
    <row r="120" ht="15.75" customHeight="1">
      <c r="A120" s="179"/>
      <c r="B120" s="179"/>
      <c r="C120" s="180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  <c r="AC123" s="179"/>
      <c r="AE123" s="179"/>
      <c r="AF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  <c r="AC124" s="179"/>
      <c r="AD124" s="179"/>
      <c r="AE124" s="179"/>
      <c r="AF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  <c r="AC125" s="179"/>
      <c r="AD125" s="179"/>
      <c r="AE125" s="179"/>
      <c r="AF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  <c r="AC126" s="179"/>
      <c r="AD126" s="179"/>
      <c r="AE126" s="179"/>
      <c r="AF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</row>
    <row r="128" ht="15.75" customHeight="1">
      <c r="A128" s="179"/>
      <c r="B128" s="180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E128" s="179"/>
      <c r="AF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  <c r="AE130" s="179"/>
      <c r="AF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</row>
    <row r="132" ht="15.75" customHeight="1">
      <c r="A132" s="179"/>
      <c r="B132" s="179"/>
      <c r="C132" s="180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E132" s="179"/>
      <c r="AF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  <c r="AC135" s="179"/>
      <c r="AE135" s="179"/>
      <c r="AF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  <c r="AE136" s="179"/>
      <c r="AF136" s="179"/>
    </row>
    <row r="137" ht="15.75" customHeight="1">
      <c r="A137" s="179"/>
      <c r="B137" s="179"/>
      <c r="C137" s="180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9"/>
      <c r="AE138" s="179"/>
      <c r="AF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9"/>
      <c r="AF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E140" s="179"/>
      <c r="AF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  <c r="AE141" s="179"/>
      <c r="AF141" s="179"/>
    </row>
    <row r="142" ht="15.75" customHeight="1">
      <c r="A142" s="179"/>
      <c r="B142" s="179"/>
      <c r="C142" s="180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  <c r="AE142" s="179"/>
      <c r="AF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</row>
    <row r="144" ht="15.75" customHeight="1">
      <c r="A144" s="179"/>
      <c r="B144" s="179"/>
      <c r="C144" s="180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  <c r="AE144" s="179"/>
      <c r="AF144" s="179"/>
    </row>
    <row r="145" ht="15.75" customHeight="1">
      <c r="A145" s="179"/>
      <c r="B145" s="179"/>
      <c r="C145" s="180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  <c r="AC145" s="179"/>
      <c r="AE145" s="179"/>
      <c r="AF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  <c r="AC147" s="179"/>
      <c r="AD147" s="179"/>
      <c r="AE147" s="179"/>
      <c r="AF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/>
      <c r="AE148" s="179"/>
      <c r="AF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  <c r="AC149" s="179"/>
      <c r="AE149" s="179"/>
      <c r="AF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179"/>
      <c r="AE150" s="179"/>
      <c r="AF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  <c r="AC151" s="179"/>
      <c r="AD151" s="179"/>
      <c r="AE151" s="179"/>
      <c r="AF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  <c r="AC152" s="179"/>
      <c r="AE152" s="179"/>
      <c r="AF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  <c r="AC153" s="179"/>
      <c r="AE153" s="179"/>
      <c r="AF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  <c r="AC154" s="179"/>
      <c r="AD154" s="179"/>
      <c r="AE154" s="179"/>
      <c r="AF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  <c r="AC155" s="179"/>
      <c r="AE155" s="179"/>
      <c r="AF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  <c r="AC156" s="179"/>
      <c r="AE156" s="179"/>
      <c r="AF156" s="179"/>
    </row>
    <row r="157" ht="15.75" customHeight="1">
      <c r="A157" s="179"/>
      <c r="B157" s="179"/>
      <c r="C157" s="180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  <c r="AC157" s="179"/>
      <c r="AE157" s="179"/>
      <c r="AF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  <c r="AC158" s="179"/>
      <c r="AE158" s="179"/>
      <c r="AF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  <c r="AC159" s="179"/>
      <c r="AD159" s="179"/>
      <c r="AE159" s="179"/>
      <c r="AF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  <c r="AC160" s="179"/>
      <c r="AE160" s="179"/>
      <c r="AF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  <c r="AC161" s="179"/>
      <c r="AD161" s="179"/>
      <c r="AE161" s="179"/>
      <c r="AF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  <c r="AC162" s="179"/>
      <c r="AD162" s="179"/>
      <c r="AE162" s="179"/>
      <c r="AF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  <c r="AE164" s="179"/>
      <c r="AF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  <c r="AC165" s="179"/>
      <c r="AE165" s="179"/>
      <c r="AF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  <c r="AC166" s="179"/>
      <c r="AD166" s="179"/>
      <c r="AE166" s="179"/>
      <c r="AF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E167" s="179"/>
      <c r="AF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  <c r="AC168" s="179"/>
      <c r="AD168" s="179"/>
      <c r="AE168" s="179"/>
      <c r="AF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  <c r="AC169" s="179"/>
      <c r="AE169" s="179"/>
      <c r="AF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  <c r="AC170" s="179"/>
      <c r="AD170" s="179"/>
      <c r="AE170" s="179"/>
      <c r="AF170" s="179"/>
    </row>
    <row r="171" ht="15.75" customHeight="1">
      <c r="A171" s="179"/>
      <c r="B171" s="179"/>
      <c r="C171" s="180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  <c r="AC171" s="179"/>
      <c r="AE171" s="179"/>
      <c r="AF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  <c r="AC172" s="179"/>
      <c r="AD172" s="179"/>
      <c r="AE172" s="179"/>
      <c r="AF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  <c r="AC173" s="179"/>
      <c r="AE173" s="179"/>
      <c r="AF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  <c r="AC174" s="179"/>
      <c r="AE174" s="179"/>
      <c r="AF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  <c r="AC175" s="179"/>
      <c r="AE175" s="179"/>
      <c r="AF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  <c r="AC176" s="179"/>
      <c r="AE176" s="179"/>
      <c r="AF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  <c r="AC177" s="179"/>
      <c r="AE177" s="179"/>
      <c r="AF177" s="179"/>
    </row>
    <row r="178" ht="15.75" customHeight="1">
      <c r="A178" s="179"/>
      <c r="B178" s="179"/>
      <c r="C178" s="180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E178" s="179"/>
      <c r="AF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  <c r="AC179" s="179"/>
      <c r="AE179" s="179"/>
      <c r="AF179" s="179"/>
    </row>
    <row r="180" ht="15.75" customHeight="1">
      <c r="A180" s="179"/>
      <c r="B180" s="179"/>
      <c r="C180" s="180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  <c r="AC180" s="179"/>
      <c r="AD180" s="179"/>
      <c r="AE180" s="179"/>
      <c r="AF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  <c r="AC181" s="179"/>
      <c r="AD181" s="179"/>
      <c r="AE181" s="179"/>
      <c r="AF181" s="179"/>
    </row>
    <row r="182" ht="15.75" customHeight="1">
      <c r="A182" s="179"/>
      <c r="B182" s="179"/>
      <c r="C182" s="180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  <c r="AC182" s="179"/>
      <c r="AE182" s="179"/>
      <c r="AF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  <c r="AC183" s="179"/>
      <c r="AD183" s="179"/>
      <c r="AE183" s="179"/>
      <c r="AF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  <c r="AC184" s="179"/>
      <c r="AD184" s="179"/>
      <c r="AE184" s="179"/>
      <c r="AF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E186" s="179"/>
      <c r="AF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  <c r="AC187" s="179"/>
      <c r="AD187" s="179"/>
      <c r="AE187" s="179"/>
      <c r="AF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  <c r="AC188" s="179"/>
      <c r="AE188" s="179"/>
      <c r="AF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  <c r="AC189" s="179"/>
      <c r="AE189" s="179"/>
      <c r="AF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  <c r="AC190" s="179"/>
      <c r="AD190" s="179"/>
      <c r="AE190" s="179"/>
      <c r="AF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  <c r="AC191" s="179"/>
      <c r="AE191" s="179"/>
      <c r="AF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  <c r="AC192" s="179"/>
      <c r="AE192" s="179"/>
      <c r="AF192" s="179"/>
    </row>
    <row r="193" ht="15.75" customHeight="1">
      <c r="A193" s="179"/>
      <c r="B193" s="179"/>
      <c r="C193" s="180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  <c r="AC193" s="179"/>
      <c r="AE193" s="179"/>
      <c r="AF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  <c r="AC194" s="179"/>
      <c r="AE194" s="179"/>
      <c r="AF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  <c r="AC195" s="179"/>
      <c r="AD195" s="179"/>
      <c r="AE195" s="179"/>
      <c r="AF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  <c r="AC196" s="179"/>
      <c r="AE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  <c r="AC197" s="179"/>
      <c r="AE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  <c r="AC198" s="179"/>
      <c r="AE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  <c r="AC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  <c r="AC200" s="179"/>
      <c r="AD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  <c r="AC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  <c r="AC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  <c r="AC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  <c r="AC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  <c r="AC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  <c r="AC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  <c r="AC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  <c r="AC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  <c r="AC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  <c r="AC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  <c r="AC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  <c r="AC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  <c r="AC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  <c r="AC214" s="179"/>
      <c r="AD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  <c r="AC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  <c r="AC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  <c r="AC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  <c r="AC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</row>
    <row r="220" ht="15.75" customHeight="1">
      <c r="A220" s="179"/>
      <c r="B220" s="179"/>
      <c r="C220" s="180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  <c r="AC220" s="179"/>
    </row>
    <row r="221" ht="15.7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</row>
    <row r="222" ht="15.75" customHeight="1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  <c r="AC222" s="179"/>
    </row>
    <row r="223" ht="15.75" customHeight="1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  <c r="AC223" s="179"/>
    </row>
    <row r="224" ht="15.75" customHeight="1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</row>
    <row r="225" ht="15.75" customHeight="1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  <c r="AC225" s="179"/>
    </row>
    <row r="226" ht="15.75" customHeight="1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  <c r="AC226" s="179"/>
    </row>
    <row r="227" ht="15.75" customHeight="1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</row>
    <row r="228" ht="15.75" customHeight="1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</row>
    <row r="229" ht="15.75" customHeight="1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</row>
    <row r="230" ht="15.75" customHeight="1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</row>
    <row r="231" ht="15.75" customHeight="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</row>
    <row r="232" ht="15.75" customHeight="1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</row>
    <row r="233" ht="15.75" customHeight="1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</row>
    <row r="234" ht="15.75" customHeight="1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  <c r="AC234" s="179"/>
    </row>
    <row r="235" ht="15.75" customHeight="1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</row>
    <row r="236" ht="15.75" customHeight="1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</row>
    <row r="237" ht="15.75" customHeight="1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</row>
    <row r="238" ht="15.7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</row>
    <row r="239" ht="15.7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</row>
    <row r="240" ht="15.75" customHeight="1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</row>
    <row r="241" ht="15.75" customHeight="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</row>
    <row r="242" ht="15.75" customHeight="1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</row>
    <row r="243" ht="15.75" customHeight="1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</row>
    <row r="244" ht="15.75" customHeight="1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</row>
    <row r="245" ht="15.75" customHeight="1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</row>
    <row r="246" ht="15.75" customHeight="1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</row>
    <row r="247" ht="15.75" customHeight="1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</row>
    <row r="248" ht="15.75" customHeight="1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</row>
    <row r="249" ht="15.75" customHeight="1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</row>
    <row r="250" ht="15.75" customHeight="1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</row>
    <row r="251" ht="15.75" customHeight="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</row>
    <row r="252" ht="15.75" customHeight="1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</row>
    <row r="253" ht="15.75" customHeight="1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</row>
    <row r="254" ht="15.75" customHeight="1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</row>
    <row r="255" ht="15.75" customHeight="1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  <c r="AC255" s="179"/>
    </row>
    <row r="256" ht="15.75" customHeight="1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  <c r="AC256" s="179"/>
    </row>
    <row r="257" ht="15.75" customHeight="1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  <c r="AC257" s="179"/>
    </row>
    <row r="258" ht="15.75" customHeight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  <c r="AC258" s="179"/>
    </row>
    <row r="259" ht="15.75" customHeight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  <c r="AC259" s="179"/>
    </row>
    <row r="260" ht="15.75" customHeight="1">
      <c r="A260" s="179"/>
      <c r="B260" s="179"/>
      <c r="C260" s="180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</row>
    <row r="261" ht="15.75" customHeight="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</row>
    <row r="262" ht="15.75" customHeight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</row>
    <row r="263" ht="15.75" customHeight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</row>
    <row r="264" ht="15.75" customHeight="1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</row>
    <row r="265" ht="15.75" customHeight="1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79" t="s">
        <v>1</v>
      </c>
      <c r="B1" s="179" t="s">
        <v>307</v>
      </c>
      <c r="C1" s="179" t="s">
        <v>308</v>
      </c>
      <c r="D1" s="179" t="s">
        <v>309</v>
      </c>
      <c r="E1" s="179" t="s">
        <v>310</v>
      </c>
      <c r="F1" s="179" t="s">
        <v>311</v>
      </c>
      <c r="G1" s="179" t="s">
        <v>312</v>
      </c>
      <c r="H1" s="179" t="s">
        <v>313</v>
      </c>
      <c r="I1" s="179" t="s">
        <v>314</v>
      </c>
      <c r="J1" s="179" t="s">
        <v>315</v>
      </c>
      <c r="K1" s="179" t="s">
        <v>316</v>
      </c>
      <c r="L1" s="179" t="s">
        <v>317</v>
      </c>
      <c r="M1" s="179" t="s">
        <v>318</v>
      </c>
      <c r="N1" s="179" t="s">
        <v>319</v>
      </c>
      <c r="O1" s="179" t="s">
        <v>45</v>
      </c>
      <c r="P1" s="179" t="s">
        <v>59</v>
      </c>
      <c r="Q1" s="179" t="s">
        <v>15</v>
      </c>
      <c r="R1" s="179" t="s">
        <v>37</v>
      </c>
      <c r="S1" s="179" t="s">
        <v>320</v>
      </c>
      <c r="T1" s="179" t="s">
        <v>321</v>
      </c>
      <c r="U1" s="179" t="s">
        <v>322</v>
      </c>
      <c r="V1" s="179" t="s">
        <v>323</v>
      </c>
      <c r="W1" s="179" t="s">
        <v>324</v>
      </c>
      <c r="X1" s="179" t="s">
        <v>325</v>
      </c>
      <c r="Y1" s="179" t="s">
        <v>13</v>
      </c>
      <c r="Z1" s="179" t="s">
        <v>17</v>
      </c>
      <c r="AA1" s="179" t="s">
        <v>12</v>
      </c>
      <c r="AB1" s="179" t="s">
        <v>3</v>
      </c>
      <c r="AC1" s="179" t="s">
        <v>326</v>
      </c>
      <c r="AD1" s="179" t="s">
        <v>2</v>
      </c>
      <c r="AE1" s="179" t="s">
        <v>29</v>
      </c>
      <c r="AF1" s="179" t="s">
        <v>33</v>
      </c>
      <c r="AG1" s="179" t="s">
        <v>34</v>
      </c>
      <c r="AH1" s="179" t="s">
        <v>35</v>
      </c>
      <c r="AI1" s="179" t="s">
        <v>36</v>
      </c>
      <c r="AJ1" s="179" t="s">
        <v>38</v>
      </c>
      <c r="AK1" s="179" t="s">
        <v>39</v>
      </c>
      <c r="AL1" s="179" t="s">
        <v>327</v>
      </c>
      <c r="AM1" s="179" t="s">
        <v>41</v>
      </c>
      <c r="AN1" s="179" t="s">
        <v>328</v>
      </c>
      <c r="AO1" s="179" t="s">
        <v>47</v>
      </c>
      <c r="AP1" s="179" t="s">
        <v>48</v>
      </c>
      <c r="AQ1" s="179" t="s">
        <v>49</v>
      </c>
      <c r="AR1" s="179" t="s">
        <v>329</v>
      </c>
      <c r="AS1" s="179" t="s">
        <v>54</v>
      </c>
      <c r="AT1" s="179" t="s">
        <v>55</v>
      </c>
      <c r="AU1" s="179" t="s">
        <v>56</v>
      </c>
      <c r="AV1" s="179" t="s">
        <v>57</v>
      </c>
    </row>
    <row r="2" ht="15.75" customHeight="1">
      <c r="A2" s="181">
        <v>45524.0</v>
      </c>
      <c r="B2" s="179" t="s">
        <v>330</v>
      </c>
      <c r="C2" s="179" t="s">
        <v>331</v>
      </c>
      <c r="D2" s="182" t="s">
        <v>24</v>
      </c>
      <c r="E2" s="182" t="s">
        <v>66</v>
      </c>
      <c r="G2" s="182" t="s">
        <v>332</v>
      </c>
    </row>
    <row r="3" ht="15.75" customHeight="1">
      <c r="A3" s="181">
        <v>45524.0</v>
      </c>
      <c r="B3" s="179" t="s">
        <v>330</v>
      </c>
      <c r="C3" s="179" t="s">
        <v>333</v>
      </c>
      <c r="D3" s="182" t="s">
        <v>66</v>
      </c>
      <c r="E3" s="182" t="s">
        <v>28</v>
      </c>
      <c r="G3" s="182" t="s">
        <v>334</v>
      </c>
    </row>
    <row r="4" ht="15.75" customHeight="1">
      <c r="A4" s="181">
        <v>45524.0</v>
      </c>
      <c r="B4" s="179" t="s">
        <v>330</v>
      </c>
      <c r="H4" s="179" t="s">
        <v>335</v>
      </c>
      <c r="I4" s="182" t="s">
        <v>51</v>
      </c>
      <c r="J4" s="182" t="s">
        <v>25</v>
      </c>
      <c r="L4" s="182" t="s">
        <v>336</v>
      </c>
      <c r="M4" s="179">
        <v>9.0</v>
      </c>
    </row>
    <row r="5" ht="15.75" customHeight="1">
      <c r="A5" s="181">
        <v>45524.0</v>
      </c>
      <c r="B5" s="179" t="s">
        <v>330</v>
      </c>
      <c r="H5" s="179" t="s">
        <v>337</v>
      </c>
      <c r="I5" s="182" t="s">
        <v>25</v>
      </c>
      <c r="J5" s="182" t="s">
        <v>338</v>
      </c>
      <c r="L5" s="182" t="s">
        <v>339</v>
      </c>
      <c r="M5" s="179">
        <v>13.0</v>
      </c>
      <c r="N5" s="179" t="b">
        <v>1</v>
      </c>
      <c r="O5" s="179">
        <v>520.0</v>
      </c>
    </row>
    <row r="6" ht="15.75" customHeight="1">
      <c r="A6" s="181">
        <v>45524.0</v>
      </c>
      <c r="B6" s="179" t="s">
        <v>330</v>
      </c>
      <c r="H6" s="179" t="s">
        <v>340</v>
      </c>
      <c r="I6" s="182" t="s">
        <v>31</v>
      </c>
      <c r="J6" s="182" t="s">
        <v>28</v>
      </c>
      <c r="L6" s="182" t="s">
        <v>341</v>
      </c>
    </row>
    <row r="7" ht="15.75" customHeight="1">
      <c r="A7" s="181">
        <v>45524.0</v>
      </c>
      <c r="B7" s="179" t="s">
        <v>330</v>
      </c>
      <c r="P7" s="179">
        <v>7.0</v>
      </c>
      <c r="Q7" s="179" t="s">
        <v>331</v>
      </c>
      <c r="R7" s="179" t="s">
        <v>333</v>
      </c>
      <c r="S7" s="179">
        <v>8461.0</v>
      </c>
      <c r="T7" s="179">
        <v>3807.0</v>
      </c>
      <c r="U7" s="179">
        <v>8309.0</v>
      </c>
      <c r="V7" s="179">
        <v>10131.0</v>
      </c>
      <c r="W7" s="179">
        <v>1300.0</v>
      </c>
      <c r="X7" s="179">
        <v>2815.0</v>
      </c>
      <c r="Y7" s="179">
        <v>3723.0</v>
      </c>
      <c r="AA7" s="179">
        <v>1160.0</v>
      </c>
      <c r="AB7" s="179">
        <v>42831.0</v>
      </c>
      <c r="AC7" s="179">
        <v>0.0</v>
      </c>
      <c r="AD7" s="179">
        <v>0.38519359264204933</v>
      </c>
      <c r="AE7" s="179">
        <v>2000.0</v>
      </c>
      <c r="AH7" s="179">
        <v>3420.0</v>
      </c>
      <c r="AI7" s="179">
        <v>520.0</v>
      </c>
      <c r="AJ7" s="179">
        <v>0.0</v>
      </c>
      <c r="AK7" s="179">
        <v>0.0</v>
      </c>
      <c r="AL7" s="179">
        <v>7.0</v>
      </c>
      <c r="AM7" s="179" t="s">
        <v>342</v>
      </c>
      <c r="AN7" s="179">
        <v>1.0</v>
      </c>
      <c r="AO7" s="179">
        <v>107.0</v>
      </c>
      <c r="AP7" s="179">
        <v>29.0</v>
      </c>
      <c r="AQ7" s="179">
        <v>5.0</v>
      </c>
      <c r="AR7" s="179">
        <v>5.0</v>
      </c>
      <c r="AS7" s="179">
        <v>0.2413793103448276</v>
      </c>
      <c r="AT7" s="179">
        <v>5.0</v>
      </c>
      <c r="AU7" s="179">
        <v>0.7586206896551724</v>
      </c>
      <c r="AV7" s="179">
        <v>0.1724137931034483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83"/>
      <c r="B1" s="183"/>
      <c r="C1" s="184" t="str">
        <f>IFERROR(__xludf.DUMMYFUNCTION("IMPORTRANGE(""1TpIiNTfR1pnpn85VWQTTdvQ2Xcr0GStmWJ2UvfKxG_A"", ""Mzdy!A1:F200"")"),"#REF!")</f>
        <v>#REF!</v>
      </c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5" t="str">
        <f>IFERROR(__xludf.DUMMYFUNCTION("IMPORTRANGE(""1TpIiNTfR1pnpn85VWQTTdvQ2Xcr0GStmWJ2UvfKxG_A"", ""Mzdy!ac1:ad200"")"),"#REF!")</f>
        <v>#REF!</v>
      </c>
      <c r="W1" s="186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</row>
    <row r="2" ht="15.75" customHeight="1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6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</row>
    <row r="3" ht="15.75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6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</row>
    <row r="4" ht="15.75" customHeight="1">
      <c r="A4" s="187" t="s">
        <v>343</v>
      </c>
      <c r="B4" s="187" t="s">
        <v>344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6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</row>
    <row r="5" ht="15.75" customHeight="1">
      <c r="A5" s="183" t="str">
        <f>IF(AND(B5&lt;&gt;"", C5=TRUE, E5=Report!$B$1), B5, "")</f>
        <v/>
      </c>
      <c r="B5" s="188" t="str">
        <f>IF(OR(E5=Report!$B$1, F5=Report!$B$1, G5=Report!$B$1, H5=Report!$B$1), D5, "")</f>
        <v/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6"/>
      <c r="W5" s="186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</row>
    <row r="6" ht="15.75" customHeight="1">
      <c r="A6" s="183" t="str">
        <f>IF(AND(B6&lt;&gt;"", C6=TRUE, E6=Report!$B$1), B6, "")</f>
        <v/>
      </c>
      <c r="B6" s="188" t="str">
        <f>IF(OR(E6=Report!$B$1, F6=Report!$B$1, G6=Report!$B$1, H6=Report!$B$1), D6, "")</f>
        <v/>
      </c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6"/>
      <c r="W6" s="186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</row>
    <row r="7" ht="15.75" customHeight="1">
      <c r="A7" s="183" t="str">
        <f>IF(AND(B7&lt;&gt;"", C7=TRUE, E7=Report!$B$1), B7, "")</f>
        <v/>
      </c>
      <c r="B7" s="188" t="str">
        <f>IF(OR(E7=Report!$B$1, F7=Report!$B$1, G7=Report!$B$1, H7=Report!$B$1), D7, "")</f>
        <v/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6"/>
      <c r="W7" s="186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</row>
    <row r="8" ht="15.75" customHeight="1">
      <c r="A8" s="183" t="str">
        <f>IF(AND(B8&lt;&gt;"", C8=TRUE, E8=Report!$B$1), B8, "")</f>
        <v/>
      </c>
      <c r="B8" s="188" t="str">
        <f>IF(OR(E8=Report!$B$1, F8=Report!$B$1, G8=Report!$B$1, H8=Report!$B$1), D8, "")</f>
        <v/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6"/>
      <c r="W8" s="186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</row>
    <row r="9" ht="15.75" customHeight="1">
      <c r="A9" s="183" t="str">
        <f>IF(AND(B9&lt;&gt;"", C9=TRUE, E9=Report!$B$1), B9, "")</f>
        <v/>
      </c>
      <c r="B9" s="188" t="str">
        <f>IF(OR(E9=Report!$B$1, F9=Report!$B$1, G9=Report!$B$1, H9=Report!$B$1), D9, "")</f>
        <v/>
      </c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6"/>
      <c r="W9" s="186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</row>
    <row r="10" ht="15.75" customHeight="1">
      <c r="A10" s="183" t="str">
        <f>IF(AND(B10&lt;&gt;"", C10=TRUE, E10=Report!$B$1), B10, "")</f>
        <v/>
      </c>
      <c r="B10" s="188" t="str">
        <f>IF(OR(E10=Report!$B$1, F10=Report!$B$1, G10=Report!$B$1, H10=Report!$B$1), D10, "")</f>
        <v/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6"/>
      <c r="W10" s="186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</row>
    <row r="11" ht="15.75" customHeight="1">
      <c r="A11" s="183" t="str">
        <f>IF(AND(B11&lt;&gt;"", C11=TRUE, E11=Report!$B$1), B11, "")</f>
        <v/>
      </c>
      <c r="B11" s="188" t="str">
        <f>IF(OR(E11=Report!$B$1, F11=Report!$B$1, G11=Report!$B$1, H11=Report!$B$1), D11, "")</f>
        <v/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6"/>
      <c r="W11" s="186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</row>
    <row r="12" ht="15.75" customHeight="1">
      <c r="A12" s="183" t="str">
        <f>IF(AND(B12&lt;&gt;"", C12=TRUE, E12=Report!$B$1), B12, "")</f>
        <v/>
      </c>
      <c r="B12" s="188" t="str">
        <f>IF(OR(E12=Report!$B$1, F12=Report!$B$1, G12=Report!$B$1, H12=Report!$B$1), D12, "")</f>
        <v/>
      </c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6"/>
      <c r="W12" s="186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</row>
    <row r="13" ht="15.75" customHeight="1">
      <c r="A13" s="183" t="str">
        <f>IF(AND(B13&lt;&gt;"", C13=TRUE, E13=Report!$B$1), B13, "")</f>
        <v/>
      </c>
      <c r="B13" s="188" t="str">
        <f>IF(OR(E13=Report!$B$1, F13=Report!$B$1, G13=Report!$B$1, H13=Report!$B$1), D13, "")</f>
        <v/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6"/>
      <c r="W13" s="186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</row>
    <row r="14" ht="15.75" customHeight="1">
      <c r="A14" s="183" t="str">
        <f>IF(AND(B14&lt;&gt;"", C14=TRUE, E14=Report!$B$1), B14, "")</f>
        <v/>
      </c>
      <c r="B14" s="188" t="str">
        <f>IF(OR(E14=Report!$B$1, F14=Report!$B$1, G14=Report!$B$1, H14=Report!$B$1), D14, "")</f>
        <v/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6"/>
      <c r="W14" s="186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</row>
    <row r="15" ht="15.75" customHeight="1">
      <c r="A15" s="183" t="str">
        <f>IF(AND(B15&lt;&gt;"", C15=TRUE, E15=Report!$B$1), B15, "")</f>
        <v/>
      </c>
      <c r="B15" s="188" t="str">
        <f>IF(OR(E15=Report!$B$1, F15=Report!$B$1, G15=Report!$B$1, H15=Report!$B$1), D15, "")</f>
        <v/>
      </c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6"/>
      <c r="W15" s="186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</row>
    <row r="16" ht="15.75" customHeight="1">
      <c r="A16" s="183" t="str">
        <f>IF(AND(B16&lt;&gt;"", C16=TRUE, E16=Report!$B$1), B16, "")</f>
        <v/>
      </c>
      <c r="B16" s="188" t="str">
        <f>IF(OR(E16=Report!$B$1, F16=Report!$B$1, G16=Report!$B$1, H16=Report!$B$1), D16, "")</f>
        <v/>
      </c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6"/>
      <c r="W16" s="186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</row>
    <row r="17" ht="15.75" customHeight="1">
      <c r="A17" s="183" t="str">
        <f>IF(AND(B17&lt;&gt;"", C17=TRUE, E17=Report!$B$1), B17, "")</f>
        <v/>
      </c>
      <c r="B17" s="188" t="str">
        <f>IF(OR(E17=Report!$B$1, F17=Report!$B$1, G17=Report!$B$1, H17=Report!$B$1), D17, "")</f>
        <v/>
      </c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6"/>
      <c r="W17" s="186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</row>
    <row r="18" ht="15.75" customHeight="1">
      <c r="A18" s="183" t="str">
        <f>IF(AND(B18&lt;&gt;"", C18=TRUE, E18=Report!$B$1), B18, "")</f>
        <v/>
      </c>
      <c r="B18" s="188" t="str">
        <f>IF(OR(E18=Report!$B$1, F18=Report!$B$1, G18=Report!$B$1, H18=Report!$B$1), D18, "")</f>
        <v/>
      </c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6"/>
      <c r="W18" s="186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</row>
    <row r="19" ht="15.75" customHeight="1">
      <c r="A19" s="183" t="str">
        <f>IF(AND(B19&lt;&gt;"", C19=TRUE, E19=Report!$B$1), B19, "")</f>
        <v/>
      </c>
      <c r="B19" s="188" t="str">
        <f>IF(OR(E19=Report!$B$1, F19=Report!$B$1, G19=Report!$B$1, H19=Report!$B$1), D19, "")</f>
        <v/>
      </c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6"/>
      <c r="W19" s="186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</row>
    <row r="20" ht="15.75" customHeight="1">
      <c r="A20" s="183" t="str">
        <f>IF(AND(B20&lt;&gt;"", C20=TRUE, E20=Report!$B$1), B20, "")</f>
        <v/>
      </c>
      <c r="B20" s="188" t="str">
        <f>IF(OR(E20=Report!$B$1, F20=Report!$B$1, G20=Report!$B$1, H20=Report!$B$1), D20, "")</f>
        <v/>
      </c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6"/>
      <c r="W20" s="186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</row>
    <row r="21" ht="15.75" customHeight="1">
      <c r="A21" s="183" t="str">
        <f>IF(AND(B21&lt;&gt;"", C21=TRUE, E21=Report!$B$1), B21, "")</f>
        <v/>
      </c>
      <c r="B21" s="188" t="str">
        <f>IF(OR(E21=Report!$B$1, F21=Report!$B$1, G21=Report!$B$1, H21=Report!$B$1), D21, "")</f>
        <v/>
      </c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6"/>
      <c r="W21" s="186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</row>
    <row r="22" ht="15.75" customHeight="1">
      <c r="A22" s="183" t="str">
        <f>IF(AND(B22&lt;&gt;"", C22=TRUE, E22=Report!$B$1), B22, "")</f>
        <v/>
      </c>
      <c r="B22" s="188" t="str">
        <f>IF(OR(E22=Report!$B$1, F22=Report!$B$1, G22=Report!$B$1, H22=Report!$B$1), D22, "")</f>
        <v/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6"/>
      <c r="W22" s="186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</row>
    <row r="23" ht="15.75" customHeight="1">
      <c r="A23" s="183" t="str">
        <f>IF(AND(B23&lt;&gt;"", C23=TRUE, E23=Report!$B$1), B23, "")</f>
        <v/>
      </c>
      <c r="B23" s="188" t="str">
        <f>IF(OR(E23=Report!$B$1, F23=Report!$B$1, G23=Report!$B$1, H23=Report!$B$1), D23, "")</f>
        <v/>
      </c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6"/>
      <c r="W23" s="186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</row>
    <row r="24" ht="15.75" customHeight="1">
      <c r="A24" s="183" t="str">
        <f>IF(AND(B24&lt;&gt;"", C24=TRUE, E24=Report!$B$1), B24, "")</f>
        <v/>
      </c>
      <c r="B24" s="188" t="str">
        <f>IF(OR(E24=Report!$B$1, F24=Report!$B$1, G24=Report!$B$1, H24=Report!$B$1), D24, "")</f>
        <v/>
      </c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6"/>
      <c r="W24" s="186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</row>
    <row r="25" ht="15.75" customHeight="1">
      <c r="A25" s="183" t="str">
        <f>IF(AND(B25&lt;&gt;"", C25=TRUE, E25=Report!$B$1), B25, "")</f>
        <v/>
      </c>
      <c r="B25" s="188" t="str">
        <f>IF(OR(E25=Report!$B$1, F25=Report!$B$1, G25=Report!$B$1, H25=Report!$B$1), D25, "")</f>
        <v/>
      </c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6"/>
      <c r="W25" s="186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</row>
    <row r="26" ht="15.75" customHeight="1">
      <c r="A26" s="183" t="str">
        <f>IF(AND(B26&lt;&gt;"", C26=TRUE, E26=Report!$B$1), B26, "")</f>
        <v/>
      </c>
      <c r="B26" s="188" t="str">
        <f>IF(OR(E26=Report!$B$1, F26=Report!$B$1, G26=Report!$B$1, H26=Report!$B$1), D26, "")</f>
        <v/>
      </c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6"/>
      <c r="W26" s="186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</row>
    <row r="27" ht="15.75" customHeight="1">
      <c r="A27" s="183" t="str">
        <f>IF(AND(B27&lt;&gt;"", C27=TRUE, E27=Report!$B$1), B27, "")</f>
        <v/>
      </c>
      <c r="B27" s="188" t="str">
        <f>IF(OR(E27=Report!$B$1, F27=Report!$B$1, G27=Report!$B$1, H27=Report!$B$1), D27, "")</f>
        <v/>
      </c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6"/>
      <c r="W27" s="186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</row>
    <row r="28" ht="15.75" customHeight="1">
      <c r="A28" s="183" t="str">
        <f>IF(AND(B28&lt;&gt;"", C28=TRUE, E28=Report!$B$1), B28, "")</f>
        <v/>
      </c>
      <c r="B28" s="188" t="str">
        <f>IF(OR(E28=Report!$B$1, F28=Report!$B$1, G28=Report!$B$1, H28=Report!$B$1), D28, "")</f>
        <v/>
      </c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6"/>
      <c r="W28" s="186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</row>
    <row r="29" ht="15.75" customHeight="1">
      <c r="A29" s="183" t="str">
        <f>IF(AND(B29&lt;&gt;"", C29=TRUE, E29=Report!$B$1), B29, "")</f>
        <v/>
      </c>
      <c r="B29" s="188" t="str">
        <f>IF(OR(E29=Report!$B$1, F29=Report!$B$1, G29=Report!$B$1, H29=Report!$B$1), D29, "")</f>
        <v/>
      </c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6"/>
      <c r="W29" s="186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</row>
    <row r="30" ht="15.75" customHeight="1">
      <c r="A30" s="183" t="str">
        <f>IF(AND(B30&lt;&gt;"", C30=TRUE, E30=Report!$B$1), B30, "")</f>
        <v/>
      </c>
      <c r="B30" s="188" t="str">
        <f>IF(OR(E30=Report!$B$1, F30=Report!$B$1, G30=Report!$B$1, H30=Report!$B$1), D30, "")</f>
        <v/>
      </c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6"/>
      <c r="W30" s="186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</row>
    <row r="31" ht="15.75" customHeight="1">
      <c r="A31" s="183" t="str">
        <f>IF(AND(B31&lt;&gt;"", C31=TRUE, E31=Report!$B$1), B31, "")</f>
        <v/>
      </c>
      <c r="B31" s="188" t="str">
        <f>IF(OR(E31=Report!$B$1, F31=Report!$B$1, G31=Report!$B$1, H31=Report!$B$1), D31, "")</f>
        <v/>
      </c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6"/>
      <c r="W31" s="186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</row>
    <row r="32" ht="15.75" customHeight="1">
      <c r="A32" s="183" t="str">
        <f>IF(AND(B32&lt;&gt;"", C32=TRUE, E32=Report!$B$1), B32, "")</f>
        <v/>
      </c>
      <c r="B32" s="188" t="str">
        <f>IF(OR(E32=Report!$B$1, F32=Report!$B$1, G32=Report!$B$1, H32=Report!$B$1), D32, "")</f>
        <v/>
      </c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6"/>
      <c r="W32" s="186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</row>
    <row r="33" ht="15.75" customHeight="1">
      <c r="A33" s="183" t="str">
        <f>IF(AND(B33&lt;&gt;"", C33=TRUE, E33=Report!$B$1), B33, "")</f>
        <v/>
      </c>
      <c r="B33" s="188" t="str">
        <f>IF(OR(E33=Report!$B$1, F33=Report!$B$1, G33=Report!$B$1, H33=Report!$B$1), D33, "")</f>
        <v/>
      </c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6"/>
      <c r="W33" s="186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</row>
    <row r="34" ht="15.75" customHeight="1">
      <c r="A34" s="183" t="str">
        <f>IF(AND(B34&lt;&gt;"", C34=TRUE, E34=Report!$B$1), B34, "")</f>
        <v/>
      </c>
      <c r="B34" s="188" t="str">
        <f>IF(OR(E34=Report!$B$1, F34=Report!$B$1, G34=Report!$B$1, H34=Report!$B$1), D34, "")</f>
        <v/>
      </c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6"/>
      <c r="W34" s="186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</row>
    <row r="35" ht="15.75" customHeight="1">
      <c r="A35" s="183" t="str">
        <f>IF(AND(B35&lt;&gt;"", C35=TRUE, E35=Report!$B$1), B35, "")</f>
        <v/>
      </c>
      <c r="B35" s="188" t="str">
        <f>IF(OR(E35=Report!$B$1, F35=Report!$B$1, G35=Report!$B$1, H35=Report!$B$1), D35, "")</f>
        <v/>
      </c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6"/>
      <c r="W35" s="186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</row>
    <row r="36" ht="15.75" customHeight="1">
      <c r="A36" s="183" t="str">
        <f>IF(AND(B36&lt;&gt;"", C36=TRUE, E36=Report!$B$1), B36, "")</f>
        <v/>
      </c>
      <c r="B36" s="188" t="str">
        <f>IF(OR(E36=Report!$B$1, F36=Report!$B$1, G36=Report!$B$1, H36=Report!$B$1), D36, "")</f>
        <v/>
      </c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6"/>
      <c r="W36" s="186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</row>
    <row r="37" ht="15.75" customHeight="1">
      <c r="A37" s="183" t="str">
        <f>IF(AND(B37&lt;&gt;"", C37=TRUE, E37=Report!$B$1), B37, "")</f>
        <v/>
      </c>
      <c r="B37" s="188" t="str">
        <f>IF(OR(E37=Report!$B$1, F37=Report!$B$1, G37=Report!$B$1, H37=Report!$B$1), D37, "")</f>
        <v/>
      </c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6"/>
      <c r="W37" s="186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</row>
    <row r="38" ht="15.75" customHeight="1">
      <c r="A38" s="183" t="str">
        <f>IF(AND(B38&lt;&gt;"", C38=TRUE, E38=Report!$B$1), B38, "")</f>
        <v/>
      </c>
      <c r="B38" s="188" t="str">
        <f>IF(OR(E38=Report!$B$1, F38=Report!$B$1, G38=Report!$B$1, H38=Report!$B$1), D38, "")</f>
        <v/>
      </c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6"/>
      <c r="W38" s="186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</row>
    <row r="39" ht="15.75" customHeight="1">
      <c r="A39" s="183" t="str">
        <f>IF(AND(B39&lt;&gt;"", C39=TRUE, E39=Report!$B$1), B39, "")</f>
        <v/>
      </c>
      <c r="B39" s="188" t="str">
        <f>IF(OR(E39=Report!$B$1, F39=Report!$B$1, G39=Report!$B$1, H39=Report!$B$1), D39, "")</f>
        <v/>
      </c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6"/>
      <c r="W39" s="186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</row>
    <row r="40" ht="15.75" customHeight="1">
      <c r="A40" s="183" t="str">
        <f>IF(AND(B40&lt;&gt;"", C40=TRUE, E40=Report!$B$1), B40, "")</f>
        <v/>
      </c>
      <c r="B40" s="188" t="str">
        <f>IF(OR(E40=Report!$B$1, F40=Report!$B$1, G40=Report!$B$1, H40=Report!$B$1), D40, "")</f>
        <v/>
      </c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6"/>
      <c r="W40" s="186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</row>
    <row r="41" ht="15.75" customHeight="1">
      <c r="A41" s="183" t="str">
        <f>IF(AND(B41&lt;&gt;"", C41=TRUE, E41=Report!$B$1), B41, "")</f>
        <v/>
      </c>
      <c r="B41" s="188" t="str">
        <f>IF(OR(E41=Report!$B$1, F41=Report!$B$1, G41=Report!$B$1, H41=Report!$B$1), D41, "")</f>
        <v/>
      </c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6"/>
      <c r="W41" s="186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</row>
    <row r="42" ht="15.75" customHeight="1">
      <c r="A42" s="183" t="str">
        <f>IF(AND(B42&lt;&gt;"", C42=TRUE, E42=Report!$B$1), B42, "")</f>
        <v/>
      </c>
      <c r="B42" s="188" t="str">
        <f>IF(OR(E42=Report!$B$1, F42=Report!$B$1, G42=Report!$B$1, H42=Report!$B$1), D42, "")</f>
        <v/>
      </c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6"/>
      <c r="W42" s="186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</row>
    <row r="43" ht="15.75" customHeight="1">
      <c r="A43" s="183" t="str">
        <f>IF(AND(B43&lt;&gt;"", C43=TRUE, E43=Report!$B$1), B43, "")</f>
        <v/>
      </c>
      <c r="B43" s="188" t="str">
        <f>IF(OR(E43=Report!$B$1, F43=Report!$B$1, G43=Report!$B$1, H43=Report!$B$1), D43, "")</f>
        <v/>
      </c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6"/>
      <c r="W43" s="186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</row>
    <row r="44" ht="15.75" customHeight="1">
      <c r="A44" s="183"/>
      <c r="B44" s="189" t="str">
        <f>IF(OR(E44=Report!$B$1, F44=Report!$B$1, G44=Report!$B$1, H44=Report!$B$1), D44, "")</f>
        <v/>
      </c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6"/>
      <c r="W44" s="186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</row>
    <row r="45" ht="15.75" customHeight="1">
      <c r="A45" s="183"/>
      <c r="B45" s="189" t="str">
        <f>IF(OR(E45=Report!$B$1, F45=Report!$B$1, G45=Report!$B$1, H45=Report!$B$1), D45, "")</f>
        <v/>
      </c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6"/>
      <c r="W45" s="186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</row>
    <row r="46" ht="15.75" customHeight="1">
      <c r="A46" s="183"/>
      <c r="B46" s="189" t="str">
        <f>IF(OR(E46=Report!$B$1, F46=Report!$B$1, G46=Report!$B$1, H46=Report!$B$1), D46, "")</f>
        <v/>
      </c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6"/>
      <c r="W46" s="186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</row>
    <row r="47" ht="15.75" customHeight="1">
      <c r="A47" s="183"/>
      <c r="B47" s="189" t="str">
        <f>IF(OR(E47=Report!$B$1, F47=Report!$B$1, G47=Report!$B$1, H47=Report!$B$1), D47, "")</f>
        <v/>
      </c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6"/>
      <c r="W47" s="186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</row>
    <row r="48" ht="15.75" customHeight="1">
      <c r="A48" s="183"/>
      <c r="B48" s="189" t="str">
        <f>IF(OR(E48=Report!$B$1, F48=Report!$B$1, G48=Report!$B$1, H48=Report!$B$1), D48, "")</f>
        <v/>
      </c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6"/>
      <c r="W48" s="186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</row>
    <row r="49" ht="15.75" customHeight="1">
      <c r="A49" s="183"/>
      <c r="B49" s="189" t="str">
        <f>IF(OR(E49=Report!$B$1, F49=Report!$B$1, G49=Report!$B$1, H49=Report!$B$1), D49, "")</f>
        <v/>
      </c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6"/>
      <c r="W49" s="186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</row>
    <row r="50" ht="15.75" customHeight="1">
      <c r="A50" s="183"/>
      <c r="B50" s="189" t="str">
        <f>IF(OR(E50=Report!$B$1, F50=Report!$B$1, G50=Report!$B$1, H50=Report!$B$1), D50, "")</f>
        <v/>
      </c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6"/>
      <c r="W50" s="186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</row>
    <row r="51" ht="15.75" customHeight="1">
      <c r="A51" s="183"/>
      <c r="B51" s="189" t="str">
        <f>IF(OR(E51=Report!$B$1, F51=Report!$B$1, G51=Report!$B$1, H51=Report!$B$1), D51, "")</f>
        <v/>
      </c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6"/>
      <c r="W51" s="186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</row>
    <row r="52" ht="15.75" customHeight="1">
      <c r="A52" s="183"/>
      <c r="B52" s="189" t="str">
        <f>IF(OR(E52=Report!$B$1, F52=Report!$B$1, G52=Report!$B$1, H52=Report!$B$1), D52, "")</f>
        <v/>
      </c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6"/>
      <c r="W52" s="186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</row>
    <row r="53" ht="15.75" customHeight="1">
      <c r="A53" s="183"/>
      <c r="B53" s="189" t="str">
        <f>IF(OR(E53=Report!$B$1, F53=Report!$B$1, G53=Report!$B$1, H53=Report!$B$1), D53, "")</f>
        <v/>
      </c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6"/>
      <c r="W53" s="186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</row>
    <row r="54" ht="15.75" customHeight="1">
      <c r="A54" s="183"/>
      <c r="B54" s="189" t="str">
        <f>IF(OR(E54=Report!$B$1, F54=Report!$B$1, G54=Report!$B$1, H54=Report!$B$1), D54, "")</f>
        <v/>
      </c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6"/>
      <c r="W54" s="186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</row>
    <row r="55" ht="15.75" customHeight="1">
      <c r="A55" s="183"/>
      <c r="B55" s="189" t="str">
        <f>IF(OR(E55=Report!$B$1, F55=Report!$B$1, G55=Report!$B$1, H55=Report!$B$1), D55, "")</f>
        <v/>
      </c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6"/>
      <c r="W55" s="186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</row>
    <row r="56" ht="15.75" customHeight="1">
      <c r="A56" s="183"/>
      <c r="B56" s="189" t="str">
        <f>IF(OR(E56=Report!$B$1, F56=Report!$B$1, G56=Report!$B$1, H56=Report!$B$1), D56, "")</f>
        <v/>
      </c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6"/>
      <c r="W56" s="186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</row>
    <row r="57" ht="15.75" customHeight="1">
      <c r="A57" s="183"/>
      <c r="B57" s="189" t="str">
        <f>IF(OR(E57=Report!$B$1, F57=Report!$B$1, G57=Report!$B$1, H57=Report!$B$1), D57, "")</f>
        <v/>
      </c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6"/>
      <c r="W57" s="186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</row>
    <row r="58" ht="15.75" customHeight="1">
      <c r="A58" s="183"/>
      <c r="B58" s="189" t="str">
        <f>IF(OR(E58=Report!$B$1, F58=Report!$B$1, G58=Report!$B$1, H58=Report!$B$1), D58, "")</f>
        <v/>
      </c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6"/>
      <c r="W58" s="186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</row>
    <row r="59" ht="15.75" customHeight="1">
      <c r="A59" s="183"/>
      <c r="B59" s="189" t="str">
        <f>IF(OR(E59=Report!$B$1, F59=Report!$B$1, G59=Report!$B$1, H59=Report!$B$1), D59, "")</f>
        <v/>
      </c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6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</row>
    <row r="60" ht="15.75" customHeight="1">
      <c r="A60" s="183"/>
      <c r="B60" s="189" t="str">
        <f>IF(OR(E60=Report!$B$1, F60=Report!$B$1, G60=Report!$B$1, H60=Report!$B$1), D60, "")</f>
        <v/>
      </c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6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</row>
    <row r="61" ht="15.75" customHeight="1">
      <c r="A61" s="183"/>
      <c r="B61" s="188" t="str">
        <f>IF(OR(E61=Report!$B$1, F61=Report!$B$1, G61=Report!$B$1, H61=Report!$B$1), D61, "")</f>
        <v/>
      </c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6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</row>
    <row r="62" ht="15.75" customHeight="1">
      <c r="A62" s="183"/>
      <c r="B62" s="188" t="str">
        <f>IF(OR(E62=Report!$B$1, F62=Report!$B$1, G62=Report!$B$1, H62=Report!$B$1), D62, "")</f>
        <v/>
      </c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6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</row>
    <row r="63" ht="15.75" customHeight="1">
      <c r="A63" s="183"/>
      <c r="B63" s="188" t="str">
        <f>IF(OR(E63=Report!$B$1, F63=Report!$B$1, G63=Report!$B$1, H63=Report!$B$1), D63, "")</f>
        <v/>
      </c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6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</row>
    <row r="64" ht="15.75" customHeight="1">
      <c r="A64" s="183"/>
      <c r="B64" s="188" t="str">
        <f>IF(OR(E64=Report!$B$1, F64=Report!$B$1, G64=Report!$B$1, H64=Report!$B$1), D64, "")</f>
        <v/>
      </c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6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</row>
    <row r="65" ht="15.75" customHeight="1">
      <c r="A65" s="183"/>
      <c r="B65" s="188" t="str">
        <f>IF(OR(E65=Report!$B$1, F65=Report!$B$1, G65=Report!$B$1, H65=Report!$B$1), D65, "")</f>
        <v/>
      </c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6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</row>
    <row r="66" ht="15.75" customHeight="1">
      <c r="A66" s="183"/>
      <c r="B66" s="188" t="str">
        <f>IF(OR(E66=Report!$B$1, F66=Report!$B$1, G66=Report!$B$1, H66=Report!$B$1), D66, "")</f>
        <v/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6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</row>
    <row r="67" ht="15.75" customHeight="1">
      <c r="A67" s="183"/>
      <c r="B67" s="188" t="str">
        <f>IF(OR(E67=Report!$B$1, F67=Report!$B$1, G67=Report!$B$1, H67=Report!$B$1), D67, "")</f>
        <v/>
      </c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6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</row>
    <row r="68" ht="15.75" customHeight="1">
      <c r="A68" s="183"/>
      <c r="B68" s="188" t="str">
        <f>IF(OR(E68=Report!$B$1, F68=Report!$B$1, G68=Report!$B$1, H68=Report!$B$1), D68, "")</f>
        <v/>
      </c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6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</row>
    <row r="69" ht="15.75" customHeight="1">
      <c r="A69" s="183"/>
      <c r="B69" s="188" t="str">
        <f>IF(OR(E69=Report!$B$1, F69=Report!$B$1, G69=Report!$B$1, H69=Report!$B$1), D69, "")</f>
        <v/>
      </c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6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</row>
    <row r="70" ht="15.75" customHeight="1">
      <c r="A70" s="183"/>
      <c r="B70" s="188" t="str">
        <f>IF(OR(E70=Report!$B$1, F70=Report!$B$1, G70=Report!$B$1, H70=Report!$B$1), D70, "")</f>
        <v/>
      </c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6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</row>
    <row r="71" ht="15.75" customHeight="1">
      <c r="A71" s="183"/>
      <c r="B71" s="188" t="str">
        <f>IF(OR(E71=Report!$B$1, F71=Report!$B$1, G71=Report!$B$1, H71=Report!$B$1), D71, "")</f>
        <v/>
      </c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6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</row>
    <row r="72" ht="15.75" customHeight="1">
      <c r="A72" s="183"/>
      <c r="B72" s="188" t="str">
        <f>IF(OR(E72=Report!$B$1, F72=Report!$B$1, G72=Report!$B$1, H72=Report!$B$1), D72, "")</f>
        <v/>
      </c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6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</row>
    <row r="73" ht="15.75" customHeight="1">
      <c r="A73" s="183"/>
      <c r="B73" s="188" t="str">
        <f>IF(OR(E73=Report!$B$1, F73=Report!$B$1, G73=Report!$B$1, H73=Report!$B$1), D73, "")</f>
        <v/>
      </c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6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</row>
    <row r="74" ht="15.75" customHeight="1">
      <c r="A74" s="183"/>
      <c r="B74" s="188" t="str">
        <f>IF(OR(E74=Report!$B$1, F74=Report!$B$1, G74=Report!$B$1, H74=Report!$B$1), D74, "")</f>
        <v/>
      </c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6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</row>
    <row r="75" ht="15.75" customHeight="1">
      <c r="A75" s="183"/>
      <c r="B75" s="188" t="str">
        <f>IF(OR(E75=Report!$B$1, F75=Report!$B$1, G75=Report!$B$1, H75=Report!$B$1), D75, "")</f>
        <v/>
      </c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6"/>
      <c r="W75" s="186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</row>
    <row r="76" ht="15.75" customHeight="1">
      <c r="A76" s="183"/>
      <c r="B76" s="188" t="str">
        <f>IF(OR(E76=Report!$B$1, F76=Report!$B$1, G76=Report!$B$1, H76=Report!$B$1), D76, "")</f>
        <v/>
      </c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6"/>
      <c r="W76" s="186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</row>
    <row r="77" ht="15.75" customHeight="1">
      <c r="A77" s="183"/>
      <c r="B77" s="188" t="str">
        <f>IF(OR(E77=Report!$B$1, F77=Report!$B$1, G77=Report!$B$1, H77=Report!$B$1), D77, "")</f>
        <v/>
      </c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6"/>
      <c r="W77" s="186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</row>
    <row r="78" ht="15.75" customHeight="1">
      <c r="A78" s="183"/>
      <c r="B78" s="188" t="str">
        <f>IF(OR(E78=Report!$B$1, F78=Report!$B$1, G78=Report!$B$1, H78=Report!$B$1), D78, "")</f>
        <v/>
      </c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6"/>
      <c r="W78" s="186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</row>
    <row r="79" ht="15.75" customHeight="1">
      <c r="A79" s="183"/>
      <c r="B79" s="188" t="str">
        <f>IF(OR(E79=Report!$B$1, F79=Report!$B$1, G79=Report!$B$1, H79=Report!$B$1), D79, "")</f>
        <v/>
      </c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6"/>
      <c r="W79" s="186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</row>
    <row r="80" ht="15.75" customHeight="1">
      <c r="A80" s="183"/>
      <c r="B80" s="188" t="str">
        <f>IF(OR(E80=Report!$B$1, F80=Report!$B$1, G80=Report!$B$1, H80=Report!$B$1), D80, "")</f>
        <v/>
      </c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6"/>
      <c r="W80" s="186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</row>
    <row r="81" ht="15.75" customHeight="1">
      <c r="A81" s="183"/>
      <c r="B81" s="188" t="str">
        <f>IF(OR(E81=Report!$B$1, F81=Report!$B$1, G81=Report!$B$1, H81=Report!$B$1), D81, "")</f>
        <v/>
      </c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6"/>
      <c r="W81" s="186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</row>
    <row r="82" ht="15.75" customHeight="1">
      <c r="A82" s="183"/>
      <c r="B82" s="188" t="str">
        <f>IF(OR(E82=Report!$B$1, F82=Report!$B$1, G82=Report!$B$1, H82=Report!$B$1), D82, "")</f>
        <v/>
      </c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6"/>
      <c r="W82" s="186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</row>
    <row r="83" ht="15.75" customHeight="1">
      <c r="A83" s="183"/>
      <c r="B83" s="188" t="str">
        <f>IF(OR(E83=Report!$B$1, F83=Report!$B$1, G83=Report!$B$1, H83=Report!$B$1), D83, "")</f>
        <v/>
      </c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6"/>
      <c r="W83" s="186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</row>
    <row r="84" ht="15.75" customHeight="1">
      <c r="A84" s="183"/>
      <c r="B84" s="188" t="str">
        <f>IF(OR(E84=Report!$B$1, F84=Report!$B$1, G84=Report!$B$1, H84=Report!$B$1), D84, "")</f>
        <v/>
      </c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6"/>
      <c r="W84" s="186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</row>
    <row r="85" ht="15.75" customHeight="1">
      <c r="A85" s="183"/>
      <c r="B85" s="188" t="str">
        <f>IF(OR(E85=Report!$B$1, F85=Report!$B$1, G85=Report!$B$1, H85=Report!$B$1), D85, "")</f>
        <v/>
      </c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6"/>
      <c r="W85" s="186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</row>
    <row r="86" ht="15.75" customHeight="1">
      <c r="A86" s="183"/>
      <c r="B86" s="188" t="str">
        <f>IF(OR(E86=Report!$B$1, F86=Report!$B$1, G86=Report!$B$1, H86=Report!$B$1), D86, "")</f>
        <v/>
      </c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6"/>
      <c r="W86" s="186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</row>
    <row r="87" ht="15.75" customHeight="1">
      <c r="A87" s="183"/>
      <c r="B87" s="188" t="str">
        <f>IF(OR(E87=Report!$B$1, F87=Report!$B$1, G87=Report!$B$1, H87=Report!$B$1), D87, "")</f>
        <v/>
      </c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6"/>
      <c r="W87" s="186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</row>
    <row r="88" ht="15.75" customHeight="1">
      <c r="A88" s="183"/>
      <c r="B88" s="188" t="str">
        <f>IF(OR(E88=Report!$B$1, F88=Report!$B$1, G88=Report!$B$1, H88=Report!$B$1), D88, "")</f>
        <v/>
      </c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6"/>
      <c r="W88" s="186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</row>
    <row r="89" ht="15.75" customHeight="1">
      <c r="A89" s="183"/>
      <c r="B89" s="188" t="str">
        <f>IF(OR(E89=Report!$B$1, F89=Report!$B$1, G89=Report!$B$1, H89=Report!$B$1), D89, "")</f>
        <v/>
      </c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6"/>
      <c r="W89" s="186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</row>
    <row r="90" ht="15.75" customHeight="1">
      <c r="A90" s="183"/>
      <c r="B90" s="188" t="str">
        <f>IF(OR(E90=Report!$B$1, F90=Report!$B$1, G90=Report!$B$1, H90=Report!$B$1), D90, "")</f>
        <v/>
      </c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6"/>
      <c r="W90" s="186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</row>
    <row r="91" ht="15.75" customHeight="1">
      <c r="A91" s="183"/>
      <c r="B91" s="188" t="str">
        <f>IF(OR(E91=Report!$B$1, F91=Report!$B$1, G91=Report!$B$1, H91=Report!$B$1), D91, "")</f>
        <v/>
      </c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6"/>
      <c r="W91" s="186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</row>
    <row r="92" ht="15.75" customHeight="1">
      <c r="A92" s="183"/>
      <c r="B92" s="188" t="str">
        <f>IF(OR(E92=Report!$B$1, F92=Report!$B$1, G92=Report!$B$1, H92=Report!$B$1), D92, "")</f>
        <v/>
      </c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6"/>
      <c r="W92" s="186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83"/>
    </row>
    <row r="93" ht="15.75" customHeight="1">
      <c r="A93" s="183"/>
      <c r="B93" s="188" t="str">
        <f>IF(OR(E93=Report!$B$1, F93=Report!$B$1, G93=Report!$B$1, H93=Report!$B$1), D93, "")</f>
        <v/>
      </c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6"/>
      <c r="W93" s="186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  <c r="AI93" s="183"/>
      <c r="AJ93" s="183"/>
      <c r="AK93" s="183"/>
    </row>
    <row r="94" ht="15.75" customHeight="1">
      <c r="A94" s="183"/>
      <c r="B94" s="188" t="str">
        <f>IF(OR(E94=Report!$B$1, F94=Report!$B$1, G94=Report!$B$1, H94=Report!$B$1), D94, "")</f>
        <v/>
      </c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6"/>
      <c r="W94" s="186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83"/>
    </row>
    <row r="95" ht="15.75" customHeight="1">
      <c r="A95" s="183"/>
      <c r="B95" s="188" t="str">
        <f>IF(OR(E95=Report!$B$1, F95=Report!$B$1, G95=Report!$B$1, H95=Report!$B$1), D95, "")</f>
        <v/>
      </c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6"/>
      <c r="W95" s="186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</row>
    <row r="96" ht="15.75" customHeight="1">
      <c r="A96" s="183"/>
      <c r="B96" s="188" t="str">
        <f>IF(OR(E96=Report!$B$1, F96=Report!$B$1, G96=Report!$B$1, H96=Report!$B$1), D96, "")</f>
        <v/>
      </c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6"/>
      <c r="W96" s="186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</row>
    <row r="97" ht="15.75" customHeight="1">
      <c r="A97" s="183"/>
      <c r="B97" s="188" t="str">
        <f>IF(OR(E97=Report!$B$1, F97=Report!$B$1, G97=Report!$B$1, H97=Report!$B$1), D97, "")</f>
        <v/>
      </c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6"/>
      <c r="W97" s="186"/>
      <c r="X97" s="183"/>
      <c r="Y97" s="183"/>
      <c r="Z97" s="183"/>
      <c r="AA97" s="183"/>
      <c r="AB97" s="183"/>
      <c r="AC97" s="183"/>
      <c r="AD97" s="183"/>
      <c r="AE97" s="183"/>
      <c r="AF97" s="183"/>
      <c r="AG97" s="183"/>
      <c r="AH97" s="183"/>
      <c r="AI97" s="183"/>
      <c r="AJ97" s="183"/>
      <c r="AK97" s="183"/>
    </row>
    <row r="98" ht="15.75" customHeight="1">
      <c r="A98" s="183"/>
      <c r="B98" s="188" t="str">
        <f>IF(OR(E98=Report!$B$1, F98=Report!$B$1, G98=Report!$B$1, H98=Report!$B$1), D98, "")</f>
        <v/>
      </c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6"/>
      <c r="W98" s="186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  <c r="AI98" s="183"/>
      <c r="AJ98" s="183"/>
      <c r="AK98" s="183"/>
    </row>
    <row r="99" ht="15.75" customHeight="1">
      <c r="A99" s="183"/>
      <c r="B99" s="188" t="str">
        <f>IF(OR(E99=Report!$B$1, F99=Report!$B$1, G99=Report!$B$1, H99=Report!$B$1), D99, "")</f>
        <v/>
      </c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6"/>
      <c r="W99" s="186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</row>
    <row r="100" ht="15.75" customHeight="1">
      <c r="A100" s="183"/>
      <c r="B100" s="188" t="str">
        <f>IF(OR(E100=Report!$B$1, F100=Report!$B$1, G100=Report!$B$1, H100=Report!$B$1), D100, "")</f>
        <v/>
      </c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6"/>
      <c r="W100" s="186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  <c r="AI100" s="183"/>
      <c r="AJ100" s="183"/>
      <c r="AK100" s="183"/>
    </row>
    <row r="101" ht="15.75" customHeight="1">
      <c r="A101" s="183"/>
      <c r="B101" s="188" t="str">
        <f>IF(OR(E101=Report!$B$1, F101=Report!$B$1, G101=Report!$B$1, H101=Report!$B$1), D101, "")</f>
        <v/>
      </c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6"/>
      <c r="W101" s="186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  <c r="AH101" s="183"/>
      <c r="AI101" s="183"/>
      <c r="AJ101" s="183"/>
      <c r="AK101" s="183"/>
    </row>
    <row r="102" ht="15.75" customHeight="1">
      <c r="A102" s="183"/>
      <c r="B102" s="188" t="str">
        <f>IF(OR(E102=Report!$B$1, F102=Report!$B$1, G102=Report!$B$1, H102=Report!$B$1), D102, "")</f>
        <v/>
      </c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6"/>
      <c r="W102" s="186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</row>
    <row r="103" ht="15.75" customHeight="1">
      <c r="A103" s="183"/>
      <c r="B103" s="188" t="str">
        <f>IF(OR(E103=Report!$B$1, F103=Report!$B$1, G103=Report!$B$1, H103=Report!$B$1), D103, "")</f>
        <v/>
      </c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6"/>
      <c r="W103" s="186"/>
      <c r="X103" s="183"/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  <c r="AI103" s="183"/>
      <c r="AJ103" s="183"/>
      <c r="AK103" s="183"/>
    </row>
    <row r="104" ht="15.75" customHeight="1">
      <c r="A104" s="183"/>
      <c r="B104" s="188" t="str">
        <f>IF(OR(E104=Report!$B$1, F104=Report!$B$1, G104=Report!$B$1, H104=Report!$B$1), D104, "")</f>
        <v/>
      </c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6"/>
      <c r="W104" s="186"/>
      <c r="X104" s="183"/>
      <c r="Y104" s="183"/>
      <c r="Z104" s="183"/>
      <c r="AA104" s="183"/>
      <c r="AB104" s="183"/>
      <c r="AC104" s="183"/>
      <c r="AD104" s="183"/>
      <c r="AE104" s="183"/>
      <c r="AF104" s="183"/>
      <c r="AG104" s="183"/>
      <c r="AH104" s="183"/>
      <c r="AI104" s="183"/>
      <c r="AJ104" s="183"/>
      <c r="AK104" s="183"/>
    </row>
    <row r="105" ht="15.75" customHeight="1">
      <c r="A105" s="183"/>
      <c r="B105" s="188" t="str">
        <f>IF(OR(E105=Report!$B$1, F105=Report!$B$1, G105=Report!$B$1, H105=Report!$B$1), D105, "")</f>
        <v/>
      </c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6"/>
      <c r="W105" s="186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</row>
    <row r="106" ht="15.75" customHeight="1">
      <c r="A106" s="183"/>
      <c r="B106" s="188" t="str">
        <f>IF(OR(E106=Report!$B$1, F106=Report!$B$1, G106=Report!$B$1, H106=Report!$B$1), D106, "")</f>
        <v/>
      </c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6"/>
      <c r="W106" s="186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83"/>
      <c r="AJ106" s="183"/>
      <c r="AK106" s="183"/>
    </row>
    <row r="107" ht="15.75" customHeight="1">
      <c r="A107" s="183"/>
      <c r="B107" s="188" t="str">
        <f>IF(OR(E107=Report!$B$1, F107=Report!$B$1, G107=Report!$B$1, H107=Report!$B$1), D107, "")</f>
        <v/>
      </c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6"/>
      <c r="W107" s="186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  <c r="AH107" s="183"/>
      <c r="AI107" s="183"/>
      <c r="AJ107" s="183"/>
      <c r="AK107" s="183"/>
    </row>
    <row r="108" ht="15.75" customHeight="1">
      <c r="A108" s="183"/>
      <c r="B108" s="188" t="str">
        <f>IF(OR(E108=Report!$B$1, F108=Report!$B$1, G108=Report!$B$1, H108=Report!$B$1), D108, "")</f>
        <v/>
      </c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6"/>
      <c r="W108" s="186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  <c r="AH108" s="183"/>
      <c r="AI108" s="183"/>
      <c r="AJ108" s="183"/>
      <c r="AK108" s="183"/>
    </row>
    <row r="109" ht="15.75" customHeight="1">
      <c r="A109" s="183"/>
      <c r="B109" s="188" t="str">
        <f>IF(OR(E109=Report!$B$1, F109=Report!$B$1, G109=Report!$B$1, H109=Report!$B$1), D109, "")</f>
        <v/>
      </c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6"/>
      <c r="W109" s="186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  <c r="AH109" s="183"/>
      <c r="AI109" s="183"/>
      <c r="AJ109" s="183"/>
      <c r="AK109" s="183"/>
    </row>
    <row r="110" ht="15.75" customHeight="1">
      <c r="A110" s="183"/>
      <c r="B110" s="188" t="str">
        <f>IF(OR(E110=Report!$B$1, F110=Report!$B$1, G110=Report!$B$1, H110=Report!$B$1), D110, "")</f>
        <v/>
      </c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6"/>
      <c r="W110" s="186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  <c r="AH110" s="183"/>
      <c r="AI110" s="183"/>
      <c r="AJ110" s="183"/>
      <c r="AK110" s="183"/>
    </row>
    <row r="111" ht="15.75" customHeight="1">
      <c r="A111" s="183"/>
      <c r="B111" s="188" t="str">
        <f>IF(OR(E111=Report!$B$1, F111=Report!$B$1, G111=Report!$B$1, H111=Report!$B$1), D111, "")</f>
        <v/>
      </c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6"/>
      <c r="W111" s="186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183"/>
      <c r="AK111" s="183"/>
    </row>
    <row r="112" ht="15.75" customHeight="1">
      <c r="A112" s="183"/>
      <c r="B112" s="188" t="str">
        <f>IF(OR(E112=Report!$B$1, F112=Report!$B$1, G112=Report!$B$1, H112=Report!$B$1), D112, "")</f>
        <v/>
      </c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6"/>
      <c r="W112" s="186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  <c r="AI112" s="183"/>
      <c r="AJ112" s="183"/>
      <c r="AK112" s="183"/>
    </row>
    <row r="113" ht="15.75" customHeight="1">
      <c r="A113" s="183"/>
      <c r="B113" s="188" t="str">
        <f>IF(OR(E113=Report!$B$1, F113=Report!$B$1, G113=Report!$B$1, H113=Report!$B$1), D113, "")</f>
        <v/>
      </c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6"/>
      <c r="W113" s="186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3"/>
      <c r="AI113" s="183"/>
      <c r="AJ113" s="183"/>
      <c r="AK113" s="183"/>
    </row>
    <row r="114" ht="15.75" customHeight="1">
      <c r="A114" s="183"/>
      <c r="B114" s="188" t="str">
        <f>IF(OR(E114=Report!$B$1, F114=Report!$B$1, G114=Report!$B$1, H114=Report!$B$1), D114, "")</f>
        <v/>
      </c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6"/>
      <c r="W114" s="186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</row>
    <row r="115" ht="15.75" customHeight="1">
      <c r="A115" s="183"/>
      <c r="B115" s="188" t="str">
        <f>IF(OR(E115=Report!$B$1, F115=Report!$B$1, G115=Report!$B$1, H115=Report!$B$1), D115, "")</f>
        <v/>
      </c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6"/>
      <c r="W115" s="186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  <c r="AJ115" s="183"/>
      <c r="AK115" s="183"/>
    </row>
    <row r="116" ht="15.75" customHeight="1">
      <c r="A116" s="183"/>
      <c r="B116" s="188" t="str">
        <f>IF(OR(E116=Report!$B$1, F116=Report!$B$1, G116=Report!$B$1, H116=Report!$B$1), D116, "")</f>
        <v/>
      </c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6"/>
      <c r="W116" s="186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</row>
    <row r="117" ht="15.75" customHeight="1">
      <c r="A117" s="183"/>
      <c r="B117" s="188" t="str">
        <f>IF(OR(E117=Report!$B$1, F117=Report!$B$1, G117=Report!$B$1, H117=Report!$B$1), D117, "")</f>
        <v/>
      </c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6"/>
      <c r="W117" s="186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  <c r="AI117" s="183"/>
      <c r="AJ117" s="183"/>
      <c r="AK117" s="183"/>
    </row>
    <row r="118" ht="15.75" customHeight="1">
      <c r="A118" s="183"/>
      <c r="B118" s="188" t="str">
        <f>IF(OR(E118=Report!$B$1, F118=Report!$B$1, G118=Report!$B$1, H118=Report!$B$1), D118, "")</f>
        <v/>
      </c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6"/>
      <c r="W118" s="186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  <c r="AI118" s="183"/>
      <c r="AJ118" s="183"/>
      <c r="AK118" s="183"/>
    </row>
    <row r="119" ht="15.75" customHeight="1">
      <c r="A119" s="183"/>
      <c r="B119" s="188" t="str">
        <f>IF(OR(E119=Report!$B$1, F119=Report!$B$1, G119=Report!$B$1, H119=Report!$B$1), D119, "")</f>
        <v/>
      </c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6"/>
      <c r="W119" s="186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</row>
    <row r="120" ht="15.75" customHeight="1">
      <c r="A120" s="183"/>
      <c r="B120" s="188" t="str">
        <f>IF(OR(E120=Report!$B$1, F120=Report!$B$1, G120=Report!$B$1, H120=Report!$B$1), D120, "")</f>
        <v/>
      </c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6"/>
      <c r="W120" s="186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</row>
    <row r="121" ht="15.75" customHeight="1">
      <c r="A121" s="183"/>
      <c r="B121" s="188" t="str">
        <f>IF(OR(E121=Report!$B$1, F121=Report!$B$1, G121=Report!$B$1, H121=Report!$B$1), D121, "")</f>
        <v/>
      </c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6"/>
      <c r="W121" s="186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</row>
    <row r="122" ht="15.75" customHeight="1">
      <c r="A122" s="183"/>
      <c r="B122" s="188" t="str">
        <f>IF(OR(E122=Report!$B$1, F122=Report!$B$1, G122=Report!$B$1, H122=Report!$B$1), D122, "")</f>
        <v/>
      </c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6"/>
      <c r="W122" s="186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  <c r="AI122" s="183"/>
      <c r="AJ122" s="183"/>
      <c r="AK122" s="183"/>
    </row>
    <row r="123" ht="15.75" customHeight="1">
      <c r="A123" s="183"/>
      <c r="B123" s="188" t="str">
        <f>IF(OR(E123=Report!$B$1, F123=Report!$B$1, G123=Report!$B$1, H123=Report!$B$1), D123, "")</f>
        <v/>
      </c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6"/>
      <c r="W123" s="186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</row>
    <row r="124" ht="15.75" customHeight="1">
      <c r="A124" s="183"/>
      <c r="B124" s="188" t="str">
        <f>IF(OR(E124=Report!$B$1, F124=Report!$B$1, G124=Report!$B$1, H124=Report!$B$1), D124, "")</f>
        <v/>
      </c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6"/>
      <c r="W124" s="186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</row>
    <row r="125" ht="15.75" customHeight="1">
      <c r="A125" s="183"/>
      <c r="B125" s="188" t="str">
        <f>IF(OR(E125=Report!$B$1, F125=Report!$B$1, G125=Report!$B$1, H125=Report!$B$1), D125, "")</f>
        <v/>
      </c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6"/>
      <c r="W125" s="186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183"/>
      <c r="AK125" s="183"/>
    </row>
    <row r="126" ht="15.75" customHeight="1">
      <c r="A126" s="183"/>
      <c r="B126" s="188" t="str">
        <f>IF(OR(E126=Report!$B$1, F126=Report!$B$1, G126=Report!$B$1, H126=Report!$B$1), D126, "")</f>
        <v/>
      </c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6"/>
      <c r="W126" s="186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183"/>
      <c r="AK126" s="183"/>
    </row>
    <row r="127" ht="15.75" customHeight="1">
      <c r="A127" s="183"/>
      <c r="B127" s="188" t="str">
        <f>IF(OR(E127=Report!$B$1, F127=Report!$B$1, G127=Report!$B$1, H127=Report!$B$1), D127, "")</f>
        <v/>
      </c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6"/>
      <c r="W127" s="186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</row>
    <row r="128" ht="15.75" customHeight="1">
      <c r="A128" s="183"/>
      <c r="B128" s="188" t="str">
        <f>IF(OR(E128=Report!$B$1, F128=Report!$B$1, G128=Report!$B$1, H128=Report!$B$1), D128, "")</f>
        <v/>
      </c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6"/>
      <c r="W128" s="186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183"/>
      <c r="AK128" s="183"/>
    </row>
    <row r="129" ht="15.75" customHeight="1">
      <c r="A129" s="183"/>
      <c r="B129" s="188" t="str">
        <f>IF(OR(E129=Report!$B$1, F129=Report!$B$1, G129=Report!$B$1, H129=Report!$B$1), D129, "")</f>
        <v/>
      </c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6"/>
      <c r="W129" s="186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</row>
    <row r="130" ht="15.75" customHeight="1">
      <c r="A130" s="183"/>
      <c r="B130" s="188" t="str">
        <f>IF(OR(E130=Report!$B$1, F130=Report!$B$1, G130=Report!$B$1, H130=Report!$B$1), D130, "")</f>
        <v/>
      </c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6"/>
      <c r="W130" s="186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  <c r="AH130" s="183"/>
      <c r="AI130" s="183"/>
      <c r="AJ130" s="183"/>
      <c r="AK130" s="183"/>
    </row>
    <row r="131" ht="15.75" customHeight="1">
      <c r="A131" s="183"/>
      <c r="B131" s="188" t="str">
        <f>IF(OR(E131=Report!$B$1, F131=Report!$B$1, G131=Report!$B$1, H131=Report!$B$1), D131, "")</f>
        <v/>
      </c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6"/>
      <c r="W131" s="186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  <c r="AH131" s="183"/>
      <c r="AI131" s="183"/>
      <c r="AJ131" s="183"/>
      <c r="AK131" s="183"/>
    </row>
    <row r="132" ht="15.75" customHeight="1">
      <c r="A132" s="183"/>
      <c r="B132" s="188" t="str">
        <f>IF(OR(E132=Report!$B$1, F132=Report!$B$1, G132=Report!$B$1, H132=Report!$B$1), D132, "")</f>
        <v/>
      </c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6"/>
      <c r="W132" s="186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</row>
    <row r="133" ht="15.75" customHeight="1">
      <c r="A133" s="183"/>
      <c r="B133" s="188" t="str">
        <f>IF(OR(E133=Report!$B$1, F133=Report!$B$1, G133=Report!$B$1, H133=Report!$B$1), D133, "")</f>
        <v/>
      </c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6"/>
      <c r="W133" s="186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</row>
    <row r="134" ht="15.75" customHeight="1">
      <c r="A134" s="183"/>
      <c r="B134" s="188" t="str">
        <f>IF(OR(E134=Report!$B$1, F134=Report!$B$1, G134=Report!$B$1, H134=Report!$B$1), D134, "")</f>
        <v/>
      </c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6"/>
      <c r="W134" s="186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183"/>
      <c r="AK134" s="183"/>
    </row>
    <row r="135" ht="15.75" customHeight="1">
      <c r="A135" s="183"/>
      <c r="B135" s="188" t="str">
        <f>IF(OR(E135=Report!$B$1, F135=Report!$B$1, G135=Report!$B$1, H135=Report!$B$1), D135, "")</f>
        <v/>
      </c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6"/>
      <c r="W135" s="186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</row>
    <row r="136" ht="15.75" customHeight="1">
      <c r="A136" s="183"/>
      <c r="B136" s="188" t="str">
        <f>IF(OR(E136=Report!$B$1, F136=Report!$B$1, G136=Report!$B$1, H136=Report!$B$1), D136, "")</f>
        <v/>
      </c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6"/>
      <c r="W136" s="186"/>
      <c r="X136" s="183"/>
      <c r="Y136" s="183"/>
      <c r="Z136" s="183"/>
      <c r="AA136" s="183"/>
      <c r="AB136" s="183"/>
      <c r="AC136" s="183"/>
      <c r="AD136" s="183"/>
      <c r="AE136" s="183"/>
      <c r="AF136" s="183"/>
      <c r="AG136" s="183"/>
      <c r="AH136" s="183"/>
      <c r="AI136" s="183"/>
      <c r="AJ136" s="183"/>
      <c r="AK136" s="183"/>
    </row>
    <row r="137" ht="15.75" customHeight="1">
      <c r="A137" s="183"/>
      <c r="B137" s="188" t="str">
        <f>IF(OR(E137=Report!$B$1, F137=Report!$B$1, G137=Report!$B$1, H137=Report!$B$1), D137, "")</f>
        <v/>
      </c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6"/>
      <c r="W137" s="186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</row>
    <row r="138" ht="15.75" customHeight="1">
      <c r="A138" s="183"/>
      <c r="B138" s="188" t="str">
        <f>IF(OR(E138=Report!$B$1, F138=Report!$B$1, G138=Report!$B$1, H138=Report!$B$1), D138, "")</f>
        <v/>
      </c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6"/>
      <c r="W138" s="186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  <c r="AI138" s="183"/>
      <c r="AJ138" s="183"/>
      <c r="AK138" s="183"/>
    </row>
    <row r="139" ht="15.75" customHeight="1">
      <c r="A139" s="183"/>
      <c r="B139" s="188" t="str">
        <f>IF(OR(E139=Report!$B$1, F139=Report!$B$1, G139=Report!$B$1, H139=Report!$B$1), D139, "")</f>
        <v/>
      </c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6"/>
      <c r="W139" s="186"/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  <c r="AH139" s="183"/>
      <c r="AI139" s="183"/>
      <c r="AJ139" s="183"/>
      <c r="AK139" s="183"/>
    </row>
    <row r="140" ht="15.75" customHeight="1">
      <c r="A140" s="183"/>
      <c r="B140" s="188" t="str">
        <f>IF(OR(E140=Report!$B$1, F140=Report!$B$1, G140=Report!$B$1, H140=Report!$B$1), D140, "")</f>
        <v/>
      </c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6"/>
      <c r="W140" s="186"/>
      <c r="X140" s="183"/>
      <c r="Y140" s="183"/>
      <c r="Z140" s="183"/>
      <c r="AA140" s="183"/>
      <c r="AB140" s="183"/>
      <c r="AC140" s="183"/>
      <c r="AD140" s="183"/>
      <c r="AE140" s="183"/>
      <c r="AF140" s="183"/>
      <c r="AG140" s="183"/>
      <c r="AH140" s="183"/>
      <c r="AI140" s="183"/>
      <c r="AJ140" s="183"/>
      <c r="AK140" s="183"/>
    </row>
    <row r="141" ht="15.75" customHeight="1">
      <c r="A141" s="183"/>
      <c r="B141" s="188" t="str">
        <f>IF(OR(E141=Report!$B$1, F141=Report!$B$1, G141=Report!$B$1, H141=Report!$B$1), D141, "")</f>
        <v/>
      </c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6"/>
      <c r="W141" s="186"/>
      <c r="X141" s="183"/>
      <c r="Y141" s="183"/>
      <c r="Z141" s="183"/>
      <c r="AA141" s="183"/>
      <c r="AB141" s="183"/>
      <c r="AC141" s="183"/>
      <c r="AD141" s="183"/>
      <c r="AE141" s="183"/>
      <c r="AF141" s="183"/>
      <c r="AG141" s="183"/>
      <c r="AH141" s="183"/>
      <c r="AI141" s="183"/>
      <c r="AJ141" s="183"/>
      <c r="AK141" s="183"/>
    </row>
    <row r="142" ht="15.75" customHeight="1">
      <c r="A142" s="183"/>
      <c r="B142" s="188" t="str">
        <f>IF(OR(E142=Report!$B$1, F142=Report!$B$1, G142=Report!$B$1, H142=Report!$B$1), D142, "")</f>
        <v/>
      </c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6"/>
      <c r="W142" s="186"/>
      <c r="X142" s="183"/>
      <c r="Y142" s="183"/>
      <c r="Z142" s="183"/>
      <c r="AA142" s="183"/>
      <c r="AB142" s="183"/>
      <c r="AC142" s="183"/>
      <c r="AD142" s="183"/>
      <c r="AE142" s="183"/>
      <c r="AF142" s="183"/>
      <c r="AG142" s="183"/>
      <c r="AH142" s="183"/>
      <c r="AI142" s="183"/>
      <c r="AJ142" s="183"/>
      <c r="AK142" s="183"/>
    </row>
    <row r="143" ht="15.75" customHeight="1">
      <c r="A143" s="183"/>
      <c r="B143" s="188" t="str">
        <f>IF(OR(E143=Report!$B$1, F143=Report!$B$1, G143=Report!$B$1, H143=Report!$B$1), D143, "")</f>
        <v/>
      </c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6"/>
      <c r="W143" s="186"/>
      <c r="X143" s="183"/>
      <c r="Y143" s="183"/>
      <c r="Z143" s="183"/>
      <c r="AA143" s="183"/>
      <c r="AB143" s="183"/>
      <c r="AC143" s="183"/>
      <c r="AD143" s="183"/>
      <c r="AE143" s="183"/>
      <c r="AF143" s="183"/>
      <c r="AG143" s="183"/>
      <c r="AH143" s="183"/>
      <c r="AI143" s="183"/>
      <c r="AJ143" s="183"/>
      <c r="AK143" s="183"/>
    </row>
    <row r="144" ht="15.75" customHeight="1">
      <c r="A144" s="183"/>
      <c r="B144" s="188" t="str">
        <f>IF(OR(E144=Report!$B$1, F144=Report!$B$1, G144=Report!$B$1, H144=Report!$B$1), D144, "")</f>
        <v/>
      </c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6"/>
      <c r="W144" s="186"/>
      <c r="X144" s="183"/>
      <c r="Y144" s="183"/>
      <c r="Z144" s="183"/>
      <c r="AA144" s="183"/>
      <c r="AB144" s="183"/>
      <c r="AC144" s="183"/>
      <c r="AD144" s="183"/>
      <c r="AE144" s="183"/>
      <c r="AF144" s="183"/>
      <c r="AG144" s="183"/>
      <c r="AH144" s="183"/>
      <c r="AI144" s="183"/>
      <c r="AJ144" s="183"/>
      <c r="AK144" s="183"/>
    </row>
    <row r="145" ht="15.75" customHeight="1">
      <c r="A145" s="183"/>
      <c r="B145" s="188" t="str">
        <f>IF(OR(E145=Report!$B$1, F145=Report!$B$1, G145=Report!$B$1, H145=Report!$B$1), D145, "")</f>
        <v/>
      </c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6"/>
      <c r="W145" s="186"/>
      <c r="X145" s="183"/>
      <c r="Y145" s="183"/>
      <c r="Z145" s="183"/>
      <c r="AA145" s="183"/>
      <c r="AB145" s="183"/>
      <c r="AC145" s="183"/>
      <c r="AD145" s="183"/>
      <c r="AE145" s="183"/>
      <c r="AF145" s="183"/>
      <c r="AG145" s="183"/>
      <c r="AH145" s="183"/>
      <c r="AI145" s="183"/>
      <c r="AJ145" s="183"/>
      <c r="AK145" s="183"/>
    </row>
    <row r="146" ht="15.75" customHeight="1">
      <c r="A146" s="183"/>
      <c r="B146" s="188" t="str">
        <f>IF(OR(E146=Report!$B$1, F146=Report!$B$1, G146=Report!$B$1, H146=Report!$B$1), D146, "")</f>
        <v/>
      </c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6"/>
      <c r="W146" s="186"/>
      <c r="X146" s="183"/>
      <c r="Y146" s="183"/>
      <c r="Z146" s="183"/>
      <c r="AA146" s="183"/>
      <c r="AB146" s="183"/>
      <c r="AC146" s="183"/>
      <c r="AD146" s="183"/>
      <c r="AE146" s="183"/>
      <c r="AF146" s="183"/>
      <c r="AG146" s="183"/>
      <c r="AH146" s="183"/>
      <c r="AI146" s="183"/>
      <c r="AJ146" s="183"/>
      <c r="AK146" s="183"/>
    </row>
    <row r="147" ht="15.75" customHeight="1">
      <c r="A147" s="183"/>
      <c r="B147" s="188" t="str">
        <f>IF(OR(E147=Report!$B$1, F147=Report!$B$1, G147=Report!$B$1, H147=Report!$B$1), D147, "")</f>
        <v/>
      </c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6"/>
      <c r="W147" s="186"/>
      <c r="X147" s="183"/>
      <c r="Y147" s="183"/>
      <c r="Z147" s="183"/>
      <c r="AA147" s="183"/>
      <c r="AB147" s="183"/>
      <c r="AC147" s="183"/>
      <c r="AD147" s="183"/>
      <c r="AE147" s="183"/>
      <c r="AF147" s="183"/>
      <c r="AG147" s="183"/>
      <c r="AH147" s="183"/>
      <c r="AI147" s="183"/>
      <c r="AJ147" s="183"/>
      <c r="AK147" s="183"/>
    </row>
    <row r="148" ht="15.75" customHeight="1">
      <c r="A148" s="183"/>
      <c r="B148" s="188" t="str">
        <f>IF(OR(E148=Report!$B$1, F148=Report!$B$1, G148=Report!$B$1, H148=Report!$B$1), D148, "")</f>
        <v/>
      </c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6"/>
      <c r="W148" s="186"/>
      <c r="X148" s="183"/>
      <c r="Y148" s="183"/>
      <c r="Z148" s="183"/>
      <c r="AA148" s="183"/>
      <c r="AB148" s="183"/>
      <c r="AC148" s="183"/>
      <c r="AD148" s="183"/>
      <c r="AE148" s="183"/>
      <c r="AF148" s="183"/>
      <c r="AG148" s="183"/>
      <c r="AH148" s="183"/>
      <c r="AI148" s="183"/>
      <c r="AJ148" s="183"/>
      <c r="AK148" s="183"/>
    </row>
    <row r="149" ht="15.75" customHeight="1">
      <c r="A149" s="183"/>
      <c r="B149" s="188" t="str">
        <f>IF(OR(E149=Report!$B$1, F149=Report!$B$1, G149=Report!$B$1, H149=Report!$B$1), D149, "")</f>
        <v/>
      </c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6"/>
      <c r="W149" s="186"/>
      <c r="X149" s="183"/>
      <c r="Y149" s="183"/>
      <c r="Z149" s="183"/>
      <c r="AA149" s="183"/>
      <c r="AB149" s="183"/>
      <c r="AC149" s="183"/>
      <c r="AD149" s="183"/>
      <c r="AE149" s="183"/>
      <c r="AF149" s="183"/>
      <c r="AG149" s="183"/>
      <c r="AH149" s="183"/>
      <c r="AI149" s="183"/>
      <c r="AJ149" s="183"/>
      <c r="AK149" s="183"/>
    </row>
    <row r="150" ht="15.75" customHeight="1">
      <c r="A150" s="183"/>
      <c r="B150" s="188" t="str">
        <f>IF(OR(E150=Report!$B$1, F150=Report!$B$1, G150=Report!$B$1, H150=Report!$B$1), D150, "")</f>
        <v/>
      </c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6"/>
      <c r="W150" s="186"/>
      <c r="X150" s="183"/>
      <c r="Y150" s="183"/>
      <c r="Z150" s="183"/>
      <c r="AA150" s="183"/>
      <c r="AB150" s="183"/>
      <c r="AC150" s="183"/>
      <c r="AD150" s="183"/>
      <c r="AE150" s="183"/>
      <c r="AF150" s="183"/>
      <c r="AG150" s="183"/>
      <c r="AH150" s="183"/>
      <c r="AI150" s="183"/>
      <c r="AJ150" s="183"/>
      <c r="AK150" s="183"/>
    </row>
    <row r="151" ht="15.75" customHeight="1">
      <c r="A151" s="183"/>
      <c r="B151" s="188" t="str">
        <f>IF(OR(E151=Report!$B$1, F151=Report!$B$1, G151=Report!$B$1, H151=Report!$B$1), D151, "")</f>
        <v/>
      </c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6"/>
      <c r="W151" s="186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  <c r="AI151" s="183"/>
      <c r="AJ151" s="183"/>
      <c r="AK151" s="183"/>
    </row>
    <row r="152" ht="15.75" customHeight="1">
      <c r="A152" s="183"/>
      <c r="B152" s="188" t="str">
        <f>IF(OR(E152=Report!$B$1, F152=Report!$B$1, G152=Report!$B$1, H152=Report!$B$1), D152, "")</f>
        <v/>
      </c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6"/>
      <c r="W152" s="186"/>
      <c r="X152" s="183"/>
      <c r="Y152" s="183"/>
      <c r="Z152" s="183"/>
      <c r="AA152" s="183"/>
      <c r="AB152" s="183"/>
      <c r="AC152" s="183"/>
      <c r="AD152" s="183"/>
      <c r="AE152" s="183"/>
      <c r="AF152" s="183"/>
      <c r="AG152" s="183"/>
      <c r="AH152" s="183"/>
      <c r="AI152" s="183"/>
      <c r="AJ152" s="183"/>
      <c r="AK152" s="183"/>
    </row>
    <row r="153" ht="15.75" customHeight="1">
      <c r="A153" s="183"/>
      <c r="B153" s="188" t="str">
        <f>IF(OR(E153=Report!$B$1, F153=Report!$B$1, G153=Report!$B$1, H153=Report!$B$1), D153, "")</f>
        <v/>
      </c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6"/>
      <c r="W153" s="186"/>
      <c r="X153" s="183"/>
      <c r="Y153" s="183"/>
      <c r="Z153" s="183"/>
      <c r="AA153" s="183"/>
      <c r="AB153" s="183"/>
      <c r="AC153" s="183"/>
      <c r="AD153" s="183"/>
      <c r="AE153" s="183"/>
      <c r="AF153" s="183"/>
      <c r="AG153" s="183"/>
      <c r="AH153" s="183"/>
      <c r="AI153" s="183"/>
      <c r="AJ153" s="183"/>
      <c r="AK153" s="183"/>
    </row>
    <row r="154" ht="15.75" customHeight="1">
      <c r="A154" s="183"/>
      <c r="B154" s="188" t="str">
        <f>IF(OR(E154=Report!$B$1, F154=Report!$B$1, G154=Report!$B$1, H154=Report!$B$1), D154, "")</f>
        <v/>
      </c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6"/>
      <c r="W154" s="186"/>
      <c r="X154" s="183"/>
      <c r="Y154" s="183"/>
      <c r="Z154" s="183"/>
      <c r="AA154" s="183"/>
      <c r="AB154" s="183"/>
      <c r="AC154" s="183"/>
      <c r="AD154" s="183"/>
      <c r="AE154" s="183"/>
      <c r="AF154" s="183"/>
      <c r="AG154" s="183"/>
      <c r="AH154" s="183"/>
      <c r="AI154" s="183"/>
      <c r="AJ154" s="183"/>
      <c r="AK154" s="183"/>
    </row>
    <row r="155" ht="15.75" customHeight="1">
      <c r="A155" s="183"/>
      <c r="B155" s="188" t="str">
        <f>IF(OR(E155=Report!$B$1, F155=Report!$B$1, G155=Report!$B$1, H155=Report!$B$1), D155, "")</f>
        <v/>
      </c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6"/>
      <c r="W155" s="186"/>
      <c r="X155" s="183"/>
      <c r="Y155" s="183"/>
      <c r="Z155" s="183"/>
      <c r="AA155" s="183"/>
      <c r="AB155" s="183"/>
      <c r="AC155" s="183"/>
      <c r="AD155" s="183"/>
      <c r="AE155" s="183"/>
      <c r="AF155" s="183"/>
      <c r="AG155" s="183"/>
      <c r="AH155" s="183"/>
      <c r="AI155" s="183"/>
      <c r="AJ155" s="183"/>
      <c r="AK155" s="183"/>
    </row>
    <row r="156" ht="15.75" customHeight="1">
      <c r="A156" s="183"/>
      <c r="B156" s="188" t="str">
        <f>IF(OR(E156=Report!$B$1, F156=Report!$B$1, G156=Report!$B$1, H156=Report!$B$1), D156, "")</f>
        <v/>
      </c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6"/>
      <c r="W156" s="186"/>
      <c r="X156" s="183"/>
      <c r="Y156" s="183"/>
      <c r="Z156" s="183"/>
      <c r="AA156" s="183"/>
      <c r="AB156" s="183"/>
      <c r="AC156" s="183"/>
      <c r="AD156" s="183"/>
      <c r="AE156" s="183"/>
      <c r="AF156" s="183"/>
      <c r="AG156" s="183"/>
      <c r="AH156" s="183"/>
      <c r="AI156" s="183"/>
      <c r="AJ156" s="183"/>
      <c r="AK156" s="183"/>
    </row>
    <row r="157" ht="15.75" customHeight="1">
      <c r="A157" s="183"/>
      <c r="B157" s="188" t="str">
        <f>IF(OR(E157=Report!$B$1, F157=Report!$B$1, G157=Report!$B$1, H157=Report!$B$1), D157, "")</f>
        <v/>
      </c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6"/>
      <c r="W157" s="186"/>
      <c r="X157" s="183"/>
      <c r="Y157" s="183"/>
      <c r="Z157" s="183"/>
      <c r="AA157" s="183"/>
      <c r="AB157" s="183"/>
      <c r="AC157" s="183"/>
      <c r="AD157" s="183"/>
      <c r="AE157" s="183"/>
      <c r="AF157" s="183"/>
      <c r="AG157" s="183"/>
      <c r="AH157" s="183"/>
      <c r="AI157" s="183"/>
      <c r="AJ157" s="183"/>
      <c r="AK157" s="183"/>
    </row>
    <row r="158" ht="15.75" customHeight="1">
      <c r="A158" s="183"/>
      <c r="B158" s="188" t="str">
        <f>IF(OR(E158=Report!$B$1, F158=Report!$B$1, G158=Report!$B$1, H158=Report!$B$1), D158, "")</f>
        <v/>
      </c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6"/>
      <c r="W158" s="186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</row>
    <row r="159" ht="15.75" customHeight="1">
      <c r="A159" s="183"/>
      <c r="B159" s="188" t="str">
        <f>IF(OR(E159=Report!$B$1, F159=Report!$B$1, G159=Report!$B$1, H159=Report!$B$1), D159, "")</f>
        <v/>
      </c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6"/>
      <c r="W159" s="186"/>
      <c r="X159" s="183"/>
      <c r="Y159" s="183"/>
      <c r="Z159" s="183"/>
      <c r="AA159" s="183"/>
      <c r="AB159" s="183"/>
      <c r="AC159" s="183"/>
      <c r="AD159" s="183"/>
      <c r="AE159" s="183"/>
      <c r="AF159" s="183"/>
      <c r="AG159" s="183"/>
      <c r="AH159" s="183"/>
      <c r="AI159" s="183"/>
      <c r="AJ159" s="183"/>
      <c r="AK159" s="183"/>
    </row>
    <row r="160" ht="15.75" customHeight="1">
      <c r="A160" s="183"/>
      <c r="B160" s="188" t="str">
        <f>IF(OR(E160=Report!$B$1, F160=Report!$B$1, G160=Report!$B$1, H160=Report!$B$1), D160, "")</f>
        <v/>
      </c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6"/>
      <c r="W160" s="186"/>
      <c r="X160" s="183"/>
      <c r="Y160" s="183"/>
      <c r="Z160" s="183"/>
      <c r="AA160" s="183"/>
      <c r="AB160" s="183"/>
      <c r="AC160" s="183"/>
      <c r="AD160" s="183"/>
      <c r="AE160" s="183"/>
      <c r="AF160" s="183"/>
      <c r="AG160" s="183"/>
      <c r="AH160" s="183"/>
      <c r="AI160" s="183"/>
      <c r="AJ160" s="183"/>
      <c r="AK160" s="183"/>
    </row>
    <row r="161" ht="15.75" customHeight="1">
      <c r="A161" s="183"/>
      <c r="B161" s="188" t="str">
        <f>IF(OR(E161=Report!$B$1, F161=Report!$B$1, G161=Report!$B$1, H161=Report!$B$1), D161, "")</f>
        <v/>
      </c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6"/>
      <c r="W161" s="186"/>
      <c r="X161" s="183"/>
      <c r="Y161" s="183"/>
      <c r="Z161" s="183"/>
      <c r="AA161" s="183"/>
      <c r="AB161" s="183"/>
      <c r="AC161" s="183"/>
      <c r="AD161" s="183"/>
      <c r="AE161" s="183"/>
      <c r="AF161" s="183"/>
      <c r="AG161" s="183"/>
      <c r="AH161" s="183"/>
      <c r="AI161" s="183"/>
      <c r="AJ161" s="183"/>
      <c r="AK161" s="183"/>
    </row>
    <row r="162" ht="15.75" customHeight="1">
      <c r="A162" s="183"/>
      <c r="B162" s="188" t="str">
        <f>IF(OR(E162=Report!$B$1, F162=Report!$B$1, G162=Report!$B$1, H162=Report!$B$1), D162, "")</f>
        <v/>
      </c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6"/>
      <c r="W162" s="186"/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</row>
    <row r="163" ht="15.75" customHeight="1">
      <c r="A163" s="183"/>
      <c r="B163" s="188" t="str">
        <f>IF(OR(E163=Report!$B$1, F163=Report!$B$1, G163=Report!$B$1, H163=Report!$B$1), D163, "")</f>
        <v/>
      </c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6"/>
      <c r="W163" s="186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  <c r="AI163" s="183"/>
      <c r="AJ163" s="183"/>
      <c r="AK163" s="183"/>
    </row>
    <row r="164" ht="15.75" customHeight="1">
      <c r="A164" s="183"/>
      <c r="B164" s="188" t="str">
        <f>IF(OR(E164=Report!$B$1, F164=Report!$B$1, G164=Report!$B$1, H164=Report!$B$1), D164, "")</f>
        <v/>
      </c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6"/>
      <c r="W164" s="186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/>
      <c r="AI164" s="183"/>
      <c r="AJ164" s="183"/>
      <c r="AK164" s="183"/>
    </row>
    <row r="165" ht="15.75" customHeight="1">
      <c r="A165" s="183"/>
      <c r="B165" s="188" t="str">
        <f>IF(OR(E165=Report!$B$1, F165=Report!$B$1, G165=Report!$B$1, H165=Report!$B$1), D165, "")</f>
        <v/>
      </c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6"/>
      <c r="W165" s="186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  <c r="AI165" s="183"/>
      <c r="AJ165" s="183"/>
      <c r="AK165" s="183"/>
    </row>
    <row r="166" ht="15.75" customHeight="1">
      <c r="A166" s="183"/>
      <c r="B166" s="188" t="str">
        <f>IF(OR(E166=Report!$B$1, F166=Report!$B$1, G166=Report!$B$1, H166=Report!$B$1), D166, "")</f>
        <v/>
      </c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6"/>
      <c r="W166" s="186"/>
      <c r="X166" s="183"/>
      <c r="Y166" s="183"/>
      <c r="Z166" s="183"/>
      <c r="AA166" s="183"/>
      <c r="AB166" s="183"/>
      <c r="AC166" s="183"/>
      <c r="AD166" s="183"/>
      <c r="AE166" s="183"/>
      <c r="AF166" s="183"/>
      <c r="AG166" s="183"/>
      <c r="AH166" s="183"/>
      <c r="AI166" s="183"/>
      <c r="AJ166" s="183"/>
      <c r="AK166" s="183"/>
    </row>
    <row r="167" ht="15.75" customHeight="1">
      <c r="A167" s="183"/>
      <c r="B167" s="188" t="str">
        <f>IF(OR(E167=Report!$B$1, F167=Report!$B$1, G167=Report!$B$1, H167=Report!$B$1), D167, "")</f>
        <v/>
      </c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6"/>
      <c r="W167" s="186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183"/>
      <c r="AJ167" s="183"/>
      <c r="AK167" s="183"/>
    </row>
    <row r="168" ht="15.75" customHeight="1">
      <c r="A168" s="183"/>
      <c r="B168" s="188" t="str">
        <f>IF(OR(E168=Report!$B$1, F168=Report!$B$1, G168=Report!$B$1, H168=Report!$B$1), D168, "")</f>
        <v/>
      </c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6"/>
      <c r="W168" s="186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  <c r="AI168" s="183"/>
      <c r="AJ168" s="183"/>
      <c r="AK168" s="183"/>
    </row>
    <row r="169" ht="15.75" customHeight="1">
      <c r="A169" s="183"/>
      <c r="B169" s="188" t="str">
        <f>IF(OR(E169=Report!$B$1, F169=Report!$B$1, G169=Report!$B$1, H169=Report!$B$1), D169, "")</f>
        <v/>
      </c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6"/>
      <c r="W169" s="186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183"/>
      <c r="AJ169" s="183"/>
      <c r="AK169" s="183"/>
    </row>
    <row r="170" ht="15.75" customHeight="1">
      <c r="A170" s="183"/>
      <c r="B170" s="188" t="str">
        <f>IF(OR(E170=Report!$B$1, F170=Report!$B$1, G170=Report!$B$1, H170=Report!$B$1), D170, "")</f>
        <v/>
      </c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6"/>
      <c r="W170" s="186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  <c r="AI170" s="183"/>
      <c r="AJ170" s="183"/>
      <c r="AK170" s="183"/>
    </row>
    <row r="171" ht="15.75" customHeight="1">
      <c r="A171" s="183"/>
      <c r="B171" s="188" t="str">
        <f>IF(OR(E171=Report!$B$1, F171=Report!$B$1, G171=Report!$B$1, H171=Report!$B$1), D171, "")</f>
        <v/>
      </c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6"/>
      <c r="W171" s="186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  <c r="AI171" s="183"/>
      <c r="AJ171" s="183"/>
      <c r="AK171" s="183"/>
    </row>
    <row r="172" ht="15.75" customHeight="1">
      <c r="A172" s="183"/>
      <c r="B172" s="188" t="str">
        <f>IF(OR(E172=Report!$B$1, F172=Report!$B$1, G172=Report!$B$1, H172=Report!$B$1), D172, "")</f>
        <v/>
      </c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6"/>
      <c r="W172" s="186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  <c r="AI172" s="183"/>
      <c r="AJ172" s="183"/>
      <c r="AK172" s="183"/>
    </row>
    <row r="173" ht="15.75" customHeight="1">
      <c r="A173" s="183"/>
      <c r="B173" s="188" t="str">
        <f>IF(OR(E173=Report!$B$1, F173=Report!$B$1, G173=Report!$B$1, H173=Report!$B$1), D173, "")</f>
        <v/>
      </c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6"/>
      <c r="W173" s="186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  <c r="AI173" s="183"/>
      <c r="AJ173" s="183"/>
      <c r="AK173" s="183"/>
    </row>
    <row r="174" ht="15.75" customHeight="1">
      <c r="A174" s="183"/>
      <c r="B174" s="188" t="str">
        <f>IF(OR(E174=Report!$B$1, F174=Report!$B$1, G174=Report!$B$1, H174=Report!$B$1), D174, "")</f>
        <v/>
      </c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6"/>
      <c r="W174" s="186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183"/>
      <c r="AJ174" s="183"/>
      <c r="AK174" s="183"/>
    </row>
    <row r="175" ht="15.75" customHeight="1">
      <c r="A175" s="183"/>
      <c r="B175" s="188" t="str">
        <f>IF(OR(E175=Report!$B$1, F175=Report!$B$1, G175=Report!$B$1, H175=Report!$B$1), D175, "")</f>
        <v/>
      </c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6"/>
      <c r="W175" s="186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183"/>
      <c r="AJ175" s="183"/>
      <c r="AK175" s="183"/>
    </row>
    <row r="176" ht="15.75" customHeight="1">
      <c r="A176" s="183"/>
      <c r="B176" s="188" t="str">
        <f>IF(OR(E176=Report!$B$1, F176=Report!$B$1, G176=Report!$B$1, H176=Report!$B$1), D176, "")</f>
        <v/>
      </c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6"/>
      <c r="W176" s="186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183"/>
      <c r="AJ176" s="183"/>
      <c r="AK176" s="183"/>
    </row>
    <row r="177" ht="15.75" customHeight="1">
      <c r="A177" s="183"/>
      <c r="B177" s="188" t="str">
        <f>IF(OR(E177=Report!$B$1, F177=Report!$B$1, G177=Report!$B$1, H177=Report!$B$1), D177, "")</f>
        <v/>
      </c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6"/>
      <c r="W177" s="186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  <c r="AK177" s="183"/>
    </row>
    <row r="178" ht="15.75" customHeight="1">
      <c r="A178" s="183"/>
      <c r="B178" s="188" t="str">
        <f>IF(OR(E178=Report!$B$1, F178=Report!$B$1, G178=Report!$B$1, H178=Report!$B$1), D178, "")</f>
        <v/>
      </c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6"/>
      <c r="W178" s="186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183"/>
      <c r="AJ178" s="183"/>
      <c r="AK178" s="183"/>
    </row>
    <row r="179" ht="15.75" customHeight="1">
      <c r="A179" s="183"/>
      <c r="B179" s="188" t="str">
        <f>IF(OR(E179=Report!$B$1, F179=Report!$B$1, G179=Report!$B$1, H179=Report!$B$1), D179, "")</f>
        <v/>
      </c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6"/>
      <c r="W179" s="186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183"/>
      <c r="AJ179" s="183"/>
      <c r="AK179" s="183"/>
    </row>
    <row r="180" ht="15.75" customHeight="1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6"/>
      <c r="W180" s="186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183"/>
      <c r="AJ180" s="183"/>
      <c r="AK180" s="183"/>
    </row>
    <row r="181" ht="15.75" customHeight="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6"/>
      <c r="W181" s="186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183"/>
      <c r="AJ181" s="183"/>
      <c r="AK181" s="183"/>
    </row>
    <row r="182" ht="15.75" customHeight="1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6"/>
      <c r="W182" s="186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183"/>
      <c r="AJ182" s="183"/>
      <c r="AK182" s="183"/>
    </row>
    <row r="183" ht="15.75" customHeight="1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6"/>
      <c r="W183" s="186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183"/>
      <c r="AJ183" s="183"/>
      <c r="AK183" s="183"/>
    </row>
    <row r="184" ht="15.75" customHeight="1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6"/>
      <c r="W184" s="186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183"/>
      <c r="AJ184" s="183"/>
      <c r="AK184" s="183"/>
    </row>
    <row r="185" ht="15.75" customHeight="1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6"/>
      <c r="W185" s="186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183"/>
      <c r="AJ185" s="183"/>
      <c r="AK185" s="183"/>
    </row>
    <row r="186" ht="15.75" customHeight="1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6"/>
      <c r="W186" s="186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183"/>
      <c r="AJ186" s="183"/>
      <c r="AK186" s="183"/>
    </row>
    <row r="187" ht="15.75" customHeight="1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6"/>
      <c r="W187" s="186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183"/>
      <c r="AJ187" s="183"/>
      <c r="AK187" s="183"/>
    </row>
    <row r="188" ht="15.75" customHeight="1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6"/>
      <c r="W188" s="186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183"/>
      <c r="AJ188" s="183"/>
      <c r="AK188" s="183"/>
    </row>
    <row r="189" ht="15.75" customHeight="1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6"/>
      <c r="W189" s="186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183"/>
      <c r="AJ189" s="183"/>
      <c r="AK189" s="183"/>
    </row>
    <row r="190" ht="15.75" customHeight="1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6"/>
      <c r="W190" s="186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183"/>
      <c r="AJ190" s="183"/>
      <c r="AK190" s="183"/>
    </row>
    <row r="191" ht="15.75" customHeight="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6"/>
      <c r="W191" s="186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183"/>
      <c r="AJ191" s="183"/>
      <c r="AK191" s="183"/>
    </row>
    <row r="192" ht="15.75" customHeight="1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6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183"/>
      <c r="AJ192" s="183"/>
      <c r="AK192" s="183"/>
    </row>
    <row r="193" ht="15.75" customHeight="1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6"/>
      <c r="W193" s="186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183"/>
      <c r="AJ193" s="183"/>
      <c r="AK193" s="183"/>
    </row>
    <row r="194" ht="15.75" customHeight="1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6"/>
      <c r="W194" s="186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183"/>
      <c r="AJ194" s="183"/>
      <c r="AK194" s="183"/>
    </row>
    <row r="195" ht="15.75" customHeight="1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6"/>
      <c r="W195" s="186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183"/>
      <c r="AJ195" s="183"/>
      <c r="AK195" s="183"/>
    </row>
    <row r="196" ht="15.75" customHeight="1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6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183"/>
      <c r="AJ196" s="183"/>
      <c r="AK196" s="183"/>
    </row>
    <row r="197" ht="15.75" customHeight="1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6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183"/>
      <c r="AJ197" s="183"/>
      <c r="AK197" s="183"/>
    </row>
    <row r="198" ht="15.75" customHeigh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6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183"/>
      <c r="AK198" s="183"/>
    </row>
    <row r="199" ht="15.75" customHeight="1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6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183"/>
      <c r="AJ199" s="183"/>
      <c r="AK199" s="183"/>
    </row>
    <row r="200" ht="15.75" customHeight="1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6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183"/>
      <c r="AJ200" s="183"/>
      <c r="AK200" s="183"/>
    </row>
    <row r="201" ht="15.75" customHeight="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6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183"/>
      <c r="AJ201" s="183"/>
      <c r="AK201" s="183"/>
    </row>
    <row r="202" ht="15.75" customHeight="1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6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183"/>
      <c r="AJ202" s="183"/>
      <c r="AK202" s="183"/>
    </row>
    <row r="203" ht="15.75" customHeight="1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6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183"/>
      <c r="AJ203" s="183"/>
      <c r="AK203" s="183"/>
    </row>
    <row r="204" ht="15.75" customHeight="1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6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183"/>
      <c r="AJ204" s="183"/>
      <c r="AK204" s="183"/>
    </row>
    <row r="205" ht="15.75" customHeight="1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6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183"/>
      <c r="AJ205" s="183"/>
      <c r="AK205" s="183"/>
    </row>
    <row r="206" ht="15.75" customHeight="1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6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183"/>
      <c r="AJ206" s="183"/>
      <c r="AK206" s="183"/>
    </row>
    <row r="207" ht="15.75" customHeight="1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6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183"/>
      <c r="AJ207" s="183"/>
      <c r="AK207" s="183"/>
    </row>
    <row r="208" ht="15.75" customHeight="1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6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183"/>
      <c r="AJ208" s="183"/>
      <c r="AK208" s="183"/>
    </row>
    <row r="209" ht="15.75" customHeight="1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6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183"/>
      <c r="AJ209" s="183"/>
      <c r="AK209" s="183"/>
    </row>
    <row r="210" ht="15.75" customHeight="1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6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183"/>
      <c r="AJ210" s="183"/>
      <c r="AK210" s="183"/>
    </row>
    <row r="211" ht="15.75" customHeight="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6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183"/>
      <c r="AJ211" s="183"/>
      <c r="AK211" s="183"/>
    </row>
    <row r="212" ht="15.75" customHeight="1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6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183"/>
      <c r="AJ212" s="183"/>
      <c r="AK212" s="183"/>
    </row>
    <row r="213" ht="15.75" customHeight="1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6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183"/>
      <c r="AJ213" s="183"/>
      <c r="AK213" s="183"/>
    </row>
    <row r="214" ht="15.75" customHeight="1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6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183"/>
      <c r="AJ214" s="183"/>
      <c r="AK214" s="183"/>
    </row>
    <row r="215" ht="15.75" customHeight="1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6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183"/>
      <c r="AJ215" s="183"/>
      <c r="AK215" s="183"/>
    </row>
    <row r="216" ht="15.75" customHeight="1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6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183"/>
      <c r="AJ216" s="183"/>
      <c r="AK216" s="183"/>
    </row>
    <row r="217" ht="15.75" customHeight="1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6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183"/>
      <c r="AJ217" s="183"/>
      <c r="AK217" s="183"/>
    </row>
    <row r="218" ht="15.75" customHeight="1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6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183"/>
      <c r="AJ218" s="183"/>
      <c r="AK218" s="183"/>
    </row>
    <row r="219" ht="15.75" customHeight="1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6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183"/>
      <c r="AJ219" s="183"/>
      <c r="AK219" s="183"/>
    </row>
    <row r="220" ht="15.75" customHeight="1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6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183"/>
      <c r="AJ220" s="183"/>
      <c r="AK220" s="183"/>
    </row>
    <row r="221" ht="15.75" customHeight="1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6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183"/>
      <c r="AJ221" s="183"/>
      <c r="AK221" s="183"/>
    </row>
    <row r="222" ht="15.75" customHeight="1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6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183"/>
      <c r="AJ222" s="183"/>
      <c r="AK222" s="183"/>
    </row>
    <row r="223" ht="15.75" customHeight="1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6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183"/>
      <c r="AJ223" s="183"/>
      <c r="AK223" s="183"/>
    </row>
    <row r="224" ht="15.75" customHeight="1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6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183"/>
      <c r="AJ224" s="183"/>
      <c r="AK224" s="183"/>
    </row>
    <row r="225" ht="15.75" customHeight="1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6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183"/>
      <c r="AJ225" s="183"/>
      <c r="AK225" s="183"/>
    </row>
    <row r="226" ht="15.75" customHeight="1">
      <c r="A226" s="183"/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6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183"/>
      <c r="AJ226" s="183"/>
      <c r="AK226" s="183"/>
    </row>
    <row r="227" ht="15.75" customHeight="1">
      <c r="A227" s="183"/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6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183"/>
      <c r="AJ227" s="183"/>
      <c r="AK227" s="183"/>
    </row>
    <row r="228" ht="15.75" customHeight="1">
      <c r="A228" s="183"/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6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183"/>
      <c r="AJ228" s="183"/>
      <c r="AK228" s="183"/>
    </row>
    <row r="229" ht="15.75" customHeight="1">
      <c r="A229" s="183"/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6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183"/>
      <c r="AJ229" s="183"/>
      <c r="AK229" s="183"/>
    </row>
    <row r="230" ht="15.75" customHeight="1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6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183"/>
      <c r="AJ230" s="183"/>
      <c r="AK230" s="183"/>
    </row>
    <row r="231" ht="15.75" customHeight="1">
      <c r="A231" s="183"/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6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183"/>
      <c r="AJ231" s="183"/>
      <c r="AK231" s="183"/>
    </row>
    <row r="232" ht="15.75" customHeight="1">
      <c r="A232" s="183"/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6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183"/>
      <c r="AJ232" s="183"/>
      <c r="AK232" s="183"/>
    </row>
    <row r="233" ht="15.75" customHeight="1">
      <c r="A233" s="183"/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6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183"/>
      <c r="AJ233" s="183"/>
      <c r="AK233" s="183"/>
    </row>
    <row r="234" ht="15.75" customHeight="1">
      <c r="A234" s="183"/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6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183"/>
      <c r="AJ234" s="183"/>
      <c r="AK234" s="183"/>
    </row>
    <row r="235" ht="15.75" customHeight="1">
      <c r="A235" s="183"/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6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183"/>
      <c r="AJ235" s="183"/>
      <c r="AK235" s="183"/>
    </row>
    <row r="236" ht="15.75" customHeight="1">
      <c r="A236" s="183"/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6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  <c r="AI236" s="183"/>
      <c r="AJ236" s="183"/>
      <c r="AK236" s="183"/>
    </row>
    <row r="237" ht="15.75" customHeight="1">
      <c r="A237" s="183"/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6"/>
      <c r="X237" s="183"/>
      <c r="Y237" s="183"/>
      <c r="Z237" s="183"/>
      <c r="AA237" s="183"/>
      <c r="AB237" s="183"/>
      <c r="AC237" s="183"/>
      <c r="AD237" s="183"/>
      <c r="AE237" s="183"/>
      <c r="AF237" s="183"/>
      <c r="AG237" s="183"/>
      <c r="AH237" s="183"/>
      <c r="AI237" s="183"/>
      <c r="AJ237" s="183"/>
      <c r="AK237" s="183"/>
    </row>
    <row r="238" ht="15.75" customHeight="1">
      <c r="A238" s="183"/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6"/>
      <c r="X238" s="183"/>
      <c r="Y238" s="183"/>
      <c r="Z238" s="183"/>
      <c r="AA238" s="183"/>
      <c r="AB238" s="183"/>
      <c r="AC238" s="183"/>
      <c r="AD238" s="183"/>
      <c r="AE238" s="183"/>
      <c r="AF238" s="183"/>
      <c r="AG238" s="183"/>
      <c r="AH238" s="183"/>
      <c r="AI238" s="183"/>
      <c r="AJ238" s="183"/>
      <c r="AK238" s="183"/>
    </row>
    <row r="239" ht="15.75" customHeight="1">
      <c r="A239" s="183"/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6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183"/>
      <c r="AK239" s="183"/>
    </row>
    <row r="240" ht="15.75" customHeight="1">
      <c r="A240" s="183"/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6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183"/>
      <c r="AK240" s="183"/>
    </row>
    <row r="241" ht="15.75" customHeight="1">
      <c r="A241" s="183"/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6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183"/>
      <c r="AK241" s="183"/>
    </row>
    <row r="242" ht="15.75" customHeight="1">
      <c r="A242" s="183"/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6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183"/>
      <c r="AK242" s="183"/>
    </row>
    <row r="243" ht="15.75" customHeight="1">
      <c r="A243" s="183"/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6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183"/>
      <c r="AK243" s="183"/>
    </row>
    <row r="244" ht="15.75" customHeight="1">
      <c r="A244" s="183"/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6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183"/>
      <c r="AK244" s="183"/>
    </row>
    <row r="245" ht="15.75" customHeight="1">
      <c r="A245" s="183"/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6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183"/>
      <c r="AK245" s="183"/>
    </row>
    <row r="246" ht="15.75" customHeight="1">
      <c r="A246" s="183"/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6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183"/>
      <c r="AK246" s="183"/>
    </row>
    <row r="247" ht="15.75" customHeight="1">
      <c r="A247" s="183"/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6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183"/>
      <c r="AK247" s="183"/>
    </row>
    <row r="248" ht="15.75" customHeight="1">
      <c r="A248" s="183"/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6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183"/>
      <c r="AK248" s="183"/>
    </row>
    <row r="249" ht="15.75" customHeight="1">
      <c r="A249" s="183"/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6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183"/>
      <c r="AK249" s="183"/>
    </row>
    <row r="250" ht="15.75" customHeight="1">
      <c r="A250" s="183"/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6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183"/>
      <c r="AK250" s="183"/>
    </row>
    <row r="251" ht="15.75" customHeight="1">
      <c r="A251" s="183"/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6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183"/>
      <c r="AK251" s="183"/>
    </row>
    <row r="252" ht="15.75" customHeight="1">
      <c r="A252" s="183"/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6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183"/>
      <c r="AK252" s="183"/>
    </row>
    <row r="253" ht="15.75" customHeight="1">
      <c r="A253" s="183"/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6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183"/>
      <c r="AK253" s="183"/>
    </row>
    <row r="254" ht="15.75" customHeight="1">
      <c r="A254" s="183"/>
      <c r="B254" s="18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6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183"/>
      <c r="AK254" s="183"/>
    </row>
    <row r="255" ht="15.75" customHeight="1">
      <c r="A255" s="183"/>
      <c r="B255" s="18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6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183"/>
      <c r="AK255" s="183"/>
    </row>
    <row r="256" ht="15.75" customHeight="1">
      <c r="A256" s="183"/>
      <c r="B256" s="18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6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183"/>
      <c r="AK256" s="183"/>
    </row>
    <row r="257" ht="15.75" customHeight="1">
      <c r="A257" s="183"/>
      <c r="B257" s="183"/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6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183"/>
      <c r="AK257" s="183"/>
    </row>
    <row r="258" ht="15.75" customHeight="1">
      <c r="A258" s="183"/>
      <c r="B258" s="18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6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183"/>
      <c r="AK258" s="183"/>
    </row>
    <row r="259" ht="15.75" customHeight="1">
      <c r="A259" s="183"/>
      <c r="B259" s="18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6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183"/>
      <c r="AK259" s="183"/>
    </row>
    <row r="260" ht="15.75" customHeight="1">
      <c r="A260" s="183"/>
      <c r="B260" s="183"/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6"/>
      <c r="X260" s="183"/>
      <c r="Y260" s="183"/>
      <c r="Z260" s="183"/>
      <c r="AA260" s="183"/>
      <c r="AB260" s="183"/>
      <c r="AC260" s="183"/>
      <c r="AD260" s="183"/>
      <c r="AE260" s="183"/>
      <c r="AF260" s="183"/>
      <c r="AG260" s="183"/>
      <c r="AH260" s="183"/>
      <c r="AI260" s="183"/>
      <c r="AJ260" s="183"/>
      <c r="AK260" s="183"/>
    </row>
    <row r="261" ht="15.75" customHeight="1">
      <c r="A261" s="183"/>
      <c r="B261" s="18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6"/>
      <c r="X261" s="183"/>
      <c r="Y261" s="183"/>
      <c r="Z261" s="183"/>
      <c r="AA261" s="183"/>
      <c r="AB261" s="183"/>
      <c r="AC261" s="183"/>
      <c r="AD261" s="183"/>
      <c r="AE261" s="183"/>
      <c r="AF261" s="183"/>
      <c r="AG261" s="183"/>
      <c r="AH261" s="183"/>
      <c r="AI261" s="183"/>
      <c r="AJ261" s="183"/>
      <c r="AK261" s="183"/>
    </row>
    <row r="262" ht="15.75" customHeight="1">
      <c r="A262" s="183"/>
      <c r="B262" s="18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6"/>
      <c r="X262" s="183"/>
      <c r="Y262" s="183"/>
      <c r="Z262" s="183"/>
      <c r="AA262" s="183"/>
      <c r="AB262" s="183"/>
      <c r="AC262" s="183"/>
      <c r="AD262" s="183"/>
      <c r="AE262" s="183"/>
      <c r="AF262" s="183"/>
      <c r="AG262" s="183"/>
      <c r="AH262" s="183"/>
      <c r="AI262" s="183"/>
      <c r="AJ262" s="183"/>
      <c r="AK262" s="183"/>
    </row>
    <row r="263" ht="15.75" customHeight="1">
      <c r="A263" s="183"/>
      <c r="B263" s="183"/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6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183"/>
      <c r="AK263" s="183"/>
    </row>
    <row r="264" ht="15.75" customHeight="1">
      <c r="A264" s="183"/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6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183"/>
      <c r="AK264" s="183"/>
    </row>
    <row r="265" ht="15.75" customHeight="1">
      <c r="A265" s="183"/>
      <c r="B265" s="18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6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183"/>
      <c r="AK265" s="183"/>
    </row>
    <row r="266" ht="15.75" customHeight="1">
      <c r="A266" s="183"/>
      <c r="B266" s="183"/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6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183"/>
      <c r="AK266" s="183"/>
    </row>
    <row r="267" ht="15.75" customHeight="1">
      <c r="A267" s="183"/>
      <c r="B267" s="183"/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6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183"/>
      <c r="AK267" s="183"/>
    </row>
    <row r="268" ht="15.75" customHeight="1">
      <c r="A268" s="183"/>
      <c r="B268" s="183"/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6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183"/>
      <c r="AK268" s="183"/>
    </row>
    <row r="269" ht="15.75" customHeight="1">
      <c r="A269" s="183"/>
      <c r="B269" s="183"/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6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183"/>
      <c r="AK269" s="183"/>
    </row>
    <row r="270" ht="15.75" customHeight="1">
      <c r="A270" s="183"/>
      <c r="B270" s="183"/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6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183"/>
      <c r="AK270" s="183"/>
    </row>
    <row r="271" ht="15.75" customHeight="1">
      <c r="A271" s="183"/>
      <c r="B271" s="18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6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183"/>
      <c r="AK271" s="183"/>
    </row>
    <row r="272" ht="15.75" customHeight="1">
      <c r="A272" s="183"/>
      <c r="B272" s="183"/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6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183"/>
      <c r="AK272" s="183"/>
    </row>
    <row r="273" ht="15.75" customHeight="1">
      <c r="A273" s="183"/>
      <c r="B273" s="183"/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6"/>
      <c r="X273" s="183"/>
      <c r="Y273" s="183"/>
      <c r="Z273" s="183"/>
      <c r="AA273" s="183"/>
      <c r="AB273" s="183"/>
      <c r="AC273" s="183"/>
      <c r="AD273" s="183"/>
      <c r="AE273" s="183"/>
      <c r="AF273" s="183"/>
      <c r="AG273" s="183"/>
      <c r="AH273" s="183"/>
      <c r="AI273" s="183"/>
      <c r="AJ273" s="183"/>
      <c r="AK273" s="183"/>
    </row>
    <row r="274" ht="15.75" customHeight="1">
      <c r="A274" s="183"/>
      <c r="B274" s="183"/>
      <c r="C274" s="183"/>
      <c r="D274" s="183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6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183"/>
      <c r="AK274" s="183"/>
    </row>
    <row r="275" ht="15.75" customHeight="1">
      <c r="A275" s="183"/>
      <c r="B275" s="183"/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6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183"/>
      <c r="AK275" s="183"/>
    </row>
    <row r="276" ht="15.75" customHeight="1">
      <c r="A276" s="183"/>
      <c r="B276" s="183"/>
      <c r="C276" s="183"/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6"/>
      <c r="X276" s="183"/>
      <c r="Y276" s="183"/>
      <c r="Z276" s="183"/>
      <c r="AA276" s="183"/>
      <c r="AB276" s="183"/>
      <c r="AC276" s="183"/>
      <c r="AD276" s="183"/>
      <c r="AE276" s="183"/>
      <c r="AF276" s="183"/>
      <c r="AG276" s="183"/>
      <c r="AH276" s="183"/>
      <c r="AI276" s="183"/>
      <c r="AJ276" s="183"/>
      <c r="AK276" s="183"/>
    </row>
    <row r="277" ht="15.75" customHeight="1">
      <c r="A277" s="183"/>
      <c r="B277" s="183"/>
      <c r="C277" s="183"/>
      <c r="D277" s="183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6"/>
      <c r="X277" s="183"/>
      <c r="Y277" s="183"/>
      <c r="Z277" s="183"/>
      <c r="AA277" s="183"/>
      <c r="AB277" s="183"/>
      <c r="AC277" s="183"/>
      <c r="AD277" s="183"/>
      <c r="AE277" s="183"/>
      <c r="AF277" s="183"/>
      <c r="AG277" s="183"/>
      <c r="AH277" s="183"/>
      <c r="AI277" s="183"/>
      <c r="AJ277" s="183"/>
      <c r="AK277" s="183"/>
    </row>
    <row r="278" ht="15.75" customHeight="1">
      <c r="A278" s="183"/>
      <c r="B278" s="183"/>
      <c r="C278" s="183"/>
      <c r="D278" s="183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6"/>
      <c r="X278" s="183"/>
      <c r="Y278" s="183"/>
      <c r="Z278" s="183"/>
      <c r="AA278" s="183"/>
      <c r="AB278" s="183"/>
      <c r="AC278" s="183"/>
      <c r="AD278" s="183"/>
      <c r="AE278" s="183"/>
      <c r="AF278" s="183"/>
      <c r="AG278" s="183"/>
      <c r="AH278" s="183"/>
      <c r="AI278" s="183"/>
      <c r="AJ278" s="183"/>
      <c r="AK278" s="183"/>
    </row>
    <row r="279" ht="15.75" customHeight="1">
      <c r="A279" s="183"/>
      <c r="B279" s="183"/>
      <c r="C279" s="183"/>
      <c r="D279" s="183"/>
      <c r="E279" s="183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6"/>
      <c r="X279" s="183"/>
      <c r="Y279" s="183"/>
      <c r="Z279" s="183"/>
      <c r="AA279" s="183"/>
      <c r="AB279" s="183"/>
      <c r="AC279" s="183"/>
      <c r="AD279" s="183"/>
      <c r="AE279" s="183"/>
      <c r="AF279" s="183"/>
      <c r="AG279" s="183"/>
      <c r="AH279" s="183"/>
      <c r="AI279" s="183"/>
      <c r="AJ279" s="183"/>
      <c r="AK279" s="183"/>
    </row>
    <row r="280" ht="15.75" customHeight="1">
      <c r="A280" s="183"/>
      <c r="B280" s="183"/>
      <c r="C280" s="183"/>
      <c r="D280" s="183"/>
      <c r="E280" s="183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6"/>
      <c r="X280" s="183"/>
      <c r="Y280" s="183"/>
      <c r="Z280" s="183"/>
      <c r="AA280" s="183"/>
      <c r="AB280" s="183"/>
      <c r="AC280" s="183"/>
      <c r="AD280" s="183"/>
      <c r="AE280" s="183"/>
      <c r="AF280" s="183"/>
      <c r="AG280" s="183"/>
      <c r="AH280" s="183"/>
      <c r="AI280" s="183"/>
      <c r="AJ280" s="183"/>
      <c r="AK280" s="183"/>
    </row>
    <row r="281" ht="15.75" customHeight="1">
      <c r="A281" s="183"/>
      <c r="B281" s="183"/>
      <c r="C281" s="183"/>
      <c r="D281" s="183"/>
      <c r="E281" s="183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6"/>
      <c r="X281" s="183"/>
      <c r="Y281" s="183"/>
      <c r="Z281" s="183"/>
      <c r="AA281" s="183"/>
      <c r="AB281" s="183"/>
      <c r="AC281" s="183"/>
      <c r="AD281" s="183"/>
      <c r="AE281" s="183"/>
      <c r="AF281" s="183"/>
      <c r="AG281" s="183"/>
      <c r="AH281" s="183"/>
      <c r="AI281" s="183"/>
      <c r="AJ281" s="183"/>
      <c r="AK281" s="183"/>
    </row>
    <row r="282" ht="15.75" customHeight="1">
      <c r="A282" s="183"/>
      <c r="B282" s="183"/>
      <c r="C282" s="183"/>
      <c r="D282" s="183"/>
      <c r="E282" s="183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6"/>
      <c r="X282" s="183"/>
      <c r="Y282" s="183"/>
      <c r="Z282" s="183"/>
      <c r="AA282" s="183"/>
      <c r="AB282" s="183"/>
      <c r="AC282" s="183"/>
      <c r="AD282" s="183"/>
      <c r="AE282" s="183"/>
      <c r="AF282" s="183"/>
      <c r="AG282" s="183"/>
      <c r="AH282" s="183"/>
      <c r="AI282" s="183"/>
      <c r="AJ282" s="183"/>
      <c r="AK282" s="183"/>
    </row>
    <row r="283" ht="15.75" customHeight="1">
      <c r="A283" s="183"/>
      <c r="B283" s="183"/>
      <c r="C283" s="183"/>
      <c r="D283" s="183"/>
      <c r="E283" s="183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6"/>
      <c r="X283" s="183"/>
      <c r="Y283" s="183"/>
      <c r="Z283" s="183"/>
      <c r="AA283" s="183"/>
      <c r="AB283" s="183"/>
      <c r="AC283" s="183"/>
      <c r="AD283" s="183"/>
      <c r="AE283" s="183"/>
      <c r="AF283" s="183"/>
      <c r="AG283" s="183"/>
      <c r="AH283" s="183"/>
      <c r="AI283" s="183"/>
      <c r="AJ283" s="183"/>
      <c r="AK283" s="183"/>
    </row>
    <row r="284" ht="15.75" customHeight="1">
      <c r="A284" s="183"/>
      <c r="B284" s="183"/>
      <c r="C284" s="183"/>
      <c r="D284" s="183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6"/>
      <c r="X284" s="183"/>
      <c r="Y284" s="183"/>
      <c r="Z284" s="183"/>
      <c r="AA284" s="183"/>
      <c r="AB284" s="183"/>
      <c r="AC284" s="183"/>
      <c r="AD284" s="183"/>
      <c r="AE284" s="183"/>
      <c r="AF284" s="183"/>
      <c r="AG284" s="183"/>
      <c r="AH284" s="183"/>
      <c r="AI284" s="183"/>
      <c r="AJ284" s="183"/>
      <c r="AK284" s="183"/>
    </row>
    <row r="285" ht="15.75" customHeight="1">
      <c r="A285" s="183"/>
      <c r="B285" s="183"/>
      <c r="C285" s="183"/>
      <c r="D285" s="183"/>
      <c r="E285" s="183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6"/>
      <c r="X285" s="183"/>
      <c r="Y285" s="183"/>
      <c r="Z285" s="183"/>
      <c r="AA285" s="183"/>
      <c r="AB285" s="183"/>
      <c r="AC285" s="183"/>
      <c r="AD285" s="183"/>
      <c r="AE285" s="183"/>
      <c r="AF285" s="183"/>
      <c r="AG285" s="183"/>
      <c r="AH285" s="183"/>
      <c r="AI285" s="183"/>
      <c r="AJ285" s="183"/>
      <c r="AK285" s="183"/>
    </row>
    <row r="286" ht="15.75" customHeight="1">
      <c r="A286" s="183"/>
      <c r="B286" s="183"/>
      <c r="C286" s="183"/>
      <c r="D286" s="183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6"/>
      <c r="X286" s="183"/>
      <c r="Y286" s="183"/>
      <c r="Z286" s="183"/>
      <c r="AA286" s="183"/>
      <c r="AB286" s="183"/>
      <c r="AC286" s="183"/>
      <c r="AD286" s="183"/>
      <c r="AE286" s="183"/>
      <c r="AF286" s="183"/>
      <c r="AG286" s="183"/>
      <c r="AH286" s="183"/>
      <c r="AI286" s="183"/>
      <c r="AJ286" s="183"/>
      <c r="AK286" s="183"/>
    </row>
    <row r="287" ht="15.75" customHeight="1">
      <c r="A287" s="183"/>
      <c r="B287" s="18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6"/>
      <c r="X287" s="183"/>
      <c r="Y287" s="183"/>
      <c r="Z287" s="183"/>
      <c r="AA287" s="183"/>
      <c r="AB287" s="183"/>
      <c r="AC287" s="183"/>
      <c r="AD287" s="183"/>
      <c r="AE287" s="183"/>
      <c r="AF287" s="183"/>
      <c r="AG287" s="183"/>
      <c r="AH287" s="183"/>
      <c r="AI287" s="183"/>
      <c r="AJ287" s="183"/>
      <c r="AK287" s="183"/>
    </row>
    <row r="288" ht="15.75" customHeight="1">
      <c r="A288" s="183"/>
      <c r="B288" s="183"/>
      <c r="C288" s="183"/>
      <c r="D288" s="183"/>
      <c r="E288" s="183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6"/>
      <c r="X288" s="183"/>
      <c r="Y288" s="183"/>
      <c r="Z288" s="183"/>
      <c r="AA288" s="183"/>
      <c r="AB288" s="183"/>
      <c r="AC288" s="183"/>
      <c r="AD288" s="183"/>
      <c r="AE288" s="183"/>
      <c r="AF288" s="183"/>
      <c r="AG288" s="183"/>
      <c r="AH288" s="183"/>
      <c r="AI288" s="183"/>
      <c r="AJ288" s="183"/>
      <c r="AK288" s="183"/>
    </row>
    <row r="289" ht="15.75" customHeight="1">
      <c r="A289" s="183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6"/>
      <c r="X289" s="183"/>
      <c r="Y289" s="183"/>
      <c r="Z289" s="183"/>
      <c r="AA289" s="183"/>
      <c r="AB289" s="183"/>
      <c r="AC289" s="183"/>
      <c r="AD289" s="183"/>
      <c r="AE289" s="183"/>
      <c r="AF289" s="183"/>
      <c r="AG289" s="183"/>
      <c r="AH289" s="183"/>
      <c r="AI289" s="183"/>
      <c r="AJ289" s="183"/>
      <c r="AK289" s="183"/>
    </row>
    <row r="290" ht="15.75" customHeight="1">
      <c r="A290" s="183"/>
      <c r="B290" s="183"/>
      <c r="C290" s="183"/>
      <c r="D290" s="183"/>
      <c r="E290" s="183"/>
      <c r="F290" s="183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6"/>
      <c r="X290" s="183"/>
      <c r="Y290" s="183"/>
      <c r="Z290" s="183"/>
      <c r="AA290" s="183"/>
      <c r="AB290" s="183"/>
      <c r="AC290" s="183"/>
      <c r="AD290" s="183"/>
      <c r="AE290" s="183"/>
      <c r="AF290" s="183"/>
      <c r="AG290" s="183"/>
      <c r="AH290" s="183"/>
      <c r="AI290" s="183"/>
      <c r="AJ290" s="183"/>
      <c r="AK290" s="183"/>
    </row>
    <row r="291" ht="15.75" customHeight="1">
      <c r="A291" s="183"/>
      <c r="B291" s="183"/>
      <c r="C291" s="183"/>
      <c r="D291" s="183"/>
      <c r="E291" s="183"/>
      <c r="F291" s="183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6"/>
      <c r="X291" s="183"/>
      <c r="Y291" s="183"/>
      <c r="Z291" s="183"/>
      <c r="AA291" s="183"/>
      <c r="AB291" s="183"/>
      <c r="AC291" s="183"/>
      <c r="AD291" s="183"/>
      <c r="AE291" s="183"/>
      <c r="AF291" s="183"/>
      <c r="AG291" s="183"/>
      <c r="AH291" s="183"/>
      <c r="AI291" s="183"/>
      <c r="AJ291" s="183"/>
      <c r="AK291" s="183"/>
    </row>
    <row r="292" ht="15.75" customHeight="1">
      <c r="A292" s="183"/>
      <c r="B292" s="183"/>
      <c r="C292" s="183"/>
      <c r="D292" s="183"/>
      <c r="E292" s="183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6"/>
      <c r="X292" s="183"/>
      <c r="Y292" s="183"/>
      <c r="Z292" s="183"/>
      <c r="AA292" s="183"/>
      <c r="AB292" s="183"/>
      <c r="AC292" s="183"/>
      <c r="AD292" s="183"/>
      <c r="AE292" s="183"/>
      <c r="AF292" s="183"/>
      <c r="AG292" s="183"/>
      <c r="AH292" s="183"/>
      <c r="AI292" s="183"/>
      <c r="AJ292" s="183"/>
      <c r="AK292" s="183"/>
    </row>
    <row r="293" ht="15.75" customHeight="1">
      <c r="A293" s="183"/>
      <c r="B293" s="183"/>
      <c r="C293" s="183"/>
      <c r="D293" s="183"/>
      <c r="E293" s="183"/>
      <c r="F293" s="183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6"/>
      <c r="X293" s="183"/>
      <c r="Y293" s="183"/>
      <c r="Z293" s="183"/>
      <c r="AA293" s="183"/>
      <c r="AB293" s="183"/>
      <c r="AC293" s="183"/>
      <c r="AD293" s="183"/>
      <c r="AE293" s="183"/>
      <c r="AF293" s="183"/>
      <c r="AG293" s="183"/>
      <c r="AH293" s="183"/>
      <c r="AI293" s="183"/>
      <c r="AJ293" s="183"/>
      <c r="AK293" s="183"/>
    </row>
    <row r="294" ht="15.75" customHeight="1">
      <c r="A294" s="183"/>
      <c r="B294" s="183"/>
      <c r="C294" s="183"/>
      <c r="D294" s="183"/>
      <c r="E294" s="183"/>
      <c r="F294" s="183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6"/>
      <c r="X294" s="183"/>
      <c r="Y294" s="183"/>
      <c r="Z294" s="183"/>
      <c r="AA294" s="183"/>
      <c r="AB294" s="183"/>
      <c r="AC294" s="183"/>
      <c r="AD294" s="183"/>
      <c r="AE294" s="183"/>
      <c r="AF294" s="183"/>
      <c r="AG294" s="183"/>
      <c r="AH294" s="183"/>
      <c r="AI294" s="183"/>
      <c r="AJ294" s="183"/>
      <c r="AK294" s="183"/>
    </row>
    <row r="295" ht="15.75" customHeight="1">
      <c r="A295" s="183"/>
      <c r="B295" s="183"/>
      <c r="C295" s="183"/>
      <c r="D295" s="183"/>
      <c r="E295" s="183"/>
      <c r="F295" s="183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6"/>
      <c r="X295" s="183"/>
      <c r="Y295" s="183"/>
      <c r="Z295" s="183"/>
      <c r="AA295" s="183"/>
      <c r="AB295" s="183"/>
      <c r="AC295" s="183"/>
      <c r="AD295" s="183"/>
      <c r="AE295" s="183"/>
      <c r="AF295" s="183"/>
      <c r="AG295" s="183"/>
      <c r="AH295" s="183"/>
      <c r="AI295" s="183"/>
      <c r="AJ295" s="183"/>
      <c r="AK295" s="183"/>
    </row>
    <row r="296" ht="15.75" customHeight="1">
      <c r="A296" s="183"/>
      <c r="B296" s="183"/>
      <c r="C296" s="183"/>
      <c r="D296" s="183"/>
      <c r="E296" s="183"/>
      <c r="F296" s="183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6"/>
      <c r="X296" s="183"/>
      <c r="Y296" s="183"/>
      <c r="Z296" s="183"/>
      <c r="AA296" s="183"/>
      <c r="AB296" s="183"/>
      <c r="AC296" s="183"/>
      <c r="AD296" s="183"/>
      <c r="AE296" s="183"/>
      <c r="AF296" s="183"/>
      <c r="AG296" s="183"/>
      <c r="AH296" s="183"/>
      <c r="AI296" s="183"/>
      <c r="AJ296" s="183"/>
      <c r="AK296" s="183"/>
    </row>
    <row r="297" ht="15.75" customHeight="1">
      <c r="A297" s="183"/>
      <c r="B297" s="183"/>
      <c r="C297" s="183"/>
      <c r="D297" s="183"/>
      <c r="E297" s="183"/>
      <c r="F297" s="183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6"/>
      <c r="X297" s="183"/>
      <c r="Y297" s="183"/>
      <c r="Z297" s="183"/>
      <c r="AA297" s="183"/>
      <c r="AB297" s="183"/>
      <c r="AC297" s="183"/>
      <c r="AD297" s="183"/>
      <c r="AE297" s="183"/>
      <c r="AF297" s="183"/>
      <c r="AG297" s="183"/>
      <c r="AH297" s="183"/>
      <c r="AI297" s="183"/>
      <c r="AJ297" s="183"/>
      <c r="AK297" s="183"/>
    </row>
    <row r="298" ht="15.75" customHeight="1">
      <c r="A298" s="183"/>
      <c r="B298" s="183"/>
      <c r="C298" s="183"/>
      <c r="D298" s="183"/>
      <c r="E298" s="183"/>
      <c r="F298" s="183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6"/>
      <c r="X298" s="183"/>
      <c r="Y298" s="183"/>
      <c r="Z298" s="183"/>
      <c r="AA298" s="183"/>
      <c r="AB298" s="183"/>
      <c r="AC298" s="183"/>
      <c r="AD298" s="183"/>
      <c r="AE298" s="183"/>
      <c r="AF298" s="183"/>
      <c r="AG298" s="183"/>
      <c r="AH298" s="183"/>
      <c r="AI298" s="183"/>
      <c r="AJ298" s="183"/>
      <c r="AK298" s="183"/>
    </row>
    <row r="299" ht="15.75" customHeight="1">
      <c r="A299" s="183"/>
      <c r="B299" s="183"/>
      <c r="C299" s="183"/>
      <c r="D299" s="183"/>
      <c r="E299" s="183"/>
      <c r="F299" s="183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6"/>
      <c r="X299" s="183"/>
      <c r="Y299" s="183"/>
      <c r="Z299" s="183"/>
      <c r="AA299" s="183"/>
      <c r="AB299" s="183"/>
      <c r="AC299" s="183"/>
      <c r="AD299" s="183"/>
      <c r="AE299" s="183"/>
      <c r="AF299" s="183"/>
      <c r="AG299" s="183"/>
      <c r="AH299" s="183"/>
      <c r="AI299" s="183"/>
      <c r="AJ299" s="183"/>
      <c r="AK299" s="183"/>
    </row>
    <row r="300" ht="15.75" customHeight="1">
      <c r="A300" s="183"/>
      <c r="B300" s="183"/>
      <c r="C300" s="183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6"/>
      <c r="X300" s="183"/>
      <c r="Y300" s="183"/>
      <c r="Z300" s="183"/>
      <c r="AA300" s="183"/>
      <c r="AB300" s="183"/>
      <c r="AC300" s="183"/>
      <c r="AD300" s="183"/>
      <c r="AE300" s="183"/>
      <c r="AF300" s="183"/>
      <c r="AG300" s="183"/>
      <c r="AH300" s="183"/>
      <c r="AI300" s="183"/>
      <c r="AJ300" s="183"/>
      <c r="AK300" s="183"/>
    </row>
    <row r="301" ht="15.75" customHeight="1">
      <c r="A301" s="183"/>
      <c r="B301" s="183"/>
      <c r="C301" s="183"/>
      <c r="D301" s="183"/>
      <c r="E301" s="183"/>
      <c r="F301" s="183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6"/>
      <c r="X301" s="183"/>
      <c r="Y301" s="183"/>
      <c r="Z301" s="183"/>
      <c r="AA301" s="183"/>
      <c r="AB301" s="183"/>
      <c r="AC301" s="183"/>
      <c r="AD301" s="183"/>
      <c r="AE301" s="183"/>
      <c r="AF301" s="183"/>
      <c r="AG301" s="183"/>
      <c r="AH301" s="183"/>
      <c r="AI301" s="183"/>
      <c r="AJ301" s="183"/>
      <c r="AK301" s="183"/>
    </row>
    <row r="302" ht="15.75" customHeight="1">
      <c r="A302" s="183"/>
      <c r="B302" s="183"/>
      <c r="C302" s="183"/>
      <c r="D302" s="183"/>
      <c r="E302" s="183"/>
      <c r="F302" s="183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6"/>
      <c r="X302" s="183"/>
      <c r="Y302" s="183"/>
      <c r="Z302" s="183"/>
      <c r="AA302" s="183"/>
      <c r="AB302" s="183"/>
      <c r="AC302" s="183"/>
      <c r="AD302" s="183"/>
      <c r="AE302" s="183"/>
      <c r="AF302" s="183"/>
      <c r="AG302" s="183"/>
      <c r="AH302" s="183"/>
      <c r="AI302" s="183"/>
      <c r="AJ302" s="183"/>
      <c r="AK302" s="183"/>
    </row>
    <row r="303" ht="15.75" customHeight="1">
      <c r="A303" s="183"/>
      <c r="B303" s="183"/>
      <c r="C303" s="183"/>
      <c r="D303" s="183"/>
      <c r="E303" s="183"/>
      <c r="F303" s="183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6"/>
      <c r="X303" s="183"/>
      <c r="Y303" s="183"/>
      <c r="Z303" s="183"/>
      <c r="AA303" s="183"/>
      <c r="AB303" s="183"/>
      <c r="AC303" s="183"/>
      <c r="AD303" s="183"/>
      <c r="AE303" s="183"/>
      <c r="AF303" s="183"/>
      <c r="AG303" s="183"/>
      <c r="AH303" s="183"/>
      <c r="AI303" s="183"/>
      <c r="AJ303" s="183"/>
      <c r="AK303" s="183"/>
    </row>
    <row r="304" ht="15.75" customHeight="1">
      <c r="A304" s="183"/>
      <c r="B304" s="183"/>
      <c r="C304" s="183"/>
      <c r="D304" s="183"/>
      <c r="E304" s="183"/>
      <c r="F304" s="183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6"/>
      <c r="X304" s="183"/>
      <c r="Y304" s="183"/>
      <c r="Z304" s="183"/>
      <c r="AA304" s="183"/>
      <c r="AB304" s="183"/>
      <c r="AC304" s="183"/>
      <c r="AD304" s="183"/>
      <c r="AE304" s="183"/>
      <c r="AF304" s="183"/>
      <c r="AG304" s="183"/>
      <c r="AH304" s="183"/>
      <c r="AI304" s="183"/>
      <c r="AJ304" s="183"/>
      <c r="AK304" s="183"/>
    </row>
    <row r="305" ht="15.75" customHeight="1">
      <c r="A305" s="183"/>
      <c r="B305" s="183"/>
      <c r="C305" s="183"/>
      <c r="D305" s="183"/>
      <c r="E305" s="183"/>
      <c r="F305" s="183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6"/>
      <c r="X305" s="183"/>
      <c r="Y305" s="183"/>
      <c r="Z305" s="183"/>
      <c r="AA305" s="183"/>
      <c r="AB305" s="183"/>
      <c r="AC305" s="183"/>
      <c r="AD305" s="183"/>
      <c r="AE305" s="183"/>
      <c r="AF305" s="183"/>
      <c r="AG305" s="183"/>
      <c r="AH305" s="183"/>
      <c r="AI305" s="183"/>
      <c r="AJ305" s="183"/>
      <c r="AK305" s="183"/>
    </row>
    <row r="306" ht="15.75" customHeight="1">
      <c r="A306" s="183"/>
      <c r="B306" s="183"/>
      <c r="C306" s="183"/>
      <c r="D306" s="183"/>
      <c r="E306" s="183"/>
      <c r="F306" s="183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6"/>
      <c r="X306" s="183"/>
      <c r="Y306" s="183"/>
      <c r="Z306" s="183"/>
      <c r="AA306" s="183"/>
      <c r="AB306" s="183"/>
      <c r="AC306" s="183"/>
      <c r="AD306" s="183"/>
      <c r="AE306" s="183"/>
      <c r="AF306" s="183"/>
      <c r="AG306" s="183"/>
      <c r="AH306" s="183"/>
      <c r="AI306" s="183"/>
      <c r="AJ306" s="183"/>
      <c r="AK306" s="183"/>
    </row>
    <row r="307" ht="15.75" customHeight="1">
      <c r="A307" s="183"/>
      <c r="B307" s="183"/>
      <c r="C307" s="183"/>
      <c r="D307" s="183"/>
      <c r="E307" s="183"/>
      <c r="F307" s="183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6"/>
      <c r="X307" s="183"/>
      <c r="Y307" s="183"/>
      <c r="Z307" s="183"/>
      <c r="AA307" s="183"/>
      <c r="AB307" s="183"/>
      <c r="AC307" s="183"/>
      <c r="AD307" s="183"/>
      <c r="AE307" s="183"/>
      <c r="AF307" s="183"/>
      <c r="AG307" s="183"/>
      <c r="AH307" s="183"/>
      <c r="AI307" s="183"/>
      <c r="AJ307" s="183"/>
      <c r="AK307" s="183"/>
    </row>
    <row r="308" ht="15.75" customHeight="1">
      <c r="A308" s="183"/>
      <c r="B308" s="183"/>
      <c r="C308" s="183"/>
      <c r="D308" s="183"/>
      <c r="E308" s="183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6"/>
      <c r="X308" s="183"/>
      <c r="Y308" s="183"/>
      <c r="Z308" s="183"/>
      <c r="AA308" s="183"/>
      <c r="AB308" s="183"/>
      <c r="AC308" s="183"/>
      <c r="AD308" s="183"/>
      <c r="AE308" s="183"/>
      <c r="AF308" s="183"/>
      <c r="AG308" s="183"/>
      <c r="AH308" s="183"/>
      <c r="AI308" s="183"/>
      <c r="AJ308" s="183"/>
      <c r="AK308" s="183"/>
    </row>
    <row r="309" ht="15.75" customHeight="1">
      <c r="A309" s="183"/>
      <c r="B309" s="183"/>
      <c r="C309" s="183"/>
      <c r="D309" s="183"/>
      <c r="E309" s="183"/>
      <c r="F309" s="183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6"/>
      <c r="X309" s="183"/>
      <c r="Y309" s="183"/>
      <c r="Z309" s="183"/>
      <c r="AA309" s="183"/>
      <c r="AB309" s="183"/>
      <c r="AC309" s="183"/>
      <c r="AD309" s="183"/>
      <c r="AE309" s="183"/>
      <c r="AF309" s="183"/>
      <c r="AG309" s="183"/>
      <c r="AH309" s="183"/>
      <c r="AI309" s="183"/>
      <c r="AJ309" s="183"/>
      <c r="AK309" s="183"/>
    </row>
    <row r="310" ht="15.75" customHeight="1">
      <c r="A310" s="183"/>
      <c r="B310" s="183"/>
      <c r="C310" s="183"/>
      <c r="D310" s="183"/>
      <c r="E310" s="183"/>
      <c r="F310" s="183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6"/>
      <c r="X310" s="183"/>
      <c r="Y310" s="183"/>
      <c r="Z310" s="183"/>
      <c r="AA310" s="183"/>
      <c r="AB310" s="183"/>
      <c r="AC310" s="183"/>
      <c r="AD310" s="183"/>
      <c r="AE310" s="183"/>
      <c r="AF310" s="183"/>
      <c r="AG310" s="183"/>
      <c r="AH310" s="183"/>
      <c r="AI310" s="183"/>
      <c r="AJ310" s="183"/>
      <c r="AK310" s="183"/>
    </row>
    <row r="311" ht="15.75" customHeight="1">
      <c r="A311" s="183"/>
      <c r="B311" s="183"/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6"/>
      <c r="X311" s="183"/>
      <c r="Y311" s="183"/>
      <c r="Z311" s="183"/>
      <c r="AA311" s="183"/>
      <c r="AB311" s="183"/>
      <c r="AC311" s="183"/>
      <c r="AD311" s="183"/>
      <c r="AE311" s="183"/>
      <c r="AF311" s="183"/>
      <c r="AG311" s="183"/>
      <c r="AH311" s="183"/>
      <c r="AI311" s="183"/>
      <c r="AJ311" s="183"/>
      <c r="AK311" s="183"/>
    </row>
    <row r="312" ht="15.75" customHeight="1">
      <c r="A312" s="183"/>
      <c r="B312" s="183"/>
      <c r="C312" s="183"/>
      <c r="D312" s="183"/>
      <c r="E312" s="183"/>
      <c r="F312" s="183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6"/>
      <c r="X312" s="183"/>
      <c r="Y312" s="183"/>
      <c r="Z312" s="183"/>
      <c r="AA312" s="183"/>
      <c r="AB312" s="183"/>
      <c r="AC312" s="183"/>
      <c r="AD312" s="183"/>
      <c r="AE312" s="183"/>
      <c r="AF312" s="183"/>
      <c r="AG312" s="183"/>
      <c r="AH312" s="183"/>
      <c r="AI312" s="183"/>
      <c r="AJ312" s="183"/>
      <c r="AK312" s="183"/>
    </row>
    <row r="313" ht="15.75" customHeight="1">
      <c r="A313" s="183"/>
      <c r="B313" s="183"/>
      <c r="C313" s="183"/>
      <c r="D313" s="183"/>
      <c r="E313" s="183"/>
      <c r="F313" s="183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6"/>
      <c r="X313" s="183"/>
      <c r="Y313" s="183"/>
      <c r="Z313" s="183"/>
      <c r="AA313" s="183"/>
      <c r="AB313" s="183"/>
      <c r="AC313" s="183"/>
      <c r="AD313" s="183"/>
      <c r="AE313" s="183"/>
      <c r="AF313" s="183"/>
      <c r="AG313" s="183"/>
      <c r="AH313" s="183"/>
      <c r="AI313" s="183"/>
      <c r="AJ313" s="183"/>
      <c r="AK313" s="183"/>
    </row>
    <row r="314" ht="15.75" customHeight="1">
      <c r="A314" s="183"/>
      <c r="B314" s="183"/>
      <c r="C314" s="183"/>
      <c r="D314" s="183"/>
      <c r="E314" s="183"/>
      <c r="F314" s="183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6"/>
      <c r="X314" s="183"/>
      <c r="Y314" s="183"/>
      <c r="Z314" s="183"/>
      <c r="AA314" s="183"/>
      <c r="AB314" s="183"/>
      <c r="AC314" s="183"/>
      <c r="AD314" s="183"/>
      <c r="AE314" s="183"/>
      <c r="AF314" s="183"/>
      <c r="AG314" s="183"/>
      <c r="AH314" s="183"/>
      <c r="AI314" s="183"/>
      <c r="AJ314" s="183"/>
      <c r="AK314" s="183"/>
    </row>
    <row r="315" ht="15.75" customHeight="1">
      <c r="A315" s="183"/>
      <c r="B315" s="183"/>
      <c r="C315" s="183"/>
      <c r="D315" s="183"/>
      <c r="E315" s="183"/>
      <c r="F315" s="183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6"/>
      <c r="X315" s="183"/>
      <c r="Y315" s="183"/>
      <c r="Z315" s="183"/>
      <c r="AA315" s="183"/>
      <c r="AB315" s="183"/>
      <c r="AC315" s="183"/>
      <c r="AD315" s="183"/>
      <c r="AE315" s="183"/>
      <c r="AF315" s="183"/>
      <c r="AG315" s="183"/>
      <c r="AH315" s="183"/>
      <c r="AI315" s="183"/>
      <c r="AJ315" s="183"/>
      <c r="AK315" s="183"/>
    </row>
    <row r="316" ht="15.75" customHeight="1">
      <c r="A316" s="183"/>
      <c r="B316" s="183"/>
      <c r="C316" s="183"/>
      <c r="D316" s="183"/>
      <c r="E316" s="183"/>
      <c r="F316" s="183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6"/>
      <c r="X316" s="183"/>
      <c r="Y316" s="183"/>
      <c r="Z316" s="183"/>
      <c r="AA316" s="183"/>
      <c r="AB316" s="183"/>
      <c r="AC316" s="183"/>
      <c r="AD316" s="183"/>
      <c r="AE316" s="183"/>
      <c r="AF316" s="183"/>
      <c r="AG316" s="183"/>
      <c r="AH316" s="183"/>
      <c r="AI316" s="183"/>
      <c r="AJ316" s="183"/>
      <c r="AK316" s="183"/>
    </row>
    <row r="317" ht="15.75" customHeight="1">
      <c r="A317" s="183"/>
      <c r="B317" s="183"/>
      <c r="C317" s="183"/>
      <c r="D317" s="183"/>
      <c r="E317" s="183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6"/>
      <c r="X317" s="183"/>
      <c r="Y317" s="183"/>
      <c r="Z317" s="183"/>
      <c r="AA317" s="183"/>
      <c r="AB317" s="183"/>
      <c r="AC317" s="183"/>
      <c r="AD317" s="183"/>
      <c r="AE317" s="183"/>
      <c r="AF317" s="183"/>
      <c r="AG317" s="183"/>
      <c r="AH317" s="183"/>
      <c r="AI317" s="183"/>
      <c r="AJ317" s="183"/>
      <c r="AK317" s="183"/>
    </row>
    <row r="318" ht="15.75" customHeight="1">
      <c r="A318" s="183"/>
      <c r="B318" s="183"/>
      <c r="C318" s="183"/>
      <c r="D318" s="183"/>
      <c r="E318" s="183"/>
      <c r="F318" s="183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6"/>
      <c r="X318" s="183"/>
      <c r="Y318" s="183"/>
      <c r="Z318" s="183"/>
      <c r="AA318" s="183"/>
      <c r="AB318" s="183"/>
      <c r="AC318" s="183"/>
      <c r="AD318" s="183"/>
      <c r="AE318" s="183"/>
      <c r="AF318" s="183"/>
      <c r="AG318" s="183"/>
      <c r="AH318" s="183"/>
      <c r="AI318" s="183"/>
      <c r="AJ318" s="183"/>
      <c r="AK318" s="183"/>
    </row>
    <row r="319" ht="15.75" customHeight="1">
      <c r="A319" s="183"/>
      <c r="B319" s="183"/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6"/>
      <c r="X319" s="183"/>
      <c r="Y319" s="183"/>
      <c r="Z319" s="183"/>
      <c r="AA319" s="183"/>
      <c r="AB319" s="183"/>
      <c r="AC319" s="183"/>
      <c r="AD319" s="183"/>
      <c r="AE319" s="183"/>
      <c r="AF319" s="183"/>
      <c r="AG319" s="183"/>
      <c r="AH319" s="183"/>
      <c r="AI319" s="183"/>
      <c r="AJ319" s="183"/>
      <c r="AK319" s="183"/>
    </row>
    <row r="320" ht="15.75" customHeight="1">
      <c r="A320" s="183"/>
      <c r="B320" s="183"/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6"/>
      <c r="X320" s="183"/>
      <c r="Y320" s="183"/>
      <c r="Z320" s="183"/>
      <c r="AA320" s="183"/>
      <c r="AB320" s="183"/>
      <c r="AC320" s="183"/>
      <c r="AD320" s="183"/>
      <c r="AE320" s="183"/>
      <c r="AF320" s="183"/>
      <c r="AG320" s="183"/>
      <c r="AH320" s="183"/>
      <c r="AI320" s="183"/>
      <c r="AJ320" s="183"/>
      <c r="AK320" s="183"/>
    </row>
    <row r="321" ht="15.75" customHeight="1">
      <c r="A321" s="183"/>
      <c r="B321" s="183"/>
      <c r="C321" s="183"/>
      <c r="D321" s="183"/>
      <c r="E321" s="183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6"/>
      <c r="X321" s="183"/>
      <c r="Y321" s="183"/>
      <c r="Z321" s="183"/>
      <c r="AA321" s="183"/>
      <c r="AB321" s="183"/>
      <c r="AC321" s="183"/>
      <c r="AD321" s="183"/>
      <c r="AE321" s="183"/>
      <c r="AF321" s="183"/>
      <c r="AG321" s="183"/>
      <c r="AH321" s="183"/>
      <c r="AI321" s="183"/>
      <c r="AJ321" s="183"/>
      <c r="AK321" s="183"/>
    </row>
    <row r="322" ht="15.75" customHeight="1">
      <c r="A322" s="183"/>
      <c r="B322" s="183"/>
      <c r="C322" s="183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6"/>
      <c r="X322" s="183"/>
      <c r="Y322" s="183"/>
      <c r="Z322" s="183"/>
      <c r="AA322" s="183"/>
      <c r="AB322" s="183"/>
      <c r="AC322" s="183"/>
      <c r="AD322" s="183"/>
      <c r="AE322" s="183"/>
      <c r="AF322" s="183"/>
      <c r="AG322" s="183"/>
      <c r="AH322" s="183"/>
      <c r="AI322" s="183"/>
      <c r="AJ322" s="183"/>
      <c r="AK322" s="183"/>
    </row>
    <row r="323" ht="15.75" customHeight="1">
      <c r="A323" s="183"/>
      <c r="B323" s="183"/>
      <c r="C323" s="183"/>
      <c r="D323" s="183"/>
      <c r="E323" s="183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6"/>
      <c r="X323" s="183"/>
      <c r="Y323" s="183"/>
      <c r="Z323" s="183"/>
      <c r="AA323" s="183"/>
      <c r="AB323" s="183"/>
      <c r="AC323" s="183"/>
      <c r="AD323" s="183"/>
      <c r="AE323" s="183"/>
      <c r="AF323" s="183"/>
      <c r="AG323" s="183"/>
      <c r="AH323" s="183"/>
      <c r="AI323" s="183"/>
      <c r="AJ323" s="183"/>
      <c r="AK323" s="183"/>
    </row>
    <row r="324" ht="15.75" customHeight="1">
      <c r="A324" s="183"/>
      <c r="B324" s="183"/>
      <c r="C324" s="183"/>
      <c r="D324" s="183"/>
      <c r="E324" s="183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6"/>
      <c r="X324" s="183"/>
      <c r="Y324" s="183"/>
      <c r="Z324" s="183"/>
      <c r="AA324" s="183"/>
      <c r="AB324" s="183"/>
      <c r="AC324" s="183"/>
      <c r="AD324" s="183"/>
      <c r="AE324" s="183"/>
      <c r="AF324" s="183"/>
      <c r="AG324" s="183"/>
      <c r="AH324" s="183"/>
      <c r="AI324" s="183"/>
      <c r="AJ324" s="183"/>
      <c r="AK324" s="183"/>
    </row>
    <row r="325" ht="15.75" customHeight="1">
      <c r="A325" s="183"/>
      <c r="B325" s="183"/>
      <c r="C325" s="183"/>
      <c r="D325" s="183"/>
      <c r="E325" s="183"/>
      <c r="F325" s="183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6"/>
      <c r="X325" s="183"/>
      <c r="Y325" s="183"/>
      <c r="Z325" s="183"/>
      <c r="AA325" s="183"/>
      <c r="AB325" s="183"/>
      <c r="AC325" s="183"/>
      <c r="AD325" s="183"/>
      <c r="AE325" s="183"/>
      <c r="AF325" s="183"/>
      <c r="AG325" s="183"/>
      <c r="AH325" s="183"/>
      <c r="AI325" s="183"/>
      <c r="AJ325" s="183"/>
      <c r="AK325" s="183"/>
    </row>
    <row r="326" ht="15.75" customHeight="1">
      <c r="A326" s="183"/>
      <c r="B326" s="183"/>
      <c r="C326" s="183"/>
      <c r="D326" s="183"/>
      <c r="E326" s="183"/>
      <c r="F326" s="183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6"/>
      <c r="X326" s="183"/>
      <c r="Y326" s="183"/>
      <c r="Z326" s="183"/>
      <c r="AA326" s="183"/>
      <c r="AB326" s="183"/>
      <c r="AC326" s="183"/>
      <c r="AD326" s="183"/>
      <c r="AE326" s="183"/>
      <c r="AF326" s="183"/>
      <c r="AG326" s="183"/>
      <c r="AH326" s="183"/>
      <c r="AI326" s="183"/>
      <c r="AJ326" s="183"/>
      <c r="AK326" s="183"/>
    </row>
    <row r="327" ht="15.75" customHeight="1">
      <c r="A327" s="183"/>
      <c r="B327" s="183"/>
      <c r="C327" s="183"/>
      <c r="D327" s="183"/>
      <c r="E327" s="183"/>
      <c r="F327" s="183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6"/>
      <c r="X327" s="183"/>
      <c r="Y327" s="183"/>
      <c r="Z327" s="183"/>
      <c r="AA327" s="183"/>
      <c r="AB327" s="183"/>
      <c r="AC327" s="183"/>
      <c r="AD327" s="183"/>
      <c r="AE327" s="183"/>
      <c r="AF327" s="183"/>
      <c r="AG327" s="183"/>
      <c r="AH327" s="183"/>
      <c r="AI327" s="183"/>
      <c r="AJ327" s="183"/>
      <c r="AK327" s="183"/>
    </row>
    <row r="328" ht="15.75" customHeight="1">
      <c r="A328" s="183"/>
      <c r="B328" s="183"/>
      <c r="C328" s="183"/>
      <c r="D328" s="183"/>
      <c r="E328" s="183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6"/>
      <c r="X328" s="183"/>
      <c r="Y328" s="183"/>
      <c r="Z328" s="183"/>
      <c r="AA328" s="183"/>
      <c r="AB328" s="183"/>
      <c r="AC328" s="183"/>
      <c r="AD328" s="183"/>
      <c r="AE328" s="183"/>
      <c r="AF328" s="183"/>
      <c r="AG328" s="183"/>
      <c r="AH328" s="183"/>
      <c r="AI328" s="183"/>
      <c r="AJ328" s="183"/>
      <c r="AK328" s="183"/>
    </row>
    <row r="329" ht="15.75" customHeight="1">
      <c r="A329" s="183"/>
      <c r="B329" s="183"/>
      <c r="C329" s="183"/>
      <c r="D329" s="183"/>
      <c r="E329" s="183"/>
      <c r="F329" s="183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6"/>
      <c r="X329" s="183"/>
      <c r="Y329" s="183"/>
      <c r="Z329" s="183"/>
      <c r="AA329" s="183"/>
      <c r="AB329" s="183"/>
      <c r="AC329" s="183"/>
      <c r="AD329" s="183"/>
      <c r="AE329" s="183"/>
      <c r="AF329" s="183"/>
      <c r="AG329" s="183"/>
      <c r="AH329" s="183"/>
      <c r="AI329" s="183"/>
      <c r="AJ329" s="183"/>
      <c r="AK329" s="183"/>
    </row>
    <row r="330" ht="15.75" customHeight="1">
      <c r="A330" s="183"/>
      <c r="B330" s="183"/>
      <c r="C330" s="183"/>
      <c r="D330" s="183"/>
      <c r="E330" s="183"/>
      <c r="F330" s="183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6"/>
      <c r="X330" s="183"/>
      <c r="Y330" s="183"/>
      <c r="Z330" s="183"/>
      <c r="AA330" s="183"/>
      <c r="AB330" s="183"/>
      <c r="AC330" s="183"/>
      <c r="AD330" s="183"/>
      <c r="AE330" s="183"/>
      <c r="AF330" s="183"/>
      <c r="AG330" s="183"/>
      <c r="AH330" s="183"/>
      <c r="AI330" s="183"/>
      <c r="AJ330" s="183"/>
      <c r="AK330" s="183"/>
    </row>
    <row r="331" ht="15.75" customHeight="1">
      <c r="A331" s="183"/>
      <c r="B331" s="183"/>
      <c r="C331" s="183"/>
      <c r="D331" s="183"/>
      <c r="E331" s="183"/>
      <c r="F331" s="183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6"/>
      <c r="X331" s="183"/>
      <c r="Y331" s="183"/>
      <c r="Z331" s="183"/>
      <c r="AA331" s="183"/>
      <c r="AB331" s="183"/>
      <c r="AC331" s="183"/>
      <c r="AD331" s="183"/>
      <c r="AE331" s="183"/>
      <c r="AF331" s="183"/>
      <c r="AG331" s="183"/>
      <c r="AH331" s="183"/>
      <c r="AI331" s="183"/>
      <c r="AJ331" s="183"/>
      <c r="AK331" s="183"/>
    </row>
    <row r="332" ht="15.75" customHeight="1">
      <c r="A332" s="183"/>
      <c r="B332" s="183"/>
      <c r="C332" s="183"/>
      <c r="D332" s="183"/>
      <c r="E332" s="183"/>
      <c r="F332" s="183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6"/>
      <c r="X332" s="183"/>
      <c r="Y332" s="183"/>
      <c r="Z332" s="183"/>
      <c r="AA332" s="183"/>
      <c r="AB332" s="183"/>
      <c r="AC332" s="183"/>
      <c r="AD332" s="183"/>
      <c r="AE332" s="183"/>
      <c r="AF332" s="183"/>
      <c r="AG332" s="183"/>
      <c r="AH332" s="183"/>
      <c r="AI332" s="183"/>
      <c r="AJ332" s="183"/>
      <c r="AK332" s="183"/>
    </row>
    <row r="333" ht="15.75" customHeight="1">
      <c r="A333" s="183"/>
      <c r="B333" s="183"/>
      <c r="C333" s="183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6"/>
      <c r="X333" s="183"/>
      <c r="Y333" s="183"/>
      <c r="Z333" s="183"/>
      <c r="AA333" s="183"/>
      <c r="AB333" s="183"/>
      <c r="AC333" s="183"/>
      <c r="AD333" s="183"/>
      <c r="AE333" s="183"/>
      <c r="AF333" s="183"/>
      <c r="AG333" s="183"/>
      <c r="AH333" s="183"/>
      <c r="AI333" s="183"/>
      <c r="AJ333" s="183"/>
      <c r="AK333" s="183"/>
    </row>
    <row r="334" ht="15.75" customHeight="1">
      <c r="A334" s="183"/>
      <c r="B334" s="183"/>
      <c r="C334" s="183"/>
      <c r="D334" s="183"/>
      <c r="E334" s="183"/>
      <c r="F334" s="183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6"/>
      <c r="X334" s="183"/>
      <c r="Y334" s="183"/>
      <c r="Z334" s="183"/>
      <c r="AA334" s="183"/>
      <c r="AB334" s="183"/>
      <c r="AC334" s="183"/>
      <c r="AD334" s="183"/>
      <c r="AE334" s="183"/>
      <c r="AF334" s="183"/>
      <c r="AG334" s="183"/>
      <c r="AH334" s="183"/>
      <c r="AI334" s="183"/>
      <c r="AJ334" s="183"/>
      <c r="AK334" s="183"/>
    </row>
    <row r="335" ht="15.75" customHeight="1">
      <c r="A335" s="183"/>
      <c r="B335" s="183"/>
      <c r="C335" s="183"/>
      <c r="D335" s="183"/>
      <c r="E335" s="183"/>
      <c r="F335" s="183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6"/>
      <c r="X335" s="183"/>
      <c r="Y335" s="183"/>
      <c r="Z335" s="183"/>
      <c r="AA335" s="183"/>
      <c r="AB335" s="183"/>
      <c r="AC335" s="183"/>
      <c r="AD335" s="183"/>
      <c r="AE335" s="183"/>
      <c r="AF335" s="183"/>
      <c r="AG335" s="183"/>
      <c r="AH335" s="183"/>
      <c r="AI335" s="183"/>
      <c r="AJ335" s="183"/>
      <c r="AK335" s="183"/>
    </row>
    <row r="336" ht="15.75" customHeight="1">
      <c r="A336" s="183"/>
      <c r="B336" s="183"/>
      <c r="C336" s="183"/>
      <c r="D336" s="183"/>
      <c r="E336" s="183"/>
      <c r="F336" s="183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6"/>
      <c r="X336" s="183"/>
      <c r="Y336" s="183"/>
      <c r="Z336" s="183"/>
      <c r="AA336" s="183"/>
      <c r="AB336" s="183"/>
      <c r="AC336" s="183"/>
      <c r="AD336" s="183"/>
      <c r="AE336" s="183"/>
      <c r="AF336" s="183"/>
      <c r="AG336" s="183"/>
      <c r="AH336" s="183"/>
      <c r="AI336" s="183"/>
      <c r="AJ336" s="183"/>
      <c r="AK336" s="183"/>
    </row>
    <row r="337" ht="15.75" customHeight="1">
      <c r="A337" s="183"/>
      <c r="B337" s="183"/>
      <c r="C337" s="183"/>
      <c r="D337" s="183"/>
      <c r="E337" s="183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6"/>
      <c r="X337" s="183"/>
      <c r="Y337" s="183"/>
      <c r="Z337" s="183"/>
      <c r="AA337" s="183"/>
      <c r="AB337" s="183"/>
      <c r="AC337" s="183"/>
      <c r="AD337" s="183"/>
      <c r="AE337" s="183"/>
      <c r="AF337" s="183"/>
      <c r="AG337" s="183"/>
      <c r="AH337" s="183"/>
      <c r="AI337" s="183"/>
      <c r="AJ337" s="183"/>
      <c r="AK337" s="183"/>
    </row>
    <row r="338" ht="15.75" customHeight="1">
      <c r="A338" s="183"/>
      <c r="B338" s="183"/>
      <c r="C338" s="183"/>
      <c r="D338" s="183"/>
      <c r="E338" s="183"/>
      <c r="F338" s="183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6"/>
      <c r="X338" s="183"/>
      <c r="Y338" s="183"/>
      <c r="Z338" s="183"/>
      <c r="AA338" s="183"/>
      <c r="AB338" s="183"/>
      <c r="AC338" s="183"/>
      <c r="AD338" s="183"/>
      <c r="AE338" s="183"/>
      <c r="AF338" s="183"/>
      <c r="AG338" s="183"/>
      <c r="AH338" s="183"/>
      <c r="AI338" s="183"/>
      <c r="AJ338" s="183"/>
      <c r="AK338" s="183"/>
    </row>
    <row r="339" ht="15.75" customHeight="1">
      <c r="A339" s="183"/>
      <c r="B339" s="183"/>
      <c r="C339" s="183"/>
      <c r="D339" s="183"/>
      <c r="E339" s="183"/>
      <c r="F339" s="183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6"/>
      <c r="X339" s="183"/>
      <c r="Y339" s="183"/>
      <c r="Z339" s="183"/>
      <c r="AA339" s="183"/>
      <c r="AB339" s="183"/>
      <c r="AC339" s="183"/>
      <c r="AD339" s="183"/>
      <c r="AE339" s="183"/>
      <c r="AF339" s="183"/>
      <c r="AG339" s="183"/>
      <c r="AH339" s="183"/>
      <c r="AI339" s="183"/>
      <c r="AJ339" s="183"/>
      <c r="AK339" s="183"/>
    </row>
    <row r="340" ht="15.75" customHeight="1">
      <c r="A340" s="183"/>
      <c r="B340" s="183"/>
      <c r="C340" s="183"/>
      <c r="D340" s="183"/>
      <c r="E340" s="183"/>
      <c r="F340" s="183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6"/>
      <c r="X340" s="183"/>
      <c r="Y340" s="183"/>
      <c r="Z340" s="183"/>
      <c r="AA340" s="183"/>
      <c r="AB340" s="183"/>
      <c r="AC340" s="183"/>
      <c r="AD340" s="183"/>
      <c r="AE340" s="183"/>
      <c r="AF340" s="183"/>
      <c r="AG340" s="183"/>
      <c r="AH340" s="183"/>
      <c r="AI340" s="183"/>
      <c r="AJ340" s="183"/>
      <c r="AK340" s="183"/>
    </row>
    <row r="341" ht="15.75" customHeight="1">
      <c r="A341" s="183"/>
      <c r="B341" s="183"/>
      <c r="C341" s="183"/>
      <c r="D341" s="183"/>
      <c r="E341" s="183"/>
      <c r="F341" s="183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6"/>
      <c r="X341" s="183"/>
      <c r="Y341" s="183"/>
      <c r="Z341" s="183"/>
      <c r="AA341" s="183"/>
      <c r="AB341" s="183"/>
      <c r="AC341" s="183"/>
      <c r="AD341" s="183"/>
      <c r="AE341" s="183"/>
      <c r="AF341" s="183"/>
      <c r="AG341" s="183"/>
      <c r="AH341" s="183"/>
      <c r="AI341" s="183"/>
      <c r="AJ341" s="183"/>
      <c r="AK341" s="183"/>
    </row>
    <row r="342" ht="15.75" customHeight="1">
      <c r="A342" s="183"/>
      <c r="B342" s="183"/>
      <c r="C342" s="183"/>
      <c r="D342" s="183"/>
      <c r="E342" s="183"/>
      <c r="F342" s="183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6"/>
      <c r="X342" s="183"/>
      <c r="Y342" s="183"/>
      <c r="Z342" s="183"/>
      <c r="AA342" s="183"/>
      <c r="AB342" s="183"/>
      <c r="AC342" s="183"/>
      <c r="AD342" s="183"/>
      <c r="AE342" s="183"/>
      <c r="AF342" s="183"/>
      <c r="AG342" s="183"/>
      <c r="AH342" s="183"/>
      <c r="AI342" s="183"/>
      <c r="AJ342" s="183"/>
      <c r="AK342" s="183"/>
    </row>
    <row r="343" ht="15.75" customHeight="1">
      <c r="A343" s="183"/>
      <c r="B343" s="183"/>
      <c r="C343" s="183"/>
      <c r="D343" s="183"/>
      <c r="E343" s="183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6"/>
      <c r="X343" s="183"/>
      <c r="Y343" s="183"/>
      <c r="Z343" s="183"/>
      <c r="AA343" s="183"/>
      <c r="AB343" s="183"/>
      <c r="AC343" s="183"/>
      <c r="AD343" s="183"/>
      <c r="AE343" s="183"/>
      <c r="AF343" s="183"/>
      <c r="AG343" s="183"/>
      <c r="AH343" s="183"/>
      <c r="AI343" s="183"/>
      <c r="AJ343" s="183"/>
      <c r="AK343" s="183"/>
    </row>
    <row r="344" ht="15.75" customHeight="1">
      <c r="A344" s="183"/>
      <c r="B344" s="183"/>
      <c r="C344" s="183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6"/>
      <c r="X344" s="183"/>
      <c r="Y344" s="183"/>
      <c r="Z344" s="183"/>
      <c r="AA344" s="183"/>
      <c r="AB344" s="183"/>
      <c r="AC344" s="183"/>
      <c r="AD344" s="183"/>
      <c r="AE344" s="183"/>
      <c r="AF344" s="183"/>
      <c r="AG344" s="183"/>
      <c r="AH344" s="183"/>
      <c r="AI344" s="183"/>
      <c r="AJ344" s="183"/>
      <c r="AK344" s="183"/>
    </row>
    <row r="345" ht="15.75" customHeight="1">
      <c r="A345" s="183"/>
      <c r="B345" s="183"/>
      <c r="C345" s="183"/>
      <c r="D345" s="183"/>
      <c r="E345" s="183"/>
      <c r="F345" s="183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6"/>
      <c r="X345" s="183"/>
      <c r="Y345" s="183"/>
      <c r="Z345" s="183"/>
      <c r="AA345" s="183"/>
      <c r="AB345" s="183"/>
      <c r="AC345" s="183"/>
      <c r="AD345" s="183"/>
      <c r="AE345" s="183"/>
      <c r="AF345" s="183"/>
      <c r="AG345" s="183"/>
      <c r="AH345" s="183"/>
      <c r="AI345" s="183"/>
      <c r="AJ345" s="183"/>
      <c r="AK345" s="183"/>
    </row>
    <row r="346" ht="15.75" customHeight="1">
      <c r="A346" s="183"/>
      <c r="B346" s="183"/>
      <c r="C346" s="183"/>
      <c r="D346" s="183"/>
      <c r="E346" s="183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6"/>
      <c r="X346" s="183"/>
      <c r="Y346" s="183"/>
      <c r="Z346" s="183"/>
      <c r="AA346" s="183"/>
      <c r="AB346" s="183"/>
      <c r="AC346" s="183"/>
      <c r="AD346" s="183"/>
      <c r="AE346" s="183"/>
      <c r="AF346" s="183"/>
      <c r="AG346" s="183"/>
      <c r="AH346" s="183"/>
      <c r="AI346" s="183"/>
      <c r="AJ346" s="183"/>
      <c r="AK346" s="183"/>
    </row>
    <row r="347" ht="15.75" customHeight="1">
      <c r="A347" s="183"/>
      <c r="B347" s="183"/>
      <c r="C347" s="183"/>
      <c r="D347" s="183"/>
      <c r="E347" s="183"/>
      <c r="F347" s="183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6"/>
      <c r="X347" s="183"/>
      <c r="Y347" s="183"/>
      <c r="Z347" s="183"/>
      <c r="AA347" s="183"/>
      <c r="AB347" s="183"/>
      <c r="AC347" s="183"/>
      <c r="AD347" s="183"/>
      <c r="AE347" s="183"/>
      <c r="AF347" s="183"/>
      <c r="AG347" s="183"/>
      <c r="AH347" s="183"/>
      <c r="AI347" s="183"/>
      <c r="AJ347" s="183"/>
      <c r="AK347" s="183"/>
    </row>
    <row r="348" ht="15.75" customHeight="1">
      <c r="A348" s="183"/>
      <c r="B348" s="183"/>
      <c r="C348" s="183"/>
      <c r="D348" s="183"/>
      <c r="E348" s="183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6"/>
      <c r="X348" s="183"/>
      <c r="Y348" s="183"/>
      <c r="Z348" s="183"/>
      <c r="AA348" s="183"/>
      <c r="AB348" s="183"/>
      <c r="AC348" s="183"/>
      <c r="AD348" s="183"/>
      <c r="AE348" s="183"/>
      <c r="AF348" s="183"/>
      <c r="AG348" s="183"/>
      <c r="AH348" s="183"/>
      <c r="AI348" s="183"/>
      <c r="AJ348" s="183"/>
      <c r="AK348" s="183"/>
    </row>
    <row r="349" ht="15.75" customHeight="1">
      <c r="A349" s="183"/>
      <c r="B349" s="183"/>
      <c r="C349" s="183"/>
      <c r="D349" s="183"/>
      <c r="E349" s="183"/>
      <c r="F349" s="183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6"/>
      <c r="X349" s="183"/>
      <c r="Y349" s="183"/>
      <c r="Z349" s="183"/>
      <c r="AA349" s="183"/>
      <c r="AB349" s="183"/>
      <c r="AC349" s="183"/>
      <c r="AD349" s="183"/>
      <c r="AE349" s="183"/>
      <c r="AF349" s="183"/>
      <c r="AG349" s="183"/>
      <c r="AH349" s="183"/>
      <c r="AI349" s="183"/>
      <c r="AJ349" s="183"/>
      <c r="AK349" s="183"/>
    </row>
    <row r="350" ht="15.75" customHeight="1">
      <c r="A350" s="183"/>
      <c r="B350" s="183"/>
      <c r="C350" s="183"/>
      <c r="D350" s="183"/>
      <c r="E350" s="183"/>
      <c r="F350" s="183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6"/>
      <c r="X350" s="183"/>
      <c r="Y350" s="183"/>
      <c r="Z350" s="183"/>
      <c r="AA350" s="183"/>
      <c r="AB350" s="183"/>
      <c r="AC350" s="183"/>
      <c r="AD350" s="183"/>
      <c r="AE350" s="183"/>
      <c r="AF350" s="183"/>
      <c r="AG350" s="183"/>
      <c r="AH350" s="183"/>
      <c r="AI350" s="183"/>
      <c r="AJ350" s="183"/>
      <c r="AK350" s="183"/>
    </row>
    <row r="351" ht="15.75" customHeight="1">
      <c r="A351" s="183"/>
      <c r="B351" s="183"/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6"/>
      <c r="X351" s="183"/>
      <c r="Y351" s="183"/>
      <c r="Z351" s="183"/>
      <c r="AA351" s="183"/>
      <c r="AB351" s="183"/>
      <c r="AC351" s="183"/>
      <c r="AD351" s="183"/>
      <c r="AE351" s="183"/>
      <c r="AF351" s="183"/>
      <c r="AG351" s="183"/>
      <c r="AH351" s="183"/>
      <c r="AI351" s="183"/>
      <c r="AJ351" s="183"/>
      <c r="AK351" s="183"/>
    </row>
    <row r="352" ht="15.75" customHeight="1">
      <c r="A352" s="183"/>
      <c r="B352" s="183"/>
      <c r="C352" s="183"/>
      <c r="D352" s="183"/>
      <c r="E352" s="183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6"/>
      <c r="X352" s="183"/>
      <c r="Y352" s="183"/>
      <c r="Z352" s="183"/>
      <c r="AA352" s="183"/>
      <c r="AB352" s="183"/>
      <c r="AC352" s="183"/>
      <c r="AD352" s="183"/>
      <c r="AE352" s="183"/>
      <c r="AF352" s="183"/>
      <c r="AG352" s="183"/>
      <c r="AH352" s="183"/>
      <c r="AI352" s="183"/>
      <c r="AJ352" s="183"/>
      <c r="AK352" s="183"/>
    </row>
    <row r="353" ht="15.75" customHeight="1">
      <c r="A353" s="183"/>
      <c r="B353" s="183"/>
      <c r="C353" s="183"/>
      <c r="D353" s="183"/>
      <c r="E353" s="183"/>
      <c r="F353" s="183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6"/>
      <c r="X353" s="183"/>
      <c r="Y353" s="183"/>
      <c r="Z353" s="183"/>
      <c r="AA353" s="183"/>
      <c r="AB353" s="183"/>
      <c r="AC353" s="183"/>
      <c r="AD353" s="183"/>
      <c r="AE353" s="183"/>
      <c r="AF353" s="183"/>
      <c r="AG353" s="183"/>
      <c r="AH353" s="183"/>
      <c r="AI353" s="183"/>
      <c r="AJ353" s="183"/>
      <c r="AK353" s="183"/>
    </row>
    <row r="354" ht="15.75" customHeight="1">
      <c r="A354" s="183"/>
      <c r="B354" s="183"/>
      <c r="C354" s="183"/>
      <c r="D354" s="183"/>
      <c r="E354" s="183"/>
      <c r="F354" s="183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6"/>
      <c r="X354" s="183"/>
      <c r="Y354" s="183"/>
      <c r="Z354" s="183"/>
      <c r="AA354" s="183"/>
      <c r="AB354" s="183"/>
      <c r="AC354" s="183"/>
      <c r="AD354" s="183"/>
      <c r="AE354" s="183"/>
      <c r="AF354" s="183"/>
      <c r="AG354" s="183"/>
      <c r="AH354" s="183"/>
      <c r="AI354" s="183"/>
      <c r="AJ354" s="183"/>
      <c r="AK354" s="183"/>
    </row>
    <row r="355" ht="15.75" customHeight="1">
      <c r="A355" s="183"/>
      <c r="B355" s="183"/>
      <c r="C355" s="183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6"/>
      <c r="X355" s="183"/>
      <c r="Y355" s="183"/>
      <c r="Z355" s="183"/>
      <c r="AA355" s="183"/>
      <c r="AB355" s="183"/>
      <c r="AC355" s="183"/>
      <c r="AD355" s="183"/>
      <c r="AE355" s="183"/>
      <c r="AF355" s="183"/>
      <c r="AG355" s="183"/>
      <c r="AH355" s="183"/>
      <c r="AI355" s="183"/>
      <c r="AJ355" s="183"/>
      <c r="AK355" s="183"/>
    </row>
    <row r="356" ht="15.75" customHeight="1">
      <c r="A356" s="183"/>
      <c r="B356" s="183"/>
      <c r="C356" s="183"/>
      <c r="D356" s="183"/>
      <c r="E356" s="183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6"/>
      <c r="X356" s="183"/>
      <c r="Y356" s="183"/>
      <c r="Z356" s="183"/>
      <c r="AA356" s="183"/>
      <c r="AB356" s="183"/>
      <c r="AC356" s="183"/>
      <c r="AD356" s="183"/>
      <c r="AE356" s="183"/>
      <c r="AF356" s="183"/>
      <c r="AG356" s="183"/>
      <c r="AH356" s="183"/>
      <c r="AI356" s="183"/>
      <c r="AJ356" s="183"/>
      <c r="AK356" s="183"/>
    </row>
    <row r="357" ht="15.75" customHeight="1">
      <c r="A357" s="183"/>
      <c r="B357" s="183"/>
      <c r="C357" s="183"/>
      <c r="D357" s="183"/>
      <c r="E357" s="183"/>
      <c r="F357" s="183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6"/>
      <c r="X357" s="183"/>
      <c r="Y357" s="183"/>
      <c r="Z357" s="183"/>
      <c r="AA357" s="183"/>
      <c r="AB357" s="183"/>
      <c r="AC357" s="183"/>
      <c r="AD357" s="183"/>
      <c r="AE357" s="183"/>
      <c r="AF357" s="183"/>
      <c r="AG357" s="183"/>
      <c r="AH357" s="183"/>
      <c r="AI357" s="183"/>
      <c r="AJ357" s="183"/>
      <c r="AK357" s="183"/>
    </row>
    <row r="358" ht="15.75" customHeight="1">
      <c r="A358" s="183"/>
      <c r="B358" s="183"/>
      <c r="C358" s="183"/>
      <c r="D358" s="183"/>
      <c r="E358" s="183"/>
      <c r="F358" s="183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6"/>
      <c r="X358" s="183"/>
      <c r="Y358" s="183"/>
      <c r="Z358" s="183"/>
      <c r="AA358" s="183"/>
      <c r="AB358" s="183"/>
      <c r="AC358" s="183"/>
      <c r="AD358" s="183"/>
      <c r="AE358" s="183"/>
      <c r="AF358" s="183"/>
      <c r="AG358" s="183"/>
      <c r="AH358" s="183"/>
      <c r="AI358" s="183"/>
      <c r="AJ358" s="183"/>
      <c r="AK358" s="183"/>
    </row>
    <row r="359" ht="15.75" customHeight="1">
      <c r="A359" s="183"/>
      <c r="B359" s="183"/>
      <c r="C359" s="183"/>
      <c r="D359" s="183"/>
      <c r="E359" s="183"/>
      <c r="F359" s="183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6"/>
      <c r="X359" s="183"/>
      <c r="Y359" s="183"/>
      <c r="Z359" s="183"/>
      <c r="AA359" s="183"/>
      <c r="AB359" s="183"/>
      <c r="AC359" s="183"/>
      <c r="AD359" s="183"/>
      <c r="AE359" s="183"/>
      <c r="AF359" s="183"/>
      <c r="AG359" s="183"/>
      <c r="AH359" s="183"/>
      <c r="AI359" s="183"/>
      <c r="AJ359" s="183"/>
      <c r="AK359" s="183"/>
    </row>
    <row r="360" ht="15.75" customHeight="1">
      <c r="A360" s="183"/>
      <c r="B360" s="183"/>
      <c r="C360" s="183"/>
      <c r="D360" s="183"/>
      <c r="E360" s="183"/>
      <c r="F360" s="183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6"/>
      <c r="X360" s="183"/>
      <c r="Y360" s="183"/>
      <c r="Z360" s="183"/>
      <c r="AA360" s="183"/>
      <c r="AB360" s="183"/>
      <c r="AC360" s="183"/>
      <c r="AD360" s="183"/>
      <c r="AE360" s="183"/>
      <c r="AF360" s="183"/>
      <c r="AG360" s="183"/>
      <c r="AH360" s="183"/>
      <c r="AI360" s="183"/>
      <c r="AJ360" s="183"/>
      <c r="AK360" s="183"/>
    </row>
    <row r="361" ht="15.75" customHeight="1">
      <c r="A361" s="183"/>
      <c r="B361" s="183"/>
      <c r="C361" s="183"/>
      <c r="D361" s="183"/>
      <c r="E361" s="183"/>
      <c r="F361" s="183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6"/>
      <c r="X361" s="183"/>
      <c r="Y361" s="183"/>
      <c r="Z361" s="183"/>
      <c r="AA361" s="183"/>
      <c r="AB361" s="183"/>
      <c r="AC361" s="183"/>
      <c r="AD361" s="183"/>
      <c r="AE361" s="183"/>
      <c r="AF361" s="183"/>
      <c r="AG361" s="183"/>
      <c r="AH361" s="183"/>
      <c r="AI361" s="183"/>
      <c r="AJ361" s="183"/>
      <c r="AK361" s="183"/>
    </row>
    <row r="362" ht="15.75" customHeight="1">
      <c r="A362" s="183"/>
      <c r="B362" s="183"/>
      <c r="C362" s="183"/>
      <c r="D362" s="183"/>
      <c r="E362" s="183"/>
      <c r="F362" s="183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6"/>
      <c r="X362" s="183"/>
      <c r="Y362" s="183"/>
      <c r="Z362" s="183"/>
      <c r="AA362" s="183"/>
      <c r="AB362" s="183"/>
      <c r="AC362" s="183"/>
      <c r="AD362" s="183"/>
      <c r="AE362" s="183"/>
      <c r="AF362" s="183"/>
      <c r="AG362" s="183"/>
      <c r="AH362" s="183"/>
      <c r="AI362" s="183"/>
      <c r="AJ362" s="183"/>
      <c r="AK362" s="183"/>
    </row>
    <row r="363" ht="15.75" customHeight="1">
      <c r="A363" s="183"/>
      <c r="B363" s="183"/>
      <c r="C363" s="183"/>
      <c r="D363" s="183"/>
      <c r="E363" s="183"/>
      <c r="F363" s="183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6"/>
      <c r="X363" s="183"/>
      <c r="Y363" s="183"/>
      <c r="Z363" s="183"/>
      <c r="AA363" s="183"/>
      <c r="AB363" s="183"/>
      <c r="AC363" s="183"/>
      <c r="AD363" s="183"/>
      <c r="AE363" s="183"/>
      <c r="AF363" s="183"/>
      <c r="AG363" s="183"/>
      <c r="AH363" s="183"/>
      <c r="AI363" s="183"/>
      <c r="AJ363" s="183"/>
      <c r="AK363" s="183"/>
    </row>
    <row r="364" ht="15.75" customHeight="1">
      <c r="A364" s="183"/>
      <c r="B364" s="183"/>
      <c r="C364" s="183"/>
      <c r="D364" s="183"/>
      <c r="E364" s="183"/>
      <c r="F364" s="183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6"/>
      <c r="X364" s="183"/>
      <c r="Y364" s="183"/>
      <c r="Z364" s="183"/>
      <c r="AA364" s="183"/>
      <c r="AB364" s="183"/>
      <c r="AC364" s="183"/>
      <c r="AD364" s="183"/>
      <c r="AE364" s="183"/>
      <c r="AF364" s="183"/>
      <c r="AG364" s="183"/>
      <c r="AH364" s="183"/>
      <c r="AI364" s="183"/>
      <c r="AJ364" s="183"/>
      <c r="AK364" s="183"/>
    </row>
    <row r="365" ht="15.75" customHeight="1">
      <c r="A365" s="183"/>
      <c r="B365" s="183"/>
      <c r="C365" s="183"/>
      <c r="D365" s="183"/>
      <c r="E365" s="183"/>
      <c r="F365" s="183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6"/>
      <c r="X365" s="183"/>
      <c r="Y365" s="183"/>
      <c r="Z365" s="183"/>
      <c r="AA365" s="183"/>
      <c r="AB365" s="183"/>
      <c r="AC365" s="183"/>
      <c r="AD365" s="183"/>
      <c r="AE365" s="183"/>
      <c r="AF365" s="183"/>
      <c r="AG365" s="183"/>
      <c r="AH365" s="183"/>
      <c r="AI365" s="183"/>
      <c r="AJ365" s="183"/>
      <c r="AK365" s="183"/>
    </row>
    <row r="366" ht="15.75" customHeight="1">
      <c r="A366" s="183"/>
      <c r="B366" s="183"/>
      <c r="C366" s="183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6"/>
      <c r="X366" s="183"/>
      <c r="Y366" s="183"/>
      <c r="Z366" s="183"/>
      <c r="AA366" s="183"/>
      <c r="AB366" s="183"/>
      <c r="AC366" s="183"/>
      <c r="AD366" s="183"/>
      <c r="AE366" s="183"/>
      <c r="AF366" s="183"/>
      <c r="AG366" s="183"/>
      <c r="AH366" s="183"/>
      <c r="AI366" s="183"/>
      <c r="AJ366" s="183"/>
      <c r="AK366" s="183"/>
    </row>
    <row r="367" ht="15.75" customHeight="1">
      <c r="A367" s="183"/>
      <c r="B367" s="183"/>
      <c r="C367" s="183"/>
      <c r="D367" s="183"/>
      <c r="E367" s="183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6"/>
      <c r="X367" s="183"/>
      <c r="Y367" s="183"/>
      <c r="Z367" s="183"/>
      <c r="AA367" s="183"/>
      <c r="AB367" s="183"/>
      <c r="AC367" s="183"/>
      <c r="AD367" s="183"/>
      <c r="AE367" s="183"/>
      <c r="AF367" s="183"/>
      <c r="AG367" s="183"/>
      <c r="AH367" s="183"/>
      <c r="AI367" s="183"/>
      <c r="AJ367" s="183"/>
      <c r="AK367" s="183"/>
    </row>
    <row r="368" ht="15.75" customHeight="1">
      <c r="A368" s="183"/>
      <c r="B368" s="183"/>
      <c r="C368" s="183"/>
      <c r="D368" s="183"/>
      <c r="E368" s="183"/>
      <c r="F368" s="183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6"/>
      <c r="X368" s="183"/>
      <c r="Y368" s="183"/>
      <c r="Z368" s="183"/>
      <c r="AA368" s="183"/>
      <c r="AB368" s="183"/>
      <c r="AC368" s="183"/>
      <c r="AD368" s="183"/>
      <c r="AE368" s="183"/>
      <c r="AF368" s="183"/>
      <c r="AG368" s="183"/>
      <c r="AH368" s="183"/>
      <c r="AI368" s="183"/>
      <c r="AJ368" s="183"/>
      <c r="AK368" s="183"/>
    </row>
    <row r="369" ht="15.75" customHeight="1">
      <c r="A369" s="183"/>
      <c r="B369" s="183"/>
      <c r="C369" s="183"/>
      <c r="D369" s="183"/>
      <c r="E369" s="183"/>
      <c r="F369" s="183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6"/>
      <c r="X369" s="183"/>
      <c r="Y369" s="183"/>
      <c r="Z369" s="183"/>
      <c r="AA369" s="183"/>
      <c r="AB369" s="183"/>
      <c r="AC369" s="183"/>
      <c r="AD369" s="183"/>
      <c r="AE369" s="183"/>
      <c r="AF369" s="183"/>
      <c r="AG369" s="183"/>
      <c r="AH369" s="183"/>
      <c r="AI369" s="183"/>
      <c r="AJ369" s="183"/>
      <c r="AK369" s="183"/>
    </row>
    <row r="370" ht="15.75" customHeight="1">
      <c r="A370" s="183"/>
      <c r="B370" s="183"/>
      <c r="C370" s="183"/>
      <c r="D370" s="183"/>
      <c r="E370" s="183"/>
      <c r="F370" s="183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6"/>
      <c r="X370" s="183"/>
      <c r="Y370" s="183"/>
      <c r="Z370" s="183"/>
      <c r="AA370" s="183"/>
      <c r="AB370" s="183"/>
      <c r="AC370" s="183"/>
      <c r="AD370" s="183"/>
      <c r="AE370" s="183"/>
      <c r="AF370" s="183"/>
      <c r="AG370" s="183"/>
      <c r="AH370" s="183"/>
      <c r="AI370" s="183"/>
      <c r="AJ370" s="183"/>
      <c r="AK370" s="183"/>
    </row>
    <row r="371" ht="15.75" customHeight="1">
      <c r="A371" s="183"/>
      <c r="B371" s="183"/>
      <c r="C371" s="183"/>
      <c r="D371" s="183"/>
      <c r="E371" s="183"/>
      <c r="F371" s="183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6"/>
      <c r="X371" s="183"/>
      <c r="Y371" s="183"/>
      <c r="Z371" s="183"/>
      <c r="AA371" s="183"/>
      <c r="AB371" s="183"/>
      <c r="AC371" s="183"/>
      <c r="AD371" s="183"/>
      <c r="AE371" s="183"/>
      <c r="AF371" s="183"/>
      <c r="AG371" s="183"/>
      <c r="AH371" s="183"/>
      <c r="AI371" s="183"/>
      <c r="AJ371" s="183"/>
      <c r="AK371" s="183"/>
    </row>
    <row r="372" ht="15.75" customHeight="1">
      <c r="A372" s="183"/>
      <c r="B372" s="183"/>
      <c r="C372" s="183"/>
      <c r="D372" s="183"/>
      <c r="E372" s="183"/>
      <c r="F372" s="183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6"/>
      <c r="X372" s="183"/>
      <c r="Y372" s="183"/>
      <c r="Z372" s="183"/>
      <c r="AA372" s="183"/>
      <c r="AB372" s="183"/>
      <c r="AC372" s="183"/>
      <c r="AD372" s="183"/>
      <c r="AE372" s="183"/>
      <c r="AF372" s="183"/>
      <c r="AG372" s="183"/>
      <c r="AH372" s="183"/>
      <c r="AI372" s="183"/>
      <c r="AJ372" s="183"/>
      <c r="AK372" s="183"/>
    </row>
    <row r="373" ht="15.75" customHeight="1">
      <c r="A373" s="183"/>
      <c r="B373" s="183"/>
      <c r="C373" s="183"/>
      <c r="D373" s="183"/>
      <c r="E373" s="183"/>
      <c r="F373" s="183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6"/>
      <c r="X373" s="183"/>
      <c r="Y373" s="183"/>
      <c r="Z373" s="183"/>
      <c r="AA373" s="183"/>
      <c r="AB373" s="183"/>
      <c r="AC373" s="183"/>
      <c r="AD373" s="183"/>
      <c r="AE373" s="183"/>
      <c r="AF373" s="183"/>
      <c r="AG373" s="183"/>
      <c r="AH373" s="183"/>
      <c r="AI373" s="183"/>
      <c r="AJ373" s="183"/>
      <c r="AK373" s="183"/>
    </row>
    <row r="374" ht="15.75" customHeight="1">
      <c r="A374" s="183"/>
      <c r="B374" s="183"/>
      <c r="C374" s="183"/>
      <c r="D374" s="183"/>
      <c r="E374" s="183"/>
      <c r="F374" s="183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6"/>
      <c r="X374" s="183"/>
      <c r="Y374" s="183"/>
      <c r="Z374" s="183"/>
      <c r="AA374" s="183"/>
      <c r="AB374" s="183"/>
      <c r="AC374" s="183"/>
      <c r="AD374" s="183"/>
      <c r="AE374" s="183"/>
      <c r="AF374" s="183"/>
      <c r="AG374" s="183"/>
      <c r="AH374" s="183"/>
      <c r="AI374" s="183"/>
      <c r="AJ374" s="183"/>
      <c r="AK374" s="183"/>
    </row>
    <row r="375" ht="15.75" customHeight="1">
      <c r="A375" s="183"/>
      <c r="B375" s="183"/>
      <c r="C375" s="183"/>
      <c r="D375" s="183"/>
      <c r="E375" s="183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6"/>
      <c r="X375" s="183"/>
      <c r="Y375" s="183"/>
      <c r="Z375" s="183"/>
      <c r="AA375" s="183"/>
      <c r="AB375" s="183"/>
      <c r="AC375" s="183"/>
      <c r="AD375" s="183"/>
      <c r="AE375" s="183"/>
      <c r="AF375" s="183"/>
      <c r="AG375" s="183"/>
      <c r="AH375" s="183"/>
      <c r="AI375" s="183"/>
      <c r="AJ375" s="183"/>
      <c r="AK375" s="183"/>
    </row>
    <row r="376" ht="15.75" customHeight="1">
      <c r="A376" s="183"/>
      <c r="B376" s="183"/>
      <c r="C376" s="183"/>
      <c r="D376" s="183"/>
      <c r="E376" s="183"/>
      <c r="F376" s="183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6"/>
      <c r="X376" s="183"/>
      <c r="Y376" s="183"/>
      <c r="Z376" s="183"/>
      <c r="AA376" s="183"/>
      <c r="AB376" s="183"/>
      <c r="AC376" s="183"/>
      <c r="AD376" s="183"/>
      <c r="AE376" s="183"/>
      <c r="AF376" s="183"/>
      <c r="AG376" s="183"/>
      <c r="AH376" s="183"/>
      <c r="AI376" s="183"/>
      <c r="AJ376" s="183"/>
      <c r="AK376" s="183"/>
    </row>
    <row r="377" ht="15.75" customHeight="1">
      <c r="A377" s="183"/>
      <c r="B377" s="183"/>
      <c r="C377" s="183"/>
      <c r="D377" s="183"/>
      <c r="E377" s="183"/>
      <c r="F377" s="183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6"/>
      <c r="X377" s="183"/>
      <c r="Y377" s="183"/>
      <c r="Z377" s="183"/>
      <c r="AA377" s="183"/>
      <c r="AB377" s="183"/>
      <c r="AC377" s="183"/>
      <c r="AD377" s="183"/>
      <c r="AE377" s="183"/>
      <c r="AF377" s="183"/>
      <c r="AG377" s="183"/>
      <c r="AH377" s="183"/>
      <c r="AI377" s="183"/>
      <c r="AJ377" s="183"/>
      <c r="AK377" s="183"/>
    </row>
    <row r="378" ht="15.75" customHeight="1">
      <c r="A378" s="183"/>
      <c r="B378" s="183"/>
      <c r="C378" s="183"/>
      <c r="D378" s="183"/>
      <c r="E378" s="183"/>
      <c r="F378" s="183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6"/>
      <c r="X378" s="183"/>
      <c r="Y378" s="183"/>
      <c r="Z378" s="183"/>
      <c r="AA378" s="183"/>
      <c r="AB378" s="183"/>
      <c r="AC378" s="183"/>
      <c r="AD378" s="183"/>
      <c r="AE378" s="183"/>
      <c r="AF378" s="183"/>
      <c r="AG378" s="183"/>
      <c r="AH378" s="183"/>
      <c r="AI378" s="183"/>
      <c r="AJ378" s="183"/>
      <c r="AK378" s="183"/>
    </row>
    <row r="379" ht="15.75" customHeight="1">
      <c r="A379" s="183"/>
      <c r="B379" s="183"/>
      <c r="C379" s="183"/>
      <c r="D379" s="183"/>
      <c r="E379" s="183"/>
      <c r="F379" s="183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6"/>
      <c r="X379" s="183"/>
      <c r="Y379" s="183"/>
      <c r="Z379" s="183"/>
      <c r="AA379" s="183"/>
      <c r="AB379" s="183"/>
      <c r="AC379" s="183"/>
      <c r="AD379" s="183"/>
      <c r="AE379" s="183"/>
      <c r="AF379" s="183"/>
      <c r="AG379" s="183"/>
      <c r="AH379" s="183"/>
      <c r="AI379" s="183"/>
      <c r="AJ379" s="183"/>
      <c r="AK379" s="183"/>
    </row>
    <row r="380" ht="15.75" customHeight="1">
      <c r="A380" s="183"/>
      <c r="B380" s="183"/>
      <c r="C380" s="183"/>
      <c r="D380" s="183"/>
      <c r="E380" s="183"/>
      <c r="F380" s="183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6"/>
      <c r="X380" s="183"/>
      <c r="Y380" s="183"/>
      <c r="Z380" s="183"/>
      <c r="AA380" s="183"/>
      <c r="AB380" s="183"/>
      <c r="AC380" s="183"/>
      <c r="AD380" s="183"/>
      <c r="AE380" s="183"/>
      <c r="AF380" s="183"/>
      <c r="AG380" s="183"/>
      <c r="AH380" s="183"/>
      <c r="AI380" s="183"/>
      <c r="AJ380" s="183"/>
      <c r="AK380" s="183"/>
    </row>
    <row r="381" ht="15.75" customHeight="1">
      <c r="A381" s="183"/>
      <c r="B381" s="183"/>
      <c r="C381" s="183"/>
      <c r="D381" s="183"/>
      <c r="E381" s="183"/>
      <c r="F381" s="183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6"/>
      <c r="X381" s="183"/>
      <c r="Y381" s="183"/>
      <c r="Z381" s="183"/>
      <c r="AA381" s="183"/>
      <c r="AB381" s="183"/>
      <c r="AC381" s="183"/>
      <c r="AD381" s="183"/>
      <c r="AE381" s="183"/>
      <c r="AF381" s="183"/>
      <c r="AG381" s="183"/>
      <c r="AH381" s="183"/>
      <c r="AI381" s="183"/>
      <c r="AJ381" s="183"/>
      <c r="AK381" s="183"/>
    </row>
    <row r="382" ht="15.75" customHeight="1">
      <c r="A382" s="183"/>
      <c r="B382" s="183"/>
      <c r="C382" s="183"/>
      <c r="D382" s="183"/>
      <c r="E382" s="183"/>
      <c r="F382" s="183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6"/>
      <c r="X382" s="183"/>
      <c r="Y382" s="183"/>
      <c r="Z382" s="183"/>
      <c r="AA382" s="183"/>
      <c r="AB382" s="183"/>
      <c r="AC382" s="183"/>
      <c r="AD382" s="183"/>
      <c r="AE382" s="183"/>
      <c r="AF382" s="183"/>
      <c r="AG382" s="183"/>
      <c r="AH382" s="183"/>
      <c r="AI382" s="183"/>
      <c r="AJ382" s="183"/>
      <c r="AK382" s="183"/>
    </row>
    <row r="383" ht="15.75" customHeight="1">
      <c r="A383" s="183"/>
      <c r="B383" s="183"/>
      <c r="C383" s="183"/>
      <c r="D383" s="183"/>
      <c r="E383" s="183"/>
      <c r="F383" s="183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6"/>
      <c r="X383" s="183"/>
      <c r="Y383" s="183"/>
      <c r="Z383" s="183"/>
      <c r="AA383" s="183"/>
      <c r="AB383" s="183"/>
      <c r="AC383" s="183"/>
      <c r="AD383" s="183"/>
      <c r="AE383" s="183"/>
      <c r="AF383" s="183"/>
      <c r="AG383" s="183"/>
      <c r="AH383" s="183"/>
      <c r="AI383" s="183"/>
      <c r="AJ383" s="183"/>
      <c r="AK383" s="183"/>
    </row>
    <row r="384" ht="15.75" customHeight="1">
      <c r="A384" s="183"/>
      <c r="B384" s="183"/>
      <c r="C384" s="183"/>
      <c r="D384" s="183"/>
      <c r="E384" s="183"/>
      <c r="F384" s="183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6"/>
      <c r="X384" s="183"/>
      <c r="Y384" s="183"/>
      <c r="Z384" s="183"/>
      <c r="AA384" s="183"/>
      <c r="AB384" s="183"/>
      <c r="AC384" s="183"/>
      <c r="AD384" s="183"/>
      <c r="AE384" s="183"/>
      <c r="AF384" s="183"/>
      <c r="AG384" s="183"/>
      <c r="AH384" s="183"/>
      <c r="AI384" s="183"/>
      <c r="AJ384" s="183"/>
      <c r="AK384" s="183"/>
    </row>
    <row r="385" ht="15.75" customHeight="1">
      <c r="A385" s="183"/>
      <c r="B385" s="183"/>
      <c r="C385" s="183"/>
      <c r="D385" s="183"/>
      <c r="E385" s="183"/>
      <c r="F385" s="183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6"/>
      <c r="X385" s="183"/>
      <c r="Y385" s="183"/>
      <c r="Z385" s="183"/>
      <c r="AA385" s="183"/>
      <c r="AB385" s="183"/>
      <c r="AC385" s="183"/>
      <c r="AD385" s="183"/>
      <c r="AE385" s="183"/>
      <c r="AF385" s="183"/>
      <c r="AG385" s="183"/>
      <c r="AH385" s="183"/>
      <c r="AI385" s="183"/>
      <c r="AJ385" s="183"/>
      <c r="AK385" s="183"/>
    </row>
    <row r="386" ht="15.75" customHeight="1">
      <c r="A386" s="183"/>
      <c r="B386" s="183"/>
      <c r="C386" s="183"/>
      <c r="D386" s="183"/>
      <c r="E386" s="183"/>
      <c r="F386" s="183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6"/>
      <c r="X386" s="183"/>
      <c r="Y386" s="183"/>
      <c r="Z386" s="183"/>
      <c r="AA386" s="183"/>
      <c r="AB386" s="183"/>
      <c r="AC386" s="183"/>
      <c r="AD386" s="183"/>
      <c r="AE386" s="183"/>
      <c r="AF386" s="183"/>
      <c r="AG386" s="183"/>
      <c r="AH386" s="183"/>
      <c r="AI386" s="183"/>
      <c r="AJ386" s="183"/>
      <c r="AK386" s="183"/>
    </row>
    <row r="387" ht="15.75" customHeight="1">
      <c r="A387" s="183"/>
      <c r="B387" s="183"/>
      <c r="C387" s="183"/>
      <c r="D387" s="183"/>
      <c r="E387" s="183"/>
      <c r="F387" s="183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6"/>
      <c r="X387" s="183"/>
      <c r="Y387" s="183"/>
      <c r="Z387" s="183"/>
      <c r="AA387" s="183"/>
      <c r="AB387" s="183"/>
      <c r="AC387" s="183"/>
      <c r="AD387" s="183"/>
      <c r="AE387" s="183"/>
      <c r="AF387" s="183"/>
      <c r="AG387" s="183"/>
      <c r="AH387" s="183"/>
      <c r="AI387" s="183"/>
      <c r="AJ387" s="183"/>
      <c r="AK387" s="183"/>
    </row>
    <row r="388" ht="15.75" customHeight="1">
      <c r="A388" s="183"/>
      <c r="B388" s="183"/>
      <c r="C388" s="183"/>
      <c r="D388" s="183"/>
      <c r="E388" s="183"/>
      <c r="F388" s="183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6"/>
      <c r="X388" s="183"/>
      <c r="Y388" s="183"/>
      <c r="Z388" s="183"/>
      <c r="AA388" s="183"/>
      <c r="AB388" s="183"/>
      <c r="AC388" s="183"/>
      <c r="AD388" s="183"/>
      <c r="AE388" s="183"/>
      <c r="AF388" s="183"/>
      <c r="AG388" s="183"/>
      <c r="AH388" s="183"/>
      <c r="AI388" s="183"/>
      <c r="AJ388" s="183"/>
      <c r="AK388" s="183"/>
    </row>
    <row r="389" ht="15.75" customHeight="1">
      <c r="A389" s="183"/>
      <c r="B389" s="183"/>
      <c r="C389" s="183"/>
      <c r="D389" s="183"/>
      <c r="E389" s="183"/>
      <c r="F389" s="183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6"/>
      <c r="X389" s="183"/>
      <c r="Y389" s="183"/>
      <c r="Z389" s="183"/>
      <c r="AA389" s="183"/>
      <c r="AB389" s="183"/>
      <c r="AC389" s="183"/>
      <c r="AD389" s="183"/>
      <c r="AE389" s="183"/>
      <c r="AF389" s="183"/>
      <c r="AG389" s="183"/>
      <c r="AH389" s="183"/>
      <c r="AI389" s="183"/>
      <c r="AJ389" s="183"/>
      <c r="AK389" s="183"/>
    </row>
    <row r="390" ht="15.75" customHeight="1">
      <c r="A390" s="183"/>
      <c r="B390" s="183"/>
      <c r="C390" s="183"/>
      <c r="D390" s="183"/>
      <c r="E390" s="183"/>
      <c r="F390" s="183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6"/>
      <c r="X390" s="183"/>
      <c r="Y390" s="183"/>
      <c r="Z390" s="183"/>
      <c r="AA390" s="183"/>
      <c r="AB390" s="183"/>
      <c r="AC390" s="183"/>
      <c r="AD390" s="183"/>
      <c r="AE390" s="183"/>
      <c r="AF390" s="183"/>
      <c r="AG390" s="183"/>
      <c r="AH390" s="183"/>
      <c r="AI390" s="183"/>
      <c r="AJ390" s="183"/>
      <c r="AK390" s="183"/>
    </row>
    <row r="391" ht="15.75" customHeight="1">
      <c r="A391" s="183"/>
      <c r="B391" s="183"/>
      <c r="C391" s="183"/>
      <c r="D391" s="183"/>
      <c r="E391" s="183"/>
      <c r="F391" s="183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6"/>
      <c r="X391" s="183"/>
      <c r="Y391" s="183"/>
      <c r="Z391" s="183"/>
      <c r="AA391" s="183"/>
      <c r="AB391" s="183"/>
      <c r="AC391" s="183"/>
      <c r="AD391" s="183"/>
      <c r="AE391" s="183"/>
      <c r="AF391" s="183"/>
      <c r="AG391" s="183"/>
      <c r="AH391" s="183"/>
      <c r="AI391" s="183"/>
      <c r="AJ391" s="183"/>
      <c r="AK391" s="183"/>
    </row>
    <row r="392" ht="15.75" customHeight="1">
      <c r="A392" s="183"/>
      <c r="B392" s="183"/>
      <c r="C392" s="183"/>
      <c r="D392" s="183"/>
      <c r="E392" s="183"/>
      <c r="F392" s="183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6"/>
      <c r="X392" s="183"/>
      <c r="Y392" s="183"/>
      <c r="Z392" s="183"/>
      <c r="AA392" s="183"/>
      <c r="AB392" s="183"/>
      <c r="AC392" s="183"/>
      <c r="AD392" s="183"/>
      <c r="AE392" s="183"/>
      <c r="AF392" s="183"/>
      <c r="AG392" s="183"/>
      <c r="AH392" s="183"/>
      <c r="AI392" s="183"/>
      <c r="AJ392" s="183"/>
      <c r="AK392" s="183"/>
    </row>
    <row r="393" ht="15.75" customHeight="1">
      <c r="A393" s="183"/>
      <c r="B393" s="183"/>
      <c r="C393" s="183"/>
      <c r="D393" s="183"/>
      <c r="E393" s="183"/>
      <c r="F393" s="183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6"/>
      <c r="X393" s="183"/>
      <c r="Y393" s="183"/>
      <c r="Z393" s="183"/>
      <c r="AA393" s="183"/>
      <c r="AB393" s="183"/>
      <c r="AC393" s="183"/>
      <c r="AD393" s="183"/>
      <c r="AE393" s="183"/>
      <c r="AF393" s="183"/>
      <c r="AG393" s="183"/>
      <c r="AH393" s="183"/>
      <c r="AI393" s="183"/>
      <c r="AJ393" s="183"/>
      <c r="AK393" s="183"/>
    </row>
    <row r="394" ht="15.75" customHeight="1">
      <c r="A394" s="183"/>
      <c r="B394" s="183"/>
      <c r="C394" s="183"/>
      <c r="D394" s="183"/>
      <c r="E394" s="183"/>
      <c r="F394" s="183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6"/>
      <c r="X394" s="183"/>
      <c r="Y394" s="183"/>
      <c r="Z394" s="183"/>
      <c r="AA394" s="183"/>
      <c r="AB394" s="183"/>
      <c r="AC394" s="183"/>
      <c r="AD394" s="183"/>
      <c r="AE394" s="183"/>
      <c r="AF394" s="183"/>
      <c r="AG394" s="183"/>
      <c r="AH394" s="183"/>
      <c r="AI394" s="183"/>
      <c r="AJ394" s="183"/>
      <c r="AK394" s="183"/>
    </row>
    <row r="395" ht="15.75" customHeight="1">
      <c r="A395" s="183"/>
      <c r="B395" s="183"/>
      <c r="C395" s="183"/>
      <c r="D395" s="183"/>
      <c r="E395" s="183"/>
      <c r="F395" s="183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6"/>
      <c r="X395" s="183"/>
      <c r="Y395" s="183"/>
      <c r="Z395" s="183"/>
      <c r="AA395" s="183"/>
      <c r="AB395" s="183"/>
      <c r="AC395" s="183"/>
      <c r="AD395" s="183"/>
      <c r="AE395" s="183"/>
      <c r="AF395" s="183"/>
      <c r="AG395" s="183"/>
      <c r="AH395" s="183"/>
      <c r="AI395" s="183"/>
      <c r="AJ395" s="183"/>
      <c r="AK395" s="183"/>
    </row>
    <row r="396" ht="15.75" customHeight="1">
      <c r="A396" s="183"/>
      <c r="B396" s="183"/>
      <c r="C396" s="183"/>
      <c r="D396" s="183"/>
      <c r="E396" s="183"/>
      <c r="F396" s="183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6"/>
      <c r="X396" s="183"/>
      <c r="Y396" s="183"/>
      <c r="Z396" s="183"/>
      <c r="AA396" s="183"/>
      <c r="AB396" s="183"/>
      <c r="AC396" s="183"/>
      <c r="AD396" s="183"/>
      <c r="AE396" s="183"/>
      <c r="AF396" s="183"/>
      <c r="AG396" s="183"/>
      <c r="AH396" s="183"/>
      <c r="AI396" s="183"/>
      <c r="AJ396" s="183"/>
      <c r="AK396" s="183"/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