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Restia" sheetId="1" r:id="rId4"/>
    <sheet state="visible" name="Report" sheetId="2" r:id="rId5"/>
    <sheet state="visible" name="Kontrola" sheetId="3" r:id="rId6"/>
    <sheet state="visible" name="RestiaCSV" sheetId="4" r:id="rId7"/>
    <sheet state="visible" name="HR" sheetId="5" r:id="rId8"/>
    <sheet state="visible" name="Denik" sheetId="6" r:id="rId9"/>
    <sheet state="visible" name="Směny" sheetId="7" r:id="rId10"/>
  </sheets>
  <definedNames>
    <definedName hidden="1" localSheetId="3" name="_xlnm._FilterDatabase">RestiaCSV!$A$1:$M$418</definedName>
  </definedNames>
  <calcPr/>
  <extLst>
    <ext uri="GoogleSheetsCustomDataVersion2">
      <go:sheetsCustomData xmlns:go="http://customooxmlschemas.google.com/" r:id="rId11" roundtripDataChecksum="8C8mskdwMf+emjhEJdOwlkT5C3KX5nSAfdQ63PQhiiE="/>
    </ext>
  </extLst>
</workbook>
</file>

<file path=xl/sharedStrings.xml><?xml version="1.0" encoding="utf-8"?>
<sst xmlns="http://schemas.openxmlformats.org/spreadsheetml/2006/main" count="1949" uniqueCount="719">
  <si>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</si>
  <si>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</si>
  <si>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</si>
  <si>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</si>
  <si>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</si>
  <si>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</si>
  <si>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</si>
  <si>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</si>
  <si>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</si>
  <si>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</si>
  <si>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</si>
  <si>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</si>
  <si>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</si>
  <si>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</si>
  <si>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</si>
  <si>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</si>
  <si>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</si>
  <si>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</si>
  <si>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</si>
  <si>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</si>
  <si>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</si>
  <si>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</si>
  <si>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</si>
  <si>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</si>
  <si>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</si>
  <si>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</si>
  <si>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</si>
  <si>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</si>
  <si>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</si>
  <si>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</si>
  <si>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</si>
  <si>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</si>
  <si>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</si>
  <si>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</si>
  <si>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</si>
  <si>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</si>
  <si>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</si>
  <si>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</si>
  <si>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</si>
  <si>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</si>
  <si>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</si>
  <si>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</si>
  <si>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</si>
  <si>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</si>
  <si>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</si>
  <si>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</si>
  <si>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</si>
  <si>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</si>
  <si>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</si>
  <si>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</si>
  <si>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</si>
  <si>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</si>
  <si>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</si>
  <si>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</si>
  <si>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</si>
  <si>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</si>
  <si>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</si>
  <si>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</si>
  <si>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</si>
  <si>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</si>
  <si>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</si>
  <si>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</si>
  <si>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</si>
  <si>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</si>
  <si>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</si>
  <si>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</si>
  <si>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</si>
  <si>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</si>
  <si>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</si>
  <si>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</si>
  <si>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</si>
  <si>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</si>
  <si>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</si>
  <si>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</si>
  <si>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</si>
  <si>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</si>
  <si>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</si>
  <si>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</si>
  <si>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</si>
  <si>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</si>
  <si>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</si>
  <si>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</si>
  <si>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</si>
  <si>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</si>
  <si>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</si>
  <si>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</si>
  <si>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</si>
  <si>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</si>
  <si>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</si>
  <si>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</si>
  <si>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</si>
  <si>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</si>
  <si>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</si>
  <si>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</si>
  <si>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</si>
  <si>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</si>
  <si>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</si>
  <si>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</si>
  <si>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</si>
  <si>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</si>
  <si>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</si>
  <si>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</si>
  <si>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</si>
  <si>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</si>
  <si>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</si>
  <si>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</si>
  <si>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</si>
  <si>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</si>
  <si>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</si>
  <si>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</si>
  <si>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</si>
  <si>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</si>
  <si>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</si>
  <si>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</si>
  <si>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</si>
  <si>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</si>
  <si>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</si>
  <si>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</si>
  <si>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</si>
  <si>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</si>
  <si>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</si>
  <si>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</si>
  <si>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</si>
  <si>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</si>
  <si>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</si>
  <si>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</si>
  <si>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</si>
  <si>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</si>
  <si>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</si>
  <si>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</si>
  <si>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</si>
  <si>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</si>
  <si>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</si>
  <si>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</si>
  <si>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</si>
  <si>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</si>
  <si>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</si>
  <si>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</si>
  <si>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</si>
  <si>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</si>
  <si>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</si>
  <si>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</si>
  <si>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</si>
  <si>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</si>
  <si>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</si>
  <si>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</si>
  <si>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</si>
  <si>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</si>
  <si>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</si>
  <si>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</si>
  <si>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</si>
  <si>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</si>
  <si>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</si>
  <si>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</si>
  <si>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</si>
  <si>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</si>
  <si>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</si>
  <si>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</si>
  <si>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</si>
  <si>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</si>
  <si>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</si>
  <si>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</si>
  <si>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</si>
  <si>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</si>
  <si>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</si>
  <si>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</si>
  <si>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</si>
  <si>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</si>
  <si>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</si>
  <si>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</si>
  <si>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</si>
  <si>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</si>
  <si>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</si>
  <si>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</si>
  <si>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</si>
  <si>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</si>
  <si>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</si>
  <si>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</si>
  <si>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</si>
  <si>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</si>
  <si>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</si>
  <si>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</si>
  <si>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</si>
  <si>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</si>
  <si>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</si>
  <si>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</si>
  <si>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</si>
  <si>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</si>
  <si>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</si>
  <si>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</si>
  <si>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</si>
  <si>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</si>
  <si>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</si>
  <si>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</si>
  <si>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</si>
  <si>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</si>
  <si>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</si>
  <si>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</si>
  <si>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</si>
  <si>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</si>
  <si>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</si>
  <si>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</si>
  <si>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</si>
  <si>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</si>
  <si>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</si>
  <si>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</si>
  <si>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</si>
  <si>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</si>
  <si>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</si>
  <si>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</si>
  <si>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</si>
  <si>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</si>
  <si>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</si>
  <si>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</si>
  <si>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</si>
  <si>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</si>
  <si>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</si>
  <si>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</si>
  <si>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</si>
  <si>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</si>
  <si>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</si>
  <si>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</si>
  <si>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</si>
  <si>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</si>
  <si>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</si>
  <si>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</si>
  <si>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</si>
  <si>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</si>
  <si>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</si>
  <si>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</si>
  <si>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</si>
  <si>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</si>
  <si>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</si>
  <si>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</si>
  <si>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</si>
  <si>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</si>
  <si>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</si>
  <si>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</si>
  <si>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</si>
  <si>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</si>
  <si>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</si>
  <si>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</si>
  <si>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</si>
  <si>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</si>
  <si>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</si>
  <si>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</si>
  <si>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</si>
  <si>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</si>
  <si>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</si>
  <si>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</si>
  <si>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</si>
  <si>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</si>
  <si>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</si>
  <si>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</si>
  <si>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</si>
  <si>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</si>
  <si>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</si>
  <si>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</si>
  <si>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</si>
  <si>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</si>
  <si>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</si>
  <si>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</si>
  <si>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</si>
  <si>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</si>
  <si>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</si>
  <si>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</si>
  <si>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</si>
  <si>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</si>
  <si>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</si>
  <si>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</si>
  <si>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</si>
  <si>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</si>
  <si>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</si>
  <si>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</si>
  <si>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</si>
  <si>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</si>
  <si>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</si>
  <si>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</si>
  <si>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</si>
  <si>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</si>
  <si>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</si>
  <si>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</si>
  <si>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</si>
  <si>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</si>
  <si>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</si>
  <si>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</si>
  <si>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</si>
  <si>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</si>
  <si>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</si>
  <si>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</si>
  <si>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</si>
  <si>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</si>
  <si>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</si>
  <si>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</si>
  <si>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</si>
  <si>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</si>
  <si>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</si>
  <si>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</si>
  <si>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</si>
  <si>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</si>
  <si>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</si>
  <si>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</si>
  <si>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</si>
  <si>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</si>
  <si>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</si>
  <si>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</si>
  <si>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</si>
  <si>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</si>
  <si>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</si>
  <si>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</si>
  <si>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</si>
  <si>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</si>
  <si>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</si>
  <si>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</si>
  <si>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</si>
  <si>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</si>
  <si>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</si>
  <si>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</si>
  <si>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</si>
  <si>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</si>
  <si>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</si>
  <si>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</si>
  <si>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</si>
  <si>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</si>
  <si>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</si>
  <si>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</si>
  <si>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</si>
  <si>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</si>
  <si>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</si>
  <si>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</si>
  <si>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</si>
  <si>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2024-08-31T01:40:54.048+02:00</t>
  </si>
  <si>
    <t>2024-08-31T01:48:09.176+02:00</t>
  </si>
  <si>
    <t>2024-08-31T01:22:47.449+02:00</t>
  </si>
  <si>
    <t>2024-08-31T01:27:03.508+02:00</t>
  </si>
  <si>
    <t>2024-08-31T01:00:02.218+02:00</t>
  </si>
  <si>
    <t>2024-08-31T01:10:57.909+02:00</t>
  </si>
  <si>
    <t>2024-08-31T00:59:01.884+02:00</t>
  </si>
  <si>
    <t>2024-08-31T01:05:07.723+02:00</t>
  </si>
  <si>
    <t>2024-08-31T00:39:01.957+02:00</t>
  </si>
  <si>
    <t>2024-08-31T00:46:29.087+02:00</t>
  </si>
  <si>
    <t>2024-08-31T00:32:01.237+02:00</t>
  </si>
  <si>
    <t>2024-08-31T00:42:55.677+02:00</t>
  </si>
  <si>
    <t>2024-08-31T00:27:44.971+02:00</t>
  </si>
  <si>
    <t>2024-08-31T00:31:41.654+02:00</t>
  </si>
  <si>
    <t>2024-08-31T00:10:34.157+02:00</t>
  </si>
  <si>
    <t>2024-08-31T00:19:40.693+02:00</t>
  </si>
  <si>
    <t>2024-08-31T00:08:59.788+02:00</t>
  </si>
  <si>
    <t>2024-08-31T00:14:38.797+02:00</t>
  </si>
  <si>
    <t>Kumar</t>
  </si>
  <si>
    <t>2024-08-30T23:58:55.305+02:00</t>
  </si>
  <si>
    <t>2024-08-31T00:05:36.566+02:00</t>
  </si>
  <si>
    <t>2024-08-30T23:43:43.856+02:00</t>
  </si>
  <si>
    <t>2024-08-30T23:48:06.659+02:00</t>
  </si>
  <si>
    <t>2024-08-30T23:38:15.522+02:00</t>
  </si>
  <si>
    <t>2024-08-30T23:44:04.852+02:00</t>
  </si>
  <si>
    <t>2024-08-30T23:22:01.076+02:00</t>
  </si>
  <si>
    <t>2024-08-30T23:25:38.752+02:00</t>
  </si>
  <si>
    <t>2024-08-30T23:20:00.513+02:00</t>
  </si>
  <si>
    <t>2024-08-30T23:22:24.679+02:00</t>
  </si>
  <si>
    <t>2024-08-30T23:07:29.447+02:00</t>
  </si>
  <si>
    <t>2024-08-30T23:11:51.678+02:00</t>
  </si>
  <si>
    <t>2024-08-30T23:04:47.223+02:00</t>
  </si>
  <si>
    <t>2024-08-30T23:11:19.531+02:00</t>
  </si>
  <si>
    <t>Pavol</t>
  </si>
  <si>
    <t>2024-08-30T23:04:27.150+02:00</t>
  </si>
  <si>
    <t>2024-08-30T23:09:11.568+02:00</t>
  </si>
  <si>
    <t>2024-08-30T23:00:55.031+02:00</t>
  </si>
  <si>
    <t>2024-08-30T23:04:07.578+02:00</t>
  </si>
  <si>
    <t>Martin</t>
  </si>
  <si>
    <t>2024-08-30T22:17:01.329+02:00</t>
  </si>
  <si>
    <t>2024-08-30T22:30:17.568+02:00</t>
  </si>
  <si>
    <t>2024-08-30T21:59:43.401+02:00</t>
  </si>
  <si>
    <t>2024-08-30T22:11:36.683+02:00</t>
  </si>
  <si>
    <t>2024-08-30T21:32:50.685+02:00</t>
  </si>
  <si>
    <t>2024-08-30T21:33:02.861+02:00</t>
  </si>
  <si>
    <t>2024-08-30T21:19:50.427+02:00</t>
  </si>
  <si>
    <t>2024-08-30T21:22:02.686+02:00</t>
  </si>
  <si>
    <t>2024-08-30T20:55:58.547+02:00</t>
  </si>
  <si>
    <t>2024-08-30T21:04:07.706+02:00</t>
  </si>
  <si>
    <t>2024-08-30T20:54:58.396+02:00</t>
  </si>
  <si>
    <t>2024-08-30T21:02:17.642+02:00</t>
  </si>
  <si>
    <t>2024-08-30T20:06:01.966+02:00</t>
  </si>
  <si>
    <t>2024-08-30T20:11:31.966+02:00</t>
  </si>
  <si>
    <t>2024-08-30T19:51:03.610+02:00</t>
  </si>
  <si>
    <t>2024-08-30T19:56:44.371+02:00</t>
  </si>
  <si>
    <t>2024-08-30T20:21:23.444+02:00</t>
  </si>
  <si>
    <t>2024-08-30T19:54:07.518+02:00</t>
  </si>
  <si>
    <t>2024-08-30T19:50:03.174+02:00</t>
  </si>
  <si>
    <t>2024-08-30T19:56:43.589+02:00</t>
  </si>
  <si>
    <t>2024-08-30T19:44:01.450+02:00</t>
  </si>
  <si>
    <t>2024-08-30T19:56:40.658+02:00</t>
  </si>
  <si>
    <t>2024-08-30T19:31:04.424+02:00</t>
  </si>
  <si>
    <t>2024-08-30T19:32:26.346+02:00</t>
  </si>
  <si>
    <t>2024-08-30T18:58:33.065+02:00</t>
  </si>
  <si>
    <t>2024-08-30T19:01:40.807+02:00</t>
  </si>
  <si>
    <t>2024-08-30T18:43:57.889+02:00</t>
  </si>
  <si>
    <t>2024-08-30T18:50:24.671+02:00</t>
  </si>
  <si>
    <t>2024-08-30T18:40:40.404+02:00</t>
  </si>
  <si>
    <t>2024-08-30T18:41:05.358+02:00</t>
  </si>
  <si>
    <t>2024-08-30T18:30:02.811+02:00</t>
  </si>
  <si>
    <t>2024-08-30T18:33:54.490+02:00</t>
  </si>
  <si>
    <t>2024-08-30T18:25:00.891+02:00</t>
  </si>
  <si>
    <t>2024-08-30T18:34:14.587+02:00</t>
  </si>
  <si>
    <t>Ismoiljon</t>
  </si>
  <si>
    <t>2024-08-30T18:24:02.443+02:00</t>
  </si>
  <si>
    <t>2024-08-30T18:30:27.431+02:00</t>
  </si>
  <si>
    <t>2024-08-30T17:58:57.380+02:00</t>
  </si>
  <si>
    <t>2024-08-30T18:06:46.544+02:00</t>
  </si>
  <si>
    <t>2024-08-30T17:51:21.753+02:00</t>
  </si>
  <si>
    <t>2024-08-30T18:01:21.952+02:00</t>
  </si>
  <si>
    <t>Michal</t>
  </si>
  <si>
    <t>2024-08-30T15:56:43.472+02:00</t>
  </si>
  <si>
    <t>2024-08-30T16:04:35.434+02:00</t>
  </si>
  <si>
    <t>2024-08-30T15:41:02.431+02:00</t>
  </si>
  <si>
    <t>2024-08-30T15:48:42.301+02:00</t>
  </si>
  <si>
    <t>2024-08-30T16:12:25.053+02:00</t>
  </si>
  <si>
    <t>2024-08-30T15:41:26.868+02:00</t>
  </si>
  <si>
    <t>2024-08-30T15:39:54.427+02:00</t>
  </si>
  <si>
    <t>2024-08-30T15:48:14.593+02:00</t>
  </si>
  <si>
    <t>2024-08-30T15:17:31.554+02:00</t>
  </si>
  <si>
    <t>2024-08-30T15:19:32.188+02:00</t>
  </si>
  <si>
    <t>2024-08-30T14:21:52.494+02:00</t>
  </si>
  <si>
    <t>2024-08-30T14:29:18.617+02:00</t>
  </si>
  <si>
    <t>2024-08-30T13:16:03.624+02:00</t>
  </si>
  <si>
    <t>2024-08-30T13:30:30.340+02:00</t>
  </si>
  <si>
    <t>2024-08-30T13:50:04.512+02:00</t>
  </si>
  <si>
    <t>2024-08-30T13:25:10.273+02:00</t>
  </si>
  <si>
    <t>2024-08-30T13:11:25.374+02:00</t>
  </si>
  <si>
    <t>2024-08-30T13:11:30.457+02:00</t>
  </si>
  <si>
    <t>2024-08-30T13:03:17.671+02:00</t>
  </si>
  <si>
    <t>2024-08-30T13:07:31.530+02:00</t>
  </si>
  <si>
    <t>2024-08-30T12:56:43.227+02:00</t>
  </si>
  <si>
    <t>2024-08-30T13:04:20.416+02:00</t>
  </si>
  <si>
    <t>2024-08-30T12:38:15.754+02:00</t>
  </si>
  <si>
    <t>2024-08-30T12:47:39.686+02:00</t>
  </si>
  <si>
    <t>2024-08-30T12:06:09.388+02:00</t>
  </si>
  <si>
    <t>2024-08-30T12:09:40.218+02:00</t>
  </si>
  <si>
    <t>2024-08-30T11:48:03.287+02:00</t>
  </si>
  <si>
    <t>2024-08-30T11:56:18.180+02:00</t>
  </si>
  <si>
    <t>2024-08-30T11:31:03.697+02:00</t>
  </si>
  <si>
    <t>2024-08-30T11:41:59.274+02:00</t>
  </si>
  <si>
    <t>2024-08-30T11:55:40.873+02:00</t>
  </si>
  <si>
    <t>2024-08-30T11:37:46.195+02:00</t>
  </si>
  <si>
    <t>2024-08-30T11:25:09.988+02:00</t>
  </si>
  <si>
    <t>2024-08-30T11:38:01.824+02:00</t>
  </si>
  <si>
    <t>2024-08-30T11:10:43.027+02:00</t>
  </si>
  <si>
    <t>2024-08-30T11:10:47.086+02:00</t>
  </si>
  <si>
    <t>2024-08-30T11:10:30.387+02:00</t>
  </si>
  <si>
    <t>2024-08-30T11:10:45.222+02:00</t>
  </si>
  <si>
    <t>2024-08-30T11:09:45.361+02:00</t>
  </si>
  <si>
    <t>2024-08-30T11:09:50.217+02:00</t>
  </si>
  <si>
    <t>2024-08-30T11:07:03.164+02:00</t>
  </si>
  <si>
    <t>2024-08-30T11:30:42.270+02:00</t>
  </si>
  <si>
    <t>2024-08-30T11:44:03.765+02:00</t>
  </si>
  <si>
    <t>2024-08-30T11:23:47.009+02:00</t>
  </si>
  <si>
    <t>Kamal</t>
  </si>
  <si>
    <t>2024-09-01T00:56:00.551+02:00</t>
  </si>
  <si>
    <t>2024-09-01T01:02:27.147+02:00</t>
  </si>
  <si>
    <t>Sonu</t>
  </si>
  <si>
    <t>2024-09-01T00:43:30.732+02:00</t>
  </si>
  <si>
    <t>2024-09-01T00:50:55.130+02:00</t>
  </si>
  <si>
    <t>2024-09-01T00:04:28.406+02:00</t>
  </si>
  <si>
    <t>2024-09-01T00:12:45.183+02:00</t>
  </si>
  <si>
    <t>2024-08-31T23:57:21.203+02:00</t>
  </si>
  <si>
    <t>2024-09-01T00:07:16.312+02:00</t>
  </si>
  <si>
    <t>2024-08-31T23:51:20.355+02:00</t>
  </si>
  <si>
    <t>2024-08-31T23:58:16.056+02:00</t>
  </si>
  <si>
    <t>2024-08-31T23:49:45.527+02:00</t>
  </si>
  <si>
    <t>2024-08-31T23:55:50.263+02:00</t>
  </si>
  <si>
    <t>2024-08-31T23:19:38.097+02:00</t>
  </si>
  <si>
    <t>2024-08-31T23:30:34.336+02:00</t>
  </si>
  <si>
    <t>Abdurakhmon</t>
  </si>
  <si>
    <t>2024-08-31T23:19:08.342+02:00</t>
  </si>
  <si>
    <t>2024-08-31T23:30:35.133+02:00</t>
  </si>
  <si>
    <t>2024-08-31T23:16:28.270+02:00</t>
  </si>
  <si>
    <t>2024-08-31T23:29:12.353+02:00</t>
  </si>
  <si>
    <t>2024-08-31T23:15:28.779+02:00</t>
  </si>
  <si>
    <t>2024-08-31T23:29:10.297+02:00</t>
  </si>
  <si>
    <t>2024-08-31T23:09:05.201+02:00</t>
  </si>
  <si>
    <t>2024-08-31T23:13:46.015+02:00</t>
  </si>
  <si>
    <t>2024-08-31T23:02:28.019+02:00</t>
  </si>
  <si>
    <t>2024-08-31T23:13:38.578+02:00</t>
  </si>
  <si>
    <t>2024-08-31T23:01:59.400+02:00</t>
  </si>
  <si>
    <t>2024-08-31T23:07:20.018+02:00</t>
  </si>
  <si>
    <t>2024-08-31T22:47:03.497+02:00</t>
  </si>
  <si>
    <t>2024-08-31T22:55:14.161+02:00</t>
  </si>
  <si>
    <t>2024-08-31T23:08:11.659+02:00</t>
  </si>
  <si>
    <t>2024-08-31T22:47:51.822+02:00</t>
  </si>
  <si>
    <t>2024-08-31T22:38:22.336+02:00</t>
  </si>
  <si>
    <t>2024-08-31T22:41:32.346+02:00</t>
  </si>
  <si>
    <t>2024-08-31T22:35:04.596+02:00</t>
  </si>
  <si>
    <t>2024-08-31T22:41:32.938+02:00</t>
  </si>
  <si>
    <t>2024-08-31T22:51:55.319+02:00</t>
  </si>
  <si>
    <t>2024-08-31T22:35:48.276+02:00</t>
  </si>
  <si>
    <t>2024-08-31T22:28:58.870+02:00</t>
  </si>
  <si>
    <t>2024-08-31T22:29:00.512+02:00</t>
  </si>
  <si>
    <t>2024-08-31T22:22:44.058+02:00</t>
  </si>
  <si>
    <t>2024-08-31T22:28:45.198+02:00</t>
  </si>
  <si>
    <t>2024-08-31T22:16:00.507+02:00</t>
  </si>
  <si>
    <t>2024-08-31T22:23:10.166+02:00</t>
  </si>
  <si>
    <t>Vasyl</t>
  </si>
  <si>
    <t>2024-08-31T22:12:26.108+02:00</t>
  </si>
  <si>
    <t>2024-08-31T22:21:55.233+02:00</t>
  </si>
  <si>
    <t>2024-08-31T22:12:03.470+02:00</t>
  </si>
  <si>
    <t>2024-08-31T22:24:00.220+02:00</t>
  </si>
  <si>
    <t>2024-08-31T22:31:03.239+02:00</t>
  </si>
  <si>
    <t>2024-08-31T22:13:09.602+02:00</t>
  </si>
  <si>
    <t>Azamot</t>
  </si>
  <si>
    <t>2024-08-31T20:53:51.928+02:00</t>
  </si>
  <si>
    <t>2024-08-31T21:01:17.140+02:00</t>
  </si>
  <si>
    <t>2024-08-31T20:52:02.774+02:00</t>
  </si>
  <si>
    <t>2024-08-31T21:00:11.143+02:00</t>
  </si>
  <si>
    <t>2024-08-31T21:10:31.431+02:00</t>
  </si>
  <si>
    <t>2024-08-31T20:52:12.288+02:00</t>
  </si>
  <si>
    <t>2024-08-31T20:43:13.604+02:00</t>
  </si>
  <si>
    <t>2024-08-31T20:49:15.213+02:00</t>
  </si>
  <si>
    <t>David</t>
  </si>
  <si>
    <t>2024-08-31T20:41:31.836+02:00</t>
  </si>
  <si>
    <t>2024-08-31T20:49:16.073+02:00</t>
  </si>
  <si>
    <t>Nadir</t>
  </si>
  <si>
    <t>2024-08-31T20:35:01.769+02:00</t>
  </si>
  <si>
    <t>2024-08-31T20:43:36.159+02:00</t>
  </si>
  <si>
    <t>Mohamed</t>
  </si>
  <si>
    <t>2024-08-31T20:22:01.718+02:00</t>
  </si>
  <si>
    <t>2024-08-31T20:30:26.114+02:00</t>
  </si>
  <si>
    <t>2024-08-31T20:11:34.979+02:00</t>
  </si>
  <si>
    <t>2024-08-31T20:18:35.226+02:00</t>
  </si>
  <si>
    <t>2024-08-31T19:53:54.613+02:00</t>
  </si>
  <si>
    <t>2024-08-31T20:02:06.474+02:00</t>
  </si>
  <si>
    <t>2024-08-31T19:30:18.392+02:00</t>
  </si>
  <si>
    <t>2024-08-31T19:41:21.137+02:00</t>
  </si>
  <si>
    <t>2024-08-31T19:06:42.390+02:00</t>
  </si>
  <si>
    <t>2024-08-31T19:14:00.931+02:00</t>
  </si>
  <si>
    <t>Peter</t>
  </si>
  <si>
    <t>2024-08-31T19:05:53.215+02:00</t>
  </si>
  <si>
    <t>2024-08-31T19:11:28.879+02:00</t>
  </si>
  <si>
    <t>2024-08-31T18:45:47.174+02:00</t>
  </si>
  <si>
    <t>2024-08-31T18:58:11.927+02:00</t>
  </si>
  <si>
    <t>2024-08-31T18:45:03.195+02:00</t>
  </si>
  <si>
    <t>2024-08-31T18:52:06.351+02:00</t>
  </si>
  <si>
    <t>2024-08-31T18:30:03.289+02:00</t>
  </si>
  <si>
    <t>2024-08-31T18:33:06.760+02:00</t>
  </si>
  <si>
    <t>2024-08-31T18:26:29.988+02:00</t>
  </si>
  <si>
    <t>2024-08-31T18:35:21.178+02:00</t>
  </si>
  <si>
    <t>2024-08-31T17:47:13.943+02:00</t>
  </si>
  <si>
    <t>2024-08-31T17:55:44.016+02:00</t>
  </si>
  <si>
    <t>2024-08-31T17:39:25.641+02:00</t>
  </si>
  <si>
    <t>2024-08-31T17:51:36.001+02:00</t>
  </si>
  <si>
    <t>2024-08-31T17:37:40.196+02:00</t>
  </si>
  <si>
    <t>2024-08-31T17:47:28.071+02:00</t>
  </si>
  <si>
    <t>2024-08-31T16:58:03.392+02:00</t>
  </si>
  <si>
    <t>2024-08-31T16:59:09.778+02:00</t>
  </si>
  <si>
    <t>Ahmed</t>
  </si>
  <si>
    <t>2024-08-31T16:46:04.569+02:00</t>
  </si>
  <si>
    <t>2024-08-31T16:50:20.860+02:00</t>
  </si>
  <si>
    <t>2024-08-31T16:38:02.555+02:00</t>
  </si>
  <si>
    <t>2024-08-31T16:44:34.937+02:00</t>
  </si>
  <si>
    <t>2024-08-31T16:25:43.089+02:00</t>
  </si>
  <si>
    <t>2024-08-31T16:32:59.252+02:00</t>
  </si>
  <si>
    <t>2024-08-31T15:53:22.424+02:00</t>
  </si>
  <si>
    <t>2024-08-31T15:58:48.022+02:00</t>
  </si>
  <si>
    <t>2024-08-31T15:11:56.850+02:00</t>
  </si>
  <si>
    <t>2024-08-31T15:12:03.315+02:00</t>
  </si>
  <si>
    <t>2024-08-31T14:06:02.781+02:00</t>
  </si>
  <si>
    <t>2024-08-31T14:06:50.806+02:00</t>
  </si>
  <si>
    <t>2024-08-31T13:10:19.666+02:00</t>
  </si>
  <si>
    <t>2024-08-31T13:14:59.128+02:00</t>
  </si>
  <si>
    <t>2024-08-31T13:06:21.521+02:00</t>
  </si>
  <si>
    <t>2024-08-31T12:57:02.506+02:00</t>
  </si>
  <si>
    <t>2024-08-31T13:01:12.826+02:00</t>
  </si>
  <si>
    <t>2024-08-31T13:28:53.552+02:00</t>
  </si>
  <si>
    <t>2024-08-31T12:57:55.046+02:00</t>
  </si>
  <si>
    <t>2024-08-31T12:38:03.109+02:00</t>
  </si>
  <si>
    <t>2024-08-31T12:43:47.749+02:00</t>
  </si>
  <si>
    <t>2024-08-31T13:04:25.110+02:00</t>
  </si>
  <si>
    <t>2024-08-31T12:38:38.514+02:00</t>
  </si>
  <si>
    <t>2024-08-31T12:25:02.592+02:00</t>
  </si>
  <si>
    <t>2024-08-31T12:27:36.655+02:00</t>
  </si>
  <si>
    <t>2024-08-31T12:22:34.325+02:00</t>
  </si>
  <si>
    <t>2024-08-31T12:30:01.860+02:00</t>
  </si>
  <si>
    <t>2024-08-31T12:22:05.230+02:00</t>
  </si>
  <si>
    <t>2024-08-31T12:27:34.011+02:00</t>
  </si>
  <si>
    <t>2024-08-31T11:24:06.050+02:00</t>
  </si>
  <si>
    <t>2024-08-31T11:24:07.477+02:00</t>
  </si>
  <si>
    <t>Prosek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</si>
  <si>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</si>
  <si>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</si>
  <si>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</si>
  <si>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</si>
  <si>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</si>
  <si>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</si>
  <si>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</si>
  <si>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</si>
  <si>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</si>
  <si>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</si>
  <si>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</si>
  <si>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</si>
  <si>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</si>
  <si>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</si>
  <si>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</si>
  <si>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</si>
  <si>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</si>
  <si>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</si>
  <si>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</si>
  <si>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</si>
  <si>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</si>
  <si>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Výdaje</t>
  </si>
  <si>
    <t>Benzín</t>
  </si>
  <si>
    <t>Auta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</si>
  <si>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</si>
  <si>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</si>
  <si>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</si>
  <si>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</si>
  <si>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</si>
  <si>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</si>
  <si>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</si>
  <si>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</si>
  <si>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</si>
  <si>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</si>
  <si>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</si>
  <si>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</si>
  <si>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</si>
  <si>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</si>
  <si>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</si>
  <si>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</si>
  <si>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</si>
  <si>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</si>
  <si>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</si>
  <si>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</si>
  <si>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drive</t>
  </si>
  <si>
    <t>Vyber datum    &lt;----------&gt;</t>
  </si>
  <si>
    <t>Celkem hodin Instor</t>
  </si>
  <si>
    <t>Celkem hodin Kurýr</t>
  </si>
  <si>
    <t>Počet dní</t>
  </si>
  <si>
    <t>Šebesta Tomáš</t>
  </si>
  <si>
    <t>97:30</t>
  </si>
  <si>
    <t>29:00</t>
  </si>
  <si>
    <t>Dvořák Radim</t>
  </si>
  <si>
    <t>56:00</t>
  </si>
  <si>
    <t>Nováková Adéla</t>
  </si>
  <si>
    <t>123:00</t>
  </si>
  <si>
    <t>23:00</t>
  </si>
  <si>
    <t>Vychivskyi Volodymyr</t>
  </si>
  <si>
    <t>121:00</t>
  </si>
  <si>
    <t>Makula Radek</t>
  </si>
  <si>
    <t>54:00</t>
  </si>
  <si>
    <t>13:00</t>
  </si>
  <si>
    <t>Kináč Jozef</t>
  </si>
  <si>
    <t>26:00</t>
  </si>
  <si>
    <t>Kopic Jakub</t>
  </si>
  <si>
    <t>12:00</t>
  </si>
  <si>
    <t>Novák Dalibor</t>
  </si>
  <si>
    <t>14:00</t>
  </si>
  <si>
    <t>Bušek Pavel</t>
  </si>
  <si>
    <t>4:00</t>
  </si>
  <si>
    <t>7:00</t>
  </si>
  <si>
    <t>Bednařík Peter</t>
  </si>
  <si>
    <t>43:45</t>
  </si>
  <si>
    <t>11 min 07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</si>
  <si>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</si>
  <si>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</si>
  <si>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</si>
  <si>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</si>
  <si>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Pondělí</t>
  </si>
  <si>
    <t>Úterý</t>
  </si>
  <si>
    <t>Středa</t>
  </si>
  <si>
    <t>Čtvrtek</t>
  </si>
  <si>
    <t>Pátek</t>
  </si>
  <si>
    <t>Sobota</t>
  </si>
  <si>
    <t>Neděle</t>
  </si>
  <si>
    <t>Míla Pekárková</t>
  </si>
  <si>
    <t>10:00 - 1:00 (Instor)</t>
  </si>
  <si>
    <t>10:00 - 3:00 (Instor)</t>
  </si>
  <si>
    <t>10:00 - 0:00 (Instor)</t>
  </si>
  <si>
    <t>Volodymyr Vychivskyi</t>
  </si>
  <si>
    <t>11:00 - 1:00 (Kurýr)</t>
  </si>
  <si>
    <t>11:00 - 17:00 (Kurýr)</t>
  </si>
  <si>
    <t>17:00 - 3:00 (Kurýr)</t>
  </si>
  <si>
    <t>Adéla Nováková</t>
  </si>
  <si>
    <t>Martin Hřebík</t>
  </si>
  <si>
    <t>Pavel Hochman</t>
  </si>
  <si>
    <t>17:00 - 1:00 (Kurýr)</t>
  </si>
  <si>
    <t>Michal Nedbal</t>
  </si>
  <si>
    <t>17:00 - 22:00 (Instor)</t>
  </si>
  <si>
    <t>Daniel Suchánek</t>
  </si>
  <si>
    <t>17:00 - 1:00 (Instor)</t>
  </si>
  <si>
    <t>Lukáš Petržilka</t>
  </si>
  <si>
    <t>11:00 - 3:00 (Kurýr)</t>
  </si>
  <si>
    <t>11:00 - 23:00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</si>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</sst>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-m-yyyy"/>
    <numFmt numFmtId="169" formatCode="H:mm:ss"/>
  </numFmts>
  <fonts count="24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Google Sans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"/>
    </font>
    <font>
      <sz val="12.0"/>
      <color rgb="FF000000"/>
      <name val="Arial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4.0"/>
      <color theme="1"/>
      <name val="Google Sans"/>
    </font>
    <font>
      <b/>
      <sz val="25.0"/>
      <color rgb="FF000000"/>
      <name val="Google Sans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Font="1" applyNumberFormat="1"/>
    <xf borderId="0" fillId="0" fontId="1" numFmtId="0" xfId="0" applyFont="1"/>
    <xf borderId="1" fillId="2" fontId="1" numFmtId="2" xfId="0" applyAlignment="1" applyBorder="1" applyFill="1" applyFont="1" applyNumberFormat="1">
      <alignment horizontal="center" vertical="center"/>
    </xf>
    <xf borderId="2" fillId="3" fontId="2" numFmtId="2" xfId="0" applyAlignment="1" applyBorder="1" applyFill="1" applyFont="1" applyNumberForma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4" fillId="0" fontId="5" numFmtId="0" xfId="0" applyBorder="1" applyFont="1"/>
    <xf borderId="5" fillId="4" fontId="6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7" fillId="4" fontId="7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5" fontId="8" numFmtId="10" xfId="0" applyAlignment="1" applyFill="1" applyFont="1" applyNumberFormat="1">
      <alignment horizontal="center" vertical="center"/>
    </xf>
    <xf borderId="1" fillId="0" fontId="5" numFmtId="0" xfId="0" applyBorder="1" applyFont="1"/>
    <xf borderId="0" fillId="6" fontId="6" numFmtId="166" xfId="0" applyAlignment="1" applyFill="1" applyFont="1" applyNumberFormat="1">
      <alignment horizontal="center" vertical="center"/>
    </xf>
    <xf borderId="12" fillId="7" fontId="9" numFmtId="0" xfId="0" applyAlignment="1" applyBorder="1" applyFill="1" applyFont="1">
      <alignment horizontal="center" vertical="center"/>
    </xf>
    <xf borderId="13" fillId="6" fontId="10" numFmtId="166" xfId="0" applyAlignment="1" applyBorder="1" applyFont="1" applyNumberFormat="1">
      <alignment horizontal="center"/>
    </xf>
    <xf borderId="3" fillId="3" fontId="11" numFmtId="167" xfId="0" applyAlignment="1" applyBorder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3" fillId="8" fontId="6" numFmtId="0" xfId="0" applyAlignment="1" applyBorder="1" applyFill="1" applyFont="1">
      <alignment horizontal="left" vertical="center"/>
    </xf>
    <xf borderId="16" fillId="7" fontId="9" numFmtId="0" xfId="0" applyAlignment="1" applyBorder="1" applyFont="1">
      <alignment horizontal="center" vertical="center"/>
    </xf>
    <xf borderId="3" fillId="9" fontId="1" numFmtId="0" xfId="0" applyAlignment="1" applyBorder="1" applyFill="1" applyFont="1">
      <alignment horizontal="center" vertical="center"/>
    </xf>
    <xf borderId="0" fillId="9" fontId="1" numFmtId="0" xfId="0" applyAlignment="1" applyFont="1">
      <alignment horizontal="center" vertical="center"/>
    </xf>
    <xf borderId="3" fillId="10" fontId="1" numFmtId="0" xfId="0" applyAlignment="1" applyBorder="1" applyFill="1" applyFont="1">
      <alignment vertical="bottom"/>
    </xf>
    <xf borderId="17" fillId="7" fontId="9" numFmtId="0" xfId="0" applyAlignment="1" applyBorder="1" applyFont="1">
      <alignment horizontal="center" vertical="center"/>
    </xf>
    <xf borderId="1" fillId="6" fontId="10" numFmtId="166" xfId="0" applyAlignment="1" applyBorder="1" applyFont="1" applyNumberFormat="1">
      <alignment horizontal="center"/>
    </xf>
    <xf borderId="18" fillId="0" fontId="5" numFmtId="0" xfId="0" applyBorder="1" applyFont="1"/>
    <xf borderId="19" fillId="4" fontId="7" numFmtId="0" xfId="0" applyAlignment="1" applyBorder="1" applyFont="1">
      <alignment horizontal="center" vertical="center"/>
    </xf>
    <xf borderId="13" fillId="9" fontId="10" numFmtId="166" xfId="0" applyAlignment="1" applyBorder="1" applyFont="1" applyNumberFormat="1">
      <alignment horizontal="center" vertical="center"/>
    </xf>
    <xf borderId="18" fillId="4" fontId="12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0" fillId="4" fontId="12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vertical="center"/>
    </xf>
    <xf borderId="20" fillId="0" fontId="13" numFmtId="0" xfId="0" applyAlignment="1" applyBorder="1" applyFont="1">
      <alignment horizontal="center" vertical="center"/>
    </xf>
    <xf borderId="21" fillId="0" fontId="13" numFmtId="20" xfId="0" applyAlignment="1" applyBorder="1" applyFont="1" applyNumberFormat="1">
      <alignment horizontal="center" vertical="center"/>
    </xf>
    <xf borderId="22" fillId="0" fontId="13" numFmtId="0" xfId="0" applyAlignment="1" applyBorder="1" applyFont="1">
      <alignment horizontal="center" vertical="center"/>
    </xf>
    <xf borderId="0" fillId="9" fontId="14" numFmtId="0" xfId="0" applyAlignment="1" applyFont="1">
      <alignment horizontal="center" vertical="center"/>
    </xf>
    <xf borderId="3" fillId="11" fontId="15" numFmtId="166" xfId="0" applyAlignment="1" applyBorder="1" applyFill="1" applyFont="1" applyNumberFormat="1">
      <alignment horizontal="center" vertical="center"/>
    </xf>
    <xf borderId="23" fillId="7" fontId="9" numFmtId="0" xfId="0" applyAlignment="1" applyBorder="1" applyFont="1">
      <alignment horizontal="center" vertical="center"/>
    </xf>
    <xf borderId="11" fillId="9" fontId="10" numFmtId="166" xfId="0" applyAlignment="1" applyBorder="1" applyFont="1" applyNumberFormat="1">
      <alignment horizontal="center" vertical="center"/>
    </xf>
    <xf borderId="0" fillId="5" fontId="16" numFmtId="2" xfId="0" applyAlignment="1" applyFont="1" applyNumberFormat="1">
      <alignment horizontal="center" vertical="bottom"/>
    </xf>
    <xf borderId="16" fillId="9" fontId="1" numFmtId="0" xfId="0" applyAlignment="1" applyBorder="1" applyFont="1">
      <alignment horizontal="center" vertical="center"/>
    </xf>
    <xf borderId="12" fillId="9" fontId="1" numFmtId="49" xfId="0" applyAlignment="1" applyBorder="1" applyFont="1" applyNumberFormat="1">
      <alignment horizontal="center" vertical="center"/>
    </xf>
    <xf borderId="24" fillId="9" fontId="1" numFmtId="49" xfId="0" applyAlignment="1" applyBorder="1" applyFont="1" applyNumberFormat="1">
      <alignment horizontal="center" vertical="center"/>
    </xf>
    <xf borderId="25" fillId="12" fontId="17" numFmtId="0" xfId="0" applyAlignment="1" applyBorder="1" applyFill="1" applyFont="1">
      <alignment horizontal="center" vertical="center"/>
    </xf>
    <xf borderId="24" fillId="9" fontId="1" numFmtId="0" xfId="0" applyAlignment="1" applyBorder="1" applyFont="1">
      <alignment horizontal="center" vertical="center"/>
    </xf>
    <xf borderId="0" fillId="8" fontId="1" numFmtId="0" xfId="0" applyAlignment="1" applyFont="1">
      <alignment horizontal="center" vertical="center"/>
    </xf>
    <xf borderId="12" fillId="7" fontId="13" numFmtId="0" xfId="0" applyAlignment="1" applyBorder="1" applyFont="1">
      <alignment horizontal="center" vertical="center"/>
    </xf>
    <xf borderId="24" fillId="9" fontId="1" numFmtId="20" xfId="0" applyAlignment="1" applyBorder="1" applyFont="1" applyNumberFormat="1">
      <alignment horizontal="center" vertical="center"/>
    </xf>
    <xf borderId="23" fillId="7" fontId="13" numFmtId="0" xfId="0" applyAlignment="1" applyBorder="1" applyFont="1">
      <alignment horizontal="center" vertical="center"/>
    </xf>
    <xf borderId="11" fillId="12" fontId="10" numFmtId="166" xfId="0" applyAlignment="1" applyBorder="1" applyFont="1" applyNumberFormat="1">
      <alignment horizontal="center" vertical="center"/>
    </xf>
    <xf borderId="0" fillId="10" fontId="18" numFmtId="0" xfId="0" applyAlignment="1" applyFont="1">
      <alignment horizontal="center" shrinkToFit="0" vertical="center" wrapText="1"/>
    </xf>
    <xf borderId="17" fillId="0" fontId="5" numFmtId="0" xfId="0" applyBorder="1" applyFont="1"/>
    <xf borderId="12" fillId="9" fontId="1" numFmtId="20" xfId="0" applyAlignment="1" applyBorder="1" applyFont="1" applyNumberFormat="1">
      <alignment horizontal="center" vertical="center"/>
    </xf>
    <xf borderId="26" fillId="9" fontId="1" numFmtId="0" xfId="0" applyAlignment="1" applyBorder="1" applyFont="1">
      <alignment horizontal="center" vertical="center"/>
    </xf>
    <xf borderId="23" fillId="9" fontId="1" numFmtId="20" xfId="0" applyAlignment="1" applyBorder="1" applyFont="1" applyNumberFormat="1">
      <alignment horizontal="center" vertical="center"/>
    </xf>
    <xf borderId="15" fillId="9" fontId="1" numFmtId="20" xfId="0" applyAlignment="1" applyBorder="1" applyFont="1" applyNumberFormat="1">
      <alignment horizontal="center" vertical="center"/>
    </xf>
    <xf borderId="27" fillId="12" fontId="17" numFmtId="0" xfId="0" applyAlignment="1" applyBorder="1" applyFont="1">
      <alignment horizontal="center" vertical="center"/>
    </xf>
    <xf borderId="1" fillId="5" fontId="1" numFmtId="2" xfId="0" applyAlignment="1" applyBorder="1" applyFont="1" applyNumberFormat="1">
      <alignment vertical="bottom"/>
    </xf>
    <xf borderId="10" fillId="10" fontId="1" numFmtId="0" xfId="0" applyAlignment="1" applyBorder="1" applyFont="1">
      <alignment horizontal="center" vertical="center"/>
    </xf>
    <xf borderId="28" fillId="10" fontId="18" numFmtId="0" xfId="0" applyAlignment="1" applyBorder="1" applyFont="1">
      <alignment horizontal="center" shrinkToFit="0" wrapText="1"/>
    </xf>
    <xf borderId="28" fillId="10" fontId="13" numFmtId="0" xfId="0" applyAlignment="1" applyBorder="1" applyFont="1">
      <alignment horizontal="center" shrinkToFit="0" wrapText="1"/>
    </xf>
    <xf borderId="28" fillId="13" fontId="18" numFmtId="0" xfId="0" applyAlignment="1" applyBorder="1" applyFill="1" applyFont="1">
      <alignment horizontal="center" shrinkToFit="0" wrapText="1"/>
    </xf>
    <xf borderId="28" fillId="13" fontId="18" numFmtId="166" xfId="0" applyAlignment="1" applyBorder="1" applyFont="1" applyNumberFormat="1">
      <alignment horizontal="center" shrinkToFit="0" wrapText="1"/>
    </xf>
    <xf borderId="28" fillId="13" fontId="1" numFmtId="0" xfId="0" applyAlignment="1" applyBorder="1" applyFont="1">
      <alignment horizontal="center"/>
    </xf>
    <xf borderId="21" fillId="0" fontId="13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vertical="center"/>
    </xf>
    <xf borderId="30" fillId="10" fontId="13" numFmtId="0" xfId="0" applyAlignment="1" applyBorder="1" applyFont="1">
      <alignment horizontal="center" shrinkToFit="0" wrapText="1"/>
    </xf>
    <xf borderId="30" fillId="10" fontId="18" numFmtId="0" xfId="0" applyAlignment="1" applyBorder="1" applyFont="1">
      <alignment horizontal="center" shrinkToFit="0" wrapText="1"/>
    </xf>
    <xf borderId="28" fillId="9" fontId="1" numFmtId="49" xfId="0" applyAlignment="1" applyBorder="1" applyFont="1" applyNumberFormat="1">
      <alignment horizontal="center" vertical="center"/>
    </xf>
    <xf borderId="28" fillId="12" fontId="17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vertical="center"/>
    </xf>
    <xf borderId="12" fillId="14" fontId="19" numFmtId="0" xfId="0" applyAlignment="1" applyBorder="1" applyFill="1" applyFont="1">
      <alignment horizontal="center" vertical="center"/>
    </xf>
    <xf borderId="24" fillId="12" fontId="13" numFmtId="0" xfId="0" applyAlignment="1" applyBorder="1" applyFont="1">
      <alignment horizontal="center" vertical="center"/>
    </xf>
    <xf borderId="31" fillId="0" fontId="5" numFmtId="0" xfId="0" applyBorder="1" applyFont="1"/>
    <xf borderId="28" fillId="9" fontId="1" numFmtId="20" xfId="0" applyAlignment="1" applyBorder="1" applyFont="1" applyNumberFormat="1">
      <alignment horizontal="center" vertical="center"/>
    </xf>
    <xf borderId="13" fillId="12" fontId="13" numFmtId="0" xfId="0" applyAlignment="1" applyBorder="1" applyFont="1">
      <alignment horizontal="center" vertical="center"/>
    </xf>
    <xf borderId="28" fillId="15" fontId="18" numFmtId="0" xfId="0" applyAlignment="1" applyBorder="1" applyFill="1" applyFont="1">
      <alignment horizontal="center" shrinkToFit="0" wrapText="1"/>
    </xf>
    <xf borderId="28" fillId="16" fontId="1" numFmtId="0" xfId="0" applyAlignment="1" applyBorder="1" applyFill="1" applyFont="1">
      <alignment horizontal="center"/>
    </xf>
    <xf borderId="32" fillId="10" fontId="13" numFmtId="0" xfId="0" applyAlignment="1" applyBorder="1" applyFont="1">
      <alignment horizontal="center" shrinkToFit="0" wrapText="1"/>
    </xf>
    <xf borderId="33" fillId="0" fontId="5" numFmtId="0" xfId="0" applyBorder="1" applyFont="1"/>
    <xf borderId="34" fillId="0" fontId="5" numFmtId="0" xfId="0" applyBorder="1" applyFont="1"/>
    <xf borderId="12" fillId="0" fontId="5" numFmtId="0" xfId="0" applyBorder="1" applyFont="1"/>
    <xf borderId="35" fillId="16" fontId="1" numFmtId="0" xfId="0" applyAlignment="1" applyBorder="1" applyFont="1">
      <alignment horizontal="center"/>
    </xf>
    <xf borderId="36" fillId="0" fontId="5" numFmtId="0" xfId="0" applyBorder="1" applyFont="1"/>
    <xf borderId="28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0" fillId="2" fontId="20" numFmtId="2" xfId="0" applyAlignment="1" applyFont="1" applyNumberFormat="1">
      <alignment horizontal="center" vertical="center"/>
    </xf>
    <xf borderId="26" fillId="18" fontId="13" numFmtId="0" xfId="0" applyAlignment="1" applyBorder="1" applyFill="1" applyFont="1">
      <alignment horizontal="center" vertical="center"/>
    </xf>
    <xf borderId="10" fillId="18" fontId="13" numFmtId="0" xfId="0" applyAlignment="1" applyBorder="1" applyFont="1">
      <alignment horizontal="center" vertical="center"/>
    </xf>
    <xf borderId="23" fillId="0" fontId="5" numFmtId="0" xfId="0" applyBorder="1" applyFont="1"/>
    <xf borderId="23" fillId="6" fontId="13" numFmtId="0" xfId="0" applyAlignment="1" applyBorder="1" applyFont="1">
      <alignment horizontal="center" vertical="center"/>
    </xf>
    <xf borderId="23" fillId="18" fontId="13" numFmtId="0" xfId="0" applyAlignment="1" applyBorder="1" applyFont="1">
      <alignment horizontal="center" vertical="center"/>
    </xf>
    <xf borderId="11" fillId="18" fontId="13" numFmtId="0" xfId="0" applyAlignment="1" applyBorder="1" applyFont="1">
      <alignment horizontal="center" vertical="center"/>
    </xf>
    <xf borderId="24" fillId="17" fontId="1" numFmtId="0" xfId="0" applyBorder="1" applyFont="1"/>
    <xf borderId="0" fillId="12" fontId="2" numFmtId="2" xfId="0" applyAlignment="1" applyFont="1" applyNumberFormat="1">
      <alignment horizontal="center" vertical="center"/>
    </xf>
    <xf borderId="2" fillId="12" fontId="2" numFmtId="2" xfId="0" applyAlignment="1" applyBorder="1" applyFont="1" applyNumberFormat="1">
      <alignment horizontal="center" vertical="center"/>
    </xf>
    <xf borderId="3" fillId="5" fontId="21" numFmtId="168" xfId="0" applyAlignment="1" applyBorder="1" applyFont="1" applyNumberFormat="1">
      <alignment horizontal="center" shrinkToFit="0" vertical="center" wrapText="0"/>
    </xf>
    <xf borderId="2" fillId="19" fontId="7" numFmtId="0" xfId="0" applyAlignment="1" applyBorder="1" applyFill="1" applyFont="1">
      <alignment horizontal="center" shrinkToFit="0" vertical="center" wrapText="1"/>
    </xf>
    <xf borderId="4" fillId="5" fontId="21" numFmtId="168" xfId="0" applyAlignment="1" applyBorder="1" applyFont="1" applyNumberFormat="1">
      <alignment horizontal="center" shrinkToFit="0" vertical="center" wrapText="0"/>
    </xf>
    <xf borderId="5" fillId="5" fontId="6" numFmtId="0" xfId="0" applyAlignment="1" applyBorder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5" fontId="22" numFmtId="10" xfId="0" applyAlignment="1" applyFont="1" applyNumberFormat="1">
      <alignment horizontal="center" vertical="center"/>
    </xf>
    <xf borderId="0" fillId="5" fontId="6" numFmtId="166" xfId="0" applyAlignment="1" applyFont="1" applyNumberFormat="1">
      <alignment horizontal="center" vertical="center"/>
    </xf>
    <xf borderId="20" fillId="5" fontId="9" numFmtId="0" xfId="0" applyAlignment="1" applyBorder="1" applyFont="1">
      <alignment horizontal="center" vertical="center"/>
    </xf>
    <xf borderId="22" fillId="5" fontId="10" numFmtId="166" xfId="0" applyAlignment="1" applyBorder="1" applyFont="1" applyNumberFormat="1">
      <alignment horizontal="center" vertical="center"/>
    </xf>
    <xf borderId="0" fillId="5" fontId="10" numFmtId="166" xfId="0" applyAlignment="1" applyFont="1" applyNumberFormat="1">
      <alignment horizontal="center" vertical="center"/>
    </xf>
    <xf borderId="0" fillId="5" fontId="11" numFmtId="167" xfId="0" applyAlignment="1" applyFont="1" applyNumberFormat="1">
      <alignment horizontal="center" vertical="center"/>
    </xf>
    <xf borderId="3" fillId="5" fontId="11" numFmtId="167" xfId="0" applyAlignment="1" applyBorder="1" applyFont="1" applyNumberFormat="1">
      <alignment horizontal="center" vertical="center"/>
    </xf>
    <xf borderId="16" fillId="5" fontId="9" numFmtId="0" xfId="0" applyAlignment="1" applyBorder="1" applyFont="1">
      <alignment horizontal="center" vertical="center"/>
    </xf>
    <xf borderId="13" fillId="5" fontId="10" numFmtId="166" xfId="0" applyAlignment="1" applyBorder="1" applyFont="1" applyNumberFormat="1">
      <alignment horizontal="center" vertical="center"/>
    </xf>
    <xf borderId="0" fillId="5" fontId="6" numFmtId="0" xfId="0" applyAlignment="1" applyFont="1">
      <alignment horizontal="center" vertical="center"/>
    </xf>
    <xf borderId="3" fillId="5" fontId="6" numFmtId="0" xfId="0" applyAlignment="1" applyBorder="1" applyFont="1">
      <alignment horizontal="center" vertical="center"/>
    </xf>
    <xf borderId="14" fillId="5" fontId="6" numFmtId="0" xfId="0" applyAlignment="1" applyBorder="1" applyFont="1">
      <alignment horizontal="center" vertical="center"/>
    </xf>
    <xf borderId="10" fillId="5" fontId="7" numFmtId="0" xfId="0" applyAlignment="1" applyBorder="1" applyFont="1">
      <alignment horizontal="center" vertical="center"/>
    </xf>
    <xf borderId="19" fillId="5" fontId="7" numFmtId="0" xfId="0" applyAlignment="1" applyBorder="1" applyFont="1">
      <alignment horizontal="center" vertical="center"/>
    </xf>
    <xf borderId="0" fillId="14" fontId="1" numFmtId="0" xfId="0" applyAlignment="1" applyFont="1">
      <alignment horizontal="center" vertical="center"/>
    </xf>
    <xf borderId="37" fillId="5" fontId="9" numFmtId="0" xfId="0" applyAlignment="1" applyBorder="1" applyFont="1">
      <alignment horizontal="center" vertical="center"/>
    </xf>
    <xf borderId="27" fillId="5" fontId="10" numFmtId="166" xfId="0" applyAlignment="1" applyBorder="1" applyFont="1" applyNumberFormat="1">
      <alignment horizontal="center" vertical="center"/>
    </xf>
    <xf borderId="0" fillId="5" fontId="12" numFmtId="0" xfId="0" applyAlignment="1" applyFont="1">
      <alignment horizontal="center" vertical="center"/>
    </xf>
    <xf borderId="19" fillId="5" fontId="12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0" fillId="5" fontId="13" numFmtId="0" xfId="0" applyAlignment="1" applyFont="1">
      <alignment horizontal="center" vertical="center"/>
    </xf>
    <xf borderId="16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2" fillId="14" fontId="13" numFmtId="20" xfId="0" applyAlignment="1" applyBorder="1" applyFont="1" applyNumberFormat="1">
      <alignment horizontal="center" vertical="center"/>
    </xf>
    <xf borderId="38" fillId="5" fontId="13" numFmtId="0" xfId="0" applyAlignment="1" applyBorder="1" applyFont="1">
      <alignment horizontal="center" vertical="center"/>
    </xf>
    <xf borderId="3" fillId="5" fontId="15" numFmtId="166" xfId="0" applyAlignment="1" applyBorder="1" applyFont="1" applyNumberFormat="1">
      <alignment horizontal="center" vertical="center"/>
    </xf>
    <xf borderId="12" fillId="5" fontId="9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6" fillId="5" fontId="1" numFmtId="49" xfId="0" applyAlignment="1" applyBorder="1" applyFont="1" applyNumberFormat="1">
      <alignment horizontal="center" vertical="center"/>
    </xf>
    <xf borderId="12" fillId="5" fontId="1" numFmtId="49" xfId="0" applyAlignment="1" applyBorder="1" applyFont="1" applyNumberFormat="1">
      <alignment horizontal="center" vertical="center"/>
    </xf>
    <xf quotePrefix="1" borderId="24" fillId="14" fontId="1" numFmtId="49" xfId="0" applyAlignment="1" applyBorder="1" applyFont="1" applyNumberFormat="1">
      <alignment horizontal="center" vertical="center"/>
    </xf>
    <xf borderId="38" fillId="5" fontId="13" numFmtId="49" xfId="0" applyAlignment="1" applyBorder="1" applyFont="1" applyNumberFormat="1">
      <alignment horizontal="center" vertical="center"/>
    </xf>
    <xf borderId="23" fillId="5" fontId="9" numFmtId="0" xfId="0" applyAlignment="1" applyBorder="1" applyFont="1">
      <alignment horizontal="center" vertical="center"/>
    </xf>
    <xf borderId="11" fillId="5" fontId="10" numFmtId="166" xfId="0" applyAlignment="1" applyBorder="1" applyFont="1" applyNumberFormat="1">
      <alignment horizontal="center" vertical="center"/>
    </xf>
    <xf borderId="15" fillId="5" fontId="7" numFmtId="0" xfId="0" applyAlignment="1" applyBorder="1" applyFont="1">
      <alignment horizontal="center" vertical="center"/>
    </xf>
    <xf borderId="24" fillId="14" fontId="1" numFmtId="49" xfId="0" applyAlignment="1" applyBorder="1" applyFont="1" applyNumberFormat="1">
      <alignment horizontal="center" vertical="center"/>
    </xf>
    <xf borderId="23" fillId="5" fontId="13" numFmtId="0" xfId="0" applyAlignment="1" applyBorder="1" applyFont="1">
      <alignment horizontal="center" vertical="center"/>
    </xf>
    <xf borderId="1" fillId="5" fontId="10" numFmtId="166" xfId="0" applyAlignment="1" applyBorder="1" applyFont="1" applyNumberFormat="1">
      <alignment horizontal="center" vertical="center"/>
    </xf>
    <xf borderId="19" fillId="5" fontId="1" numFmtId="0" xfId="0" applyAlignment="1" applyBorder="1" applyFont="1">
      <alignment horizontal="center" vertical="center"/>
    </xf>
    <xf borderId="0" fillId="5" fontId="18" numFmtId="0" xfId="0" applyAlignment="1" applyFont="1">
      <alignment horizontal="center" shrinkToFit="0" vertical="center" wrapText="1"/>
    </xf>
    <xf borderId="39" fillId="10" fontId="18" numFmtId="0" xfId="0" applyAlignment="1" applyBorder="1" applyFont="1">
      <alignment horizontal="center" shrinkToFit="0" vertical="center" wrapText="1"/>
    </xf>
    <xf borderId="40" fillId="10" fontId="18" numFmtId="0" xfId="0" applyAlignment="1" applyBorder="1" applyFont="1">
      <alignment horizontal="center" shrinkToFit="0" vertical="center" wrapText="1"/>
    </xf>
    <xf borderId="40" fillId="10" fontId="13" numFmtId="0" xfId="0" applyAlignment="1" applyBorder="1" applyFont="1">
      <alignment horizontal="center" shrinkToFit="0" vertical="center" wrapText="1"/>
    </xf>
    <xf borderId="41" fillId="1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5" numFmtId="0" xfId="0" applyBorder="1" applyFont="1"/>
    <xf borderId="42" fillId="0" fontId="5" numFmtId="0" xfId="0" applyBorder="1" applyFont="1"/>
    <xf borderId="43" fillId="13" fontId="18" numFmtId="0" xfId="0" applyAlignment="1" applyBorder="1" applyFont="1">
      <alignment horizontal="center" shrinkToFit="0" vertical="center" wrapText="1"/>
    </xf>
    <xf borderId="28" fillId="13" fontId="18" numFmtId="166" xfId="0" applyAlignment="1" applyBorder="1" applyFont="1" applyNumberFormat="1">
      <alignment horizontal="center" shrinkToFit="0" vertical="center" wrapText="1"/>
    </xf>
    <xf borderId="28" fillId="13" fontId="1" numFmtId="0" xfId="0" applyAlignment="1" applyBorder="1" applyFont="1">
      <alignment horizontal="center" vertical="center"/>
    </xf>
    <xf borderId="25" fillId="13" fontId="18" numFmtId="0" xfId="0" applyAlignment="1" applyBorder="1" applyFont="1">
      <alignment horizontal="center" shrinkToFit="0" vertical="center" wrapText="1"/>
    </xf>
    <xf borderId="44" fillId="10" fontId="13" numFmtId="0" xfId="0" applyAlignment="1" applyBorder="1" applyFont="1">
      <alignment horizontal="center" shrinkToFit="0" vertical="center" wrapText="1"/>
    </xf>
    <xf borderId="30" fillId="10" fontId="18" numFmtId="0" xfId="0" applyAlignment="1" applyBorder="1" applyFont="1">
      <alignment horizontal="center" shrinkToFit="0" vertical="center" wrapText="1"/>
    </xf>
    <xf borderId="30" fillId="10" fontId="13" numFmtId="0" xfId="0" applyAlignment="1" applyBorder="1" applyFont="1">
      <alignment horizontal="center" shrinkToFit="0" vertical="center" wrapText="1"/>
    </xf>
    <xf borderId="45" fillId="10" fontId="18" numFmtId="0" xfId="0" applyAlignment="1" applyBorder="1" applyFont="1">
      <alignment horizontal="center" shrinkToFit="0" vertical="center" wrapText="1"/>
    </xf>
    <xf borderId="43" fillId="15" fontId="18" numFmtId="0" xfId="0" applyAlignment="1" applyBorder="1" applyFont="1">
      <alignment horizontal="center" shrinkToFit="0" vertical="center" wrapText="1"/>
    </xf>
    <xf borderId="25" fillId="20" fontId="1" numFmtId="0" xfId="0" applyAlignment="1" applyBorder="1" applyFill="1" applyFont="1">
      <alignment horizontal="center" vertical="center"/>
    </xf>
    <xf borderId="46" fillId="10" fontId="13" numFmtId="0" xfId="0" applyAlignment="1" applyBorder="1" applyFont="1">
      <alignment horizontal="center" shrinkToFit="0" vertical="center" wrapText="1"/>
    </xf>
    <xf borderId="30" fillId="10" fontId="13" numFmtId="169" xfId="0" applyAlignment="1" applyBorder="1" applyFont="1" applyNumberFormat="1">
      <alignment horizontal="center" shrinkToFit="0" vertical="center" wrapText="1"/>
    </xf>
    <xf borderId="45" fillId="10" fontId="18" numFmtId="169" xfId="0" applyAlignment="1" applyBorder="1" applyFont="1" applyNumberFormat="1">
      <alignment horizontal="center" shrinkToFit="0" vertical="center" wrapText="1"/>
    </xf>
    <xf borderId="47" fillId="0" fontId="5" numFmtId="0" xfId="0" applyBorder="1" applyFont="1"/>
    <xf borderId="48" fillId="20" fontId="1" numFmtId="0" xfId="0" applyAlignment="1" applyBorder="1" applyFont="1">
      <alignment horizontal="center" vertical="center"/>
    </xf>
    <xf borderId="28" fillId="13" fontId="1" numFmtId="10" xfId="0" applyAlignment="1" applyBorder="1" applyFont="1" applyNumberFormat="1">
      <alignment horizontal="center" vertical="center"/>
    </xf>
    <xf borderId="25" fillId="13" fontId="1" numFmtId="0" xfId="0" applyAlignment="1" applyBorder="1" applyFont="1">
      <alignment horizontal="center" vertical="center"/>
    </xf>
    <xf borderId="18" fillId="17" fontId="1" numFmtId="169" xfId="0" applyAlignment="1" applyBorder="1" applyFont="1" applyNumberFormat="1">
      <alignment horizontal="center" vertical="center"/>
    </xf>
    <xf borderId="30" fillId="10" fontId="18" numFmtId="169" xfId="0" applyAlignment="1" applyBorder="1" applyFont="1" applyNumberFormat="1">
      <alignment horizontal="center" shrinkToFit="0" vertical="center" wrapText="1"/>
    </xf>
    <xf borderId="49" fillId="13" fontId="1" numFmtId="10" xfId="0" applyAlignment="1" applyBorder="1" applyFont="1" applyNumberFormat="1">
      <alignment horizontal="center" vertical="center"/>
    </xf>
    <xf borderId="27" fillId="13" fontId="1" numFmtId="10" xfId="0" applyAlignment="1" applyBorder="1" applyFont="1" applyNumberFormat="1">
      <alignment horizontal="center" vertical="center"/>
    </xf>
    <xf borderId="0" fillId="0" fontId="1" numFmtId="11" xfId="0" applyFont="1" applyNumberFormat="1"/>
    <xf borderId="0" fillId="21" fontId="1" numFmtId="0" xfId="0" applyAlignment="1" applyFill="1" applyFont="1">
      <alignment vertical="bottom"/>
    </xf>
    <xf borderId="0" fillId="21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1" numFmtId="0" xfId="0" applyAlignment="1" applyFont="1">
      <alignment vertical="bottom"/>
    </xf>
    <xf borderId="19" fillId="22" fontId="23" numFmtId="0" xfId="0" applyAlignment="1" applyBorder="1" applyFill="1" applyFont="1">
      <alignment shrinkToFit="0" vertical="bottom" wrapText="1"/>
    </xf>
    <xf borderId="0" fillId="22" fontId="23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16</xdr:row>
      <xdr:rowOff>209550</xdr:rowOff>
    </xdr:from>
    <xdr:ext cx="1552575" cy="1047750"/>
    <xdr:sp>
      <xdr:nvSpPr>
        <xdr:cNvPr id="3" name="Shape 3"/>
        <xdr:cNvSpPr/>
      </xdr:nvSpPr>
      <xdr:spPr>
        <a:xfrm>
          <a:off x="4588763" y="3275175"/>
          <a:ext cx="1514475" cy="100965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-38100</xdr:colOff>
      <xdr:row>20</xdr:row>
      <xdr:rowOff>238125</xdr:rowOff>
    </xdr:from>
    <xdr:ext cx="2524125" cy="638175"/>
    <xdr:sp>
      <xdr:nvSpPr>
        <xdr:cNvPr id="4" name="Shape 4"/>
        <xdr:cNvSpPr/>
      </xdr:nvSpPr>
      <xdr:spPr>
        <a:xfrm>
          <a:off x="4122038" y="3499013"/>
          <a:ext cx="2447925" cy="561975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300"/>
            <a:buFont typeface="Arial"/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323850</xdr:colOff>
      <xdr:row>20</xdr:row>
      <xdr:rowOff>247650</xdr:rowOff>
    </xdr:from>
    <xdr:ext cx="1609725" cy="619125"/>
    <xdr:sp>
      <xdr:nvSpPr>
        <xdr:cNvPr id="5" name="Shape 5"/>
        <xdr:cNvSpPr/>
      </xdr:nvSpPr>
      <xdr:spPr>
        <a:xfrm>
          <a:off x="4560188" y="3489488"/>
          <a:ext cx="1571625" cy="581025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1019175</xdr:colOff>
      <xdr:row>0</xdr:row>
      <xdr:rowOff>0</xdr:rowOff>
    </xdr:from>
    <xdr:ext cx="990600" cy="676275"/>
    <xdr:sp>
      <xdr:nvSpPr>
        <xdr:cNvPr id="6" name="Shape 6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45531.0</v>
      </c>
      <c r="B2" s="3" t="s">
        <v>15</v>
      </c>
      <c r="C2" s="3" t="s">
        <v>16</v>
      </c>
      <c r="D2" s="3">
        <v>289.0</v>
      </c>
      <c r="E2" s="3">
        <v>0.0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21</v>
      </c>
      <c r="M2" s="3">
        <v>-3.0</v>
      </c>
      <c r="O2" s="3">
        <v>11.8191</v>
      </c>
    </row>
    <row r="3" ht="15.75" customHeight="1">
      <c r="A3" s="2">
        <v>45531.0</v>
      </c>
      <c r="B3" s="3" t="s">
        <v>22</v>
      </c>
      <c r="C3" s="3" t="s">
        <v>16</v>
      </c>
      <c r="D3" s="3">
        <v>400.0</v>
      </c>
      <c r="E3" s="3">
        <v>47.0</v>
      </c>
      <c r="F3" s="3" t="s">
        <v>23</v>
      </c>
      <c r="G3" s="3" t="s">
        <v>24</v>
      </c>
      <c r="H3" s="3" t="s">
        <v>19</v>
      </c>
      <c r="I3" s="3" t="s">
        <v>25</v>
      </c>
      <c r="J3" s="3" t="s">
        <v>26</v>
      </c>
      <c r="K3" s="3" t="s">
        <v>27</v>
      </c>
      <c r="L3" s="3" t="s">
        <v>28</v>
      </c>
      <c r="M3" s="3">
        <v>0.0</v>
      </c>
      <c r="N3" s="3">
        <v>0.009433333333333334</v>
      </c>
      <c r="O3" s="3">
        <v>10.741433333333333</v>
      </c>
    </row>
    <row r="4" ht="15.75" customHeight="1">
      <c r="A4" s="2">
        <v>45531.0</v>
      </c>
      <c r="B4" s="3" t="s">
        <v>15</v>
      </c>
      <c r="C4" s="3" t="s">
        <v>16</v>
      </c>
      <c r="D4" s="3">
        <v>464.0</v>
      </c>
      <c r="E4" s="3">
        <v>0.0</v>
      </c>
      <c r="F4" s="3" t="s">
        <v>17</v>
      </c>
      <c r="G4" s="3" t="s">
        <v>18</v>
      </c>
      <c r="H4" s="3" t="s">
        <v>19</v>
      </c>
      <c r="I4" s="3" t="s">
        <v>29</v>
      </c>
      <c r="J4" s="3" t="s">
        <v>30</v>
      </c>
      <c r="K4" s="3" t="s">
        <v>30</v>
      </c>
      <c r="M4" s="3">
        <v>-4.0</v>
      </c>
      <c r="O4" s="3">
        <v>10.0414</v>
      </c>
    </row>
    <row r="5" ht="15.75" customHeight="1">
      <c r="A5" s="2">
        <v>45531.0</v>
      </c>
      <c r="B5" s="3" t="s">
        <v>31</v>
      </c>
      <c r="C5" s="3" t="s">
        <v>32</v>
      </c>
      <c r="D5" s="3">
        <v>329.0</v>
      </c>
      <c r="E5" s="3">
        <v>0.0</v>
      </c>
      <c r="F5" s="3" t="s">
        <v>33</v>
      </c>
      <c r="G5" s="3" t="s">
        <v>18</v>
      </c>
      <c r="H5" s="3" t="s">
        <v>19</v>
      </c>
      <c r="I5" s="3" t="s">
        <v>34</v>
      </c>
      <c r="J5" s="3" t="s">
        <v>35</v>
      </c>
      <c r="K5" s="3" t="s">
        <v>35</v>
      </c>
      <c r="M5" s="3">
        <v>-1.0</v>
      </c>
      <c r="O5" s="3">
        <v>13.0708</v>
      </c>
    </row>
    <row r="6" ht="15.75" customHeight="1">
      <c r="A6" s="2">
        <v>45531.0</v>
      </c>
      <c r="B6" s="3" t="s">
        <v>31</v>
      </c>
      <c r="C6" s="3" t="s">
        <v>32</v>
      </c>
      <c r="D6" s="3">
        <v>329.0</v>
      </c>
      <c r="E6" s="3">
        <v>0.0</v>
      </c>
      <c r="F6" s="3" t="s">
        <v>36</v>
      </c>
      <c r="G6" s="3" t="s">
        <v>18</v>
      </c>
      <c r="H6" s="3" t="s">
        <v>19</v>
      </c>
      <c r="I6" s="3" t="s">
        <v>37</v>
      </c>
      <c r="J6" s="3" t="s">
        <v>38</v>
      </c>
      <c r="K6" s="3" t="s">
        <v>38</v>
      </c>
      <c r="M6" s="3">
        <v>-6.0</v>
      </c>
      <c r="O6" s="3">
        <v>8.68665</v>
      </c>
    </row>
    <row r="7" ht="15.75" customHeight="1">
      <c r="A7" s="2">
        <v>45531.0</v>
      </c>
      <c r="B7" s="3" t="s">
        <v>15</v>
      </c>
      <c r="C7" s="3" t="s">
        <v>16</v>
      </c>
      <c r="D7" s="3">
        <v>321.0</v>
      </c>
      <c r="E7" s="3">
        <v>0.0</v>
      </c>
      <c r="F7" s="3" t="s">
        <v>17</v>
      </c>
      <c r="G7" s="3" t="s">
        <v>18</v>
      </c>
      <c r="H7" s="3" t="s">
        <v>19</v>
      </c>
      <c r="I7" s="3" t="s">
        <v>39</v>
      </c>
      <c r="J7" s="3" t="s">
        <v>40</v>
      </c>
      <c r="K7" s="3" t="s">
        <v>40</v>
      </c>
      <c r="M7" s="3">
        <v>-2.0</v>
      </c>
      <c r="O7" s="3">
        <v>13.3126</v>
      </c>
    </row>
    <row r="8" ht="15.75" customHeight="1">
      <c r="A8" s="2">
        <v>45531.0</v>
      </c>
      <c r="B8" s="3" t="s">
        <v>31</v>
      </c>
      <c r="C8" s="3" t="s">
        <v>32</v>
      </c>
      <c r="D8" s="3">
        <v>321.0</v>
      </c>
      <c r="E8" s="3">
        <v>0.0</v>
      </c>
      <c r="F8" s="3" t="s">
        <v>33</v>
      </c>
      <c r="G8" s="3" t="s">
        <v>18</v>
      </c>
      <c r="H8" s="3" t="s">
        <v>19</v>
      </c>
      <c r="I8" s="3" t="s">
        <v>41</v>
      </c>
      <c r="J8" s="3" t="s">
        <v>42</v>
      </c>
      <c r="K8" s="3" t="s">
        <v>42</v>
      </c>
      <c r="M8" s="3">
        <v>-2.0</v>
      </c>
      <c r="O8" s="3">
        <v>12.273</v>
      </c>
    </row>
    <row r="9" ht="15.75" customHeight="1">
      <c r="A9" s="2">
        <v>45531.0</v>
      </c>
      <c r="B9" s="3" t="s">
        <v>22</v>
      </c>
      <c r="C9" s="3" t="s">
        <v>16</v>
      </c>
      <c r="D9" s="3">
        <v>299.0</v>
      </c>
      <c r="E9" s="3">
        <v>0.0</v>
      </c>
      <c r="F9" s="3" t="s">
        <v>23</v>
      </c>
      <c r="G9" s="3" t="s">
        <v>24</v>
      </c>
      <c r="H9" s="3" t="s">
        <v>43</v>
      </c>
      <c r="I9" s="3" t="s">
        <v>44</v>
      </c>
      <c r="J9" s="3" t="s">
        <v>45</v>
      </c>
      <c r="K9" s="3" t="s">
        <v>46</v>
      </c>
      <c r="L9" s="3" t="s">
        <v>47</v>
      </c>
      <c r="M9" s="3">
        <v>10.0</v>
      </c>
      <c r="N9" s="3">
        <v>0.0101</v>
      </c>
      <c r="O9" s="3">
        <v>11.6734</v>
      </c>
    </row>
    <row r="10" ht="15.75" customHeight="1">
      <c r="A10" s="2">
        <v>45531.0</v>
      </c>
      <c r="B10" s="3" t="s">
        <v>22</v>
      </c>
      <c r="C10" s="3" t="s">
        <v>16</v>
      </c>
      <c r="D10" s="3">
        <v>288.0</v>
      </c>
      <c r="E10" s="3">
        <v>0.0</v>
      </c>
      <c r="F10" s="3" t="s">
        <v>23</v>
      </c>
      <c r="G10" s="3" t="s">
        <v>24</v>
      </c>
      <c r="H10" s="3" t="s">
        <v>43</v>
      </c>
      <c r="I10" s="3" t="s">
        <v>48</v>
      </c>
      <c r="J10" s="3" t="s">
        <v>49</v>
      </c>
      <c r="K10" s="3" t="s">
        <v>50</v>
      </c>
      <c r="L10" s="3" t="s">
        <v>51</v>
      </c>
      <c r="M10" s="3">
        <v>-1.0</v>
      </c>
      <c r="N10" s="3">
        <v>0.008283333333333334</v>
      </c>
      <c r="O10" s="3">
        <v>10.429033333333333</v>
      </c>
    </row>
    <row r="11" ht="15.75" customHeight="1">
      <c r="A11" s="2">
        <v>45531.0</v>
      </c>
      <c r="B11" s="3" t="s">
        <v>15</v>
      </c>
      <c r="C11" s="3" t="s">
        <v>16</v>
      </c>
      <c r="D11" s="3">
        <v>394.0</v>
      </c>
      <c r="E11" s="3">
        <v>0.0</v>
      </c>
      <c r="F11" s="3" t="s">
        <v>17</v>
      </c>
      <c r="G11" s="3" t="s">
        <v>18</v>
      </c>
      <c r="H11" s="3" t="s">
        <v>19</v>
      </c>
      <c r="I11" s="3" t="s">
        <v>52</v>
      </c>
      <c r="J11" s="3" t="s">
        <v>53</v>
      </c>
      <c r="K11" s="3" t="s">
        <v>53</v>
      </c>
      <c r="M11" s="3">
        <v>1.0</v>
      </c>
      <c r="O11" s="3">
        <v>16.4414</v>
      </c>
    </row>
    <row r="12" ht="15.75" customHeight="1">
      <c r="A12" s="2">
        <v>45531.0</v>
      </c>
      <c r="B12" s="3" t="s">
        <v>54</v>
      </c>
      <c r="C12" s="3" t="s">
        <v>32</v>
      </c>
      <c r="D12" s="3">
        <v>264.0</v>
      </c>
      <c r="E12" s="3">
        <v>0.0</v>
      </c>
      <c r="G12" s="3" t="s">
        <v>18</v>
      </c>
      <c r="H12" s="3" t="s">
        <v>43</v>
      </c>
      <c r="I12" s="3" t="s">
        <v>55</v>
      </c>
      <c r="J12" s="3" t="s">
        <v>56</v>
      </c>
      <c r="K12" s="3" t="s">
        <v>56</v>
      </c>
      <c r="M12" s="3">
        <v>1.0</v>
      </c>
      <c r="O12" s="3">
        <v>11.841666666666667</v>
      </c>
    </row>
    <row r="13" ht="15.75" customHeight="1">
      <c r="A13" s="2">
        <v>45531.0</v>
      </c>
      <c r="B13" s="3" t="s">
        <v>54</v>
      </c>
      <c r="C13" s="3" t="s">
        <v>32</v>
      </c>
      <c r="D13" s="3">
        <v>264.0</v>
      </c>
      <c r="E13" s="3">
        <v>0.0</v>
      </c>
      <c r="G13" s="3" t="s">
        <v>18</v>
      </c>
      <c r="H13" s="3" t="s">
        <v>43</v>
      </c>
      <c r="I13" s="3" t="s">
        <v>57</v>
      </c>
      <c r="J13" s="3" t="s">
        <v>58</v>
      </c>
      <c r="K13" s="3" t="s">
        <v>58</v>
      </c>
      <c r="M13" s="3">
        <v>0.0</v>
      </c>
      <c r="O13" s="3">
        <v>9.892133333333334</v>
      </c>
    </row>
    <row r="14" ht="15.75" customHeight="1">
      <c r="A14" s="2">
        <v>45531.0</v>
      </c>
      <c r="B14" s="3" t="s">
        <v>22</v>
      </c>
      <c r="C14" s="3" t="s">
        <v>16</v>
      </c>
      <c r="D14" s="3">
        <v>309.0</v>
      </c>
      <c r="E14" s="3">
        <v>0.0</v>
      </c>
      <c r="F14" s="3" t="s">
        <v>23</v>
      </c>
      <c r="G14" s="3" t="s">
        <v>24</v>
      </c>
      <c r="H14" s="3" t="s">
        <v>19</v>
      </c>
      <c r="I14" s="3" t="s">
        <v>59</v>
      </c>
      <c r="J14" s="3" t="s">
        <v>60</v>
      </c>
      <c r="K14" s="3" t="s">
        <v>61</v>
      </c>
      <c r="L14" s="3" t="s">
        <v>62</v>
      </c>
      <c r="M14" s="3">
        <v>1.0</v>
      </c>
      <c r="N14" s="3">
        <v>0.0082</v>
      </c>
      <c r="O14" s="3">
        <v>11.110533333333333</v>
      </c>
    </row>
    <row r="15" ht="15.75" customHeight="1">
      <c r="A15" s="2">
        <v>45531.0</v>
      </c>
      <c r="B15" s="3" t="s">
        <v>22</v>
      </c>
      <c r="C15" s="3" t="s">
        <v>16</v>
      </c>
      <c r="D15" s="3">
        <v>250.0</v>
      </c>
      <c r="E15" s="3">
        <v>0.0</v>
      </c>
      <c r="F15" s="3" t="s">
        <v>23</v>
      </c>
      <c r="G15" s="3" t="s">
        <v>24</v>
      </c>
      <c r="H15" s="3" t="s">
        <v>19</v>
      </c>
      <c r="I15" s="3" t="s">
        <v>63</v>
      </c>
      <c r="J15" s="3" t="s">
        <v>64</v>
      </c>
      <c r="K15" s="3" t="s">
        <v>65</v>
      </c>
      <c r="L15" s="3" t="s">
        <v>66</v>
      </c>
      <c r="M15" s="3">
        <v>-5.0</v>
      </c>
      <c r="N15" s="3">
        <v>0.0089</v>
      </c>
      <c r="O15" s="3">
        <v>11.5456</v>
      </c>
    </row>
    <row r="16" ht="15.75" customHeight="1">
      <c r="A16" s="2">
        <v>45531.0</v>
      </c>
      <c r="B16" s="3" t="s">
        <v>54</v>
      </c>
      <c r="C16" s="3" t="s">
        <v>16</v>
      </c>
      <c r="D16" s="3">
        <v>394.0</v>
      </c>
      <c r="E16" s="3">
        <v>0.0</v>
      </c>
      <c r="G16" s="3" t="s">
        <v>18</v>
      </c>
      <c r="H16" s="3" t="s">
        <v>19</v>
      </c>
      <c r="I16" s="3" t="s">
        <v>67</v>
      </c>
      <c r="J16" s="3" t="s">
        <v>68</v>
      </c>
      <c r="K16" s="3" t="s">
        <v>68</v>
      </c>
      <c r="M16" s="3">
        <v>0.0</v>
      </c>
      <c r="O16" s="3">
        <v>13.0193</v>
      </c>
    </row>
    <row r="17" ht="15.75" customHeight="1">
      <c r="A17" s="2">
        <v>45531.0</v>
      </c>
      <c r="B17" s="3" t="s">
        <v>54</v>
      </c>
      <c r="C17" s="3" t="s">
        <v>16</v>
      </c>
      <c r="D17" s="3">
        <v>358.0</v>
      </c>
      <c r="E17" s="3">
        <v>0.0</v>
      </c>
      <c r="G17" s="3" t="s">
        <v>18</v>
      </c>
      <c r="H17" s="3" t="s">
        <v>19</v>
      </c>
      <c r="I17" s="3" t="s">
        <v>69</v>
      </c>
      <c r="J17" s="3" t="s">
        <v>70</v>
      </c>
      <c r="K17" s="3" t="s">
        <v>70</v>
      </c>
      <c r="M17" s="3">
        <v>0.0</v>
      </c>
      <c r="O17" s="3">
        <v>11.024483333333333</v>
      </c>
    </row>
    <row r="18" ht="15.75" customHeight="1">
      <c r="A18" s="2">
        <v>45531.0</v>
      </c>
      <c r="B18" s="3" t="s">
        <v>31</v>
      </c>
      <c r="C18" s="3" t="s">
        <v>32</v>
      </c>
      <c r="D18" s="3">
        <v>329.0</v>
      </c>
      <c r="E18" s="3">
        <v>0.0</v>
      </c>
      <c r="F18" s="3" t="s">
        <v>71</v>
      </c>
      <c r="G18" s="3" t="s">
        <v>18</v>
      </c>
      <c r="H18" s="3" t="s">
        <v>19</v>
      </c>
      <c r="I18" s="3" t="s">
        <v>72</v>
      </c>
      <c r="J18" s="3" t="s">
        <v>73</v>
      </c>
      <c r="K18" s="3" t="s">
        <v>73</v>
      </c>
      <c r="M18" s="3">
        <v>-3.0</v>
      </c>
      <c r="O18" s="3">
        <v>11.478066666666667</v>
      </c>
    </row>
    <row r="19" ht="15.75" customHeight="1">
      <c r="A19" s="2">
        <v>45531.0</v>
      </c>
      <c r="B19" s="3" t="s">
        <v>15</v>
      </c>
      <c r="C19" s="3" t="s">
        <v>16</v>
      </c>
      <c r="D19" s="3">
        <v>264.0</v>
      </c>
      <c r="E19" s="3">
        <v>0.0</v>
      </c>
      <c r="F19" s="3" t="s">
        <v>17</v>
      </c>
      <c r="G19" s="3" t="s">
        <v>18</v>
      </c>
      <c r="H19" s="3" t="s">
        <v>19</v>
      </c>
      <c r="I19" s="3" t="s">
        <v>74</v>
      </c>
      <c r="J19" s="3" t="s">
        <v>75</v>
      </c>
      <c r="K19" s="3" t="s">
        <v>75</v>
      </c>
      <c r="M19" s="3">
        <v>-4.0</v>
      </c>
      <c r="O19" s="3">
        <v>10.516116666666667</v>
      </c>
    </row>
    <row r="20" ht="15.75" customHeight="1">
      <c r="A20" s="2">
        <v>45531.0</v>
      </c>
      <c r="B20" s="3" t="s">
        <v>22</v>
      </c>
      <c r="C20" s="3" t="s">
        <v>16</v>
      </c>
      <c r="D20" s="3">
        <v>267.0</v>
      </c>
      <c r="E20" s="3">
        <v>67.0</v>
      </c>
      <c r="G20" s="3" t="s">
        <v>76</v>
      </c>
      <c r="H20" s="3" t="s">
        <v>19</v>
      </c>
      <c r="I20" s="3" t="s">
        <v>77</v>
      </c>
      <c r="J20" s="3" t="s">
        <v>78</v>
      </c>
      <c r="K20" s="3" t="s">
        <v>78</v>
      </c>
      <c r="M20" s="3">
        <v>-8.0</v>
      </c>
      <c r="O20" s="3">
        <v>8.571</v>
      </c>
    </row>
    <row r="21" ht="15.75" customHeight="1">
      <c r="A21" s="2">
        <v>45531.0</v>
      </c>
      <c r="B21" s="3" t="s">
        <v>22</v>
      </c>
      <c r="C21" s="3" t="s">
        <v>79</v>
      </c>
      <c r="D21" s="3">
        <v>267.0</v>
      </c>
      <c r="E21" s="3">
        <v>67.0</v>
      </c>
      <c r="G21" s="3" t="s">
        <v>76</v>
      </c>
      <c r="H21" s="3" t="s">
        <v>80</v>
      </c>
      <c r="I21" s="3" t="s">
        <v>81</v>
      </c>
      <c r="M21" s="3">
        <v>0.0</v>
      </c>
    </row>
    <row r="22" ht="15.75" customHeight="1">
      <c r="A22" s="2">
        <v>45531.0</v>
      </c>
      <c r="B22" s="3" t="s">
        <v>54</v>
      </c>
      <c r="C22" s="3" t="s">
        <v>32</v>
      </c>
      <c r="D22" s="3">
        <v>394.0</v>
      </c>
      <c r="E22" s="3">
        <v>0.0</v>
      </c>
      <c r="G22" s="3" t="s">
        <v>18</v>
      </c>
      <c r="H22" s="3" t="s">
        <v>43</v>
      </c>
      <c r="I22" s="3" t="s">
        <v>82</v>
      </c>
      <c r="J22" s="3" t="s">
        <v>83</v>
      </c>
      <c r="K22" s="3" t="s">
        <v>83</v>
      </c>
      <c r="M22" s="3">
        <v>-2.0</v>
      </c>
      <c r="O22" s="3">
        <v>10.2971</v>
      </c>
    </row>
    <row r="23" ht="15.75" customHeight="1">
      <c r="A23" s="2">
        <v>45531.0</v>
      </c>
      <c r="B23" s="3" t="s">
        <v>15</v>
      </c>
      <c r="C23" s="3" t="s">
        <v>16</v>
      </c>
      <c r="D23" s="3">
        <v>264.0</v>
      </c>
      <c r="E23" s="3">
        <v>0.0</v>
      </c>
      <c r="F23" s="3" t="s">
        <v>17</v>
      </c>
      <c r="G23" s="3" t="s">
        <v>18</v>
      </c>
      <c r="H23" s="3" t="s">
        <v>19</v>
      </c>
      <c r="I23" s="3" t="s">
        <v>84</v>
      </c>
      <c r="J23" s="3" t="s">
        <v>85</v>
      </c>
      <c r="K23" s="3" t="s">
        <v>85</v>
      </c>
      <c r="M23" s="3">
        <v>-6.0</v>
      </c>
      <c r="O23" s="3">
        <v>8.067116666666667</v>
      </c>
    </row>
    <row r="24" ht="15.75" customHeight="1">
      <c r="A24" s="2">
        <v>45531.0</v>
      </c>
      <c r="B24" s="3" t="s">
        <v>54</v>
      </c>
      <c r="C24" s="3" t="s">
        <v>32</v>
      </c>
      <c r="D24" s="3">
        <v>368.0</v>
      </c>
      <c r="E24" s="3">
        <v>0.0</v>
      </c>
      <c r="G24" s="3" t="s">
        <v>18</v>
      </c>
      <c r="H24" s="3" t="s">
        <v>19</v>
      </c>
      <c r="I24" s="3" t="s">
        <v>86</v>
      </c>
      <c r="J24" s="3" t="s">
        <v>87</v>
      </c>
      <c r="K24" s="3" t="s">
        <v>87</v>
      </c>
      <c r="M24" s="3">
        <v>-2.0</v>
      </c>
      <c r="O24" s="3">
        <v>9.608666666666666</v>
      </c>
    </row>
    <row r="25" ht="15.75" customHeight="1">
      <c r="A25" s="2">
        <v>45531.0</v>
      </c>
      <c r="B25" s="3" t="s">
        <v>22</v>
      </c>
      <c r="C25" s="3" t="s">
        <v>16</v>
      </c>
      <c r="D25" s="3">
        <v>426.0</v>
      </c>
      <c r="E25" s="3">
        <v>0.0</v>
      </c>
      <c r="F25" s="3" t="s">
        <v>23</v>
      </c>
      <c r="G25" s="3" t="s">
        <v>24</v>
      </c>
      <c r="H25" s="3" t="s">
        <v>43</v>
      </c>
      <c r="I25" s="3" t="s">
        <v>88</v>
      </c>
      <c r="J25" s="3" t="s">
        <v>89</v>
      </c>
      <c r="K25" s="3" t="s">
        <v>90</v>
      </c>
      <c r="L25" s="3" t="s">
        <v>91</v>
      </c>
      <c r="M25" s="3">
        <v>15.0</v>
      </c>
      <c r="N25" s="3">
        <v>0.01095</v>
      </c>
      <c r="O25" s="3">
        <v>11.465633333333333</v>
      </c>
    </row>
    <row r="26" ht="15.75" customHeight="1">
      <c r="A26" s="2">
        <v>45531.0</v>
      </c>
      <c r="B26" s="3" t="s">
        <v>22</v>
      </c>
      <c r="C26" s="3" t="s">
        <v>16</v>
      </c>
      <c r="D26" s="3">
        <v>329.0</v>
      </c>
      <c r="E26" s="3">
        <v>0.0</v>
      </c>
      <c r="F26" s="3" t="s">
        <v>23</v>
      </c>
      <c r="G26" s="3" t="s">
        <v>24</v>
      </c>
      <c r="H26" s="3" t="s">
        <v>43</v>
      </c>
      <c r="I26" s="3" t="s">
        <v>92</v>
      </c>
      <c r="J26" s="3" t="s">
        <v>93</v>
      </c>
      <c r="K26" s="3" t="s">
        <v>94</v>
      </c>
      <c r="L26" s="3" t="s">
        <v>95</v>
      </c>
      <c r="M26" s="3">
        <v>0.0</v>
      </c>
      <c r="N26" s="3">
        <v>0.010816666666666667</v>
      </c>
      <c r="O26" s="3">
        <v>9.003516666666666</v>
      </c>
    </row>
    <row r="27" ht="15.75" customHeight="1">
      <c r="A27" s="2">
        <v>45531.0</v>
      </c>
      <c r="B27" s="3" t="s">
        <v>96</v>
      </c>
      <c r="C27" s="3" t="s">
        <v>16</v>
      </c>
      <c r="D27" s="3">
        <v>90.0</v>
      </c>
      <c r="E27" s="3">
        <v>0.0</v>
      </c>
      <c r="G27" s="3" t="s">
        <v>76</v>
      </c>
      <c r="H27" s="3" t="s">
        <v>43</v>
      </c>
      <c r="I27" s="3" t="s">
        <v>97</v>
      </c>
      <c r="J27" s="3" t="s">
        <v>98</v>
      </c>
      <c r="K27" s="3" t="s">
        <v>98</v>
      </c>
      <c r="M27" s="3">
        <v>-4.0</v>
      </c>
      <c r="O27" s="3">
        <v>0.6302666666666666</v>
      </c>
    </row>
    <row r="28" ht="15.75" customHeight="1">
      <c r="A28" s="2">
        <v>45531.0</v>
      </c>
      <c r="B28" s="3" t="s">
        <v>22</v>
      </c>
      <c r="C28" s="3" t="s">
        <v>16</v>
      </c>
      <c r="D28" s="3">
        <v>374.0</v>
      </c>
      <c r="E28" s="3">
        <v>0.0</v>
      </c>
      <c r="F28" s="3" t="s">
        <v>23</v>
      </c>
      <c r="G28" s="3" t="s">
        <v>24</v>
      </c>
      <c r="H28" s="3" t="s">
        <v>19</v>
      </c>
      <c r="I28" s="3" t="s">
        <v>99</v>
      </c>
      <c r="J28" s="3" t="s">
        <v>100</v>
      </c>
      <c r="K28" s="3" t="s">
        <v>101</v>
      </c>
      <c r="L28" s="3" t="s">
        <v>102</v>
      </c>
      <c r="M28" s="3">
        <v>-3.0</v>
      </c>
      <c r="N28" s="3">
        <v>0.008183333333333334</v>
      </c>
      <c r="O28" s="3">
        <v>10.143933333333333</v>
      </c>
    </row>
    <row r="29" ht="15.75" customHeight="1">
      <c r="A29" s="2">
        <v>45531.0</v>
      </c>
      <c r="B29" s="3" t="s">
        <v>54</v>
      </c>
      <c r="C29" s="3" t="s">
        <v>32</v>
      </c>
      <c r="D29" s="3">
        <v>264.0</v>
      </c>
      <c r="E29" s="3">
        <v>0.0</v>
      </c>
      <c r="G29" s="3" t="s">
        <v>18</v>
      </c>
      <c r="H29" s="3" t="s">
        <v>19</v>
      </c>
      <c r="I29" s="3" t="s">
        <v>103</v>
      </c>
      <c r="J29" s="3" t="s">
        <v>104</v>
      </c>
      <c r="K29" s="3" t="s">
        <v>104</v>
      </c>
      <c r="M29" s="3">
        <v>-1.0</v>
      </c>
      <c r="O29" s="3">
        <v>8.996866666666667</v>
      </c>
    </row>
    <row r="30" ht="15.75" customHeight="1">
      <c r="A30" s="2">
        <v>45531.0</v>
      </c>
      <c r="B30" s="3" t="s">
        <v>54</v>
      </c>
      <c r="C30" s="3" t="s">
        <v>32</v>
      </c>
      <c r="D30" s="3">
        <v>294.0</v>
      </c>
      <c r="E30" s="3">
        <v>0.0</v>
      </c>
      <c r="G30" s="3" t="s">
        <v>18</v>
      </c>
      <c r="H30" s="3" t="s">
        <v>19</v>
      </c>
      <c r="I30" s="3" t="s">
        <v>105</v>
      </c>
      <c r="J30" s="3" t="s">
        <v>106</v>
      </c>
      <c r="K30" s="3" t="s">
        <v>106</v>
      </c>
      <c r="M30" s="3">
        <v>-2.0</v>
      </c>
      <c r="O30" s="3">
        <v>9.25065</v>
      </c>
    </row>
    <row r="31" ht="15.75" customHeight="1">
      <c r="A31" s="2">
        <v>45531.0</v>
      </c>
      <c r="B31" s="3" t="s">
        <v>31</v>
      </c>
      <c r="C31" s="3" t="s">
        <v>32</v>
      </c>
      <c r="D31" s="3">
        <v>368.0</v>
      </c>
      <c r="E31" s="3">
        <v>0.0</v>
      </c>
      <c r="F31" s="3" t="s">
        <v>107</v>
      </c>
      <c r="G31" s="3" t="s">
        <v>18</v>
      </c>
      <c r="H31" s="3" t="s">
        <v>19</v>
      </c>
      <c r="I31" s="3" t="s">
        <v>108</v>
      </c>
      <c r="J31" s="3" t="s">
        <v>109</v>
      </c>
      <c r="K31" s="3" t="s">
        <v>109</v>
      </c>
      <c r="M31" s="3">
        <v>-3.0</v>
      </c>
      <c r="O31" s="3">
        <v>11.316733333333334</v>
      </c>
    </row>
    <row r="32" ht="15.75" customHeight="1">
      <c r="A32" s="2">
        <v>45531.0</v>
      </c>
      <c r="B32" s="3" t="s">
        <v>54</v>
      </c>
      <c r="C32" s="3" t="s">
        <v>32</v>
      </c>
      <c r="D32" s="3">
        <v>264.0</v>
      </c>
      <c r="E32" s="3">
        <v>0.0</v>
      </c>
      <c r="G32" s="3" t="s">
        <v>18</v>
      </c>
      <c r="H32" s="3" t="s">
        <v>19</v>
      </c>
      <c r="I32" s="3" t="s">
        <v>110</v>
      </c>
      <c r="J32" s="3" t="s">
        <v>111</v>
      </c>
      <c r="K32" s="3" t="s">
        <v>111</v>
      </c>
      <c r="M32" s="3">
        <v>0.0</v>
      </c>
      <c r="O32" s="3">
        <v>11.13275</v>
      </c>
    </row>
    <row r="33" ht="15.75" customHeight="1">
      <c r="A33" s="2">
        <v>45531.0</v>
      </c>
      <c r="B33" s="3" t="s">
        <v>15</v>
      </c>
      <c r="C33" s="3" t="s">
        <v>16</v>
      </c>
      <c r="D33" s="3">
        <v>258.0</v>
      </c>
      <c r="E33" s="3">
        <v>0.0</v>
      </c>
      <c r="F33" s="3" t="s">
        <v>17</v>
      </c>
      <c r="G33" s="3" t="s">
        <v>18</v>
      </c>
      <c r="H33" s="3" t="s">
        <v>19</v>
      </c>
      <c r="I33" s="3" t="s">
        <v>112</v>
      </c>
      <c r="J33" s="3" t="s">
        <v>113</v>
      </c>
      <c r="K33" s="3" t="s">
        <v>113</v>
      </c>
      <c r="M33" s="3">
        <v>-14.0</v>
      </c>
      <c r="O33" s="3">
        <v>0.9019833333333334</v>
      </c>
    </row>
    <row r="34" ht="15.75" customHeight="1">
      <c r="A34" s="2">
        <v>45531.0</v>
      </c>
      <c r="B34" s="3" t="s">
        <v>96</v>
      </c>
      <c r="C34" s="3" t="s">
        <v>16</v>
      </c>
      <c r="D34" s="3">
        <v>309.0</v>
      </c>
      <c r="E34" s="3">
        <v>0.0</v>
      </c>
      <c r="G34" s="3" t="s">
        <v>76</v>
      </c>
      <c r="H34" s="3" t="s">
        <v>43</v>
      </c>
      <c r="I34" s="3" t="s">
        <v>114</v>
      </c>
      <c r="J34" s="3" t="s">
        <v>115</v>
      </c>
      <c r="K34" s="3" t="s">
        <v>115</v>
      </c>
      <c r="M34" s="3">
        <v>8.0</v>
      </c>
      <c r="O34" s="3">
        <v>13.98825</v>
      </c>
    </row>
    <row r="35" ht="15.75" customHeight="1">
      <c r="A35" s="2">
        <v>45531.0</v>
      </c>
      <c r="B35" s="3" t="s">
        <v>96</v>
      </c>
      <c r="C35" s="3" t="s">
        <v>16</v>
      </c>
      <c r="D35" s="3">
        <v>209.0</v>
      </c>
      <c r="E35" s="3">
        <v>0.0</v>
      </c>
      <c r="G35" s="3" t="s">
        <v>76</v>
      </c>
      <c r="H35" s="3" t="s">
        <v>43</v>
      </c>
      <c r="I35" s="3" t="s">
        <v>116</v>
      </c>
      <c r="J35" s="3" t="s">
        <v>117</v>
      </c>
      <c r="K35" s="3" t="s">
        <v>117</v>
      </c>
      <c r="M35" s="3">
        <v>6.0</v>
      </c>
      <c r="O35" s="3">
        <v>11.871116666666667</v>
      </c>
    </row>
    <row r="36" ht="15.75" customHeight="1">
      <c r="A36" s="2">
        <v>45531.0</v>
      </c>
      <c r="B36" s="3" t="s">
        <v>22</v>
      </c>
      <c r="C36" s="3" t="s">
        <v>16</v>
      </c>
      <c r="D36" s="3">
        <v>199.0</v>
      </c>
      <c r="E36" s="3">
        <v>50.0</v>
      </c>
      <c r="G36" s="3" t="s">
        <v>76</v>
      </c>
      <c r="H36" s="3" t="s">
        <v>80</v>
      </c>
      <c r="I36" s="3" t="s">
        <v>118</v>
      </c>
      <c r="J36" s="3" t="s">
        <v>119</v>
      </c>
      <c r="K36" s="3" t="s">
        <v>119</v>
      </c>
      <c r="M36" s="3">
        <v>-4.0</v>
      </c>
      <c r="O36" s="3">
        <v>15.246933333333333</v>
      </c>
    </row>
    <row r="37" ht="15.75" customHeight="1">
      <c r="A37" s="2">
        <v>45531.0</v>
      </c>
      <c r="B37" s="3" t="s">
        <v>22</v>
      </c>
      <c r="C37" s="3" t="s">
        <v>16</v>
      </c>
      <c r="D37" s="3">
        <v>279.0</v>
      </c>
      <c r="E37" s="3">
        <v>70.0</v>
      </c>
      <c r="G37" s="3" t="s">
        <v>76</v>
      </c>
      <c r="H37" s="3" t="s">
        <v>43</v>
      </c>
      <c r="I37" s="3" t="s">
        <v>120</v>
      </c>
      <c r="J37" s="3" t="s">
        <v>121</v>
      </c>
      <c r="K37" s="3" t="s">
        <v>121</v>
      </c>
      <c r="M37" s="3">
        <v>-4.0</v>
      </c>
      <c r="O37" s="3">
        <v>14.970983333333333</v>
      </c>
    </row>
    <row r="38" ht="15.75" customHeight="1">
      <c r="A38" s="2">
        <v>45531.0</v>
      </c>
      <c r="B38" s="3" t="s">
        <v>96</v>
      </c>
      <c r="C38" s="3" t="s">
        <v>79</v>
      </c>
      <c r="D38" s="3">
        <v>249.0</v>
      </c>
      <c r="E38" s="3">
        <v>0.0</v>
      </c>
      <c r="G38" s="3" t="s">
        <v>76</v>
      </c>
      <c r="H38" s="3" t="s">
        <v>43</v>
      </c>
      <c r="I38" s="3" t="s">
        <v>122</v>
      </c>
      <c r="J38" s="3" t="s">
        <v>123</v>
      </c>
      <c r="K38" s="3" t="s">
        <v>123</v>
      </c>
      <c r="M38" s="3">
        <v>7.0</v>
      </c>
      <c r="O38" s="3">
        <v>12.863816666666667</v>
      </c>
    </row>
    <row r="39" ht="15.75" customHeight="1">
      <c r="A39" s="2">
        <v>45531.0</v>
      </c>
      <c r="B39" s="3" t="s">
        <v>22</v>
      </c>
      <c r="C39" s="3" t="s">
        <v>16</v>
      </c>
      <c r="D39" s="3">
        <v>247.0</v>
      </c>
      <c r="E39" s="3">
        <v>62.0</v>
      </c>
      <c r="G39" s="3" t="s">
        <v>76</v>
      </c>
      <c r="H39" s="3" t="s">
        <v>43</v>
      </c>
      <c r="I39" s="3" t="s">
        <v>124</v>
      </c>
      <c r="J39" s="3" t="s">
        <v>125</v>
      </c>
      <c r="K39" s="3" t="s">
        <v>125</v>
      </c>
      <c r="M39" s="3">
        <v>-6.0</v>
      </c>
      <c r="O39" s="3">
        <v>12.694433333333333</v>
      </c>
    </row>
    <row r="40" ht="15.75" customHeight="1">
      <c r="A40" s="2">
        <v>45531.0</v>
      </c>
      <c r="B40" s="3" t="s">
        <v>15</v>
      </c>
      <c r="C40" s="3" t="s">
        <v>16</v>
      </c>
      <c r="D40" s="3">
        <v>313.0</v>
      </c>
      <c r="E40" s="3">
        <v>0.0</v>
      </c>
      <c r="F40" s="3" t="s">
        <v>17</v>
      </c>
      <c r="G40" s="3" t="s">
        <v>18</v>
      </c>
      <c r="H40" s="3" t="s">
        <v>19</v>
      </c>
      <c r="I40" s="3" t="s">
        <v>126</v>
      </c>
      <c r="J40" s="3" t="s">
        <v>127</v>
      </c>
      <c r="K40" s="3" t="s">
        <v>127</v>
      </c>
      <c r="M40" s="3">
        <v>4.0</v>
      </c>
      <c r="O40" s="3">
        <v>19.777033333333332</v>
      </c>
    </row>
    <row r="41" ht="15.75" customHeight="1">
      <c r="A41" s="2">
        <v>45531.0</v>
      </c>
      <c r="B41" s="3" t="s">
        <v>54</v>
      </c>
      <c r="C41" s="3" t="s">
        <v>32</v>
      </c>
      <c r="D41" s="3">
        <v>693.0</v>
      </c>
      <c r="E41" s="3">
        <v>0.0</v>
      </c>
      <c r="G41" s="3" t="s">
        <v>18</v>
      </c>
      <c r="H41" s="3" t="s">
        <v>19</v>
      </c>
      <c r="I41" s="3" t="s">
        <v>128</v>
      </c>
      <c r="J41" s="3" t="s">
        <v>129</v>
      </c>
      <c r="K41" s="3" t="s">
        <v>129</v>
      </c>
      <c r="M41" s="3">
        <v>0.0</v>
      </c>
      <c r="O41" s="3">
        <v>14.46005</v>
      </c>
    </row>
    <row r="42" ht="15.75" customHeight="1">
      <c r="A42" s="2">
        <v>45531.0</v>
      </c>
      <c r="B42" s="3" t="s">
        <v>31</v>
      </c>
      <c r="C42" s="3" t="s">
        <v>32</v>
      </c>
      <c r="D42" s="3">
        <v>356.0</v>
      </c>
      <c r="E42" s="3">
        <v>0.0</v>
      </c>
      <c r="F42" s="3" t="s">
        <v>130</v>
      </c>
      <c r="G42" s="3" t="s">
        <v>18</v>
      </c>
      <c r="H42" s="3" t="s">
        <v>19</v>
      </c>
      <c r="I42" s="3" t="s">
        <v>131</v>
      </c>
      <c r="J42" s="3" t="s">
        <v>132</v>
      </c>
      <c r="K42" s="3" t="s">
        <v>132</v>
      </c>
      <c r="M42" s="3">
        <v>0.0</v>
      </c>
      <c r="O42" s="3">
        <v>15.28745</v>
      </c>
    </row>
    <row r="43" ht="15.75" customHeight="1">
      <c r="A43" s="2">
        <v>45531.0</v>
      </c>
      <c r="B43" s="3" t="s">
        <v>22</v>
      </c>
      <c r="C43" s="3" t="s">
        <v>16</v>
      </c>
      <c r="D43" s="3">
        <v>379.0</v>
      </c>
      <c r="E43" s="3">
        <v>0.0</v>
      </c>
      <c r="G43" s="3" t="s">
        <v>76</v>
      </c>
      <c r="H43" s="3" t="s">
        <v>19</v>
      </c>
      <c r="I43" s="3" t="s">
        <v>133</v>
      </c>
      <c r="J43" s="3" t="s">
        <v>134</v>
      </c>
      <c r="K43" s="3" t="s">
        <v>134</v>
      </c>
      <c r="M43" s="3">
        <v>-5.0</v>
      </c>
      <c r="O43" s="3">
        <v>12.610883333333334</v>
      </c>
    </row>
    <row r="44" ht="15.75" customHeight="1">
      <c r="A44" s="2">
        <v>45531.0</v>
      </c>
      <c r="B44" s="3" t="s">
        <v>22</v>
      </c>
      <c r="C44" s="3" t="s">
        <v>16</v>
      </c>
      <c r="D44" s="3">
        <v>247.0</v>
      </c>
      <c r="E44" s="3">
        <v>62.0</v>
      </c>
      <c r="G44" s="3" t="s">
        <v>76</v>
      </c>
      <c r="H44" s="3" t="s">
        <v>43</v>
      </c>
      <c r="I44" s="3" t="s">
        <v>135</v>
      </c>
      <c r="J44" s="3" t="s">
        <v>136</v>
      </c>
      <c r="K44" s="3" t="s">
        <v>136</v>
      </c>
      <c r="M44" s="3">
        <v>-8.0</v>
      </c>
      <c r="O44" s="3">
        <v>10.526083333333334</v>
      </c>
    </row>
    <row r="45" ht="15.75" customHeight="1">
      <c r="A45" s="2">
        <v>45531.0</v>
      </c>
      <c r="B45" s="3" t="s">
        <v>22</v>
      </c>
      <c r="C45" s="3" t="s">
        <v>16</v>
      </c>
      <c r="D45" s="3">
        <v>245.0</v>
      </c>
      <c r="E45" s="3">
        <v>61.0</v>
      </c>
      <c r="G45" s="3" t="s">
        <v>76</v>
      </c>
      <c r="H45" s="3" t="s">
        <v>80</v>
      </c>
      <c r="I45" s="3" t="s">
        <v>137</v>
      </c>
      <c r="J45" s="3" t="s">
        <v>138</v>
      </c>
      <c r="K45" s="3" t="s">
        <v>138</v>
      </c>
      <c r="M45" s="3">
        <v>-9.0</v>
      </c>
      <c r="O45" s="3">
        <v>9.184483333333333</v>
      </c>
    </row>
    <row r="46" ht="15.75" customHeight="1">
      <c r="A46" s="2">
        <v>45531.0</v>
      </c>
      <c r="B46" s="3" t="s">
        <v>15</v>
      </c>
      <c r="C46" s="3" t="s">
        <v>16</v>
      </c>
      <c r="D46" s="3">
        <v>321.0</v>
      </c>
      <c r="E46" s="3">
        <v>0.0</v>
      </c>
      <c r="F46" s="3" t="s">
        <v>17</v>
      </c>
      <c r="G46" s="3" t="s">
        <v>18</v>
      </c>
      <c r="H46" s="3" t="s">
        <v>19</v>
      </c>
      <c r="I46" s="3" t="s">
        <v>139</v>
      </c>
      <c r="J46" s="3" t="s">
        <v>140</v>
      </c>
      <c r="K46" s="3" t="s">
        <v>140</v>
      </c>
      <c r="M46" s="3">
        <v>8.0</v>
      </c>
      <c r="O46" s="3">
        <v>24.185216666666665</v>
      </c>
    </row>
    <row r="47" ht="15.75" customHeight="1">
      <c r="A47" s="2">
        <v>45531.0</v>
      </c>
      <c r="B47" s="3" t="s">
        <v>22</v>
      </c>
      <c r="C47" s="3" t="s">
        <v>16</v>
      </c>
      <c r="D47" s="3">
        <v>274.0</v>
      </c>
      <c r="E47" s="3">
        <v>0.0</v>
      </c>
      <c r="F47" s="3" t="s">
        <v>23</v>
      </c>
      <c r="G47" s="3" t="s">
        <v>24</v>
      </c>
      <c r="H47" s="3" t="s">
        <v>19</v>
      </c>
      <c r="I47" s="3" t="s">
        <v>141</v>
      </c>
      <c r="J47" s="3" t="s">
        <v>142</v>
      </c>
      <c r="K47" s="3" t="s">
        <v>143</v>
      </c>
      <c r="L47" s="3" t="s">
        <v>144</v>
      </c>
      <c r="M47" s="3">
        <v>-6.0</v>
      </c>
      <c r="N47" s="3">
        <v>0.008466666666666667</v>
      </c>
      <c r="O47" s="3">
        <v>16.068183333333334</v>
      </c>
    </row>
    <row r="48" ht="15.75" customHeight="1">
      <c r="A48" s="2">
        <v>45531.0</v>
      </c>
      <c r="B48" s="3" t="s">
        <v>54</v>
      </c>
      <c r="C48" s="3" t="s">
        <v>16</v>
      </c>
      <c r="D48" s="3">
        <v>582.0</v>
      </c>
      <c r="E48" s="3">
        <v>0.0</v>
      </c>
      <c r="G48" s="3" t="s">
        <v>18</v>
      </c>
      <c r="H48" s="3" t="s">
        <v>19</v>
      </c>
      <c r="I48" s="3" t="s">
        <v>145</v>
      </c>
      <c r="J48" s="3" t="s">
        <v>146</v>
      </c>
      <c r="K48" s="3" t="s">
        <v>146</v>
      </c>
      <c r="M48" s="3">
        <v>0.0</v>
      </c>
      <c r="O48" s="3">
        <v>15.7037</v>
      </c>
    </row>
    <row r="49" ht="15.75" customHeight="1">
      <c r="A49" s="2">
        <v>45531.0</v>
      </c>
      <c r="B49" s="3" t="s">
        <v>54</v>
      </c>
      <c r="C49" s="3" t="s">
        <v>32</v>
      </c>
      <c r="D49" s="3">
        <v>214.0</v>
      </c>
      <c r="E49" s="3">
        <v>50.0</v>
      </c>
      <c r="G49" s="3" t="s">
        <v>18</v>
      </c>
      <c r="H49" s="3" t="s">
        <v>19</v>
      </c>
      <c r="I49" s="3" t="s">
        <v>147</v>
      </c>
      <c r="J49" s="3" t="s">
        <v>148</v>
      </c>
      <c r="K49" s="3" t="s">
        <v>148</v>
      </c>
      <c r="M49" s="3">
        <v>11.0</v>
      </c>
      <c r="O49" s="3">
        <v>22.53465</v>
      </c>
    </row>
    <row r="50" ht="15.75" customHeight="1">
      <c r="A50" s="2">
        <v>45531.0</v>
      </c>
      <c r="B50" s="3" t="s">
        <v>22</v>
      </c>
      <c r="C50" s="3" t="s">
        <v>16</v>
      </c>
      <c r="D50" s="3">
        <v>797.0</v>
      </c>
      <c r="E50" s="3">
        <v>199.0</v>
      </c>
      <c r="G50" s="3" t="s">
        <v>76</v>
      </c>
      <c r="H50" s="3" t="s">
        <v>80</v>
      </c>
      <c r="I50" s="3" t="s">
        <v>149</v>
      </c>
      <c r="J50" s="3" t="s">
        <v>150</v>
      </c>
      <c r="K50" s="3" t="s">
        <v>150</v>
      </c>
      <c r="M50" s="3">
        <v>0.0</v>
      </c>
      <c r="O50" s="3">
        <v>19.6758</v>
      </c>
    </row>
    <row r="51" ht="15.75" customHeight="1">
      <c r="A51" s="2">
        <v>45531.0</v>
      </c>
      <c r="B51" s="3" t="s">
        <v>54</v>
      </c>
      <c r="C51" s="3" t="s">
        <v>32</v>
      </c>
      <c r="D51" s="3">
        <v>368.0</v>
      </c>
      <c r="E51" s="3">
        <v>0.0</v>
      </c>
      <c r="G51" s="3" t="s">
        <v>18</v>
      </c>
      <c r="H51" s="3" t="s">
        <v>43</v>
      </c>
      <c r="I51" s="3" t="s">
        <v>151</v>
      </c>
      <c r="J51" s="3" t="s">
        <v>152</v>
      </c>
      <c r="K51" s="3" t="s">
        <v>152</v>
      </c>
      <c r="M51" s="3">
        <v>9.0</v>
      </c>
      <c r="O51" s="3">
        <v>22.38985</v>
      </c>
    </row>
    <row r="52" ht="15.75" customHeight="1">
      <c r="A52" s="2">
        <v>45531.0</v>
      </c>
      <c r="B52" s="3" t="s">
        <v>54</v>
      </c>
      <c r="C52" s="3" t="s">
        <v>32</v>
      </c>
      <c r="D52" s="3">
        <v>264.0</v>
      </c>
      <c r="E52" s="3">
        <v>0.0</v>
      </c>
      <c r="G52" s="3" t="s">
        <v>18</v>
      </c>
      <c r="H52" s="3" t="s">
        <v>19</v>
      </c>
      <c r="I52" s="3" t="s">
        <v>153</v>
      </c>
      <c r="J52" s="3" t="s">
        <v>154</v>
      </c>
      <c r="K52" s="3" t="s">
        <v>154</v>
      </c>
      <c r="M52" s="3">
        <v>-3.0</v>
      </c>
      <c r="O52" s="3">
        <v>7.4117</v>
      </c>
    </row>
    <row r="53" ht="15.75" customHeight="1">
      <c r="A53" s="2">
        <v>45531.0</v>
      </c>
      <c r="B53" s="3" t="s">
        <v>22</v>
      </c>
      <c r="C53" s="3" t="s">
        <v>16</v>
      </c>
      <c r="D53" s="3">
        <v>336.0</v>
      </c>
      <c r="E53" s="3">
        <v>0.0</v>
      </c>
      <c r="F53" s="3" t="s">
        <v>17</v>
      </c>
      <c r="G53" s="3" t="s">
        <v>24</v>
      </c>
      <c r="H53" s="3" t="s">
        <v>19</v>
      </c>
      <c r="I53" s="3" t="s">
        <v>155</v>
      </c>
      <c r="J53" s="3" t="s">
        <v>156</v>
      </c>
      <c r="K53" s="3" t="s">
        <v>157</v>
      </c>
      <c r="L53" s="3" t="s">
        <v>158</v>
      </c>
      <c r="M53" s="3">
        <v>1.0</v>
      </c>
      <c r="N53" s="3">
        <v>12.3929</v>
      </c>
      <c r="O53" s="3">
        <v>14.58575</v>
      </c>
    </row>
    <row r="54" ht="15.75" customHeight="1">
      <c r="A54" s="2">
        <v>45531.0</v>
      </c>
      <c r="B54" s="3" t="s">
        <v>22</v>
      </c>
      <c r="C54" s="3" t="s">
        <v>79</v>
      </c>
      <c r="D54" s="3">
        <v>299.0</v>
      </c>
      <c r="E54" s="3">
        <v>75.0</v>
      </c>
      <c r="G54" s="3" t="s">
        <v>76</v>
      </c>
      <c r="H54" s="3" t="s">
        <v>80</v>
      </c>
      <c r="I54" s="3" t="s">
        <v>159</v>
      </c>
      <c r="M54" s="3">
        <v>0.0</v>
      </c>
    </row>
    <row r="55" ht="15.75" customHeight="1">
      <c r="A55" s="2">
        <v>45531.0</v>
      </c>
      <c r="B55" s="3" t="s">
        <v>31</v>
      </c>
      <c r="C55" s="3" t="s">
        <v>32</v>
      </c>
      <c r="D55" s="3">
        <v>553.0</v>
      </c>
      <c r="E55" s="3">
        <v>0.0</v>
      </c>
      <c r="F55" s="3" t="s">
        <v>130</v>
      </c>
      <c r="G55" s="3" t="s">
        <v>18</v>
      </c>
      <c r="H55" s="3" t="s">
        <v>19</v>
      </c>
      <c r="I55" s="3" t="s">
        <v>160</v>
      </c>
      <c r="J55" s="3" t="s">
        <v>161</v>
      </c>
      <c r="K55" s="3" t="s">
        <v>161</v>
      </c>
      <c r="M55" s="3">
        <v>-5.0</v>
      </c>
      <c r="O55" s="3">
        <v>13.188666666666666</v>
      </c>
    </row>
    <row r="56" ht="15.75" customHeight="1">
      <c r="A56" s="2">
        <v>45531.0</v>
      </c>
      <c r="B56" s="3" t="s">
        <v>96</v>
      </c>
      <c r="C56" s="3" t="s">
        <v>16</v>
      </c>
      <c r="D56" s="3">
        <v>168.0</v>
      </c>
      <c r="E56" s="3">
        <v>0.0</v>
      </c>
      <c r="G56" s="3" t="s">
        <v>76</v>
      </c>
      <c r="H56" s="3" t="s">
        <v>43</v>
      </c>
      <c r="I56" s="3" t="s">
        <v>162</v>
      </c>
      <c r="J56" s="3" t="s">
        <v>163</v>
      </c>
      <c r="K56" s="3" t="s">
        <v>163</v>
      </c>
      <c r="M56" s="3">
        <v>3.0</v>
      </c>
      <c r="O56" s="3">
        <v>8.54645</v>
      </c>
    </row>
    <row r="57" ht="15.75" customHeight="1">
      <c r="A57" s="2">
        <v>45531.0</v>
      </c>
      <c r="B57" s="3" t="s">
        <v>54</v>
      </c>
      <c r="C57" s="3" t="s">
        <v>32</v>
      </c>
      <c r="D57" s="3">
        <v>528.0</v>
      </c>
      <c r="E57" s="3">
        <v>0.0</v>
      </c>
      <c r="G57" s="3" t="s">
        <v>18</v>
      </c>
      <c r="H57" s="3" t="s">
        <v>19</v>
      </c>
      <c r="I57" s="3" t="s">
        <v>164</v>
      </c>
      <c r="J57" s="3" t="s">
        <v>165</v>
      </c>
      <c r="K57" s="3" t="s">
        <v>165</v>
      </c>
      <c r="M57" s="3">
        <v>-1.0</v>
      </c>
      <c r="O57" s="3">
        <v>12.790866666666666</v>
      </c>
    </row>
    <row r="58" ht="15.75" customHeight="1">
      <c r="A58" s="2">
        <v>45531.0</v>
      </c>
      <c r="B58" s="3" t="s">
        <v>22</v>
      </c>
      <c r="C58" s="3" t="s">
        <v>16</v>
      </c>
      <c r="D58" s="3">
        <v>299.0</v>
      </c>
      <c r="E58" s="3">
        <v>75.0</v>
      </c>
      <c r="G58" s="3" t="s">
        <v>76</v>
      </c>
      <c r="H58" s="3" t="s">
        <v>80</v>
      </c>
      <c r="I58" s="3" t="s">
        <v>166</v>
      </c>
      <c r="J58" s="3" t="s">
        <v>167</v>
      </c>
      <c r="K58" s="3" t="s">
        <v>167</v>
      </c>
      <c r="M58" s="3">
        <v>-7.0</v>
      </c>
      <c r="O58" s="3">
        <v>12.055616666666667</v>
      </c>
    </row>
    <row r="59" ht="15.75" customHeight="1">
      <c r="A59" s="2">
        <v>45531.0</v>
      </c>
      <c r="B59" s="3" t="s">
        <v>22</v>
      </c>
      <c r="C59" s="3" t="s">
        <v>16</v>
      </c>
      <c r="D59" s="3">
        <v>683.0</v>
      </c>
      <c r="E59" s="3">
        <v>0.0</v>
      </c>
      <c r="F59" s="3" t="s">
        <v>23</v>
      </c>
      <c r="G59" s="3" t="s">
        <v>24</v>
      </c>
      <c r="H59" s="3" t="s">
        <v>19</v>
      </c>
      <c r="I59" s="3" t="s">
        <v>168</v>
      </c>
      <c r="J59" s="3" t="s">
        <v>169</v>
      </c>
      <c r="K59" s="3" t="s">
        <v>170</v>
      </c>
      <c r="L59" s="3" t="s">
        <v>171</v>
      </c>
      <c r="M59" s="3">
        <v>10.0</v>
      </c>
      <c r="N59" s="3">
        <v>0.012683333333333333</v>
      </c>
      <c r="O59" s="3">
        <v>14.565133333333334</v>
      </c>
    </row>
    <row r="60" ht="15.75" customHeight="1">
      <c r="A60" s="2">
        <v>45531.0</v>
      </c>
      <c r="B60" s="3" t="s">
        <v>31</v>
      </c>
      <c r="C60" s="3" t="s">
        <v>16</v>
      </c>
      <c r="D60" s="3">
        <v>329.0</v>
      </c>
      <c r="E60" s="3">
        <v>0.0</v>
      </c>
      <c r="G60" s="3" t="s">
        <v>76</v>
      </c>
      <c r="H60" s="3" t="s">
        <v>19</v>
      </c>
      <c r="I60" s="3" t="s">
        <v>172</v>
      </c>
      <c r="J60" s="3" t="s">
        <v>173</v>
      </c>
      <c r="K60" s="3" t="s">
        <v>173</v>
      </c>
      <c r="M60" s="3">
        <v>2.0</v>
      </c>
      <c r="O60" s="3">
        <v>17.60875</v>
      </c>
    </row>
    <row r="61" ht="15.75" customHeight="1">
      <c r="A61" s="2">
        <v>45531.0</v>
      </c>
      <c r="B61" s="3" t="s">
        <v>22</v>
      </c>
      <c r="C61" s="3" t="s">
        <v>16</v>
      </c>
      <c r="D61" s="3">
        <v>575.0</v>
      </c>
      <c r="E61" s="3">
        <v>0.0</v>
      </c>
      <c r="F61" s="3" t="s">
        <v>23</v>
      </c>
      <c r="G61" s="3" t="s">
        <v>24</v>
      </c>
      <c r="H61" s="3" t="s">
        <v>19</v>
      </c>
      <c r="I61" s="3" t="s">
        <v>174</v>
      </c>
      <c r="J61" s="3" t="s">
        <v>175</v>
      </c>
      <c r="K61" s="3" t="s">
        <v>176</v>
      </c>
      <c r="L61" s="3" t="s">
        <v>177</v>
      </c>
      <c r="M61" s="3">
        <v>3.0</v>
      </c>
      <c r="N61" s="3">
        <v>0.0099</v>
      </c>
      <c r="O61" s="3">
        <v>11.029266666666667</v>
      </c>
    </row>
    <row r="62" ht="15.75" customHeight="1">
      <c r="A62" s="2">
        <v>45531.0</v>
      </c>
      <c r="B62" s="3" t="s">
        <v>54</v>
      </c>
      <c r="C62" s="3" t="s">
        <v>32</v>
      </c>
      <c r="D62" s="3">
        <v>653.0</v>
      </c>
      <c r="E62" s="3">
        <v>0.0</v>
      </c>
      <c r="G62" s="3" t="s">
        <v>18</v>
      </c>
      <c r="H62" s="3" t="s">
        <v>43</v>
      </c>
      <c r="I62" s="3" t="s">
        <v>178</v>
      </c>
      <c r="J62" s="3" t="s">
        <v>179</v>
      </c>
      <c r="K62" s="3" t="s">
        <v>179</v>
      </c>
      <c r="M62" s="3">
        <v>-4.0</v>
      </c>
      <c r="O62" s="3">
        <v>10.776983333333334</v>
      </c>
    </row>
    <row r="63" ht="15.75" customHeight="1">
      <c r="A63" s="2">
        <v>45531.0</v>
      </c>
      <c r="B63" s="3" t="s">
        <v>96</v>
      </c>
      <c r="C63" s="3" t="s">
        <v>16</v>
      </c>
      <c r="D63" s="3">
        <v>398.0</v>
      </c>
      <c r="E63" s="3">
        <v>0.0</v>
      </c>
      <c r="G63" s="3" t="s">
        <v>76</v>
      </c>
      <c r="H63" s="3" t="s">
        <v>43</v>
      </c>
      <c r="I63" s="3" t="s">
        <v>180</v>
      </c>
      <c r="J63" s="3" t="s">
        <v>181</v>
      </c>
      <c r="K63" s="3" t="s">
        <v>181</v>
      </c>
      <c r="M63" s="3">
        <v>4.0</v>
      </c>
      <c r="O63" s="3">
        <v>9.67945</v>
      </c>
    </row>
    <row r="64" ht="15.75" customHeight="1">
      <c r="A64" s="2">
        <v>45531.0</v>
      </c>
      <c r="B64" s="3" t="s">
        <v>22</v>
      </c>
      <c r="C64" s="3" t="s">
        <v>16</v>
      </c>
      <c r="D64" s="3">
        <v>366.0</v>
      </c>
      <c r="E64" s="3">
        <v>62.0</v>
      </c>
      <c r="G64" s="3" t="s">
        <v>76</v>
      </c>
      <c r="H64" s="3" t="s">
        <v>43</v>
      </c>
      <c r="I64" s="3" t="s">
        <v>182</v>
      </c>
      <c r="J64" s="3" t="s">
        <v>183</v>
      </c>
      <c r="K64" s="3" t="s">
        <v>183</v>
      </c>
      <c r="M64" s="3">
        <v>-8.0</v>
      </c>
      <c r="O64" s="3">
        <v>89.64916666666667</v>
      </c>
    </row>
    <row r="65" ht="15.75" customHeight="1">
      <c r="A65" s="2">
        <v>45531.0</v>
      </c>
      <c r="B65" s="3" t="s">
        <v>96</v>
      </c>
      <c r="C65" s="3" t="s">
        <v>16</v>
      </c>
      <c r="D65" s="3">
        <v>348.0</v>
      </c>
      <c r="E65" s="3">
        <v>0.0</v>
      </c>
      <c r="G65" s="3" t="s">
        <v>76</v>
      </c>
      <c r="H65" s="3" t="s">
        <v>43</v>
      </c>
      <c r="I65" s="3" t="s">
        <v>184</v>
      </c>
      <c r="J65" s="3" t="s">
        <v>185</v>
      </c>
      <c r="K65" s="3" t="s">
        <v>185</v>
      </c>
      <c r="M65" s="3">
        <v>7.0</v>
      </c>
      <c r="O65" s="3">
        <v>12.3883</v>
      </c>
    </row>
    <row r="66" ht="15.75" customHeight="1">
      <c r="A66" s="2">
        <v>45531.0</v>
      </c>
      <c r="B66" s="3" t="s">
        <v>31</v>
      </c>
      <c r="C66" s="3" t="s">
        <v>32</v>
      </c>
      <c r="D66" s="3">
        <v>588.0</v>
      </c>
      <c r="E66" s="3">
        <v>0.0</v>
      </c>
      <c r="F66" s="3" t="s">
        <v>186</v>
      </c>
      <c r="G66" s="3" t="s">
        <v>18</v>
      </c>
      <c r="H66" s="3" t="s">
        <v>19</v>
      </c>
      <c r="I66" s="3" t="s">
        <v>187</v>
      </c>
      <c r="J66" s="3" t="s">
        <v>188</v>
      </c>
      <c r="K66" s="3" t="s">
        <v>188</v>
      </c>
      <c r="M66" s="3">
        <v>0.0</v>
      </c>
      <c r="O66" s="3">
        <v>18.05265</v>
      </c>
    </row>
    <row r="67" ht="15.75" customHeight="1">
      <c r="A67" s="2">
        <v>45531.0</v>
      </c>
      <c r="B67" s="3" t="s">
        <v>22</v>
      </c>
      <c r="C67" s="3" t="s">
        <v>16</v>
      </c>
      <c r="D67" s="3">
        <v>329.0</v>
      </c>
      <c r="E67" s="3">
        <v>0.0</v>
      </c>
      <c r="F67" s="3" t="s">
        <v>23</v>
      </c>
      <c r="G67" s="3" t="s">
        <v>24</v>
      </c>
      <c r="H67" s="3" t="s">
        <v>19</v>
      </c>
      <c r="I67" s="3" t="s">
        <v>189</v>
      </c>
      <c r="J67" s="3" t="s">
        <v>190</v>
      </c>
      <c r="K67" s="3" t="s">
        <v>191</v>
      </c>
      <c r="L67" s="3" t="s">
        <v>192</v>
      </c>
      <c r="M67" s="3">
        <v>9.0</v>
      </c>
      <c r="N67" s="3">
        <v>0.008933333333333333</v>
      </c>
      <c r="O67" s="3">
        <v>21.337433333333333</v>
      </c>
    </row>
    <row r="68" ht="15.75" customHeight="1">
      <c r="A68" s="2">
        <v>45531.0</v>
      </c>
      <c r="B68" s="3" t="s">
        <v>22</v>
      </c>
      <c r="C68" s="3" t="s">
        <v>16</v>
      </c>
      <c r="D68" s="3">
        <v>374.0</v>
      </c>
      <c r="E68" s="3">
        <v>0.0</v>
      </c>
      <c r="F68" s="3" t="s">
        <v>23</v>
      </c>
      <c r="G68" s="3" t="s">
        <v>24</v>
      </c>
      <c r="H68" s="3" t="s">
        <v>43</v>
      </c>
      <c r="I68" s="3" t="s">
        <v>193</v>
      </c>
      <c r="J68" s="3" t="s">
        <v>194</v>
      </c>
      <c r="K68" s="3" t="s">
        <v>195</v>
      </c>
      <c r="L68" s="3" t="s">
        <v>196</v>
      </c>
      <c r="M68" s="3">
        <v>2.0</v>
      </c>
      <c r="N68" s="3">
        <v>0.008516666666666667</v>
      </c>
      <c r="O68" s="3">
        <v>15.152033333333334</v>
      </c>
    </row>
    <row r="69" ht="15.75" customHeight="1">
      <c r="A69" s="2">
        <v>45531.0</v>
      </c>
      <c r="B69" s="3" t="s">
        <v>22</v>
      </c>
      <c r="C69" s="3" t="s">
        <v>16</v>
      </c>
      <c r="D69" s="3">
        <v>523.0</v>
      </c>
      <c r="E69" s="3">
        <v>32.0</v>
      </c>
      <c r="F69" s="3" t="s">
        <v>17</v>
      </c>
      <c r="G69" s="3" t="s">
        <v>24</v>
      </c>
      <c r="H69" s="3" t="s">
        <v>19</v>
      </c>
      <c r="I69" s="3" t="s">
        <v>197</v>
      </c>
      <c r="J69" s="3" t="s">
        <v>198</v>
      </c>
      <c r="K69" s="3" t="s">
        <v>199</v>
      </c>
      <c r="L69" s="3" t="s">
        <v>200</v>
      </c>
      <c r="M69" s="3">
        <v>18.0</v>
      </c>
      <c r="N69" s="3">
        <v>10.967766666666666</v>
      </c>
      <c r="O69" s="3">
        <v>13.16235</v>
      </c>
    </row>
    <row r="70" ht="15.75" customHeight="1">
      <c r="A70" s="2">
        <v>45531.0</v>
      </c>
      <c r="B70" s="3" t="s">
        <v>22</v>
      </c>
      <c r="C70" s="3" t="s">
        <v>16</v>
      </c>
      <c r="D70" s="3">
        <v>168.0</v>
      </c>
      <c r="E70" s="3">
        <v>0.0</v>
      </c>
      <c r="G70" s="3" t="s">
        <v>76</v>
      </c>
      <c r="H70" s="3" t="s">
        <v>43</v>
      </c>
      <c r="I70" s="3" t="s">
        <v>201</v>
      </c>
      <c r="J70" s="3" t="s">
        <v>202</v>
      </c>
      <c r="K70" s="3" t="s">
        <v>202</v>
      </c>
      <c r="M70" s="3">
        <v>-6.0</v>
      </c>
      <c r="O70" s="3">
        <v>12.58635</v>
      </c>
    </row>
    <row r="71" ht="15.75" customHeight="1">
      <c r="A71" s="2">
        <v>45531.0</v>
      </c>
      <c r="B71" s="3" t="s">
        <v>54</v>
      </c>
      <c r="C71" s="3" t="s">
        <v>32</v>
      </c>
      <c r="D71" s="3">
        <v>264.0</v>
      </c>
      <c r="E71" s="3">
        <v>0.0</v>
      </c>
      <c r="G71" s="3" t="s">
        <v>18</v>
      </c>
      <c r="H71" s="3" t="s">
        <v>19</v>
      </c>
      <c r="I71" s="3" t="s">
        <v>203</v>
      </c>
      <c r="J71" s="3" t="s">
        <v>204</v>
      </c>
      <c r="K71" s="3" t="s">
        <v>204</v>
      </c>
      <c r="M71" s="3">
        <v>-2.0</v>
      </c>
      <c r="O71" s="3">
        <v>8.602383333333334</v>
      </c>
    </row>
    <row r="72" ht="15.75" customHeight="1">
      <c r="A72" s="2">
        <v>45531.0</v>
      </c>
      <c r="B72" s="3" t="s">
        <v>54</v>
      </c>
      <c r="C72" s="3" t="s">
        <v>32</v>
      </c>
      <c r="D72" s="3">
        <v>429.0</v>
      </c>
      <c r="E72" s="3">
        <v>0.0</v>
      </c>
      <c r="G72" s="3" t="s">
        <v>18</v>
      </c>
      <c r="H72" s="3" t="s">
        <v>19</v>
      </c>
      <c r="I72" s="3" t="s">
        <v>205</v>
      </c>
      <c r="J72" s="3" t="s">
        <v>206</v>
      </c>
      <c r="K72" s="3" t="s">
        <v>206</v>
      </c>
      <c r="M72" s="3">
        <v>-2.0</v>
      </c>
      <c r="O72" s="3">
        <v>10.722833333333334</v>
      </c>
    </row>
    <row r="73" ht="15.75" customHeight="1">
      <c r="A73" s="2">
        <v>45531.0</v>
      </c>
      <c r="B73" s="3" t="s">
        <v>15</v>
      </c>
      <c r="C73" s="3" t="s">
        <v>16</v>
      </c>
      <c r="D73" s="3">
        <v>593.0</v>
      </c>
      <c r="E73" s="3">
        <v>0.0</v>
      </c>
      <c r="F73" s="3" t="s">
        <v>17</v>
      </c>
      <c r="G73" s="3" t="s">
        <v>18</v>
      </c>
      <c r="H73" s="3" t="s">
        <v>19</v>
      </c>
      <c r="I73" s="3" t="s">
        <v>207</v>
      </c>
      <c r="J73" s="3" t="s">
        <v>208</v>
      </c>
      <c r="K73" s="3" t="s">
        <v>208</v>
      </c>
      <c r="M73" s="3">
        <v>-4.0</v>
      </c>
      <c r="O73" s="3">
        <v>10.3188</v>
      </c>
    </row>
    <row r="74" ht="15.75" customHeight="1">
      <c r="A74" s="2">
        <v>45531.0</v>
      </c>
      <c r="B74" s="3" t="s">
        <v>22</v>
      </c>
      <c r="C74" s="3" t="s">
        <v>16</v>
      </c>
      <c r="D74" s="3">
        <v>219.0</v>
      </c>
      <c r="E74" s="3">
        <v>55.0</v>
      </c>
      <c r="G74" s="3" t="s">
        <v>76</v>
      </c>
      <c r="H74" s="3" t="s">
        <v>80</v>
      </c>
      <c r="I74" s="3" t="s">
        <v>209</v>
      </c>
      <c r="J74" s="3" t="s">
        <v>210</v>
      </c>
      <c r="K74" s="3" t="s">
        <v>210</v>
      </c>
      <c r="M74" s="3">
        <v>-11.0</v>
      </c>
      <c r="O74" s="3">
        <v>8.287916666666666</v>
      </c>
    </row>
    <row r="75" ht="15.75" customHeight="1">
      <c r="A75" s="2">
        <v>45531.0</v>
      </c>
      <c r="B75" s="3" t="s">
        <v>54</v>
      </c>
      <c r="C75" s="3" t="s">
        <v>32</v>
      </c>
      <c r="D75" s="3">
        <v>553.0</v>
      </c>
      <c r="E75" s="3">
        <v>0.0</v>
      </c>
      <c r="G75" s="3" t="s">
        <v>18</v>
      </c>
      <c r="H75" s="3" t="s">
        <v>19</v>
      </c>
      <c r="I75" s="3" t="s">
        <v>211</v>
      </c>
      <c r="J75" s="3" t="s">
        <v>212</v>
      </c>
      <c r="K75" s="3" t="s">
        <v>212</v>
      </c>
      <c r="M75" s="3">
        <v>-2.0</v>
      </c>
      <c r="O75" s="3">
        <v>11.9187</v>
      </c>
    </row>
    <row r="76" ht="15.75" customHeight="1">
      <c r="A76" s="2">
        <v>45531.0</v>
      </c>
      <c r="B76" s="3" t="s">
        <v>22</v>
      </c>
      <c r="C76" s="3" t="s">
        <v>79</v>
      </c>
      <c r="D76" s="3">
        <v>267.0</v>
      </c>
      <c r="E76" s="3">
        <v>62.0</v>
      </c>
      <c r="G76" s="3" t="s">
        <v>76</v>
      </c>
      <c r="H76" s="3" t="s">
        <v>80</v>
      </c>
      <c r="I76" s="3" t="s">
        <v>213</v>
      </c>
      <c r="M76" s="3">
        <v>0.0</v>
      </c>
    </row>
    <row r="77" ht="15.75" customHeight="1">
      <c r="A77" s="2">
        <v>45531.0</v>
      </c>
      <c r="B77" s="3" t="s">
        <v>22</v>
      </c>
      <c r="C77" s="3" t="s">
        <v>16</v>
      </c>
      <c r="D77" s="3">
        <v>267.0</v>
      </c>
      <c r="E77" s="3">
        <v>62.0</v>
      </c>
      <c r="G77" s="3" t="s">
        <v>76</v>
      </c>
      <c r="H77" s="3" t="s">
        <v>80</v>
      </c>
      <c r="I77" s="3" t="s">
        <v>214</v>
      </c>
      <c r="J77" s="3" t="s">
        <v>215</v>
      </c>
      <c r="K77" s="3" t="s">
        <v>215</v>
      </c>
      <c r="M77" s="3">
        <v>-10.0</v>
      </c>
      <c r="O77" s="3">
        <v>9.247833333333332</v>
      </c>
    </row>
    <row r="78" ht="15.75" customHeight="1">
      <c r="A78" s="2">
        <v>45531.0</v>
      </c>
      <c r="B78" s="3" t="s">
        <v>22</v>
      </c>
      <c r="C78" s="3" t="s">
        <v>16</v>
      </c>
      <c r="D78" s="3">
        <v>267.0</v>
      </c>
      <c r="E78" s="3">
        <v>62.0</v>
      </c>
      <c r="G78" s="3" t="s">
        <v>76</v>
      </c>
      <c r="H78" s="3" t="s">
        <v>19</v>
      </c>
      <c r="I78" s="3" t="s">
        <v>216</v>
      </c>
      <c r="J78" s="3" t="s">
        <v>217</v>
      </c>
      <c r="K78" s="3" t="s">
        <v>217</v>
      </c>
      <c r="M78" s="3">
        <v>-8.0</v>
      </c>
      <c r="O78" s="3">
        <v>10.433783333333333</v>
      </c>
    </row>
    <row r="79" ht="15.75" customHeight="1">
      <c r="A79" s="2">
        <v>45531.0</v>
      </c>
      <c r="B79" s="3" t="s">
        <v>22</v>
      </c>
      <c r="C79" s="3" t="s">
        <v>16</v>
      </c>
      <c r="D79" s="3">
        <v>324.0</v>
      </c>
      <c r="E79" s="3">
        <v>69.0</v>
      </c>
      <c r="G79" s="3" t="s">
        <v>76</v>
      </c>
      <c r="H79" s="3" t="s">
        <v>43</v>
      </c>
      <c r="I79" s="3" t="s">
        <v>218</v>
      </c>
      <c r="J79" s="3" t="s">
        <v>219</v>
      </c>
      <c r="K79" s="3" t="s">
        <v>219</v>
      </c>
      <c r="M79" s="3">
        <v>-9.0</v>
      </c>
      <c r="O79" s="3">
        <v>9.912783333333334</v>
      </c>
    </row>
    <row r="80" ht="15.75" customHeight="1">
      <c r="A80" s="2">
        <v>45531.0</v>
      </c>
      <c r="B80" s="3" t="s">
        <v>54</v>
      </c>
      <c r="C80" s="3" t="s">
        <v>32</v>
      </c>
      <c r="D80" s="3">
        <v>573.0</v>
      </c>
      <c r="E80" s="3">
        <v>0.0</v>
      </c>
      <c r="G80" s="3" t="s">
        <v>18</v>
      </c>
      <c r="H80" s="3" t="s">
        <v>43</v>
      </c>
      <c r="I80" s="3" t="s">
        <v>220</v>
      </c>
      <c r="J80" s="3" t="s">
        <v>221</v>
      </c>
      <c r="K80" s="3" t="s">
        <v>221</v>
      </c>
      <c r="M80" s="3">
        <v>-2.0</v>
      </c>
      <c r="O80" s="3">
        <v>11.2444</v>
      </c>
    </row>
    <row r="81" ht="15.75" customHeight="1">
      <c r="A81" s="2">
        <v>45531.0</v>
      </c>
      <c r="B81" s="3" t="s">
        <v>31</v>
      </c>
      <c r="C81" s="3" t="s">
        <v>32</v>
      </c>
      <c r="D81" s="3">
        <v>788.0</v>
      </c>
      <c r="E81" s="3">
        <v>0.0</v>
      </c>
      <c r="F81" s="3" t="s">
        <v>222</v>
      </c>
      <c r="G81" s="3" t="s">
        <v>18</v>
      </c>
      <c r="H81" s="3" t="s">
        <v>19</v>
      </c>
      <c r="I81" s="3" t="s">
        <v>223</v>
      </c>
      <c r="J81" s="3" t="s">
        <v>224</v>
      </c>
      <c r="K81" s="3" t="s">
        <v>224</v>
      </c>
      <c r="M81" s="3">
        <v>-6.0</v>
      </c>
      <c r="O81" s="3">
        <v>12.034283333333333</v>
      </c>
    </row>
    <row r="82" ht="15.75" customHeight="1">
      <c r="A82" s="2">
        <v>45531.0</v>
      </c>
      <c r="B82" s="3" t="s">
        <v>22</v>
      </c>
      <c r="C82" s="3" t="s">
        <v>16</v>
      </c>
      <c r="D82" s="3">
        <v>289.0</v>
      </c>
      <c r="E82" s="3">
        <v>0.0</v>
      </c>
      <c r="F82" s="3" t="s">
        <v>225</v>
      </c>
      <c r="G82" s="3" t="s">
        <v>24</v>
      </c>
      <c r="H82" s="3" t="s">
        <v>19</v>
      </c>
      <c r="I82" s="3" t="s">
        <v>226</v>
      </c>
      <c r="J82" s="3" t="s">
        <v>227</v>
      </c>
      <c r="K82" s="3" t="s">
        <v>228</v>
      </c>
      <c r="L82" s="3" t="s">
        <v>229</v>
      </c>
      <c r="M82" s="3">
        <v>-9.0</v>
      </c>
      <c r="N82" s="3">
        <v>0.0098</v>
      </c>
      <c r="O82" s="3">
        <v>7.289016666666667</v>
      </c>
    </row>
    <row r="83" ht="15.75" customHeight="1">
      <c r="A83" s="2">
        <v>45531.0</v>
      </c>
      <c r="B83" s="3" t="s">
        <v>54</v>
      </c>
      <c r="C83" s="3" t="s">
        <v>16</v>
      </c>
      <c r="D83" s="3">
        <v>294.0</v>
      </c>
      <c r="E83" s="3">
        <v>100.0</v>
      </c>
      <c r="G83" s="3" t="s">
        <v>18</v>
      </c>
      <c r="H83" s="3" t="s">
        <v>19</v>
      </c>
      <c r="I83" s="3" t="s">
        <v>230</v>
      </c>
      <c r="J83" s="3" t="s">
        <v>231</v>
      </c>
      <c r="K83" s="3" t="s">
        <v>231</v>
      </c>
      <c r="M83" s="3">
        <v>-1.0</v>
      </c>
      <c r="O83" s="3">
        <v>11.603533333333333</v>
      </c>
    </row>
    <row r="84" ht="15.75" customHeight="1">
      <c r="A84" s="2">
        <v>45531.0</v>
      </c>
      <c r="B84" s="3" t="s">
        <v>22</v>
      </c>
      <c r="C84" s="3" t="s">
        <v>16</v>
      </c>
      <c r="D84" s="3">
        <v>575.0</v>
      </c>
      <c r="E84" s="3">
        <v>0.0</v>
      </c>
      <c r="F84" s="3" t="s">
        <v>225</v>
      </c>
      <c r="G84" s="3" t="s">
        <v>24</v>
      </c>
      <c r="H84" s="3" t="s">
        <v>19</v>
      </c>
      <c r="I84" s="3" t="s">
        <v>232</v>
      </c>
      <c r="J84" s="3" t="s">
        <v>233</v>
      </c>
      <c r="K84" s="3" t="s">
        <v>234</v>
      </c>
      <c r="L84" s="3" t="s">
        <v>235</v>
      </c>
      <c r="M84" s="3">
        <v>-3.0</v>
      </c>
      <c r="N84" s="3">
        <v>0.013266666666666666</v>
      </c>
      <c r="O84" s="3">
        <v>10.217433333333334</v>
      </c>
    </row>
    <row r="85" ht="15.75" customHeight="1">
      <c r="A85" s="2">
        <v>45531.0</v>
      </c>
      <c r="B85" s="3" t="s">
        <v>54</v>
      </c>
      <c r="C85" s="3" t="s">
        <v>16</v>
      </c>
      <c r="D85" s="3">
        <v>665.0</v>
      </c>
      <c r="E85" s="3">
        <v>0.0</v>
      </c>
      <c r="G85" s="3" t="s">
        <v>18</v>
      </c>
      <c r="H85" s="3" t="s">
        <v>19</v>
      </c>
      <c r="I85" s="3" t="s">
        <v>236</v>
      </c>
      <c r="J85" s="3" t="s">
        <v>237</v>
      </c>
      <c r="K85" s="3" t="s">
        <v>237</v>
      </c>
      <c r="M85" s="3">
        <v>-3.0</v>
      </c>
      <c r="O85" s="3">
        <v>10.494016666666667</v>
      </c>
    </row>
    <row r="86" ht="15.75" customHeight="1">
      <c r="A86" s="2">
        <v>45531.0</v>
      </c>
      <c r="B86" s="3" t="s">
        <v>22</v>
      </c>
      <c r="C86" s="3" t="s">
        <v>16</v>
      </c>
      <c r="D86" s="3">
        <v>285.0</v>
      </c>
      <c r="E86" s="3">
        <v>61.0</v>
      </c>
      <c r="G86" s="3" t="s">
        <v>76</v>
      </c>
      <c r="H86" s="3" t="s">
        <v>19</v>
      </c>
      <c r="I86" s="3" t="s">
        <v>238</v>
      </c>
      <c r="J86" s="3" t="s">
        <v>239</v>
      </c>
      <c r="K86" s="3" t="s">
        <v>239</v>
      </c>
      <c r="M86" s="3">
        <v>-7.0</v>
      </c>
      <c r="O86" s="3">
        <v>11.47205</v>
      </c>
    </row>
    <row r="87" ht="15.75" customHeight="1">
      <c r="A87" s="2">
        <v>45531.0</v>
      </c>
      <c r="B87" s="3" t="s">
        <v>22</v>
      </c>
      <c r="C87" s="3" t="s">
        <v>16</v>
      </c>
      <c r="D87" s="3">
        <v>309.0</v>
      </c>
      <c r="E87" s="3">
        <v>0.0</v>
      </c>
      <c r="F87" s="3" t="s">
        <v>225</v>
      </c>
      <c r="G87" s="3" t="s">
        <v>24</v>
      </c>
      <c r="H87" s="3" t="s">
        <v>43</v>
      </c>
      <c r="I87" s="3" t="s">
        <v>240</v>
      </c>
      <c r="J87" s="3" t="s">
        <v>241</v>
      </c>
      <c r="K87" s="3" t="s">
        <v>242</v>
      </c>
      <c r="L87" s="3" t="s">
        <v>243</v>
      </c>
      <c r="M87" s="3">
        <v>0.0</v>
      </c>
      <c r="N87" s="3">
        <v>0.008666666666666666</v>
      </c>
      <c r="O87" s="3">
        <v>14.306633333333334</v>
      </c>
    </row>
    <row r="88" ht="15.75" customHeight="1">
      <c r="A88" s="2">
        <v>45531.0</v>
      </c>
      <c r="B88" s="3" t="s">
        <v>15</v>
      </c>
      <c r="C88" s="3" t="s">
        <v>16</v>
      </c>
      <c r="D88" s="3">
        <v>406.0</v>
      </c>
      <c r="E88" s="3">
        <v>0.0</v>
      </c>
      <c r="F88" s="3" t="s">
        <v>17</v>
      </c>
      <c r="G88" s="3" t="s">
        <v>18</v>
      </c>
      <c r="H88" s="3" t="s">
        <v>19</v>
      </c>
      <c r="I88" s="3" t="s">
        <v>244</v>
      </c>
      <c r="J88" s="3" t="s">
        <v>245</v>
      </c>
      <c r="K88" s="3" t="s">
        <v>245</v>
      </c>
      <c r="M88" s="3">
        <v>-6.0</v>
      </c>
      <c r="O88" s="3">
        <v>8.4832</v>
      </c>
    </row>
    <row r="89" ht="15.75" customHeight="1">
      <c r="A89" s="2">
        <v>45531.0</v>
      </c>
      <c r="B89" s="3" t="s">
        <v>31</v>
      </c>
      <c r="C89" s="3" t="s">
        <v>32</v>
      </c>
      <c r="D89" s="3">
        <v>553.0</v>
      </c>
      <c r="E89" s="3">
        <v>0.0</v>
      </c>
      <c r="F89" s="3" t="s">
        <v>246</v>
      </c>
      <c r="G89" s="3" t="s">
        <v>18</v>
      </c>
      <c r="H89" s="3" t="s">
        <v>19</v>
      </c>
      <c r="I89" s="3" t="s">
        <v>247</v>
      </c>
      <c r="J89" s="3" t="s">
        <v>248</v>
      </c>
      <c r="K89" s="3" t="s">
        <v>248</v>
      </c>
      <c r="M89" s="3">
        <v>-1.0</v>
      </c>
      <c r="O89" s="3">
        <v>14.2658</v>
      </c>
    </row>
    <row r="90" ht="15.75" customHeight="1">
      <c r="A90" s="2">
        <v>45531.0</v>
      </c>
      <c r="B90" s="3" t="s">
        <v>96</v>
      </c>
      <c r="C90" s="3" t="s">
        <v>16</v>
      </c>
      <c r="D90" s="3">
        <v>119.0</v>
      </c>
      <c r="E90" s="3">
        <v>0.0</v>
      </c>
      <c r="G90" s="3" t="s">
        <v>76</v>
      </c>
      <c r="H90" s="3" t="s">
        <v>43</v>
      </c>
      <c r="I90" s="3" t="s">
        <v>249</v>
      </c>
      <c r="J90" s="3" t="s">
        <v>250</v>
      </c>
      <c r="K90" s="3" t="s">
        <v>250</v>
      </c>
      <c r="M90" s="3">
        <v>7.0</v>
      </c>
      <c r="O90" s="3">
        <v>12.805283333333334</v>
      </c>
    </row>
    <row r="91" ht="15.75" customHeight="1">
      <c r="A91" s="2">
        <v>45531.0</v>
      </c>
      <c r="B91" s="3" t="s">
        <v>22</v>
      </c>
      <c r="C91" s="3" t="s">
        <v>16</v>
      </c>
      <c r="D91" s="3">
        <v>357.0</v>
      </c>
      <c r="E91" s="3">
        <v>0.0</v>
      </c>
      <c r="G91" s="3" t="s">
        <v>76</v>
      </c>
      <c r="H91" s="3" t="s">
        <v>43</v>
      </c>
      <c r="I91" s="3" t="s">
        <v>251</v>
      </c>
      <c r="J91" s="3" t="s">
        <v>252</v>
      </c>
      <c r="K91" s="3" t="s">
        <v>252</v>
      </c>
      <c r="M91" s="3">
        <v>-5.0</v>
      </c>
      <c r="O91" s="3">
        <v>15.2749</v>
      </c>
    </row>
    <row r="92" ht="15.75" customHeight="1">
      <c r="A92" s="2">
        <v>45531.0</v>
      </c>
      <c r="B92" s="3" t="s">
        <v>22</v>
      </c>
      <c r="C92" s="3" t="s">
        <v>16</v>
      </c>
      <c r="D92" s="3">
        <v>331.0</v>
      </c>
      <c r="E92" s="3">
        <v>0.0</v>
      </c>
      <c r="F92" s="3" t="s">
        <v>225</v>
      </c>
      <c r="G92" s="3" t="s">
        <v>24</v>
      </c>
      <c r="H92" s="3" t="s">
        <v>19</v>
      </c>
      <c r="I92" s="3" t="s">
        <v>253</v>
      </c>
      <c r="J92" s="3" t="s">
        <v>254</v>
      </c>
      <c r="K92" s="3" t="s">
        <v>255</v>
      </c>
      <c r="L92" s="3" t="s">
        <v>256</v>
      </c>
      <c r="M92" s="3">
        <v>-6.0</v>
      </c>
      <c r="N92" s="3">
        <v>0.008416666666666666</v>
      </c>
      <c r="O92" s="3">
        <v>16.221933333333332</v>
      </c>
    </row>
    <row r="93" ht="15.75" customHeight="1">
      <c r="A93" s="2">
        <v>45531.0</v>
      </c>
      <c r="B93" s="3" t="s">
        <v>96</v>
      </c>
      <c r="C93" s="3" t="s">
        <v>16</v>
      </c>
      <c r="D93" s="3">
        <v>45.0</v>
      </c>
      <c r="E93" s="3">
        <v>0.0</v>
      </c>
      <c r="G93" s="3" t="s">
        <v>76</v>
      </c>
      <c r="H93" s="3" t="s">
        <v>43</v>
      </c>
      <c r="I93" s="3" t="s">
        <v>257</v>
      </c>
      <c r="J93" s="3" t="s">
        <v>258</v>
      </c>
      <c r="K93" s="3" t="s">
        <v>258</v>
      </c>
      <c r="M93" s="3">
        <v>4.0</v>
      </c>
      <c r="O93" s="3">
        <v>9.26605</v>
      </c>
    </row>
    <row r="94" ht="15.75" customHeight="1">
      <c r="A94" s="2">
        <v>45531.0</v>
      </c>
      <c r="B94" s="3" t="s">
        <v>22</v>
      </c>
      <c r="C94" s="3" t="s">
        <v>16</v>
      </c>
      <c r="D94" s="3">
        <v>358.0</v>
      </c>
      <c r="E94" s="3">
        <v>0.0</v>
      </c>
      <c r="F94" s="3" t="s">
        <v>225</v>
      </c>
      <c r="G94" s="3" t="s">
        <v>24</v>
      </c>
      <c r="H94" s="3" t="s">
        <v>19</v>
      </c>
      <c r="I94" s="3" t="s">
        <v>259</v>
      </c>
      <c r="J94" s="3" t="s">
        <v>260</v>
      </c>
      <c r="K94" s="3" t="s">
        <v>261</v>
      </c>
      <c r="L94" s="3" t="s">
        <v>262</v>
      </c>
      <c r="M94" s="3">
        <v>-2.0</v>
      </c>
      <c r="N94" s="3">
        <v>0.00925</v>
      </c>
      <c r="O94" s="3">
        <v>8.1714</v>
      </c>
    </row>
    <row r="95" ht="15.75" customHeight="1">
      <c r="A95" s="2">
        <v>45531.0</v>
      </c>
      <c r="B95" s="3" t="s">
        <v>22</v>
      </c>
      <c r="C95" s="3" t="s">
        <v>16</v>
      </c>
      <c r="D95" s="3">
        <v>339.0</v>
      </c>
      <c r="E95" s="3">
        <v>0.0</v>
      </c>
      <c r="F95" s="3" t="s">
        <v>225</v>
      </c>
      <c r="G95" s="3" t="s">
        <v>24</v>
      </c>
      <c r="H95" s="3" t="s">
        <v>19</v>
      </c>
      <c r="I95" s="3" t="s">
        <v>263</v>
      </c>
      <c r="J95" s="3" t="s">
        <v>264</v>
      </c>
      <c r="K95" s="3" t="s">
        <v>265</v>
      </c>
      <c r="L95" s="3" t="s">
        <v>266</v>
      </c>
      <c r="M95" s="3">
        <v>-9.0</v>
      </c>
      <c r="N95" s="3">
        <v>0.0117</v>
      </c>
      <c r="O95" s="3">
        <v>12.003616666666666</v>
      </c>
    </row>
    <row r="96" ht="15.75" customHeight="1">
      <c r="A96" s="2">
        <v>45531.0</v>
      </c>
      <c r="B96" s="3" t="s">
        <v>22</v>
      </c>
      <c r="C96" s="3" t="s">
        <v>16</v>
      </c>
      <c r="D96" s="3">
        <v>247.0</v>
      </c>
      <c r="E96" s="3">
        <v>62.0</v>
      </c>
      <c r="G96" s="3" t="s">
        <v>76</v>
      </c>
      <c r="H96" s="3" t="s">
        <v>43</v>
      </c>
      <c r="I96" s="3" t="s">
        <v>267</v>
      </c>
      <c r="J96" s="3" t="s">
        <v>268</v>
      </c>
      <c r="K96" s="3" t="s">
        <v>268</v>
      </c>
      <c r="M96" s="3">
        <v>-10.0</v>
      </c>
      <c r="O96" s="3">
        <v>9.253283333333334</v>
      </c>
    </row>
    <row r="97" ht="15.75" customHeight="1">
      <c r="A97" s="2">
        <v>45531.0</v>
      </c>
      <c r="B97" s="3" t="s">
        <v>31</v>
      </c>
      <c r="C97" s="3" t="s">
        <v>32</v>
      </c>
      <c r="D97" s="3">
        <v>264.0</v>
      </c>
      <c r="E97" s="3">
        <v>0.0</v>
      </c>
      <c r="F97" s="3" t="s">
        <v>269</v>
      </c>
      <c r="G97" s="3" t="s">
        <v>18</v>
      </c>
      <c r="H97" s="3" t="s">
        <v>19</v>
      </c>
      <c r="I97" s="3" t="s">
        <v>270</v>
      </c>
      <c r="J97" s="3" t="s">
        <v>271</v>
      </c>
      <c r="K97" s="3" t="s">
        <v>271</v>
      </c>
      <c r="M97" s="3">
        <v>-8.0</v>
      </c>
      <c r="O97" s="3">
        <v>6.6682</v>
      </c>
    </row>
    <row r="98" ht="15.75" customHeight="1">
      <c r="A98" s="2">
        <v>45531.0</v>
      </c>
      <c r="B98" s="3" t="s">
        <v>15</v>
      </c>
      <c r="C98" s="3" t="s">
        <v>16</v>
      </c>
      <c r="D98" s="3">
        <v>321.0</v>
      </c>
      <c r="E98" s="3">
        <v>0.0</v>
      </c>
      <c r="F98" s="3" t="s">
        <v>17</v>
      </c>
      <c r="G98" s="3" t="s">
        <v>18</v>
      </c>
      <c r="H98" s="3" t="s">
        <v>19</v>
      </c>
      <c r="I98" s="3" t="s">
        <v>272</v>
      </c>
      <c r="J98" s="3" t="s">
        <v>273</v>
      </c>
      <c r="K98" s="3" t="s">
        <v>273</v>
      </c>
      <c r="M98" s="3">
        <v>-7.0</v>
      </c>
      <c r="O98" s="3">
        <v>7.0488333333333335</v>
      </c>
    </row>
    <row r="99" ht="15.75" customHeight="1">
      <c r="A99" s="2">
        <v>45531.0</v>
      </c>
      <c r="B99" s="3" t="s">
        <v>54</v>
      </c>
      <c r="C99" s="3" t="s">
        <v>32</v>
      </c>
      <c r="D99" s="3">
        <v>321.0</v>
      </c>
      <c r="E99" s="3">
        <v>0.0</v>
      </c>
      <c r="G99" s="3" t="s">
        <v>18</v>
      </c>
      <c r="H99" s="3" t="s">
        <v>19</v>
      </c>
      <c r="I99" s="3" t="s">
        <v>274</v>
      </c>
      <c r="J99" s="3" t="s">
        <v>275</v>
      </c>
      <c r="K99" s="3" t="s">
        <v>275</v>
      </c>
      <c r="M99" s="3">
        <v>4.0</v>
      </c>
      <c r="O99" s="3">
        <v>16.666</v>
      </c>
    </row>
    <row r="100" ht="15.75" customHeight="1">
      <c r="A100" s="2">
        <v>45531.0</v>
      </c>
      <c r="B100" s="3" t="s">
        <v>54</v>
      </c>
      <c r="C100" s="3" t="s">
        <v>32</v>
      </c>
      <c r="D100" s="3">
        <v>423.0</v>
      </c>
      <c r="E100" s="3">
        <v>150.0</v>
      </c>
      <c r="G100" s="3" t="s">
        <v>18</v>
      </c>
      <c r="H100" s="3" t="s">
        <v>19</v>
      </c>
      <c r="I100" s="3" t="s">
        <v>276</v>
      </c>
      <c r="J100" s="3" t="s">
        <v>277</v>
      </c>
      <c r="K100" s="3" t="s">
        <v>277</v>
      </c>
      <c r="M100" s="3">
        <v>3.0</v>
      </c>
      <c r="O100" s="3">
        <v>17.000966666666667</v>
      </c>
    </row>
    <row r="101" ht="15.75" customHeight="1">
      <c r="A101" s="2">
        <v>45531.0</v>
      </c>
      <c r="B101" s="3" t="s">
        <v>96</v>
      </c>
      <c r="C101" s="3" t="s">
        <v>16</v>
      </c>
      <c r="D101" s="3">
        <v>249.0</v>
      </c>
      <c r="E101" s="3">
        <v>0.0</v>
      </c>
      <c r="G101" s="3" t="s">
        <v>76</v>
      </c>
      <c r="H101" s="3" t="s">
        <v>43</v>
      </c>
      <c r="I101" s="3" t="s">
        <v>278</v>
      </c>
      <c r="J101" s="3" t="s">
        <v>279</v>
      </c>
      <c r="K101" s="3" t="s">
        <v>279</v>
      </c>
      <c r="M101" s="3">
        <v>6.0</v>
      </c>
      <c r="O101" s="3">
        <v>11.491983333333334</v>
      </c>
    </row>
    <row r="102" ht="15.75" customHeight="1">
      <c r="A102" s="2">
        <v>45531.0</v>
      </c>
      <c r="B102" s="3" t="s">
        <v>22</v>
      </c>
      <c r="C102" s="3" t="s">
        <v>16</v>
      </c>
      <c r="D102" s="3">
        <v>653.0</v>
      </c>
      <c r="E102" s="3">
        <v>0.0</v>
      </c>
      <c r="F102" s="3" t="s">
        <v>17</v>
      </c>
      <c r="G102" s="3" t="s">
        <v>24</v>
      </c>
      <c r="H102" s="3" t="s">
        <v>43</v>
      </c>
      <c r="I102" s="3" t="s">
        <v>280</v>
      </c>
      <c r="J102" s="3" t="s">
        <v>281</v>
      </c>
      <c r="K102" s="3" t="s">
        <v>282</v>
      </c>
      <c r="L102" s="3" t="s">
        <v>283</v>
      </c>
      <c r="M102" s="3">
        <v>15.0</v>
      </c>
      <c r="N102" s="3">
        <v>12.6065</v>
      </c>
      <c r="O102" s="3">
        <v>16.7422</v>
      </c>
    </row>
    <row r="103" ht="15.75" customHeight="1">
      <c r="A103" s="2">
        <v>45531.0</v>
      </c>
      <c r="B103" s="3" t="s">
        <v>96</v>
      </c>
      <c r="C103" s="3" t="s">
        <v>16</v>
      </c>
      <c r="D103" s="3">
        <v>119.0</v>
      </c>
      <c r="E103" s="3">
        <v>0.0</v>
      </c>
      <c r="G103" s="3" t="s">
        <v>76</v>
      </c>
      <c r="H103" s="3" t="s">
        <v>43</v>
      </c>
      <c r="I103" s="3" t="s">
        <v>284</v>
      </c>
      <c r="J103" s="3" t="s">
        <v>285</v>
      </c>
      <c r="K103" s="3" t="s">
        <v>285</v>
      </c>
      <c r="M103" s="3">
        <v>5.0</v>
      </c>
      <c r="O103" s="3">
        <v>10.697166666666666</v>
      </c>
    </row>
    <row r="104" ht="15.75" customHeight="1">
      <c r="A104" s="2">
        <v>45531.0</v>
      </c>
      <c r="B104" s="3" t="s">
        <v>54</v>
      </c>
      <c r="C104" s="3" t="s">
        <v>32</v>
      </c>
      <c r="D104" s="3">
        <v>429.0</v>
      </c>
      <c r="E104" s="3">
        <v>0.0</v>
      </c>
      <c r="G104" s="3" t="s">
        <v>18</v>
      </c>
      <c r="H104" s="3" t="s">
        <v>19</v>
      </c>
      <c r="I104" s="3" t="s">
        <v>286</v>
      </c>
      <c r="J104" s="3" t="s">
        <v>287</v>
      </c>
      <c r="K104" s="3" t="s">
        <v>287</v>
      </c>
      <c r="M104" s="3">
        <v>4.0</v>
      </c>
      <c r="O104" s="3">
        <v>16.540383333333335</v>
      </c>
    </row>
    <row r="105" ht="15.75" customHeight="1">
      <c r="A105" s="2">
        <v>45531.0</v>
      </c>
      <c r="B105" s="3" t="s">
        <v>31</v>
      </c>
      <c r="C105" s="3" t="s">
        <v>32</v>
      </c>
      <c r="D105" s="3">
        <v>596.0</v>
      </c>
      <c r="E105" s="3">
        <v>0.0</v>
      </c>
      <c r="F105" s="3" t="s">
        <v>288</v>
      </c>
      <c r="G105" s="3" t="s">
        <v>18</v>
      </c>
      <c r="H105" s="3" t="s">
        <v>19</v>
      </c>
      <c r="I105" s="3" t="s">
        <v>289</v>
      </c>
      <c r="J105" s="3" t="s">
        <v>290</v>
      </c>
      <c r="K105" s="3" t="s">
        <v>290</v>
      </c>
      <c r="M105" s="3">
        <v>3.0</v>
      </c>
      <c r="O105" s="3">
        <v>20.080916666666667</v>
      </c>
    </row>
    <row r="106" ht="15.75" customHeight="1">
      <c r="A106" s="2">
        <v>45531.0</v>
      </c>
      <c r="B106" s="3" t="s">
        <v>15</v>
      </c>
      <c r="C106" s="3" t="s">
        <v>16</v>
      </c>
      <c r="D106" s="3">
        <v>264.0</v>
      </c>
      <c r="E106" s="3">
        <v>0.0</v>
      </c>
      <c r="F106" s="3" t="s">
        <v>17</v>
      </c>
      <c r="G106" s="3" t="s">
        <v>18</v>
      </c>
      <c r="H106" s="3" t="s">
        <v>19</v>
      </c>
      <c r="I106" s="3" t="s">
        <v>291</v>
      </c>
      <c r="J106" s="3" t="s">
        <v>292</v>
      </c>
      <c r="K106" s="3" t="s">
        <v>292</v>
      </c>
      <c r="M106" s="3">
        <v>-5.0</v>
      </c>
      <c r="O106" s="3">
        <v>9.520716666666667</v>
      </c>
    </row>
    <row r="107" ht="15.75" customHeight="1">
      <c r="A107" s="2">
        <v>45531.0</v>
      </c>
      <c r="B107" s="3" t="s">
        <v>15</v>
      </c>
      <c r="C107" s="3" t="s">
        <v>16</v>
      </c>
      <c r="D107" s="3">
        <v>348.0</v>
      </c>
      <c r="E107" s="3">
        <v>0.0</v>
      </c>
      <c r="F107" s="3" t="s">
        <v>17</v>
      </c>
      <c r="G107" s="3" t="s">
        <v>18</v>
      </c>
      <c r="H107" s="3" t="s">
        <v>19</v>
      </c>
      <c r="I107" s="3" t="s">
        <v>293</v>
      </c>
      <c r="J107" s="3" t="s">
        <v>294</v>
      </c>
      <c r="K107" s="3" t="s">
        <v>294</v>
      </c>
      <c r="M107" s="3">
        <v>-6.0</v>
      </c>
      <c r="O107" s="3">
        <v>8.207083333333333</v>
      </c>
    </row>
    <row r="108" ht="15.75" customHeight="1">
      <c r="A108" s="2">
        <v>45531.0</v>
      </c>
      <c r="B108" s="3" t="s">
        <v>22</v>
      </c>
      <c r="C108" s="3" t="s">
        <v>16</v>
      </c>
      <c r="D108" s="3">
        <v>494.0</v>
      </c>
      <c r="E108" s="3">
        <v>124.0</v>
      </c>
      <c r="G108" s="3" t="s">
        <v>76</v>
      </c>
      <c r="H108" s="3" t="s">
        <v>43</v>
      </c>
      <c r="I108" s="3" t="s">
        <v>295</v>
      </c>
      <c r="J108" s="3" t="s">
        <v>296</v>
      </c>
      <c r="K108" s="3" t="s">
        <v>296</v>
      </c>
      <c r="M108" s="3">
        <v>-6.0</v>
      </c>
      <c r="O108" s="3">
        <v>12.524216666666666</v>
      </c>
    </row>
    <row r="109" ht="15.75" customHeight="1">
      <c r="A109" s="2">
        <v>45531.0</v>
      </c>
      <c r="B109" s="3" t="s">
        <v>54</v>
      </c>
      <c r="C109" s="3" t="s">
        <v>32</v>
      </c>
      <c r="D109" s="3">
        <v>279.0</v>
      </c>
      <c r="E109" s="3">
        <v>50.0</v>
      </c>
      <c r="G109" s="3" t="s">
        <v>18</v>
      </c>
      <c r="H109" s="3" t="s">
        <v>19</v>
      </c>
      <c r="I109" s="3" t="s">
        <v>297</v>
      </c>
      <c r="J109" s="3" t="s">
        <v>298</v>
      </c>
      <c r="K109" s="3" t="s">
        <v>298</v>
      </c>
      <c r="M109" s="3">
        <v>1.0</v>
      </c>
      <c r="O109" s="3">
        <v>14.751333333333333</v>
      </c>
    </row>
    <row r="110" ht="15.75" customHeight="1">
      <c r="A110" s="2">
        <v>45531.0</v>
      </c>
      <c r="B110" s="3" t="s">
        <v>31</v>
      </c>
      <c r="C110" s="3" t="s">
        <v>32</v>
      </c>
      <c r="D110" s="3">
        <v>299.0</v>
      </c>
      <c r="E110" s="3">
        <v>0.0</v>
      </c>
      <c r="F110" s="3" t="s">
        <v>299</v>
      </c>
      <c r="G110" s="3" t="s">
        <v>18</v>
      </c>
      <c r="H110" s="3" t="s">
        <v>19</v>
      </c>
      <c r="I110" s="3" t="s">
        <v>300</v>
      </c>
      <c r="J110" s="3" t="s">
        <v>301</v>
      </c>
      <c r="K110" s="3" t="s">
        <v>301</v>
      </c>
      <c r="M110" s="3">
        <v>-6.0</v>
      </c>
      <c r="O110" s="3">
        <v>8.547533333333334</v>
      </c>
    </row>
    <row r="111" ht="15.75" customHeight="1">
      <c r="A111" s="2">
        <v>45531.0</v>
      </c>
      <c r="B111" s="3" t="s">
        <v>54</v>
      </c>
      <c r="C111" s="3" t="s">
        <v>32</v>
      </c>
      <c r="D111" s="3">
        <v>334.0</v>
      </c>
      <c r="E111" s="3">
        <v>100.0</v>
      </c>
      <c r="G111" s="3" t="s">
        <v>18</v>
      </c>
      <c r="H111" s="3" t="s">
        <v>43</v>
      </c>
      <c r="I111" s="3" t="s">
        <v>302</v>
      </c>
      <c r="J111" s="3" t="s">
        <v>303</v>
      </c>
      <c r="K111" s="3" t="s">
        <v>303</v>
      </c>
      <c r="M111" s="3">
        <v>-4.0</v>
      </c>
      <c r="O111" s="3">
        <v>8.84795</v>
      </c>
    </row>
    <row r="112" ht="15.75" customHeight="1">
      <c r="A112" s="2">
        <v>45531.0</v>
      </c>
      <c r="B112" s="3" t="s">
        <v>54</v>
      </c>
      <c r="C112" s="3" t="s">
        <v>32</v>
      </c>
      <c r="D112" s="3">
        <v>321.0</v>
      </c>
      <c r="E112" s="3">
        <v>0.0</v>
      </c>
      <c r="G112" s="3" t="s">
        <v>18</v>
      </c>
      <c r="H112" s="3" t="s">
        <v>19</v>
      </c>
      <c r="I112" s="3" t="s">
        <v>304</v>
      </c>
      <c r="J112" s="3" t="s">
        <v>305</v>
      </c>
      <c r="K112" s="3" t="s">
        <v>305</v>
      </c>
      <c r="M112" s="3">
        <v>0.0</v>
      </c>
      <c r="O112" s="3">
        <v>11.877516666666667</v>
      </c>
    </row>
    <row r="113" ht="15.75" customHeight="1">
      <c r="A113" s="2">
        <v>45531.0</v>
      </c>
      <c r="B113" s="3" t="s">
        <v>31</v>
      </c>
      <c r="C113" s="3" t="s">
        <v>32</v>
      </c>
      <c r="D113" s="3">
        <v>313.0</v>
      </c>
      <c r="E113" s="3">
        <v>0.0</v>
      </c>
      <c r="F113" s="3" t="s">
        <v>306</v>
      </c>
      <c r="G113" s="3" t="s">
        <v>18</v>
      </c>
      <c r="H113" s="3" t="s">
        <v>19</v>
      </c>
      <c r="I113" s="3" t="s">
        <v>307</v>
      </c>
      <c r="J113" s="3" t="s">
        <v>308</v>
      </c>
      <c r="K113" s="3" t="s">
        <v>308</v>
      </c>
      <c r="M113" s="3">
        <v>-1.0</v>
      </c>
      <c r="O113" s="3">
        <v>13.798416666666666</v>
      </c>
    </row>
    <row r="114" ht="15.75" customHeight="1">
      <c r="A114" s="2">
        <v>45531.0</v>
      </c>
      <c r="B114" s="3" t="s">
        <v>54</v>
      </c>
      <c r="C114" s="3" t="s">
        <v>32</v>
      </c>
      <c r="D114" s="3">
        <v>393.0</v>
      </c>
      <c r="E114" s="3">
        <v>0.0</v>
      </c>
      <c r="G114" s="3" t="s">
        <v>18</v>
      </c>
      <c r="H114" s="3" t="s">
        <v>19</v>
      </c>
      <c r="I114" s="3" t="s">
        <v>309</v>
      </c>
      <c r="J114" s="3" t="s">
        <v>310</v>
      </c>
      <c r="K114" s="3" t="s">
        <v>310</v>
      </c>
      <c r="M114" s="3">
        <v>-2.0</v>
      </c>
      <c r="O114" s="3">
        <v>10.156416666666667</v>
      </c>
    </row>
    <row r="115" ht="15.75" customHeight="1">
      <c r="A115" s="2">
        <v>45531.0</v>
      </c>
      <c r="B115" s="3" t="s">
        <v>54</v>
      </c>
      <c r="C115" s="3" t="s">
        <v>32</v>
      </c>
      <c r="D115" s="3">
        <v>466.0</v>
      </c>
      <c r="E115" s="3">
        <v>0.0</v>
      </c>
      <c r="G115" s="3" t="s">
        <v>18</v>
      </c>
      <c r="H115" s="3" t="s">
        <v>19</v>
      </c>
      <c r="I115" s="3" t="s">
        <v>311</v>
      </c>
      <c r="J115" s="3" t="s">
        <v>312</v>
      </c>
      <c r="K115" s="3" t="s">
        <v>312</v>
      </c>
      <c r="M115" s="3">
        <v>2.0</v>
      </c>
      <c r="O115" s="3">
        <v>15.659533333333334</v>
      </c>
    </row>
    <row r="116" ht="15.75" customHeight="1">
      <c r="A116" s="2">
        <v>45531.0</v>
      </c>
      <c r="B116" s="3" t="s">
        <v>31</v>
      </c>
      <c r="C116" s="3" t="s">
        <v>32</v>
      </c>
      <c r="D116" s="3">
        <v>329.0</v>
      </c>
      <c r="E116" s="3">
        <v>0.0</v>
      </c>
      <c r="F116" s="3" t="s">
        <v>313</v>
      </c>
      <c r="G116" s="3" t="s">
        <v>18</v>
      </c>
      <c r="H116" s="3" t="s">
        <v>19</v>
      </c>
      <c r="I116" s="3" t="s">
        <v>314</v>
      </c>
      <c r="J116" s="3" t="s">
        <v>315</v>
      </c>
      <c r="K116" s="3" t="s">
        <v>315</v>
      </c>
      <c r="M116" s="3">
        <v>-4.0</v>
      </c>
      <c r="O116" s="3">
        <v>10.918916666666666</v>
      </c>
    </row>
    <row r="117" ht="15.75" customHeight="1">
      <c r="A117" s="2">
        <v>45531.0</v>
      </c>
      <c r="B117" s="3" t="s">
        <v>22</v>
      </c>
      <c r="C117" s="3" t="s">
        <v>16</v>
      </c>
      <c r="D117" s="3">
        <v>270.0</v>
      </c>
      <c r="E117" s="3">
        <v>0.0</v>
      </c>
      <c r="F117" s="3" t="s">
        <v>225</v>
      </c>
      <c r="G117" s="3" t="s">
        <v>24</v>
      </c>
      <c r="H117" s="3" t="s">
        <v>19</v>
      </c>
      <c r="I117" s="3" t="s">
        <v>316</v>
      </c>
      <c r="J117" s="3" t="s">
        <v>317</v>
      </c>
      <c r="K117" s="3" t="s">
        <v>318</v>
      </c>
      <c r="L117" s="3" t="s">
        <v>319</v>
      </c>
      <c r="M117" s="3">
        <v>-21.0</v>
      </c>
      <c r="N117" s="3">
        <v>0.010266666666666667</v>
      </c>
      <c r="O117" s="3">
        <v>7.150166666666666</v>
      </c>
    </row>
    <row r="118" ht="15.75" customHeight="1">
      <c r="A118" s="2">
        <v>45531.0</v>
      </c>
      <c r="B118" s="3" t="s">
        <v>31</v>
      </c>
      <c r="C118" s="3" t="s">
        <v>32</v>
      </c>
      <c r="D118" s="3">
        <v>329.0</v>
      </c>
      <c r="E118" s="3">
        <v>0.0</v>
      </c>
      <c r="F118" s="3" t="s">
        <v>320</v>
      </c>
      <c r="G118" s="3" t="s">
        <v>18</v>
      </c>
      <c r="H118" s="3" t="s">
        <v>19</v>
      </c>
      <c r="I118" s="3" t="s">
        <v>321</v>
      </c>
      <c r="J118" s="3" t="s">
        <v>322</v>
      </c>
      <c r="K118" s="3" t="s">
        <v>322</v>
      </c>
      <c r="M118" s="3">
        <v>1.0</v>
      </c>
      <c r="O118" s="3">
        <v>16.789933333333334</v>
      </c>
    </row>
    <row r="119" ht="15.75" customHeight="1">
      <c r="A119" s="2">
        <v>45531.0</v>
      </c>
      <c r="B119" s="3" t="s">
        <v>22</v>
      </c>
      <c r="C119" s="3" t="s">
        <v>16</v>
      </c>
      <c r="D119" s="3">
        <v>368.0</v>
      </c>
      <c r="E119" s="3">
        <v>0.0</v>
      </c>
      <c r="F119" s="3" t="s">
        <v>17</v>
      </c>
      <c r="G119" s="3" t="s">
        <v>24</v>
      </c>
      <c r="H119" s="3" t="s">
        <v>19</v>
      </c>
      <c r="I119" s="3" t="s">
        <v>323</v>
      </c>
      <c r="J119" s="3" t="s">
        <v>324</v>
      </c>
      <c r="K119" s="3" t="s">
        <v>325</v>
      </c>
      <c r="L119" s="3" t="s">
        <v>326</v>
      </c>
      <c r="M119" s="3">
        <v>7.0</v>
      </c>
      <c r="N119" s="3">
        <v>19.564733333333333</v>
      </c>
      <c r="O119" s="3">
        <v>18.648083333333332</v>
      </c>
    </row>
    <row r="120" ht="15.75" customHeight="1">
      <c r="A120" s="2">
        <v>45531.0</v>
      </c>
      <c r="B120" s="3" t="s">
        <v>22</v>
      </c>
      <c r="C120" s="3" t="s">
        <v>16</v>
      </c>
      <c r="D120" s="3">
        <v>423.0</v>
      </c>
      <c r="E120" s="3">
        <v>0.0</v>
      </c>
      <c r="F120" s="3" t="s">
        <v>17</v>
      </c>
      <c r="G120" s="3" t="s">
        <v>24</v>
      </c>
      <c r="H120" s="3" t="s">
        <v>19</v>
      </c>
      <c r="I120" s="3" t="s">
        <v>327</v>
      </c>
      <c r="J120" s="3" t="s">
        <v>328</v>
      </c>
      <c r="K120" s="3" t="s">
        <v>329</v>
      </c>
      <c r="L120" s="3" t="s">
        <v>330</v>
      </c>
      <c r="M120" s="3">
        <v>-3.0</v>
      </c>
      <c r="N120" s="3">
        <v>27.606633333333335</v>
      </c>
      <c r="O120" s="3">
        <v>31.295666666666666</v>
      </c>
    </row>
    <row r="121" ht="15.75" customHeight="1">
      <c r="A121" s="2">
        <v>45532.0</v>
      </c>
      <c r="F121" s="3" t="s">
        <v>5</v>
      </c>
    </row>
    <row r="122" ht="15.75" customHeight="1">
      <c r="A122" s="2">
        <v>45534.0</v>
      </c>
      <c r="B122" s="3" t="s">
        <v>54</v>
      </c>
      <c r="C122" s="3" t="s">
        <v>16</v>
      </c>
      <c r="D122" s="3">
        <v>251.0</v>
      </c>
      <c r="E122" s="3">
        <v>100.0</v>
      </c>
      <c r="G122" s="3" t="s">
        <v>18</v>
      </c>
      <c r="H122" s="3" t="s">
        <v>19</v>
      </c>
      <c r="I122" s="3" t="s">
        <v>331</v>
      </c>
      <c r="J122" s="3" t="s">
        <v>332</v>
      </c>
      <c r="K122" s="3" t="s">
        <v>332</v>
      </c>
      <c r="M122" s="3">
        <v>-3.0</v>
      </c>
      <c r="O122" s="3">
        <v>7.252133333333333</v>
      </c>
    </row>
    <row r="123" ht="15.75" customHeight="1">
      <c r="A123" s="2">
        <v>45534.0</v>
      </c>
      <c r="B123" s="3" t="s">
        <v>31</v>
      </c>
      <c r="C123" s="3" t="s">
        <v>16</v>
      </c>
      <c r="D123" s="3">
        <v>269.0</v>
      </c>
      <c r="E123" s="3">
        <v>0.0</v>
      </c>
      <c r="F123" s="3" t="s">
        <v>320</v>
      </c>
      <c r="G123" s="3" t="s">
        <v>18</v>
      </c>
      <c r="H123" s="3" t="s">
        <v>19</v>
      </c>
      <c r="I123" s="3" t="s">
        <v>333</v>
      </c>
      <c r="J123" s="3" t="s">
        <v>334</v>
      </c>
      <c r="K123" s="3" t="s">
        <v>334</v>
      </c>
      <c r="M123" s="3">
        <v>-10.0</v>
      </c>
      <c r="O123" s="3">
        <v>4.26765</v>
      </c>
    </row>
    <row r="124" ht="15.75" customHeight="1">
      <c r="A124" s="2">
        <v>45534.0</v>
      </c>
      <c r="B124" s="3" t="s">
        <v>54</v>
      </c>
      <c r="C124" s="3" t="s">
        <v>16</v>
      </c>
      <c r="D124" s="3">
        <v>640.0</v>
      </c>
      <c r="E124" s="3">
        <v>0.0</v>
      </c>
      <c r="G124" s="3" t="s">
        <v>18</v>
      </c>
      <c r="H124" s="3" t="s">
        <v>19</v>
      </c>
      <c r="I124" s="3" t="s">
        <v>335</v>
      </c>
      <c r="J124" s="3" t="s">
        <v>336</v>
      </c>
      <c r="K124" s="3" t="s">
        <v>336</v>
      </c>
      <c r="M124" s="3">
        <v>-3.0</v>
      </c>
      <c r="O124" s="3">
        <v>10.928183333333333</v>
      </c>
    </row>
    <row r="125" ht="15.75" customHeight="1">
      <c r="A125" s="2">
        <v>45534.0</v>
      </c>
      <c r="B125" s="3" t="s">
        <v>54</v>
      </c>
      <c r="C125" s="3" t="s">
        <v>16</v>
      </c>
      <c r="D125" s="3">
        <v>378.0</v>
      </c>
      <c r="E125" s="3">
        <v>0.0</v>
      </c>
      <c r="G125" s="3" t="s">
        <v>18</v>
      </c>
      <c r="H125" s="3" t="s">
        <v>19</v>
      </c>
      <c r="I125" s="3" t="s">
        <v>337</v>
      </c>
      <c r="J125" s="3" t="s">
        <v>338</v>
      </c>
      <c r="K125" s="3" t="s">
        <v>338</v>
      </c>
      <c r="M125" s="3">
        <v>-5.0</v>
      </c>
      <c r="O125" s="3">
        <v>6.097316666666667</v>
      </c>
    </row>
    <row r="126" ht="15.75" customHeight="1">
      <c r="A126" s="2">
        <v>45534.0</v>
      </c>
      <c r="B126" s="3" t="s">
        <v>54</v>
      </c>
      <c r="C126" s="3" t="s">
        <v>16</v>
      </c>
      <c r="D126" s="3">
        <v>349.0</v>
      </c>
      <c r="E126" s="3">
        <v>0.0</v>
      </c>
      <c r="G126" s="3" t="s">
        <v>18</v>
      </c>
      <c r="H126" s="3" t="s">
        <v>19</v>
      </c>
      <c r="I126" s="3" t="s">
        <v>339</v>
      </c>
      <c r="J126" s="3" t="s">
        <v>340</v>
      </c>
      <c r="K126" s="3" t="s">
        <v>340</v>
      </c>
      <c r="M126" s="3">
        <v>-4.0</v>
      </c>
      <c r="O126" s="3">
        <v>7.452166666666667</v>
      </c>
    </row>
    <row r="127" ht="15.75" customHeight="1">
      <c r="A127" s="2">
        <v>45534.0</v>
      </c>
      <c r="B127" s="3" t="s">
        <v>54</v>
      </c>
      <c r="C127" s="3" t="s">
        <v>16</v>
      </c>
      <c r="D127" s="3">
        <v>578.0</v>
      </c>
      <c r="E127" s="3">
        <v>0.0</v>
      </c>
      <c r="G127" s="3" t="s">
        <v>18</v>
      </c>
      <c r="H127" s="3" t="s">
        <v>19</v>
      </c>
      <c r="I127" s="3" t="s">
        <v>341</v>
      </c>
      <c r="J127" s="3" t="s">
        <v>342</v>
      </c>
      <c r="K127" s="3" t="s">
        <v>342</v>
      </c>
      <c r="M127" s="3">
        <v>-2.0</v>
      </c>
      <c r="O127" s="3">
        <v>10.907333333333334</v>
      </c>
    </row>
    <row r="128" ht="15.75" customHeight="1">
      <c r="A128" s="2">
        <v>45534.0</v>
      </c>
      <c r="B128" s="3" t="s">
        <v>15</v>
      </c>
      <c r="C128" s="3" t="s">
        <v>16</v>
      </c>
      <c r="D128" s="3">
        <v>279.0</v>
      </c>
      <c r="E128" s="3">
        <v>0.0</v>
      </c>
      <c r="F128" s="3" t="s">
        <v>17</v>
      </c>
      <c r="G128" s="3" t="s">
        <v>18</v>
      </c>
      <c r="H128" s="3" t="s">
        <v>19</v>
      </c>
      <c r="I128" s="3" t="s">
        <v>343</v>
      </c>
      <c r="J128" s="3" t="s">
        <v>344</v>
      </c>
      <c r="K128" s="3" t="s">
        <v>344</v>
      </c>
      <c r="M128" s="3">
        <v>-11.0</v>
      </c>
      <c r="O128" s="3">
        <v>3.944716666666667</v>
      </c>
    </row>
    <row r="129" ht="15.75" customHeight="1">
      <c r="A129" s="2">
        <v>45534.0</v>
      </c>
      <c r="B129" s="3" t="s">
        <v>15</v>
      </c>
      <c r="C129" s="3" t="s">
        <v>16</v>
      </c>
      <c r="D129" s="3">
        <v>458.0</v>
      </c>
      <c r="E129" s="3">
        <v>0.0</v>
      </c>
      <c r="F129" s="3" t="s">
        <v>17</v>
      </c>
      <c r="G129" s="3" t="s">
        <v>18</v>
      </c>
      <c r="H129" s="3" t="s">
        <v>19</v>
      </c>
      <c r="I129" s="3" t="s">
        <v>345</v>
      </c>
      <c r="J129" s="3" t="s">
        <v>346</v>
      </c>
      <c r="K129" s="3" t="s">
        <v>346</v>
      </c>
      <c r="M129" s="3">
        <v>-5.0</v>
      </c>
      <c r="O129" s="3">
        <v>9.108933333333333</v>
      </c>
    </row>
    <row r="130" ht="15.75" customHeight="1">
      <c r="A130" s="2">
        <v>45534.0</v>
      </c>
      <c r="B130" s="3" t="s">
        <v>54</v>
      </c>
      <c r="C130" s="3" t="s">
        <v>16</v>
      </c>
      <c r="D130" s="3">
        <v>264.0</v>
      </c>
      <c r="E130" s="3">
        <v>0.0</v>
      </c>
      <c r="G130" s="3" t="s">
        <v>18</v>
      </c>
      <c r="H130" s="3" t="s">
        <v>19</v>
      </c>
      <c r="I130" s="3" t="s">
        <v>347</v>
      </c>
      <c r="J130" s="3" t="s">
        <v>348</v>
      </c>
      <c r="K130" s="3" t="s">
        <v>348</v>
      </c>
      <c r="M130" s="3">
        <v>-5.0</v>
      </c>
      <c r="O130" s="3">
        <v>5.65015</v>
      </c>
    </row>
    <row r="131" ht="15.75" customHeight="1">
      <c r="A131" s="2">
        <v>45534.0</v>
      </c>
      <c r="B131" s="3" t="s">
        <v>31</v>
      </c>
      <c r="C131" s="3" t="s">
        <v>16</v>
      </c>
      <c r="D131" s="3">
        <v>329.0</v>
      </c>
      <c r="E131" s="3">
        <v>0.0</v>
      </c>
      <c r="F131" s="3" t="s">
        <v>349</v>
      </c>
      <c r="G131" s="3" t="s">
        <v>18</v>
      </c>
      <c r="H131" s="3" t="s">
        <v>19</v>
      </c>
      <c r="I131" s="3" t="s">
        <v>350</v>
      </c>
      <c r="J131" s="3" t="s">
        <v>351</v>
      </c>
      <c r="K131" s="3" t="s">
        <v>351</v>
      </c>
      <c r="M131" s="3">
        <v>-8.0</v>
      </c>
      <c r="O131" s="3">
        <v>6.687683333333333</v>
      </c>
    </row>
    <row r="132" ht="15.75" customHeight="1">
      <c r="A132" s="2">
        <v>45534.0</v>
      </c>
      <c r="B132" s="3" t="s">
        <v>15</v>
      </c>
      <c r="C132" s="3" t="s">
        <v>16</v>
      </c>
      <c r="D132" s="3">
        <v>443.0</v>
      </c>
      <c r="E132" s="3">
        <v>0.0</v>
      </c>
      <c r="F132" s="3" t="s">
        <v>17</v>
      </c>
      <c r="G132" s="3" t="s">
        <v>18</v>
      </c>
      <c r="H132" s="3" t="s">
        <v>19</v>
      </c>
      <c r="I132" s="3" t="s">
        <v>352</v>
      </c>
      <c r="J132" s="3" t="s">
        <v>353</v>
      </c>
      <c r="K132" s="3" t="s">
        <v>353</v>
      </c>
      <c r="M132" s="3">
        <v>-10.0</v>
      </c>
      <c r="O132" s="3">
        <v>4.38005</v>
      </c>
    </row>
    <row r="133" ht="15.75" customHeight="1">
      <c r="A133" s="2">
        <v>45534.0</v>
      </c>
      <c r="B133" s="3" t="s">
        <v>31</v>
      </c>
      <c r="C133" s="3" t="s">
        <v>16</v>
      </c>
      <c r="D133" s="3">
        <v>658.0</v>
      </c>
      <c r="E133" s="3">
        <v>0.0</v>
      </c>
      <c r="F133" s="3" t="s">
        <v>320</v>
      </c>
      <c r="G133" s="3" t="s">
        <v>18</v>
      </c>
      <c r="H133" s="3" t="s">
        <v>19</v>
      </c>
      <c r="I133" s="3" t="s">
        <v>354</v>
      </c>
      <c r="J133" s="3" t="s">
        <v>355</v>
      </c>
      <c r="K133" s="3" t="s">
        <v>355</v>
      </c>
      <c r="M133" s="3">
        <v>-14.0</v>
      </c>
      <c r="O133" s="3">
        <v>5.822166666666667</v>
      </c>
    </row>
    <row r="134" ht="15.75" customHeight="1">
      <c r="A134" s="2">
        <v>45534.0</v>
      </c>
      <c r="B134" s="3" t="s">
        <v>54</v>
      </c>
      <c r="C134" s="3" t="s">
        <v>16</v>
      </c>
      <c r="D134" s="3">
        <v>329.0</v>
      </c>
      <c r="E134" s="3">
        <v>0.0</v>
      </c>
      <c r="G134" s="3" t="s">
        <v>18</v>
      </c>
      <c r="H134" s="3" t="s">
        <v>19</v>
      </c>
      <c r="I134" s="3" t="s">
        <v>356</v>
      </c>
      <c r="J134" s="3" t="s">
        <v>357</v>
      </c>
      <c r="K134" s="3" t="s">
        <v>357</v>
      </c>
      <c r="M134" s="3">
        <v>-8.0</v>
      </c>
      <c r="O134" s="3">
        <v>3.6279333333333335</v>
      </c>
    </row>
    <row r="135" ht="15.75" customHeight="1">
      <c r="A135" s="2">
        <v>45534.0</v>
      </c>
      <c r="B135" s="3" t="s">
        <v>54</v>
      </c>
      <c r="C135" s="3" t="s">
        <v>16</v>
      </c>
      <c r="D135" s="3">
        <v>214.0</v>
      </c>
      <c r="E135" s="3">
        <v>50.0</v>
      </c>
      <c r="G135" s="3" t="s">
        <v>18</v>
      </c>
      <c r="H135" s="3" t="s">
        <v>19</v>
      </c>
      <c r="I135" s="3" t="s">
        <v>358</v>
      </c>
      <c r="J135" s="3" t="s">
        <v>359</v>
      </c>
      <c r="K135" s="3" t="s">
        <v>359</v>
      </c>
      <c r="M135" s="3">
        <v>-8.0</v>
      </c>
      <c r="O135" s="3">
        <v>2.4027666666666665</v>
      </c>
    </row>
    <row r="136" ht="15.75" customHeight="1">
      <c r="A136" s="2">
        <v>45534.0</v>
      </c>
      <c r="B136" s="3" t="s">
        <v>15</v>
      </c>
      <c r="C136" s="3" t="s">
        <v>16</v>
      </c>
      <c r="D136" s="3">
        <v>264.0</v>
      </c>
      <c r="E136" s="3">
        <v>0.0</v>
      </c>
      <c r="F136" s="3" t="s">
        <v>17</v>
      </c>
      <c r="G136" s="3" t="s">
        <v>18</v>
      </c>
      <c r="H136" s="3" t="s">
        <v>19</v>
      </c>
      <c r="I136" s="3" t="s">
        <v>360</v>
      </c>
      <c r="J136" s="3" t="s">
        <v>361</v>
      </c>
      <c r="K136" s="3" t="s">
        <v>361</v>
      </c>
      <c r="M136" s="3">
        <v>-10.0</v>
      </c>
      <c r="O136" s="3">
        <v>4.370516666666667</v>
      </c>
    </row>
    <row r="137" ht="15.75" customHeight="1">
      <c r="A137" s="2">
        <v>45534.0</v>
      </c>
      <c r="B137" s="3" t="s">
        <v>31</v>
      </c>
      <c r="C137" s="3" t="s">
        <v>16</v>
      </c>
      <c r="D137" s="3">
        <v>329.0</v>
      </c>
      <c r="E137" s="3">
        <v>0.0</v>
      </c>
      <c r="F137" s="3" t="s">
        <v>320</v>
      </c>
      <c r="G137" s="3" t="s">
        <v>18</v>
      </c>
      <c r="H137" s="3" t="s">
        <v>19</v>
      </c>
      <c r="I137" s="3" t="s">
        <v>362</v>
      </c>
      <c r="J137" s="3" t="s">
        <v>363</v>
      </c>
      <c r="K137" s="3" t="s">
        <v>363</v>
      </c>
      <c r="M137" s="3">
        <v>-8.0</v>
      </c>
      <c r="O137" s="3">
        <v>6.538466666666666</v>
      </c>
    </row>
    <row r="138" ht="15.75" customHeight="1">
      <c r="A138" s="2">
        <v>45534.0</v>
      </c>
      <c r="B138" s="3" t="s">
        <v>31</v>
      </c>
      <c r="C138" s="3" t="s">
        <v>16</v>
      </c>
      <c r="D138" s="3">
        <v>329.0</v>
      </c>
      <c r="E138" s="3">
        <v>0.0</v>
      </c>
      <c r="F138" s="3" t="s">
        <v>364</v>
      </c>
      <c r="G138" s="3" t="s">
        <v>18</v>
      </c>
      <c r="H138" s="3" t="s">
        <v>19</v>
      </c>
      <c r="I138" s="3" t="s">
        <v>365</v>
      </c>
      <c r="J138" s="3" t="s">
        <v>366</v>
      </c>
      <c r="K138" s="3" t="s">
        <v>366</v>
      </c>
      <c r="M138" s="3">
        <v>-10.0</v>
      </c>
      <c r="O138" s="3">
        <v>4.7403</v>
      </c>
    </row>
    <row r="139" ht="15.75" customHeight="1">
      <c r="A139" s="2">
        <v>45534.0</v>
      </c>
      <c r="B139" s="3" t="s">
        <v>15</v>
      </c>
      <c r="C139" s="3" t="s">
        <v>16</v>
      </c>
      <c r="D139" s="3">
        <v>264.0</v>
      </c>
      <c r="E139" s="3">
        <v>0.0</v>
      </c>
      <c r="F139" s="3" t="s">
        <v>17</v>
      </c>
      <c r="G139" s="3" t="s">
        <v>18</v>
      </c>
      <c r="H139" s="3" t="s">
        <v>19</v>
      </c>
      <c r="I139" s="3" t="s">
        <v>367</v>
      </c>
      <c r="J139" s="3" t="s">
        <v>368</v>
      </c>
      <c r="K139" s="3" t="s">
        <v>368</v>
      </c>
      <c r="M139" s="3">
        <v>-11.0</v>
      </c>
      <c r="O139" s="3">
        <v>3.2091166666666666</v>
      </c>
    </row>
    <row r="140" ht="15.75" customHeight="1">
      <c r="A140" s="2">
        <v>45534.0</v>
      </c>
      <c r="B140" s="3" t="s">
        <v>31</v>
      </c>
      <c r="C140" s="3" t="s">
        <v>16</v>
      </c>
      <c r="D140" s="3">
        <v>329.0</v>
      </c>
      <c r="E140" s="3">
        <v>0.0</v>
      </c>
      <c r="F140" s="3" t="s">
        <v>369</v>
      </c>
      <c r="G140" s="3" t="s">
        <v>18</v>
      </c>
      <c r="H140" s="3" t="s">
        <v>19</v>
      </c>
      <c r="I140" s="3" t="s">
        <v>370</v>
      </c>
      <c r="J140" s="3" t="s">
        <v>371</v>
      </c>
      <c r="K140" s="3" t="s">
        <v>371</v>
      </c>
      <c r="M140" s="3">
        <v>-1.0</v>
      </c>
      <c r="O140" s="3">
        <v>13.27065</v>
      </c>
    </row>
    <row r="141" ht="15.75" customHeight="1">
      <c r="A141" s="2">
        <v>45534.0</v>
      </c>
      <c r="B141" s="3" t="s">
        <v>54</v>
      </c>
      <c r="C141" s="3" t="s">
        <v>16</v>
      </c>
      <c r="D141" s="3">
        <v>558.0</v>
      </c>
      <c r="E141" s="3">
        <v>0.0</v>
      </c>
      <c r="G141" s="3" t="s">
        <v>18</v>
      </c>
      <c r="H141" s="3" t="s">
        <v>19</v>
      </c>
      <c r="I141" s="3" t="s">
        <v>372</v>
      </c>
      <c r="J141" s="3" t="s">
        <v>373</v>
      </c>
      <c r="K141" s="3" t="s">
        <v>373</v>
      </c>
      <c r="M141" s="3">
        <v>-1.0</v>
      </c>
      <c r="O141" s="3">
        <v>11.888033333333333</v>
      </c>
    </row>
    <row r="142" ht="15.75" customHeight="1">
      <c r="A142" s="2">
        <v>45534.0</v>
      </c>
      <c r="B142" s="3" t="s">
        <v>96</v>
      </c>
      <c r="C142" s="3" t="s">
        <v>16</v>
      </c>
      <c r="D142" s="3">
        <v>238.0</v>
      </c>
      <c r="E142" s="3">
        <v>0.0</v>
      </c>
      <c r="G142" s="3" t="s">
        <v>76</v>
      </c>
      <c r="H142" s="3" t="s">
        <v>43</v>
      </c>
      <c r="I142" s="3" t="s">
        <v>374</v>
      </c>
      <c r="J142" s="3" t="s">
        <v>375</v>
      </c>
      <c r="K142" s="3" t="s">
        <v>375</v>
      </c>
      <c r="M142" s="3">
        <v>-4.0</v>
      </c>
      <c r="O142" s="3">
        <v>0.20293333333333333</v>
      </c>
    </row>
    <row r="143" ht="15.75" customHeight="1">
      <c r="A143" s="2">
        <v>45534.0</v>
      </c>
      <c r="B143" s="3" t="s">
        <v>15</v>
      </c>
      <c r="C143" s="3" t="s">
        <v>16</v>
      </c>
      <c r="D143" s="3">
        <v>264.0</v>
      </c>
      <c r="E143" s="3">
        <v>0.0</v>
      </c>
      <c r="F143" s="3" t="s">
        <v>17</v>
      </c>
      <c r="G143" s="3" t="s">
        <v>18</v>
      </c>
      <c r="H143" s="3" t="s">
        <v>19</v>
      </c>
      <c r="I143" s="3" t="s">
        <v>376</v>
      </c>
      <c r="J143" s="3" t="s">
        <v>377</v>
      </c>
      <c r="K143" s="3" t="s">
        <v>377</v>
      </c>
      <c r="M143" s="3">
        <v>-12.0</v>
      </c>
      <c r="O143" s="3">
        <v>2.2043166666666667</v>
      </c>
    </row>
    <row r="144" ht="15.75" customHeight="1">
      <c r="A144" s="2">
        <v>45534.0</v>
      </c>
      <c r="B144" s="3" t="s">
        <v>54</v>
      </c>
      <c r="C144" s="3" t="s">
        <v>16</v>
      </c>
      <c r="D144" s="3">
        <v>329.0</v>
      </c>
      <c r="E144" s="3">
        <v>0.0</v>
      </c>
      <c r="G144" s="3" t="s">
        <v>18</v>
      </c>
      <c r="H144" s="3" t="s">
        <v>19</v>
      </c>
      <c r="I144" s="3" t="s">
        <v>378</v>
      </c>
      <c r="J144" s="3" t="s">
        <v>379</v>
      </c>
      <c r="K144" s="3" t="s">
        <v>379</v>
      </c>
      <c r="M144" s="3">
        <v>-3.0</v>
      </c>
      <c r="O144" s="3">
        <v>8.15265</v>
      </c>
    </row>
    <row r="145" ht="15.75" customHeight="1">
      <c r="A145" s="2">
        <v>45534.0</v>
      </c>
      <c r="B145" s="3" t="s">
        <v>54</v>
      </c>
      <c r="C145" s="3" t="s">
        <v>16</v>
      </c>
      <c r="D145" s="3">
        <v>528.0</v>
      </c>
      <c r="E145" s="3">
        <v>0.0</v>
      </c>
      <c r="G145" s="3" t="s">
        <v>18</v>
      </c>
      <c r="H145" s="3" t="s">
        <v>19</v>
      </c>
      <c r="I145" s="3" t="s">
        <v>380</v>
      </c>
      <c r="J145" s="3" t="s">
        <v>381</v>
      </c>
      <c r="K145" s="3" t="s">
        <v>381</v>
      </c>
      <c r="M145" s="3">
        <v>-5.0</v>
      </c>
      <c r="O145" s="3">
        <v>7.320766666666667</v>
      </c>
    </row>
    <row r="146" ht="15.75" customHeight="1">
      <c r="A146" s="2">
        <v>45534.0</v>
      </c>
      <c r="B146" s="3" t="s">
        <v>54</v>
      </c>
      <c r="C146" s="3" t="s">
        <v>16</v>
      </c>
      <c r="D146" s="3">
        <v>378.0</v>
      </c>
      <c r="E146" s="3">
        <v>150.0</v>
      </c>
      <c r="G146" s="3" t="s">
        <v>18</v>
      </c>
      <c r="H146" s="3" t="s">
        <v>19</v>
      </c>
      <c r="I146" s="3" t="s">
        <v>382</v>
      </c>
      <c r="J146" s="3" t="s">
        <v>383</v>
      </c>
      <c r="K146" s="3" t="s">
        <v>383</v>
      </c>
      <c r="M146" s="3">
        <v>-7.0</v>
      </c>
      <c r="O146" s="3">
        <v>5.5</v>
      </c>
    </row>
    <row r="147" ht="15.75" customHeight="1">
      <c r="A147" s="2">
        <v>45534.0</v>
      </c>
      <c r="B147" s="3" t="s">
        <v>22</v>
      </c>
      <c r="C147" s="3" t="s">
        <v>16</v>
      </c>
      <c r="D147" s="3">
        <v>430.0</v>
      </c>
      <c r="E147" s="3">
        <v>0.0</v>
      </c>
      <c r="F147" s="3" t="s">
        <v>17</v>
      </c>
      <c r="G147" s="3" t="s">
        <v>24</v>
      </c>
      <c r="H147" s="3" t="s">
        <v>43</v>
      </c>
      <c r="I147" s="3" t="s">
        <v>384</v>
      </c>
      <c r="J147" s="3" t="s">
        <v>385</v>
      </c>
      <c r="K147" s="3" t="s">
        <v>386</v>
      </c>
      <c r="L147" s="3" t="s">
        <v>387</v>
      </c>
      <c r="M147" s="3">
        <v>-19.0</v>
      </c>
      <c r="N147" s="3">
        <v>3.0651333333333333</v>
      </c>
      <c r="O147" s="3">
        <v>5.67935</v>
      </c>
    </row>
    <row r="148" ht="15.75" customHeight="1">
      <c r="A148" s="2">
        <v>45534.0</v>
      </c>
      <c r="B148" s="3" t="s">
        <v>54</v>
      </c>
      <c r="C148" s="3" t="s">
        <v>16</v>
      </c>
      <c r="D148" s="3">
        <v>336.0</v>
      </c>
      <c r="E148" s="3">
        <v>0.0</v>
      </c>
      <c r="G148" s="3" t="s">
        <v>18</v>
      </c>
      <c r="H148" s="3" t="s">
        <v>19</v>
      </c>
      <c r="I148" s="3" t="s">
        <v>388</v>
      </c>
      <c r="J148" s="3" t="s">
        <v>389</v>
      </c>
      <c r="K148" s="3" t="s">
        <v>389</v>
      </c>
      <c r="M148" s="3">
        <v>-5.0</v>
      </c>
      <c r="O148" s="3">
        <v>6.673583333333333</v>
      </c>
    </row>
    <row r="149" ht="15.75" customHeight="1">
      <c r="A149" s="2">
        <v>45534.0</v>
      </c>
      <c r="B149" s="3" t="s">
        <v>54</v>
      </c>
      <c r="C149" s="3" t="s">
        <v>16</v>
      </c>
      <c r="D149" s="3">
        <v>517.0</v>
      </c>
      <c r="E149" s="3">
        <v>150.0</v>
      </c>
      <c r="G149" s="3" t="s">
        <v>18</v>
      </c>
      <c r="H149" s="3" t="s">
        <v>19</v>
      </c>
      <c r="I149" s="3" t="s">
        <v>390</v>
      </c>
      <c r="J149" s="3" t="s">
        <v>391</v>
      </c>
      <c r="K149" s="3" t="s">
        <v>391</v>
      </c>
      <c r="M149" s="3">
        <v>-1.0</v>
      </c>
      <c r="O149" s="3">
        <v>12.653466666666667</v>
      </c>
    </row>
    <row r="150" ht="15.75" customHeight="1">
      <c r="A150" s="2">
        <v>45534.0</v>
      </c>
      <c r="B150" s="3" t="s">
        <v>22</v>
      </c>
      <c r="C150" s="3" t="s">
        <v>16</v>
      </c>
      <c r="D150" s="3">
        <v>398.0</v>
      </c>
      <c r="E150" s="3">
        <v>100.0</v>
      </c>
      <c r="G150" s="3" t="s">
        <v>76</v>
      </c>
      <c r="H150" s="3" t="s">
        <v>43</v>
      </c>
      <c r="I150" s="3" t="s">
        <v>392</v>
      </c>
      <c r="J150" s="3" t="s">
        <v>393</v>
      </c>
      <c r="K150" s="3" t="s">
        <v>393</v>
      </c>
      <c r="M150" s="3">
        <v>-18.0</v>
      </c>
      <c r="O150" s="3">
        <v>1.3653666666666666</v>
      </c>
    </row>
    <row r="151" ht="15.75" customHeight="1">
      <c r="A151" s="2">
        <v>45534.0</v>
      </c>
      <c r="B151" s="3" t="s">
        <v>15</v>
      </c>
      <c r="C151" s="3" t="s">
        <v>16</v>
      </c>
      <c r="D151" s="3">
        <v>264.0</v>
      </c>
      <c r="E151" s="3">
        <v>0.0</v>
      </c>
      <c r="F151" s="3" t="s">
        <v>17</v>
      </c>
      <c r="G151" s="3" t="s">
        <v>18</v>
      </c>
      <c r="H151" s="3" t="s">
        <v>19</v>
      </c>
      <c r="I151" s="3" t="s">
        <v>394</v>
      </c>
      <c r="J151" s="3" t="s">
        <v>395</v>
      </c>
      <c r="K151" s="3" t="s">
        <v>395</v>
      </c>
      <c r="M151" s="3">
        <v>-11.0</v>
      </c>
      <c r="O151" s="3">
        <v>3.1290333333333336</v>
      </c>
    </row>
    <row r="152" ht="15.75" customHeight="1">
      <c r="A152" s="2">
        <v>45534.0</v>
      </c>
      <c r="B152" s="3" t="s">
        <v>54</v>
      </c>
      <c r="C152" s="3" t="s">
        <v>16</v>
      </c>
      <c r="D152" s="3">
        <v>329.0</v>
      </c>
      <c r="E152" s="3">
        <v>0.0</v>
      </c>
      <c r="G152" s="3" t="s">
        <v>18</v>
      </c>
      <c r="H152" s="3" t="s">
        <v>19</v>
      </c>
      <c r="I152" s="3" t="s">
        <v>396</v>
      </c>
      <c r="J152" s="3" t="s">
        <v>397</v>
      </c>
      <c r="K152" s="3" t="s">
        <v>397</v>
      </c>
      <c r="M152" s="3">
        <v>-5.0</v>
      </c>
      <c r="O152" s="3">
        <v>6.446366666666667</v>
      </c>
    </row>
    <row r="153" ht="15.75" customHeight="1">
      <c r="A153" s="2">
        <v>45534.0</v>
      </c>
      <c r="B153" s="3" t="s">
        <v>96</v>
      </c>
      <c r="C153" s="3" t="s">
        <v>16</v>
      </c>
      <c r="D153" s="3">
        <v>309.0</v>
      </c>
      <c r="E153" s="3">
        <v>0.0</v>
      </c>
      <c r="G153" s="3" t="s">
        <v>76</v>
      </c>
      <c r="H153" s="3" t="s">
        <v>43</v>
      </c>
      <c r="I153" s="3" t="s">
        <v>398</v>
      </c>
      <c r="J153" s="3" t="s">
        <v>399</v>
      </c>
      <c r="K153" s="3" t="s">
        <v>399</v>
      </c>
      <c r="M153" s="3">
        <v>-4.0</v>
      </c>
      <c r="O153" s="3">
        <v>0.4159</v>
      </c>
    </row>
    <row r="154" ht="15.75" customHeight="1">
      <c r="A154" s="2">
        <v>45534.0</v>
      </c>
      <c r="B154" s="3" t="s">
        <v>15</v>
      </c>
      <c r="C154" s="3" t="s">
        <v>16</v>
      </c>
      <c r="D154" s="3">
        <v>264.0</v>
      </c>
      <c r="E154" s="3">
        <v>0.0</v>
      </c>
      <c r="F154" s="3" t="s">
        <v>17</v>
      </c>
      <c r="G154" s="3" t="s">
        <v>18</v>
      </c>
      <c r="H154" s="3" t="s">
        <v>19</v>
      </c>
      <c r="I154" s="3" t="s">
        <v>400</v>
      </c>
      <c r="J154" s="3" t="s">
        <v>401</v>
      </c>
      <c r="K154" s="3" t="s">
        <v>401</v>
      </c>
      <c r="M154" s="3">
        <v>-11.0</v>
      </c>
      <c r="O154" s="3">
        <v>3.8613166666666667</v>
      </c>
    </row>
    <row r="155" ht="15.75" customHeight="1">
      <c r="A155" s="2">
        <v>45534.0</v>
      </c>
      <c r="B155" s="3" t="s">
        <v>54</v>
      </c>
      <c r="C155" s="3" t="s">
        <v>16</v>
      </c>
      <c r="D155" s="3">
        <v>214.0</v>
      </c>
      <c r="E155" s="3">
        <v>50.0</v>
      </c>
      <c r="G155" s="3" t="s">
        <v>18</v>
      </c>
      <c r="H155" s="3" t="s">
        <v>19</v>
      </c>
      <c r="I155" s="3" t="s">
        <v>402</v>
      </c>
      <c r="J155" s="3" t="s">
        <v>403</v>
      </c>
      <c r="K155" s="3" t="s">
        <v>403</v>
      </c>
      <c r="M155" s="3">
        <v>-1.0</v>
      </c>
      <c r="O155" s="3">
        <v>9.228266666666666</v>
      </c>
    </row>
    <row r="156" ht="15.75" customHeight="1">
      <c r="A156" s="2">
        <v>45534.0</v>
      </c>
      <c r="B156" s="3" t="s">
        <v>31</v>
      </c>
      <c r="C156" s="3" t="s">
        <v>16</v>
      </c>
      <c r="D156" s="3">
        <v>321.0</v>
      </c>
      <c r="E156" s="3">
        <v>0.0</v>
      </c>
      <c r="F156" s="3" t="s">
        <v>404</v>
      </c>
      <c r="G156" s="3" t="s">
        <v>18</v>
      </c>
      <c r="H156" s="3" t="s">
        <v>19</v>
      </c>
      <c r="I156" s="3" t="s">
        <v>405</v>
      </c>
      <c r="J156" s="3" t="s">
        <v>406</v>
      </c>
      <c r="K156" s="3" t="s">
        <v>406</v>
      </c>
      <c r="M156" s="3">
        <v>-8.0</v>
      </c>
      <c r="O156" s="3">
        <v>6.4164666666666665</v>
      </c>
    </row>
    <row r="157" ht="15.75" customHeight="1">
      <c r="A157" s="2">
        <v>45534.0</v>
      </c>
      <c r="B157" s="3" t="s">
        <v>54</v>
      </c>
      <c r="C157" s="3" t="s">
        <v>16</v>
      </c>
      <c r="D157" s="3">
        <v>528.0</v>
      </c>
      <c r="E157" s="3">
        <v>0.0</v>
      </c>
      <c r="G157" s="3" t="s">
        <v>18</v>
      </c>
      <c r="H157" s="3" t="s">
        <v>19</v>
      </c>
      <c r="I157" s="3" t="s">
        <v>407</v>
      </c>
      <c r="J157" s="3" t="s">
        <v>408</v>
      </c>
      <c r="K157" s="3" t="s">
        <v>408</v>
      </c>
      <c r="M157" s="3">
        <v>-5.0</v>
      </c>
      <c r="O157" s="3">
        <v>7.8194</v>
      </c>
    </row>
    <row r="158" ht="15.75" customHeight="1">
      <c r="A158" s="2">
        <v>45534.0</v>
      </c>
      <c r="B158" s="3" t="s">
        <v>54</v>
      </c>
      <c r="C158" s="3" t="s">
        <v>16</v>
      </c>
      <c r="D158" s="3">
        <v>468.0</v>
      </c>
      <c r="E158" s="3">
        <v>150.0</v>
      </c>
      <c r="G158" s="3" t="s">
        <v>18</v>
      </c>
      <c r="H158" s="3" t="s">
        <v>19</v>
      </c>
      <c r="I158" s="3" t="s">
        <v>409</v>
      </c>
      <c r="J158" s="3" t="s">
        <v>410</v>
      </c>
      <c r="K158" s="3" t="s">
        <v>410</v>
      </c>
      <c r="M158" s="3">
        <v>-2.0</v>
      </c>
      <c r="O158" s="3">
        <v>10.003316666666667</v>
      </c>
    </row>
    <row r="159" ht="15.75" customHeight="1">
      <c r="A159" s="2">
        <v>45534.0</v>
      </c>
      <c r="B159" s="3" t="s">
        <v>31</v>
      </c>
      <c r="C159" s="3" t="s">
        <v>16</v>
      </c>
      <c r="D159" s="3">
        <v>394.0</v>
      </c>
      <c r="E159" s="3">
        <v>0.0</v>
      </c>
      <c r="F159" s="3" t="s">
        <v>411</v>
      </c>
      <c r="G159" s="3" t="s">
        <v>18</v>
      </c>
      <c r="H159" s="3" t="s">
        <v>19</v>
      </c>
      <c r="I159" s="3" t="s">
        <v>412</v>
      </c>
      <c r="J159" s="3" t="s">
        <v>413</v>
      </c>
      <c r="K159" s="3" t="s">
        <v>413</v>
      </c>
      <c r="M159" s="3">
        <v>-7.0</v>
      </c>
      <c r="O159" s="3">
        <v>7.866033333333333</v>
      </c>
    </row>
    <row r="160" ht="15.75" customHeight="1">
      <c r="A160" s="2">
        <v>45534.0</v>
      </c>
      <c r="B160" s="3" t="s">
        <v>22</v>
      </c>
      <c r="C160" s="3" t="s">
        <v>16</v>
      </c>
      <c r="D160" s="3">
        <v>710.0</v>
      </c>
      <c r="E160" s="3">
        <v>0.0</v>
      </c>
      <c r="F160" s="3" t="s">
        <v>17</v>
      </c>
      <c r="G160" s="3" t="s">
        <v>24</v>
      </c>
      <c r="H160" s="3" t="s">
        <v>43</v>
      </c>
      <c r="I160" s="3" t="s">
        <v>414</v>
      </c>
      <c r="J160" s="3" t="s">
        <v>415</v>
      </c>
      <c r="K160" s="3" t="s">
        <v>416</v>
      </c>
      <c r="L160" s="3" t="s">
        <v>417</v>
      </c>
      <c r="M160" s="3">
        <v>-23.0</v>
      </c>
      <c r="N160" s="3">
        <v>0.40728333333333333</v>
      </c>
      <c r="O160" s="3">
        <v>7.6645</v>
      </c>
    </row>
    <row r="161" ht="15.75" customHeight="1">
      <c r="A161" s="2">
        <v>45534.0</v>
      </c>
      <c r="B161" s="3" t="s">
        <v>54</v>
      </c>
      <c r="C161" s="3" t="s">
        <v>16</v>
      </c>
      <c r="D161" s="3">
        <v>443.0</v>
      </c>
      <c r="E161" s="3">
        <v>0.0</v>
      </c>
      <c r="G161" s="3" t="s">
        <v>18</v>
      </c>
      <c r="H161" s="3" t="s">
        <v>19</v>
      </c>
      <c r="I161" s="3" t="s">
        <v>418</v>
      </c>
      <c r="J161" s="3" t="s">
        <v>419</v>
      </c>
      <c r="K161" s="3" t="s">
        <v>419</v>
      </c>
      <c r="M161" s="3">
        <v>-3.0</v>
      </c>
      <c r="O161" s="3">
        <v>8.3361</v>
      </c>
    </row>
    <row r="162" ht="15.75" customHeight="1">
      <c r="A162" s="2">
        <v>45534.0</v>
      </c>
      <c r="B162" s="3" t="s">
        <v>96</v>
      </c>
      <c r="C162" s="3" t="s">
        <v>16</v>
      </c>
      <c r="D162" s="3">
        <v>119.0</v>
      </c>
      <c r="E162" s="3">
        <v>0.0</v>
      </c>
      <c r="G162" s="3" t="s">
        <v>76</v>
      </c>
      <c r="H162" s="3" t="s">
        <v>43</v>
      </c>
      <c r="I162" s="3" t="s">
        <v>420</v>
      </c>
      <c r="J162" s="3" t="s">
        <v>421</v>
      </c>
      <c r="K162" s="3" t="s">
        <v>421</v>
      </c>
      <c r="M162" s="3">
        <v>-2.0</v>
      </c>
      <c r="O162" s="3">
        <v>2.0105666666666666</v>
      </c>
    </row>
    <row r="163" ht="15.75" customHeight="1">
      <c r="A163" s="2">
        <v>45534.0</v>
      </c>
      <c r="B163" s="3" t="s">
        <v>54</v>
      </c>
      <c r="C163" s="3" t="s">
        <v>16</v>
      </c>
      <c r="D163" s="3">
        <v>329.0</v>
      </c>
      <c r="E163" s="3">
        <v>0.0</v>
      </c>
      <c r="G163" s="3" t="s">
        <v>18</v>
      </c>
      <c r="H163" s="3" t="s">
        <v>19</v>
      </c>
      <c r="I163" s="3" t="s">
        <v>422</v>
      </c>
      <c r="J163" s="3" t="s">
        <v>423</v>
      </c>
      <c r="K163" s="3" t="s">
        <v>423</v>
      </c>
      <c r="M163" s="3">
        <v>-3.0</v>
      </c>
      <c r="O163" s="3">
        <v>7.435383333333333</v>
      </c>
    </row>
    <row r="164" ht="15.75" customHeight="1">
      <c r="A164" s="2">
        <v>45534.0</v>
      </c>
      <c r="B164" s="3" t="s">
        <v>22</v>
      </c>
      <c r="C164" s="3" t="s">
        <v>16</v>
      </c>
      <c r="D164" s="3">
        <v>503.0</v>
      </c>
      <c r="E164" s="3">
        <v>0.0</v>
      </c>
      <c r="F164" s="3" t="s">
        <v>17</v>
      </c>
      <c r="G164" s="3" t="s">
        <v>24</v>
      </c>
      <c r="H164" s="3" t="s">
        <v>19</v>
      </c>
      <c r="I164" s="3" t="s">
        <v>424</v>
      </c>
      <c r="J164" s="3" t="s">
        <v>425</v>
      </c>
      <c r="K164" s="3" t="s">
        <v>426</v>
      </c>
      <c r="L164" s="3" t="s">
        <v>427</v>
      </c>
      <c r="M164" s="3">
        <v>-19.0</v>
      </c>
      <c r="N164" s="3">
        <v>9.110816666666667</v>
      </c>
      <c r="O164" s="3">
        <v>14.445266666666667</v>
      </c>
    </row>
    <row r="165" ht="15.75" customHeight="1">
      <c r="A165" s="2">
        <v>45534.0</v>
      </c>
      <c r="B165" s="3" t="s">
        <v>96</v>
      </c>
      <c r="C165" s="3" t="s">
        <v>16</v>
      </c>
      <c r="D165" s="3">
        <v>39.0</v>
      </c>
      <c r="E165" s="3">
        <v>0.0</v>
      </c>
      <c r="G165" s="3" t="s">
        <v>76</v>
      </c>
      <c r="H165" s="3" t="s">
        <v>43</v>
      </c>
      <c r="I165" s="3" t="s">
        <v>428</v>
      </c>
      <c r="J165" s="3" t="s">
        <v>429</v>
      </c>
      <c r="K165" s="3" t="s">
        <v>429</v>
      </c>
      <c r="M165" s="3">
        <v>-4.0</v>
      </c>
      <c r="O165" s="3">
        <v>0.08471666666666666</v>
      </c>
    </row>
    <row r="166" ht="15.75" customHeight="1">
      <c r="A166" s="2">
        <v>45534.0</v>
      </c>
      <c r="B166" s="3" t="s">
        <v>96</v>
      </c>
      <c r="C166" s="3" t="s">
        <v>16</v>
      </c>
      <c r="D166" s="3">
        <v>249.0</v>
      </c>
      <c r="E166" s="3">
        <v>0.0</v>
      </c>
      <c r="G166" s="3" t="s">
        <v>76</v>
      </c>
      <c r="H166" s="3" t="s">
        <v>43</v>
      </c>
      <c r="I166" s="3" t="s">
        <v>430</v>
      </c>
      <c r="J166" s="3" t="s">
        <v>431</v>
      </c>
      <c r="K166" s="3" t="s">
        <v>431</v>
      </c>
      <c r="M166" s="3">
        <v>0.0</v>
      </c>
      <c r="O166" s="3">
        <v>4.2309833333333335</v>
      </c>
    </row>
    <row r="167" ht="15.75" customHeight="1">
      <c r="A167" s="2">
        <v>45534.0</v>
      </c>
      <c r="B167" s="3" t="s">
        <v>15</v>
      </c>
      <c r="C167" s="3" t="s">
        <v>16</v>
      </c>
      <c r="D167" s="3">
        <v>264.0</v>
      </c>
      <c r="E167" s="3">
        <v>0.0</v>
      </c>
      <c r="F167" s="3" t="s">
        <v>17</v>
      </c>
      <c r="G167" s="3" t="s">
        <v>18</v>
      </c>
      <c r="H167" s="3" t="s">
        <v>19</v>
      </c>
      <c r="I167" s="3" t="s">
        <v>432</v>
      </c>
      <c r="J167" s="3" t="s">
        <v>433</v>
      </c>
      <c r="K167" s="3" t="s">
        <v>433</v>
      </c>
      <c r="M167" s="3">
        <v>-7.0</v>
      </c>
      <c r="O167" s="3">
        <v>7.619816666666667</v>
      </c>
    </row>
    <row r="168" ht="15.75" customHeight="1">
      <c r="A168" s="2">
        <v>45534.0</v>
      </c>
      <c r="B168" s="3" t="s">
        <v>15</v>
      </c>
      <c r="C168" s="3" t="s">
        <v>16</v>
      </c>
      <c r="D168" s="3">
        <v>329.0</v>
      </c>
      <c r="E168" s="3">
        <v>0.0</v>
      </c>
      <c r="F168" s="3" t="s">
        <v>17</v>
      </c>
      <c r="G168" s="3" t="s">
        <v>18</v>
      </c>
      <c r="H168" s="3" t="s">
        <v>19</v>
      </c>
      <c r="I168" s="3" t="s">
        <v>434</v>
      </c>
      <c r="J168" s="3" t="s">
        <v>435</v>
      </c>
      <c r="K168" s="3" t="s">
        <v>435</v>
      </c>
      <c r="M168" s="3">
        <v>-8.0</v>
      </c>
      <c r="O168" s="3">
        <v>9.398866666666667</v>
      </c>
    </row>
    <row r="169" ht="15.75" customHeight="1">
      <c r="A169" s="2">
        <v>45534.0</v>
      </c>
      <c r="B169" s="3" t="s">
        <v>96</v>
      </c>
      <c r="C169" s="3" t="s">
        <v>16</v>
      </c>
      <c r="D169" s="3">
        <v>249.0</v>
      </c>
      <c r="E169" s="3">
        <v>0.0</v>
      </c>
      <c r="G169" s="3" t="s">
        <v>76</v>
      </c>
      <c r="H169" s="3" t="s">
        <v>43</v>
      </c>
      <c r="I169" s="3" t="s">
        <v>436</v>
      </c>
      <c r="J169" s="3" t="s">
        <v>437</v>
      </c>
      <c r="K169" s="3" t="s">
        <v>437</v>
      </c>
      <c r="M169" s="3">
        <v>-1.0</v>
      </c>
      <c r="O169" s="3">
        <v>3.5138333333333334</v>
      </c>
    </row>
    <row r="170" ht="15.75" customHeight="1">
      <c r="A170" s="2">
        <v>45534.0</v>
      </c>
      <c r="B170" s="3" t="s">
        <v>22</v>
      </c>
      <c r="C170" s="3" t="s">
        <v>16</v>
      </c>
      <c r="D170" s="3">
        <v>220.0</v>
      </c>
      <c r="E170" s="3">
        <v>106.0</v>
      </c>
      <c r="G170" s="3" t="s">
        <v>76</v>
      </c>
      <c r="H170" s="3" t="s">
        <v>19</v>
      </c>
      <c r="I170" s="3" t="s">
        <v>438</v>
      </c>
      <c r="J170" s="3" t="s">
        <v>439</v>
      </c>
      <c r="K170" s="3" t="s">
        <v>439</v>
      </c>
      <c r="M170" s="3">
        <v>-11.0</v>
      </c>
      <c r="O170" s="3">
        <v>8.248216666666666</v>
      </c>
    </row>
    <row r="171" ht="15.75" customHeight="1">
      <c r="A171" s="2">
        <v>45534.0</v>
      </c>
      <c r="B171" s="3" t="s">
        <v>22</v>
      </c>
      <c r="C171" s="3" t="s">
        <v>16</v>
      </c>
      <c r="D171" s="3">
        <v>0.0</v>
      </c>
      <c r="E171" s="3">
        <v>249.0</v>
      </c>
      <c r="F171" s="3" t="s">
        <v>17</v>
      </c>
      <c r="G171" s="3" t="s">
        <v>24</v>
      </c>
      <c r="H171" s="3" t="s">
        <v>19</v>
      </c>
      <c r="I171" s="3" t="s">
        <v>440</v>
      </c>
      <c r="J171" s="3" t="s">
        <v>441</v>
      </c>
      <c r="K171" s="3" t="s">
        <v>442</v>
      </c>
      <c r="L171" s="3" t="s">
        <v>443</v>
      </c>
      <c r="M171" s="3">
        <v>-5.0</v>
      </c>
      <c r="N171" s="3">
        <v>6.7083</v>
      </c>
      <c r="O171" s="3">
        <v>10.926283333333334</v>
      </c>
    </row>
    <row r="172" ht="15.75" customHeight="1">
      <c r="A172" s="2">
        <v>45534.0</v>
      </c>
      <c r="B172" s="3" t="s">
        <v>54</v>
      </c>
      <c r="C172" s="3" t="s">
        <v>16</v>
      </c>
      <c r="D172" s="3">
        <v>553.0</v>
      </c>
      <c r="E172" s="3">
        <v>0.0</v>
      </c>
      <c r="G172" s="3" t="s">
        <v>18</v>
      </c>
      <c r="H172" s="3" t="s">
        <v>19</v>
      </c>
      <c r="I172" s="3" t="s">
        <v>444</v>
      </c>
      <c r="J172" s="3" t="s">
        <v>445</v>
      </c>
      <c r="K172" s="3" t="s">
        <v>445</v>
      </c>
      <c r="M172" s="3">
        <v>0.0</v>
      </c>
      <c r="O172" s="3">
        <v>12.863933333333334</v>
      </c>
    </row>
    <row r="173" ht="15.75" customHeight="1">
      <c r="A173" s="2">
        <v>45534.0</v>
      </c>
      <c r="B173" s="3" t="s">
        <v>96</v>
      </c>
      <c r="C173" s="3" t="s">
        <v>16</v>
      </c>
      <c r="D173" s="3">
        <v>249.0</v>
      </c>
      <c r="E173" s="3">
        <v>0.0</v>
      </c>
      <c r="G173" s="3" t="s">
        <v>76</v>
      </c>
      <c r="H173" s="3" t="s">
        <v>43</v>
      </c>
      <c r="I173" s="3" t="s">
        <v>446</v>
      </c>
      <c r="J173" s="3" t="s">
        <v>447</v>
      </c>
      <c r="K173" s="3" t="s">
        <v>447</v>
      </c>
      <c r="M173" s="3">
        <v>-4.0</v>
      </c>
      <c r="O173" s="3">
        <v>0.06765</v>
      </c>
    </row>
    <row r="174" ht="15.75" customHeight="1">
      <c r="A174" s="2">
        <v>45534.0</v>
      </c>
      <c r="B174" s="3" t="s">
        <v>96</v>
      </c>
      <c r="C174" s="3" t="s">
        <v>16</v>
      </c>
      <c r="D174" s="3">
        <v>249.0</v>
      </c>
      <c r="E174" s="3">
        <v>0.0</v>
      </c>
      <c r="G174" s="3" t="s">
        <v>76</v>
      </c>
      <c r="H174" s="3" t="s">
        <v>43</v>
      </c>
      <c r="I174" s="3" t="s">
        <v>448</v>
      </c>
      <c r="J174" s="3" t="s">
        <v>449</v>
      </c>
      <c r="K174" s="3" t="s">
        <v>449</v>
      </c>
      <c r="M174" s="3">
        <v>-4.0</v>
      </c>
      <c r="O174" s="3">
        <v>0.24725</v>
      </c>
    </row>
    <row r="175" ht="15.75" customHeight="1">
      <c r="A175" s="2">
        <v>45534.0</v>
      </c>
      <c r="B175" s="3" t="s">
        <v>96</v>
      </c>
      <c r="C175" s="3" t="s">
        <v>16</v>
      </c>
      <c r="D175" s="3">
        <v>249.0</v>
      </c>
      <c r="E175" s="3">
        <v>0.0</v>
      </c>
      <c r="G175" s="3" t="s">
        <v>76</v>
      </c>
      <c r="H175" s="3" t="s">
        <v>43</v>
      </c>
      <c r="I175" s="3" t="s">
        <v>450</v>
      </c>
      <c r="J175" s="3" t="s">
        <v>451</v>
      </c>
      <c r="K175" s="3" t="s">
        <v>451</v>
      </c>
      <c r="M175" s="3">
        <v>-4.0</v>
      </c>
      <c r="O175" s="3">
        <v>0.08093333333333333</v>
      </c>
    </row>
    <row r="176" ht="15.75" customHeight="1">
      <c r="A176" s="2">
        <v>45534.0</v>
      </c>
      <c r="B176" s="3" t="s">
        <v>22</v>
      </c>
      <c r="C176" s="3" t="s">
        <v>16</v>
      </c>
      <c r="D176" s="3">
        <v>555.0</v>
      </c>
      <c r="E176" s="3">
        <v>0.0</v>
      </c>
      <c r="F176" s="3" t="s">
        <v>17</v>
      </c>
      <c r="G176" s="3" t="s">
        <v>24</v>
      </c>
      <c r="H176" s="3" t="s">
        <v>19</v>
      </c>
      <c r="I176" s="3" t="s">
        <v>452</v>
      </c>
      <c r="J176" s="3" t="s">
        <v>453</v>
      </c>
      <c r="K176" s="3" t="s">
        <v>454</v>
      </c>
      <c r="L176" s="3" t="s">
        <v>455</v>
      </c>
      <c r="M176" s="3">
        <v>14.0</v>
      </c>
      <c r="N176" s="3">
        <v>16.73075</v>
      </c>
      <c r="O176" s="3">
        <v>23.651766666666667</v>
      </c>
    </row>
    <row r="177" ht="15.75" customHeight="1">
      <c r="A177" s="2">
        <v>45535.0</v>
      </c>
      <c r="B177" s="3" t="s">
        <v>31</v>
      </c>
      <c r="C177" s="3" t="s">
        <v>16</v>
      </c>
      <c r="D177" s="3">
        <v>417.0</v>
      </c>
      <c r="E177" s="3">
        <v>0.0</v>
      </c>
      <c r="F177" s="3" t="s">
        <v>456</v>
      </c>
      <c r="G177" s="3" t="s">
        <v>18</v>
      </c>
      <c r="H177" s="3" t="s">
        <v>19</v>
      </c>
      <c r="I177" s="3" t="s">
        <v>457</v>
      </c>
      <c r="J177" s="3" t="s">
        <v>458</v>
      </c>
      <c r="K177" s="3" t="s">
        <v>458</v>
      </c>
      <c r="M177" s="3">
        <v>-8.0</v>
      </c>
      <c r="O177" s="3">
        <v>6.443266666666666</v>
      </c>
    </row>
    <row r="178" ht="15.75" customHeight="1">
      <c r="A178" s="2">
        <v>45535.0</v>
      </c>
      <c r="B178" s="3" t="s">
        <v>31</v>
      </c>
      <c r="C178" s="3" t="s">
        <v>16</v>
      </c>
      <c r="D178" s="3">
        <v>379.0</v>
      </c>
      <c r="E178" s="3">
        <v>0.0</v>
      </c>
      <c r="F178" s="3" t="s">
        <v>459</v>
      </c>
      <c r="G178" s="3" t="s">
        <v>18</v>
      </c>
      <c r="H178" s="3" t="s">
        <v>19</v>
      </c>
      <c r="I178" s="3" t="s">
        <v>460</v>
      </c>
      <c r="J178" s="3" t="s">
        <v>461</v>
      </c>
      <c r="K178" s="3" t="s">
        <v>461</v>
      </c>
      <c r="M178" s="3">
        <v>-7.0</v>
      </c>
      <c r="O178" s="3">
        <v>7.406633333333334</v>
      </c>
    </row>
    <row r="179" ht="15.75" customHeight="1">
      <c r="A179" s="2">
        <v>45535.0</v>
      </c>
      <c r="B179" s="3" t="s">
        <v>31</v>
      </c>
      <c r="C179" s="3" t="s">
        <v>16</v>
      </c>
      <c r="D179" s="3">
        <v>394.0</v>
      </c>
      <c r="E179" s="3">
        <v>0.0</v>
      </c>
      <c r="F179" s="3" t="s">
        <v>222</v>
      </c>
      <c r="G179" s="3" t="s">
        <v>18</v>
      </c>
      <c r="H179" s="3" t="s">
        <v>19</v>
      </c>
      <c r="I179" s="3" t="s">
        <v>462</v>
      </c>
      <c r="J179" s="3" t="s">
        <v>463</v>
      </c>
      <c r="K179" s="3" t="s">
        <v>463</v>
      </c>
      <c r="M179" s="3">
        <v>-6.0</v>
      </c>
      <c r="O179" s="3">
        <v>8.279616666666668</v>
      </c>
    </row>
    <row r="180" ht="15.75" customHeight="1">
      <c r="A180" s="2">
        <v>45535.0</v>
      </c>
      <c r="B180" s="3" t="s">
        <v>54</v>
      </c>
      <c r="C180" s="3" t="s">
        <v>16</v>
      </c>
      <c r="D180" s="3">
        <v>368.0</v>
      </c>
      <c r="E180" s="3">
        <v>150.0</v>
      </c>
      <c r="G180" s="3" t="s">
        <v>18</v>
      </c>
      <c r="H180" s="3" t="s">
        <v>19</v>
      </c>
      <c r="I180" s="3" t="s">
        <v>464</v>
      </c>
      <c r="J180" s="3" t="s">
        <v>465</v>
      </c>
      <c r="K180" s="3" t="s">
        <v>465</v>
      </c>
      <c r="M180" s="3">
        <v>-3.0</v>
      </c>
      <c r="O180" s="3">
        <v>9.918483333333333</v>
      </c>
    </row>
    <row r="181" ht="15.75" customHeight="1">
      <c r="A181" s="2">
        <v>45535.0</v>
      </c>
      <c r="B181" s="3" t="s">
        <v>54</v>
      </c>
      <c r="C181" s="3" t="s">
        <v>16</v>
      </c>
      <c r="D181" s="3">
        <v>577.0</v>
      </c>
      <c r="E181" s="3">
        <v>0.0</v>
      </c>
      <c r="G181" s="3" t="s">
        <v>18</v>
      </c>
      <c r="H181" s="3" t="s">
        <v>19</v>
      </c>
      <c r="I181" s="3" t="s">
        <v>466</v>
      </c>
      <c r="J181" s="3" t="s">
        <v>467</v>
      </c>
      <c r="K181" s="3" t="s">
        <v>467</v>
      </c>
      <c r="M181" s="3">
        <v>-6.0</v>
      </c>
      <c r="O181" s="3">
        <v>6.92835</v>
      </c>
    </row>
    <row r="182" ht="15.75" customHeight="1">
      <c r="A182" s="2">
        <v>45535.0</v>
      </c>
      <c r="B182" s="3" t="s">
        <v>15</v>
      </c>
      <c r="C182" s="3" t="s">
        <v>16</v>
      </c>
      <c r="D182" s="3">
        <v>264.0</v>
      </c>
      <c r="E182" s="3">
        <v>0.0</v>
      </c>
      <c r="F182" s="3" t="s">
        <v>17</v>
      </c>
      <c r="G182" s="3" t="s">
        <v>18</v>
      </c>
      <c r="H182" s="3" t="s">
        <v>19</v>
      </c>
      <c r="I182" s="3" t="s">
        <v>468</v>
      </c>
      <c r="J182" s="3" t="s">
        <v>469</v>
      </c>
      <c r="K182" s="3" t="s">
        <v>469</v>
      </c>
      <c r="M182" s="3">
        <v>-8.0</v>
      </c>
      <c r="O182" s="3">
        <v>6.0789333333333335</v>
      </c>
    </row>
    <row r="183" ht="15.75" customHeight="1">
      <c r="A183" s="2">
        <v>45535.0</v>
      </c>
      <c r="B183" s="3" t="s">
        <v>54</v>
      </c>
      <c r="C183" s="3" t="s">
        <v>16</v>
      </c>
      <c r="D183" s="3">
        <v>329.0</v>
      </c>
      <c r="E183" s="3">
        <v>0.0</v>
      </c>
      <c r="G183" s="3" t="s">
        <v>18</v>
      </c>
      <c r="H183" s="3" t="s">
        <v>19</v>
      </c>
      <c r="I183" s="3" t="s">
        <v>470</v>
      </c>
      <c r="J183" s="3" t="s">
        <v>471</v>
      </c>
      <c r="K183" s="3" t="s">
        <v>471</v>
      </c>
      <c r="M183" s="3">
        <v>0.0</v>
      </c>
      <c r="O183" s="3">
        <v>10.937316666666666</v>
      </c>
    </row>
    <row r="184" ht="15.75" customHeight="1">
      <c r="A184" s="2">
        <v>45535.0</v>
      </c>
      <c r="B184" s="3" t="s">
        <v>31</v>
      </c>
      <c r="C184" s="3" t="s">
        <v>16</v>
      </c>
      <c r="D184" s="3">
        <v>329.0</v>
      </c>
      <c r="E184" s="3">
        <v>0.0</v>
      </c>
      <c r="F184" s="3" t="s">
        <v>472</v>
      </c>
      <c r="G184" s="3" t="s">
        <v>18</v>
      </c>
      <c r="H184" s="3" t="s">
        <v>19</v>
      </c>
      <c r="I184" s="3" t="s">
        <v>473</v>
      </c>
      <c r="J184" s="3" t="s">
        <v>474</v>
      </c>
      <c r="K184" s="3" t="s">
        <v>474</v>
      </c>
      <c r="M184" s="3">
        <v>-3.0</v>
      </c>
      <c r="O184" s="3">
        <v>11.446516666666666</v>
      </c>
    </row>
    <row r="185" ht="15.75" customHeight="1">
      <c r="A185" s="2">
        <v>45535.0</v>
      </c>
      <c r="B185" s="3" t="s">
        <v>54</v>
      </c>
      <c r="C185" s="3" t="s">
        <v>16</v>
      </c>
      <c r="D185" s="3">
        <v>528.0</v>
      </c>
      <c r="E185" s="3">
        <v>0.0</v>
      </c>
      <c r="G185" s="3" t="s">
        <v>18</v>
      </c>
      <c r="H185" s="3" t="s">
        <v>19</v>
      </c>
      <c r="I185" s="3" t="s">
        <v>475</v>
      </c>
      <c r="J185" s="3" t="s">
        <v>476</v>
      </c>
      <c r="K185" s="3" t="s">
        <v>476</v>
      </c>
      <c r="M185" s="3">
        <v>0.0</v>
      </c>
      <c r="O185" s="3">
        <v>12.734716666666667</v>
      </c>
    </row>
    <row r="186" ht="15.75" customHeight="1">
      <c r="A186" s="2">
        <v>45535.0</v>
      </c>
      <c r="B186" s="3" t="s">
        <v>54</v>
      </c>
      <c r="C186" s="3" t="s">
        <v>16</v>
      </c>
      <c r="D186" s="3">
        <v>264.0</v>
      </c>
      <c r="E186" s="3">
        <v>0.0</v>
      </c>
      <c r="G186" s="3" t="s">
        <v>18</v>
      </c>
      <c r="H186" s="3" t="s">
        <v>19</v>
      </c>
      <c r="I186" s="3" t="s">
        <v>477</v>
      </c>
      <c r="J186" s="3" t="s">
        <v>478</v>
      </c>
      <c r="K186" s="3" t="s">
        <v>478</v>
      </c>
      <c r="M186" s="3">
        <v>2.0</v>
      </c>
      <c r="O186" s="3">
        <v>13.691966666666668</v>
      </c>
    </row>
    <row r="187" ht="15.75" customHeight="1">
      <c r="A187" s="2">
        <v>45535.0</v>
      </c>
      <c r="B187" s="3" t="s">
        <v>22</v>
      </c>
      <c r="C187" s="3" t="s">
        <v>16</v>
      </c>
      <c r="D187" s="3">
        <v>283.0</v>
      </c>
      <c r="E187" s="3">
        <v>83.0</v>
      </c>
      <c r="G187" s="3" t="s">
        <v>76</v>
      </c>
      <c r="H187" s="3" t="s">
        <v>80</v>
      </c>
      <c r="I187" s="3" t="s">
        <v>479</v>
      </c>
      <c r="J187" s="3" t="s">
        <v>480</v>
      </c>
      <c r="K187" s="3" t="s">
        <v>480</v>
      </c>
      <c r="M187" s="3">
        <v>-15.0</v>
      </c>
      <c r="O187" s="3">
        <v>4.680233333333334</v>
      </c>
    </row>
    <row r="188" ht="15.75" customHeight="1">
      <c r="A188" s="2">
        <v>45535.0</v>
      </c>
      <c r="B188" s="3" t="s">
        <v>15</v>
      </c>
      <c r="C188" s="3" t="s">
        <v>16</v>
      </c>
      <c r="D188" s="3">
        <v>1365.0</v>
      </c>
      <c r="E188" s="3">
        <v>0.0</v>
      </c>
      <c r="F188" s="3" t="s">
        <v>17</v>
      </c>
      <c r="G188" s="3" t="s">
        <v>18</v>
      </c>
      <c r="H188" s="3" t="s">
        <v>19</v>
      </c>
      <c r="I188" s="3" t="s">
        <v>481</v>
      </c>
      <c r="J188" s="3" t="s">
        <v>482</v>
      </c>
      <c r="K188" s="3" t="s">
        <v>482</v>
      </c>
      <c r="M188" s="3">
        <v>-8.0</v>
      </c>
      <c r="O188" s="3">
        <v>11.175983333333333</v>
      </c>
    </row>
    <row r="189" ht="15.75" customHeight="1">
      <c r="A189" s="2">
        <v>45535.0</v>
      </c>
      <c r="B189" s="3" t="s">
        <v>96</v>
      </c>
      <c r="C189" s="3" t="s">
        <v>16</v>
      </c>
      <c r="D189" s="3">
        <v>358.0</v>
      </c>
      <c r="E189" s="3">
        <v>0.0</v>
      </c>
      <c r="G189" s="3" t="s">
        <v>76</v>
      </c>
      <c r="H189" s="3" t="s">
        <v>43</v>
      </c>
      <c r="I189" s="3" t="s">
        <v>483</v>
      </c>
      <c r="J189" s="3" t="s">
        <v>484</v>
      </c>
      <c r="K189" s="3" t="s">
        <v>484</v>
      </c>
      <c r="M189" s="3">
        <v>0.0</v>
      </c>
      <c r="O189" s="3">
        <v>5.343633333333333</v>
      </c>
    </row>
    <row r="190" ht="15.75" customHeight="1">
      <c r="A190" s="2">
        <v>45535.0</v>
      </c>
      <c r="B190" s="3" t="s">
        <v>22</v>
      </c>
      <c r="C190" s="3" t="s">
        <v>16</v>
      </c>
      <c r="D190" s="3">
        <v>511.0</v>
      </c>
      <c r="E190" s="3">
        <v>0.0</v>
      </c>
      <c r="F190" s="3" t="s">
        <v>17</v>
      </c>
      <c r="G190" s="3" t="s">
        <v>24</v>
      </c>
      <c r="H190" s="3" t="s">
        <v>43</v>
      </c>
      <c r="I190" s="3" t="s">
        <v>485</v>
      </c>
      <c r="J190" s="3" t="s">
        <v>486</v>
      </c>
      <c r="K190" s="3" t="s">
        <v>487</v>
      </c>
      <c r="L190" s="3" t="s">
        <v>488</v>
      </c>
      <c r="M190" s="3">
        <v>-13.0</v>
      </c>
      <c r="N190" s="3">
        <v>0.8054166666666667</v>
      </c>
      <c r="O190" s="3">
        <v>8.177733333333334</v>
      </c>
    </row>
    <row r="191" ht="15.75" customHeight="1">
      <c r="A191" s="2">
        <v>45535.0</v>
      </c>
      <c r="B191" s="3" t="s">
        <v>96</v>
      </c>
      <c r="C191" s="3" t="s">
        <v>16</v>
      </c>
      <c r="D191" s="3">
        <v>747.0</v>
      </c>
      <c r="E191" s="3">
        <v>0.0</v>
      </c>
      <c r="G191" s="3" t="s">
        <v>76</v>
      </c>
      <c r="H191" s="3" t="s">
        <v>43</v>
      </c>
      <c r="I191" s="3" t="s">
        <v>489</v>
      </c>
      <c r="J191" s="3" t="s">
        <v>490</v>
      </c>
      <c r="K191" s="3" t="s">
        <v>490</v>
      </c>
      <c r="M191" s="3">
        <v>-6.0</v>
      </c>
      <c r="O191" s="3">
        <v>3.1668333333333334</v>
      </c>
    </row>
    <row r="192" ht="15.75" customHeight="1">
      <c r="A192" s="2">
        <v>45535.0</v>
      </c>
      <c r="B192" s="3" t="s">
        <v>22</v>
      </c>
      <c r="C192" s="3" t="s">
        <v>16</v>
      </c>
      <c r="D192" s="3">
        <v>269.0</v>
      </c>
      <c r="E192" s="3">
        <v>0.0</v>
      </c>
      <c r="F192" s="3" t="s">
        <v>17</v>
      </c>
      <c r="G192" s="3" t="s">
        <v>24</v>
      </c>
      <c r="H192" s="3" t="s">
        <v>43</v>
      </c>
      <c r="I192" s="3" t="s">
        <v>491</v>
      </c>
      <c r="J192" s="3" t="s">
        <v>492</v>
      </c>
      <c r="K192" s="3" t="s">
        <v>493</v>
      </c>
      <c r="L192" s="3" t="s">
        <v>494</v>
      </c>
      <c r="M192" s="3">
        <v>-12.0</v>
      </c>
      <c r="N192" s="3">
        <v>0.728</v>
      </c>
      <c r="O192" s="3">
        <v>6.472366666666667</v>
      </c>
    </row>
    <row r="193" ht="15.75" customHeight="1">
      <c r="A193" s="2">
        <v>45535.0</v>
      </c>
      <c r="B193" s="3" t="s">
        <v>96</v>
      </c>
      <c r="C193" s="3" t="s">
        <v>16</v>
      </c>
      <c r="D193" s="3">
        <v>249.0</v>
      </c>
      <c r="E193" s="3">
        <v>0.0</v>
      </c>
      <c r="G193" s="3" t="s">
        <v>76</v>
      </c>
      <c r="H193" s="3" t="s">
        <v>43</v>
      </c>
      <c r="I193" s="3" t="s">
        <v>495</v>
      </c>
      <c r="J193" s="3" t="s">
        <v>496</v>
      </c>
      <c r="K193" s="3" t="s">
        <v>496</v>
      </c>
      <c r="M193" s="3">
        <v>-4.0</v>
      </c>
      <c r="O193" s="3">
        <v>0.027366666666666668</v>
      </c>
    </row>
    <row r="194" ht="15.75" customHeight="1">
      <c r="A194" s="2">
        <v>45535.0</v>
      </c>
      <c r="B194" s="3" t="s">
        <v>15</v>
      </c>
      <c r="C194" s="3" t="s">
        <v>16</v>
      </c>
      <c r="D194" s="3">
        <v>289.0</v>
      </c>
      <c r="E194" s="3">
        <v>0.0</v>
      </c>
      <c r="F194" s="3" t="s">
        <v>17</v>
      </c>
      <c r="G194" s="3" t="s">
        <v>18</v>
      </c>
      <c r="H194" s="3" t="s">
        <v>19</v>
      </c>
      <c r="I194" s="3" t="s">
        <v>497</v>
      </c>
      <c r="J194" s="3" t="s">
        <v>498</v>
      </c>
      <c r="K194" s="3" t="s">
        <v>498</v>
      </c>
      <c r="M194" s="3">
        <v>-8.0</v>
      </c>
      <c r="O194" s="3">
        <v>6.019</v>
      </c>
    </row>
    <row r="195" ht="15.75" customHeight="1">
      <c r="A195" s="2">
        <v>45535.0</v>
      </c>
      <c r="B195" s="3" t="s">
        <v>15</v>
      </c>
      <c r="C195" s="3" t="s">
        <v>16</v>
      </c>
      <c r="D195" s="3">
        <v>289.0</v>
      </c>
      <c r="E195" s="3">
        <v>0.0</v>
      </c>
      <c r="F195" s="3" t="s">
        <v>17</v>
      </c>
      <c r="G195" s="3" t="s">
        <v>18</v>
      </c>
      <c r="H195" s="3" t="s">
        <v>19</v>
      </c>
      <c r="I195" s="3" t="s">
        <v>499</v>
      </c>
      <c r="J195" s="3" t="s">
        <v>500</v>
      </c>
      <c r="K195" s="3" t="s">
        <v>500</v>
      </c>
      <c r="M195" s="3">
        <v>-7.0</v>
      </c>
      <c r="O195" s="3">
        <v>7.160983333333333</v>
      </c>
    </row>
    <row r="196" ht="15.75" customHeight="1">
      <c r="A196" s="2">
        <v>45535.0</v>
      </c>
      <c r="B196" s="3" t="s">
        <v>31</v>
      </c>
      <c r="C196" s="3" t="s">
        <v>16</v>
      </c>
      <c r="D196" s="3">
        <v>394.0</v>
      </c>
      <c r="E196" s="3">
        <v>0.0</v>
      </c>
      <c r="F196" s="3" t="s">
        <v>501</v>
      </c>
      <c r="G196" s="3" t="s">
        <v>18</v>
      </c>
      <c r="H196" s="3" t="s">
        <v>19</v>
      </c>
      <c r="I196" s="3" t="s">
        <v>502</v>
      </c>
      <c r="J196" s="3" t="s">
        <v>503</v>
      </c>
      <c r="K196" s="3" t="s">
        <v>503</v>
      </c>
      <c r="M196" s="3">
        <v>-5.0</v>
      </c>
      <c r="O196" s="3">
        <v>9.485416666666667</v>
      </c>
    </row>
    <row r="197" ht="15.75" customHeight="1">
      <c r="A197" s="2">
        <v>45535.0</v>
      </c>
      <c r="B197" s="3" t="s">
        <v>22</v>
      </c>
      <c r="C197" s="3" t="s">
        <v>16</v>
      </c>
      <c r="D197" s="3">
        <v>374.0</v>
      </c>
      <c r="E197" s="3">
        <v>0.0</v>
      </c>
      <c r="F197" s="3" t="s">
        <v>17</v>
      </c>
      <c r="G197" s="3" t="s">
        <v>24</v>
      </c>
      <c r="H197" s="3" t="s">
        <v>19</v>
      </c>
      <c r="I197" s="3" t="s">
        <v>504</v>
      </c>
      <c r="J197" s="3" t="s">
        <v>505</v>
      </c>
      <c r="K197" s="3" t="s">
        <v>506</v>
      </c>
      <c r="L197" s="3" t="s">
        <v>507</v>
      </c>
      <c r="M197" s="3">
        <v>-8.0</v>
      </c>
      <c r="N197" s="3">
        <v>1.1022</v>
      </c>
      <c r="O197" s="3">
        <v>11.945833333333333</v>
      </c>
    </row>
    <row r="198" ht="15.75" customHeight="1">
      <c r="A198" s="2">
        <v>45535.0</v>
      </c>
      <c r="B198" s="3" t="s">
        <v>31</v>
      </c>
      <c r="C198" s="3" t="s">
        <v>16</v>
      </c>
      <c r="D198" s="3">
        <v>329.0</v>
      </c>
      <c r="E198" s="3">
        <v>0.0</v>
      </c>
      <c r="F198" s="3" t="s">
        <v>508</v>
      </c>
      <c r="G198" s="3" t="s">
        <v>18</v>
      </c>
      <c r="H198" s="3" t="s">
        <v>19</v>
      </c>
      <c r="I198" s="3" t="s">
        <v>509</v>
      </c>
      <c r="J198" s="3" t="s">
        <v>510</v>
      </c>
      <c r="K198" s="3" t="s">
        <v>510</v>
      </c>
      <c r="M198" s="3">
        <v>-7.0</v>
      </c>
      <c r="O198" s="3">
        <v>7.4202</v>
      </c>
    </row>
    <row r="199" ht="15.75" customHeight="1">
      <c r="A199" s="2">
        <v>45535.0</v>
      </c>
      <c r="B199" s="3" t="s">
        <v>22</v>
      </c>
      <c r="C199" s="3" t="s">
        <v>16</v>
      </c>
      <c r="D199" s="3">
        <v>618.0</v>
      </c>
      <c r="E199" s="3">
        <v>0.0</v>
      </c>
      <c r="F199" s="3" t="s">
        <v>17</v>
      </c>
      <c r="G199" s="3" t="s">
        <v>24</v>
      </c>
      <c r="H199" s="3" t="s">
        <v>19</v>
      </c>
      <c r="I199" s="3" t="s">
        <v>511</v>
      </c>
      <c r="J199" s="3" t="s">
        <v>512</v>
      </c>
      <c r="K199" s="3" t="s">
        <v>513</v>
      </c>
      <c r="L199" s="3" t="s">
        <v>514</v>
      </c>
      <c r="M199" s="3">
        <v>-14.0</v>
      </c>
      <c r="N199" s="3">
        <v>0.15856666666666666</v>
      </c>
      <c r="O199" s="3">
        <v>8.139483333333333</v>
      </c>
    </row>
    <row r="200" ht="15.75" customHeight="1">
      <c r="A200" s="2">
        <v>45535.0</v>
      </c>
      <c r="B200" s="3" t="s">
        <v>15</v>
      </c>
      <c r="C200" s="3" t="s">
        <v>16</v>
      </c>
      <c r="D200" s="3">
        <v>264.0</v>
      </c>
      <c r="E200" s="3">
        <v>0.0</v>
      </c>
      <c r="F200" s="3" t="s">
        <v>17</v>
      </c>
      <c r="G200" s="3" t="s">
        <v>18</v>
      </c>
      <c r="H200" s="3" t="s">
        <v>19</v>
      </c>
      <c r="I200" s="3" t="s">
        <v>515</v>
      </c>
      <c r="J200" s="3" t="s">
        <v>516</v>
      </c>
      <c r="K200" s="3" t="s">
        <v>516</v>
      </c>
      <c r="M200" s="3">
        <v>-10.0</v>
      </c>
      <c r="O200" s="3">
        <v>6.026816666666667</v>
      </c>
    </row>
    <row r="201" ht="15.75" customHeight="1">
      <c r="A201" s="2">
        <v>45535.0</v>
      </c>
      <c r="B201" s="3" t="s">
        <v>31</v>
      </c>
      <c r="C201" s="3" t="s">
        <v>16</v>
      </c>
      <c r="D201" s="3">
        <v>369.0</v>
      </c>
      <c r="E201" s="3">
        <v>0.0</v>
      </c>
      <c r="F201" s="3" t="s">
        <v>517</v>
      </c>
      <c r="G201" s="3" t="s">
        <v>18</v>
      </c>
      <c r="H201" s="3" t="s">
        <v>19</v>
      </c>
      <c r="I201" s="3" t="s">
        <v>518</v>
      </c>
      <c r="J201" s="3" t="s">
        <v>519</v>
      </c>
      <c r="K201" s="3" t="s">
        <v>519</v>
      </c>
      <c r="M201" s="3">
        <v>-7.0</v>
      </c>
      <c r="O201" s="3">
        <v>7.737283333333333</v>
      </c>
    </row>
    <row r="202" ht="15.75" customHeight="1">
      <c r="A202" s="2">
        <v>45535.0</v>
      </c>
      <c r="B202" s="3" t="s">
        <v>31</v>
      </c>
      <c r="C202" s="3" t="s">
        <v>16</v>
      </c>
      <c r="D202" s="3">
        <v>484.0</v>
      </c>
      <c r="E202" s="3">
        <v>0.0</v>
      </c>
      <c r="F202" s="3" t="s">
        <v>520</v>
      </c>
      <c r="G202" s="3" t="s">
        <v>18</v>
      </c>
      <c r="H202" s="3" t="s">
        <v>19</v>
      </c>
      <c r="I202" s="3" t="s">
        <v>521</v>
      </c>
      <c r="J202" s="3" t="s">
        <v>522</v>
      </c>
      <c r="K202" s="3" t="s">
        <v>522</v>
      </c>
      <c r="M202" s="3">
        <v>-6.0</v>
      </c>
      <c r="O202" s="3">
        <v>8.573166666666667</v>
      </c>
    </row>
    <row r="203" ht="15.75" customHeight="1">
      <c r="A203" s="2">
        <v>45535.0</v>
      </c>
      <c r="B203" s="3" t="s">
        <v>31</v>
      </c>
      <c r="C203" s="3" t="s">
        <v>16</v>
      </c>
      <c r="D203" s="3">
        <v>329.0</v>
      </c>
      <c r="E203" s="3">
        <v>0.0</v>
      </c>
      <c r="F203" s="3" t="s">
        <v>523</v>
      </c>
      <c r="G203" s="3" t="s">
        <v>18</v>
      </c>
      <c r="H203" s="3" t="s">
        <v>19</v>
      </c>
      <c r="I203" s="3" t="s">
        <v>524</v>
      </c>
      <c r="J203" s="3" t="s">
        <v>525</v>
      </c>
      <c r="K203" s="3" t="s">
        <v>525</v>
      </c>
      <c r="M203" s="3">
        <v>-6.0</v>
      </c>
      <c r="O203" s="3">
        <v>8.4066</v>
      </c>
    </row>
    <row r="204" ht="15.75" customHeight="1">
      <c r="A204" s="2">
        <v>45535.0</v>
      </c>
      <c r="B204" s="3" t="s">
        <v>54</v>
      </c>
      <c r="C204" s="3" t="s">
        <v>16</v>
      </c>
      <c r="D204" s="3">
        <v>553.0</v>
      </c>
      <c r="E204" s="3">
        <v>0.0</v>
      </c>
      <c r="G204" s="3" t="s">
        <v>18</v>
      </c>
      <c r="H204" s="3" t="s">
        <v>19</v>
      </c>
      <c r="I204" s="3" t="s">
        <v>526</v>
      </c>
      <c r="J204" s="3" t="s">
        <v>527</v>
      </c>
      <c r="K204" s="3" t="s">
        <v>527</v>
      </c>
      <c r="M204" s="3">
        <v>-5.0</v>
      </c>
      <c r="O204" s="3">
        <v>7.0041166666666665</v>
      </c>
    </row>
    <row r="205" ht="15.75" customHeight="1">
      <c r="A205" s="2">
        <v>45535.0</v>
      </c>
      <c r="B205" s="3" t="s">
        <v>15</v>
      </c>
      <c r="C205" s="3" t="s">
        <v>16</v>
      </c>
      <c r="D205" s="3">
        <v>329.0</v>
      </c>
      <c r="E205" s="3">
        <v>0.0</v>
      </c>
      <c r="F205" s="3" t="s">
        <v>17</v>
      </c>
      <c r="G205" s="3" t="s">
        <v>18</v>
      </c>
      <c r="H205" s="3" t="s">
        <v>19</v>
      </c>
      <c r="I205" s="3" t="s">
        <v>528</v>
      </c>
      <c r="J205" s="3" t="s">
        <v>529</v>
      </c>
      <c r="K205" s="3" t="s">
        <v>529</v>
      </c>
      <c r="M205" s="3">
        <v>-6.0</v>
      </c>
      <c r="O205" s="3">
        <v>8.197683333333334</v>
      </c>
    </row>
    <row r="206" ht="15.75" customHeight="1">
      <c r="A206" s="2">
        <v>45535.0</v>
      </c>
      <c r="B206" s="3" t="s">
        <v>15</v>
      </c>
      <c r="C206" s="3" t="s">
        <v>16</v>
      </c>
      <c r="D206" s="3">
        <v>792.0</v>
      </c>
      <c r="E206" s="3">
        <v>0.0</v>
      </c>
      <c r="F206" s="3" t="s">
        <v>17</v>
      </c>
      <c r="G206" s="3" t="s">
        <v>18</v>
      </c>
      <c r="H206" s="3" t="s">
        <v>19</v>
      </c>
      <c r="I206" s="3" t="s">
        <v>530</v>
      </c>
      <c r="J206" s="3" t="s">
        <v>531</v>
      </c>
      <c r="K206" s="3" t="s">
        <v>531</v>
      </c>
      <c r="M206" s="3">
        <v>-8.0</v>
      </c>
      <c r="O206" s="3">
        <v>11.04575</v>
      </c>
    </row>
    <row r="207" ht="15.75" customHeight="1">
      <c r="A207" s="2">
        <v>45535.0</v>
      </c>
      <c r="B207" s="3" t="s">
        <v>15</v>
      </c>
      <c r="C207" s="3" t="s">
        <v>16</v>
      </c>
      <c r="D207" s="3">
        <v>321.0</v>
      </c>
      <c r="E207" s="3">
        <v>0.0</v>
      </c>
      <c r="F207" s="3" t="s">
        <v>17</v>
      </c>
      <c r="G207" s="3" t="s">
        <v>18</v>
      </c>
      <c r="H207" s="3" t="s">
        <v>19</v>
      </c>
      <c r="I207" s="3" t="s">
        <v>532</v>
      </c>
      <c r="J207" s="3" t="s">
        <v>533</v>
      </c>
      <c r="K207" s="3" t="s">
        <v>533</v>
      </c>
      <c r="M207" s="3">
        <v>-7.0</v>
      </c>
      <c r="O207" s="3">
        <v>7.3090166666666665</v>
      </c>
    </row>
    <row r="208" ht="15.75" customHeight="1">
      <c r="A208" s="2">
        <v>45535.0</v>
      </c>
      <c r="B208" s="3" t="s">
        <v>31</v>
      </c>
      <c r="C208" s="3" t="s">
        <v>16</v>
      </c>
      <c r="D208" s="3">
        <v>394.0</v>
      </c>
      <c r="E208" s="3">
        <v>0.0</v>
      </c>
      <c r="F208" s="3" t="s">
        <v>534</v>
      </c>
      <c r="G208" s="3" t="s">
        <v>18</v>
      </c>
      <c r="H208" s="3" t="s">
        <v>19</v>
      </c>
      <c r="I208" s="3" t="s">
        <v>535</v>
      </c>
      <c r="J208" s="3" t="s">
        <v>536</v>
      </c>
      <c r="K208" s="3" t="s">
        <v>536</v>
      </c>
      <c r="M208" s="3">
        <v>-9.0</v>
      </c>
      <c r="O208" s="3">
        <v>5.5944</v>
      </c>
    </row>
    <row r="209" ht="15.75" customHeight="1">
      <c r="A209" s="2">
        <v>45535.0</v>
      </c>
      <c r="B209" s="3" t="s">
        <v>31</v>
      </c>
      <c r="C209" s="3" t="s">
        <v>16</v>
      </c>
      <c r="D209" s="3">
        <v>573.0</v>
      </c>
      <c r="E209" s="3">
        <v>0.0</v>
      </c>
      <c r="F209" s="3" t="s">
        <v>33</v>
      </c>
      <c r="G209" s="3" t="s">
        <v>18</v>
      </c>
      <c r="H209" s="3" t="s">
        <v>19</v>
      </c>
      <c r="I209" s="3" t="s">
        <v>537</v>
      </c>
      <c r="J209" s="3" t="s">
        <v>538</v>
      </c>
      <c r="K209" s="3" t="s">
        <v>538</v>
      </c>
      <c r="M209" s="3">
        <v>-7.0</v>
      </c>
      <c r="O209" s="3">
        <v>12.41255</v>
      </c>
    </row>
    <row r="210" ht="15.75" customHeight="1">
      <c r="A210" s="2">
        <v>45535.0</v>
      </c>
      <c r="B210" s="3" t="s">
        <v>15</v>
      </c>
      <c r="C210" s="3" t="s">
        <v>16</v>
      </c>
      <c r="D210" s="3">
        <v>264.0</v>
      </c>
      <c r="E210" s="3">
        <v>0.0</v>
      </c>
      <c r="F210" s="3" t="s">
        <v>17</v>
      </c>
      <c r="G210" s="3" t="s">
        <v>18</v>
      </c>
      <c r="H210" s="3" t="s">
        <v>19</v>
      </c>
      <c r="I210" s="3" t="s">
        <v>539</v>
      </c>
      <c r="J210" s="3" t="s">
        <v>540</v>
      </c>
      <c r="K210" s="3" t="s">
        <v>540</v>
      </c>
      <c r="M210" s="3">
        <v>-7.0</v>
      </c>
      <c r="O210" s="3">
        <v>7.0526</v>
      </c>
    </row>
    <row r="211" ht="15.75" customHeight="1">
      <c r="A211" s="2">
        <v>45535.0</v>
      </c>
      <c r="B211" s="3" t="s">
        <v>22</v>
      </c>
      <c r="C211" s="3" t="s">
        <v>16</v>
      </c>
      <c r="D211" s="3">
        <v>366.0</v>
      </c>
      <c r="E211" s="3">
        <v>92.0</v>
      </c>
      <c r="G211" s="3" t="s">
        <v>76</v>
      </c>
      <c r="H211" s="3" t="s">
        <v>19</v>
      </c>
      <c r="I211" s="3" t="s">
        <v>541</v>
      </c>
      <c r="J211" s="3" t="s">
        <v>542</v>
      </c>
      <c r="K211" s="3" t="s">
        <v>542</v>
      </c>
      <c r="M211" s="3">
        <v>-41.0</v>
      </c>
      <c r="O211" s="3">
        <v>3.05785</v>
      </c>
    </row>
    <row r="212" ht="15.75" customHeight="1">
      <c r="A212" s="2">
        <v>45535.0</v>
      </c>
      <c r="B212" s="3" t="s">
        <v>54</v>
      </c>
      <c r="C212" s="3" t="s">
        <v>16</v>
      </c>
      <c r="D212" s="3">
        <v>294.0</v>
      </c>
      <c r="E212" s="3">
        <v>100.0</v>
      </c>
      <c r="G212" s="3" t="s">
        <v>18</v>
      </c>
      <c r="H212" s="3" t="s">
        <v>19</v>
      </c>
      <c r="I212" s="3" t="s">
        <v>543</v>
      </c>
      <c r="J212" s="3" t="s">
        <v>544</v>
      </c>
      <c r="K212" s="3" t="s">
        <v>544</v>
      </c>
      <c r="M212" s="3">
        <v>-3.0</v>
      </c>
      <c r="O212" s="3">
        <v>8.853166666666667</v>
      </c>
    </row>
    <row r="213" ht="15.75" customHeight="1">
      <c r="A213" s="2">
        <v>45535.0</v>
      </c>
      <c r="B213" s="3" t="s">
        <v>15</v>
      </c>
      <c r="C213" s="3" t="s">
        <v>16</v>
      </c>
      <c r="D213" s="3">
        <v>528.0</v>
      </c>
      <c r="E213" s="3">
        <v>0.0</v>
      </c>
      <c r="F213" s="3" t="s">
        <v>17</v>
      </c>
      <c r="G213" s="3" t="s">
        <v>18</v>
      </c>
      <c r="H213" s="3" t="s">
        <v>19</v>
      </c>
      <c r="I213" s="3" t="s">
        <v>545</v>
      </c>
      <c r="J213" s="3" t="s">
        <v>546</v>
      </c>
      <c r="K213" s="3" t="s">
        <v>546</v>
      </c>
      <c r="M213" s="3">
        <v>-11.0</v>
      </c>
      <c r="O213" s="3">
        <v>8.501216666666666</v>
      </c>
    </row>
    <row r="214" ht="15.75" customHeight="1">
      <c r="A214" s="2">
        <v>45535.0</v>
      </c>
      <c r="B214" s="3" t="s">
        <v>54</v>
      </c>
      <c r="C214" s="3" t="s">
        <v>16</v>
      </c>
      <c r="D214" s="3">
        <v>837.0</v>
      </c>
      <c r="E214" s="3">
        <v>150.0</v>
      </c>
      <c r="G214" s="3" t="s">
        <v>18</v>
      </c>
      <c r="H214" s="3" t="s">
        <v>19</v>
      </c>
      <c r="I214" s="3" t="s">
        <v>547</v>
      </c>
      <c r="J214" s="3" t="s">
        <v>548</v>
      </c>
      <c r="K214" s="3" t="s">
        <v>548</v>
      </c>
      <c r="M214" s="3">
        <v>-2.0</v>
      </c>
      <c r="O214" s="3">
        <v>12.172666666666666</v>
      </c>
    </row>
    <row r="215" ht="15.75" customHeight="1">
      <c r="A215" s="2">
        <v>45535.0</v>
      </c>
      <c r="B215" s="3" t="s">
        <v>15</v>
      </c>
      <c r="C215" s="3" t="s">
        <v>16</v>
      </c>
      <c r="D215" s="3">
        <v>871.0</v>
      </c>
      <c r="E215" s="3">
        <v>0.0</v>
      </c>
      <c r="F215" s="3" t="s">
        <v>17</v>
      </c>
      <c r="G215" s="3" t="s">
        <v>18</v>
      </c>
      <c r="H215" s="3" t="s">
        <v>19</v>
      </c>
      <c r="I215" s="3" t="s">
        <v>549</v>
      </c>
      <c r="J215" s="3" t="s">
        <v>550</v>
      </c>
      <c r="K215" s="3" t="s">
        <v>550</v>
      </c>
      <c r="M215" s="3">
        <v>-10.0</v>
      </c>
      <c r="O215" s="3">
        <v>9.797916666666667</v>
      </c>
    </row>
    <row r="216" ht="15.75" customHeight="1">
      <c r="A216" s="2">
        <v>45535.0</v>
      </c>
      <c r="B216" s="3" t="s">
        <v>22</v>
      </c>
      <c r="C216" s="3" t="s">
        <v>16</v>
      </c>
      <c r="D216" s="3">
        <v>494.0</v>
      </c>
      <c r="E216" s="3">
        <v>124.0</v>
      </c>
      <c r="G216" s="3" t="s">
        <v>76</v>
      </c>
      <c r="H216" s="3" t="s">
        <v>43</v>
      </c>
      <c r="I216" s="3" t="s">
        <v>551</v>
      </c>
      <c r="J216" s="3" t="s">
        <v>552</v>
      </c>
      <c r="K216" s="3" t="s">
        <v>552</v>
      </c>
      <c r="M216" s="3">
        <v>-18.0</v>
      </c>
      <c r="O216" s="3">
        <v>1.1064333333333334</v>
      </c>
    </row>
    <row r="217" ht="15.75" customHeight="1">
      <c r="A217" s="2">
        <v>45535.0</v>
      </c>
      <c r="B217" s="3" t="s">
        <v>31</v>
      </c>
      <c r="C217" s="3" t="s">
        <v>16</v>
      </c>
      <c r="D217" s="3">
        <v>329.0</v>
      </c>
      <c r="E217" s="3">
        <v>0.0</v>
      </c>
      <c r="F217" s="3" t="s">
        <v>553</v>
      </c>
      <c r="G217" s="3" t="s">
        <v>18</v>
      </c>
      <c r="H217" s="3" t="s">
        <v>19</v>
      </c>
      <c r="I217" s="3" t="s">
        <v>554</v>
      </c>
      <c r="J217" s="3" t="s">
        <v>555</v>
      </c>
      <c r="K217" s="3" t="s">
        <v>555</v>
      </c>
      <c r="M217" s="3">
        <v>-10.0</v>
      </c>
      <c r="O217" s="3">
        <v>4.271516666666667</v>
      </c>
    </row>
    <row r="218" ht="15.75" customHeight="1">
      <c r="A218" s="2">
        <v>45535.0</v>
      </c>
      <c r="B218" s="3" t="s">
        <v>31</v>
      </c>
      <c r="C218" s="3" t="s">
        <v>16</v>
      </c>
      <c r="D218" s="3">
        <v>264.0</v>
      </c>
      <c r="E218" s="3">
        <v>0.0</v>
      </c>
      <c r="F218" s="3" t="s">
        <v>553</v>
      </c>
      <c r="G218" s="3" t="s">
        <v>18</v>
      </c>
      <c r="H218" s="3" t="s">
        <v>19</v>
      </c>
      <c r="I218" s="3" t="s">
        <v>556</v>
      </c>
      <c r="J218" s="3" t="s">
        <v>557</v>
      </c>
      <c r="K218" s="3" t="s">
        <v>557</v>
      </c>
      <c r="M218" s="3">
        <v>-8.0</v>
      </c>
      <c r="O218" s="3">
        <v>6.5397</v>
      </c>
    </row>
    <row r="219" ht="15.75" customHeight="1">
      <c r="A219" s="2">
        <v>45535.0</v>
      </c>
      <c r="B219" s="3" t="s">
        <v>15</v>
      </c>
      <c r="C219" s="3" t="s">
        <v>16</v>
      </c>
      <c r="D219" s="3">
        <v>823.0</v>
      </c>
      <c r="E219" s="3">
        <v>0.0</v>
      </c>
      <c r="F219" s="3" t="s">
        <v>17</v>
      </c>
      <c r="G219" s="3" t="s">
        <v>18</v>
      </c>
      <c r="H219" s="3" t="s">
        <v>19</v>
      </c>
      <c r="I219" s="3" t="s">
        <v>558</v>
      </c>
      <c r="J219" s="3" t="s">
        <v>559</v>
      </c>
      <c r="K219" s="3" t="s">
        <v>559</v>
      </c>
      <c r="M219" s="3">
        <v>-12.0</v>
      </c>
      <c r="O219" s="3">
        <v>7.269383333333334</v>
      </c>
    </row>
    <row r="220" ht="15.75" customHeight="1">
      <c r="A220" s="2">
        <v>45535.0</v>
      </c>
      <c r="B220" s="3" t="s">
        <v>54</v>
      </c>
      <c r="C220" s="3" t="s">
        <v>16</v>
      </c>
      <c r="D220" s="3">
        <v>279.0</v>
      </c>
      <c r="E220" s="3">
        <v>50.0</v>
      </c>
      <c r="G220" s="3" t="s">
        <v>18</v>
      </c>
      <c r="H220" s="3" t="s">
        <v>19</v>
      </c>
      <c r="I220" s="3" t="s">
        <v>560</v>
      </c>
      <c r="J220" s="3" t="s">
        <v>561</v>
      </c>
      <c r="K220" s="3" t="s">
        <v>561</v>
      </c>
      <c r="M220" s="3">
        <v>-5.0</v>
      </c>
      <c r="O220" s="3">
        <v>5.426633333333333</v>
      </c>
    </row>
    <row r="221" ht="15.75" customHeight="1">
      <c r="A221" s="2">
        <v>45535.0</v>
      </c>
      <c r="B221" s="3" t="s">
        <v>96</v>
      </c>
      <c r="C221" s="3" t="s">
        <v>16</v>
      </c>
      <c r="D221" s="3">
        <v>238.0</v>
      </c>
      <c r="E221" s="3">
        <v>0.0</v>
      </c>
      <c r="G221" s="3" t="s">
        <v>76</v>
      </c>
      <c r="H221" s="3" t="s">
        <v>43</v>
      </c>
      <c r="I221" s="3" t="s">
        <v>562</v>
      </c>
      <c r="J221" s="3" t="s">
        <v>563</v>
      </c>
      <c r="K221" s="3" t="s">
        <v>563</v>
      </c>
      <c r="M221" s="3">
        <v>-4.0</v>
      </c>
      <c r="O221" s="3">
        <v>0.10775</v>
      </c>
    </row>
    <row r="222" ht="15.75" customHeight="1">
      <c r="A222" s="2">
        <v>45535.0</v>
      </c>
      <c r="B222" s="3" t="s">
        <v>22</v>
      </c>
      <c r="C222" s="3" t="s">
        <v>16</v>
      </c>
      <c r="D222" s="3">
        <v>267.0</v>
      </c>
      <c r="E222" s="3">
        <v>62.0</v>
      </c>
      <c r="G222" s="3" t="s">
        <v>76</v>
      </c>
      <c r="H222" s="3" t="s">
        <v>80</v>
      </c>
      <c r="I222" s="3" t="s">
        <v>564</v>
      </c>
      <c r="J222" s="3" t="s">
        <v>565</v>
      </c>
      <c r="K222" s="3" t="s">
        <v>565</v>
      </c>
      <c r="M222" s="3">
        <v>-19.0</v>
      </c>
      <c r="O222" s="3">
        <v>0.8004166666666667</v>
      </c>
    </row>
    <row r="223" ht="15.75" customHeight="1">
      <c r="A223" s="2">
        <v>45535.0</v>
      </c>
      <c r="B223" s="3" t="s">
        <v>54</v>
      </c>
      <c r="C223" s="3" t="s">
        <v>16</v>
      </c>
      <c r="D223" s="3">
        <v>294.0</v>
      </c>
      <c r="E223" s="3">
        <v>0.0</v>
      </c>
      <c r="G223" s="3" t="s">
        <v>18</v>
      </c>
      <c r="H223" s="3" t="s">
        <v>19</v>
      </c>
      <c r="I223" s="3" t="s">
        <v>566</v>
      </c>
      <c r="J223" s="3" t="s">
        <v>567</v>
      </c>
      <c r="K223" s="3" t="s">
        <v>567</v>
      </c>
      <c r="M223" s="3">
        <v>-6.0</v>
      </c>
      <c r="O223" s="3">
        <v>4.6577</v>
      </c>
    </row>
    <row r="224" ht="15.75" customHeight="1">
      <c r="A224" s="2">
        <v>45535.0</v>
      </c>
      <c r="B224" s="3" t="s">
        <v>54</v>
      </c>
      <c r="C224" s="3" t="s">
        <v>79</v>
      </c>
      <c r="D224" s="3">
        <v>369.0</v>
      </c>
      <c r="E224" s="3">
        <v>0.0</v>
      </c>
      <c r="G224" s="3" t="s">
        <v>18</v>
      </c>
      <c r="H224" s="3" t="s">
        <v>19</v>
      </c>
      <c r="I224" s="3" t="s">
        <v>568</v>
      </c>
      <c r="M224" s="3">
        <v>0.0</v>
      </c>
    </row>
    <row r="225" ht="15.75" customHeight="1">
      <c r="A225" s="2">
        <v>45535.0</v>
      </c>
      <c r="B225" s="3" t="s">
        <v>22</v>
      </c>
      <c r="C225" s="3" t="s">
        <v>16</v>
      </c>
      <c r="D225" s="3">
        <v>417.0</v>
      </c>
      <c r="E225" s="3">
        <v>0.0</v>
      </c>
      <c r="F225" s="3" t="s">
        <v>17</v>
      </c>
      <c r="G225" s="3" t="s">
        <v>24</v>
      </c>
      <c r="H225" s="3" t="s">
        <v>19</v>
      </c>
      <c r="I225" s="3" t="s">
        <v>569</v>
      </c>
      <c r="J225" s="3" t="s">
        <v>570</v>
      </c>
      <c r="K225" s="3" t="s">
        <v>571</v>
      </c>
      <c r="L225" s="3" t="s">
        <v>572</v>
      </c>
      <c r="M225" s="3">
        <v>-16.0</v>
      </c>
      <c r="N225" s="3">
        <v>0.8756666666666667</v>
      </c>
      <c r="O225" s="3">
        <v>4.172</v>
      </c>
    </row>
    <row r="226" ht="15.75" customHeight="1">
      <c r="A226" s="2">
        <v>45535.0</v>
      </c>
      <c r="B226" s="3" t="s">
        <v>22</v>
      </c>
      <c r="C226" s="3" t="s">
        <v>16</v>
      </c>
      <c r="D226" s="3">
        <v>475.0</v>
      </c>
      <c r="E226" s="3">
        <v>23.0</v>
      </c>
      <c r="F226" s="3" t="s">
        <v>17</v>
      </c>
      <c r="G226" s="3" t="s">
        <v>24</v>
      </c>
      <c r="H226" s="3" t="s">
        <v>19</v>
      </c>
      <c r="I226" s="3" t="s">
        <v>573</v>
      </c>
      <c r="J226" s="3" t="s">
        <v>574</v>
      </c>
      <c r="K226" s="3" t="s">
        <v>575</v>
      </c>
      <c r="L226" s="3" t="s">
        <v>576</v>
      </c>
      <c r="M226" s="3">
        <v>-2.0</v>
      </c>
      <c r="N226" s="3">
        <v>0.5900833333333333</v>
      </c>
      <c r="O226" s="3">
        <v>5.744</v>
      </c>
    </row>
    <row r="227" ht="15.75" customHeight="1">
      <c r="A227" s="2">
        <v>45535.0</v>
      </c>
      <c r="B227" s="3" t="s">
        <v>22</v>
      </c>
      <c r="C227" s="3" t="s">
        <v>16</v>
      </c>
      <c r="D227" s="3">
        <v>199.0</v>
      </c>
      <c r="E227" s="3">
        <v>50.0</v>
      </c>
      <c r="G227" s="3" t="s">
        <v>76</v>
      </c>
      <c r="H227" s="3" t="s">
        <v>80</v>
      </c>
      <c r="I227" s="3" t="s">
        <v>577</v>
      </c>
      <c r="J227" s="3" t="s">
        <v>578</v>
      </c>
      <c r="K227" s="3" t="s">
        <v>578</v>
      </c>
      <c r="M227" s="3">
        <v>-16.0</v>
      </c>
      <c r="O227" s="3">
        <v>2.5677166666666666</v>
      </c>
    </row>
    <row r="228" ht="15.75" customHeight="1">
      <c r="A228" s="2">
        <v>45535.0</v>
      </c>
      <c r="B228" s="3" t="s">
        <v>15</v>
      </c>
      <c r="C228" s="3" t="s">
        <v>16</v>
      </c>
      <c r="D228" s="3">
        <v>351.0</v>
      </c>
      <c r="E228" s="3">
        <v>0.0</v>
      </c>
      <c r="F228" s="3" t="s">
        <v>17</v>
      </c>
      <c r="G228" s="3" t="s">
        <v>18</v>
      </c>
      <c r="H228" s="3" t="s">
        <v>19</v>
      </c>
      <c r="I228" s="3" t="s">
        <v>579</v>
      </c>
      <c r="J228" s="3" t="s">
        <v>580</v>
      </c>
      <c r="K228" s="3" t="s">
        <v>580</v>
      </c>
      <c r="M228" s="3">
        <v>-7.0</v>
      </c>
      <c r="O228" s="3">
        <v>7.458916666666667</v>
      </c>
    </row>
    <row r="229" ht="15.75" customHeight="1">
      <c r="A229" s="2">
        <v>45535.0</v>
      </c>
      <c r="B229" s="3" t="s">
        <v>22</v>
      </c>
      <c r="C229" s="3" t="s">
        <v>16</v>
      </c>
      <c r="D229" s="3">
        <v>199.0</v>
      </c>
      <c r="E229" s="3">
        <v>50.0</v>
      </c>
      <c r="G229" s="3" t="s">
        <v>76</v>
      </c>
      <c r="H229" s="3" t="s">
        <v>80</v>
      </c>
      <c r="I229" s="3" t="s">
        <v>581</v>
      </c>
      <c r="J229" s="3" t="s">
        <v>582</v>
      </c>
      <c r="K229" s="3" t="s">
        <v>582</v>
      </c>
      <c r="M229" s="3">
        <v>-14.0</v>
      </c>
      <c r="O229" s="3">
        <v>5.479683333333333</v>
      </c>
    </row>
    <row r="230" ht="15.75" customHeight="1">
      <c r="A230" s="2">
        <v>45535.0</v>
      </c>
      <c r="B230" s="3" t="s">
        <v>96</v>
      </c>
      <c r="C230" s="3" t="s">
        <v>16</v>
      </c>
      <c r="D230" s="3">
        <v>249.0</v>
      </c>
      <c r="E230" s="3">
        <v>0.0</v>
      </c>
      <c r="G230" s="3" t="s">
        <v>76</v>
      </c>
      <c r="H230" s="3" t="s">
        <v>43</v>
      </c>
      <c r="I230" s="3" t="s">
        <v>583</v>
      </c>
      <c r="J230" s="3" t="s">
        <v>584</v>
      </c>
      <c r="K230" s="3" t="s">
        <v>584</v>
      </c>
      <c r="M230" s="3">
        <v>-4.0</v>
      </c>
      <c r="O230" s="3">
        <v>0.023783333333333333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0.25"/>
    <col customWidth="1" min="2" max="2" width="16.75"/>
    <col customWidth="1" min="3" max="3" width="15.13"/>
    <col customWidth="1" min="4" max="6" width="12.63"/>
    <col customWidth="1" min="11" max="11" width="11.63"/>
    <col customWidth="1" min="12" max="12" width="16.0"/>
  </cols>
  <sheetData>
    <row r="1" ht="15.75" customHeight="1">
      <c r="A1" s="4"/>
      <c r="B1" s="5" t="s">
        <v>585</v>
      </c>
      <c r="C1" s="6" t="s">
        <v>0</v>
      </c>
      <c r="D1" s="7">
        <v>46100.0</v>
      </c>
      <c r="E1" s="8"/>
      <c r="F1" s="9" t="s">
        <v>586</v>
      </c>
      <c r="G1" s="10"/>
      <c r="H1" s="11"/>
      <c r="I1" s="9" t="s">
        <v>587</v>
      </c>
      <c r="J1" s="10"/>
      <c r="K1" s="11"/>
      <c r="L1" s="12" t="s">
        <v>588</v>
      </c>
      <c r="M1" s="13"/>
    </row>
    <row r="2" ht="19.5" customHeight="1">
      <c r="A2" s="4"/>
      <c r="B2" s="14"/>
      <c r="C2" s="14"/>
      <c r="D2" s="15"/>
      <c r="E2" s="16"/>
      <c r="F2" s="17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18"/>
      <c r="I2" s="19">
        <f>SUM(RestiaCSV!C:C) - SUMIFS(RestiaCSV!C:C, RestiaCSV!B:B, "canceled")</f>
        <v>0</v>
      </c>
      <c r="K2" s="18"/>
      <c r="L2" s="20" t="s">
        <v>589</v>
      </c>
      <c r="M2" s="21">
        <f>SUMIFS(RestiaCSV!C:C, RestiaCSV!A:A, Report!L2, RestiaCSV!B:B, "&lt;&gt;canceled")</f>
        <v>0</v>
      </c>
    </row>
    <row r="3" ht="15.75" customHeight="1">
      <c r="A3" s="4"/>
      <c r="B3" s="22" t="str">
        <f>CHOOSE(WEEKDAY(D1), "Neděle", "Pondělí", "Úterý", "Středa", "Čtvrtek", "Pátek", "Sobota")</f>
        <v>Čtvrtek</v>
      </c>
      <c r="C3" s="23"/>
      <c r="D3" s="23"/>
      <c r="E3" s="8"/>
      <c r="H3" s="18"/>
      <c r="K3" s="18"/>
      <c r="L3" s="20" t="s">
        <v>590</v>
      </c>
      <c r="M3" s="21">
        <f>SUMIFS(RestiaCSV!C:C, RestiaCSV!A:A, Report!L3, RestiaCSV!B:B, "&lt;&gt;canceled")</f>
        <v>0</v>
      </c>
    </row>
    <row r="4" ht="15.75" customHeight="1">
      <c r="A4" s="4"/>
      <c r="B4" s="15"/>
      <c r="C4" s="24"/>
      <c r="D4" s="24"/>
      <c r="E4" s="16"/>
      <c r="F4" s="24"/>
      <c r="G4" s="24"/>
      <c r="H4" s="16"/>
      <c r="I4" s="24"/>
      <c r="J4" s="24"/>
      <c r="K4" s="16"/>
      <c r="L4" s="20" t="s">
        <v>591</v>
      </c>
      <c r="M4" s="21">
        <f>SUMIFS(RestiaCSV!C:C, RestiaCSV!A:A, "damejidlo", RestiaCSV!G:G, "online", RestiaCSV!B:B, "&lt;&gt;canceled")</f>
        <v>0</v>
      </c>
    </row>
    <row r="5" ht="15.75" customHeight="1">
      <c r="A5" s="4"/>
      <c r="B5" s="25" t="s">
        <v>592</v>
      </c>
      <c r="C5" s="23"/>
      <c r="D5" s="23"/>
      <c r="E5" s="23"/>
      <c r="F5" s="23"/>
      <c r="G5" s="23"/>
      <c r="H5" s="23"/>
      <c r="I5" s="23"/>
      <c r="J5" s="23"/>
      <c r="K5" s="8"/>
      <c r="L5" s="26" t="s">
        <v>593</v>
      </c>
      <c r="M5" s="21">
        <f>SUMIFS(RestiaCSV!C:C, RestiaCSV!A:A, "generic", RestiaCSV!G:G, "online", RestiaCSV!B:B, "&lt;&gt;canceled") </f>
        <v>0</v>
      </c>
    </row>
    <row r="6" ht="15.75" customHeight="1">
      <c r="A6" s="4"/>
      <c r="B6" s="15"/>
      <c r="C6" s="24"/>
      <c r="D6" s="24"/>
      <c r="E6" s="24"/>
      <c r="F6" s="24"/>
      <c r="G6" s="24"/>
      <c r="H6" s="24"/>
      <c r="I6" s="24"/>
      <c r="J6" s="24"/>
      <c r="K6" s="16"/>
      <c r="L6" s="26" t="s">
        <v>594</v>
      </c>
      <c r="M6" s="21">
        <f>SUMIFS(RestiaCSV!C:C, RestiaCSV!E:E, "wolt kurýr", RestiaCSV!A:A, "&lt;&gt;wolt", RestiaCSV!G:G, "cash", RestiaCSV!B:B, "&lt;&gt;canceled")</f>
        <v>0</v>
      </c>
    </row>
    <row r="7" ht="15.75" customHeight="1">
      <c r="A7" s="4"/>
      <c r="B7" s="27"/>
      <c r="C7" s="23"/>
      <c r="D7" s="23"/>
      <c r="E7" s="8"/>
      <c r="F7" s="28"/>
      <c r="J7" s="29"/>
      <c r="K7" s="8"/>
      <c r="L7" s="30" t="s">
        <v>595</v>
      </c>
      <c r="M7" s="31">
        <f>SUMIFS(RestiaCSV!C:C, RestiaCSV!A:A, "damejidlo", RestiaCSV!G:G, "cash", RestiaCSV!B:B, "&lt;&gt;canceled") </f>
        <v>0</v>
      </c>
    </row>
    <row r="8" ht="15.75" customHeight="1">
      <c r="A8" s="4"/>
      <c r="B8" s="32"/>
      <c r="E8" s="18"/>
      <c r="J8" s="32"/>
      <c r="K8" s="18"/>
      <c r="L8" s="33" t="s">
        <v>596</v>
      </c>
      <c r="M8" s="11"/>
    </row>
    <row r="9" ht="15.75" customHeight="1">
      <c r="A9" s="4"/>
      <c r="B9" s="15"/>
      <c r="C9" s="24"/>
      <c r="D9" s="24"/>
      <c r="E9" s="16"/>
      <c r="F9" s="24"/>
      <c r="G9" s="24"/>
      <c r="H9" s="24"/>
      <c r="I9" s="24"/>
      <c r="J9" s="15"/>
      <c r="K9" s="16"/>
      <c r="L9" s="20" t="s">
        <v>597</v>
      </c>
      <c r="M9" s="34"/>
    </row>
    <row r="10" ht="15.75" customHeight="1">
      <c r="A10" s="4"/>
      <c r="B10" s="35" t="s">
        <v>598</v>
      </c>
      <c r="F10" s="18"/>
      <c r="G10" s="36" t="s">
        <v>599</v>
      </c>
      <c r="H10" s="24"/>
      <c r="I10" s="16"/>
      <c r="J10" s="37" t="s">
        <v>600</v>
      </c>
      <c r="K10" s="16"/>
      <c r="L10" s="20" t="s">
        <v>601</v>
      </c>
      <c r="M10" s="34"/>
    </row>
    <row r="11" ht="15.75" customHeight="1">
      <c r="A11" s="38"/>
      <c r="B11" s="39" t="s">
        <v>602</v>
      </c>
      <c r="C11" s="40" t="s">
        <v>603</v>
      </c>
      <c r="D11" s="40" t="s">
        <v>604</v>
      </c>
      <c r="E11" s="40" t="s">
        <v>605</v>
      </c>
      <c r="F11" s="41" t="s">
        <v>606</v>
      </c>
      <c r="G11" s="42"/>
      <c r="I11" s="18"/>
      <c r="J11" s="43">
        <f>M2+M3+M4+M5+M6+M13+M14+M15+M16+M17+M9+M10+M11-I2</f>
        <v>0</v>
      </c>
      <c r="K11" s="8"/>
      <c r="L11" s="44" t="s">
        <v>596</v>
      </c>
      <c r="M11" s="45"/>
    </row>
    <row r="12" ht="15.75" customHeight="1">
      <c r="A12" s="46">
        <f t="array" ref="A12">IF(ISBLANK(B12), 0, IF(ISNUMBER(MATCH(B12, HR!A:A, 0)), 0, IF(ISNUMBER(MATCH(B12, HR!B:B, 0)), INDEX(HR!V:V, MATCH(B12, HR!B:B, 0)) * (F12 * 24), 0)))</f>
        <v>0</v>
      </c>
      <c r="B12" s="47"/>
      <c r="C12" s="48"/>
      <c r="D12" s="48"/>
      <c r="E12" s="49"/>
      <c r="F12" s="50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18"/>
      <c r="J12" s="32"/>
      <c r="K12" s="18"/>
      <c r="L12" s="36" t="s">
        <v>607</v>
      </c>
      <c r="M12" s="16"/>
    </row>
    <row r="13" ht="15.75" customHeight="1">
      <c r="A13" s="46">
        <f t="array" ref="A13">IF(ISBLANK(B13), 0, IF(ISNUMBER(MATCH(B13, HR!A:A, 0)), 0, IF(ISNUMBER(MATCH(B13, HR!B:B, 0)), INDEX(HR!V:V, MATCH(B13, HR!B:B, 0)) * (F13 * 24), 0)))</f>
        <v>0</v>
      </c>
      <c r="B13" s="47"/>
      <c r="C13" s="48"/>
      <c r="D13" s="48"/>
      <c r="E13" s="49"/>
      <c r="F13" s="50" t="str">
        <f t="shared" si="1"/>
        <v>0:00</v>
      </c>
      <c r="G13" s="24"/>
      <c r="H13" s="24"/>
      <c r="I13" s="16"/>
      <c r="J13" s="32"/>
      <c r="K13" s="18"/>
      <c r="L13" s="20" t="s">
        <v>608</v>
      </c>
      <c r="M13" s="34"/>
    </row>
    <row r="14" ht="15.75" customHeight="1">
      <c r="A14" s="46">
        <f t="array" ref="A14">IF(ISBLANK(B14), 0, IF(ISNUMBER(MATCH(B14, HR!A:A, 0)), 0, IF(ISNUMBER(MATCH(B14, HR!B:B, 0)), INDEX(HR!V:V, MATCH(B14, HR!B:B, 0)) * (F14 * 24), 0)))</f>
        <v>0</v>
      </c>
      <c r="B14" s="47"/>
      <c r="C14" s="48"/>
      <c r="D14" s="48"/>
      <c r="E14" s="51"/>
      <c r="F14" s="50" t="str">
        <f t="shared" si="1"/>
        <v>0:00</v>
      </c>
      <c r="G14" s="52"/>
      <c r="I14" s="18"/>
      <c r="J14" s="32"/>
      <c r="K14" s="18"/>
      <c r="L14" s="53" t="s">
        <v>609</v>
      </c>
      <c r="M14" s="34"/>
    </row>
    <row r="15" ht="15.75" customHeight="1">
      <c r="A15" s="46">
        <f t="array" ref="A15">IF(ISBLANK(B15), 0, IF(ISNUMBER(MATCH(B15, HR!A:A, 0)), 0, IF(ISNUMBER(MATCH(B15, HR!B:B, 0)), INDEX(HR!V:V, MATCH(B15, HR!B:B, 0)) * (F15 * 24), 0)))</f>
        <v>0</v>
      </c>
      <c r="B15" s="47"/>
      <c r="C15" s="48"/>
      <c r="D15" s="48"/>
      <c r="E15" s="54"/>
      <c r="F15" s="50" t="str">
        <f t="shared" si="1"/>
        <v>0:00</v>
      </c>
      <c r="I15" s="18"/>
      <c r="J15" s="32"/>
      <c r="K15" s="18"/>
      <c r="L15" s="53" t="s">
        <v>610</v>
      </c>
      <c r="M15" s="34"/>
    </row>
    <row r="16" ht="15.75" customHeight="1">
      <c r="A16" s="46">
        <f t="array" ref="A16">IF(ISBLANK(B16), 0, IF(ISNUMBER(MATCH(B16, HR!A:A, 0)), 0, IF(ISNUMBER(MATCH(B16, HR!B:B, 0)), INDEX(HR!V:V, MATCH(B16, HR!B:B, 0)) * (F16 * 24), 0)))</f>
        <v>0</v>
      </c>
      <c r="B16" s="47"/>
      <c r="C16" s="48"/>
      <c r="D16" s="48"/>
      <c r="E16" s="54"/>
      <c r="F16" s="50" t="str">
        <f t="shared" si="1"/>
        <v>0:00</v>
      </c>
      <c r="I16" s="18"/>
      <c r="J16" s="32"/>
      <c r="K16" s="18"/>
      <c r="L16" s="53" t="s">
        <v>611</v>
      </c>
      <c r="M16" s="34"/>
    </row>
    <row r="17" ht="15.75" customHeight="1">
      <c r="A17" s="46">
        <f t="array" ref="A17">IF(ISBLANK(B17), 0, IF(ISNUMBER(MATCH(B17, HR!A:A, 0)), 0, IF(ISNUMBER(MATCH(B17, HR!B:B, 0)), INDEX(HR!V:V, MATCH(B17, HR!B:B, 0)) * (F17 * 24), 0)))</f>
        <v>0</v>
      </c>
      <c r="B17" s="47"/>
      <c r="C17" s="48"/>
      <c r="D17" s="48"/>
      <c r="E17" s="49"/>
      <c r="F17" s="50" t="str">
        <f t="shared" si="1"/>
        <v>0:00</v>
      </c>
      <c r="G17" s="24"/>
      <c r="H17" s="24"/>
      <c r="I17" s="16"/>
      <c r="J17" s="15"/>
      <c r="K17" s="16"/>
      <c r="L17" s="55" t="s">
        <v>612</v>
      </c>
      <c r="M17" s="56">
        <f>sum(I25:I31)</f>
        <v>0</v>
      </c>
    </row>
    <row r="18" ht="21.75" customHeight="1">
      <c r="A18" s="46">
        <f t="array" ref="A18">IF(ISBLANK(B18), 0, IF(ISNUMBER(MATCH(B18, HR!A:A, 0)), 0, IF(ISNUMBER(MATCH(B18, HR!B:B, 0)), INDEX(HR!V:V, MATCH(B18, HR!B:B, 0)) * (F18 * 24), 0)))</f>
        <v>0</v>
      </c>
      <c r="B18" s="47"/>
      <c r="C18" s="48"/>
      <c r="D18" s="48"/>
      <c r="E18" s="54"/>
      <c r="F18" s="50" t="str">
        <f t="shared" si="1"/>
        <v>0:00</v>
      </c>
      <c r="G18" s="36" t="s">
        <v>613</v>
      </c>
      <c r="H18" s="24"/>
      <c r="I18" s="16"/>
      <c r="J18" s="57"/>
      <c r="M18" s="58"/>
    </row>
    <row r="19" ht="15.75" customHeight="1">
      <c r="A19" s="46">
        <f t="array" ref="A19">IF(ISBLANK(B19), 0, IF(ISNUMBER(MATCH(B19, HR!A:A, 0)), 0, IF(ISNUMBER(MATCH(B19, HR!B:B, 0)), INDEX(HR!V:V, MATCH(B19, HR!B:B, 0)) * (F19 * 24), 0)))</f>
        <v>0</v>
      </c>
      <c r="B19" s="47"/>
      <c r="C19" s="48"/>
      <c r="D19" s="48"/>
      <c r="E19" s="54"/>
      <c r="F19" s="50" t="str">
        <f t="shared" si="1"/>
        <v>0:00</v>
      </c>
      <c r="G19" s="42"/>
      <c r="I19" s="18"/>
      <c r="M19" s="58"/>
    </row>
    <row r="20" ht="15.75" customHeight="1">
      <c r="A20" s="46">
        <f t="array" ref="A20">IF(ISBLANK(B20), 0, IF(ISNUMBER(MATCH(B20, HR!A:A, 0)), 0, IF(ISNUMBER(MATCH(B20, HR!B:B, 0)), INDEX(HR!V:V, MATCH(B20, HR!B:B, 0)) * (F20 * 24), 0)))</f>
        <v>0</v>
      </c>
      <c r="B20" s="47"/>
      <c r="C20" s="59"/>
      <c r="D20" s="59"/>
      <c r="E20" s="54"/>
      <c r="F20" s="50" t="str">
        <f t="shared" si="1"/>
        <v>0:00</v>
      </c>
      <c r="I20" s="18"/>
      <c r="M20" s="58"/>
    </row>
    <row r="21" ht="23.25" customHeight="1">
      <c r="A21" s="46">
        <f t="array" ref="A21">IF(ISBLANK(B21), 0, IF(ISNUMBER(MATCH(B21, HR!A:A, 0)), 0, IF(ISNUMBER(MATCH(B21, HR!B:B, 0)), INDEX(HR!V:V, MATCH(B21, HR!B:B, 0)) * (F21 * 24), 0)))</f>
        <v>0</v>
      </c>
      <c r="B21" s="60"/>
      <c r="C21" s="61"/>
      <c r="D21" s="61"/>
      <c r="E21" s="62"/>
      <c r="F21" s="63" t="str">
        <f t="shared" si="1"/>
        <v>0:00</v>
      </c>
      <c r="G21" s="24"/>
      <c r="H21" s="24"/>
      <c r="I21" s="16"/>
      <c r="M21" s="58"/>
    </row>
    <row r="22" ht="15.75" customHeight="1">
      <c r="A22" s="64"/>
      <c r="B22" s="65"/>
      <c r="C22" s="24"/>
      <c r="D22" s="24"/>
      <c r="E22" s="24"/>
      <c r="F22" s="24"/>
      <c r="G22" s="24"/>
      <c r="H22" s="24"/>
      <c r="I22" s="16"/>
      <c r="J22" s="66" t="s">
        <v>614</v>
      </c>
      <c r="K22" s="66" t="s">
        <v>615</v>
      </c>
      <c r="L22" s="67" t="s">
        <v>616</v>
      </c>
      <c r="M22" s="67" t="s">
        <v>617</v>
      </c>
    </row>
    <row r="23" ht="15.75" customHeight="1">
      <c r="A23" s="64"/>
      <c r="B23" s="35" t="s">
        <v>5</v>
      </c>
      <c r="I23" s="18"/>
      <c r="J23" s="68">
        <f>COUNTIF(RestiaCSV!B:B, "canceled")</f>
        <v>0</v>
      </c>
      <c r="K23" s="69">
        <f>SUMIF(RestiaCSV!B:B, "canceled", RestiaCSV!C:C)</f>
        <v>0</v>
      </c>
      <c r="L23" s="70">
        <f>COUNTIFS(RestiaCSV!L:L, "&gt;5", RestiaCSV!F:F, "delivery")</f>
        <v>0</v>
      </c>
      <c r="M23" s="68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4"/>
      <c r="B24" s="39" t="s">
        <v>602</v>
      </c>
      <c r="C24" s="40" t="s">
        <v>603</v>
      </c>
      <c r="D24" s="40" t="s">
        <v>604</v>
      </c>
      <c r="E24" s="40" t="s">
        <v>605</v>
      </c>
      <c r="F24" s="71" t="s">
        <v>606</v>
      </c>
      <c r="G24" s="71" t="s">
        <v>618</v>
      </c>
      <c r="H24" s="71" t="s">
        <v>619</v>
      </c>
      <c r="I24" s="72" t="s">
        <v>620</v>
      </c>
      <c r="J24" s="73" t="s">
        <v>621</v>
      </c>
      <c r="K24" s="74" t="s">
        <v>622</v>
      </c>
      <c r="L24" s="73" t="s">
        <v>623</v>
      </c>
      <c r="M24" s="74" t="s">
        <v>624</v>
      </c>
    </row>
    <row r="25" ht="15.75" customHeight="1">
      <c r="A25" s="46">
        <f t="array" ref="A25">IF(ISBLANK(B25), 0, IF(ISNUMBER(MATCH(B25, HR!A:A, 0)), 0, IF(ISNUMBER(MATCH(B25, HR!B:B, 0)), INDEX(HR!V:V, MATCH(B25, HR!B:B, 0)) * (F25 * 24), 0)))</f>
        <v>0</v>
      </c>
      <c r="B25" s="47"/>
      <c r="C25" s="75"/>
      <c r="D25" s="75"/>
      <c r="E25" s="75"/>
      <c r="F25" s="7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77">
        <f>COUNTIF(RestiaCSV!E:E, B25)</f>
        <v>0</v>
      </c>
      <c r="H25" s="78" t="b">
        <v>1</v>
      </c>
      <c r="I25" s="79">
        <f t="shared" ref="I25:I31" si="3">IF(H25,G25*40, 0)</f>
        <v>0</v>
      </c>
      <c r="J25" s="80"/>
      <c r="K25" s="80"/>
      <c r="L25" s="80"/>
      <c r="M25" s="80"/>
    </row>
    <row r="26" ht="15.75" customHeight="1">
      <c r="A26" s="46">
        <f t="array" ref="A26">IF(ISBLANK(B26), 0, IF(ISNUMBER(MATCH(B26, HR!A:A, 0)), 0, IF(ISNUMBER(MATCH(B26, HR!B:B, 0)), INDEX(HR!V:V, MATCH(B26, HR!B:B, 0)) * (F26 * 24), 0)))</f>
        <v>0</v>
      </c>
      <c r="B26" s="47"/>
      <c r="C26" s="75"/>
      <c r="D26" s="75"/>
      <c r="E26" s="81"/>
      <c r="F26" s="76" t="str">
        <f t="shared" si="2"/>
        <v>0:00</v>
      </c>
      <c r="G26" s="77">
        <f>COUNTIF(RestiaCSV!E:E, B26)</f>
        <v>0</v>
      </c>
      <c r="H26" s="78" t="b">
        <v>1</v>
      </c>
      <c r="I26" s="82">
        <f t="shared" si="3"/>
        <v>0</v>
      </c>
      <c r="J26" s="83">
        <f>COUNTIF(I25:I31, "&gt;0")</f>
        <v>0</v>
      </c>
      <c r="K26" s="70">
        <f>IFERROR(__xludf.DUMMYFUNCTION("COUNTA(FILTER(RestiaCSV!B2:B32, RestiaCSV!B2:B32 &lt;&gt; ""canceled""))"),0.0)</f>
        <v>0</v>
      </c>
      <c r="L26" s="70">
        <f>COUNTIF(RestiaCSV!F1:F32, "delivery")</f>
        <v>0</v>
      </c>
      <c r="M26" s="84">
        <f>COUNTIFS(RestiaCSV!M:M, "&gt;5",RestiaCSV!A:A, "&lt;&gt;wolt")</f>
        <v>0</v>
      </c>
    </row>
    <row r="27" ht="20.25" customHeight="1">
      <c r="A27" s="46">
        <f t="array" ref="A27">IF(ISBLANK(B27), 0, IF(ISNUMBER(MATCH(B27, HR!A:A, 0)), 0, IF(ISNUMBER(MATCH(B27, HR!B:B, 0)), INDEX(HR!V:V, MATCH(B27, HR!B:B, 0)) * (F27 * 24), 0)))</f>
        <v>0</v>
      </c>
      <c r="B27" s="47"/>
      <c r="C27" s="75"/>
      <c r="D27" s="75"/>
      <c r="E27" s="81"/>
      <c r="F27" s="76" t="str">
        <f t="shared" si="2"/>
        <v>0:00</v>
      </c>
      <c r="G27" s="77">
        <f>COUNTIF(RestiaCSV!E:E, B27)</f>
        <v>0</v>
      </c>
      <c r="H27" s="78" t="b">
        <v>1</v>
      </c>
      <c r="I27" s="82">
        <f t="shared" si="3"/>
        <v>0</v>
      </c>
      <c r="J27" s="85" t="s">
        <v>625</v>
      </c>
      <c r="K27" s="86"/>
      <c r="L27" s="73" t="s">
        <v>626</v>
      </c>
      <c r="M27" s="74" t="s">
        <v>627</v>
      </c>
    </row>
    <row r="28" ht="22.5" customHeight="1">
      <c r="A28" s="46">
        <f t="array" ref="A28">IF(ISBLANK(B28), 0, IF(ISNUMBER(MATCH(B28, HR!A:A, 0)), 0, IF(ISNUMBER(MATCH(B28, HR!B:B, 0)), INDEX(HR!V:V, MATCH(B28, HR!B:B, 0)) * (F28 * 24), 0)))</f>
        <v>0</v>
      </c>
      <c r="B28" s="47"/>
      <c r="C28" s="75"/>
      <c r="D28" s="75"/>
      <c r="E28" s="81"/>
      <c r="F28" s="76" t="str">
        <f t="shared" si="2"/>
        <v>0:00</v>
      </c>
      <c r="G28" s="77">
        <f>COUNTIF(RestiaCSV!E:E, B28)</f>
        <v>0</v>
      </c>
      <c r="H28" s="78" t="b">
        <v>0</v>
      </c>
      <c r="I28" s="82">
        <f t="shared" si="3"/>
        <v>0</v>
      </c>
      <c r="J28" s="87"/>
      <c r="K28" s="88"/>
      <c r="L28" s="80"/>
      <c r="M28" s="80"/>
    </row>
    <row r="29" ht="15.75" customHeight="1">
      <c r="A29" s="46">
        <f t="array" ref="A29">IF(ISBLANK(B29), 0, IF(ISNUMBER(MATCH(B29, HR!A:A, 0)), 0, IF(ISNUMBER(MATCH(B29, HR!B:B, 0)), INDEX(HR!V:V, MATCH(B29, HR!B:B, 0)) * (F29 * 24), 0)))</f>
        <v>0</v>
      </c>
      <c r="B29" s="47"/>
      <c r="C29" s="75"/>
      <c r="D29" s="75"/>
      <c r="E29" s="81"/>
      <c r="F29" s="76" t="str">
        <f t="shared" si="2"/>
        <v>0:00</v>
      </c>
      <c r="G29" s="77">
        <f>COUNTIF(RestiaCSV!E:E, B29)</f>
        <v>0</v>
      </c>
      <c r="H29" s="78" t="b">
        <v>0</v>
      </c>
      <c r="I29" s="82">
        <f t="shared" si="3"/>
        <v>0</v>
      </c>
      <c r="J29" s="89">
        <f>COUNTIFS(RestiaCSV!M:M, "&gt;5", RestiaCSV!L:L, "&gt;5")</f>
        <v>0</v>
      </c>
      <c r="K29" s="90"/>
      <c r="L29" s="91" t="str">
        <f>L23/L26</f>
        <v>#DIV/0!</v>
      </c>
      <c r="M29" s="70">
        <f>COUNTIFS(RestiaCSV!L:L, "&gt;5", RestiaCSV!F:F, "delivery", RestiaCSV!E:E, "Wolt Kurýr")</f>
        <v>0</v>
      </c>
    </row>
    <row r="30" ht="15.75" customHeight="1">
      <c r="A30" s="46">
        <f t="array" ref="A30">IF(ISBLANK(B30), 0, IF(ISNUMBER(MATCH(B30, HR!A:A, 0)), 0, IF(ISNUMBER(MATCH(B30, HR!B:B, 0)), INDEX(HR!V:V, MATCH(B30, HR!B:B, 0)) * (F30 * 24), 0)))</f>
        <v>0</v>
      </c>
      <c r="B30" s="47"/>
      <c r="C30" s="75"/>
      <c r="D30" s="75"/>
      <c r="E30" s="81"/>
      <c r="F30" s="76" t="str">
        <f t="shared" si="2"/>
        <v>0:00</v>
      </c>
      <c r="G30" s="77">
        <f>COUNTIF(RestiaCSV!E:E, B30)</f>
        <v>0</v>
      </c>
      <c r="H30" s="78" t="b">
        <v>0</v>
      </c>
      <c r="I30" s="82">
        <f t="shared" si="3"/>
        <v>0</v>
      </c>
      <c r="J30" s="92"/>
      <c r="K30" s="92"/>
      <c r="L30" s="74" t="s">
        <v>628</v>
      </c>
      <c r="M30" s="74" t="s">
        <v>629</v>
      </c>
    </row>
    <row r="31" ht="15.75" customHeight="1">
      <c r="A31" s="46">
        <f t="array" ref="A31">IF(ISBLANK(B31), 0, IF(ISNUMBER(MATCH(B31, HR!A:A, 0)), 0, IF(ISNUMBER(MATCH(B31, HR!B:B, 0)), INDEX(HR!V:V, MATCH(B31, HR!B:B, 0)) * (F31 * 24), 0)))</f>
        <v>0</v>
      </c>
      <c r="B31" s="47"/>
      <c r="C31" s="75"/>
      <c r="D31" s="75"/>
      <c r="E31" s="81"/>
      <c r="F31" s="76" t="str">
        <f t="shared" si="2"/>
        <v>0:00</v>
      </c>
      <c r="G31" s="77">
        <f>COUNTIF(RestiaCSV!E:E, B31)</f>
        <v>0</v>
      </c>
      <c r="H31" s="78" t="b">
        <v>0</v>
      </c>
      <c r="I31" s="82">
        <f t="shared" si="3"/>
        <v>0</v>
      </c>
      <c r="J31" s="92"/>
      <c r="K31" s="92"/>
      <c r="L31" s="80"/>
      <c r="M31" s="80"/>
    </row>
    <row r="32" ht="15.75" customHeight="1">
      <c r="A32" s="93"/>
      <c r="B32" s="94" t="s">
        <v>17</v>
      </c>
      <c r="C32" s="95" t="s">
        <v>630</v>
      </c>
      <c r="D32" s="24"/>
      <c r="E32" s="24"/>
      <c r="F32" s="96"/>
      <c r="G32" s="97">
        <f>COUNTIFS(RestiaCSV!E:E, "wolt kurýr", RestiaCSV!A:A, "&lt;&gt;wolt")</f>
        <v>0</v>
      </c>
      <c r="H32" s="98" t="b">
        <v>1</v>
      </c>
      <c r="I32" s="99">
        <f>G32*127</f>
        <v>0</v>
      </c>
      <c r="J32" s="100"/>
      <c r="K32" s="100"/>
      <c r="L32" s="91" t="str">
        <f>100%-L29</f>
        <v>#DIV/0!</v>
      </c>
      <c r="M32" s="91" t="str">
        <f>M29/L26</f>
        <v>#DIV/0!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B12:B21">
      <formula1>"Nedbal Michal,Ahurieva Viktoriia,Šebesta Tomáš,Pekárková Milena,Nováková Adéla,Makula Radek,Bušek Pavel,Kopic Jakub,Fáberová Kateřina"</formula1>
    </dataValidation>
    <dataValidation type="list" allowBlank="1" sqref="B25:B31">
      <formula1>"Hanibal Filip,Mikuš Pavel,Šmídová Sabina,Vychivskyi Volodymyr,Petržilka Lukáš,Dvořák Radim,Hřebík Martin,Reischl Jan,Kináč Jozef,Bednařík Peter,Novák Dalibor,Novák Matěj"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01"/>
      <c r="B1" s="102" t="str">
        <f>Report!B1</f>
        <v>Prosek</v>
      </c>
      <c r="C1" s="103">
        <v>46082.0</v>
      </c>
      <c r="D1" s="104" t="s">
        <v>631</v>
      </c>
      <c r="E1" s="105">
        <v>46112.0</v>
      </c>
      <c r="F1" s="106" t="s">
        <v>586</v>
      </c>
      <c r="G1" s="10"/>
      <c r="H1" s="11"/>
      <c r="I1" s="106" t="s">
        <v>587</v>
      </c>
      <c r="J1" s="10"/>
      <c r="K1" s="11"/>
      <c r="L1" s="107" t="s">
        <v>588</v>
      </c>
      <c r="M1" s="18"/>
      <c r="N1" s="107"/>
    </row>
    <row r="2" ht="19.5" customHeight="1">
      <c r="A2" s="101"/>
      <c r="B2" s="14"/>
      <c r="C2" s="15"/>
      <c r="D2" s="14"/>
      <c r="E2" s="16"/>
      <c r="F2" s="108">
        <v>0.39907516821147526</v>
      </c>
      <c r="H2" s="18"/>
      <c r="I2" s="109">
        <v>485584.5</v>
      </c>
      <c r="K2" s="18"/>
      <c r="L2" s="110" t="s">
        <v>589</v>
      </c>
      <c r="M2" s="111">
        <v>184256.0</v>
      </c>
      <c r="N2" s="112"/>
    </row>
    <row r="3" ht="15.75" customHeight="1">
      <c r="A3" s="113"/>
      <c r="B3" s="114" t="str">
        <f>CHOOSE(WEEKDAY(C1), "Neděle", "Pondělí", "Úterý", "Středa", "Čtvrtek", "Pátek", "Sobota")</f>
        <v>Neděle</v>
      </c>
      <c r="C3" s="23"/>
      <c r="D3" s="114" t="str">
        <f>CHOOSE(WEEKDAY(E1), "Neděle", "Pondělí", "Úterý", "Středa", "Čtvrtek", "Pátek", "Sobota")</f>
        <v>Úterý</v>
      </c>
      <c r="E3" s="8"/>
      <c r="H3" s="18"/>
      <c r="K3" s="18"/>
      <c r="L3" s="115" t="s">
        <v>590</v>
      </c>
      <c r="M3" s="116">
        <v>86095.0</v>
      </c>
      <c r="N3" s="112"/>
    </row>
    <row r="4" ht="15.75" customHeight="1">
      <c r="A4" s="113"/>
      <c r="B4" s="15"/>
      <c r="C4" s="24"/>
      <c r="D4" s="15"/>
      <c r="E4" s="16"/>
      <c r="F4" s="24"/>
      <c r="G4" s="24"/>
      <c r="H4" s="16"/>
      <c r="I4" s="24"/>
      <c r="J4" s="24"/>
      <c r="K4" s="16"/>
      <c r="L4" s="115" t="s">
        <v>591</v>
      </c>
      <c r="M4" s="116">
        <v>67098.0</v>
      </c>
      <c r="N4" s="112"/>
    </row>
    <row r="5" ht="15.75" customHeight="1">
      <c r="A5" s="117"/>
      <c r="B5" s="118" t="s">
        <v>632</v>
      </c>
      <c r="C5" s="23"/>
      <c r="D5" s="23"/>
      <c r="E5" s="8"/>
      <c r="F5" s="119" t="s">
        <v>633</v>
      </c>
      <c r="G5" s="23"/>
      <c r="H5" s="23"/>
      <c r="I5" s="23"/>
      <c r="J5" s="23"/>
      <c r="K5" s="8"/>
      <c r="L5" s="115" t="s">
        <v>593</v>
      </c>
      <c r="M5" s="116">
        <v>80755.0</v>
      </c>
      <c r="N5" s="112"/>
    </row>
    <row r="6" ht="15.75" customHeight="1">
      <c r="A6" s="117"/>
      <c r="B6" s="15"/>
      <c r="C6" s="24"/>
      <c r="D6" s="24"/>
      <c r="E6" s="16"/>
      <c r="F6" s="24"/>
      <c r="G6" s="24"/>
      <c r="H6" s="24"/>
      <c r="I6" s="24"/>
      <c r="J6" s="24"/>
      <c r="K6" s="16"/>
      <c r="L6" s="115" t="s">
        <v>594</v>
      </c>
      <c r="M6" s="116">
        <v>2671.0</v>
      </c>
      <c r="N6" s="112"/>
    </row>
    <row r="7" ht="15.75" customHeight="1">
      <c r="A7" s="107"/>
      <c r="B7" s="120">
        <f>TEXT(SUMPRODUCT((IFERROR(LEFT(D10:D30, FIND(":", D10:D30) - 1) * 60, 0) + IFERROR(MID(D10:D30, FIND(":", D10:D30) + 1, LEN(D10:D30) - FIND(":", D10:D30)), 0))), "[h]:mm")/60</f>
        <v>290.5</v>
      </c>
      <c r="C7" s="24"/>
      <c r="D7" s="24"/>
      <c r="E7" s="16"/>
      <c r="F7" s="121">
        <f>TEXT(SUMPRODUCT((IFERROR(LEFT(H10:H30, FIND(":", H10:H30) - 1) * 60, 0) + IFERROR(MID(H10:H30, FIND(":", H10:H30) + 1, LEN(H10:H30) - FIND(":", H10:H30)), 0))), "[h]:mm")/60</f>
        <v>260.75</v>
      </c>
      <c r="G7" s="10"/>
      <c r="H7" s="10"/>
      <c r="I7" s="10"/>
      <c r="J7" s="122"/>
      <c r="K7" s="122"/>
      <c r="L7" s="123" t="s">
        <v>595</v>
      </c>
      <c r="M7" s="124">
        <v>0.0</v>
      </c>
      <c r="N7" s="112"/>
    </row>
    <row r="8" ht="15.75" customHeight="1">
      <c r="A8" s="125"/>
      <c r="B8" s="126" t="s">
        <v>598</v>
      </c>
      <c r="C8" s="10"/>
      <c r="D8" s="10"/>
      <c r="E8" s="11"/>
      <c r="F8" s="127" t="s">
        <v>5</v>
      </c>
      <c r="G8" s="10"/>
      <c r="H8" s="10"/>
      <c r="I8" s="11"/>
      <c r="J8" s="128" t="s">
        <v>600</v>
      </c>
      <c r="K8" s="8"/>
      <c r="L8" s="121" t="s">
        <v>596</v>
      </c>
      <c r="M8" s="11"/>
      <c r="N8" s="107"/>
    </row>
    <row r="9" ht="15.75" customHeight="1">
      <c r="A9" s="129"/>
      <c r="B9" s="130" t="s">
        <v>602</v>
      </c>
      <c r="C9" s="131" t="s">
        <v>634</v>
      </c>
      <c r="D9" s="131" t="s">
        <v>606</v>
      </c>
      <c r="E9" s="132"/>
      <c r="F9" s="130" t="s">
        <v>602</v>
      </c>
      <c r="G9" s="131" t="s">
        <v>634</v>
      </c>
      <c r="H9" s="131" t="s">
        <v>606</v>
      </c>
      <c r="I9" s="133" t="s">
        <v>618</v>
      </c>
      <c r="J9" s="134">
        <v>21.0</v>
      </c>
      <c r="K9" s="8"/>
      <c r="L9" s="135" t="s">
        <v>597</v>
      </c>
      <c r="M9" s="116">
        <v>32864.5</v>
      </c>
      <c r="N9" s="112"/>
    </row>
    <row r="10" ht="18.75" customHeight="1">
      <c r="A10" s="136"/>
      <c r="B10" s="137" t="s">
        <v>635</v>
      </c>
      <c r="C10" s="138">
        <v>11.0</v>
      </c>
      <c r="D10" s="138" t="s">
        <v>636</v>
      </c>
      <c r="E10" s="139" t="s">
        <v>637</v>
      </c>
      <c r="F10" s="137" t="s">
        <v>638</v>
      </c>
      <c r="G10" s="138">
        <v>4.0</v>
      </c>
      <c r="H10" s="138" t="s">
        <v>639</v>
      </c>
      <c r="I10" s="140">
        <v>48.0</v>
      </c>
      <c r="J10" s="32"/>
      <c r="K10" s="18"/>
      <c r="L10" s="135" t="s">
        <v>601</v>
      </c>
      <c r="M10" s="116">
        <v>0.0</v>
      </c>
      <c r="N10" s="112"/>
    </row>
    <row r="11" ht="18.75" customHeight="1">
      <c r="A11" s="136"/>
      <c r="B11" s="137" t="s">
        <v>640</v>
      </c>
      <c r="C11" s="138">
        <v>10.0</v>
      </c>
      <c r="D11" s="138" t="s">
        <v>641</v>
      </c>
      <c r="E11" s="139" t="s">
        <v>642</v>
      </c>
      <c r="F11" s="137" t="s">
        <v>643</v>
      </c>
      <c r="G11" s="138">
        <v>9.0</v>
      </c>
      <c r="H11" s="138" t="s">
        <v>644</v>
      </c>
      <c r="I11" s="140">
        <v>55.0</v>
      </c>
      <c r="J11" s="32"/>
      <c r="K11" s="18"/>
      <c r="L11" s="141" t="s">
        <v>596</v>
      </c>
      <c r="M11" s="142">
        <v>15004.0</v>
      </c>
      <c r="N11" s="112"/>
    </row>
    <row r="12" ht="18.75" customHeight="1">
      <c r="A12" s="136"/>
      <c r="B12" s="137" t="s">
        <v>645</v>
      </c>
      <c r="C12" s="138">
        <v>7.0</v>
      </c>
      <c r="D12" s="138" t="s">
        <v>646</v>
      </c>
      <c r="E12" s="139" t="s">
        <v>647</v>
      </c>
      <c r="F12" s="137" t="s">
        <v>648</v>
      </c>
      <c r="G12" s="138">
        <v>3.0</v>
      </c>
      <c r="H12" s="138" t="s">
        <v>649</v>
      </c>
      <c r="I12" s="140">
        <v>11.0</v>
      </c>
      <c r="J12" s="32"/>
      <c r="K12" s="18"/>
      <c r="L12" s="143" t="s">
        <v>607</v>
      </c>
      <c r="M12" s="16"/>
      <c r="N12" s="107"/>
    </row>
    <row r="13" ht="18.75" customHeight="1">
      <c r="A13" s="136"/>
      <c r="B13" s="137" t="s">
        <v>650</v>
      </c>
      <c r="C13" s="138">
        <v>1.0</v>
      </c>
      <c r="D13" s="138" t="s">
        <v>651</v>
      </c>
      <c r="E13" s="139" t="s">
        <v>647</v>
      </c>
      <c r="F13" s="137" t="s">
        <v>652</v>
      </c>
      <c r="G13" s="138">
        <v>1.0</v>
      </c>
      <c r="H13" s="138" t="s">
        <v>653</v>
      </c>
      <c r="I13" s="140">
        <v>0.0</v>
      </c>
      <c r="J13" s="32"/>
      <c r="K13" s="18"/>
      <c r="L13" s="135" t="s">
        <v>608</v>
      </c>
      <c r="M13" s="116">
        <v>2000.0</v>
      </c>
      <c r="N13" s="112"/>
    </row>
    <row r="14" ht="18.75" customHeight="1">
      <c r="A14" s="136"/>
      <c r="B14" s="137" t="s">
        <v>654</v>
      </c>
      <c r="C14" s="138">
        <v>1.0</v>
      </c>
      <c r="D14" s="138" t="s">
        <v>655</v>
      </c>
      <c r="E14" s="139" t="s">
        <v>656</v>
      </c>
      <c r="F14" s="137" t="s">
        <v>657</v>
      </c>
      <c r="G14" s="138">
        <v>3.0</v>
      </c>
      <c r="H14" s="138" t="s">
        <v>658</v>
      </c>
      <c r="I14" s="140">
        <v>29.0</v>
      </c>
      <c r="J14" s="32"/>
      <c r="K14" s="18"/>
      <c r="L14" s="131" t="s">
        <v>609</v>
      </c>
      <c r="M14" s="116">
        <v>0.0</v>
      </c>
      <c r="N14" s="112"/>
    </row>
    <row r="15" ht="18.75" customHeight="1">
      <c r="A15" s="136"/>
      <c r="B15" s="137"/>
      <c r="C15" s="138"/>
      <c r="D15" s="138"/>
      <c r="E15" s="139" t="s">
        <v>656</v>
      </c>
      <c r="F15" s="137"/>
      <c r="G15" s="138"/>
      <c r="H15" s="138"/>
      <c r="I15" s="140"/>
      <c r="J15" s="32"/>
      <c r="K15" s="18"/>
      <c r="L15" s="131" t="s">
        <v>610</v>
      </c>
      <c r="M15" s="116">
        <v>143.0</v>
      </c>
      <c r="N15" s="112"/>
    </row>
    <row r="16" ht="18.75" customHeight="1">
      <c r="A16" s="136"/>
      <c r="B16" s="137"/>
      <c r="C16" s="138"/>
      <c r="D16" s="138"/>
      <c r="E16" s="144"/>
      <c r="F16" s="137"/>
      <c r="G16" s="138"/>
      <c r="H16" s="138"/>
      <c r="I16" s="140"/>
      <c r="J16" s="32"/>
      <c r="K16" s="18"/>
      <c r="L16" s="131" t="s">
        <v>611</v>
      </c>
      <c r="M16" s="116">
        <v>10879.0</v>
      </c>
      <c r="N16" s="112"/>
    </row>
    <row r="17" ht="18.75" customHeight="1">
      <c r="A17" s="136"/>
      <c r="B17" s="137"/>
      <c r="C17" s="138"/>
      <c r="D17" s="138"/>
      <c r="E17" s="144"/>
      <c r="F17" s="137"/>
      <c r="G17" s="138"/>
      <c r="H17" s="138"/>
      <c r="I17" s="140"/>
      <c r="J17" s="15"/>
      <c r="K17" s="16"/>
      <c r="L17" s="145" t="s">
        <v>612</v>
      </c>
      <c r="M17" s="146">
        <v>3840.0</v>
      </c>
      <c r="N17" s="112"/>
    </row>
    <row r="18" ht="18.75" customHeight="1">
      <c r="A18" s="136"/>
      <c r="B18" s="137"/>
      <c r="C18" s="138"/>
      <c r="D18" s="138"/>
      <c r="E18" s="144"/>
      <c r="F18" s="137"/>
      <c r="G18" s="138"/>
      <c r="H18" s="138"/>
      <c r="I18" s="140"/>
      <c r="J18" s="147"/>
      <c r="K18" s="10"/>
      <c r="L18" s="10"/>
      <c r="M18" s="11"/>
      <c r="N18" s="148"/>
    </row>
    <row r="19" ht="18.75" customHeight="1">
      <c r="A19" s="136"/>
      <c r="B19" s="137"/>
      <c r="C19" s="138"/>
      <c r="D19" s="138"/>
      <c r="E19" s="144"/>
      <c r="F19" s="137"/>
      <c r="G19" s="138"/>
      <c r="H19" s="138"/>
      <c r="I19" s="140"/>
      <c r="J19" s="149" t="s">
        <v>614</v>
      </c>
      <c r="K19" s="150" t="s">
        <v>615</v>
      </c>
      <c r="L19" s="151" t="s">
        <v>616</v>
      </c>
      <c r="M19" s="152" t="s">
        <v>617</v>
      </c>
      <c r="N19" s="153"/>
    </row>
    <row r="20" ht="18.75" customHeight="1">
      <c r="A20" s="136"/>
      <c r="B20" s="137"/>
      <c r="C20" s="138"/>
      <c r="D20" s="138"/>
      <c r="E20" s="144"/>
      <c r="F20" s="137"/>
      <c r="G20" s="138"/>
      <c r="H20" s="138"/>
      <c r="I20" s="140"/>
      <c r="J20" s="154"/>
      <c r="K20" s="80"/>
      <c r="L20" s="80"/>
      <c r="M20" s="155"/>
      <c r="N20" s="153"/>
    </row>
    <row r="21" ht="18.75" customHeight="1">
      <c r="A21" s="136"/>
      <c r="B21" s="137"/>
      <c r="C21" s="138"/>
      <c r="D21" s="138"/>
      <c r="E21" s="144"/>
      <c r="F21" s="137"/>
      <c r="G21" s="138"/>
      <c r="H21" s="138"/>
      <c r="I21" s="140"/>
      <c r="J21" s="156">
        <v>8.0</v>
      </c>
      <c r="K21" s="157">
        <v>5747.0</v>
      </c>
      <c r="L21" s="158">
        <v>47.0</v>
      </c>
      <c r="M21" s="159" t="s">
        <v>659</v>
      </c>
      <c r="N21" s="148"/>
    </row>
    <row r="22" ht="18.75" customHeight="1">
      <c r="A22" s="136"/>
      <c r="B22" s="137"/>
      <c r="C22" s="138"/>
      <c r="D22" s="138"/>
      <c r="E22" s="144"/>
      <c r="F22" s="137"/>
      <c r="G22" s="138"/>
      <c r="H22" s="138"/>
      <c r="I22" s="140"/>
      <c r="J22" s="160" t="s">
        <v>621</v>
      </c>
      <c r="K22" s="161" t="s">
        <v>622</v>
      </c>
      <c r="L22" s="162" t="s">
        <v>623</v>
      </c>
      <c r="M22" s="163" t="s">
        <v>624</v>
      </c>
      <c r="N22" s="148"/>
    </row>
    <row r="23" ht="18.75" customHeight="1">
      <c r="A23" s="136"/>
      <c r="B23" s="137"/>
      <c r="C23" s="138"/>
      <c r="D23" s="138"/>
      <c r="E23" s="144"/>
      <c r="F23" s="137"/>
      <c r="G23" s="138"/>
      <c r="H23" s="138"/>
      <c r="I23" s="140"/>
      <c r="J23" s="154"/>
      <c r="K23" s="80"/>
      <c r="L23" s="80"/>
      <c r="M23" s="155"/>
      <c r="N23" s="148"/>
    </row>
    <row r="24" ht="18.75" customHeight="1">
      <c r="A24" s="136"/>
      <c r="B24" s="137"/>
      <c r="C24" s="138"/>
      <c r="D24" s="138"/>
      <c r="E24" s="144"/>
      <c r="F24" s="137"/>
      <c r="G24" s="138"/>
      <c r="H24" s="138"/>
      <c r="I24" s="140"/>
      <c r="J24" s="164">
        <v>12.0</v>
      </c>
      <c r="K24" s="158">
        <v>1169.0</v>
      </c>
      <c r="L24" s="158">
        <v>160.0</v>
      </c>
      <c r="M24" s="165">
        <v>11.0</v>
      </c>
      <c r="N24" s="148"/>
    </row>
    <row r="25" ht="18.75" customHeight="1">
      <c r="A25" s="136"/>
      <c r="B25" s="137"/>
      <c r="C25" s="138"/>
      <c r="D25" s="138"/>
      <c r="E25" s="144"/>
      <c r="F25" s="137"/>
      <c r="G25" s="138"/>
      <c r="H25" s="138"/>
      <c r="I25" s="140"/>
      <c r="J25" s="166" t="s">
        <v>625</v>
      </c>
      <c r="K25" s="86"/>
      <c r="L25" s="167" t="s">
        <v>626</v>
      </c>
      <c r="M25" s="168" t="s">
        <v>627</v>
      </c>
      <c r="N25" s="148"/>
    </row>
    <row r="26" ht="21.75" customHeight="1">
      <c r="A26" s="136"/>
      <c r="B26" s="137"/>
      <c r="C26" s="138"/>
      <c r="D26" s="138"/>
      <c r="E26" s="144"/>
      <c r="F26" s="137"/>
      <c r="G26" s="138"/>
      <c r="H26" s="138"/>
      <c r="I26" s="140"/>
      <c r="J26" s="169"/>
      <c r="K26" s="88"/>
      <c r="L26" s="80"/>
      <c r="M26" s="155"/>
      <c r="N26" s="148"/>
    </row>
    <row r="27" ht="18.75" customHeight="1">
      <c r="A27" s="136"/>
      <c r="B27" s="137"/>
      <c r="C27" s="138"/>
      <c r="D27" s="138"/>
      <c r="E27" s="144"/>
      <c r="F27" s="137"/>
      <c r="G27" s="138"/>
      <c r="H27" s="138"/>
      <c r="I27" s="140"/>
      <c r="J27" s="170">
        <v>7.0</v>
      </c>
      <c r="K27" s="90"/>
      <c r="L27" s="171">
        <v>0.23634237254479468</v>
      </c>
      <c r="M27" s="172">
        <v>6.0</v>
      </c>
      <c r="N27" s="148"/>
    </row>
    <row r="28" ht="18.75" customHeight="1">
      <c r="A28" s="136"/>
      <c r="B28" s="137"/>
      <c r="C28" s="138"/>
      <c r="D28" s="138"/>
      <c r="E28" s="144"/>
      <c r="F28" s="137"/>
      <c r="G28" s="138"/>
      <c r="H28" s="138"/>
      <c r="I28" s="140"/>
      <c r="J28" s="173"/>
      <c r="L28" s="174" t="s">
        <v>628</v>
      </c>
      <c r="M28" s="168" t="s">
        <v>629</v>
      </c>
      <c r="N28" s="148"/>
    </row>
    <row r="29" ht="18.75" customHeight="1">
      <c r="A29" s="136"/>
      <c r="B29" s="137"/>
      <c r="C29" s="138"/>
      <c r="D29" s="138"/>
      <c r="E29" s="144"/>
      <c r="F29" s="137"/>
      <c r="G29" s="138"/>
      <c r="H29" s="138"/>
      <c r="I29" s="140"/>
      <c r="J29" s="32"/>
      <c r="L29" s="80"/>
      <c r="M29" s="155"/>
      <c r="N29" s="148"/>
    </row>
    <row r="30" ht="18.75" customHeight="1">
      <c r="A30" s="136"/>
      <c r="B30" s="137"/>
      <c r="C30" s="138"/>
      <c r="D30" s="138"/>
      <c r="E30" s="144"/>
      <c r="F30" s="137"/>
      <c r="G30" s="138"/>
      <c r="H30" s="138"/>
      <c r="I30" s="140"/>
      <c r="J30" s="15"/>
      <c r="K30" s="24"/>
      <c r="L30" s="175">
        <v>0.7636576274552054</v>
      </c>
      <c r="M30" s="176">
        <v>0.02475490196078431</v>
      </c>
      <c r="N30" s="14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9" width="25.38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17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17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17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77"/>
      <c r="C5" s="17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17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17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17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17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17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17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17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17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17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17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17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177"/>
      <c r="C18" s="17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17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17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17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177"/>
      <c r="C23" s="17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177"/>
      <c r="C24" s="17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177"/>
      <c r="C25" s="17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17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177"/>
      <c r="C27" s="17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177"/>
      <c r="C28" s="17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177"/>
      <c r="C29" s="17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177"/>
      <c r="C30" s="17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7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7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7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7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177"/>
      <c r="C35" s="17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17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17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17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17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17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17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17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17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17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17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17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17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17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17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7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17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17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17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17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17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17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17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17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17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7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17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17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17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17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17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17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17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O69" s="3"/>
      <c r="P69" s="3"/>
      <c r="Q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17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17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7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77"/>
      <c r="C74" s="17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17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17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17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17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17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17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17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17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17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17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17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>
      <c r="C99" s="177"/>
    </row>
    <row r="100" ht="15.75" customHeight="1">
      <c r="C100" s="177"/>
    </row>
    <row r="101" ht="15.75" customHeight="1"/>
    <row r="102" ht="15.75" customHeight="1">
      <c r="C102" s="177"/>
    </row>
    <row r="103" ht="15.75" customHeight="1">
      <c r="C103" s="177"/>
    </row>
    <row r="104" ht="15.75" customHeight="1"/>
    <row r="105" ht="15.75" customHeight="1">
      <c r="C105" s="177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>
      <c r="C113" s="177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>
      <c r="C121" s="177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>
      <c r="C128" s="177"/>
    </row>
    <row r="129" ht="15.75" customHeight="1"/>
    <row r="130" ht="15.75" customHeight="1"/>
    <row r="131" ht="15.75" customHeight="1"/>
    <row r="132" ht="15.75" customHeight="1">
      <c r="C132" s="177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>
      <c r="C150" s="177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>
      <c r="C157" s="177"/>
    </row>
    <row r="158" ht="15.75" customHeight="1"/>
    <row r="159" ht="15.75" customHeight="1"/>
    <row r="160" ht="15.75" customHeight="1"/>
    <row r="161" ht="15.75" customHeight="1">
      <c r="C161" s="177"/>
    </row>
    <row r="162" ht="15.75" customHeight="1"/>
    <row r="163" ht="15.75" customHeight="1"/>
    <row r="164" ht="15.75" customHeight="1">
      <c r="C164" s="177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C179" s="177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>
      <c r="C187" s="177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>
      <c r="C202" s="177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4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78" t="str">
        <f>IFERROR(__xludf.DUMMYFUNCTION("IMPORTRANGE(""1TpIiNTfR1pnpn85VWQTTdvQ2Xcr0GStmWJ2UvfKxG_A"", ""Mzdy!A1:F200"")"),"#REF!")</f>
        <v>#REF!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79" t="str">
        <f>IFERROR(__xludf.DUMMYFUNCTION("IMPORTRANGE(""1TpIiNTfR1pnpn85VWQTTdvQ2Xcr0GStmWJ2UvfKxG_A"", ""Mzdy!ac1:ad200"")"),"#REF!")</f>
        <v>#REF!</v>
      </c>
      <c r="W1" s="180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80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80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5.75" customHeight="1">
      <c r="A4" s="181" t="s">
        <v>660</v>
      </c>
      <c r="B4" s="181" t="s">
        <v>661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80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15.75" customHeight="1">
      <c r="A5" s="1" t="str">
        <f>IF(AND(B5&lt;&gt;"", C5=TRUE, E5=Report!$B$1), B5, "")</f>
        <v/>
      </c>
      <c r="B5" s="182" t="str">
        <f>IF(OR(E5=Report!$B$1, F5=Report!$B$1, G5=Report!$B$1, H5=Report!$B$1), D5, "")</f>
        <v/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80"/>
      <c r="W5" s="180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15.75" customHeight="1">
      <c r="A6" s="1" t="str">
        <f>IF(AND(B6&lt;&gt;"", C6=TRUE, E6=Report!$B$1), B6, "")</f>
        <v/>
      </c>
      <c r="B6" s="182" t="str">
        <f>IF(OR(E6=Report!$B$1, F6=Report!$B$1, G6=Report!$B$1, H6=Report!$B$1), D6, "")</f>
        <v/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80"/>
      <c r="W6" s="180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15.75" customHeight="1">
      <c r="A7" s="1" t="str">
        <f>IF(AND(B7&lt;&gt;"", C7=TRUE, E7=Report!$B$1), B7, "")</f>
        <v/>
      </c>
      <c r="B7" s="182" t="str">
        <f>IF(OR(E7=Report!$B$1, F7=Report!$B$1, G7=Report!$B$1, H7=Report!$B$1), D7, "")</f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80"/>
      <c r="W7" s="180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15.75" customHeight="1">
      <c r="A8" s="1" t="str">
        <f>IF(AND(B8&lt;&gt;"", C8=TRUE, E8=Report!$B$1), B8, "")</f>
        <v/>
      </c>
      <c r="B8" s="182" t="str">
        <f>IF(OR(E8=Report!$B$1, F8=Report!$B$1, G8=Report!$B$1, H8=Report!$B$1), D8, "")</f>
        <v/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80"/>
      <c r="W8" s="180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15.75" customHeight="1">
      <c r="A9" s="1" t="str">
        <f>IF(AND(B9&lt;&gt;"", C9=TRUE, E9=Report!$B$1), B9, "")</f>
        <v/>
      </c>
      <c r="B9" s="182" t="str">
        <f>IF(OR(E9=Report!$B$1, F9=Report!$B$1, G9=Report!$B$1, H9=Report!$B$1), D9, "")</f>
        <v/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80"/>
      <c r="W9" s="180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5.75" customHeight="1">
      <c r="A10" s="1" t="str">
        <f>IF(AND(B10&lt;&gt;"", C10=TRUE, E10=Report!$B$1), B10, "")</f>
        <v/>
      </c>
      <c r="B10" s="182" t="str">
        <f>IF(OR(E10=Report!$B$1, F10=Report!$B$1, G10=Report!$B$1, H10=Report!$B$1), D10, "")</f>
        <v/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80"/>
      <c r="W10" s="180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15.75" customHeight="1">
      <c r="A11" s="1" t="str">
        <f>IF(AND(B11&lt;&gt;"", C11=TRUE, E11=Report!$B$1), B11, "")</f>
        <v/>
      </c>
      <c r="B11" s="182" t="str">
        <f>IF(OR(E11=Report!$B$1, F11=Report!$B$1, G11=Report!$B$1, H11=Report!$B$1), D11, "")</f>
        <v/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80"/>
      <c r="W11" s="180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5.75" customHeight="1">
      <c r="A12" s="1" t="str">
        <f>IF(AND(B12&lt;&gt;"", C12=TRUE, E12=Report!$B$1), B12, "")</f>
        <v/>
      </c>
      <c r="B12" s="182" t="str">
        <f>IF(OR(E12=Report!$B$1, F12=Report!$B$1, G12=Report!$B$1, H12=Report!$B$1), D12, "")</f>
        <v/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80"/>
      <c r="W12" s="180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15.75" customHeight="1">
      <c r="A13" s="1" t="str">
        <f>IF(AND(B13&lt;&gt;"", C13=TRUE, E13=Report!$B$1), B13, "")</f>
        <v/>
      </c>
      <c r="B13" s="182" t="str">
        <f>IF(OR(E13=Report!$B$1, F13=Report!$B$1, G13=Report!$B$1, H13=Report!$B$1), D13, "")</f>
        <v/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80"/>
      <c r="W13" s="180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15.75" customHeight="1">
      <c r="A14" s="1" t="str">
        <f>IF(AND(B14&lt;&gt;"", C14=TRUE, E14=Report!$B$1), B14, "")</f>
        <v/>
      </c>
      <c r="B14" s="182" t="str">
        <f>IF(OR(E14=Report!$B$1, F14=Report!$B$1, G14=Report!$B$1, H14=Report!$B$1), D14, "")</f>
        <v/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80"/>
      <c r="W14" s="180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15.75" customHeight="1">
      <c r="A15" s="1" t="str">
        <f>IF(AND(B15&lt;&gt;"", C15=TRUE, E15=Report!$B$1), B15, "")</f>
        <v/>
      </c>
      <c r="B15" s="182" t="str">
        <f>IF(OR(E15=Report!$B$1, F15=Report!$B$1, G15=Report!$B$1, H15=Report!$B$1), D15, "")</f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80"/>
      <c r="W15" s="180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15.75" customHeight="1">
      <c r="A16" s="1" t="str">
        <f>IF(AND(B16&lt;&gt;"", C16=TRUE, E16=Report!$B$1), B16, "")</f>
        <v/>
      </c>
      <c r="B16" s="182" t="str">
        <f>IF(OR(E16=Report!$B$1, F16=Report!$B$1, G16=Report!$B$1, H16=Report!$B$1), D16, "")</f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80"/>
      <c r="W16" s="180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15.75" customHeight="1">
      <c r="A17" s="1" t="str">
        <f>IF(AND(B17&lt;&gt;"", C17=TRUE, E17=Report!$B$1), B17, "")</f>
        <v/>
      </c>
      <c r="B17" s="182" t="str">
        <f>IF(OR(E17=Report!$B$1, F17=Report!$B$1, G17=Report!$B$1, H17=Report!$B$1), D17, "")</f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80"/>
      <c r="W17" s="180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15.75" customHeight="1">
      <c r="A18" s="1" t="str">
        <f>IF(AND(B18&lt;&gt;"", C18=TRUE, E18=Report!$B$1), B18, "")</f>
        <v/>
      </c>
      <c r="B18" s="182" t="str">
        <f>IF(OR(E18=Report!$B$1, F18=Report!$B$1, G18=Report!$B$1, H18=Report!$B$1), D18, "")</f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80"/>
      <c r="W18" s="180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15.75" customHeight="1">
      <c r="A19" s="1" t="str">
        <f>IF(AND(B19&lt;&gt;"", C19=TRUE, E19=Report!$B$1), B19, "")</f>
        <v/>
      </c>
      <c r="B19" s="182" t="str">
        <f>IF(OR(E19=Report!$B$1, F19=Report!$B$1, G19=Report!$B$1, H19=Report!$B$1), D19, "")</f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80"/>
      <c r="W19" s="180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5.75" customHeight="1">
      <c r="A20" s="1" t="str">
        <f>IF(AND(B20&lt;&gt;"", C20=TRUE, E20=Report!$B$1), B20, "")</f>
        <v/>
      </c>
      <c r="B20" s="182" t="str">
        <f>IF(OR(E20=Report!$B$1, F20=Report!$B$1, G20=Report!$B$1, H20=Report!$B$1), D20, "")</f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80"/>
      <c r="W20" s="180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15.75" customHeight="1">
      <c r="A21" s="1" t="str">
        <f>IF(AND(B21&lt;&gt;"", C21=TRUE, E21=Report!$B$1), B21, "")</f>
        <v/>
      </c>
      <c r="B21" s="182" t="str">
        <f>IF(OR(E21=Report!$B$1, F21=Report!$B$1, G21=Report!$B$1, H21=Report!$B$1), D21, "")</f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80"/>
      <c r="W21" s="180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5.75" customHeight="1">
      <c r="A22" s="1" t="str">
        <f>IF(AND(B22&lt;&gt;"", C22=TRUE, E22=Report!$B$1), B22, "")</f>
        <v/>
      </c>
      <c r="B22" s="182" t="str">
        <f>IF(OR(E22=Report!$B$1, F22=Report!$B$1, G22=Report!$B$1, H22=Report!$B$1), D22, "")</f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80"/>
      <c r="W22" s="180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5.75" customHeight="1">
      <c r="A23" s="1" t="str">
        <f>IF(AND(B23&lt;&gt;"", C23=TRUE, E23=Report!$B$1), B23, "")</f>
        <v/>
      </c>
      <c r="B23" s="182" t="str">
        <f>IF(OR(E23=Report!$B$1, F23=Report!$B$1, G23=Report!$B$1, H23=Report!$B$1), D23, "")</f>
        <v/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80"/>
      <c r="W23" s="180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5.75" customHeight="1">
      <c r="A24" s="1" t="str">
        <f>IF(AND(B24&lt;&gt;"", C24=TRUE, E24=Report!$B$1), B24, "")</f>
        <v/>
      </c>
      <c r="B24" s="182" t="str">
        <f>IF(OR(E24=Report!$B$1, F24=Report!$B$1, G24=Report!$B$1, H24=Report!$B$1), D24, "")</f>
        <v/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80"/>
      <c r="W24" s="180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5.75" customHeight="1">
      <c r="A25" s="1" t="str">
        <f>IF(AND(B25&lt;&gt;"", C25=TRUE, E25=Report!$B$1), B25, "")</f>
        <v/>
      </c>
      <c r="B25" s="182" t="str">
        <f>IF(OR(E25=Report!$B$1, F25=Report!$B$1, G25=Report!$B$1, H25=Report!$B$1), D25, "")</f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80"/>
      <c r="W25" s="180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5.75" customHeight="1">
      <c r="A26" s="1" t="str">
        <f>IF(AND(B26&lt;&gt;"", C26=TRUE, E26=Report!$B$1), B26, "")</f>
        <v/>
      </c>
      <c r="B26" s="182" t="str">
        <f>IF(OR(E26=Report!$B$1, F26=Report!$B$1, G26=Report!$B$1, H26=Report!$B$1), D26, "")</f>
        <v/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80"/>
      <c r="W26" s="180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5.75" customHeight="1">
      <c r="A27" s="1" t="str">
        <f>IF(AND(B27&lt;&gt;"", C27=TRUE, E27=Report!$B$1), B27, "")</f>
        <v/>
      </c>
      <c r="B27" s="182" t="str">
        <f>IF(OR(E27=Report!$B$1, F27=Report!$B$1, G27=Report!$B$1, H27=Report!$B$1), D27, "")</f>
        <v/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80"/>
      <c r="W27" s="180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5.75" customHeight="1">
      <c r="A28" s="1" t="str">
        <f>IF(AND(B28&lt;&gt;"", C28=TRUE, E28=Report!$B$1), B28, "")</f>
        <v/>
      </c>
      <c r="B28" s="182" t="str">
        <f>IF(OR(E28=Report!$B$1, F28=Report!$B$1, G28=Report!$B$1, H28=Report!$B$1), D28, "")</f>
        <v/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80"/>
      <c r="W28" s="180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5.75" customHeight="1">
      <c r="A29" s="1" t="str">
        <f>IF(AND(B29&lt;&gt;"", C29=TRUE, E29=Report!$B$1), B29, "")</f>
        <v/>
      </c>
      <c r="B29" s="182" t="str">
        <f>IF(OR(E29=Report!$B$1, F29=Report!$B$1, G29=Report!$B$1, H29=Report!$B$1), D29, "")</f>
        <v/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80"/>
      <c r="W29" s="180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5.75" customHeight="1">
      <c r="A30" s="1" t="str">
        <f>IF(AND(B30&lt;&gt;"", C30=TRUE, E30=Report!$B$1), B30, "")</f>
        <v/>
      </c>
      <c r="B30" s="182" t="str">
        <f>IF(OR(E30=Report!$B$1, F30=Report!$B$1, G30=Report!$B$1, H30=Report!$B$1), D30, "")</f>
        <v/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80"/>
      <c r="W30" s="180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5.75" customHeight="1">
      <c r="A31" s="1" t="str">
        <f>IF(AND(B31&lt;&gt;"", C31=TRUE, E31=Report!$B$1), B31, "")</f>
        <v/>
      </c>
      <c r="B31" s="182" t="str">
        <f>IF(OR(E31=Report!$B$1, F31=Report!$B$1, G31=Report!$B$1, H31=Report!$B$1), D31, "")</f>
        <v/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80"/>
      <c r="W31" s="180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 t="str">
        <f>IF(AND(B32&lt;&gt;"", C32=TRUE, E32=Report!$B$1), B32, "")</f>
        <v/>
      </c>
      <c r="B32" s="182" t="str">
        <f>IF(OR(E32=Report!$B$1, F32=Report!$B$1, G32=Report!$B$1, H32=Report!$B$1), D32, "")</f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80"/>
      <c r="W32" s="180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 t="str">
        <f>IF(AND(B33&lt;&gt;"", C33=TRUE, E33=Report!$B$1), B33, "")</f>
        <v/>
      </c>
      <c r="B33" s="182" t="str">
        <f>IF(OR(E33=Report!$B$1, F33=Report!$B$1, G33=Report!$B$1, H33=Report!$B$1), D33, "")</f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80"/>
      <c r="W33" s="180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 t="str">
        <f>IF(AND(B34&lt;&gt;"", C34=TRUE, E34=Report!$B$1), B34, "")</f>
        <v/>
      </c>
      <c r="B34" s="182" t="str">
        <f>IF(OR(E34=Report!$B$1, F34=Report!$B$1, G34=Report!$B$1, H34=Report!$B$1), D34, "")</f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80"/>
      <c r="W34" s="180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 t="str">
        <f>IF(AND(B35&lt;&gt;"", C35=TRUE, E35=Report!$B$1), B35, "")</f>
        <v/>
      </c>
      <c r="B35" s="182" t="str">
        <f>IF(OR(E35=Report!$B$1, F35=Report!$B$1, G35=Report!$B$1, H35=Report!$B$1), D35, "")</f>
        <v/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80"/>
      <c r="W35" s="180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 t="str">
        <f>IF(AND(B36&lt;&gt;"", C36=TRUE, E36=Report!$B$1), B36, "")</f>
        <v/>
      </c>
      <c r="B36" s="182" t="str">
        <f>IF(OR(E36=Report!$B$1, F36=Report!$B$1, G36=Report!$B$1, H36=Report!$B$1), D36, "")</f>
        <v/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80"/>
      <c r="W36" s="180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 t="str">
        <f>IF(AND(B37&lt;&gt;"", C37=TRUE, E37=Report!$B$1), B37, "")</f>
        <v/>
      </c>
      <c r="B37" s="182" t="str">
        <f>IF(OR(E37=Report!$B$1, F37=Report!$B$1, G37=Report!$B$1, H37=Report!$B$1), D37, "")</f>
        <v/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80"/>
      <c r="W37" s="180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 t="str">
        <f>IF(AND(B38&lt;&gt;"", C38=TRUE, E38=Report!$B$1), B38, "")</f>
        <v/>
      </c>
      <c r="B38" s="182" t="str">
        <f>IF(OR(E38=Report!$B$1, F38=Report!$B$1, G38=Report!$B$1, H38=Report!$B$1), D38, "")</f>
        <v/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80"/>
      <c r="W38" s="180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 t="str">
        <f>IF(AND(B39&lt;&gt;"", C39=TRUE, E39=Report!$B$1), B39, "")</f>
        <v/>
      </c>
      <c r="B39" s="182" t="str">
        <f>IF(OR(E39=Report!$B$1, F39=Report!$B$1, G39=Report!$B$1, H39=Report!$B$1), D39, "")</f>
        <v/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80"/>
      <c r="W39" s="180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 t="str">
        <f>IF(AND(B40&lt;&gt;"", C40=TRUE, E40=Report!$B$1), B40, "")</f>
        <v/>
      </c>
      <c r="B40" s="182" t="str">
        <f>IF(OR(E40=Report!$B$1, F40=Report!$B$1, G40=Report!$B$1, H40=Report!$B$1), D40, "")</f>
        <v/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80"/>
      <c r="W40" s="180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 t="str">
        <f>IF(AND(B41&lt;&gt;"", C41=TRUE, E41=Report!$B$1), B41, "")</f>
        <v/>
      </c>
      <c r="B41" s="182" t="str">
        <f>IF(OR(E41=Report!$B$1, F41=Report!$B$1, G41=Report!$B$1, H41=Report!$B$1), D41, "")</f>
        <v/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80"/>
      <c r="W41" s="180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 t="str">
        <f>IF(AND(B42&lt;&gt;"", C42=TRUE, E42=Report!$B$1), B42, "")</f>
        <v/>
      </c>
      <c r="B42" s="182" t="str">
        <f>IF(OR(E42=Report!$B$1, F42=Report!$B$1, G42=Report!$B$1, H42=Report!$B$1), D42, "")</f>
        <v/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80"/>
      <c r="W42" s="180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 t="str">
        <f>IF(AND(B43&lt;&gt;"", C43=TRUE, E43=Report!$B$1), B43, "")</f>
        <v/>
      </c>
      <c r="B43" s="182" t="str">
        <f>IF(OR(E43=Report!$B$1, F43=Report!$B$1, G43=Report!$B$1, H43=Report!$B$1), D43, "")</f>
        <v/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80"/>
      <c r="W43" s="180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83" t="str">
        <f>IF(OR(E44=Report!$B$1, F44=Report!$B$1, G44=Report!$B$1, H44=Report!$B$1), D44, "")</f>
        <v/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80"/>
      <c r="W44" s="180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83" t="str">
        <f>IF(OR(E45=Report!$B$1, F45=Report!$B$1, G45=Report!$B$1, H45=Report!$B$1), D45, "")</f>
        <v/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80"/>
      <c r="W45" s="180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83" t="str">
        <f>IF(OR(E46=Report!$B$1, F46=Report!$B$1, G46=Report!$B$1, H46=Report!$B$1), D46, "")</f>
        <v/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80"/>
      <c r="W46" s="180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83" t="str">
        <f>IF(OR(E47=Report!$B$1, F47=Report!$B$1, G47=Report!$B$1, H47=Report!$B$1), D47, "")</f>
        <v/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80"/>
      <c r="W47" s="180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83" t="str">
        <f>IF(OR(E48=Report!$B$1, F48=Report!$B$1, G48=Report!$B$1, H48=Report!$B$1), D48, "")</f>
        <v/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80"/>
      <c r="W48" s="180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83" t="str">
        <f>IF(OR(E49=Report!$B$1, F49=Report!$B$1, G49=Report!$B$1, H49=Report!$B$1), D49, "")</f>
        <v/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80"/>
      <c r="W49" s="180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83" t="str">
        <f>IF(OR(E50=Report!$B$1, F50=Report!$B$1, G50=Report!$B$1, H50=Report!$B$1), D50, "")</f>
        <v/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80"/>
      <c r="W50" s="180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83" t="str">
        <f>IF(OR(E51=Report!$B$1, F51=Report!$B$1, G51=Report!$B$1, H51=Report!$B$1), D51, "")</f>
        <v/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80"/>
      <c r="W51" s="180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83" t="str">
        <f>IF(OR(E52=Report!$B$1, F52=Report!$B$1, G52=Report!$B$1, H52=Report!$B$1), D52, "")</f>
        <v/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80"/>
      <c r="W52" s="180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83" t="str">
        <f>IF(OR(E53=Report!$B$1, F53=Report!$B$1, G53=Report!$B$1, H53=Report!$B$1), D53, "")</f>
        <v/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80"/>
      <c r="W53" s="180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83" t="str">
        <f>IF(OR(E54=Report!$B$1, F54=Report!$B$1, G54=Report!$B$1, H54=Report!$B$1), D54, "")</f>
        <v/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80"/>
      <c r="W54" s="180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83" t="str">
        <f>IF(OR(E55=Report!$B$1, F55=Report!$B$1, G55=Report!$B$1, H55=Report!$B$1), D55, "")</f>
        <v/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80"/>
      <c r="W55" s="180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83" t="str">
        <f>IF(OR(E56=Report!$B$1, F56=Report!$B$1, G56=Report!$B$1, H56=Report!$B$1), D56, "")</f>
        <v/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80"/>
      <c r="W56" s="180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83" t="str">
        <f>IF(OR(E57=Report!$B$1, F57=Report!$B$1, G57=Report!$B$1, H57=Report!$B$1), D57, "")</f>
        <v/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80"/>
      <c r="W57" s="180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83" t="str">
        <f>IF(OR(E58=Report!$B$1, F58=Report!$B$1, G58=Report!$B$1, H58=Report!$B$1), D58, "")</f>
        <v/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80"/>
      <c r="W58" s="180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83" t="str">
        <f>IF(OR(E59=Report!$B$1, F59=Report!$B$1, G59=Report!$B$1, H59=Report!$B$1), D59, "")</f>
        <v/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80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83" t="str">
        <f>IF(OR(E60=Report!$B$1, F60=Report!$B$1, G60=Report!$B$1, H60=Report!$B$1), D60, "")</f>
        <v/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80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82" t="str">
        <f>IF(OR(E61=Report!$B$1, F61=Report!$B$1, G61=Report!$B$1, H61=Report!$B$1), D61, "")</f>
        <v/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80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82" t="str">
        <f>IF(OR(E62=Report!$B$1, F62=Report!$B$1, G62=Report!$B$1, H62=Report!$B$1), D62, "")</f>
        <v/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80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82" t="str">
        <f>IF(OR(E63=Report!$B$1, F63=Report!$B$1, G63=Report!$B$1, H63=Report!$B$1), D63, "")</f>
        <v/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80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82" t="str">
        <f>IF(OR(E64=Report!$B$1, F64=Report!$B$1, G64=Report!$B$1, H64=Report!$B$1), D64, "")</f>
        <v/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80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82" t="str">
        <f>IF(OR(E65=Report!$B$1, F65=Report!$B$1, G65=Report!$B$1, H65=Report!$B$1), D65, "")</f>
        <v/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80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82" t="str">
        <f>IF(OR(E66=Report!$B$1, F66=Report!$B$1, G66=Report!$B$1, H66=Report!$B$1), D66, "")</f>
        <v/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80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82" t="str">
        <f>IF(OR(E67=Report!$B$1, F67=Report!$B$1, G67=Report!$B$1, H67=Report!$B$1), D67, "")</f>
        <v/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80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82" t="str">
        <f>IF(OR(E68=Report!$B$1, F68=Report!$B$1, G68=Report!$B$1, H68=Report!$B$1), D68, "")</f>
        <v/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80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82" t="str">
        <f>IF(OR(E69=Report!$B$1, F69=Report!$B$1, G69=Report!$B$1, H69=Report!$B$1), D69, "")</f>
        <v/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80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82" t="str">
        <f>IF(OR(E70=Report!$B$1, F70=Report!$B$1, G70=Report!$B$1, H70=Report!$B$1), D70, "")</f>
        <v/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80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82" t="str">
        <f>IF(OR(E71=Report!$B$1, F71=Report!$B$1, G71=Report!$B$1, H71=Report!$B$1), D71, "")</f>
        <v/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80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82" t="str">
        <f>IF(OR(E72=Report!$B$1, F72=Report!$B$1, G72=Report!$B$1, H72=Report!$B$1), D72, "")</f>
        <v/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80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82" t="str">
        <f>IF(OR(E73=Report!$B$1, F73=Report!$B$1, G73=Report!$B$1, H73=Report!$B$1), D73, "")</f>
        <v/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80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82" t="str">
        <f>IF(OR(E74=Report!$B$1, F74=Report!$B$1, G74=Report!$B$1, H74=Report!$B$1), D74, "")</f>
        <v/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80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82" t="str">
        <f>IF(OR(E75=Report!$B$1, F75=Report!$B$1, G75=Report!$B$1, H75=Report!$B$1), D75, "")</f>
        <v/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80"/>
      <c r="W75" s="180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82" t="str">
        <f>IF(OR(E76=Report!$B$1, F76=Report!$B$1, G76=Report!$B$1, H76=Report!$B$1), D76, "")</f>
        <v/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80"/>
      <c r="W76" s="180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82" t="str">
        <f>IF(OR(E77=Report!$B$1, F77=Report!$B$1, G77=Report!$B$1, H77=Report!$B$1), D77, "")</f>
        <v/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80"/>
      <c r="W77" s="180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82" t="str">
        <f>IF(OR(E78=Report!$B$1, F78=Report!$B$1, G78=Report!$B$1, H78=Report!$B$1), D78, "")</f>
        <v/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80"/>
      <c r="W78" s="180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82" t="str">
        <f>IF(OR(E79=Report!$B$1, F79=Report!$B$1, G79=Report!$B$1, H79=Report!$B$1), D79, "")</f>
        <v/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80"/>
      <c r="W79" s="180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82" t="str">
        <f>IF(OR(E80=Report!$B$1, F80=Report!$B$1, G80=Report!$B$1, H80=Report!$B$1), D80, "")</f>
        <v/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80"/>
      <c r="W80" s="180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82" t="str">
        <f>IF(OR(E81=Report!$B$1, F81=Report!$B$1, G81=Report!$B$1, H81=Report!$B$1), D81, "")</f>
        <v/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80"/>
      <c r="W81" s="180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82" t="str">
        <f>IF(OR(E82=Report!$B$1, F82=Report!$B$1, G82=Report!$B$1, H82=Report!$B$1), D82, "")</f>
        <v/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80"/>
      <c r="W82" s="180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82" t="str">
        <f>IF(OR(E83=Report!$B$1, F83=Report!$B$1, G83=Report!$B$1, H83=Report!$B$1), D83, "")</f>
        <v/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80"/>
      <c r="W83" s="180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82" t="str">
        <f>IF(OR(E84=Report!$B$1, F84=Report!$B$1, G84=Report!$B$1, H84=Report!$B$1), D84, "")</f>
        <v/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80"/>
      <c r="W84" s="180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82" t="str">
        <f>IF(OR(E85=Report!$B$1, F85=Report!$B$1, G85=Report!$B$1, H85=Report!$B$1), D85, "")</f>
        <v/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80"/>
      <c r="W85" s="180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82" t="str">
        <f>IF(OR(E86=Report!$B$1, F86=Report!$B$1, G86=Report!$B$1, H86=Report!$B$1), D86, "")</f>
        <v/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80"/>
      <c r="W86" s="180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82" t="str">
        <f>IF(OR(E87=Report!$B$1, F87=Report!$B$1, G87=Report!$B$1, H87=Report!$B$1), D87, "")</f>
        <v/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80"/>
      <c r="W87" s="180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82" t="str">
        <f>IF(OR(E88=Report!$B$1, F88=Report!$B$1, G88=Report!$B$1, H88=Report!$B$1), D88, "")</f>
        <v/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80"/>
      <c r="W88" s="180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82" t="str">
        <f>IF(OR(E89=Report!$B$1, F89=Report!$B$1, G89=Report!$B$1, H89=Report!$B$1), D89, "")</f>
        <v/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80"/>
      <c r="W89" s="180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82" t="str">
        <f>IF(OR(E90=Report!$B$1, F90=Report!$B$1, G90=Report!$B$1, H90=Report!$B$1), D90, "")</f>
        <v/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80"/>
      <c r="W90" s="180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82" t="str">
        <f>IF(OR(E91=Report!$B$1, F91=Report!$B$1, G91=Report!$B$1, H91=Report!$B$1), D91, "")</f>
        <v/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80"/>
      <c r="W91" s="180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82" t="str">
        <f>IF(OR(E92=Report!$B$1, F92=Report!$B$1, G92=Report!$B$1, H92=Report!$B$1), D92, "")</f>
        <v/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80"/>
      <c r="W92" s="180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82" t="str">
        <f>IF(OR(E93=Report!$B$1, F93=Report!$B$1, G93=Report!$B$1, H93=Report!$B$1), D93, "")</f>
        <v/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80"/>
      <c r="W93" s="180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82" t="str">
        <f>IF(OR(E94=Report!$B$1, F94=Report!$B$1, G94=Report!$B$1, H94=Report!$B$1), D94, "")</f>
        <v/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80"/>
      <c r="W94" s="180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82" t="str">
        <f>IF(OR(E95=Report!$B$1, F95=Report!$B$1, G95=Report!$B$1, H95=Report!$B$1), D95, "")</f>
        <v/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80"/>
      <c r="W95" s="180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82" t="str">
        <f>IF(OR(E96=Report!$B$1, F96=Report!$B$1, G96=Report!$B$1, H96=Report!$B$1), D96, "")</f>
        <v/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80"/>
      <c r="W96" s="180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82" t="str">
        <f>IF(OR(E97=Report!$B$1, F97=Report!$B$1, G97=Report!$B$1, H97=Report!$B$1), D97, "")</f>
        <v/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80"/>
      <c r="W97" s="180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82" t="str">
        <f>IF(OR(E98=Report!$B$1, F98=Report!$B$1, G98=Report!$B$1, H98=Report!$B$1), D98, "")</f>
        <v/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80"/>
      <c r="W98" s="180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82" t="str">
        <f>IF(OR(E99=Report!$B$1, F99=Report!$B$1, G99=Report!$B$1, H99=Report!$B$1), D99, "")</f>
        <v/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80"/>
      <c r="W99" s="180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82" t="str">
        <f>IF(OR(E100=Report!$B$1, F100=Report!$B$1, G100=Report!$B$1, H100=Report!$B$1), D100, "")</f>
        <v/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80"/>
      <c r="W100" s="180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82" t="str">
        <f>IF(OR(E101=Report!$B$1, F101=Report!$B$1, G101=Report!$B$1, H101=Report!$B$1), D101, "")</f>
        <v/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80"/>
      <c r="W101" s="180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82" t="str">
        <f>IF(OR(E102=Report!$B$1, F102=Report!$B$1, G102=Report!$B$1, H102=Report!$B$1), D102, "")</f>
        <v/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80"/>
      <c r="W102" s="180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82" t="str">
        <f>IF(OR(E103=Report!$B$1, F103=Report!$B$1, G103=Report!$B$1, H103=Report!$B$1), D103, "")</f>
        <v/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80"/>
      <c r="W103" s="180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82" t="str">
        <f>IF(OR(E104=Report!$B$1, F104=Report!$B$1, G104=Report!$B$1, H104=Report!$B$1), D104, "")</f>
        <v/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80"/>
      <c r="W104" s="180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82" t="str">
        <f>IF(OR(E105=Report!$B$1, F105=Report!$B$1, G105=Report!$B$1, H105=Report!$B$1), D105, "")</f>
        <v/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80"/>
      <c r="W105" s="180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82" t="str">
        <f>IF(OR(E106=Report!$B$1, F106=Report!$B$1, G106=Report!$B$1, H106=Report!$B$1), D106, "")</f>
        <v/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80"/>
      <c r="W106" s="180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82" t="str">
        <f>IF(OR(E107=Report!$B$1, F107=Report!$B$1, G107=Report!$B$1, H107=Report!$B$1), D107, "")</f>
        <v/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80"/>
      <c r="W107" s="180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82" t="str">
        <f>IF(OR(E108=Report!$B$1, F108=Report!$B$1, G108=Report!$B$1, H108=Report!$B$1), D108, "")</f>
        <v/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80"/>
      <c r="W108" s="180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82" t="str">
        <f>IF(OR(E109=Report!$B$1, F109=Report!$B$1, G109=Report!$B$1, H109=Report!$B$1), D109, "")</f>
        <v/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80"/>
      <c r="W109" s="180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82" t="str">
        <f>IF(OR(E110=Report!$B$1, F110=Report!$B$1, G110=Report!$B$1, H110=Report!$B$1), D110, "")</f>
        <v/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80"/>
      <c r="W110" s="180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82" t="str">
        <f>IF(OR(E111=Report!$B$1, F111=Report!$B$1, G111=Report!$B$1, H111=Report!$B$1), D111, "")</f>
        <v/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80"/>
      <c r="W111" s="180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82" t="str">
        <f>IF(OR(E112=Report!$B$1, F112=Report!$B$1, G112=Report!$B$1, H112=Report!$B$1), D112, "")</f>
        <v/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80"/>
      <c r="W112" s="180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82" t="str">
        <f>IF(OR(E113=Report!$B$1, F113=Report!$B$1, G113=Report!$B$1, H113=Report!$B$1), D113, "")</f>
        <v/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80"/>
      <c r="W113" s="180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82" t="str">
        <f>IF(OR(E114=Report!$B$1, F114=Report!$B$1, G114=Report!$B$1, H114=Report!$B$1), D114, "")</f>
        <v/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80"/>
      <c r="W114" s="180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82" t="str">
        <f>IF(OR(E115=Report!$B$1, F115=Report!$B$1, G115=Report!$B$1, H115=Report!$B$1), D115, "")</f>
        <v/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80"/>
      <c r="W115" s="180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82" t="str">
        <f>IF(OR(E116=Report!$B$1, F116=Report!$B$1, G116=Report!$B$1, H116=Report!$B$1), D116, "")</f>
        <v/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80"/>
      <c r="W116" s="180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82" t="str">
        <f>IF(OR(E117=Report!$B$1, F117=Report!$B$1, G117=Report!$B$1, H117=Report!$B$1), D117, "")</f>
        <v/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80"/>
      <c r="W117" s="180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82" t="str">
        <f>IF(OR(E118=Report!$B$1, F118=Report!$B$1, G118=Report!$B$1, H118=Report!$B$1), D118, "")</f>
        <v/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80"/>
      <c r="W118" s="180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82" t="str">
        <f>IF(OR(E119=Report!$B$1, F119=Report!$B$1, G119=Report!$B$1, H119=Report!$B$1), D119, "")</f>
        <v/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80"/>
      <c r="W119" s="180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82" t="str">
        <f>IF(OR(E120=Report!$B$1, F120=Report!$B$1, G120=Report!$B$1, H120=Report!$B$1), D120, "")</f>
        <v/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80"/>
      <c r="W120" s="180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82" t="str">
        <f>IF(OR(E121=Report!$B$1, F121=Report!$B$1, G121=Report!$B$1, H121=Report!$B$1), D121, "")</f>
        <v/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80"/>
      <c r="W121" s="180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82" t="str">
        <f>IF(OR(E122=Report!$B$1, F122=Report!$B$1, G122=Report!$B$1, H122=Report!$B$1), D122, "")</f>
        <v/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80"/>
      <c r="W122" s="180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82" t="str">
        <f>IF(OR(E123=Report!$B$1, F123=Report!$B$1, G123=Report!$B$1, H123=Report!$B$1), D123, "")</f>
        <v/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80"/>
      <c r="W123" s="180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82" t="str">
        <f>IF(OR(E124=Report!$B$1, F124=Report!$B$1, G124=Report!$B$1, H124=Report!$B$1), D124, "")</f>
        <v/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80"/>
      <c r="W124" s="180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82" t="str">
        <f>IF(OR(E125=Report!$B$1, F125=Report!$B$1, G125=Report!$B$1, H125=Report!$B$1), D125, "")</f>
        <v/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80"/>
      <c r="W125" s="180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82" t="str">
        <f>IF(OR(E126=Report!$B$1, F126=Report!$B$1, G126=Report!$B$1, H126=Report!$B$1), D126, "")</f>
        <v/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80"/>
      <c r="W126" s="180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82" t="str">
        <f>IF(OR(E127=Report!$B$1, F127=Report!$B$1, G127=Report!$B$1, H127=Report!$B$1), D127, "")</f>
        <v/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80"/>
      <c r="W127" s="180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82" t="str">
        <f>IF(OR(E128=Report!$B$1, F128=Report!$B$1, G128=Report!$B$1, H128=Report!$B$1), D128, "")</f>
        <v/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80"/>
      <c r="W128" s="180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82" t="str">
        <f>IF(OR(E129=Report!$B$1, F129=Report!$B$1, G129=Report!$B$1, H129=Report!$B$1), D129, "")</f>
        <v/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80"/>
      <c r="W129" s="180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82" t="str">
        <f>IF(OR(E130=Report!$B$1, F130=Report!$B$1, G130=Report!$B$1, H130=Report!$B$1), D130, "")</f>
        <v/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80"/>
      <c r="W130" s="180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82" t="str">
        <f>IF(OR(E131=Report!$B$1, F131=Report!$B$1, G131=Report!$B$1, H131=Report!$B$1), D131, "")</f>
        <v/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80"/>
      <c r="W131" s="180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82" t="str">
        <f>IF(OR(E132=Report!$B$1, F132=Report!$B$1, G132=Report!$B$1, H132=Report!$B$1), D132, "")</f>
        <v/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80"/>
      <c r="W132" s="180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82" t="str">
        <f>IF(OR(E133=Report!$B$1, F133=Report!$B$1, G133=Report!$B$1, H133=Report!$B$1), D133, "")</f>
        <v/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80"/>
      <c r="W133" s="180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82" t="str">
        <f>IF(OR(E134=Report!$B$1, F134=Report!$B$1, G134=Report!$B$1, H134=Report!$B$1), D134, "")</f>
        <v/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80"/>
      <c r="W134" s="180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82" t="str">
        <f>IF(OR(E135=Report!$B$1, F135=Report!$B$1, G135=Report!$B$1, H135=Report!$B$1), D135, "")</f>
        <v/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80"/>
      <c r="W135" s="180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82" t="str">
        <f>IF(OR(E136=Report!$B$1, F136=Report!$B$1, G136=Report!$B$1, H136=Report!$B$1), D136, "")</f>
        <v/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80"/>
      <c r="W136" s="180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82" t="str">
        <f>IF(OR(E137=Report!$B$1, F137=Report!$B$1, G137=Report!$B$1, H137=Report!$B$1), D137, "")</f>
        <v/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80"/>
      <c r="W137" s="180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82" t="str">
        <f>IF(OR(E138=Report!$B$1, F138=Report!$B$1, G138=Report!$B$1, H138=Report!$B$1), D138, "")</f>
        <v/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80"/>
      <c r="W138" s="180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82" t="str">
        <f>IF(OR(E139=Report!$B$1, F139=Report!$B$1, G139=Report!$B$1, H139=Report!$B$1), D139, "")</f>
        <v/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80"/>
      <c r="W139" s="180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82" t="str">
        <f>IF(OR(E140=Report!$B$1, F140=Report!$B$1, G140=Report!$B$1, H140=Report!$B$1), D140, "")</f>
        <v/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80"/>
      <c r="W140" s="180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82" t="str">
        <f>IF(OR(E141=Report!$B$1, F141=Report!$B$1, G141=Report!$B$1, H141=Report!$B$1), D141, "")</f>
        <v/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80"/>
      <c r="W141" s="180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82" t="str">
        <f>IF(OR(E142=Report!$B$1, F142=Report!$B$1, G142=Report!$B$1, H142=Report!$B$1), D142, "")</f>
        <v/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80"/>
      <c r="W142" s="180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82" t="str">
        <f>IF(OR(E143=Report!$B$1, F143=Report!$B$1, G143=Report!$B$1, H143=Report!$B$1), D143, "")</f>
        <v/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80"/>
      <c r="W143" s="180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82" t="str">
        <f>IF(OR(E144=Report!$B$1, F144=Report!$B$1, G144=Report!$B$1, H144=Report!$B$1), D144, "")</f>
        <v/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80"/>
      <c r="W144" s="180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82" t="str">
        <f>IF(OR(E145=Report!$B$1, F145=Report!$B$1, G145=Report!$B$1, H145=Report!$B$1), D145, "")</f>
        <v/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80"/>
      <c r="W145" s="180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82" t="str">
        <f>IF(OR(E146=Report!$B$1, F146=Report!$B$1, G146=Report!$B$1, H146=Report!$B$1), D146, "")</f>
        <v/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80"/>
      <c r="W146" s="180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82" t="str">
        <f>IF(OR(E147=Report!$B$1, F147=Report!$B$1, G147=Report!$B$1, H147=Report!$B$1), D147, "")</f>
        <v/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80"/>
      <c r="W147" s="180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82" t="str">
        <f>IF(OR(E148=Report!$B$1, F148=Report!$B$1, G148=Report!$B$1, H148=Report!$B$1), D148, "")</f>
        <v/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80"/>
      <c r="W148" s="180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82" t="str">
        <f>IF(OR(E149=Report!$B$1, F149=Report!$B$1, G149=Report!$B$1, H149=Report!$B$1), D149, "")</f>
        <v/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80"/>
      <c r="W149" s="180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82" t="str">
        <f>IF(OR(E150=Report!$B$1, F150=Report!$B$1, G150=Report!$B$1, H150=Report!$B$1), D150, "")</f>
        <v/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80"/>
      <c r="W150" s="180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82" t="str">
        <f>IF(OR(E151=Report!$B$1, F151=Report!$B$1, G151=Report!$B$1, H151=Report!$B$1), D151, "")</f>
        <v/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80"/>
      <c r="W151" s="180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82" t="str">
        <f>IF(OR(E152=Report!$B$1, F152=Report!$B$1, G152=Report!$B$1, H152=Report!$B$1), D152, "")</f>
        <v/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80"/>
      <c r="W152" s="180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82" t="str">
        <f>IF(OR(E153=Report!$B$1, F153=Report!$B$1, G153=Report!$B$1, H153=Report!$B$1), D153, "")</f>
        <v/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80"/>
      <c r="W153" s="180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82" t="str">
        <f>IF(OR(E154=Report!$B$1, F154=Report!$B$1, G154=Report!$B$1, H154=Report!$B$1), D154, "")</f>
        <v/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80"/>
      <c r="W154" s="180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82" t="str">
        <f>IF(OR(E155=Report!$B$1, F155=Report!$B$1, G155=Report!$B$1, H155=Report!$B$1), D155, "")</f>
        <v/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80"/>
      <c r="W155" s="180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82" t="str">
        <f>IF(OR(E156=Report!$B$1, F156=Report!$B$1, G156=Report!$B$1, H156=Report!$B$1), D156, "")</f>
        <v/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80"/>
      <c r="W156" s="180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82" t="str">
        <f>IF(OR(E157=Report!$B$1, F157=Report!$B$1, G157=Report!$B$1, H157=Report!$B$1), D157, "")</f>
        <v/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80"/>
      <c r="W157" s="180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82" t="str">
        <f>IF(OR(E158=Report!$B$1, F158=Report!$B$1, G158=Report!$B$1, H158=Report!$B$1), D158, "")</f>
        <v/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80"/>
      <c r="W158" s="180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82" t="str">
        <f>IF(OR(E159=Report!$B$1, F159=Report!$B$1, G159=Report!$B$1, H159=Report!$B$1), D159, "")</f>
        <v/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80"/>
      <c r="W159" s="180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82" t="str">
        <f>IF(OR(E160=Report!$B$1, F160=Report!$B$1, G160=Report!$B$1, H160=Report!$B$1), D160, "")</f>
        <v/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80"/>
      <c r="W160" s="180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82" t="str">
        <f>IF(OR(E161=Report!$B$1, F161=Report!$B$1, G161=Report!$B$1, H161=Report!$B$1), D161, "")</f>
        <v/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80"/>
      <c r="W161" s="180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82" t="str">
        <f>IF(OR(E162=Report!$B$1, F162=Report!$B$1, G162=Report!$B$1, H162=Report!$B$1), D162, "")</f>
        <v/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80"/>
      <c r="W162" s="180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82" t="str">
        <f>IF(OR(E163=Report!$B$1, F163=Report!$B$1, G163=Report!$B$1, H163=Report!$B$1), D163, "")</f>
        <v/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80"/>
      <c r="W163" s="180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82" t="str">
        <f>IF(OR(E164=Report!$B$1, F164=Report!$B$1, G164=Report!$B$1, H164=Report!$B$1), D164, "")</f>
        <v/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80"/>
      <c r="W164" s="180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82" t="str">
        <f>IF(OR(E165=Report!$B$1, F165=Report!$B$1, G165=Report!$B$1, H165=Report!$B$1), D165, "")</f>
        <v/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80"/>
      <c r="W165" s="180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82" t="str">
        <f>IF(OR(E166=Report!$B$1, F166=Report!$B$1, G166=Report!$B$1, H166=Report!$B$1), D166, "")</f>
        <v/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80"/>
      <c r="W166" s="180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82" t="str">
        <f>IF(OR(E167=Report!$B$1, F167=Report!$B$1, G167=Report!$B$1, H167=Report!$B$1), D167, "")</f>
        <v/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80"/>
      <c r="W167" s="180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82" t="str">
        <f>IF(OR(E168=Report!$B$1, F168=Report!$B$1, G168=Report!$B$1, H168=Report!$B$1), D168, "")</f>
        <v/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80"/>
      <c r="W168" s="180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82" t="str">
        <f>IF(OR(E169=Report!$B$1, F169=Report!$B$1, G169=Report!$B$1, H169=Report!$B$1), D169, "")</f>
        <v/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80"/>
      <c r="W169" s="180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82" t="str">
        <f>IF(OR(E170=Report!$B$1, F170=Report!$B$1, G170=Report!$B$1, H170=Report!$B$1), D170, "")</f>
        <v/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80"/>
      <c r="W170" s="180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82" t="str">
        <f>IF(OR(E171=Report!$B$1, F171=Report!$B$1, G171=Report!$B$1, H171=Report!$B$1), D171, "")</f>
        <v/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80"/>
      <c r="W171" s="180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82" t="str">
        <f>IF(OR(E172=Report!$B$1, F172=Report!$B$1, G172=Report!$B$1, H172=Report!$B$1), D172, "")</f>
        <v/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80"/>
      <c r="W172" s="180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82" t="str">
        <f>IF(OR(E173=Report!$B$1, F173=Report!$B$1, G173=Report!$B$1, H173=Report!$B$1), D173, "")</f>
        <v/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80"/>
      <c r="W173" s="180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82" t="str">
        <f>IF(OR(E174=Report!$B$1, F174=Report!$B$1, G174=Report!$B$1, H174=Report!$B$1), D174, "")</f>
        <v/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80"/>
      <c r="W174" s="180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82" t="str">
        <f>IF(OR(E175=Report!$B$1, F175=Report!$B$1, G175=Report!$B$1, H175=Report!$B$1), D175, "")</f>
        <v/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80"/>
      <c r="W175" s="180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82" t="str">
        <f>IF(OR(E176=Report!$B$1, F176=Report!$B$1, G176=Report!$B$1, H176=Report!$B$1), D176, "")</f>
        <v/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80"/>
      <c r="W176" s="180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82" t="str">
        <f>IF(OR(E177=Report!$B$1, F177=Report!$B$1, G177=Report!$B$1, H177=Report!$B$1), D177, "")</f>
        <v/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80"/>
      <c r="W177" s="180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82" t="str">
        <f>IF(OR(E178=Report!$B$1, F178=Report!$B$1, G178=Report!$B$1, H178=Report!$B$1), D178, "")</f>
        <v/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80"/>
      <c r="W178" s="180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82" t="str">
        <f>IF(OR(E179=Report!$B$1, F179=Report!$B$1, G179=Report!$B$1, H179=Report!$B$1), D179, "")</f>
        <v/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80"/>
      <c r="W179" s="180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80"/>
      <c r="W180" s="180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80"/>
      <c r="W181" s="180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80"/>
      <c r="W182" s="180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80"/>
      <c r="W183" s="180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80"/>
      <c r="W184" s="180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80"/>
      <c r="W185" s="180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80"/>
      <c r="W186" s="180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80"/>
      <c r="W187" s="180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80"/>
      <c r="W188" s="180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80"/>
      <c r="W189" s="180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80"/>
      <c r="W190" s="180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80"/>
      <c r="W191" s="180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80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80"/>
      <c r="W193" s="180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80"/>
      <c r="W194" s="180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80"/>
      <c r="W195" s="180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80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80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80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80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80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80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80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80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80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80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80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80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80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80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80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80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80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80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80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80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80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80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80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80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80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80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80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80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80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80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80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80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80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80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80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80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80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80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80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80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80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80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80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80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80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80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80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80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80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80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80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80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80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80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80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80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80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80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80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80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80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80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80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80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80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80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80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80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80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80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80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80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80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80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80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80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80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80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80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80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80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80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80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80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80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80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80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80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80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80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80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80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80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80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80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80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80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80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80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80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80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80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80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80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80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80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80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80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80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80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80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80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80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80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80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80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80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80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80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80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80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80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80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80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80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80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80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80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80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80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80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80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80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80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80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80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80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80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80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80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80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80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80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80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80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80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80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80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80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80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80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80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80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80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80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80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80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80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80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80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80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80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80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80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80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80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80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80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80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80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80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80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80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80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80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80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80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80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80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80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80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80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80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80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80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80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80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80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80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80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80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80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80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80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80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80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80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80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80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80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80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2.63"/>
    <col customWidth="1" min="3" max="6" width="18.13"/>
    <col customWidth="1" min="7" max="7" width="17.75"/>
    <col customWidth="1" min="8" max="28" width="18.13"/>
  </cols>
  <sheetData>
    <row r="1" ht="15.75" customHeight="1">
      <c r="A1" s="184" t="s">
        <v>662</v>
      </c>
      <c r="B1" s="10"/>
      <c r="C1" s="10"/>
      <c r="D1" s="10"/>
      <c r="E1" s="10"/>
      <c r="F1" s="10"/>
      <c r="G1" s="10"/>
      <c r="H1" s="11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</row>
    <row r="2" ht="15.75" customHeight="1">
      <c r="A2" s="3" t="s">
        <v>663</v>
      </c>
      <c r="B2" s="3" t="s">
        <v>664</v>
      </c>
      <c r="C2" s="3" t="s">
        <v>665</v>
      </c>
      <c r="D2" s="3" t="s">
        <v>666</v>
      </c>
      <c r="E2" s="3" t="s">
        <v>667</v>
      </c>
      <c r="F2" s="3" t="s">
        <v>668</v>
      </c>
      <c r="G2" s="3" t="s">
        <v>669</v>
      </c>
      <c r="H2" s="3" t="s">
        <v>670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11</v>
      </c>
      <c r="AB2" s="3" t="s">
        <v>12</v>
      </c>
    </row>
    <row r="3" ht="15.75" customHeight="1">
      <c r="A3" s="3" t="s">
        <v>671</v>
      </c>
      <c r="B3" s="3" t="s">
        <v>672</v>
      </c>
      <c r="C3" s="3"/>
      <c r="D3" s="3"/>
      <c r="E3" s="3" t="s">
        <v>672</v>
      </c>
      <c r="F3" s="3"/>
      <c r="G3" s="3" t="s">
        <v>673</v>
      </c>
      <c r="H3" s="3" t="s">
        <v>674</v>
      </c>
      <c r="I3" s="3"/>
      <c r="J3" s="3"/>
      <c r="K3" s="3"/>
      <c r="L3" s="3"/>
      <c r="M3" s="3"/>
      <c r="O3" s="3"/>
      <c r="P3" s="3"/>
      <c r="Q3" s="3"/>
      <c r="S3" s="3"/>
      <c r="T3" s="3"/>
      <c r="U3" s="3"/>
      <c r="V3" s="3"/>
      <c r="Y3" s="3"/>
      <c r="Z3" s="3"/>
      <c r="AB3" s="3">
        <v>0.0</v>
      </c>
    </row>
    <row r="4" ht="15.75" customHeight="1">
      <c r="A4" s="3" t="s">
        <v>675</v>
      </c>
      <c r="B4" s="3" t="s">
        <v>676</v>
      </c>
      <c r="C4" s="3" t="s">
        <v>676</v>
      </c>
      <c r="D4" s="3"/>
      <c r="E4" s="3" t="s">
        <v>677</v>
      </c>
      <c r="F4" s="3" t="s">
        <v>678</v>
      </c>
      <c r="G4" s="3"/>
      <c r="H4" s="3"/>
      <c r="I4" s="3"/>
      <c r="J4" s="3"/>
      <c r="K4" s="3"/>
      <c r="L4" s="3"/>
      <c r="M4" s="3"/>
      <c r="O4" s="3"/>
      <c r="P4" s="3"/>
      <c r="Q4" s="3"/>
      <c r="S4" s="3"/>
      <c r="T4" s="3"/>
      <c r="U4" s="3"/>
      <c r="V4" s="3"/>
      <c r="Y4" s="3"/>
      <c r="Z4" s="3"/>
      <c r="AB4" s="3">
        <v>0.0</v>
      </c>
    </row>
    <row r="5" ht="15.75" customHeight="1">
      <c r="A5" s="3" t="s">
        <v>679</v>
      </c>
      <c r="B5" s="3"/>
      <c r="C5" s="3" t="s">
        <v>672</v>
      </c>
      <c r="D5" s="3" t="s">
        <v>672</v>
      </c>
      <c r="E5" s="3"/>
      <c r="F5" s="3" t="s">
        <v>673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  <c r="U5" s="3"/>
      <c r="V5" s="3"/>
      <c r="W5" s="3"/>
      <c r="X5" s="3"/>
      <c r="Y5" s="3"/>
      <c r="Z5" s="3"/>
      <c r="AB5" s="3">
        <v>-8.0</v>
      </c>
    </row>
    <row r="6" ht="15.75" customHeight="1">
      <c r="A6" s="3" t="s">
        <v>680</v>
      </c>
      <c r="C6" s="3"/>
      <c r="D6" s="3" t="s">
        <v>677</v>
      </c>
      <c r="E6" s="3"/>
      <c r="F6" s="3" t="s">
        <v>677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S6" s="3"/>
      <c r="T6" s="3"/>
      <c r="U6" s="3"/>
      <c r="V6" s="3"/>
      <c r="W6" s="3"/>
      <c r="X6" s="3"/>
      <c r="Y6" s="3"/>
      <c r="Z6" s="3"/>
      <c r="AB6" s="3">
        <v>-9.0</v>
      </c>
    </row>
    <row r="7" ht="15.75" customHeight="1">
      <c r="A7" s="3" t="s">
        <v>681</v>
      </c>
      <c r="C7" s="3"/>
      <c r="D7" s="3" t="s">
        <v>682</v>
      </c>
      <c r="E7" s="3" t="s">
        <v>682</v>
      </c>
      <c r="G7" s="3"/>
      <c r="I7" s="3"/>
      <c r="J7" s="3"/>
      <c r="K7" s="3"/>
      <c r="L7" s="3"/>
      <c r="M7" s="3"/>
      <c r="O7" s="3"/>
      <c r="P7" s="3"/>
      <c r="Q7" s="3"/>
      <c r="T7" s="3"/>
      <c r="U7" s="3"/>
      <c r="V7" s="3"/>
      <c r="W7" s="3"/>
      <c r="X7" s="3"/>
      <c r="Y7" s="3"/>
      <c r="Z7" s="3"/>
      <c r="AB7" s="3">
        <v>-38.0</v>
      </c>
    </row>
    <row r="8" ht="15.75" customHeight="1">
      <c r="A8" s="3" t="s">
        <v>683</v>
      </c>
      <c r="D8" s="3" t="s">
        <v>684</v>
      </c>
      <c r="F8" s="3"/>
      <c r="H8" s="3" t="s">
        <v>684</v>
      </c>
      <c r="I8" s="3"/>
      <c r="J8" s="3"/>
      <c r="K8" s="3"/>
      <c r="L8" s="3"/>
      <c r="M8" s="3"/>
      <c r="N8" s="3"/>
      <c r="O8" s="3"/>
      <c r="P8" s="3"/>
      <c r="Q8" s="3"/>
      <c r="S8" s="3"/>
      <c r="T8" s="3"/>
      <c r="U8" s="3"/>
      <c r="V8" s="3"/>
      <c r="W8" s="3"/>
      <c r="X8" s="3"/>
      <c r="Y8" s="3"/>
      <c r="Z8" s="3"/>
      <c r="AB8" s="3">
        <v>-6.0</v>
      </c>
    </row>
    <row r="9" ht="15.75" customHeight="1">
      <c r="A9" s="3" t="s">
        <v>685</v>
      </c>
      <c r="D9" s="3"/>
      <c r="E9" s="3" t="s">
        <v>686</v>
      </c>
      <c r="F9" s="3" t="s">
        <v>686</v>
      </c>
      <c r="G9" s="3" t="s">
        <v>686</v>
      </c>
      <c r="H9" s="3"/>
      <c r="I9" s="3"/>
      <c r="J9" s="3"/>
      <c r="K9" s="3"/>
      <c r="L9" s="3"/>
      <c r="M9" s="3"/>
      <c r="O9" s="3"/>
      <c r="P9" s="3"/>
      <c r="Q9" s="3"/>
      <c r="S9" s="3"/>
      <c r="T9" s="3"/>
      <c r="U9" s="3"/>
      <c r="V9" s="3"/>
      <c r="W9" s="3"/>
      <c r="X9" s="3"/>
      <c r="Y9" s="3"/>
      <c r="Z9" s="3"/>
      <c r="AB9" s="3">
        <v>1.0</v>
      </c>
    </row>
    <row r="10" ht="15.75" customHeight="1">
      <c r="A10" s="3" t="s">
        <v>687</v>
      </c>
      <c r="F10" s="3"/>
      <c r="G10" s="3" t="s">
        <v>688</v>
      </c>
      <c r="H10" s="3" t="s">
        <v>689</v>
      </c>
      <c r="I10" s="3"/>
      <c r="J10" s="3"/>
      <c r="K10" s="3"/>
      <c r="L10" s="3"/>
      <c r="M10" s="3"/>
      <c r="N10" s="3"/>
      <c r="O10" s="3"/>
      <c r="P10" s="3"/>
      <c r="Q10" s="3"/>
      <c r="S10" s="3"/>
      <c r="T10" s="3"/>
      <c r="U10" s="3"/>
      <c r="V10" s="3"/>
      <c r="W10" s="3"/>
      <c r="X10" s="3"/>
      <c r="Y10" s="3"/>
      <c r="Z10" s="3"/>
      <c r="AB10" s="3">
        <v>-7.0</v>
      </c>
    </row>
    <row r="11" ht="15.75" customHeight="1">
      <c r="I11" s="3"/>
      <c r="J11" s="3"/>
      <c r="K11" s="3"/>
      <c r="L11" s="3"/>
      <c r="M11" s="3"/>
      <c r="O11" s="3"/>
      <c r="P11" s="3"/>
      <c r="Q11" s="3"/>
      <c r="S11" s="3"/>
      <c r="T11" s="3"/>
      <c r="U11" s="3"/>
      <c r="V11" s="3"/>
      <c r="W11" s="3"/>
      <c r="X11" s="3"/>
      <c r="Y11" s="3"/>
      <c r="Z11" s="3"/>
      <c r="AB11" s="3">
        <v>2.0</v>
      </c>
    </row>
    <row r="12" ht="15.75" customHeight="1">
      <c r="I12" s="3"/>
      <c r="J12" s="3"/>
      <c r="K12" s="3"/>
      <c r="L12" s="3"/>
      <c r="M12" s="3"/>
      <c r="N12" s="3"/>
      <c r="O12" s="3"/>
      <c r="P12" s="3"/>
      <c r="Q12" s="3"/>
      <c r="S12" s="3"/>
      <c r="T12" s="3"/>
      <c r="U12" s="3"/>
      <c r="V12" s="3"/>
      <c r="W12" s="3"/>
      <c r="X12" s="3"/>
      <c r="Y12" s="3"/>
      <c r="Z12" s="3"/>
      <c r="AB12" s="3">
        <v>-2.0</v>
      </c>
    </row>
    <row r="13" ht="15.75" customHeight="1">
      <c r="I13" s="3"/>
      <c r="J13" s="3"/>
      <c r="K13" s="3"/>
      <c r="L13" s="3"/>
      <c r="M13" s="3"/>
      <c r="O13" s="3"/>
      <c r="P13" s="3"/>
      <c r="Q13" s="3"/>
      <c r="S13" s="3"/>
      <c r="T13" s="3"/>
      <c r="U13" s="3"/>
      <c r="V13" s="3"/>
      <c r="W13" s="3"/>
      <c r="X13" s="3"/>
      <c r="Y13" s="3"/>
      <c r="Z13" s="3"/>
      <c r="AB13" s="3">
        <v>4.0</v>
      </c>
    </row>
    <row r="14" ht="15.75" customHeight="1">
      <c r="I14" s="3"/>
      <c r="J14" s="3"/>
      <c r="K14" s="3"/>
      <c r="L14" s="3"/>
      <c r="M14" s="3"/>
      <c r="O14" s="3"/>
      <c r="P14" s="3"/>
      <c r="Q14" s="3"/>
      <c r="S14" s="3"/>
      <c r="T14" s="3"/>
      <c r="U14" s="3"/>
      <c r="V14" s="3"/>
      <c r="W14" s="3"/>
      <c r="X14" s="3"/>
      <c r="Y14" s="3"/>
      <c r="Z14" s="3"/>
      <c r="AB14" s="3">
        <v>3.0</v>
      </c>
    </row>
    <row r="15" ht="15.75" customHeight="1">
      <c r="I15" s="3"/>
      <c r="J15" s="3"/>
      <c r="K15" s="3"/>
      <c r="L15" s="3"/>
      <c r="M15" s="3"/>
      <c r="N15" s="3"/>
      <c r="O15" s="3"/>
      <c r="P15" s="3"/>
      <c r="Q15" s="3"/>
      <c r="T15" s="3"/>
      <c r="U15" s="3"/>
      <c r="V15" s="3"/>
      <c r="W15" s="3"/>
      <c r="X15" s="3"/>
      <c r="Y15" s="3"/>
      <c r="Z15" s="3"/>
      <c r="AB15" s="3">
        <v>-8.0</v>
      </c>
    </row>
    <row r="16" ht="15.75" customHeight="1">
      <c r="I16" s="3"/>
      <c r="J16" s="3"/>
      <c r="K16" s="3"/>
      <c r="L16" s="3"/>
      <c r="M16" s="3"/>
      <c r="N16" s="3"/>
      <c r="O16" s="3"/>
      <c r="P16" s="3"/>
      <c r="Q16" s="3"/>
      <c r="T16" s="3"/>
      <c r="U16" s="3"/>
      <c r="V16" s="3"/>
      <c r="W16" s="3"/>
      <c r="X16" s="3"/>
      <c r="Y16" s="3"/>
      <c r="Z16" s="3"/>
      <c r="AB16" s="3">
        <v>-5.0</v>
      </c>
    </row>
    <row r="17" ht="15.75" customHeight="1">
      <c r="I17" s="3"/>
      <c r="J17" s="3"/>
      <c r="K17" s="3"/>
      <c r="L17" s="3"/>
      <c r="M17" s="3"/>
      <c r="N17" s="3"/>
      <c r="O17" s="3"/>
      <c r="P17" s="3"/>
      <c r="Q17" s="3"/>
      <c r="S17" s="3"/>
      <c r="T17" s="3"/>
      <c r="U17" s="3"/>
      <c r="V17" s="3"/>
      <c r="W17" s="3"/>
      <c r="X17" s="3"/>
      <c r="Y17" s="3"/>
      <c r="Z17" s="3"/>
      <c r="AB17" s="3">
        <v>-6.0</v>
      </c>
    </row>
    <row r="18" ht="15.75" customHeight="1">
      <c r="I18" s="3"/>
      <c r="J18" s="3"/>
      <c r="K18" s="3"/>
      <c r="L18" s="3"/>
      <c r="M18" s="3"/>
      <c r="O18" s="3"/>
      <c r="P18" s="3"/>
      <c r="Q18" s="3"/>
      <c r="S18" s="3"/>
      <c r="T18" s="3"/>
      <c r="U18" s="3"/>
      <c r="V18" s="3"/>
      <c r="W18" s="3"/>
      <c r="X18" s="3"/>
      <c r="Y18" s="3"/>
      <c r="Z18" s="3"/>
      <c r="AB18" s="3">
        <v>2.0</v>
      </c>
    </row>
    <row r="19" ht="15.75" customHeight="1"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 t="s">
        <v>690</v>
      </c>
      <c r="AB19" s="3">
        <v>-11.0</v>
      </c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  <c r="U20" s="3"/>
      <c r="V20" s="3"/>
      <c r="W20" s="3"/>
      <c r="X20" s="3"/>
      <c r="Y20" s="3"/>
      <c r="Z20" s="3"/>
      <c r="AB20" s="3">
        <v>0.0</v>
      </c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O21" s="3"/>
      <c r="P21" s="3"/>
      <c r="Q21" s="3"/>
      <c r="S21" s="3"/>
      <c r="T21" s="3"/>
      <c r="U21" s="3"/>
      <c r="V21" s="3"/>
      <c r="W21" s="3"/>
      <c r="X21" s="3"/>
      <c r="Y21" s="3"/>
      <c r="Z21" s="3"/>
      <c r="AB21" s="3">
        <v>5.0</v>
      </c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T22" s="3"/>
      <c r="U22" s="3"/>
      <c r="V22" s="3"/>
      <c r="W22" s="3"/>
      <c r="X22" s="3"/>
      <c r="Y22" s="3"/>
      <c r="Z22" s="3"/>
      <c r="AB22" s="3">
        <v>-7.0</v>
      </c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O23" s="3"/>
      <c r="P23" s="3"/>
      <c r="Q23" s="3"/>
      <c r="S23" s="3"/>
      <c r="T23" s="3"/>
      <c r="U23" s="3"/>
      <c r="V23" s="3"/>
      <c r="W23" s="3"/>
      <c r="X23" s="3"/>
      <c r="Y23" s="3"/>
      <c r="Z23" s="3"/>
      <c r="AB23" s="3">
        <v>1.0</v>
      </c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O24" s="3"/>
      <c r="P24" s="3"/>
      <c r="Q24" s="3"/>
      <c r="S24" s="3"/>
      <c r="T24" s="3"/>
      <c r="U24" s="3"/>
      <c r="V24" s="3"/>
      <c r="W24" s="3"/>
      <c r="X24" s="3"/>
      <c r="Y24" s="3"/>
      <c r="Z24" s="3"/>
      <c r="AB24" s="3">
        <v>-2.0</v>
      </c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O25" s="3"/>
      <c r="P25" s="3"/>
      <c r="Q25" s="3"/>
      <c r="S25" s="3"/>
      <c r="T25" s="3"/>
      <c r="U25" s="3"/>
      <c r="V25" s="3"/>
      <c r="W25" s="3"/>
      <c r="X25" s="3"/>
      <c r="Y25" s="3"/>
      <c r="Z25" s="3"/>
      <c r="AB25" s="3">
        <v>-1.0</v>
      </c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O26" s="3"/>
      <c r="P26" s="3"/>
      <c r="Q26" s="3"/>
      <c r="S26" s="3"/>
      <c r="T26" s="3"/>
      <c r="U26" s="3"/>
      <c r="V26" s="3"/>
      <c r="W26" s="3"/>
      <c r="X26" s="3"/>
      <c r="Y26" s="3"/>
      <c r="Z26" s="3"/>
      <c r="AB26" s="3">
        <v>0.0</v>
      </c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S27" s="3"/>
      <c r="T27" s="3"/>
      <c r="U27" s="3"/>
      <c r="V27" s="3"/>
      <c r="W27" s="3"/>
      <c r="X27" s="3"/>
      <c r="Y27" s="3"/>
      <c r="Z27" s="3"/>
      <c r="AB27" s="3">
        <v>-7.0</v>
      </c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O28" s="3"/>
      <c r="P28" s="3"/>
      <c r="Q28" s="3"/>
      <c r="S28" s="3"/>
      <c r="T28" s="3"/>
      <c r="U28" s="3"/>
      <c r="V28" s="3"/>
      <c r="W28" s="3"/>
      <c r="X28" s="3"/>
      <c r="Y28" s="3"/>
      <c r="Z28" s="3"/>
      <c r="AB28" s="3">
        <v>-9.0</v>
      </c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O29" s="3"/>
      <c r="P29" s="3"/>
      <c r="Q29" s="3"/>
      <c r="S29" s="3"/>
      <c r="T29" s="3"/>
      <c r="U29" s="3"/>
      <c r="V29" s="3"/>
      <c r="W29" s="3"/>
      <c r="X29" s="3"/>
      <c r="Y29" s="3"/>
      <c r="Z29" s="3"/>
      <c r="AB29" s="3">
        <v>0.0</v>
      </c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 t="s">
        <v>691</v>
      </c>
      <c r="AB30" s="3">
        <v>-8.0</v>
      </c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T31" s="3"/>
      <c r="U31" s="3"/>
      <c r="V31" s="3"/>
      <c r="W31" s="3"/>
      <c r="X31" s="3"/>
      <c r="Y31" s="3"/>
      <c r="Z31" s="3"/>
      <c r="AB31" s="3">
        <v>-7.0</v>
      </c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S32" s="3"/>
      <c r="T32" s="3"/>
      <c r="U32" s="3"/>
      <c r="V32" s="3"/>
      <c r="W32" s="3"/>
      <c r="X32" s="3"/>
      <c r="Y32" s="3"/>
      <c r="Z32" s="3"/>
      <c r="AB32" s="3">
        <v>-2.0</v>
      </c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T33" s="3"/>
      <c r="U33" s="3"/>
      <c r="V33" s="3"/>
      <c r="W33" s="3"/>
      <c r="X33" s="3"/>
      <c r="Y33" s="3"/>
      <c r="Z33" s="3"/>
      <c r="AB33" s="3">
        <v>-8.0</v>
      </c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 t="s">
        <v>692</v>
      </c>
      <c r="AB34" s="3">
        <v>0.0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O35" s="3"/>
      <c r="P35" s="3"/>
      <c r="Q35" s="3"/>
      <c r="S35" s="3"/>
      <c r="T35" s="3"/>
      <c r="U35" s="3"/>
      <c r="V35" s="3"/>
      <c r="W35" s="3"/>
      <c r="X35" s="3"/>
      <c r="Y35" s="3"/>
      <c r="Z35" s="3"/>
      <c r="AB35" s="3">
        <v>1.0</v>
      </c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O36" s="3"/>
      <c r="P36" s="3"/>
      <c r="Q36" s="3"/>
      <c r="S36" s="3"/>
      <c r="T36" s="3"/>
      <c r="U36" s="3"/>
      <c r="V36" s="3"/>
      <c r="Y36" s="3"/>
      <c r="Z36" s="3"/>
      <c r="AB36" s="3">
        <v>0.0</v>
      </c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O37" s="3"/>
      <c r="P37" s="3"/>
      <c r="Q37" s="3"/>
      <c r="S37" s="3"/>
      <c r="T37" s="3"/>
      <c r="U37" s="3"/>
      <c r="V37" s="3"/>
      <c r="W37" s="3"/>
      <c r="X37" s="3"/>
      <c r="Y37" s="3"/>
      <c r="Z37" s="3"/>
      <c r="AB37" s="3">
        <v>4.0</v>
      </c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 t="s">
        <v>693</v>
      </c>
      <c r="AB38" s="3">
        <v>-12.0</v>
      </c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 t="s">
        <v>694</v>
      </c>
      <c r="AB39" s="3">
        <v>0.0</v>
      </c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O40" s="3"/>
      <c r="P40" s="3"/>
      <c r="Q40" s="3"/>
      <c r="S40" s="3"/>
      <c r="T40" s="3"/>
      <c r="U40" s="3"/>
      <c r="V40" s="3"/>
      <c r="W40" s="3"/>
      <c r="X40" s="3"/>
      <c r="Y40" s="3"/>
      <c r="Z40" s="3"/>
      <c r="AB40" s="3">
        <v>-2.0</v>
      </c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O41" s="3"/>
      <c r="P41" s="3"/>
      <c r="Q41" s="3"/>
      <c r="S41" s="3"/>
      <c r="T41" s="3"/>
      <c r="U41" s="3"/>
      <c r="V41" s="3"/>
      <c r="W41" s="3"/>
      <c r="X41" s="3"/>
      <c r="Y41" s="3"/>
      <c r="Z41" s="3"/>
      <c r="AB41" s="3">
        <v>-10.0</v>
      </c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 t="s">
        <v>695</v>
      </c>
      <c r="AB42" s="3">
        <v>6.0</v>
      </c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T43" s="3"/>
      <c r="U43" s="3"/>
      <c r="V43" s="3"/>
      <c r="W43" s="3"/>
      <c r="X43" s="3"/>
      <c r="Y43" s="3"/>
      <c r="Z43" s="3"/>
      <c r="AB43" s="3">
        <v>-7.0</v>
      </c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O44" s="3"/>
      <c r="P44" s="3"/>
      <c r="Q44" s="3"/>
      <c r="S44" s="3"/>
      <c r="T44" s="3"/>
      <c r="U44" s="3"/>
      <c r="V44" s="3"/>
      <c r="W44" s="3"/>
      <c r="X44" s="3"/>
      <c r="Y44" s="3"/>
      <c r="Z44" s="3"/>
      <c r="AB44" s="3">
        <v>-2.0</v>
      </c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O45" s="3"/>
      <c r="P45" s="3"/>
      <c r="Q45" s="3"/>
      <c r="S45" s="3"/>
      <c r="T45" s="3"/>
      <c r="U45" s="3"/>
      <c r="V45" s="3"/>
      <c r="W45" s="3"/>
      <c r="X45" s="3"/>
      <c r="Y45" s="3"/>
      <c r="Z45" s="3"/>
      <c r="AB45" s="3">
        <v>0.0</v>
      </c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T46" s="3"/>
      <c r="U46" s="3"/>
      <c r="V46" s="3"/>
      <c r="W46" s="3"/>
      <c r="X46" s="3"/>
      <c r="Y46" s="3"/>
      <c r="Z46" s="3"/>
      <c r="AB46" s="3">
        <v>-2.0</v>
      </c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O47" s="3"/>
      <c r="P47" s="3"/>
      <c r="Q47" s="3"/>
      <c r="S47" s="3"/>
      <c r="T47" s="3"/>
      <c r="U47" s="3"/>
      <c r="V47" s="3"/>
      <c r="W47" s="3"/>
      <c r="X47" s="3"/>
      <c r="Y47" s="3"/>
      <c r="Z47" s="3"/>
      <c r="AB47" s="3">
        <v>0.0</v>
      </c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 t="s">
        <v>696</v>
      </c>
      <c r="AB48" s="3">
        <v>-13.0</v>
      </c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T49" s="3"/>
      <c r="U49" s="3"/>
      <c r="V49" s="3"/>
      <c r="W49" s="3"/>
      <c r="X49" s="3"/>
      <c r="Y49" s="3"/>
      <c r="Z49" s="3"/>
      <c r="AB49" s="3">
        <v>-6.0</v>
      </c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O50" s="3"/>
      <c r="P50" s="3"/>
      <c r="Q50" s="3"/>
      <c r="S50" s="3"/>
      <c r="T50" s="3"/>
      <c r="U50" s="3"/>
      <c r="V50" s="3"/>
      <c r="W50" s="3"/>
      <c r="X50" s="3"/>
      <c r="Y50" s="3"/>
      <c r="Z50" s="3"/>
      <c r="AB50" s="3">
        <v>0.0</v>
      </c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O51" s="3"/>
      <c r="P51" s="3"/>
      <c r="Q51" s="3"/>
      <c r="S51" s="3"/>
      <c r="T51" s="3"/>
      <c r="U51" s="3"/>
      <c r="V51" s="3"/>
      <c r="W51" s="3"/>
      <c r="X51" s="3"/>
      <c r="Y51" s="3"/>
      <c r="Z51" s="3"/>
      <c r="AB51" s="3">
        <v>-6.0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 t="s">
        <v>697</v>
      </c>
      <c r="AB52" s="3">
        <v>5.0</v>
      </c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O53" s="3"/>
      <c r="P53" s="3"/>
      <c r="Q53" s="3"/>
      <c r="S53" s="3"/>
      <c r="T53" s="3"/>
      <c r="U53" s="3"/>
      <c r="V53" s="3"/>
      <c r="W53" s="3"/>
      <c r="X53" s="3"/>
      <c r="Y53" s="3"/>
      <c r="Z53" s="3"/>
      <c r="AB53" s="3">
        <v>0.0</v>
      </c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O54" s="3"/>
      <c r="P54" s="3"/>
      <c r="Q54" s="3"/>
      <c r="S54" s="3"/>
      <c r="T54" s="3"/>
      <c r="U54" s="3"/>
      <c r="V54" s="3"/>
      <c r="W54" s="3"/>
      <c r="X54" s="3"/>
      <c r="Y54" s="3"/>
      <c r="Z54" s="3"/>
      <c r="AB54" s="3">
        <v>0.0</v>
      </c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T55" s="3"/>
      <c r="U55" s="3"/>
      <c r="V55" s="3"/>
      <c r="W55" s="3"/>
      <c r="X55" s="3"/>
      <c r="Y55" s="3"/>
      <c r="Z55" s="3"/>
      <c r="AB55" s="3">
        <v>-8.0</v>
      </c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T56" s="3"/>
      <c r="U56" s="3"/>
      <c r="V56" s="3"/>
      <c r="W56" s="3"/>
      <c r="X56" s="3"/>
      <c r="Y56" s="3"/>
      <c r="Z56" s="3"/>
      <c r="AB56" s="3">
        <v>-11.0</v>
      </c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T57" s="3"/>
      <c r="U57" s="3"/>
      <c r="V57" s="3"/>
      <c r="W57" s="3"/>
      <c r="X57" s="3"/>
      <c r="Y57" s="3"/>
      <c r="Z57" s="3"/>
      <c r="AB57" s="3">
        <v>-6.0</v>
      </c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O58" s="3"/>
      <c r="P58" s="3"/>
      <c r="Q58" s="3"/>
      <c r="S58" s="3"/>
      <c r="T58" s="3"/>
      <c r="U58" s="3"/>
      <c r="V58" s="3"/>
      <c r="W58" s="3"/>
      <c r="X58" s="3"/>
      <c r="Y58" s="3"/>
      <c r="Z58" s="3"/>
      <c r="AB58" s="3">
        <v>-2.0</v>
      </c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 t="s">
        <v>698</v>
      </c>
      <c r="AB59" s="3">
        <v>-9.0</v>
      </c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T60" s="3"/>
      <c r="U60" s="3"/>
      <c r="V60" s="3"/>
      <c r="W60" s="3"/>
      <c r="X60" s="3"/>
      <c r="Y60" s="3"/>
      <c r="Z60" s="3"/>
      <c r="AB60" s="3">
        <v>-9.0</v>
      </c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O61" s="3"/>
      <c r="P61" s="3"/>
      <c r="Q61" s="3"/>
      <c r="S61" s="3"/>
      <c r="T61" s="3"/>
      <c r="U61" s="3"/>
      <c r="V61" s="3"/>
      <c r="W61" s="3"/>
      <c r="X61" s="3"/>
      <c r="Y61" s="3"/>
      <c r="Z61" s="3"/>
      <c r="AB61" s="3">
        <v>-2.0</v>
      </c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T62" s="3"/>
      <c r="U62" s="3"/>
      <c r="V62" s="3"/>
      <c r="W62" s="3"/>
      <c r="X62" s="3"/>
      <c r="Y62" s="3"/>
      <c r="Z62" s="3"/>
      <c r="AB62" s="3">
        <v>-8.0</v>
      </c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 t="s">
        <v>699</v>
      </c>
      <c r="AB63" s="3">
        <v>-19.0</v>
      </c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O64" s="3"/>
      <c r="P64" s="3"/>
      <c r="Q64" s="3"/>
      <c r="S64" s="3"/>
      <c r="T64" s="3"/>
      <c r="U64" s="3"/>
      <c r="V64" s="3"/>
      <c r="W64" s="3"/>
      <c r="X64" s="3"/>
      <c r="Y64" s="3"/>
      <c r="Z64" s="3"/>
      <c r="AB64" s="3">
        <v>-12.0</v>
      </c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T65" s="3"/>
      <c r="U65" s="3"/>
      <c r="V65" s="3"/>
      <c r="W65" s="3"/>
      <c r="X65" s="3"/>
      <c r="Y65" s="3"/>
      <c r="Z65" s="3"/>
      <c r="AB65" s="3">
        <v>-7.0</v>
      </c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T66" s="3"/>
      <c r="U66" s="3"/>
      <c r="V66" s="3"/>
      <c r="W66" s="3"/>
      <c r="X66" s="3"/>
      <c r="Y66" s="3"/>
      <c r="Z66" s="3"/>
      <c r="AB66" s="3">
        <v>-9.0</v>
      </c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O67" s="3"/>
      <c r="P67" s="3"/>
      <c r="Q67" s="3"/>
      <c r="S67" s="3"/>
      <c r="T67" s="3"/>
      <c r="U67" s="3"/>
      <c r="V67" s="3"/>
      <c r="W67" s="3"/>
      <c r="X67" s="3"/>
      <c r="Y67" s="3"/>
      <c r="Z67" s="3"/>
      <c r="AB67" s="3">
        <v>-9.0</v>
      </c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O68" s="3"/>
      <c r="P68" s="3"/>
      <c r="Q68" s="3"/>
      <c r="S68" s="3"/>
      <c r="T68" s="3"/>
      <c r="U68" s="3"/>
      <c r="V68" s="3"/>
      <c r="W68" s="3"/>
      <c r="X68" s="3"/>
      <c r="Y68" s="3"/>
      <c r="Z68" s="3"/>
      <c r="AB68" s="3">
        <v>-11.0</v>
      </c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O69" s="3"/>
      <c r="P69" s="3"/>
      <c r="Q69" s="3"/>
      <c r="S69" s="3"/>
      <c r="T69" s="3"/>
      <c r="U69" s="3"/>
      <c r="V69" s="3"/>
      <c r="W69" s="3"/>
      <c r="X69" s="3"/>
      <c r="Y69" s="3"/>
      <c r="Z69" s="3"/>
      <c r="AB69" s="3">
        <v>3.0</v>
      </c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 t="s">
        <v>700</v>
      </c>
      <c r="AB70" s="3">
        <v>-14.0</v>
      </c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O71" s="3"/>
      <c r="P71" s="3"/>
      <c r="Q71" s="3"/>
      <c r="S71" s="3"/>
      <c r="T71" s="3"/>
      <c r="U71" s="3"/>
      <c r="V71" s="3"/>
      <c r="W71" s="3"/>
      <c r="X71" s="3"/>
      <c r="Y71" s="3"/>
      <c r="Z71" s="3"/>
      <c r="AB71" s="3">
        <v>1.0</v>
      </c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O72" s="3"/>
      <c r="P72" s="3"/>
      <c r="Q72" s="3"/>
      <c r="S72" s="3"/>
      <c r="T72" s="3"/>
      <c r="U72" s="3"/>
      <c r="V72" s="3"/>
      <c r="W72" s="3"/>
      <c r="X72" s="3"/>
      <c r="Y72" s="3"/>
      <c r="Z72" s="3"/>
      <c r="AB72" s="3">
        <v>-2.0</v>
      </c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O73" s="3"/>
      <c r="P73" s="3"/>
      <c r="Q73" s="3"/>
      <c r="S73" s="3"/>
      <c r="T73" s="3"/>
      <c r="U73" s="3"/>
      <c r="V73" s="3"/>
      <c r="W73" s="3"/>
      <c r="X73" s="3"/>
      <c r="Y73" s="3"/>
      <c r="Z73" s="3"/>
      <c r="AB73" s="3">
        <v>1.0</v>
      </c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O74" s="3"/>
      <c r="P74" s="3"/>
      <c r="Q74" s="3"/>
      <c r="S74" s="3"/>
      <c r="T74" s="3"/>
      <c r="U74" s="3"/>
      <c r="V74" s="3"/>
      <c r="W74" s="3"/>
      <c r="X74" s="3"/>
      <c r="Y74" s="3"/>
      <c r="Z74" s="3"/>
      <c r="AB74" s="3">
        <v>-1.0</v>
      </c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T75" s="3"/>
      <c r="U75" s="3"/>
      <c r="V75" s="3"/>
      <c r="W75" s="3"/>
      <c r="X75" s="3"/>
      <c r="Y75" s="3"/>
      <c r="Z75" s="3"/>
      <c r="AB75" s="3">
        <v>-9.0</v>
      </c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O76" s="3"/>
      <c r="P76" s="3"/>
      <c r="Q76" s="3"/>
      <c r="S76" s="3"/>
      <c r="T76" s="3"/>
      <c r="U76" s="3"/>
      <c r="V76" s="3"/>
      <c r="W76" s="3"/>
      <c r="X76" s="3"/>
      <c r="Y76" s="3"/>
      <c r="Z76" s="3"/>
      <c r="AB76" s="3">
        <v>0.0</v>
      </c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T77" s="3"/>
      <c r="U77" s="3"/>
      <c r="V77" s="3"/>
      <c r="W77" s="3"/>
      <c r="X77" s="3"/>
      <c r="Y77" s="3"/>
      <c r="Z77" s="3"/>
      <c r="AB77" s="3">
        <v>-7.0</v>
      </c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O78" s="3"/>
      <c r="P78" s="3"/>
      <c r="Q78" s="3"/>
      <c r="S78" s="3"/>
      <c r="T78" s="3"/>
      <c r="U78" s="3"/>
      <c r="V78" s="3"/>
      <c r="W78" s="3"/>
      <c r="X78" s="3"/>
      <c r="Y78" s="3"/>
      <c r="Z78" s="3"/>
      <c r="AB78" s="3">
        <v>0.0</v>
      </c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T79" s="3"/>
      <c r="U79" s="3"/>
      <c r="V79" s="3"/>
      <c r="W79" s="3"/>
      <c r="X79" s="3"/>
      <c r="Y79" s="3"/>
      <c r="Z79" s="3"/>
      <c r="AB79" s="3">
        <v>-8.0</v>
      </c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O80" s="3"/>
      <c r="P80" s="3"/>
      <c r="Q80" s="3"/>
      <c r="S80" s="3"/>
      <c r="T80" s="3"/>
      <c r="U80" s="3"/>
      <c r="V80" s="3"/>
      <c r="W80" s="3"/>
      <c r="X80" s="3"/>
      <c r="Y80" s="3"/>
      <c r="Z80" s="3"/>
      <c r="AB80" s="3">
        <v>0.0</v>
      </c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O81" s="3"/>
      <c r="P81" s="3"/>
      <c r="Q81" s="3"/>
      <c r="S81" s="3"/>
      <c r="T81" s="3"/>
      <c r="U81" s="3"/>
      <c r="V81" s="3"/>
      <c r="W81" s="3"/>
      <c r="X81" s="3"/>
      <c r="Y81" s="3"/>
      <c r="Z81" s="3"/>
      <c r="AB81" s="3">
        <v>1.0</v>
      </c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T82" s="3"/>
      <c r="U82" s="3"/>
      <c r="V82" s="3"/>
      <c r="W82" s="3"/>
      <c r="X82" s="3"/>
      <c r="Y82" s="3"/>
      <c r="Z82" s="3"/>
      <c r="AB82" s="3">
        <v>-7.0</v>
      </c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O83" s="3"/>
      <c r="P83" s="3"/>
      <c r="Q83" s="3"/>
      <c r="S83" s="3"/>
      <c r="T83" s="3"/>
      <c r="U83" s="3"/>
      <c r="V83" s="3"/>
      <c r="W83" s="3"/>
      <c r="X83" s="3"/>
      <c r="Y83" s="3"/>
      <c r="Z83" s="3"/>
      <c r="AB83" s="3">
        <v>0.0</v>
      </c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O84" s="3"/>
      <c r="P84" s="3"/>
      <c r="Q84" s="3"/>
      <c r="S84" s="3"/>
      <c r="T84" s="3"/>
      <c r="U84" s="3"/>
      <c r="V84" s="3"/>
      <c r="W84" s="3"/>
      <c r="X84" s="3"/>
      <c r="Y84" s="3"/>
      <c r="Z84" s="3"/>
      <c r="AB84" s="3">
        <v>-11.0</v>
      </c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O85" s="3"/>
      <c r="P85" s="3"/>
      <c r="Q85" s="3"/>
      <c r="S85" s="3"/>
      <c r="T85" s="3"/>
      <c r="U85" s="3"/>
      <c r="V85" s="3"/>
      <c r="W85" s="3"/>
      <c r="X85" s="3"/>
      <c r="Y85" s="3"/>
      <c r="Z85" s="3"/>
      <c r="AB85" s="3">
        <v>-13.0</v>
      </c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 t="s">
        <v>701</v>
      </c>
      <c r="AB86" s="3">
        <v>-21.0</v>
      </c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 t="s">
        <v>702</v>
      </c>
      <c r="AB87" s="3">
        <v>-7.0</v>
      </c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 t="s">
        <v>703</v>
      </c>
      <c r="AB88" s="3">
        <v>-10.0</v>
      </c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 t="s">
        <v>704</v>
      </c>
      <c r="AB89" s="3">
        <v>-6.0</v>
      </c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S90" s="3"/>
      <c r="T90" s="3"/>
      <c r="U90" s="3"/>
      <c r="V90" s="3"/>
      <c r="W90" s="3"/>
      <c r="X90" s="3"/>
      <c r="Y90" s="3"/>
      <c r="Z90" s="3"/>
      <c r="AB90" s="3">
        <v>-7.0</v>
      </c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O91" s="3"/>
      <c r="P91" s="3"/>
      <c r="Q91" s="3"/>
      <c r="S91" s="3"/>
      <c r="T91" s="3"/>
      <c r="U91" s="3"/>
      <c r="V91" s="3"/>
      <c r="W91" s="3"/>
      <c r="X91" s="3"/>
      <c r="Y91" s="3"/>
      <c r="Z91" s="3"/>
      <c r="AB91" s="3">
        <v>-2.0</v>
      </c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 t="s">
        <v>705</v>
      </c>
      <c r="AB92" s="3">
        <v>-17.0</v>
      </c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O93" s="3"/>
      <c r="P93" s="3"/>
      <c r="Q93" s="3"/>
      <c r="S93" s="3"/>
      <c r="T93" s="3"/>
      <c r="U93" s="3"/>
      <c r="V93" s="3"/>
      <c r="W93" s="3"/>
      <c r="X93" s="3"/>
      <c r="Y93" s="3"/>
      <c r="Z93" s="3"/>
      <c r="AB93" s="3">
        <v>-12.0</v>
      </c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T94" s="3"/>
      <c r="U94" s="3"/>
      <c r="V94" s="3"/>
      <c r="W94" s="3"/>
      <c r="X94" s="3"/>
      <c r="Y94" s="3"/>
      <c r="Z94" s="3"/>
      <c r="AB94" s="3">
        <v>-4.0</v>
      </c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T95" s="3"/>
      <c r="U95" s="3"/>
      <c r="V95" s="3"/>
      <c r="W95" s="3"/>
      <c r="X95" s="3"/>
      <c r="Y95" s="3"/>
      <c r="Z95" s="3"/>
      <c r="AB95" s="3">
        <v>-11.0</v>
      </c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O96" s="3"/>
      <c r="P96" s="3"/>
      <c r="Q96" s="3"/>
      <c r="S96" s="3"/>
      <c r="T96" s="3"/>
      <c r="U96" s="3"/>
      <c r="V96" s="3"/>
      <c r="W96" s="3"/>
      <c r="X96" s="3"/>
      <c r="Y96" s="3"/>
      <c r="Z96" s="3"/>
      <c r="AB96" s="3">
        <v>1.0</v>
      </c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O97" s="3"/>
      <c r="P97" s="3"/>
      <c r="Q97" s="3"/>
      <c r="S97" s="3"/>
      <c r="T97" s="3"/>
      <c r="U97" s="3"/>
      <c r="V97" s="3"/>
      <c r="W97" s="3"/>
      <c r="X97" s="3"/>
      <c r="Y97" s="3"/>
      <c r="Z97" s="3"/>
      <c r="AB97" s="3">
        <v>0.0</v>
      </c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T98" s="3"/>
      <c r="U98" s="3"/>
      <c r="V98" s="3"/>
      <c r="W98" s="3"/>
      <c r="X98" s="3"/>
      <c r="Y98" s="3"/>
      <c r="Z98" s="3"/>
      <c r="AB98" s="3">
        <v>-9.0</v>
      </c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O99" s="3"/>
      <c r="P99" s="3"/>
      <c r="Q99" s="3"/>
      <c r="S99" s="3"/>
      <c r="T99" s="3"/>
      <c r="U99" s="3"/>
      <c r="V99" s="3"/>
      <c r="W99" s="3"/>
      <c r="X99" s="3"/>
      <c r="Y99" s="3"/>
      <c r="Z99" s="3"/>
      <c r="AB99" s="3">
        <v>1.0</v>
      </c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T100" s="3"/>
      <c r="U100" s="3"/>
      <c r="V100" s="3"/>
      <c r="W100" s="3"/>
      <c r="X100" s="3"/>
      <c r="Y100" s="3"/>
      <c r="Z100" s="3"/>
      <c r="AB100" s="3">
        <v>-8.0</v>
      </c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706</v>
      </c>
      <c r="AB101" s="3">
        <v>-6.0</v>
      </c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 t="s">
        <v>707</v>
      </c>
      <c r="AB102" s="3">
        <v>1.0</v>
      </c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O103" s="3"/>
      <c r="P103" s="3"/>
      <c r="Q103" s="3"/>
      <c r="S103" s="3"/>
      <c r="T103" s="3"/>
      <c r="U103" s="3"/>
      <c r="V103" s="3"/>
      <c r="W103" s="3"/>
      <c r="X103" s="3"/>
      <c r="Y103" s="3"/>
      <c r="Z103" s="3"/>
      <c r="AB103" s="3">
        <v>-1.0</v>
      </c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T104" s="3"/>
      <c r="U104" s="3"/>
      <c r="V104" s="3"/>
      <c r="W104" s="3"/>
      <c r="X104" s="3"/>
      <c r="Y104" s="3"/>
      <c r="Z104" s="3"/>
      <c r="AB104" s="3">
        <v>-5.0</v>
      </c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 t="s">
        <v>708</v>
      </c>
      <c r="AB105" s="3">
        <v>-2.0</v>
      </c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O106" s="3"/>
      <c r="P106" s="3"/>
      <c r="Q106" s="3"/>
      <c r="S106" s="3"/>
      <c r="T106" s="3"/>
      <c r="U106" s="3"/>
      <c r="V106" s="3"/>
      <c r="W106" s="3"/>
      <c r="X106" s="3"/>
      <c r="Y106" s="3"/>
      <c r="Z106" s="3"/>
      <c r="AB106" s="3">
        <v>1.0</v>
      </c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 t="s">
        <v>709</v>
      </c>
      <c r="AB107" s="3">
        <v>-12.0</v>
      </c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B108" s="3">
        <v>0.0</v>
      </c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B109" s="3">
        <v>-1.0</v>
      </c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 t="s">
        <v>710</v>
      </c>
      <c r="AB110" s="3">
        <v>-14.0</v>
      </c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 t="s">
        <v>711</v>
      </c>
      <c r="AB111" s="3">
        <v>-6.0</v>
      </c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 t="s">
        <v>712</v>
      </c>
      <c r="AB112" s="3">
        <v>-11.0</v>
      </c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T113" s="3"/>
      <c r="U113" s="3"/>
      <c r="V113" s="3"/>
      <c r="W113" s="3"/>
      <c r="X113" s="3"/>
      <c r="Y113" s="3"/>
      <c r="Z113" s="3"/>
      <c r="AB113" s="3">
        <v>-8.0</v>
      </c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 t="s">
        <v>713</v>
      </c>
      <c r="AB114" s="3">
        <v>-1.0</v>
      </c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O115" s="3"/>
      <c r="P115" s="3"/>
      <c r="Q115" s="3"/>
      <c r="S115" s="3"/>
      <c r="T115" s="3"/>
      <c r="U115" s="3"/>
      <c r="V115" s="3"/>
      <c r="W115" s="3"/>
      <c r="X115" s="3"/>
      <c r="Y115" s="3"/>
      <c r="Z115" s="3"/>
      <c r="AB115" s="3">
        <v>4.0</v>
      </c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B116" s="3">
        <v>-7.0</v>
      </c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 t="s">
        <v>714</v>
      </c>
      <c r="AB117" s="3">
        <v>12.0</v>
      </c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B118" s="3">
        <v>-1.0</v>
      </c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 t="s">
        <v>715</v>
      </c>
      <c r="AB119" s="3">
        <v>-17.0</v>
      </c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T120" s="3"/>
      <c r="U120" s="3"/>
      <c r="V120" s="3"/>
      <c r="W120" s="3"/>
      <c r="X120" s="3"/>
      <c r="Y120" s="3"/>
      <c r="Z120" s="3"/>
      <c r="AB120" s="3">
        <v>-5.0</v>
      </c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T121" s="3"/>
      <c r="U121" s="3"/>
      <c r="V121" s="3"/>
      <c r="W121" s="3"/>
      <c r="X121" s="3"/>
      <c r="Y121" s="3"/>
      <c r="Z121" s="3"/>
      <c r="AB121" s="3">
        <v>-6.0</v>
      </c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T122" s="3"/>
      <c r="U122" s="3"/>
      <c r="V122" s="3"/>
      <c r="W122" s="3"/>
      <c r="X122" s="3"/>
      <c r="Y122" s="3"/>
      <c r="Z122" s="3"/>
      <c r="AB122" s="3">
        <v>-6.0</v>
      </c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 t="s">
        <v>716</v>
      </c>
      <c r="AB123" s="3">
        <v>-15.0</v>
      </c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B124" s="3">
        <v>-6.0</v>
      </c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O125" s="3"/>
      <c r="P125" s="3"/>
      <c r="Q125" s="3"/>
      <c r="S125" s="3"/>
      <c r="T125" s="3"/>
      <c r="U125" s="3"/>
      <c r="V125" s="3"/>
      <c r="W125" s="3"/>
      <c r="X125" s="3"/>
      <c r="Y125" s="3"/>
      <c r="Z125" s="3"/>
      <c r="AB125" s="3">
        <v>0.0</v>
      </c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O126" s="3"/>
      <c r="P126" s="3"/>
      <c r="Q126" s="3"/>
      <c r="S126" s="3"/>
      <c r="T126" s="3"/>
      <c r="U126" s="3"/>
      <c r="V126" s="3"/>
      <c r="W126" s="3"/>
      <c r="X126" s="3"/>
      <c r="Y126" s="3"/>
      <c r="Z126" s="3"/>
      <c r="AB126" s="3">
        <v>-12.0</v>
      </c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B127" s="3">
        <v>-11.0</v>
      </c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 t="s">
        <v>717</v>
      </c>
      <c r="AB128" s="3">
        <v>-11.0</v>
      </c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T129" s="3"/>
      <c r="U129" s="3"/>
      <c r="V129" s="3"/>
      <c r="W129" s="3"/>
      <c r="X129" s="3"/>
      <c r="Y129" s="3"/>
      <c r="Z129" s="3"/>
      <c r="AB129" s="3">
        <v>-6.0</v>
      </c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T130" s="3"/>
      <c r="U130" s="3"/>
      <c r="V130" s="3"/>
      <c r="W130" s="3"/>
      <c r="X130" s="3"/>
      <c r="Y130" s="3"/>
      <c r="Z130" s="3"/>
      <c r="AB130" s="3">
        <v>-8.0</v>
      </c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O131" s="3"/>
      <c r="P131" s="3"/>
      <c r="Q131" s="3"/>
      <c r="S131" s="3"/>
      <c r="T131" s="3"/>
      <c r="U131" s="3"/>
      <c r="V131" s="3"/>
      <c r="W131" s="3"/>
      <c r="X131" s="3"/>
      <c r="Y131" s="3"/>
      <c r="Z131" s="3"/>
      <c r="AB131" s="3">
        <v>0.0</v>
      </c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O132" s="3"/>
      <c r="P132" s="3"/>
      <c r="Q132" s="3"/>
      <c r="S132" s="3"/>
      <c r="T132" s="3"/>
      <c r="U132" s="3"/>
      <c r="V132" s="3"/>
      <c r="W132" s="3"/>
      <c r="X132" s="3"/>
      <c r="Y132" s="3"/>
      <c r="Z132" s="3"/>
      <c r="AB132" s="3">
        <v>0.0</v>
      </c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O133" s="3"/>
      <c r="P133" s="3"/>
      <c r="Q133" s="3"/>
      <c r="S133" s="3"/>
      <c r="T133" s="3"/>
      <c r="U133" s="3"/>
      <c r="V133" s="3"/>
      <c r="W133" s="3"/>
      <c r="X133" s="3"/>
      <c r="Y133" s="3"/>
      <c r="Z133" s="3"/>
      <c r="AB133" s="3">
        <v>-8.0</v>
      </c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3"/>
      <c r="T134" s="3"/>
      <c r="U134" s="3"/>
      <c r="V134" s="3"/>
      <c r="W134" s="3"/>
      <c r="X134" s="3"/>
      <c r="Y134" s="3"/>
      <c r="Z134" s="3"/>
      <c r="AB134" s="3">
        <v>-8.0</v>
      </c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3"/>
      <c r="T135" s="3"/>
      <c r="U135" s="3"/>
      <c r="V135" s="3"/>
      <c r="W135" s="3"/>
      <c r="X135" s="3"/>
      <c r="Y135" s="3"/>
      <c r="Z135" s="3"/>
      <c r="AB135" s="3">
        <v>-8.0</v>
      </c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O136" s="3"/>
      <c r="P136" s="3"/>
      <c r="Q136" s="3"/>
      <c r="S136" s="3"/>
      <c r="T136" s="3"/>
      <c r="U136" s="3"/>
      <c r="V136" s="3"/>
      <c r="W136" s="3"/>
      <c r="X136" s="3"/>
      <c r="Y136" s="3"/>
      <c r="Z136" s="3"/>
      <c r="AB136" s="3">
        <v>0.0</v>
      </c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T137" s="3"/>
      <c r="U137" s="3"/>
      <c r="V137" s="3"/>
      <c r="W137" s="3"/>
      <c r="X137" s="3"/>
      <c r="Y137" s="3"/>
      <c r="Z137" s="3"/>
      <c r="AB137" s="3">
        <v>-5.0</v>
      </c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O138" s="3"/>
      <c r="P138" s="3"/>
      <c r="Q138" s="3"/>
      <c r="S138" s="3"/>
      <c r="T138" s="3"/>
      <c r="U138" s="3"/>
      <c r="V138" s="3"/>
      <c r="W138" s="3"/>
      <c r="X138" s="3"/>
      <c r="Y138" s="3"/>
      <c r="Z138" s="3"/>
      <c r="AB138" s="3">
        <v>0.0</v>
      </c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3"/>
      <c r="T139" s="3"/>
      <c r="U139" s="3"/>
      <c r="V139" s="3"/>
      <c r="W139" s="3"/>
      <c r="X139" s="3"/>
      <c r="Y139" s="3"/>
      <c r="Z139" s="3"/>
      <c r="AB139" s="3">
        <v>-10.0</v>
      </c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O140" s="3"/>
      <c r="P140" s="3"/>
      <c r="Q140" s="3"/>
      <c r="S140" s="3"/>
      <c r="T140" s="3"/>
      <c r="U140" s="3"/>
      <c r="V140" s="3"/>
      <c r="W140" s="3"/>
      <c r="X140" s="3"/>
      <c r="Y140" s="3"/>
      <c r="Z140" s="3"/>
      <c r="AB140" s="3">
        <v>-12.0</v>
      </c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 t="s">
        <v>718</v>
      </c>
      <c r="AB141" s="3">
        <v>-10.0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