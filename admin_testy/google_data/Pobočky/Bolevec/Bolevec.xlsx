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4" sheetId="1" r:id="rId4"/>
    <sheet state="visible" name="DatabaseRestia" sheetId="2" r:id="rId5"/>
    <sheet state="visible" name="August 2024" sheetId="3" r:id="rId6"/>
    <sheet state="visible" name="Report" sheetId="4" r:id="rId7"/>
    <sheet state="visible" name="Kontrola" sheetId="5" r:id="rId8"/>
    <sheet state="visible" name="RestiaCSV" sheetId="6" r:id="rId9"/>
    <sheet state="visible" name="HR" sheetId="7" r:id="rId10"/>
    <sheet state="visible" name="Denik" sheetId="8" r:id="rId11"/>
    <sheet state="visible" name="Směny" sheetId="9" r:id="rId12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  <extLst>
    <ext uri="GoogleSheetsCustomDataVersion2">
      <go:sheetsCustomData xmlns:go="http://customooxmlschemas.google.com/" r:id="rId13" roundtripDataChecksum="xcPoVZ7IbKRFDcm3gwUpJBl7tXiyn3p0S9UpTtyYfnI="/>
    </ext>
  </extLst>
</workbook>
</file>

<file path=xl/sharedStrings.xml><?xml version="1.0" encoding="utf-8"?>
<sst xmlns="http://schemas.openxmlformats.org/spreadsheetml/2006/main" count="8976" uniqueCount="2663">
  <si>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</si>
  <si>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</si>
  <si>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</si>
  <si>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</si>
  <si>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</si>
  <si>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</si>
  <si>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</si>
  <si>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</si>
  <si>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</si>
  <si>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</si>
  <si>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</si>
  <si>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</si>
  <si>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</si>
  <si>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</si>
  <si>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</si>
  <si>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</si>
  <si>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</si>
  <si>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</si>
  <si>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</si>
  <si>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</si>
  <si>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</si>
  <si>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</si>
  <si>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</si>
  <si>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</si>
  <si>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</si>
  <si>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</si>
  <si>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</si>
  <si>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</si>
  <si>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</si>
  <si>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</si>
  <si>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</si>
  <si>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</si>
  <si>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</si>
  <si>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</si>
  <si>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</si>
  <si>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</si>
  <si>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</si>
  <si>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</si>
  <si>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</si>
  <si>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</si>
  <si>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</si>
  <si>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</si>
  <si>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</si>
  <si>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</si>
  <si>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</si>
  <si>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</si>
  <si>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</si>
  <si>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</si>
  <si>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</si>
  <si>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</si>
  <si>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</si>
  <si>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</si>
  <si>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</si>
  <si>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</si>
  <si>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</si>
  <si>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</si>
  <si>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</si>
  <si>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</si>
  <si>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</si>
  <si>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</si>
  <si>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</si>
  <si>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</si>
  <si>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</si>
  <si>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</si>
  <si>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</si>
  <si>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</si>
  <si>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</si>
  <si>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</si>
  <si>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</si>
  <si>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</si>
  <si>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</si>
  <si>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</si>
  <si>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</si>
  <si>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</si>
  <si>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</si>
  <si>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</si>
  <si>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</si>
  <si>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</si>
  <si>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</si>
  <si>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</si>
  <si>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</si>
  <si>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</si>
  <si>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</si>
  <si>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</si>
  <si>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</si>
  <si>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</si>
  <si>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</si>
  <si>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</si>
  <si>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</si>
  <si>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</si>
  <si>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</si>
  <si>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</si>
  <si>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</si>
  <si>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</si>
  <si>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</si>
  <si>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</si>
  <si>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</si>
  <si>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</si>
  <si>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</si>
  <si>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</si>
  <si>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</si>
  <si>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</si>
  <si>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</si>
  <si>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</si>
  <si>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</si>
  <si>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</si>
  <si>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</si>
  <si>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</si>
  <si>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</si>
  <si>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</si>
  <si>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</si>
  <si>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</si>
  <si>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</si>
  <si>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</si>
  <si>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</si>
  <si>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</si>
  <si>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</si>
  <si>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</si>
  <si>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</si>
  <si>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</si>
  <si>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</si>
  <si>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</si>
  <si>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</si>
  <si>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</si>
  <si>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</si>
  <si>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</si>
  <si>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</si>
  <si>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</si>
  <si>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</si>
  <si>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</si>
  <si>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</si>
  <si>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</si>
  <si>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</si>
  <si>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</si>
  <si>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</si>
  <si>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</si>
  <si>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</si>
  <si>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</si>
  <si>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</si>
  <si>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</si>
  <si>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</si>
  <si>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</si>
  <si>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</si>
  <si>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</si>
  <si>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</si>
  <si>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</si>
  <si>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</si>
  <si>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</si>
  <si>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</si>
  <si>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</si>
  <si>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</si>
  <si>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</si>
  <si>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</si>
  <si>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</si>
  <si>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</si>
  <si>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</si>
  <si>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</si>
  <si>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</si>
  <si>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</si>
  <si>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</si>
  <si>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</si>
  <si>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</si>
  <si>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</si>
  <si>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</si>
  <si>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</si>
  <si>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</si>
  <si>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</si>
  <si>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</si>
  <si>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</si>
  <si>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</si>
  <si>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</si>
  <si>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</si>
  <si>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</si>
  <si>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</si>
  <si>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</si>
  <si>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</si>
  <si>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</si>
  <si>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</si>
  <si>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</si>
  <si>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</si>
  <si>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</si>
  <si>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</si>
  <si>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</si>
  <si>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</si>
  <si>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</si>
  <si>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</si>
  <si>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</si>
  <si>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</si>
  <si>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</si>
  <si>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</si>
  <si>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</si>
  <si>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</si>
  <si>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</si>
  <si>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</si>
  <si>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</si>
  <si>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</si>
  <si>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</si>
  <si>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</si>
  <si>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</si>
  <si>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</si>
  <si>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</si>
  <si>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</si>
  <si>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</si>
  <si>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</si>
  <si>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</si>
  <si>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</si>
  <si>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</si>
  <si>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</si>
  <si>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</si>
  <si>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</si>
  <si>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</si>
  <si>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</si>
  <si>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</si>
  <si>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</si>
  <si>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</si>
  <si>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</si>
  <si>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</si>
  <si>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</si>
  <si>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</si>
  <si>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</si>
  <si>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</si>
  <si>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</si>
  <si>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</si>
  <si>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</si>
  <si>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</si>
  <si>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</si>
  <si>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</si>
  <si>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</si>
  <si>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</si>
  <si>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</si>
  <si>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</si>
  <si>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</si>
  <si>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</si>
  <si>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</si>
  <si>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</si>
  <si>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</si>
  <si>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</si>
  <si>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</si>
  <si>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</si>
  <si>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</si>
  <si>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</si>
  <si>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</si>
  <si>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</si>
  <si>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</si>
  <si>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</si>
  <si>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</si>
  <si>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</si>
  <si>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</si>
  <si>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</si>
  <si>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</si>
  <si>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</si>
  <si>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</si>
  <si>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</si>
  <si>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</si>
  <si>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</si>
  <si>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</si>
  <si>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</si>
  <si>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</si>
  <si>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</si>
  <si>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</si>
  <si>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</si>
  <si>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</si>
  <si>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</si>
  <si>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</si>
  <si>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</si>
  <si>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</si>
  <si>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</si>
  <si>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</si>
  <si>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</si>
  <si>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</si>
  <si>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</si>
  <si>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</si>
  <si>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</si>
  <si>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</si>
  <si>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</si>
  <si>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</si>
  <si>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</si>
  <si>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</si>
  <si>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</si>
  <si>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</si>
  <si>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</si>
  <si>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</si>
  <si>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</si>
  <si>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</si>
  <si>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</si>
  <si>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</si>
  <si>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</si>
  <si>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</si>
  <si>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</si>
  <si>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</si>
  <si>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</si>
  <si>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</si>
  <si>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</si>
  <si>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</si>
  <si>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</si>
  <si>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</si>
  <si>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</si>
  <si>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</si>
  <si>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</si>
  <si>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</si>
  <si>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</si>
  <si>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</si>
  <si>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</si>
  <si>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</si>
  <si>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</si>
  <si>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</si>
  <si>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</si>
  <si>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</si>
  <si>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</si>
  <si>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</si>
  <si>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</si>
  <si>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</si>
  <si>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</si>
  <si>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</si>
  <si>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</si>
  <si>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</si>
  <si>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</si>
  <si>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</si>
  <si>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</si>
  <si>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</si>
  <si>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</si>
  <si>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</si>
  <si>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</si>
  <si>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</si>
  <si>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</si>
  <si>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</si>
  <si>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</si>
  <si>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</si>
  <si>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</si>
  <si>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</si>
  <si>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</si>
  <si>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</si>
  <si>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</si>
  <si>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</si>
  <si>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</si>
  <si>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</si>
  <si>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</si>
  <si>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</si>
  <si>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</si>
  <si>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</si>
  <si>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</si>
  <si>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</si>
  <si>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</si>
  <si>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</si>
  <si>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</si>
  <si>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</si>
  <si>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</si>
  <si>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</si>
  <si>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</si>
  <si>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</si>
  <si>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</si>
  <si>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</si>
  <si>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</si>
  <si>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</si>
  <si>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</si>
  <si>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</si>
  <si>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</si>
  <si>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</si>
  <si>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</si>
  <si>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</si>
  <si>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</si>
  <si>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</si>
  <si>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</si>
  <si>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</si>
  <si>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</si>
  <si>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</si>
  <si>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</si>
  <si>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</si>
  <si>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</si>
  <si>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</si>
  <si>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</si>
  <si>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</si>
  <si>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</si>
  <si>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</si>
  <si>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</si>
  <si>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</si>
  <si>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</si>
  <si>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</si>
  <si>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</si>
  <si>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</si>
  <si>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</si>
  <si>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</si>
  <si>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</si>
  <si>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</si>
  <si>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</si>
  <si>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</si>
  <si>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</si>
  <si>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</si>
  <si>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</si>
  <si>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</si>
  <si>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</si>
  <si>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</si>
  <si>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</si>
  <si>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</si>
  <si>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</si>
  <si>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</si>
  <si>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</si>
  <si>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</si>
  <si>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</si>
  <si>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</si>
  <si>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</si>
  <si>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</si>
  <si>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</si>
  <si>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</si>
  <si>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</si>
  <si>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</si>
  <si>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</si>
  <si>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</si>
  <si>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</si>
  <si>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</si>
  <si>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</si>
  <si>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</si>
  <si>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</si>
  <si>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</si>
  <si>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</si>
  <si>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</si>
  <si>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</si>
  <si>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</si>
  <si>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</si>
  <si>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</si>
  <si>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</si>
  <si>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</si>
  <si>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</si>
  <si>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</si>
  <si>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</si>
  <si>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</si>
  <si>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</si>
  <si>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</si>
  <si>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</si>
  <si>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</si>
  <si>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</si>
  <si>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</si>
  <si>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</si>
  <si>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</si>
  <si>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</si>
  <si>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</si>
  <si>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</si>
  <si>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</si>
  <si>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</si>
  <si>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</si>
  <si>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</si>
  <si>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</si>
  <si>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</si>
  <si>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</si>
  <si>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</si>
  <si>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</si>
  <si>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</si>
  <si>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</si>
  <si>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</si>
  <si>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</si>
  <si>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</si>
  <si>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</si>
  <si>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</si>
  <si>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</si>
  <si>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</si>
  <si>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</si>
  <si>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</si>
  <si>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</si>
  <si>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</si>
  <si>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</si>
  <si>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</si>
  <si>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</si>
  <si>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</si>
  <si>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</si>
  <si>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</si>
  <si>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</si>
  <si>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</si>
  <si>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</si>
  <si>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</si>
  <si>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</si>
  <si>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</si>
  <si>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</si>
  <si>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</si>
  <si>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</si>
  <si>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</si>
  <si>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</si>
  <si>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</si>
  <si>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</si>
  <si>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</si>
  <si>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</si>
  <si>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</si>
  <si>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</si>
  <si>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</si>
  <si>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</si>
  <si>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</si>
  <si>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</si>
  <si>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</si>
  <si>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</si>
  <si>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</si>
  <si>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</si>
  <si>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</si>
  <si>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</si>
  <si>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</si>
  <si>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</si>
  <si>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</si>
  <si>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</si>
  <si>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</si>
  <si>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</si>
  <si>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</si>
  <si>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</si>
  <si>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</si>
  <si>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</si>
  <si>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</si>
  <si>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</si>
  <si>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</si>
  <si>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</si>
  <si>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</si>
  <si>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</si>
  <si>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</si>
  <si>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</si>
  <si>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</si>
  <si>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</si>
  <si>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</si>
  <si>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</si>
  <si>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</si>
  <si>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</si>
  <si>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</si>
  <si>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</si>
  <si>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</si>
  <si>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</si>
  <si>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</si>
  <si>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</si>
  <si>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</si>
  <si>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</si>
  <si>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</si>
  <si>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</si>
  <si>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</si>
  <si>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</si>
  <si>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</si>
  <si>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</si>
  <si>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</si>
  <si>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</si>
  <si>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</si>
  <si>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</si>
  <si>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</si>
  <si>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</si>
  <si>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</si>
  <si>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</si>
  <si>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</si>
  <si>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</si>
  <si>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</si>
  <si>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</si>
  <si>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</si>
  <si>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</si>
  <si>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</si>
  <si>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</si>
  <si>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</si>
  <si>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</si>
  <si>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</si>
  <si>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</si>
  <si>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</si>
  <si>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</si>
  <si>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</si>
  <si>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</si>
  <si>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</si>
  <si>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</si>
  <si>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</si>
  <si>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</si>
  <si>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</si>
  <si>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</si>
  <si>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</si>
  <si>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</si>
  <si>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</si>
  <si>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</si>
  <si>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</si>
  <si>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</si>
  <si>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</si>
  <si>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</si>
  <si>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</si>
  <si>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</si>
  <si>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</si>
  <si>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</si>
  <si>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</si>
  <si>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</si>
  <si>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</si>
  <si>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</si>
  <si>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</si>
  <si>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</si>
  <si>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</si>
  <si>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</si>
  <si>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</si>
  <si>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</si>
  <si>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</si>
  <si>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</si>
  <si>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</si>
  <si>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</si>
  <si>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</si>
  <si>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</si>
  <si>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</si>
  <si>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</si>
  <si>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</si>
  <si>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</si>
  <si>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</si>
  <si>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</si>
  <si>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</si>
  <si>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</si>
  <si>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</si>
  <si>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</si>
  <si>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</si>
  <si>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</si>
  <si>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</si>
  <si>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</si>
  <si>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</si>
  <si>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</si>
  <si>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</si>
  <si>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</si>
  <si>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</si>
  <si>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</si>
  <si>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</si>
  <si>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</si>
  <si>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</si>
  <si>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</si>
  <si>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</si>
  <si>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</si>
  <si>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</si>
  <si>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</si>
  <si>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</si>
  <si>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</si>
  <si>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</si>
  <si>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</si>
  <si>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</si>
  <si>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</si>
  <si>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</si>
  <si>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</si>
  <si>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</si>
  <si>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</si>
  <si>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</si>
  <si>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</si>
  <si>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</si>
  <si>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</si>
  <si>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</si>
  <si>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</si>
  <si>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</si>
  <si>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</si>
  <si>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</si>
  <si>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</si>
  <si>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</si>
  <si>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</si>
  <si>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</si>
  <si>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</si>
  <si>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</si>
  <si>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</si>
  <si>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</si>
  <si>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</si>
  <si>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</si>
  <si>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</si>
  <si>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</si>
  <si>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</si>
  <si>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</si>
  <si>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</si>
  <si>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</si>
  <si>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</si>
  <si>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</si>
  <si>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</si>
  <si>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</si>
  <si>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</si>
  <si>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</si>
  <si>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</si>
  <si>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</si>
  <si>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</si>
  <si>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</si>
  <si>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</si>
  <si>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</si>
  <si>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</si>
  <si>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</si>
  <si>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</si>
  <si>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</si>
  <si>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</si>
  <si>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</si>
  <si>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</si>
  <si>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</si>
  <si>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</si>
  <si>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</si>
  <si>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</si>
  <si>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</si>
  <si>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</si>
  <si>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</si>
  <si>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</si>
  <si>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</si>
  <si>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</si>
  <si>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</si>
  <si>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</si>
  <si>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</si>
  <si>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</si>
  <si>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</si>
  <si>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</si>
  <si>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</si>
  <si>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</si>
  <si>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</si>
  <si>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</si>
  <si>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</si>
  <si>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</si>
  <si>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</si>
  <si>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</si>
  <si>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</si>
  <si>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</si>
  <si>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</si>
  <si>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</si>
  <si>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</si>
  <si>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</si>
  <si>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</si>
  <si>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</si>
  <si>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</si>
  <si>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</si>
  <si>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</si>
  <si>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</si>
  <si>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</si>
  <si>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</si>
  <si>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</si>
  <si>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</si>
  <si>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</si>
  <si>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</si>
  <si>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</si>
  <si>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</si>
  <si>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</si>
  <si>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</si>
  <si>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</si>
  <si>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</si>
  <si>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</si>
  <si>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</si>
  <si>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</si>
  <si>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</si>
  <si>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</si>
  <si>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</si>
  <si>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</si>
  <si>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</si>
  <si>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</si>
  <si>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</si>
  <si>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</si>
  <si>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</si>
  <si>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</si>
  <si>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</si>
  <si>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</si>
  <si>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</si>
  <si>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</si>
  <si>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</si>
  <si>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</si>
  <si>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</si>
  <si>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</si>
  <si>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</si>
  <si>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</si>
  <si>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</si>
  <si>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</si>
  <si>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</si>
  <si>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</si>
  <si>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</si>
  <si>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</si>
  <si>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</si>
  <si>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</si>
  <si>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</si>
  <si>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</si>
  <si>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</si>
  <si>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</si>
  <si>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</si>
  <si>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</si>
  <si>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</si>
  <si>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</si>
  <si>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</si>
  <si>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</si>
  <si>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</si>
  <si>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</si>
  <si>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</si>
  <si>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</si>
  <si>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</si>
  <si>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</si>
  <si>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</si>
  <si>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</si>
  <si>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</si>
  <si>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</si>
  <si>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</si>
  <si>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</si>
  <si>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</si>
  <si>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</si>
  <si>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</si>
  <si>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</si>
  <si>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</si>
  <si>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</si>
  <si>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</si>
  <si>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</si>
  <si>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</si>
  <si>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</si>
  <si>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</si>
  <si>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</si>
  <si>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</si>
  <si>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</si>
  <si>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</si>
  <si>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</si>
  <si>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</si>
  <si>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</si>
  <si>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</si>
  <si>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</si>
  <si>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</si>
  <si>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</si>
  <si>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</si>
  <si>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</si>
  <si>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</si>
  <si>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</si>
  <si>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</si>
  <si>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</si>
  <si>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</si>
  <si>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</si>
  <si>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</si>
  <si>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</si>
  <si>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</si>
  <si>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</si>
  <si>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</si>
  <si>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</si>
  <si>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</si>
  <si>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</si>
  <si>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</si>
  <si>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</si>
  <si>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</si>
  <si>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</si>
  <si>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</si>
  <si>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</si>
  <si>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</si>
  <si>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</si>
  <si>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</si>
  <si>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</si>
  <si>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</si>
  <si>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</si>
  <si>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</si>
  <si>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</si>
  <si>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</si>
  <si>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</si>
  <si>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</si>
  <si>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</si>
  <si>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</si>
  <si>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</si>
  <si>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</si>
  <si>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</si>
  <si>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</si>
  <si>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</si>
  <si>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</si>
  <si>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</si>
  <si>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</si>
  <si>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</si>
  <si>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</si>
  <si>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</si>
  <si>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</si>
  <si>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</si>
  <si>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</si>
  <si>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</si>
  <si>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</si>
  <si>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</si>
  <si>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</si>
  <si>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</si>
  <si>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</si>
  <si>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</si>
  <si>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</si>
  <si>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</si>
  <si>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</si>
  <si>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</si>
  <si>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</si>
  <si>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</si>
  <si>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</si>
  <si>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</si>
  <si>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</si>
  <si>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</si>
  <si>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</si>
  <si>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</si>
  <si>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</si>
  <si>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</si>
  <si>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</si>
  <si>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</si>
  <si>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</si>
  <si>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</si>
  <si>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</si>
  <si>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</si>
  <si>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</si>
  <si>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</si>
  <si>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</si>
  <si>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</si>
  <si>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</si>
  <si>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</si>
  <si>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</si>
  <si>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</si>
  <si>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</si>
  <si>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</si>
  <si>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</si>
  <si>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</si>
  <si>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</si>
  <si>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</si>
  <si>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</si>
  <si>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</si>
  <si>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</si>
  <si>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</si>
  <si>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</si>
  <si>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</si>
  <si>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</si>
  <si>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</si>
  <si>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</si>
  <si>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</si>
  <si>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</si>
  <si>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</si>
  <si>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</si>
  <si>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</si>
  <si>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</si>
  <si>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</si>
  <si>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</si>
  <si>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</si>
  <si>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</si>
  <si>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</si>
  <si>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</si>
  <si>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</si>
  <si>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</si>
  <si>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</si>
  <si>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</si>
  <si>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</si>
  <si>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</si>
  <si>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</si>
  <si>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</si>
  <si>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</si>
  <si>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</si>
  <si>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</si>
  <si>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</si>
  <si>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</si>
  <si>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</si>
  <si>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</si>
  <si>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</si>
  <si>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</si>
  <si>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</si>
  <si>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</si>
  <si>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</si>
  <si>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</si>
  <si>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</si>
  <si>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</si>
  <si>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</si>
  <si>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</si>
  <si>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</si>
  <si>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</si>
  <si>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</si>
  <si>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</si>
  <si>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</si>
  <si>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</si>
  <si>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</si>
  <si>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</si>
  <si>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</si>
  <si>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</si>
  <si>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</si>
  <si>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</si>
  <si>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</si>
  <si>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</si>
  <si>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</si>
  <si>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</si>
  <si>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</si>
  <si>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</si>
  <si>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</si>
  <si>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</si>
  <si>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</si>
  <si>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</si>
  <si>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</si>
  <si>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</si>
  <si>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</si>
  <si>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</si>
  <si>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</si>
  <si>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</si>
  <si>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</si>
  <si>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</si>
  <si>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</si>
  <si>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</si>
  <si>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</si>
  <si>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</si>
  <si>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</si>
  <si>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</si>
  <si>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</si>
  <si>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</si>
  <si>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</si>
  <si>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</si>
  <si>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</si>
  <si>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</si>
  <si>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</si>
  <si>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</si>
  <si>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</si>
  <si>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</si>
  <si>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</si>
  <si>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</si>
  <si>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</si>
  <si>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</si>
  <si>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</si>
  <si>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</si>
  <si>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</si>
  <si>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</si>
  <si>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</si>
  <si>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</si>
  <si>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</si>
  <si>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</si>
  <si>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</si>
  <si>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</si>
  <si>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</si>
  <si>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</si>
  <si>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</si>
  <si>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</si>
  <si>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</si>
  <si>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</si>
  <si>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</si>
  <si>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</si>
  <si>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</si>
  <si>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</si>
  <si>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</si>
  <si>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</si>
  <si>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</si>
  <si>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</si>
  <si>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</si>
  <si>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</si>
  <si>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</si>
  <si>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</si>
  <si>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</si>
  <si>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</si>
  <si>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</si>
  <si>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</si>
  <si>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</si>
  <si>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</si>
  <si>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</si>
  <si>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</si>
  <si>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</si>
  <si>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</si>
  <si>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</si>
  <si>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</si>
  <si>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</si>
  <si>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</si>
  <si>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</si>
  <si>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</si>
  <si>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</si>
  <si>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</si>
  <si>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</si>
  <si>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</si>
  <si>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</si>
  <si>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</si>
  <si>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</si>
  <si>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</si>
  <si>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</si>
  <si>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</si>
  <si>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</si>
  <si>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</si>
  <si>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</si>
  <si>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</si>
  <si>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</si>
  <si>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</si>
  <si>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</si>
  <si>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</si>
  <si>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</si>
  <si>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</si>
  <si>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</si>
  <si>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</si>
  <si>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</si>
  <si>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</si>
  <si>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</si>
  <si>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</si>
  <si>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</si>
  <si>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</si>
  <si>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</si>
  <si>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</si>
  <si>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</si>
  <si>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</si>
  <si>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</si>
  <si>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</si>
  <si>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</si>
  <si>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</si>
  <si>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</si>
  <si>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</si>
  <si>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</si>
  <si>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</si>
  <si>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</si>
  <si>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</si>
  <si>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</si>
  <si>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</si>
  <si>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</si>
  <si>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</si>
  <si>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</si>
  <si>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</si>
  <si>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</si>
  <si>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</si>
  <si>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</si>
  <si>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</si>
  <si>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</si>
  <si>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</si>
  <si>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</si>
  <si>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</si>
  <si>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</si>
  <si>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</si>
  <si>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</si>
  <si>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</si>
  <si>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</si>
  <si>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</si>
  <si>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</si>
  <si>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</si>
  <si>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</si>
  <si>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</si>
  <si>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</si>
  <si>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</si>
  <si>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</si>
  <si>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</si>
  <si>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</si>
  <si>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</si>
  <si>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</si>
  <si>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</si>
  <si>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</si>
  <si>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</si>
  <si>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</si>
  <si>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</si>
  <si>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</si>
  <si>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</si>
  <si>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</si>
  <si>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</si>
  <si>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</si>
  <si>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</si>
  <si>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</si>
  <si>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</si>
  <si>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</si>
  <si>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</si>
  <si>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</si>
  <si>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</si>
  <si>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</si>
  <si>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</si>
  <si>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</si>
  <si>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</si>
  <si>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</si>
  <si>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</si>
  <si>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</si>
  <si>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</si>
  <si>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</si>
  <si>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</si>
  <si>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</si>
  <si>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</si>
  <si>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</si>
  <si>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</si>
  <si>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</si>
  <si>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</si>
  <si>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</si>
  <si>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</si>
  <si>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</si>
  <si>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</si>
  <si>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</si>
  <si>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</si>
  <si>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</si>
  <si>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</si>
  <si>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</si>
  <si>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</si>
  <si>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</si>
  <si>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</si>
  <si>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</si>
  <si>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</si>
  <si>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</si>
  <si>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</si>
  <si>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</si>
  <si>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</si>
  <si>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</si>
  <si>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</si>
  <si>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</si>
  <si>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</si>
  <si>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</si>
  <si>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</si>
  <si>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</si>
  <si>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</si>
  <si>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</si>
  <si>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</si>
  <si>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</si>
  <si>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</si>
  <si>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</si>
  <si>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</si>
  <si>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</si>
  <si>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</si>
  <si>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</si>
  <si>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</si>
  <si>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</si>
  <si>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</si>
  <si>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</si>
  <si>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</si>
  <si>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</si>
  <si>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</si>
  <si>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</si>
  <si>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</si>
  <si>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</si>
  <si>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</si>
  <si>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</si>
  <si>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</si>
  <si>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</si>
  <si>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</si>
  <si>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</si>
  <si>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</si>
  <si>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</si>
  <si>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</si>
  <si>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</si>
  <si>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</si>
  <si>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</si>
  <si>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</si>
  <si>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</si>
  <si>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</si>
  <si>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</si>
  <si>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</si>
  <si>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</si>
  <si>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</si>
  <si>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</si>
  <si>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</si>
  <si>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</si>
  <si>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</si>
  <si>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</si>
  <si>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</si>
  <si>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</si>
  <si>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</si>
  <si>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</si>
  <si>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</si>
  <si>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</si>
  <si>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</si>
  <si>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</si>
  <si>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</si>
  <si>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</si>
  <si>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</si>
  <si>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</si>
  <si>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</si>
  <si>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</si>
  <si>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</si>
  <si>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</si>
  <si>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</si>
  <si>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</si>
  <si>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</si>
  <si>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</si>
  <si>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</si>
  <si>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</si>
  <si>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</si>
  <si>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</si>
  <si>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</si>
  <si>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</si>
  <si>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</si>
  <si>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</si>
  <si>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</si>
  <si>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</si>
  <si>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</si>
  <si>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</si>
  <si>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</si>
  <si>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</si>
  <si>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</si>
  <si>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</si>
  <si>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</si>
  <si>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</si>
  <si>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</si>
  <si>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</si>
  <si>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</si>
  <si>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</si>
  <si>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</si>
  <si>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</si>
  <si>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</si>
  <si>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</si>
  <si>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</si>
  <si>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</si>
  <si>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</si>
  <si>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</si>
  <si>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</si>
  <si>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</si>
  <si>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</si>
  <si>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</si>
  <si>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</si>
  <si>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</si>
  <si>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</si>
  <si>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</si>
  <si>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</si>
  <si>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</si>
  <si>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</si>
  <si>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</si>
  <si>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</si>
  <si>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</si>
  <si>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</si>
  <si>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</si>
  <si>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</si>
  <si>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</si>
  <si>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</si>
  <si>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</si>
  <si>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</si>
  <si>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</si>
  <si>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</si>
  <si>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</si>
  <si>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</si>
  <si>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</si>
  <si>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</si>
  <si>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</si>
  <si>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</si>
  <si>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</si>
  <si>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</si>
  <si>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</si>
  <si>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</si>
  <si>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</si>
  <si>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</si>
  <si>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</si>
  <si>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</si>
  <si>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</si>
  <si>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</si>
  <si>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</si>
  <si>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</si>
  <si>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</si>
  <si>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</si>
  <si>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</si>
  <si>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</si>
  <si>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</si>
  <si>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</si>
  <si>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</si>
  <si>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</si>
  <si>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</si>
  <si>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</si>
  <si>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</si>
  <si>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</si>
  <si>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</si>
  <si>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</si>
  <si>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</si>
  <si>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</si>
  <si>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</si>
  <si>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</si>
  <si>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</si>
  <si>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</si>
  <si>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</si>
  <si>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</si>
  <si>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</si>
  <si>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</si>
  <si>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</si>
  <si>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</si>
  <si>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</si>
  <si>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</si>
  <si>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</si>
  <si>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</si>
  <si>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</si>
  <si>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</si>
  <si>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</si>
  <si>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</si>
  <si>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</si>
  <si>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</si>
  <si>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</si>
  <si>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</si>
  <si>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</si>
  <si>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</si>
  <si>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</si>
  <si>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</si>
  <si>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</si>
  <si>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</si>
  <si>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</si>
  <si>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</si>
  <si>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</si>
  <si>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</si>
  <si>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</si>
  <si>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</si>
  <si>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</si>
  <si>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</si>
  <si>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</si>
  <si>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</si>
  <si>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</si>
  <si>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</si>
  <si>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</si>
  <si>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</si>
  <si>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</si>
  <si>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</si>
  <si>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</si>
  <si>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</si>
  <si>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</si>
  <si>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</si>
  <si>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</si>
  <si>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</si>
  <si>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</si>
  <si>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</si>
  <si>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</si>
  <si>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</si>
  <si>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</si>
  <si>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</si>
  <si>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</si>
  <si>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</si>
  <si>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</si>
  <si>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</si>
  <si>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</si>
  <si>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</si>
  <si>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</si>
  <si>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</si>
  <si>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</si>
  <si>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</si>
  <si>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</si>
  <si>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</si>
  <si>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</si>
  <si>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</si>
  <si>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</si>
  <si>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</si>
  <si>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</si>
  <si>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</si>
  <si>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</si>
  <si>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</si>
  <si>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</si>
  <si>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</si>
  <si>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</si>
  <si>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</si>
  <si>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</si>
  <si>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</si>
  <si>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</si>
  <si>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</si>
  <si>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</si>
  <si>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</si>
  <si>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</si>
  <si>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</si>
  <si>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</si>
  <si>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</si>
  <si>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</si>
  <si>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</si>
  <si>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</si>
  <si>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</si>
  <si>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</si>
  <si>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</si>
  <si>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</si>
  <si>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</si>
  <si>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</si>
  <si>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</si>
  <si>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</si>
  <si>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</si>
  <si>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</si>
  <si>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</si>
  <si>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</si>
  <si>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</si>
  <si>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</si>
  <si>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</si>
  <si>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</si>
  <si>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</si>
  <si>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</si>
  <si>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</si>
  <si>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</si>
  <si>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</si>
  <si>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</si>
  <si>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</si>
  <si>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</si>
  <si>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</si>
  <si>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</si>
  <si>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</si>
  <si>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</si>
  <si>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</si>
  <si>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</si>
  <si>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</si>
  <si>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</si>
  <si>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</si>
  <si>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</si>
  <si>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</si>
  <si>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</si>
  <si>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</si>
  <si>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</si>
  <si>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</si>
  <si>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</si>
  <si>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</si>
  <si>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</si>
  <si>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</si>
  <si>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</si>
  <si>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</si>
  <si>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</si>
  <si>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</si>
  <si>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</si>
  <si>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</si>
  <si>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</si>
  <si>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</si>
  <si>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</si>
  <si>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</si>
  <si>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</si>
  <si>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</si>
  <si>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</si>
  <si>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</si>
  <si>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</si>
  <si>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</si>
  <si>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</si>
  <si>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</si>
  <si>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</si>
  <si>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</si>
  <si>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</si>
  <si>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</si>
  <si>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</si>
  <si>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</si>
  <si>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</si>
  <si>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</si>
  <si>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</si>
  <si>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</si>
  <si>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</si>
  <si>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</si>
  <si>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</si>
  <si>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</si>
  <si>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</si>
  <si>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</si>
  <si>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</si>
  <si>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</si>
  <si>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</si>
  <si>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</si>
  <si>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</si>
  <si>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</si>
  <si>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</si>
  <si>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</si>
  <si>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</si>
  <si>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</si>
  <si>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</si>
  <si>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</si>
  <si>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</si>
  <si>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</si>
  <si>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</si>
  <si>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</si>
  <si>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</si>
  <si>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</si>
  <si>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</si>
  <si>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</si>
  <si>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</si>
  <si>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</si>
  <si>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</si>
  <si>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</si>
  <si>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</si>
  <si>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</si>
  <si>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</si>
  <si>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</si>
  <si>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</si>
  <si>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</si>
  <si>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</si>
  <si>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</si>
  <si>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</si>
  <si>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</si>
  <si>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</si>
  <si>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</si>
  <si>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</si>
  <si>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</si>
  <si>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</si>
  <si>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</si>
  <si>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</si>
  <si>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</si>
  <si>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</si>
  <si>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</si>
  <si>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</si>
  <si>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</si>
  <si>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</si>
  <si>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</si>
  <si>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</si>
  <si>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</si>
  <si>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</si>
  <si>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</si>
  <si>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</si>
  <si>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</si>
  <si>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</si>
  <si>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</si>
  <si>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</si>
  <si>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</si>
  <si>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</si>
  <si>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</si>
  <si>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</si>
  <si>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</si>
  <si>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</si>
  <si>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</si>
  <si>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</si>
  <si>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</si>
  <si>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</si>
  <si>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</si>
  <si>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</si>
  <si>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</si>
  <si>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</si>
  <si>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</si>
  <si>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</si>
  <si>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</si>
  <si>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</si>
  <si>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</si>
  <si>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</si>
  <si>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</si>
  <si>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</si>
  <si>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</si>
  <si>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</si>
  <si>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</si>
  <si>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</si>
  <si>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</si>
  <si>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</si>
  <si>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</si>
  <si>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</si>
  <si>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</si>
  <si>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</si>
  <si>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</si>
  <si>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</si>
  <si>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</si>
  <si>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</si>
  <si>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</si>
  <si>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</si>
  <si>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</si>
  <si>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</si>
  <si>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</si>
  <si>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</si>
  <si>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</si>
  <si>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</si>
  <si>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</si>
  <si>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</si>
  <si>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</si>
  <si>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</si>
  <si>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</si>
  <si>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</si>
  <si>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</si>
  <si>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</si>
  <si>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</si>
  <si>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</si>
  <si>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</si>
  <si>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</si>
  <si>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</si>
  <si>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</si>
  <si>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</si>
  <si>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</si>
  <si>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</si>
  <si>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</si>
  <si>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</si>
  <si>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</si>
  <si>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</si>
  <si>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</si>
  <si>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</si>
  <si>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</si>
  <si>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</si>
  <si>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</si>
  <si>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</si>
  <si>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</si>
  <si>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</si>
  <si>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</si>
  <si>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</si>
  <si>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</si>
  <si>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</si>
  <si>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</si>
  <si>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</si>
  <si>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</si>
  <si>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</si>
  <si>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</si>
  <si>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</si>
  <si>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</si>
  <si>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</si>
  <si>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</si>
  <si>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</si>
  <si>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</si>
  <si>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</si>
  <si>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</si>
  <si>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</si>
  <si>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</si>
  <si>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</si>
  <si>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</si>
  <si>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</si>
  <si>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</si>
  <si>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</si>
  <si>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</si>
  <si>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</si>
  <si>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</si>
  <si>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</si>
  <si>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</si>
  <si>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</si>
  <si>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</si>
  <si>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</si>
  <si>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</si>
  <si>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</si>
  <si>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</si>
  <si>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</si>
  <si>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</si>
  <si>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</si>
  <si>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</si>
  <si>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</si>
  <si>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</si>
  <si>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</si>
  <si>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</si>
  <si>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</si>
  <si>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</si>
  <si>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</si>
  <si>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</si>
  <si>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</si>
  <si>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</si>
  <si>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</si>
  <si>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</si>
  <si>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</si>
  <si>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</si>
  <si>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</si>
  <si>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</si>
  <si>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</si>
  <si>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</si>
  <si>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</si>
  <si>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</si>
  <si>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</si>
  <si>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</si>
  <si>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</si>
  <si>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</si>
  <si>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</si>
  <si>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</si>
  <si>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</si>
  <si>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</si>
  <si>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</si>
  <si>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</si>
  <si>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</si>
  <si>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</si>
  <si>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</si>
  <si>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</si>
  <si>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</si>
  <si>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</si>
  <si>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</si>
  <si>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</si>
  <si>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</si>
  <si>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</si>
  <si>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</si>
  <si>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</si>
  <si>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</si>
  <si>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</si>
  <si>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</si>
  <si>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</si>
  <si>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</si>
  <si>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</si>
  <si>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</si>
  <si>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</si>
  <si>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</si>
  <si>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</si>
  <si>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</si>
  <si>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</si>
  <si>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</si>
  <si>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</si>
  <si>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</si>
  <si>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</si>
  <si>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</si>
  <si>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</si>
  <si>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</si>
  <si>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</si>
  <si>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</si>
  <si>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</si>
  <si>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</si>
  <si>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</si>
  <si>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</si>
  <si>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</si>
  <si>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</si>
  <si>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</si>
  <si>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</si>
  <si>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</si>
  <si>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</si>
  <si>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</si>
  <si>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</si>
  <si>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</si>
  <si>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</si>
  <si>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</si>
  <si>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</si>
  <si>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</si>
  <si>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</si>
  <si>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</si>
  <si>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</si>
  <si>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</si>
  <si>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</si>
  <si>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</si>
  <si>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</si>
  <si>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</si>
  <si>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</si>
  <si>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</si>
  <si>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</si>
  <si>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</si>
  <si>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</si>
  <si>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</si>
  <si>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</si>
  <si>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</si>
  <si>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</si>
  <si>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</si>
  <si>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</si>
  <si>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</si>
  <si>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</si>
  <si>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</si>
  <si>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</si>
  <si>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</si>
  <si>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</si>
  <si>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</si>
  <si>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</si>
  <si>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</si>
  <si>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</si>
  <si>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</si>
  <si>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</si>
  <si>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</si>
  <si>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</si>
  <si>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</si>
  <si>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</si>
  <si>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</si>
  <si>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</si>
  <si>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</si>
  <si>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</si>
  <si>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</si>
  <si>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</si>
  <si>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</si>
  <si>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</si>
  <si>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</si>
  <si>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</si>
  <si>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</si>
  <si>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</si>
  <si>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</si>
  <si>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</si>
  <si>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</si>
  <si>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</si>
  <si>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</si>
  <si>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</si>
  <si>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</si>
  <si>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</si>
  <si>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</si>
  <si>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</si>
  <si>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</si>
  <si>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</si>
  <si>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</si>
  <si>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</si>
  <si>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</si>
  <si>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</si>
  <si>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</si>
  <si>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</si>
  <si>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</si>
  <si>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</si>
  <si>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</si>
  <si>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</si>
  <si>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</si>
  <si>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</si>
  <si>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</si>
  <si>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</si>
  <si>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</si>
  <si>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</si>
  <si>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</si>
  <si>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</si>
  <si>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</si>
  <si>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</si>
  <si>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</si>
  <si>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</si>
  <si>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</si>
  <si>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</si>
  <si>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</si>
  <si>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</si>
  <si>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</si>
  <si>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</si>
  <si>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</si>
  <si>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</si>
  <si>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</si>
  <si>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</si>
  <si>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</si>
  <si>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</si>
  <si>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</si>
  <si>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</si>
  <si>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</si>
  <si>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</si>
  <si>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</si>
  <si>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</si>
  <si>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</si>
  <si>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</si>
  <si>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</si>
  <si>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</si>
  <si>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</si>
  <si>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</si>
  <si>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</si>
  <si>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</si>
  <si>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</si>
  <si>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</si>
  <si>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</si>
  <si>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</si>
  <si>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</si>
  <si>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</si>
  <si>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</si>
  <si>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</si>
  <si>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</si>
  <si>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</si>
  <si>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</si>
  <si>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</si>
  <si>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</si>
  <si>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</si>
  <si>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</si>
  <si>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</si>
  <si>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</si>
  <si>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</si>
  <si>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</si>
  <si>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</si>
  <si>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</si>
  <si>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</si>
  <si>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</si>
  <si>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</si>
  <si>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</si>
  <si>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</si>
  <si>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</si>
  <si>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</si>
  <si>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</si>
  <si>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</si>
  <si>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</si>
  <si>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</si>
  <si>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</si>
  <si>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</si>
  <si>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</si>
  <si>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</si>
  <si>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</si>
  <si>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</si>
  <si>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</si>
  <si>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</si>
  <si>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</si>
  <si>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</si>
  <si>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</si>
  <si>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</si>
  <si>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</si>
  <si>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</si>
  <si>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</si>
  <si>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</si>
  <si>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</si>
  <si>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</si>
  <si>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</si>
  <si>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</si>
  <si>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</si>
  <si>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</si>
  <si>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</si>
  <si>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</si>
  <si>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</si>
  <si>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</si>
  <si>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</si>
  <si>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</si>
  <si>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</si>
  <si>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</si>
  <si>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</si>
  <si>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</si>
  <si>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</si>
  <si>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</si>
  <si>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</si>
  <si>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</si>
  <si>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</si>
  <si>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</si>
  <si>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</si>
  <si>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</si>
  <si>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</si>
  <si>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</si>
  <si>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</si>
  <si>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</si>
  <si>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</si>
  <si>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</si>
  <si>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</si>
  <si>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</si>
  <si>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</si>
  <si>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</si>
  <si>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</si>
  <si>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</si>
  <si>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</si>
  <si>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</si>
  <si>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</si>
  <si>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</si>
  <si>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</si>
  <si>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</si>
  <si>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</si>
  <si>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</si>
  <si>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</si>
  <si>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</si>
  <si>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</si>
  <si>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</si>
  <si>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</si>
  <si>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</si>
  <si>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</si>
  <si>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</si>
  <si>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</si>
  <si>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</si>
  <si>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</si>
  <si>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</si>
  <si>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</si>
  <si>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</si>
  <si>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</si>
  <si>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</si>
  <si>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</si>
  <si>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</si>
  <si>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</si>
  <si>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</si>
  <si>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</si>
  <si>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</si>
  <si>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</si>
  <si>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</si>
  <si>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</si>
  <si>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</si>
  <si>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</si>
  <si>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</si>
  <si>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</si>
  <si>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</si>
  <si>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</si>
  <si>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</si>
  <si>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</si>
  <si>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</si>
  <si>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</si>
  <si>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</si>
  <si>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</si>
  <si>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</si>
  <si>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</si>
  <si>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</si>
  <si>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</si>
  <si>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</si>
  <si>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</si>
  <si>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</si>
  <si>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</si>
  <si>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</si>
  <si>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</si>
  <si>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</si>
  <si>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</si>
  <si>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</si>
  <si>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</si>
  <si>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</si>
  <si>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</si>
  <si>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</si>
  <si>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</si>
  <si>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</si>
  <si>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</si>
  <si>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</si>
  <si>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</si>
  <si>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</si>
  <si>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</si>
  <si>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</si>
  <si>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</si>
  <si>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</si>
  <si>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</si>
  <si>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</si>
  <si>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</si>
  <si>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</si>
  <si>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</si>
  <si>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</si>
  <si>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</si>
  <si>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</si>
  <si>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</si>
  <si>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</si>
  <si>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</si>
  <si>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</si>
  <si>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</si>
  <si>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</si>
  <si>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</si>
  <si>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</si>
  <si>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</si>
  <si>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</si>
  <si>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</si>
  <si>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</si>
  <si>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</si>
  <si>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</si>
  <si>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</si>
  <si>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</si>
  <si>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</si>
  <si>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</si>
  <si>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</si>
  <si>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</si>
  <si>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</si>
  <si>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</si>
  <si>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</si>
  <si>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</si>
  <si>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</si>
  <si>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</si>
  <si>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</si>
  <si>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</si>
  <si>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</si>
  <si>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</si>
  <si>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</si>
  <si>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</si>
  <si>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</si>
  <si>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</si>
  <si>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</si>
  <si>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</si>
  <si>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</si>
  <si>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</si>
  <si>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</si>
  <si>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</si>
  <si>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</si>
  <si>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</si>
  <si>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</si>
  <si>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</si>
  <si>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</si>
  <si>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</si>
  <si>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</si>
  <si>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</si>
  <si>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</si>
  <si>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</si>
  <si>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</si>
  <si>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</si>
  <si>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</si>
  <si>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</si>
  <si>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</si>
  <si>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</si>
  <si>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</si>
  <si>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</si>
  <si>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</si>
  <si>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</si>
  <si>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</si>
  <si>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</si>
  <si>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</si>
  <si>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</si>
  <si>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</si>
  <si>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</si>
  <si>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</si>
  <si>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</si>
  <si>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</si>
  <si>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</si>
  <si>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</si>
  <si>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</si>
  <si>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</si>
  <si>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</si>
  <si>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</si>
  <si>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</si>
  <si>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</si>
  <si>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</si>
  <si>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</si>
  <si>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</si>
  <si>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</si>
  <si>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</si>
  <si>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</si>
  <si>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</si>
  <si>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</si>
  <si>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</si>
  <si>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</si>
  <si>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</si>
  <si>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</si>
  <si>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</si>
  <si>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</si>
  <si>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</si>
  <si>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</si>
  <si>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</si>
  <si>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</si>
  <si>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</si>
  <si>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</si>
  <si>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</si>
  <si>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</si>
  <si>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</si>
  <si>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</si>
  <si>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</si>
  <si>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</si>
  <si>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</si>
  <si>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</si>
  <si>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</si>
  <si>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</si>
  <si>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</si>
  <si>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</si>
  <si>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</si>
  <si>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</si>
  <si>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</si>
  <si>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</si>
  <si>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</si>
  <si>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</si>
  <si>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</si>
  <si>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</si>
  <si>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</si>
  <si>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</si>
  <si>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</si>
  <si>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</si>
  <si>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</si>
  <si>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</si>
  <si>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</si>
  <si>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</si>
  <si>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</si>
  <si>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</si>
  <si>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</si>
  <si>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</si>
  <si>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</si>
  <si>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</si>
  <si>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</si>
  <si>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</si>
  <si>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</si>
  <si>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</si>
  <si>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</si>
  <si>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</si>
  <si>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</si>
  <si>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</si>
  <si>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</si>
  <si>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</si>
  <si>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</si>
  <si>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</si>
  <si>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</si>
  <si>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</si>
  <si>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</si>
  <si>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</si>
  <si>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</si>
  <si>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</si>
  <si>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</si>
  <si>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</si>
  <si>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</si>
  <si>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</si>
  <si>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</si>
  <si>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</si>
  <si>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</si>
  <si>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</si>
  <si>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</si>
  <si>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</si>
  <si>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</si>
  <si>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</si>
  <si>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</si>
  <si>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</si>
  <si>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</si>
  <si>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</si>
  <si>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</si>
  <si>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</si>
  <si>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</si>
  <si>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</si>
  <si>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</si>
  <si>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</si>
  <si>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</si>
  <si>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</si>
  <si>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</si>
  <si>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</si>
  <si>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</si>
  <si>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</si>
  <si>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</si>
  <si>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</si>
  <si>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</si>
  <si>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</si>
  <si>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</si>
  <si>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</si>
  <si>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</si>
  <si>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</si>
  <si>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</si>
  <si>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</si>
  <si>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</si>
  <si>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</si>
  <si>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</si>
  <si>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</si>
  <si>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</si>
  <si>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</si>
  <si>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</si>
  <si>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</si>
  <si>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</si>
  <si>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</si>
  <si>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</si>
  <si>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</si>
  <si>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</si>
  <si>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</si>
  <si>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</si>
  <si>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</si>
  <si>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</si>
  <si>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</si>
  <si>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</si>
  <si>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</si>
  <si>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</si>
  <si>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</si>
  <si>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</si>
  <si>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</si>
  <si>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</si>
  <si>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</si>
  <si>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</si>
  <si>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</si>
  <si>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</si>
  <si>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</si>
  <si>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</si>
  <si>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</si>
  <si>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</si>
  <si>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</si>
  <si>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</si>
  <si>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</si>
  <si>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</si>
  <si>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</si>
  <si>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</si>
  <si>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</si>
  <si>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</si>
  <si>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</si>
  <si>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</si>
  <si>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</si>
  <si>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</si>
  <si>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</si>
  <si>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</si>
  <si>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</si>
  <si>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</si>
  <si>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</si>
  <si>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</si>
  <si>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</si>
  <si>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</si>
  <si>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</si>
  <si>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</si>
  <si>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</si>
  <si>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</si>
  <si>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</si>
  <si>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</si>
  <si>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</si>
  <si>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</si>
  <si>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</si>
  <si>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</si>
  <si>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</si>
  <si>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</si>
  <si>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</si>
  <si>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</si>
  <si>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</si>
  <si>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</si>
  <si>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</si>
  <si>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</si>
  <si>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</si>
  <si>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</si>
  <si>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</si>
  <si>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</si>
  <si>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</si>
  <si>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</si>
  <si>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</si>
  <si>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</si>
  <si>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</si>
  <si>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</si>
  <si>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</si>
  <si>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</si>
  <si>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</si>
  <si>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</si>
  <si>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</si>
  <si>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</si>
  <si>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</si>
  <si>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</si>
  <si>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</si>
  <si>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</si>
  <si>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</si>
  <si>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</si>
  <si>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</si>
  <si>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</si>
  <si>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</si>
  <si>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</si>
  <si>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</si>
  <si>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</si>
  <si>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</si>
  <si>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</si>
  <si>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</si>
  <si>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</si>
  <si>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</si>
  <si>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</si>
  <si>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</si>
  <si>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</si>
  <si>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</si>
  <si>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</si>
  <si>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</si>
  <si>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</si>
  <si>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</si>
  <si>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</si>
  <si>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</si>
  <si>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</si>
  <si>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</si>
  <si>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</si>
  <si>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</si>
  <si>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</si>
  <si>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</si>
  <si>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</si>
  <si>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</si>
  <si>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</si>
  <si>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</si>
  <si>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</si>
  <si>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</si>
  <si>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</si>
  <si>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</si>
  <si>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</si>
  <si>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</si>
  <si>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</si>
  <si>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</si>
  <si>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</si>
  <si>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</si>
  <si>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</si>
  <si>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</si>
  <si>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</si>
  <si>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</si>
  <si>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</si>
  <si>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</si>
  <si>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</si>
  <si>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</si>
  <si>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</si>
  <si>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</si>
  <si>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</si>
  <si>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</si>
  <si>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</si>
  <si>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</si>
  <si>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</si>
  <si>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</si>
  <si>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</si>
  <si>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</si>
  <si>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</si>
  <si>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</si>
  <si>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</si>
  <si>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</si>
  <si>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</si>
  <si>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</si>
  <si>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</si>
  <si>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</si>
  <si>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</si>
  <si>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</si>
  <si>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</si>
  <si>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</si>
  <si>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</si>
  <si>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</si>
  <si>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</si>
  <si>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</si>
  <si>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</si>
  <si>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</si>
  <si>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</si>
  <si>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</si>
  <si>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</si>
  <si>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</si>
  <si>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</si>
  <si>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</si>
  <si>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</si>
  <si>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</si>
  <si>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</si>
  <si>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</si>
  <si>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</si>
  <si>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</si>
  <si>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</si>
  <si>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</si>
  <si>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</si>
  <si>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</si>
  <si>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</si>
  <si>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</si>
  <si>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</si>
  <si>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</si>
  <si>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</si>
  <si>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</si>
  <si>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</si>
  <si>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</si>
  <si>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</si>
  <si>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</si>
  <si>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</si>
  <si>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</si>
  <si>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</si>
  <si>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</si>
  <si>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</si>
  <si>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</si>
  <si>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</si>
  <si>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</si>
  <si>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</si>
  <si>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</si>
  <si>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</si>
  <si>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</si>
  <si>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</si>
  <si>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</si>
  <si>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</si>
  <si>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</si>
  <si>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</si>
  <si>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</si>
  <si>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</si>
  <si>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</si>
  <si>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</si>
  <si>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</si>
  <si>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</si>
  <si>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</si>
  <si>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</si>
  <si>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</si>
  <si>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</si>
  <si>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</si>
  <si>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</si>
  <si>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</si>
  <si>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</si>
  <si>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</si>
  <si>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</si>
  <si>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</si>
  <si>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</si>
  <si>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</si>
  <si>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</si>
  <si>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</si>
  <si>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</si>
  <si>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</si>
  <si>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</si>
  <si>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</si>
  <si>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</si>
  <si>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</si>
  <si>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</si>
  <si>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</si>
  <si>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</si>
  <si>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</si>
  <si>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</si>
  <si>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</si>
  <si>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</si>
  <si>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</si>
  <si>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</si>
  <si>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</si>
  <si>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</si>
  <si>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</si>
  <si>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</si>
  <si>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</si>
  <si>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</si>
  <si>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</si>
  <si>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</si>
  <si>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</si>
  <si>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</si>
  <si>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</si>
  <si>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</si>
  <si>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</si>
  <si>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</si>
  <si>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</si>
  <si>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</si>
  <si>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</si>
  <si>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</si>
  <si>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</si>
  <si>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</si>
  <si>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</si>
  <si>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</si>
  <si>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</si>
  <si>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</si>
  <si>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</si>
  <si>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</si>
  <si>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</si>
  <si>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</si>
  <si>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</si>
  <si>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</si>
  <si>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</si>
  <si>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</si>
  <si>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</si>
  <si>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</si>
  <si>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</si>
  <si>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</si>
  <si>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</si>
  <si>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</si>
  <si>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</si>
  <si>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</si>
  <si>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</si>
  <si>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</si>
  <si>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</si>
  <si>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</si>
  <si>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</si>
  <si>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</si>
  <si>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</si>
  <si>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</si>
  <si>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</si>
  <si>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</si>
  <si>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</si>
  <si>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</si>
  <si>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</si>
  <si>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</si>
  <si>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</si>
  <si>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</si>
  <si>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</si>
  <si>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</si>
  <si>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</si>
  <si>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</si>
  <si>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</si>
  <si>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</si>
  <si>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</si>
  <si>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</si>
  <si>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</si>
  <si>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</si>
  <si>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</si>
  <si>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</si>
  <si>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</si>
  <si>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</si>
  <si>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</si>
  <si>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</si>
  <si>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</si>
  <si>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</si>
  <si>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</si>
  <si>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</si>
  <si>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</si>
  <si>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</si>
  <si>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</si>
  <si>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</si>
  <si>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</si>
  <si>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</si>
  <si>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</si>
  <si>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</si>
  <si>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</si>
  <si>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</si>
  <si>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</si>
  <si>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</si>
  <si>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</si>
  <si>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</si>
  <si>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</si>
  <si>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</si>
  <si>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</si>
  <si>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</si>
  <si>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</si>
  <si>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</si>
  <si>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</si>
  <si>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</si>
  <si>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</si>
  <si>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</si>
  <si>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</si>
  <si>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</si>
  <si>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</si>
  <si>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</si>
  <si>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</si>
  <si>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</si>
  <si>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</si>
  <si>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</si>
  <si>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</si>
  <si>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</si>
  <si>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</si>
  <si>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</si>
  <si>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</si>
  <si>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</si>
  <si>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</si>
  <si>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</si>
  <si>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</si>
  <si>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</si>
  <si>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</si>
  <si>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</si>
  <si>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</si>
  <si>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</si>
  <si>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</si>
  <si>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Bolevec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</si>
  <si>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</si>
  <si>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</si>
  <si>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</si>
  <si>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</si>
  <si>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</si>
  <si>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</si>
  <si>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</si>
  <si>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</si>
  <si>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</si>
  <si>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</si>
  <si>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</si>
  <si>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</si>
  <si>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</si>
  <si>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</si>
  <si>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</si>
  <si>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</si>
  <si>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</si>
  <si>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</si>
  <si>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</si>
  <si>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</si>
  <si>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</si>
  <si>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</si>
  <si>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</si>
  <si>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</si>
  <si>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</si>
  <si>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Rothová Anastasia</t>
  </si>
  <si>
    <t>92:30</t>
  </si>
  <si>
    <t>29:00</t>
  </si>
  <si>
    <t>Vopatová Anna</t>
  </si>
  <si>
    <t>48:00</t>
  </si>
  <si>
    <t>Roth Stanislav ml.</t>
  </si>
  <si>
    <t>59:00</t>
  </si>
  <si>
    <t>Ženíšek Lukáš</t>
  </si>
  <si>
    <t>19:30</t>
  </si>
  <si>
    <t>Tůma Vladimír</t>
  </si>
  <si>
    <t>145:30</t>
  </si>
  <si>
    <t>Kavalír Milan</t>
  </si>
  <si>
    <t>82:00</t>
  </si>
  <si>
    <t>Vostrý Daniel</t>
  </si>
  <si>
    <t>38:00</t>
  </si>
  <si>
    <t>Světlík František</t>
  </si>
  <si>
    <t>8:00</t>
  </si>
  <si>
    <t>Horváth Petr</t>
  </si>
  <si>
    <t>26:00</t>
  </si>
  <si>
    <t>7:00</t>
  </si>
  <si>
    <t>Kneblová Anna</t>
  </si>
  <si>
    <t>Raboch Tomáš</t>
  </si>
  <si>
    <t>Mikešová Adéla</t>
  </si>
  <si>
    <t>24:00</t>
  </si>
  <si>
    <t>Tušlová Mariana</t>
  </si>
  <si>
    <t>26:30</t>
  </si>
  <si>
    <t>Vopatová Šárka</t>
  </si>
  <si>
    <t>10 min 10 s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</si>
  <si>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</si>
  <si>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</si>
  <si>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</si>
  <si>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</si>
  <si>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</si>
  <si>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Stanislav Nekvinda</t>
  </si>
  <si>
    <t>10:00 - 17:00 (Instor)</t>
  </si>
  <si>
    <t>9:00 - 17:00 (Instor)</t>
  </si>
  <si>
    <t>9:00 - 1:00 (Instor)</t>
  </si>
  <si>
    <t>17:00 - 1:00 (Instor)</t>
  </si>
  <si>
    <t>Anastasiia Rothova</t>
  </si>
  <si>
    <t>19:00 - 1:00 (Instor)</t>
  </si>
  <si>
    <t>9:00 - 0:00 (Instor)</t>
  </si>
  <si>
    <t>Giulia Laura Klapperová</t>
  </si>
  <si>
    <t>11:00 - 17:00 (Lobby)</t>
  </si>
  <si>
    <t>Stanislav Roth</t>
  </si>
  <si>
    <t>12:00 - 1:00 (Instor)</t>
  </si>
  <si>
    <t>17:00 - 19:00 (Instor)</t>
  </si>
  <si>
    <t>17:00 - 3:00 (Instor)</t>
  </si>
  <si>
    <t>Vladimír Tůma</t>
  </si>
  <si>
    <t>Pavlína Kynclová</t>
  </si>
  <si>
    <t>11:00 - 17:00 (Kurýr)</t>
  </si>
  <si>
    <t>11:00 - 3:00 (Kurýr)</t>
  </si>
  <si>
    <t>17:00 - 3:00 (Kurýr)</t>
  </si>
  <si>
    <t>Anna Vopatová</t>
  </si>
  <si>
    <t>11:00 - 22:00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</si>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</sst>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4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"/>
    </font>
    <font>
      <sz val="12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Google Sans"/>
    </font>
    <font>
      <b/>
      <sz val="25.0"/>
      <color rgb="FF000000"/>
      <name val="Google Sans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7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quotePrefix="1"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vertical="bottom"/>
    </xf>
    <xf borderId="1" fillId="2" fontId="1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5" fillId="4" fontId="6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5" fontId="8" numFmtId="10" xfId="0" applyAlignment="1" applyFill="1" applyFont="1" applyNumberFormat="1">
      <alignment horizontal="center" vertical="center"/>
    </xf>
    <xf borderId="1" fillId="0" fontId="5" numFmtId="0" xfId="0" applyBorder="1" applyFont="1"/>
    <xf borderId="0" fillId="6" fontId="6" numFmtId="166" xfId="0" applyAlignment="1" applyFill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6" fontId="10" numFmtId="166" xfId="0" applyAlignment="1" applyBorder="1" applyFont="1" applyNumberFormat="1">
      <alignment horizontal="center" vertical="center"/>
    </xf>
    <xf borderId="3" fillId="3" fontId="11" numFmtId="167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3" fillId="8" fontId="6" numFmtId="0" xfId="0" applyAlignment="1" applyBorder="1" applyFill="1" applyFont="1">
      <alignment horizontal="left" vertical="center"/>
    </xf>
    <xf borderId="16" fillId="7" fontId="9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vertical="center"/>
    </xf>
    <xf borderId="3" fillId="10" fontId="1" numFmtId="0" xfId="0" applyBorder="1" applyFill="1" applyFont="1"/>
    <xf borderId="17" fillId="7" fontId="9" numFmtId="0" xfId="0" applyAlignment="1" applyBorder="1" applyFont="1">
      <alignment horizontal="center" vertical="center"/>
    </xf>
    <xf borderId="1" fillId="6" fontId="10" numFmtId="166" xfId="0" applyAlignment="1" applyBorder="1" applyFont="1" applyNumberFormat="1">
      <alignment horizontal="center" vertical="center"/>
    </xf>
    <xf borderId="18" fillId="0" fontId="5" numFmtId="0" xfId="0" applyBorder="1" applyFont="1"/>
    <xf borderId="14" fillId="4" fontId="7" numFmtId="0" xfId="0" applyAlignment="1" applyBorder="1" applyFont="1">
      <alignment horizontal="center" vertical="center"/>
    </xf>
    <xf borderId="19" fillId="7" fontId="9" numFmtId="0" xfId="0" applyAlignment="1" applyBorder="1" applyFont="1">
      <alignment horizontal="center" vertical="center"/>
    </xf>
    <xf borderId="20" fillId="9" fontId="10" numFmtId="166" xfId="0" applyAlignment="1" applyBorder="1" applyFont="1" applyNumberFormat="1">
      <alignment horizontal="center" vertical="center"/>
    </xf>
    <xf borderId="10" fillId="4" fontId="1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21" fillId="7" fontId="9" numFmtId="0" xfId="0" applyAlignment="1" applyBorder="1" applyFont="1">
      <alignment horizontal="center" vertical="center"/>
    </xf>
    <xf borderId="22" fillId="9" fontId="10" numFmtId="166" xfId="0" applyAlignment="1" applyBorder="1" applyFont="1" applyNumberFormat="1">
      <alignment horizontal="center" vertical="center"/>
    </xf>
    <xf borderId="16" fillId="0" fontId="13" numFmtId="0" xfId="0" applyAlignment="1" applyBorder="1" applyFont="1">
      <alignment horizontal="center" vertical="center"/>
    </xf>
    <xf borderId="12" fillId="0" fontId="13" numFmtId="20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horizontal="center" vertical="center"/>
    </xf>
    <xf borderId="0" fillId="9" fontId="14" numFmtId="0" xfId="0" applyAlignment="1" applyFont="1">
      <alignment horizontal="center" vertical="center"/>
    </xf>
    <xf borderId="3" fillId="11" fontId="15" numFmtId="166" xfId="0" applyAlignment="1" applyBorder="1" applyFill="1" applyFont="1" applyNumberFormat="1">
      <alignment horizontal="center" vertical="center"/>
    </xf>
    <xf borderId="23" fillId="7" fontId="9" numFmtId="0" xfId="0" applyAlignment="1" applyBorder="1" applyFont="1">
      <alignment horizontal="center" vertical="center"/>
    </xf>
    <xf borderId="24" fillId="9" fontId="10" numFmtId="166" xfId="0" applyAlignment="1" applyBorder="1" applyFont="1" applyNumberFormat="1">
      <alignment horizontal="center" vertical="center"/>
    </xf>
    <xf borderId="0" fillId="5" fontId="16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vertical="center"/>
    </xf>
    <xf borderId="12" fillId="9" fontId="1" numFmtId="49" xfId="0" applyAlignment="1" applyBorder="1" applyFont="1" applyNumberFormat="1">
      <alignment horizontal="center" vertical="center"/>
    </xf>
    <xf borderId="25" fillId="9" fontId="1" numFmtId="49" xfId="0" applyAlignment="1" applyBorder="1" applyFont="1" applyNumberFormat="1">
      <alignment horizontal="center" vertical="center"/>
    </xf>
    <xf borderId="26" fillId="12" fontId="17" numFmtId="0" xfId="0" applyAlignment="1" applyBorder="1" applyFill="1" applyFont="1">
      <alignment horizontal="center" vertical="center"/>
    </xf>
    <xf borderId="27" fillId="4" fontId="7" numFmtId="0" xfId="0" applyAlignment="1" applyBorder="1" applyFont="1">
      <alignment horizontal="center" vertical="center"/>
    </xf>
    <xf borderId="28" fillId="0" fontId="5" numFmtId="0" xfId="0" applyBorder="1" applyFont="1"/>
    <xf borderId="13" fillId="9" fontId="10" numFmtId="166" xfId="0" applyAlignment="1" applyBorder="1" applyFont="1" applyNumberFormat="1">
      <alignment horizontal="center" vertical="center"/>
    </xf>
    <xf borderId="0" fillId="8" fontId="1" numFmtId="0" xfId="0" applyAlignment="1" applyFont="1">
      <alignment horizontal="center" vertical="center"/>
    </xf>
    <xf borderId="12" fillId="7" fontId="13" numFmtId="0" xfId="0" applyAlignment="1" applyBorder="1" applyFont="1">
      <alignment horizontal="center" vertical="center"/>
    </xf>
    <xf borderId="25" fillId="9" fontId="1" numFmtId="20" xfId="0" applyAlignment="1" applyBorder="1" applyFont="1" applyNumberFormat="1">
      <alignment horizontal="center" vertical="center"/>
    </xf>
    <xf borderId="29" fillId="7" fontId="13" numFmtId="0" xfId="0" applyAlignment="1" applyBorder="1" applyFont="1">
      <alignment horizontal="center" vertical="center"/>
    </xf>
    <xf borderId="11" fillId="12" fontId="10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shrinkToFit="0" vertical="center" wrapText="1"/>
    </xf>
    <xf borderId="17" fillId="0" fontId="5" numFmtId="0" xfId="0" applyBorder="1" applyFont="1"/>
    <xf borderId="12" fillId="9" fontId="1" numFmtId="20" xfId="0" applyAlignment="1" applyBorder="1" applyFont="1" applyNumberFormat="1">
      <alignment horizontal="center" vertical="center"/>
    </xf>
    <xf borderId="30" fillId="9" fontId="1" numFmtId="0" xfId="0" applyAlignment="1" applyBorder="1" applyFont="1">
      <alignment horizontal="center" vertical="center"/>
    </xf>
    <xf borderId="29" fillId="9" fontId="1" numFmtId="20" xfId="0" applyAlignment="1" applyBorder="1" applyFont="1" applyNumberFormat="1">
      <alignment horizontal="center" vertical="center"/>
    </xf>
    <xf borderId="15" fillId="9" fontId="1" numFmtId="20" xfId="0" applyAlignment="1" applyBorder="1" applyFont="1" applyNumberFormat="1">
      <alignment horizontal="center" vertical="center"/>
    </xf>
    <xf borderId="31" fillId="12" fontId="17" numFmtId="0" xfId="0" applyAlignment="1" applyBorder="1" applyFont="1">
      <alignment horizontal="center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6" fillId="10" fontId="18" numFmtId="0" xfId="0" applyAlignment="1" applyBorder="1" applyFont="1">
      <alignment horizontal="center" shrinkToFit="0" wrapText="1"/>
    </xf>
    <xf borderId="26" fillId="10" fontId="13" numFmtId="0" xfId="0" applyAlignment="1" applyBorder="1" applyFont="1">
      <alignment horizontal="center" shrinkToFit="0" wrapText="1"/>
    </xf>
    <xf borderId="18" fillId="4" fontId="12" numFmtId="0" xfId="0" applyAlignment="1" applyBorder="1" applyFont="1">
      <alignment horizontal="center" vertical="center"/>
    </xf>
    <xf borderId="26" fillId="13" fontId="18" numFmtId="0" xfId="0" applyAlignment="1" applyBorder="1" applyFill="1" applyFont="1">
      <alignment horizontal="center" shrinkToFit="0" wrapText="1"/>
    </xf>
    <xf borderId="26" fillId="13" fontId="18" numFmtId="166" xfId="0" applyAlignment="1" applyBorder="1" applyFont="1" applyNumberFormat="1">
      <alignment horizontal="center" shrinkToFit="0" wrapText="1"/>
    </xf>
    <xf borderId="26" fillId="13" fontId="1" numFmtId="0" xfId="0" applyAlignment="1" applyBorder="1" applyFont="1">
      <alignment horizontal="center"/>
    </xf>
    <xf borderId="32" fillId="0" fontId="13" numFmtId="0" xfId="0" applyAlignment="1" applyBorder="1" applyFont="1">
      <alignment horizontal="center" vertical="center"/>
    </xf>
    <xf borderId="33" fillId="0" fontId="13" numFmtId="20" xfId="0" applyAlignment="1" applyBorder="1" applyFont="1" applyNumberFormat="1">
      <alignment horizontal="center" vertical="center"/>
    </xf>
    <xf borderId="33" fillId="0" fontId="13" numFmtId="0" xfId="0" applyAlignment="1" applyBorder="1" applyFont="1">
      <alignment horizontal="center" vertical="center"/>
    </xf>
    <xf borderId="34" fillId="0" fontId="13" numFmtId="0" xfId="0" applyAlignment="1" applyBorder="1" applyFont="1">
      <alignment horizontal="center" vertical="center"/>
    </xf>
    <xf borderId="35" fillId="10" fontId="13" numFmtId="0" xfId="0" applyAlignment="1" applyBorder="1" applyFont="1">
      <alignment horizontal="center" shrinkToFit="0" wrapText="1"/>
    </xf>
    <xf borderId="35" fillId="10" fontId="18" numFmtId="0" xfId="0" applyAlignment="1" applyBorder="1" applyFont="1">
      <alignment horizontal="center" shrinkToFit="0" wrapText="1"/>
    </xf>
    <xf borderId="26" fillId="9" fontId="1" numFmtId="49" xfId="0" applyAlignment="1" applyBorder="1" applyFont="1" applyNumberFormat="1">
      <alignment horizontal="center" vertical="center"/>
    </xf>
    <xf borderId="12" fillId="6" fontId="1" numFmtId="0" xfId="0" applyAlignment="1" applyBorder="1" applyFont="1">
      <alignment horizontal="center" vertical="center"/>
    </xf>
    <xf borderId="12" fillId="14" fontId="19" numFmtId="0" xfId="0" applyAlignment="1" applyBorder="1" applyFill="1" applyFont="1">
      <alignment horizontal="center" vertical="center"/>
    </xf>
    <xf borderId="25" fillId="12" fontId="13" numFmtId="0" xfId="0" applyAlignment="1" applyBorder="1" applyFont="1">
      <alignment horizontal="center" vertical="center"/>
    </xf>
    <xf borderId="36" fillId="0" fontId="5" numFmtId="0" xfId="0" applyBorder="1" applyFont="1"/>
    <xf borderId="13" fillId="12" fontId="13" numFmtId="0" xfId="0" applyAlignment="1" applyBorder="1" applyFont="1">
      <alignment horizontal="center" vertical="center"/>
    </xf>
    <xf borderId="26" fillId="15" fontId="18" numFmtId="0" xfId="0" applyAlignment="1" applyBorder="1" applyFill="1" applyFont="1">
      <alignment horizontal="center" shrinkToFit="0" wrapText="1"/>
    </xf>
    <xf borderId="26" fillId="16" fontId="1" numFmtId="0" xfId="0" applyAlignment="1" applyBorder="1" applyFill="1" applyFont="1">
      <alignment horizontal="center"/>
    </xf>
    <xf borderId="26" fillId="9" fontId="1" numFmtId="20" xfId="0" applyAlignment="1" applyBorder="1" applyFont="1" applyNumberFormat="1">
      <alignment horizontal="center" vertical="center"/>
    </xf>
    <xf borderId="37" fillId="10" fontId="13" numFmtId="0" xfId="0" applyAlignment="1" applyBorder="1" applyFont="1">
      <alignment horizontal="center" shrinkToFit="0" wrapText="1"/>
    </xf>
    <xf borderId="38" fillId="0" fontId="5" numFmtId="0" xfId="0" applyBorder="1" applyFont="1"/>
    <xf borderId="39" fillId="0" fontId="5" numFmtId="0" xfId="0" applyBorder="1" applyFont="1"/>
    <xf borderId="12" fillId="0" fontId="5" numFmtId="0" xfId="0" applyBorder="1" applyFont="1"/>
    <xf borderId="40" fillId="16" fontId="1" numFmtId="0" xfId="0" applyAlignment="1" applyBorder="1" applyFont="1">
      <alignment horizontal="center"/>
    </xf>
    <xf borderId="41" fillId="0" fontId="5" numFmtId="0" xfId="0" applyBorder="1" applyFont="1"/>
    <xf borderId="26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0" numFmtId="2" xfId="0" applyAlignment="1" applyFont="1" applyNumberFormat="1">
      <alignment horizontal="center" vertical="center"/>
    </xf>
    <xf borderId="30" fillId="18" fontId="13" numFmtId="0" xfId="0" applyAlignment="1" applyBorder="1" applyFill="1" applyFont="1">
      <alignment horizontal="center" vertical="center"/>
    </xf>
    <xf borderId="10" fillId="18" fontId="13" numFmtId="0" xfId="0" applyAlignment="1" applyBorder="1" applyFont="1">
      <alignment horizontal="center" vertical="center"/>
    </xf>
    <xf borderId="29" fillId="0" fontId="5" numFmtId="0" xfId="0" applyBorder="1" applyFont="1"/>
    <xf borderId="29" fillId="6" fontId="13" numFmtId="0" xfId="0" applyAlignment="1" applyBorder="1" applyFont="1">
      <alignment horizontal="center" vertical="center"/>
    </xf>
    <xf borderId="29" fillId="18" fontId="13" numFmtId="0" xfId="0" applyAlignment="1" applyBorder="1" applyFont="1">
      <alignment horizontal="center" vertical="center"/>
    </xf>
    <xf borderId="11" fillId="18" fontId="13" numFmtId="0" xfId="0" applyAlignment="1" applyBorder="1" applyFont="1">
      <alignment horizontal="center" vertical="center"/>
    </xf>
    <xf borderId="25" fillId="17" fontId="1" numFmtId="0" xfId="0" applyBorder="1" applyFont="1"/>
    <xf borderId="0" fillId="12" fontId="2" numFmtId="2" xfId="0" applyAlignment="1" applyFont="1" applyNumberFormat="1">
      <alignment horizontal="center" vertical="center"/>
    </xf>
    <xf borderId="3" fillId="5" fontId="21" numFmtId="168" xfId="0" applyAlignment="1" applyBorder="1" applyFont="1" applyNumberFormat="1">
      <alignment horizontal="center" shrinkToFit="0" vertical="center" wrapText="0"/>
    </xf>
    <xf borderId="2" fillId="19" fontId="7" numFmtId="0" xfId="0" applyAlignment="1" applyBorder="1" applyFill="1" applyFont="1">
      <alignment horizontal="center" shrinkToFit="0" vertical="center" wrapText="1"/>
    </xf>
    <xf borderId="4" fillId="5" fontId="21" numFmtId="168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22" numFmtId="10" xfId="0" applyAlignment="1" applyFont="1" applyNumberForma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32" fillId="5" fontId="9" numFmtId="0" xfId="0" applyAlignment="1" applyBorder="1" applyFont="1">
      <alignment horizontal="center" vertical="center"/>
    </xf>
    <xf borderId="42" fillId="5" fontId="10" numFmtId="166" xfId="0" applyAlignment="1" applyBorder="1" applyFont="1" applyNumberFormat="1">
      <alignment horizontal="center" vertical="center"/>
    </xf>
    <xf borderId="0" fillId="5" fontId="10" numFmtId="166" xfId="0" applyAlignment="1" applyFont="1" applyNumberFormat="1">
      <alignment horizontal="center" vertical="center"/>
    </xf>
    <xf borderId="0" fillId="5" fontId="11" numFmtId="167" xfId="0" applyAlignment="1" applyFont="1" applyNumberFormat="1">
      <alignment horizontal="center" vertical="center"/>
    </xf>
    <xf borderId="3" fillId="5" fontId="11" numFmtId="167" xfId="0" applyAlignment="1" applyBorder="1" applyFont="1" applyNumberFormat="1">
      <alignment horizontal="center" vertical="center"/>
    </xf>
    <xf borderId="16" fillId="5" fontId="9" numFmtId="0" xfId="0" applyAlignment="1" applyBorder="1" applyFont="1">
      <alignment horizontal="center" vertical="center"/>
    </xf>
    <xf borderId="13" fillId="5" fontId="10" numFmtId="166" xfId="0" applyAlignment="1" applyBorder="1" applyFont="1" applyNumberFormat="1">
      <alignment horizontal="center" vertical="center"/>
    </xf>
    <xf borderId="0" fillId="5" fontId="6" numFmtId="0" xfId="0" applyAlignment="1" applyFont="1">
      <alignment horizontal="left" vertical="center"/>
    </xf>
    <xf borderId="3" fillId="5" fontId="6" numFmtId="0" xfId="0" applyAlignment="1" applyBorder="1" applyFont="1">
      <alignment horizontal="left" vertical="center"/>
    </xf>
    <xf borderId="14" fillId="5" fontId="6" numFmtId="0" xfId="0" applyAlignment="1" applyBorder="1" applyFont="1">
      <alignment horizontal="left" vertical="center"/>
    </xf>
    <xf borderId="10" fillId="5" fontId="7" numFmtId="0" xfId="0" applyAlignment="1" applyBorder="1" applyFont="1">
      <alignment horizontal="center" vertical="center"/>
    </xf>
    <xf borderId="43" fillId="5" fontId="7" numFmtId="0" xfId="0" applyAlignment="1" applyBorder="1" applyFont="1">
      <alignment horizontal="center" vertical="center"/>
    </xf>
    <xf borderId="0" fillId="14" fontId="1" numFmtId="0" xfId="0" applyFont="1"/>
    <xf borderId="44" fillId="5" fontId="9" numFmtId="0" xfId="0" applyAlignment="1" applyBorder="1" applyFont="1">
      <alignment horizontal="center" vertical="center"/>
    </xf>
    <xf borderId="45" fillId="5" fontId="10" numFmtId="166" xfId="0" applyAlignment="1" applyBorder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43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16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14" fontId="13" numFmtId="20" xfId="0" applyAlignment="1" applyBorder="1" applyFont="1" applyNumberFormat="1">
      <alignment horizontal="center" vertical="center"/>
    </xf>
    <xf borderId="46" fillId="5" fontId="13" numFmtId="0" xfId="0" applyAlignment="1" applyBorder="1" applyFont="1">
      <alignment horizontal="center" vertical="center"/>
    </xf>
    <xf borderId="3" fillId="5" fontId="15" numFmtId="0" xfId="0" applyAlignment="1" applyBorder="1" applyFont="1">
      <alignment horizontal="center" vertical="center"/>
    </xf>
    <xf borderId="12" fillId="5" fontId="9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2" fillId="5" fontId="1" numFmtId="49" xfId="0" applyAlignment="1" applyBorder="1" applyFont="1" applyNumberFormat="1">
      <alignment horizontal="center" vertical="center"/>
    </xf>
    <xf quotePrefix="1" borderId="25" fillId="14" fontId="1" numFmtId="49" xfId="0" applyAlignment="1" applyBorder="1" applyFont="1" applyNumberFormat="1">
      <alignment horizontal="center" vertical="center"/>
    </xf>
    <xf borderId="46" fillId="5" fontId="13" numFmtId="49" xfId="0" applyAlignment="1" applyBorder="1" applyFont="1" applyNumberFormat="1">
      <alignment horizontal="center" vertical="center"/>
    </xf>
    <xf borderId="29" fillId="5" fontId="9" numFmtId="0" xfId="0" applyAlignment="1" applyBorder="1" applyFont="1">
      <alignment horizontal="center" vertical="center"/>
    </xf>
    <xf borderId="11" fillId="5" fontId="10" numFmtId="166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25" fillId="14" fontId="1" numFmtId="49" xfId="0" applyAlignment="1" applyBorder="1" applyFont="1" applyNumberFormat="1">
      <alignment horizontal="center" vertical="center"/>
    </xf>
    <xf borderId="29" fillId="5" fontId="13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43" fillId="5" fontId="1" numFmtId="0" xfId="0" applyBorder="1" applyFont="1"/>
    <xf borderId="0" fillId="5" fontId="18" numFmtId="0" xfId="0" applyAlignment="1" applyFont="1">
      <alignment horizontal="center" shrinkToFit="0" vertical="top" wrapText="1"/>
    </xf>
    <xf borderId="47" fillId="10" fontId="18" numFmtId="0" xfId="0" applyAlignment="1" applyBorder="1" applyFont="1">
      <alignment horizontal="center" shrinkToFit="0" wrapText="1"/>
    </xf>
    <xf borderId="48" fillId="10" fontId="18" numFmtId="0" xfId="0" applyAlignment="1" applyBorder="1" applyFont="1">
      <alignment horizontal="center" shrinkToFit="0" wrapText="1"/>
    </xf>
    <xf borderId="48" fillId="10" fontId="13" numFmtId="0" xfId="0" applyAlignment="1" applyBorder="1" applyFont="1">
      <alignment horizontal="center" shrinkToFit="0" wrapText="1"/>
    </xf>
    <xf borderId="49" fillId="10" fontId="13" numFmtId="0" xfId="0" applyAlignment="1" applyBorder="1" applyFont="1">
      <alignment horizontal="center" shrinkToFit="0" wrapText="1"/>
    </xf>
    <xf borderId="16" fillId="0" fontId="5" numFmtId="0" xfId="0" applyBorder="1" applyFont="1"/>
    <xf borderId="50" fillId="0" fontId="5" numFmtId="0" xfId="0" applyBorder="1" applyFont="1"/>
    <xf borderId="46" fillId="5" fontId="18" numFmtId="49" xfId="0" applyAlignment="1" applyBorder="1" applyFont="1" applyNumberFormat="1">
      <alignment horizontal="center" vertical="center"/>
    </xf>
    <xf borderId="51" fillId="13" fontId="18" numFmtId="0" xfId="0" applyAlignment="1" applyBorder="1" applyFont="1">
      <alignment horizontal="center" shrinkToFit="0" wrapText="1"/>
    </xf>
    <xf borderId="52" fillId="13" fontId="18" numFmtId="0" xfId="0" applyAlignment="1" applyBorder="1" applyFont="1">
      <alignment horizontal="center" shrinkToFit="0" wrapText="1"/>
    </xf>
    <xf borderId="53" fillId="10" fontId="13" numFmtId="0" xfId="0" applyAlignment="1" applyBorder="1" applyFont="1">
      <alignment horizontal="center" shrinkToFit="0" wrapText="1"/>
    </xf>
    <xf borderId="54" fillId="10" fontId="18" numFmtId="0" xfId="0" applyAlignment="1" applyBorder="1" applyFont="1">
      <alignment horizontal="center" shrinkToFit="0" wrapText="1"/>
    </xf>
    <xf borderId="51" fillId="15" fontId="18" numFmtId="0" xfId="0" applyAlignment="1" applyBorder="1" applyFont="1">
      <alignment horizontal="center" shrinkToFit="0" wrapText="1"/>
    </xf>
    <xf borderId="52" fillId="20" fontId="1" numFmtId="0" xfId="0" applyAlignment="1" applyBorder="1" applyFill="1" applyFont="1">
      <alignment horizontal="center"/>
    </xf>
    <xf borderId="55" fillId="10" fontId="13" numFmtId="0" xfId="0" applyAlignment="1" applyBorder="1" applyFont="1">
      <alignment horizontal="center" shrinkToFit="0" wrapText="1"/>
    </xf>
    <xf borderId="35" fillId="10" fontId="13" numFmtId="169" xfId="0" applyAlignment="1" applyBorder="1" applyFont="1" applyNumberFormat="1">
      <alignment horizontal="center" shrinkToFit="0" wrapText="1"/>
    </xf>
    <xf borderId="54" fillId="10" fontId="18" numFmtId="169" xfId="0" applyAlignment="1" applyBorder="1" applyFont="1" applyNumberFormat="1">
      <alignment horizontal="center" shrinkToFit="0" wrapText="1"/>
    </xf>
    <xf borderId="56" fillId="0" fontId="5" numFmtId="0" xfId="0" applyBorder="1" applyFont="1"/>
    <xf borderId="55" fillId="20" fontId="1" numFmtId="0" xfId="0" applyAlignment="1" applyBorder="1" applyFont="1">
      <alignment horizontal="center"/>
    </xf>
    <xf borderId="52" fillId="13" fontId="1" numFmtId="0" xfId="0" applyAlignment="1" applyBorder="1" applyFont="1">
      <alignment horizontal="center"/>
    </xf>
    <xf borderId="18" fillId="17" fontId="1" numFmtId="167" xfId="0" applyBorder="1" applyFont="1" applyNumberFormat="1"/>
    <xf borderId="35" fillId="10" fontId="18" numFmtId="167" xfId="0" applyAlignment="1" applyBorder="1" applyFont="1" applyNumberFormat="1">
      <alignment horizontal="center" shrinkToFit="0" wrapText="1"/>
    </xf>
    <xf borderId="35" fillId="10" fontId="18" numFmtId="169" xfId="0" applyAlignment="1" applyBorder="1" applyFont="1" applyNumberFormat="1">
      <alignment horizontal="center" shrinkToFit="0" wrapText="1"/>
    </xf>
    <xf borderId="31" fillId="13" fontId="1" numFmtId="4" xfId="0" applyAlignment="1" applyBorder="1" applyFont="1" applyNumberFormat="1">
      <alignment horizontal="center"/>
    </xf>
    <xf borderId="31" fillId="13" fontId="1" numFmtId="10" xfId="0" applyAlignment="1" applyBorder="1" applyFont="1" applyNumberFormat="1">
      <alignment horizontal="center"/>
    </xf>
    <xf borderId="45" fillId="13" fontId="1" numFmtId="10" xfId="0" applyAlignment="1" applyBorder="1" applyFont="1" applyNumberFormat="1">
      <alignment horizontal="center"/>
    </xf>
    <xf borderId="0" fillId="0" fontId="1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1" numFmtId="0" xfId="0" applyAlignment="1" applyFont="1">
      <alignment vertical="bottom"/>
    </xf>
    <xf borderId="43" fillId="22" fontId="23" numFmtId="0" xfId="0" applyAlignment="1" applyBorder="1" applyFill="1" applyFont="1">
      <alignment shrinkToFit="0" vertical="bottom" wrapText="1"/>
    </xf>
    <xf borderId="0" fillId="22" fontId="23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-38100</xdr:colOff>
      <xdr:row>20</xdr:row>
      <xdr:rowOff>238125</xdr:rowOff>
    </xdr:from>
    <xdr:ext cx="2524125" cy="638175"/>
    <xdr:sp>
      <xdr:nvSpPr>
        <xdr:cNvPr id="4" name="Shape 4"/>
        <xdr:cNvSpPr/>
      </xdr:nvSpPr>
      <xdr:spPr>
        <a:xfrm>
          <a:off x="4122038" y="3499013"/>
          <a:ext cx="2447925" cy="561975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300"/>
            <a:buFont typeface="Arial"/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323850</xdr:colOff>
      <xdr:row>20</xdr:row>
      <xdr:rowOff>247650</xdr:rowOff>
    </xdr:from>
    <xdr:ext cx="1609725" cy="619125"/>
    <xdr:sp>
      <xdr:nvSpPr>
        <xdr:cNvPr id="5" name="Shape 5"/>
        <xdr:cNvSpPr/>
      </xdr:nvSpPr>
      <xdr:spPr>
        <a:xfrm>
          <a:off x="4560188" y="3489488"/>
          <a:ext cx="1571625" cy="581025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15.75" customHeight="1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 ht="15.75" customHeight="1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 ht="15.75" customHeight="1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 ht="15.75" customHeight="1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 ht="15.75" customHeight="1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 ht="15.75" customHeight="1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1">
        <v>10.0</v>
      </c>
      <c r="N7" s="1" t="b">
        <v>1</v>
      </c>
      <c r="O7" s="1">
        <v>400.0</v>
      </c>
    </row>
    <row r="8" ht="15.75" customHeight="1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1">
        <v>1.0</v>
      </c>
    </row>
    <row r="9" ht="15.75" customHeight="1">
      <c r="A9" s="2">
        <v>45499.0</v>
      </c>
      <c r="B9" s="1" t="s">
        <v>39</v>
      </c>
      <c r="S9" s="1">
        <v>10.0</v>
      </c>
      <c r="T9" s="1">
        <v>20.0</v>
      </c>
      <c r="U9" s="1">
        <v>30.0</v>
      </c>
      <c r="V9" s="1">
        <v>4.0</v>
      </c>
      <c r="W9" s="1">
        <v>5.0</v>
      </c>
      <c r="X9" s="1">
        <v>6.0</v>
      </c>
      <c r="Y9" s="1">
        <v>7.0</v>
      </c>
      <c r="Z9" s="1">
        <v>8.0</v>
      </c>
      <c r="AA9" s="1">
        <v>9.0</v>
      </c>
      <c r="AB9" s="1">
        <v>50000.0</v>
      </c>
      <c r="AC9" s="1">
        <v>-37157.0</v>
      </c>
      <c r="AD9" s="1">
        <v>0.4927615702709678</v>
      </c>
      <c r="AE9" s="1">
        <v>11.0</v>
      </c>
      <c r="AF9" s="1">
        <v>111.0</v>
      </c>
      <c r="AG9" s="1">
        <v>1111.0</v>
      </c>
      <c r="AH9" s="1">
        <v>11111.0</v>
      </c>
      <c r="AI9" s="1">
        <v>400.0</v>
      </c>
      <c r="AL9" s="1">
        <v>5.0</v>
      </c>
      <c r="AM9" s="1" t="s">
        <v>59</v>
      </c>
      <c r="AN9" s="1">
        <v>1.0</v>
      </c>
    </row>
    <row r="10" ht="15.75" customHeight="1">
      <c r="A10" s="2">
        <v>45499.0</v>
      </c>
      <c r="B10" s="1" t="s">
        <v>39</v>
      </c>
      <c r="AC10" s="1">
        <v>0.0</v>
      </c>
      <c r="AD10" s="1" t="s">
        <v>60</v>
      </c>
      <c r="AI10" s="1">
        <v>0.0</v>
      </c>
      <c r="AN10" s="1">
        <v>1.0</v>
      </c>
    </row>
    <row r="11" ht="15.75" customHeight="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 ht="15.75" customHeight="1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 ht="15.75" customHeight="1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 ht="15.75" customHeight="1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 ht="15.75" customHeight="1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 ht="15.75" customHeight="1">
      <c r="A16" s="2">
        <v>45496.0</v>
      </c>
      <c r="B16" s="1" t="s">
        <v>61</v>
      </c>
      <c r="S16" s="1">
        <v>9060.0</v>
      </c>
      <c r="T16" s="1">
        <v>3651.0</v>
      </c>
      <c r="U16" s="1">
        <v>14729.0</v>
      </c>
      <c r="V16" s="1">
        <v>10695.0</v>
      </c>
      <c r="W16" s="1">
        <v>374.0</v>
      </c>
      <c r="X16" s="1">
        <v>368.0</v>
      </c>
      <c r="AB16" s="1">
        <v>41872.0</v>
      </c>
      <c r="AC16" s="1">
        <v>-2995.0</v>
      </c>
      <c r="AD16" s="1">
        <v>0.2383436710343043</v>
      </c>
      <c r="AI16" s="1">
        <v>0.0</v>
      </c>
      <c r="AN16" s="1">
        <v>0.0</v>
      </c>
    </row>
    <row r="17" ht="15.75" customHeight="1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 ht="15.75" customHeight="1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 ht="15.75" customHeight="1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 ht="15.75" customHeight="1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 ht="15.75" customHeight="1">
      <c r="A21" s="2">
        <v>45501.0</v>
      </c>
      <c r="B21" s="1" t="s">
        <v>67</v>
      </c>
      <c r="AC21" s="1">
        <v>0.0</v>
      </c>
      <c r="AD21" s="1" t="s">
        <v>60</v>
      </c>
      <c r="AI21" s="1">
        <v>0.0</v>
      </c>
    </row>
    <row r="22" ht="15.75" customHeight="1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 ht="15.75" customHeight="1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 ht="15.75" customHeight="1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 ht="15.75" customHeight="1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 ht="15.75" customHeight="1">
      <c r="A26" s="2">
        <v>45502.0</v>
      </c>
      <c r="B26" s="1" t="s">
        <v>69</v>
      </c>
      <c r="AC26" s="1">
        <v>0.0</v>
      </c>
      <c r="AD26" s="1" t="s">
        <v>60</v>
      </c>
      <c r="AI26" s="1">
        <v>0.0</v>
      </c>
    </row>
    <row r="27" ht="15.75" customHeight="1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 ht="15.75" customHeight="1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 ht="15.75" customHeight="1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 ht="15.75" customHeight="1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 ht="15.75" customHeight="1">
      <c r="A31" s="2">
        <v>45503.0</v>
      </c>
      <c r="B31" s="1" t="s">
        <v>61</v>
      </c>
      <c r="AC31" s="1">
        <v>0.0</v>
      </c>
      <c r="AD31" s="1" t="s">
        <v>60</v>
      </c>
      <c r="AI31" s="1">
        <v>0.0</v>
      </c>
    </row>
    <row r="32" ht="15.75" customHeight="1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 ht="15.75" customHeight="1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 ht="15.75" customHeight="1">
      <c r="A34" s="2">
        <v>45504.0</v>
      </c>
      <c r="B34" s="1" t="s">
        <v>73</v>
      </c>
      <c r="H34" s="1" t="s">
        <v>71</v>
      </c>
      <c r="L34" s="3" t="s">
        <v>68</v>
      </c>
      <c r="M34" s="1">
        <v>4.0</v>
      </c>
    </row>
    <row r="35" ht="15.75" customHeight="1">
      <c r="A35" s="2">
        <v>45504.0</v>
      </c>
      <c r="B35" s="1" t="s">
        <v>73</v>
      </c>
      <c r="P35" s="1">
        <v>3.0</v>
      </c>
      <c r="S35" s="1">
        <v>9414.0</v>
      </c>
      <c r="T35" s="1">
        <v>3907.0</v>
      </c>
      <c r="U35" s="1">
        <v>9081.0</v>
      </c>
      <c r="V35" s="1">
        <v>4024.0</v>
      </c>
      <c r="W35" s="1">
        <v>1310.0</v>
      </c>
      <c r="X35" s="1">
        <v>2052.0</v>
      </c>
      <c r="AB35" s="1">
        <v>38044.0</v>
      </c>
      <c r="AC35" s="1">
        <v>-8256.0</v>
      </c>
      <c r="AD35" s="1">
        <v>0.2549108220362839</v>
      </c>
      <c r="AI35" s="1">
        <v>0.0</v>
      </c>
      <c r="AN35" s="1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30.25"/>
  </cols>
  <sheetData>
    <row r="1" ht="15.75" customHeight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t="15.75" hidden="1" customHeight="1">
      <c r="A2" s="4">
        <v>45527.0</v>
      </c>
      <c r="B2" s="1" t="s">
        <v>88</v>
      </c>
      <c r="C2" s="1" t="s">
        <v>89</v>
      </c>
      <c r="D2" s="1">
        <v>364.0</v>
      </c>
      <c r="E2" s="1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1">
        <v>-9.0</v>
      </c>
      <c r="O2" s="1">
        <v>5.966583333333333</v>
      </c>
    </row>
    <row r="3" ht="15.75" hidden="1" customHeight="1">
      <c r="A3" s="4">
        <v>45527.0</v>
      </c>
      <c r="B3" s="1" t="s">
        <v>95</v>
      </c>
      <c r="C3" s="1" t="s">
        <v>89</v>
      </c>
      <c r="D3" s="1">
        <v>355.0</v>
      </c>
      <c r="E3" s="1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1">
        <v>-12.0</v>
      </c>
      <c r="N3" s="1">
        <v>0.014033333333333333</v>
      </c>
      <c r="O3" s="1">
        <v>6.5450333333333335</v>
      </c>
    </row>
    <row r="4" ht="15.75" hidden="1" customHeight="1">
      <c r="A4" s="4">
        <v>45527.0</v>
      </c>
      <c r="B4" s="1" t="s">
        <v>103</v>
      </c>
      <c r="C4" s="1" t="s">
        <v>104</v>
      </c>
      <c r="D4" s="1">
        <v>329.0</v>
      </c>
      <c r="E4" s="1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1">
        <v>0.0</v>
      </c>
      <c r="O4" s="1">
        <v>7.393416666666667</v>
      </c>
    </row>
    <row r="5" ht="15.75" hidden="1" customHeight="1">
      <c r="A5" s="4">
        <v>45527.0</v>
      </c>
      <c r="B5" s="1" t="s">
        <v>107</v>
      </c>
      <c r="C5" s="1" t="s">
        <v>104</v>
      </c>
      <c r="D5" s="1">
        <v>513.0</v>
      </c>
      <c r="E5" s="1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1">
        <v>-12.0</v>
      </c>
      <c r="O5" s="1">
        <v>7.132583333333334</v>
      </c>
    </row>
    <row r="6" ht="15.75" hidden="1" customHeight="1">
      <c r="A6" s="4">
        <v>45527.0</v>
      </c>
      <c r="B6" s="1" t="s">
        <v>107</v>
      </c>
      <c r="C6" s="1" t="s">
        <v>104</v>
      </c>
      <c r="D6" s="1">
        <v>404.0</v>
      </c>
      <c r="E6" s="1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1">
        <v>-8.0</v>
      </c>
      <c r="O6" s="1">
        <v>6.096666666666667</v>
      </c>
    </row>
    <row r="7" ht="15.75" hidden="1" customHeight="1">
      <c r="A7" s="4">
        <v>45527.0</v>
      </c>
      <c r="B7" s="1" t="s">
        <v>88</v>
      </c>
      <c r="C7" s="1" t="s">
        <v>89</v>
      </c>
      <c r="D7" s="1">
        <v>129.0</v>
      </c>
      <c r="E7" s="1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1">
        <v>-12.0</v>
      </c>
      <c r="O7" s="1">
        <v>4.43375</v>
      </c>
    </row>
    <row r="8" ht="15.75" hidden="1" customHeight="1">
      <c r="A8" s="4">
        <v>45527.0</v>
      </c>
      <c r="B8" s="1" t="s">
        <v>103</v>
      </c>
      <c r="C8" s="1" t="s">
        <v>104</v>
      </c>
      <c r="D8" s="1">
        <v>621.0</v>
      </c>
      <c r="E8" s="1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1">
        <v>-2.0</v>
      </c>
      <c r="O8" s="1">
        <v>6.168866666666666</v>
      </c>
    </row>
    <row r="9" ht="15.75" hidden="1" customHeight="1">
      <c r="A9" s="4">
        <v>45527.0</v>
      </c>
      <c r="B9" s="1" t="s">
        <v>88</v>
      </c>
      <c r="C9" s="1" t="s">
        <v>89</v>
      </c>
      <c r="D9" s="1">
        <v>294.0</v>
      </c>
      <c r="E9" s="1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1">
        <v>-9.0</v>
      </c>
      <c r="O9" s="1">
        <v>5.342316666666667</v>
      </c>
    </row>
    <row r="10" ht="15.75" hidden="1" customHeight="1">
      <c r="A10" s="4">
        <v>45527.0</v>
      </c>
      <c r="B10" s="1" t="s">
        <v>95</v>
      </c>
      <c r="C10" s="1" t="s">
        <v>104</v>
      </c>
      <c r="D10" s="1">
        <v>159.0</v>
      </c>
      <c r="E10" s="1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1">
        <v>-13.0</v>
      </c>
      <c r="O10" s="1">
        <v>6.258783333333334</v>
      </c>
    </row>
    <row r="11" ht="15.75" hidden="1" customHeight="1">
      <c r="A11" s="4">
        <v>45527.0</v>
      </c>
      <c r="B11" s="1" t="s">
        <v>103</v>
      </c>
      <c r="C11" s="1" t="s">
        <v>104</v>
      </c>
      <c r="D11" s="1">
        <v>336.0</v>
      </c>
      <c r="E11" s="1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1">
        <v>-1.0</v>
      </c>
      <c r="O11" s="1">
        <v>5.953083333333334</v>
      </c>
    </row>
    <row r="12" ht="15.75" hidden="1" customHeight="1">
      <c r="A12" s="4">
        <v>45527.0</v>
      </c>
      <c r="B12" s="1" t="s">
        <v>88</v>
      </c>
      <c r="C12" s="1" t="s">
        <v>89</v>
      </c>
      <c r="D12" s="1">
        <v>329.0</v>
      </c>
      <c r="E12" s="1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1">
        <v>-9.0</v>
      </c>
      <c r="O12" s="1">
        <v>5.828416666666667</v>
      </c>
    </row>
    <row r="13" ht="15.75" hidden="1" customHeight="1">
      <c r="A13" s="4">
        <v>45527.0</v>
      </c>
      <c r="B13" s="1" t="s">
        <v>95</v>
      </c>
      <c r="C13" s="1" t="s">
        <v>89</v>
      </c>
      <c r="D13" s="1">
        <v>652.0</v>
      </c>
      <c r="E13" s="1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1">
        <v>-12.0</v>
      </c>
      <c r="N13" s="1">
        <v>0.012583333333333334</v>
      </c>
      <c r="O13" s="1">
        <v>7.510683333333334</v>
      </c>
    </row>
    <row r="14" ht="15.75" hidden="1" customHeight="1">
      <c r="A14" s="4">
        <v>45527.0</v>
      </c>
      <c r="B14" s="1" t="s">
        <v>103</v>
      </c>
      <c r="C14" s="1" t="s">
        <v>104</v>
      </c>
      <c r="D14" s="1">
        <v>174.0</v>
      </c>
      <c r="E14" s="1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1">
        <v>0.0</v>
      </c>
      <c r="O14" s="1">
        <v>5.931583333333333</v>
      </c>
    </row>
    <row r="15" ht="15.75" hidden="1" customHeight="1">
      <c r="A15" s="4">
        <v>45527.0</v>
      </c>
      <c r="B15" s="1" t="s">
        <v>103</v>
      </c>
      <c r="C15" s="1" t="s">
        <v>104</v>
      </c>
      <c r="D15" s="1">
        <v>264.0</v>
      </c>
      <c r="E15" s="1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1">
        <v>-1.0</v>
      </c>
      <c r="O15" s="1">
        <v>5.346683333333333</v>
      </c>
    </row>
    <row r="16" ht="15.75" hidden="1" customHeight="1">
      <c r="A16" s="4">
        <v>45527.0</v>
      </c>
      <c r="B16" s="1" t="s">
        <v>103</v>
      </c>
      <c r="C16" s="1" t="s">
        <v>104</v>
      </c>
      <c r="D16" s="1">
        <v>364.0</v>
      </c>
      <c r="E16" s="1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1">
        <v>0.0</v>
      </c>
      <c r="O16" s="1">
        <v>6.893083333333333</v>
      </c>
    </row>
    <row r="17" ht="15.75" hidden="1" customHeight="1">
      <c r="A17" s="4">
        <v>45527.0</v>
      </c>
      <c r="B17" s="1" t="s">
        <v>88</v>
      </c>
      <c r="C17" s="1" t="s">
        <v>89</v>
      </c>
      <c r="D17" s="1">
        <v>343.0</v>
      </c>
      <c r="E17" s="1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1">
        <v>-8.0</v>
      </c>
      <c r="O17" s="1">
        <v>6.310583333333334</v>
      </c>
    </row>
    <row r="18" ht="15.75" hidden="1" customHeight="1">
      <c r="A18" s="4">
        <v>45527.0</v>
      </c>
      <c r="B18" s="1" t="s">
        <v>103</v>
      </c>
      <c r="C18" s="1" t="s">
        <v>104</v>
      </c>
      <c r="D18" s="1">
        <v>578.0</v>
      </c>
      <c r="E18" s="1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1">
        <v>-2.0</v>
      </c>
      <c r="O18" s="1">
        <v>6.282383333333334</v>
      </c>
    </row>
    <row r="19" ht="15.75" hidden="1" customHeight="1">
      <c r="A19" s="4">
        <v>45527.0</v>
      </c>
      <c r="B19" s="1" t="s">
        <v>95</v>
      </c>
      <c r="C19" s="1" t="s">
        <v>104</v>
      </c>
      <c r="D19" s="1">
        <v>199.0</v>
      </c>
      <c r="E19" s="1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1">
        <v>-12.0</v>
      </c>
      <c r="O19" s="1">
        <v>6.472933333333334</v>
      </c>
    </row>
    <row r="20" ht="15.75" hidden="1" customHeight="1">
      <c r="A20" s="4">
        <v>45527.0</v>
      </c>
      <c r="B20" s="1" t="s">
        <v>88</v>
      </c>
      <c r="C20" s="1" t="s">
        <v>89</v>
      </c>
      <c r="D20" s="1">
        <v>264.0</v>
      </c>
      <c r="E20" s="1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1">
        <v>-10.0</v>
      </c>
      <c r="O20" s="1">
        <v>4.58785</v>
      </c>
    </row>
    <row r="21" ht="15.75" hidden="1" customHeight="1">
      <c r="A21" s="4">
        <v>45527.0</v>
      </c>
      <c r="B21" s="1" t="s">
        <v>103</v>
      </c>
      <c r="C21" s="1" t="s">
        <v>104</v>
      </c>
      <c r="D21" s="1">
        <v>346.0</v>
      </c>
      <c r="E21" s="1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1">
        <v>-1.0</v>
      </c>
      <c r="O21" s="1">
        <v>5.88045</v>
      </c>
    </row>
    <row r="22" ht="15.75" hidden="1" customHeight="1">
      <c r="A22" s="4">
        <v>45527.0</v>
      </c>
      <c r="B22" s="1" t="s">
        <v>88</v>
      </c>
      <c r="C22" s="1" t="s">
        <v>89</v>
      </c>
      <c r="D22" s="1">
        <v>329.0</v>
      </c>
      <c r="E22" s="1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1">
        <v>-5.0</v>
      </c>
      <c r="O22" s="1">
        <v>9.28175</v>
      </c>
    </row>
    <row r="23" ht="15.75" hidden="1" customHeight="1">
      <c r="A23" s="4">
        <v>45527.0</v>
      </c>
      <c r="B23" s="1" t="s">
        <v>88</v>
      </c>
      <c r="C23" s="1" t="s">
        <v>89</v>
      </c>
      <c r="D23" s="1">
        <v>313.0</v>
      </c>
      <c r="E23" s="1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1">
        <v>-8.0</v>
      </c>
      <c r="O23" s="1">
        <v>6.70395</v>
      </c>
    </row>
    <row r="24" ht="15.75" hidden="1" customHeight="1">
      <c r="A24" s="4">
        <v>45527.0</v>
      </c>
      <c r="B24" s="1" t="s">
        <v>103</v>
      </c>
      <c r="C24" s="1" t="s">
        <v>104</v>
      </c>
      <c r="D24" s="1">
        <v>394.0</v>
      </c>
      <c r="E24" s="1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1">
        <v>0.0</v>
      </c>
      <c r="O24" s="1">
        <v>8.802233333333334</v>
      </c>
    </row>
    <row r="25" ht="15.75" hidden="1" customHeight="1">
      <c r="A25" s="4">
        <v>45527.0</v>
      </c>
      <c r="B25" s="1" t="s">
        <v>103</v>
      </c>
      <c r="C25" s="1" t="s">
        <v>104</v>
      </c>
      <c r="D25" s="1">
        <v>816.0</v>
      </c>
      <c r="E25" s="1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1">
        <v>0.0</v>
      </c>
      <c r="O25" s="1">
        <v>10.02735</v>
      </c>
    </row>
    <row r="26" ht="15.75" hidden="1" customHeight="1">
      <c r="A26" s="4">
        <v>45527.0</v>
      </c>
      <c r="B26" s="1" t="s">
        <v>95</v>
      </c>
      <c r="C26" s="1" t="s">
        <v>89</v>
      </c>
      <c r="D26" s="1">
        <v>597.0</v>
      </c>
      <c r="E26" s="1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1">
        <v>-6.0</v>
      </c>
      <c r="N26" s="1">
        <v>4.37065</v>
      </c>
      <c r="O26" s="1">
        <v>9.608866666666666</v>
      </c>
    </row>
    <row r="27" ht="15.75" hidden="1" customHeight="1">
      <c r="A27" s="4">
        <v>45527.0</v>
      </c>
      <c r="B27" s="1" t="s">
        <v>88</v>
      </c>
      <c r="C27" s="1" t="s">
        <v>89</v>
      </c>
      <c r="D27" s="1">
        <v>413.0</v>
      </c>
      <c r="E27" s="1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1">
        <v>-10.0</v>
      </c>
      <c r="O27" s="1">
        <v>6.363183333333334</v>
      </c>
    </row>
    <row r="28" ht="15.75" hidden="1" customHeight="1">
      <c r="A28" s="4">
        <v>45527.0</v>
      </c>
      <c r="B28" s="1" t="s">
        <v>103</v>
      </c>
      <c r="C28" s="1" t="s">
        <v>104</v>
      </c>
      <c r="D28" s="1">
        <v>264.0</v>
      </c>
      <c r="E28" s="1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1">
        <v>0.0</v>
      </c>
      <c r="O28" s="1">
        <v>5.297766666666667</v>
      </c>
    </row>
    <row r="29" ht="15.75" hidden="1" customHeight="1">
      <c r="A29" s="4">
        <v>45527.0</v>
      </c>
      <c r="B29" s="1" t="s">
        <v>107</v>
      </c>
      <c r="C29" s="1" t="s">
        <v>104</v>
      </c>
      <c r="D29" s="1">
        <v>319.0</v>
      </c>
      <c r="E29" s="1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1">
        <v>-7.0</v>
      </c>
      <c r="O29" s="1">
        <v>7.147316666666667</v>
      </c>
    </row>
    <row r="30" ht="15.75" hidden="1" customHeight="1">
      <c r="A30" s="4">
        <v>45527.0</v>
      </c>
      <c r="B30" s="1" t="s">
        <v>95</v>
      </c>
      <c r="C30" s="1" t="s">
        <v>89</v>
      </c>
      <c r="D30" s="1">
        <v>475.0</v>
      </c>
      <c r="E30" s="1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1">
        <v>1.0</v>
      </c>
      <c r="N30" s="1">
        <v>0.010466666666666668</v>
      </c>
      <c r="O30" s="1">
        <v>6.094416666666667</v>
      </c>
    </row>
    <row r="31" ht="15.75" hidden="1" customHeight="1">
      <c r="A31" s="4">
        <v>45527.0</v>
      </c>
      <c r="B31" s="1" t="s">
        <v>88</v>
      </c>
      <c r="C31" s="1" t="s">
        <v>89</v>
      </c>
      <c r="D31" s="1">
        <v>224.0</v>
      </c>
      <c r="E31" s="1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1">
        <v>-10.0</v>
      </c>
      <c r="O31" s="1">
        <v>5.573416666666667</v>
      </c>
    </row>
    <row r="32" ht="15.75" hidden="1" customHeight="1">
      <c r="A32" s="4">
        <v>45527.0</v>
      </c>
      <c r="B32" s="1" t="s">
        <v>88</v>
      </c>
      <c r="C32" s="1" t="s">
        <v>89</v>
      </c>
      <c r="D32" s="1">
        <v>394.0</v>
      </c>
      <c r="E32" s="1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1">
        <v>-7.0</v>
      </c>
      <c r="O32" s="1">
        <v>7.869783333333333</v>
      </c>
    </row>
    <row r="33" ht="15.75" hidden="1" customHeight="1">
      <c r="A33" s="4">
        <v>45527.0</v>
      </c>
      <c r="B33" s="1" t="s">
        <v>107</v>
      </c>
      <c r="C33" s="1" t="s">
        <v>104</v>
      </c>
      <c r="D33" s="1">
        <v>264.0</v>
      </c>
      <c r="E33" s="1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1">
        <v>-8.0</v>
      </c>
      <c r="O33" s="1">
        <v>6.911583333333334</v>
      </c>
    </row>
    <row r="34" ht="15.75" hidden="1" customHeight="1">
      <c r="A34" s="4">
        <v>45527.0</v>
      </c>
      <c r="B34" s="1" t="s">
        <v>88</v>
      </c>
      <c r="C34" s="1" t="s">
        <v>89</v>
      </c>
      <c r="D34" s="1">
        <v>882.0</v>
      </c>
      <c r="E34" s="1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1">
        <v>-11.0</v>
      </c>
      <c r="O34" s="1">
        <v>8.057233333333333</v>
      </c>
    </row>
    <row r="35" ht="15.75" hidden="1" customHeight="1">
      <c r="A35" s="4">
        <v>45527.0</v>
      </c>
      <c r="B35" s="1" t="s">
        <v>88</v>
      </c>
      <c r="C35" s="1" t="s">
        <v>89</v>
      </c>
      <c r="D35" s="1">
        <v>715.0</v>
      </c>
      <c r="E35" s="1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1">
        <v>-7.0</v>
      </c>
      <c r="O35" s="1">
        <v>12.466433333333333</v>
      </c>
    </row>
    <row r="36" ht="15.75" hidden="1" customHeight="1">
      <c r="A36" s="4">
        <v>45527.0</v>
      </c>
      <c r="B36" s="1" t="s">
        <v>103</v>
      </c>
      <c r="C36" s="1" t="s">
        <v>104</v>
      </c>
      <c r="D36" s="1">
        <v>1006.0</v>
      </c>
      <c r="E36" s="1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1">
        <v>-1.0</v>
      </c>
      <c r="O36" s="1">
        <v>9.606966666666667</v>
      </c>
    </row>
    <row r="37" ht="15.75" hidden="1" customHeight="1">
      <c r="A37" s="4">
        <v>45527.0</v>
      </c>
      <c r="B37" s="1" t="s">
        <v>95</v>
      </c>
      <c r="C37" s="1" t="s">
        <v>89</v>
      </c>
      <c r="D37" s="1">
        <v>309.0</v>
      </c>
      <c r="E37" s="1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1">
        <v>-10.0</v>
      </c>
      <c r="N37" s="1">
        <v>2.10235</v>
      </c>
      <c r="O37" s="1">
        <v>7.2892166666666665</v>
      </c>
    </row>
    <row r="38" ht="15.75" hidden="1" customHeight="1">
      <c r="A38" s="4">
        <v>45527.0</v>
      </c>
      <c r="B38" s="1" t="s">
        <v>95</v>
      </c>
      <c r="C38" s="1" t="s">
        <v>104</v>
      </c>
      <c r="D38" s="1">
        <v>520.0</v>
      </c>
      <c r="E38" s="1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1">
        <v>-6.0</v>
      </c>
      <c r="O38" s="1">
        <v>17.191666666666666</v>
      </c>
    </row>
    <row r="39" ht="15.75" hidden="1" customHeight="1">
      <c r="A39" s="4">
        <v>45527.0</v>
      </c>
      <c r="B39" s="1" t="s">
        <v>95</v>
      </c>
      <c r="C39" s="1" t="s">
        <v>89</v>
      </c>
      <c r="D39" s="1">
        <v>358.0</v>
      </c>
      <c r="E39" s="1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1">
        <v>-2.0</v>
      </c>
      <c r="N39" s="1">
        <v>0.008683333333333333</v>
      </c>
      <c r="O39" s="1">
        <v>4.38375</v>
      </c>
    </row>
    <row r="40" ht="15.75" hidden="1" customHeight="1">
      <c r="A40" s="4">
        <v>45527.0</v>
      </c>
      <c r="B40" s="1" t="s">
        <v>95</v>
      </c>
      <c r="C40" s="1" t="s">
        <v>89</v>
      </c>
      <c r="D40" s="1">
        <v>338.0</v>
      </c>
      <c r="E40" s="1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1">
        <v>-10.0</v>
      </c>
      <c r="N40" s="1">
        <v>0.009266666666666666</v>
      </c>
      <c r="O40" s="1">
        <v>7.757933333333333</v>
      </c>
    </row>
    <row r="41" ht="15.75" hidden="1" customHeight="1">
      <c r="A41" s="4">
        <v>45527.0</v>
      </c>
      <c r="B41" s="1" t="s">
        <v>95</v>
      </c>
      <c r="C41" s="1" t="s">
        <v>89</v>
      </c>
      <c r="D41" s="1">
        <v>558.0</v>
      </c>
      <c r="E41" s="1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1">
        <v>9.0</v>
      </c>
      <c r="N41" s="1">
        <v>0.008133333333333333</v>
      </c>
      <c r="O41" s="1">
        <v>8.4024</v>
      </c>
    </row>
    <row r="42" ht="15.75" hidden="1" customHeight="1">
      <c r="A42" s="4">
        <v>45527.0</v>
      </c>
      <c r="B42" s="1" t="s">
        <v>103</v>
      </c>
      <c r="C42" s="1" t="s">
        <v>104</v>
      </c>
      <c r="D42" s="1">
        <v>667.0</v>
      </c>
      <c r="E42" s="1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1">
        <v>0.0</v>
      </c>
      <c r="O42" s="1">
        <v>9.47405</v>
      </c>
    </row>
    <row r="43" ht="15.75" hidden="1" customHeight="1">
      <c r="A43" s="4">
        <v>45527.0</v>
      </c>
      <c r="B43" s="1" t="s">
        <v>107</v>
      </c>
      <c r="C43" s="1" t="s">
        <v>104</v>
      </c>
      <c r="D43" s="1">
        <v>394.0</v>
      </c>
      <c r="E43" s="1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1">
        <v>-5.0</v>
      </c>
      <c r="O43" s="1">
        <v>9.1932</v>
      </c>
    </row>
    <row r="44" ht="15.75" hidden="1" customHeight="1">
      <c r="A44" s="4">
        <v>45527.0</v>
      </c>
      <c r="B44" s="1" t="s">
        <v>95</v>
      </c>
      <c r="C44" s="1" t="s">
        <v>89</v>
      </c>
      <c r="D44" s="1">
        <v>887.0</v>
      </c>
      <c r="E44" s="1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1">
        <v>5.0</v>
      </c>
      <c r="N44" s="1">
        <v>0.012233333333333334</v>
      </c>
      <c r="O44" s="1">
        <v>9.478766666666667</v>
      </c>
    </row>
    <row r="45" ht="15.75" hidden="1" customHeight="1">
      <c r="A45" s="4">
        <v>45527.0</v>
      </c>
      <c r="B45" s="1" t="s">
        <v>107</v>
      </c>
      <c r="C45" s="1" t="s">
        <v>104</v>
      </c>
      <c r="D45" s="1">
        <v>293.0</v>
      </c>
      <c r="E45" s="1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1">
        <v>-8.0</v>
      </c>
      <c r="O45" s="1">
        <v>6.60745</v>
      </c>
    </row>
    <row r="46" ht="15.75" hidden="1" customHeight="1">
      <c r="A46" s="4">
        <v>45527.0</v>
      </c>
      <c r="B46" s="1" t="s">
        <v>95</v>
      </c>
      <c r="C46" s="1" t="s">
        <v>104</v>
      </c>
      <c r="D46" s="1">
        <v>494.0</v>
      </c>
      <c r="E46" s="1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1">
        <v>-11.0</v>
      </c>
      <c r="O46" s="1">
        <v>7.925416666666667</v>
      </c>
    </row>
    <row r="47" ht="15.75" hidden="1" customHeight="1">
      <c r="A47" s="4">
        <v>45527.0</v>
      </c>
      <c r="B47" s="1" t="s">
        <v>95</v>
      </c>
      <c r="C47" s="1" t="s">
        <v>104</v>
      </c>
      <c r="D47" s="1">
        <v>199.0</v>
      </c>
      <c r="E47" s="1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1">
        <v>-10.0</v>
      </c>
      <c r="O47" s="1">
        <v>41.05805</v>
      </c>
    </row>
    <row r="48" ht="15.75" hidden="1" customHeight="1">
      <c r="A48" s="4">
        <v>45527.0</v>
      </c>
      <c r="B48" s="1" t="s">
        <v>95</v>
      </c>
      <c r="C48" s="1" t="s">
        <v>104</v>
      </c>
      <c r="D48" s="1">
        <v>339.0</v>
      </c>
      <c r="E48" s="1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1">
        <v>-10.0</v>
      </c>
      <c r="O48" s="1">
        <v>8.02555</v>
      </c>
    </row>
    <row r="49" ht="15.75" hidden="1" customHeight="1">
      <c r="A49" s="4">
        <v>45527.0</v>
      </c>
      <c r="B49" s="1" t="s">
        <v>95</v>
      </c>
      <c r="C49" s="1" t="s">
        <v>89</v>
      </c>
      <c r="D49" s="1">
        <v>309.0</v>
      </c>
      <c r="E49" s="1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1">
        <v>-15.0</v>
      </c>
      <c r="N49" s="1">
        <v>0.0151</v>
      </c>
      <c r="O49" s="1">
        <v>8.41365</v>
      </c>
    </row>
    <row r="50" ht="15.75" hidden="1" customHeight="1">
      <c r="A50" s="4">
        <v>45527.0</v>
      </c>
      <c r="B50" s="1" t="s">
        <v>103</v>
      </c>
      <c r="C50" s="1" t="s">
        <v>104</v>
      </c>
      <c r="D50" s="1">
        <v>394.0</v>
      </c>
      <c r="E50" s="1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1">
        <v>0.0</v>
      </c>
      <c r="O50" s="1">
        <v>7.804116666666666</v>
      </c>
    </row>
    <row r="51" ht="15.75" hidden="1" customHeight="1">
      <c r="A51" s="4">
        <v>45527.0</v>
      </c>
      <c r="B51" s="1" t="s">
        <v>88</v>
      </c>
      <c r="C51" s="1" t="s">
        <v>89</v>
      </c>
      <c r="D51" s="1">
        <v>441.0</v>
      </c>
      <c r="E51" s="1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1">
        <v>-9.0</v>
      </c>
      <c r="O51" s="1">
        <v>5.5026</v>
      </c>
    </row>
    <row r="52" ht="15.75" hidden="1" customHeight="1">
      <c r="A52" s="4">
        <v>45527.0</v>
      </c>
      <c r="B52" s="1" t="s">
        <v>88</v>
      </c>
      <c r="C52" s="1" t="s">
        <v>89</v>
      </c>
      <c r="D52" s="1">
        <v>264.0</v>
      </c>
      <c r="E52" s="1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1">
        <v>-10.0</v>
      </c>
      <c r="O52" s="1">
        <v>4.782733333333334</v>
      </c>
    </row>
    <row r="53" ht="15.75" hidden="1" customHeight="1">
      <c r="A53" s="4">
        <v>45527.0</v>
      </c>
      <c r="B53" s="1" t="s">
        <v>228</v>
      </c>
      <c r="C53" s="1" t="s">
        <v>104</v>
      </c>
      <c r="D53" s="1">
        <v>238.0</v>
      </c>
      <c r="E53" s="1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1">
        <v>1.0</v>
      </c>
      <c r="O53" s="1">
        <v>6.632616666666666</v>
      </c>
    </row>
    <row r="54" ht="15.75" hidden="1" customHeight="1">
      <c r="A54" s="4">
        <v>45527.0</v>
      </c>
      <c r="B54" s="1" t="s">
        <v>103</v>
      </c>
      <c r="C54" s="1" t="s">
        <v>104</v>
      </c>
      <c r="D54" s="1">
        <v>987.0</v>
      </c>
      <c r="E54" s="1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1">
        <v>-3.0</v>
      </c>
      <c r="O54" s="1">
        <v>8.459366666666666</v>
      </c>
    </row>
    <row r="55" ht="15.75" hidden="1" customHeight="1">
      <c r="A55" s="4">
        <v>45527.0</v>
      </c>
      <c r="B55" s="1" t="s">
        <v>95</v>
      </c>
      <c r="C55" s="1" t="s">
        <v>104</v>
      </c>
      <c r="D55" s="1">
        <v>326.0</v>
      </c>
      <c r="E55" s="1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1">
        <v>-9.0</v>
      </c>
      <c r="O55" s="1">
        <v>10.215566666666666</v>
      </c>
    </row>
    <row r="56" ht="15.75" hidden="1" customHeight="1">
      <c r="A56" s="4">
        <v>45527.0</v>
      </c>
      <c r="B56" s="1" t="s">
        <v>103</v>
      </c>
      <c r="C56" s="1" t="s">
        <v>104</v>
      </c>
      <c r="D56" s="1">
        <v>394.0</v>
      </c>
      <c r="E56" s="1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1">
        <v>4.0</v>
      </c>
      <c r="O56" s="1">
        <v>12.064383333333334</v>
      </c>
    </row>
    <row r="57" ht="15.75" hidden="1" customHeight="1">
      <c r="A57" s="4">
        <v>45527.0</v>
      </c>
      <c r="B57" s="1" t="s">
        <v>103</v>
      </c>
      <c r="C57" s="1" t="s">
        <v>104</v>
      </c>
      <c r="D57" s="1">
        <v>404.0</v>
      </c>
      <c r="E57" s="1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1">
        <v>0.0</v>
      </c>
      <c r="O57" s="1">
        <v>7.856883333333333</v>
      </c>
    </row>
    <row r="58" ht="15.75" hidden="1" customHeight="1">
      <c r="A58" s="4">
        <v>45527.0</v>
      </c>
      <c r="B58" s="1" t="s">
        <v>103</v>
      </c>
      <c r="C58" s="1" t="s">
        <v>104</v>
      </c>
      <c r="D58" s="1">
        <v>394.0</v>
      </c>
      <c r="E58" s="1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1">
        <v>-3.0</v>
      </c>
      <c r="O58" s="1">
        <v>4.836616666666667</v>
      </c>
    </row>
    <row r="59" ht="15.75" hidden="1" customHeight="1">
      <c r="A59" s="4">
        <v>45527.0</v>
      </c>
      <c r="B59" s="1" t="s">
        <v>95</v>
      </c>
      <c r="C59" s="1" t="s">
        <v>104</v>
      </c>
      <c r="D59" s="1">
        <v>424.0</v>
      </c>
      <c r="E59" s="1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1">
        <v>-8.0</v>
      </c>
      <c r="O59" s="1">
        <v>9.703416666666667</v>
      </c>
    </row>
    <row r="60" ht="15.75" hidden="1" customHeight="1">
      <c r="A60" s="4">
        <v>45527.0</v>
      </c>
      <c r="B60" s="1" t="s">
        <v>95</v>
      </c>
      <c r="C60" s="1" t="s">
        <v>89</v>
      </c>
      <c r="D60" s="1">
        <v>531.0</v>
      </c>
      <c r="E60" s="1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1">
        <v>0.0</v>
      </c>
      <c r="N60" s="1">
        <v>2.6546833333333333</v>
      </c>
      <c r="O60" s="1">
        <v>22.69085</v>
      </c>
    </row>
    <row r="61" ht="15.75" hidden="1" customHeight="1">
      <c r="A61" s="4">
        <v>45527.0</v>
      </c>
      <c r="B61" s="1" t="s">
        <v>103</v>
      </c>
      <c r="C61" s="1" t="s">
        <v>104</v>
      </c>
      <c r="D61" s="1">
        <v>264.0</v>
      </c>
      <c r="E61" s="1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1">
        <v>1.0</v>
      </c>
      <c r="O61" s="1">
        <v>8.457266666666667</v>
      </c>
    </row>
    <row r="62" ht="15.75" hidden="1" customHeight="1">
      <c r="A62" s="4">
        <v>45527.0</v>
      </c>
      <c r="B62" s="1" t="s">
        <v>95</v>
      </c>
      <c r="C62" s="1" t="s">
        <v>89</v>
      </c>
      <c r="D62" s="1">
        <v>358.0</v>
      </c>
      <c r="E62" s="1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1">
        <v>-3.0</v>
      </c>
      <c r="N62" s="1">
        <v>0.010383333333333333</v>
      </c>
      <c r="O62" s="1">
        <v>8.439883333333333</v>
      </c>
    </row>
    <row r="63" ht="15.75" hidden="1" customHeight="1">
      <c r="A63" s="4">
        <v>45527.0</v>
      </c>
      <c r="B63" s="1" t="s">
        <v>95</v>
      </c>
      <c r="C63" s="1" t="s">
        <v>89</v>
      </c>
      <c r="D63" s="1">
        <v>967.0</v>
      </c>
      <c r="E63" s="1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1">
        <v>-2.0</v>
      </c>
      <c r="N63" s="1">
        <v>0.009533333333333333</v>
      </c>
      <c r="O63" s="1">
        <v>9.747466666666666</v>
      </c>
    </row>
    <row r="64" ht="15.75" hidden="1" customHeight="1">
      <c r="A64" s="4">
        <v>45527.0</v>
      </c>
      <c r="B64" s="1" t="s">
        <v>95</v>
      </c>
      <c r="C64" s="1" t="s">
        <v>104</v>
      </c>
      <c r="D64" s="1">
        <v>372.0</v>
      </c>
      <c r="E64" s="1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1">
        <v>-11.0</v>
      </c>
      <c r="O64" s="1">
        <v>7.68075</v>
      </c>
    </row>
    <row r="65" ht="15.75" hidden="1" customHeight="1">
      <c r="A65" s="4">
        <v>45527.0</v>
      </c>
      <c r="B65" s="1" t="s">
        <v>103</v>
      </c>
      <c r="C65" s="1" t="s">
        <v>104</v>
      </c>
      <c r="D65" s="1">
        <v>378.0</v>
      </c>
      <c r="E65" s="1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1">
        <v>0.0</v>
      </c>
      <c r="O65" s="1">
        <v>6.842433333333333</v>
      </c>
    </row>
    <row r="66" ht="15.75" hidden="1" customHeight="1">
      <c r="A66" s="4">
        <v>45527.0</v>
      </c>
      <c r="B66" s="1" t="s">
        <v>95</v>
      </c>
      <c r="C66" s="1" t="s">
        <v>89</v>
      </c>
      <c r="D66" s="1">
        <v>456.0</v>
      </c>
      <c r="E66" s="1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1">
        <v>0.0</v>
      </c>
      <c r="N66" s="1">
        <v>0.009933333333333334</v>
      </c>
      <c r="O66" s="1">
        <v>6.119816666666667</v>
      </c>
    </row>
    <row r="67" ht="15.75" hidden="1" customHeight="1">
      <c r="A67" s="4">
        <v>45527.0</v>
      </c>
      <c r="B67" s="1" t="s">
        <v>228</v>
      </c>
      <c r="C67" s="1" t="s">
        <v>104</v>
      </c>
      <c r="D67" s="1">
        <v>309.0</v>
      </c>
      <c r="E67" s="1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1">
        <v>1.0</v>
      </c>
      <c r="O67" s="1">
        <v>6.57285</v>
      </c>
    </row>
    <row r="68" ht="15.75" hidden="1" customHeight="1">
      <c r="A68" s="4">
        <v>45527.0</v>
      </c>
      <c r="B68" s="1" t="s">
        <v>107</v>
      </c>
      <c r="C68" s="1" t="s">
        <v>104</v>
      </c>
      <c r="D68" s="1">
        <v>329.0</v>
      </c>
      <c r="E68" s="1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1">
        <v>-10.0</v>
      </c>
      <c r="O68" s="1">
        <v>4.7494</v>
      </c>
    </row>
    <row r="69" ht="15.75" hidden="1" customHeight="1">
      <c r="A69" s="4">
        <v>45527.0</v>
      </c>
      <c r="B69" s="1" t="s">
        <v>88</v>
      </c>
      <c r="C69" s="1" t="s">
        <v>89</v>
      </c>
      <c r="D69" s="1">
        <v>658.0</v>
      </c>
      <c r="E69" s="1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1">
        <v>-9.0</v>
      </c>
      <c r="O69" s="1">
        <v>10.783333333333333</v>
      </c>
    </row>
    <row r="70" ht="15.75" hidden="1" customHeight="1">
      <c r="A70" s="4">
        <v>45527.0</v>
      </c>
      <c r="B70" s="1" t="s">
        <v>228</v>
      </c>
      <c r="C70" s="1" t="s">
        <v>104</v>
      </c>
      <c r="D70" s="1">
        <v>617.0</v>
      </c>
      <c r="E70" s="1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1">
        <v>-2.0</v>
      </c>
      <c r="O70" s="1">
        <v>7.473033333333333</v>
      </c>
    </row>
    <row r="71" ht="15.75" hidden="1" customHeight="1">
      <c r="A71" s="4">
        <v>45527.0</v>
      </c>
      <c r="B71" s="1" t="s">
        <v>103</v>
      </c>
      <c r="C71" s="1" t="s">
        <v>104</v>
      </c>
      <c r="D71" s="1">
        <v>348.0</v>
      </c>
      <c r="E71" s="1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1">
        <v>-1.0</v>
      </c>
      <c r="O71" s="1">
        <v>5.21585</v>
      </c>
    </row>
    <row r="72" ht="15.75" hidden="1" customHeight="1">
      <c r="A72" s="4">
        <v>45527.0</v>
      </c>
      <c r="B72" s="1" t="s">
        <v>88</v>
      </c>
      <c r="C72" s="1" t="s">
        <v>89</v>
      </c>
      <c r="D72" s="1">
        <v>528.0</v>
      </c>
      <c r="E72" s="1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1">
        <v>-7.0</v>
      </c>
      <c r="O72" s="1">
        <v>12.862533333333333</v>
      </c>
    </row>
    <row r="73" ht="15.75" hidden="1" customHeight="1">
      <c r="A73" s="4">
        <v>45527.0</v>
      </c>
      <c r="B73" s="1" t="s">
        <v>95</v>
      </c>
      <c r="C73" s="1" t="s">
        <v>89</v>
      </c>
      <c r="D73" s="1">
        <v>498.0</v>
      </c>
      <c r="E73" s="1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1">
        <v>-12.0</v>
      </c>
      <c r="N73" s="1">
        <v>0.010916666666666667</v>
      </c>
      <c r="O73" s="1">
        <v>10.334366666666666</v>
      </c>
    </row>
    <row r="74" ht="15.75" hidden="1" customHeight="1">
      <c r="A74" s="4">
        <v>45527.0</v>
      </c>
      <c r="B74" s="1" t="s">
        <v>107</v>
      </c>
      <c r="C74" s="1" t="s">
        <v>104</v>
      </c>
      <c r="D74" s="1">
        <v>657.0</v>
      </c>
      <c r="E74" s="1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1">
        <v>-6.0</v>
      </c>
      <c r="O74" s="1">
        <v>13.937316666666666</v>
      </c>
    </row>
    <row r="75" ht="15.75" hidden="1" customHeight="1">
      <c r="A75" s="4">
        <v>45527.0</v>
      </c>
      <c r="B75" s="1" t="s">
        <v>95</v>
      </c>
      <c r="C75" s="1" t="s">
        <v>104</v>
      </c>
      <c r="D75" s="1">
        <v>247.0</v>
      </c>
      <c r="E75" s="1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1">
        <v>-11.0</v>
      </c>
      <c r="O75" s="1">
        <v>7.9866</v>
      </c>
    </row>
    <row r="76" ht="15.75" hidden="1" customHeight="1">
      <c r="A76" s="4">
        <v>45527.0</v>
      </c>
      <c r="B76" s="1" t="s">
        <v>107</v>
      </c>
      <c r="C76" s="1" t="s">
        <v>104</v>
      </c>
      <c r="D76" s="1">
        <v>788.0</v>
      </c>
      <c r="E76" s="1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1">
        <v>-8.0</v>
      </c>
      <c r="O76" s="1">
        <v>11.422866666666666</v>
      </c>
    </row>
    <row r="77" ht="15.75" hidden="1" customHeight="1">
      <c r="A77" s="4">
        <v>45527.0</v>
      </c>
      <c r="B77" s="1" t="s">
        <v>88</v>
      </c>
      <c r="C77" s="1" t="s">
        <v>89</v>
      </c>
      <c r="D77" s="1">
        <v>289.0</v>
      </c>
      <c r="E77" s="1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1">
        <v>-6.0</v>
      </c>
      <c r="O77" s="1">
        <v>8.499866666666666</v>
      </c>
    </row>
    <row r="78" ht="15.75" hidden="1" customHeight="1">
      <c r="A78" s="4">
        <v>45527.0</v>
      </c>
      <c r="B78" s="1" t="s">
        <v>103</v>
      </c>
      <c r="C78" s="1" t="s">
        <v>104</v>
      </c>
      <c r="D78" s="1">
        <v>311.0</v>
      </c>
      <c r="E78" s="1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1">
        <v>-2.0</v>
      </c>
      <c r="O78" s="1">
        <v>5.751933333333334</v>
      </c>
    </row>
    <row r="79" ht="15.75" hidden="1" customHeight="1">
      <c r="A79" s="4">
        <v>45527.0</v>
      </c>
      <c r="B79" s="1" t="s">
        <v>103</v>
      </c>
      <c r="C79" s="1" t="s">
        <v>104</v>
      </c>
      <c r="D79" s="1">
        <v>342.0</v>
      </c>
      <c r="E79" s="1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1">
        <v>-3.0</v>
      </c>
      <c r="O79" s="1">
        <v>5.480816666666667</v>
      </c>
    </row>
    <row r="80" ht="15.75" hidden="1" customHeight="1">
      <c r="A80" s="4">
        <v>45527.0</v>
      </c>
      <c r="B80" s="1" t="s">
        <v>103</v>
      </c>
      <c r="C80" s="1" t="s">
        <v>104</v>
      </c>
      <c r="D80" s="1">
        <v>239.0</v>
      </c>
      <c r="E80" s="1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1">
        <v>-1.0</v>
      </c>
      <c r="O80" s="1">
        <v>5.468216666666667</v>
      </c>
    </row>
    <row r="81" ht="15.75" hidden="1" customHeight="1">
      <c r="A81" s="4">
        <v>45527.0</v>
      </c>
      <c r="B81" s="1" t="s">
        <v>95</v>
      </c>
      <c r="C81" s="1" t="s">
        <v>104</v>
      </c>
      <c r="D81" s="1">
        <v>298.0</v>
      </c>
      <c r="E81" s="1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1">
        <v>-8.0</v>
      </c>
      <c r="O81" s="1">
        <v>10.95335</v>
      </c>
    </row>
    <row r="82" ht="15.75" hidden="1" customHeight="1">
      <c r="A82" s="4">
        <v>45527.0</v>
      </c>
      <c r="B82" s="1" t="s">
        <v>103</v>
      </c>
      <c r="C82" s="1" t="s">
        <v>104</v>
      </c>
      <c r="D82" s="1">
        <v>394.0</v>
      </c>
      <c r="E82" s="1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1">
        <v>2.0</v>
      </c>
      <c r="O82" s="1">
        <v>9.072166666666666</v>
      </c>
    </row>
    <row r="83" ht="15.75" hidden="1" customHeight="1">
      <c r="A83" s="4">
        <v>45527.0</v>
      </c>
      <c r="B83" s="1" t="s">
        <v>107</v>
      </c>
      <c r="C83" s="1" t="s">
        <v>104</v>
      </c>
      <c r="D83" s="1">
        <v>548.0</v>
      </c>
      <c r="E83" s="1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1">
        <v>-12.0</v>
      </c>
      <c r="O83" s="1">
        <v>7.840866666666667</v>
      </c>
    </row>
    <row r="84" ht="15.75" hidden="1" customHeight="1">
      <c r="A84" s="4">
        <v>45527.0</v>
      </c>
      <c r="B84" s="1" t="s">
        <v>95</v>
      </c>
      <c r="C84" s="1" t="s">
        <v>104</v>
      </c>
      <c r="D84" s="1">
        <v>554.0</v>
      </c>
      <c r="E84" s="1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1">
        <v>-6.0</v>
      </c>
      <c r="O84" s="1">
        <v>24.334966666666666</v>
      </c>
    </row>
    <row r="85" ht="15.75" hidden="1" customHeight="1">
      <c r="A85" s="4">
        <v>45527.0</v>
      </c>
      <c r="B85" s="1" t="s">
        <v>88</v>
      </c>
      <c r="C85" s="1" t="s">
        <v>89</v>
      </c>
      <c r="D85" s="1">
        <v>169.0</v>
      </c>
      <c r="E85" s="1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1">
        <v>-9.0</v>
      </c>
      <c r="O85" s="1">
        <v>5.3007</v>
      </c>
    </row>
    <row r="86" ht="15.75" hidden="1" customHeight="1">
      <c r="A86" s="4">
        <v>45527.0</v>
      </c>
      <c r="B86" s="1" t="s">
        <v>103</v>
      </c>
      <c r="C86" s="1" t="s">
        <v>104</v>
      </c>
      <c r="D86" s="1">
        <v>602.0</v>
      </c>
      <c r="E86" s="1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1">
        <v>-1.0</v>
      </c>
      <c r="O86" s="1">
        <v>7.4276</v>
      </c>
    </row>
    <row r="87" ht="15.75" hidden="1" customHeight="1">
      <c r="A87" s="4">
        <v>45527.0</v>
      </c>
      <c r="B87" s="1" t="s">
        <v>95</v>
      </c>
      <c r="C87" s="1" t="s">
        <v>89</v>
      </c>
      <c r="D87" s="1">
        <v>620.0</v>
      </c>
      <c r="E87" s="1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1">
        <v>-19.0</v>
      </c>
      <c r="N87" s="1">
        <v>0.013683333333333334</v>
      </c>
      <c r="O87" s="1">
        <v>7.1668</v>
      </c>
    </row>
    <row r="88" ht="15.75" hidden="1" customHeight="1">
      <c r="A88" s="4">
        <v>45527.0</v>
      </c>
      <c r="B88" s="1" t="s">
        <v>95</v>
      </c>
      <c r="C88" s="1" t="s">
        <v>104</v>
      </c>
      <c r="D88" s="1">
        <v>563.0</v>
      </c>
      <c r="E88" s="1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1">
        <v>-9.0</v>
      </c>
      <c r="O88" s="1">
        <v>14.524083333333333</v>
      </c>
    </row>
    <row r="89" ht="15.75" hidden="1" customHeight="1">
      <c r="A89" s="4">
        <v>45527.0</v>
      </c>
      <c r="B89" s="1" t="s">
        <v>103</v>
      </c>
      <c r="C89" s="1" t="s">
        <v>104</v>
      </c>
      <c r="D89" s="1">
        <v>264.0</v>
      </c>
      <c r="E89" s="1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1">
        <v>1.0</v>
      </c>
      <c r="O89" s="1">
        <v>7.222583333333334</v>
      </c>
    </row>
    <row r="90" ht="15.75" hidden="1" customHeight="1">
      <c r="A90" s="4">
        <v>45527.0</v>
      </c>
      <c r="B90" s="1" t="s">
        <v>88</v>
      </c>
      <c r="C90" s="1" t="s">
        <v>89</v>
      </c>
      <c r="D90" s="1">
        <v>264.0</v>
      </c>
      <c r="E90" s="1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1">
        <v>-9.0</v>
      </c>
      <c r="O90" s="1">
        <v>5.1853</v>
      </c>
    </row>
    <row r="91" ht="15.75" hidden="1" customHeight="1">
      <c r="A91" s="4">
        <v>45527.0</v>
      </c>
      <c r="B91" s="1" t="s">
        <v>95</v>
      </c>
      <c r="C91" s="1" t="s">
        <v>104</v>
      </c>
      <c r="D91" s="1">
        <v>333.0</v>
      </c>
      <c r="E91" s="1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1">
        <v>-12.0</v>
      </c>
      <c r="O91" s="1">
        <v>6.894</v>
      </c>
    </row>
    <row r="92" ht="15.75" hidden="1" customHeight="1">
      <c r="A92" s="4">
        <v>45527.0</v>
      </c>
      <c r="B92" s="1" t="s">
        <v>103</v>
      </c>
      <c r="C92" s="1" t="s">
        <v>104</v>
      </c>
      <c r="D92" s="1">
        <v>449.0</v>
      </c>
      <c r="E92" s="1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1">
        <v>0.0</v>
      </c>
      <c r="O92" s="1">
        <v>7.831816666666667</v>
      </c>
    </row>
    <row r="93" ht="15.75" hidden="1" customHeight="1">
      <c r="A93" s="4">
        <v>45527.0</v>
      </c>
      <c r="B93" s="1" t="s">
        <v>103</v>
      </c>
      <c r="C93" s="1" t="s">
        <v>104</v>
      </c>
      <c r="D93" s="1">
        <v>258.0</v>
      </c>
      <c r="E93" s="1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1">
        <v>0.0</v>
      </c>
      <c r="O93" s="1">
        <v>6.5733</v>
      </c>
    </row>
    <row r="94" ht="15.75" hidden="1" customHeight="1">
      <c r="A94" s="4">
        <v>45527.0</v>
      </c>
      <c r="B94" s="1" t="s">
        <v>88</v>
      </c>
      <c r="C94" s="1" t="s">
        <v>89</v>
      </c>
      <c r="D94" s="1">
        <v>522.0</v>
      </c>
      <c r="E94" s="1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1">
        <v>-13.0</v>
      </c>
      <c r="O94" s="1">
        <v>6.7959</v>
      </c>
    </row>
    <row r="95" ht="15.75" hidden="1" customHeight="1">
      <c r="A95" s="4">
        <v>45527.0</v>
      </c>
      <c r="B95" s="1" t="s">
        <v>95</v>
      </c>
      <c r="C95" s="1" t="s">
        <v>89</v>
      </c>
      <c r="D95" s="1">
        <v>318.0</v>
      </c>
      <c r="E95" s="1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1">
        <v>-11.0</v>
      </c>
      <c r="N95" s="1">
        <v>0.016483333333333332</v>
      </c>
      <c r="O95" s="1">
        <v>7.975783333333333</v>
      </c>
    </row>
    <row r="96" ht="15.75" hidden="1" customHeight="1">
      <c r="A96" s="4">
        <v>45527.0</v>
      </c>
      <c r="B96" s="1" t="s">
        <v>95</v>
      </c>
      <c r="C96" s="1" t="s">
        <v>104</v>
      </c>
      <c r="D96" s="1">
        <v>494.0</v>
      </c>
      <c r="E96" s="1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1">
        <v>-14.0</v>
      </c>
      <c r="O96" s="1">
        <v>20.0415</v>
      </c>
    </row>
    <row r="97" ht="15.75" hidden="1" customHeight="1">
      <c r="A97" s="4">
        <v>45527.0</v>
      </c>
      <c r="B97" s="1" t="s">
        <v>107</v>
      </c>
      <c r="C97" s="1" t="s">
        <v>104</v>
      </c>
      <c r="D97" s="1">
        <v>723.0</v>
      </c>
      <c r="E97" s="1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1">
        <v>-10.0</v>
      </c>
      <c r="O97" s="1">
        <v>9.726983333333333</v>
      </c>
    </row>
    <row r="98" ht="15.75" hidden="1" customHeight="1">
      <c r="A98" s="4">
        <v>45527.0</v>
      </c>
      <c r="B98" s="1" t="s">
        <v>88</v>
      </c>
      <c r="C98" s="1" t="s">
        <v>89</v>
      </c>
      <c r="D98" s="1">
        <v>602.0</v>
      </c>
      <c r="E98" s="1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1">
        <v>-11.0</v>
      </c>
      <c r="O98" s="1">
        <v>8.46075</v>
      </c>
    </row>
    <row r="99" ht="15.75" hidden="1" customHeight="1">
      <c r="A99" s="4">
        <v>45527.0</v>
      </c>
      <c r="B99" s="1" t="s">
        <v>88</v>
      </c>
      <c r="C99" s="1" t="s">
        <v>89</v>
      </c>
      <c r="D99" s="1">
        <v>474.0</v>
      </c>
      <c r="E99" s="1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1">
        <v>-8.0</v>
      </c>
      <c r="O99" s="1">
        <v>6.646466666666667</v>
      </c>
    </row>
    <row r="100" ht="15.75" hidden="1" customHeight="1">
      <c r="A100" s="4">
        <v>45527.0</v>
      </c>
      <c r="B100" s="1" t="s">
        <v>107</v>
      </c>
      <c r="C100" s="1" t="s">
        <v>104</v>
      </c>
      <c r="D100" s="1">
        <v>329.0</v>
      </c>
      <c r="E100" s="1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1">
        <v>-6.0</v>
      </c>
      <c r="O100" s="1">
        <v>8.869133333333334</v>
      </c>
    </row>
    <row r="101" ht="15.75" hidden="1" customHeight="1">
      <c r="A101" s="4">
        <v>45527.0</v>
      </c>
      <c r="B101" s="1" t="s">
        <v>103</v>
      </c>
      <c r="C101" s="1" t="s">
        <v>104</v>
      </c>
      <c r="D101" s="1">
        <v>487.0</v>
      </c>
      <c r="E101" s="1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1">
        <v>-1.0</v>
      </c>
      <c r="O101" s="1">
        <v>6.617583333333333</v>
      </c>
    </row>
    <row r="102" ht="15.75" hidden="1" customHeight="1">
      <c r="A102" s="4">
        <v>45527.0</v>
      </c>
      <c r="B102" s="1" t="s">
        <v>88</v>
      </c>
      <c r="C102" s="1" t="s">
        <v>89</v>
      </c>
      <c r="D102" s="1">
        <v>633.0</v>
      </c>
      <c r="E102" s="1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1">
        <v>-12.0</v>
      </c>
      <c r="O102" s="1">
        <v>7.981083333333333</v>
      </c>
    </row>
    <row r="103" ht="15.75" hidden="1" customHeight="1">
      <c r="A103" s="4">
        <v>45527.0</v>
      </c>
      <c r="B103" s="1" t="s">
        <v>107</v>
      </c>
      <c r="C103" s="1" t="s">
        <v>104</v>
      </c>
      <c r="D103" s="1">
        <v>329.0</v>
      </c>
      <c r="E103" s="1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1">
        <v>-7.0</v>
      </c>
      <c r="O103" s="1">
        <v>7.948383333333333</v>
      </c>
    </row>
    <row r="104" ht="15.75" hidden="1" customHeight="1">
      <c r="A104" s="4">
        <v>45527.0</v>
      </c>
      <c r="B104" s="1" t="s">
        <v>103</v>
      </c>
      <c r="C104" s="1" t="s">
        <v>104</v>
      </c>
      <c r="D104" s="1">
        <v>394.0</v>
      </c>
      <c r="E104" s="1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1">
        <v>0.0</v>
      </c>
      <c r="O104" s="1">
        <v>8.31215</v>
      </c>
    </row>
    <row r="105" ht="15.75" hidden="1" customHeight="1">
      <c r="A105" s="4">
        <v>45527.0</v>
      </c>
      <c r="B105" s="1" t="s">
        <v>107</v>
      </c>
      <c r="C105" s="1" t="s">
        <v>104</v>
      </c>
      <c r="D105" s="1">
        <v>817.0</v>
      </c>
      <c r="E105" s="1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1">
        <v>-9.0</v>
      </c>
      <c r="O105" s="1">
        <v>10.688233333333333</v>
      </c>
    </row>
    <row r="106" ht="15.75" hidden="1" customHeight="1">
      <c r="A106" s="4">
        <v>45527.0</v>
      </c>
      <c r="B106" s="1" t="s">
        <v>88</v>
      </c>
      <c r="C106" s="1" t="s">
        <v>89</v>
      </c>
      <c r="D106" s="1">
        <v>264.0</v>
      </c>
      <c r="E106" s="1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1">
        <v>-2.0</v>
      </c>
      <c r="O106" s="1">
        <v>12.453233333333333</v>
      </c>
    </row>
    <row r="107" ht="15.75" hidden="1" customHeight="1">
      <c r="A107" s="4">
        <v>45527.0</v>
      </c>
      <c r="B107" s="1" t="s">
        <v>88</v>
      </c>
      <c r="C107" s="1" t="s">
        <v>89</v>
      </c>
      <c r="D107" s="1">
        <v>554.0</v>
      </c>
      <c r="E107" s="1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1">
        <v>-6.0</v>
      </c>
      <c r="O107" s="1">
        <v>13.46285</v>
      </c>
    </row>
    <row r="108" ht="15.75" hidden="1" customHeight="1">
      <c r="A108" s="4">
        <v>45527.0</v>
      </c>
      <c r="B108" s="1" t="s">
        <v>103</v>
      </c>
      <c r="C108" s="1" t="s">
        <v>104</v>
      </c>
      <c r="D108" s="1">
        <v>910.0</v>
      </c>
      <c r="E108" s="1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1">
        <v>-1.0</v>
      </c>
      <c r="O108" s="1">
        <v>9.446733333333333</v>
      </c>
    </row>
    <row r="109" ht="15.75" hidden="1" customHeight="1">
      <c r="A109" s="4">
        <v>45527.0</v>
      </c>
      <c r="B109" s="1" t="s">
        <v>103</v>
      </c>
      <c r="C109" s="1" t="s">
        <v>104</v>
      </c>
      <c r="D109" s="1">
        <v>390.0</v>
      </c>
      <c r="E109" s="1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1">
        <v>2.0</v>
      </c>
      <c r="O109" s="1">
        <v>9.343316666666666</v>
      </c>
    </row>
    <row r="110" ht="15.75" hidden="1" customHeight="1">
      <c r="A110" s="4">
        <v>45527.0</v>
      </c>
      <c r="B110" s="1" t="s">
        <v>103</v>
      </c>
      <c r="C110" s="1" t="s">
        <v>104</v>
      </c>
      <c r="D110" s="1">
        <v>368.0</v>
      </c>
      <c r="E110" s="1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1">
        <v>2.0</v>
      </c>
      <c r="O110" s="1">
        <v>10.249066666666666</v>
      </c>
    </row>
    <row r="111" ht="15.75" hidden="1" customHeight="1">
      <c r="A111" s="4">
        <v>45527.0</v>
      </c>
      <c r="B111" s="1" t="s">
        <v>103</v>
      </c>
      <c r="C111" s="1" t="s">
        <v>104</v>
      </c>
      <c r="D111" s="1">
        <v>371.0</v>
      </c>
      <c r="E111" s="1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1">
        <v>0.0</v>
      </c>
      <c r="O111" s="1">
        <v>7.849283333333333</v>
      </c>
    </row>
    <row r="112" ht="15.75" hidden="1" customHeight="1">
      <c r="A112" s="4">
        <v>45527.0</v>
      </c>
      <c r="B112" s="1" t="s">
        <v>88</v>
      </c>
      <c r="C112" s="1" t="s">
        <v>89</v>
      </c>
      <c r="D112" s="1">
        <v>329.0</v>
      </c>
      <c r="E112" s="1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1">
        <v>-8.0</v>
      </c>
      <c r="O112" s="1">
        <v>6.90845</v>
      </c>
    </row>
    <row r="113" ht="15.75" hidden="1" customHeight="1">
      <c r="A113" s="4">
        <v>45527.0</v>
      </c>
      <c r="B113" s="1" t="s">
        <v>103</v>
      </c>
      <c r="C113" s="1" t="s">
        <v>104</v>
      </c>
      <c r="D113" s="1">
        <v>264.0</v>
      </c>
      <c r="E113" s="1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1">
        <v>1.0</v>
      </c>
      <c r="O113" s="1">
        <v>7.923416666666666</v>
      </c>
    </row>
    <row r="114" ht="15.75" hidden="1" customHeight="1">
      <c r="A114" s="4">
        <v>45527.0</v>
      </c>
      <c r="B114" s="1" t="s">
        <v>88</v>
      </c>
      <c r="C114" s="1" t="s">
        <v>89</v>
      </c>
      <c r="D114" s="1">
        <v>707.0</v>
      </c>
      <c r="E114" s="1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1">
        <v>-9.0</v>
      </c>
      <c r="O114" s="1">
        <v>10.46435</v>
      </c>
    </row>
    <row r="115" ht="15.75" hidden="1" customHeight="1">
      <c r="A115" s="4">
        <v>45527.0</v>
      </c>
      <c r="B115" s="1" t="s">
        <v>95</v>
      </c>
      <c r="C115" s="1" t="s">
        <v>89</v>
      </c>
      <c r="D115" s="1">
        <v>952.0</v>
      </c>
      <c r="E115" s="1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1">
        <v>-7.0</v>
      </c>
      <c r="N115" s="1">
        <v>0.014416666666666666</v>
      </c>
      <c r="O115" s="1">
        <v>9.109016666666667</v>
      </c>
    </row>
    <row r="116" ht="15.75" hidden="1" customHeight="1">
      <c r="A116" s="4">
        <v>45527.0</v>
      </c>
      <c r="B116" s="1" t="s">
        <v>95</v>
      </c>
      <c r="C116" s="1" t="s">
        <v>89</v>
      </c>
      <c r="D116" s="1">
        <v>803.0</v>
      </c>
      <c r="E116" s="1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1">
        <v>-5.0</v>
      </c>
      <c r="N116" s="1">
        <v>0.010783333333333334</v>
      </c>
      <c r="O116" s="1">
        <v>12.18665</v>
      </c>
    </row>
    <row r="117" ht="15.75" hidden="1" customHeight="1">
      <c r="A117" s="4">
        <v>45527.0</v>
      </c>
      <c r="B117" s="1" t="s">
        <v>107</v>
      </c>
      <c r="C117" s="1" t="s">
        <v>89</v>
      </c>
      <c r="D117" s="1">
        <v>439.0</v>
      </c>
      <c r="E117" s="1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1">
        <v>-6.0</v>
      </c>
      <c r="O117" s="1">
        <v>8.632183333333334</v>
      </c>
    </row>
    <row r="118" ht="15.75" hidden="1" customHeight="1">
      <c r="A118" s="4">
        <v>45527.0</v>
      </c>
      <c r="B118" s="1" t="s">
        <v>88</v>
      </c>
      <c r="C118" s="1" t="s">
        <v>89</v>
      </c>
      <c r="D118" s="1">
        <v>492.0</v>
      </c>
      <c r="E118" s="1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1">
        <v>-9.0</v>
      </c>
      <c r="O118" s="1">
        <v>5.875466666666667</v>
      </c>
    </row>
    <row r="119" ht="15.75" hidden="1" customHeight="1">
      <c r="A119" s="4">
        <v>45527.0</v>
      </c>
      <c r="B119" s="1" t="s">
        <v>88</v>
      </c>
      <c r="C119" s="1" t="s">
        <v>89</v>
      </c>
      <c r="D119" s="1">
        <v>393.0</v>
      </c>
      <c r="E119" s="1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1">
        <v>-7.0</v>
      </c>
      <c r="O119" s="1">
        <v>7.597083333333333</v>
      </c>
    </row>
    <row r="120" ht="15.75" hidden="1" customHeight="1">
      <c r="A120" s="4">
        <v>45527.0</v>
      </c>
      <c r="B120" s="1" t="s">
        <v>95</v>
      </c>
      <c r="C120" s="1" t="s">
        <v>89</v>
      </c>
      <c r="D120" s="1">
        <v>298.0</v>
      </c>
      <c r="E120" s="1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1">
        <v>-9.0</v>
      </c>
      <c r="N120" s="1">
        <v>0.013616666666666666</v>
      </c>
      <c r="O120" s="1">
        <v>9.517683333333334</v>
      </c>
    </row>
    <row r="121" ht="15.75" hidden="1" customHeight="1">
      <c r="A121" s="4">
        <v>45527.0</v>
      </c>
      <c r="B121" s="1" t="s">
        <v>103</v>
      </c>
      <c r="C121" s="1" t="s">
        <v>104</v>
      </c>
      <c r="D121" s="1">
        <v>383.0</v>
      </c>
      <c r="E121" s="1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1">
        <v>2.0</v>
      </c>
      <c r="O121" s="1">
        <v>10.347733333333334</v>
      </c>
    </row>
    <row r="122" ht="15.75" hidden="1" customHeight="1">
      <c r="A122" s="4">
        <v>45527.0</v>
      </c>
      <c r="B122" s="1" t="s">
        <v>88</v>
      </c>
      <c r="C122" s="1" t="s">
        <v>89</v>
      </c>
      <c r="D122" s="1">
        <v>313.0</v>
      </c>
      <c r="E122" s="1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1">
        <v>-7.0</v>
      </c>
      <c r="O122" s="1">
        <v>7.235666666666667</v>
      </c>
    </row>
    <row r="123" ht="15.75" hidden="1" customHeight="1">
      <c r="A123" s="4">
        <v>45527.0</v>
      </c>
      <c r="B123" s="1" t="s">
        <v>95</v>
      </c>
      <c r="C123" s="1" t="s">
        <v>89</v>
      </c>
      <c r="D123" s="1">
        <v>274.0</v>
      </c>
      <c r="E123" s="1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1">
        <v>-10.0</v>
      </c>
      <c r="N123" s="1">
        <v>0.009716666666666667</v>
      </c>
      <c r="O123" s="1">
        <v>10.97145</v>
      </c>
    </row>
    <row r="124" ht="15.75" hidden="1" customHeight="1">
      <c r="A124" s="4">
        <v>45527.0</v>
      </c>
      <c r="B124" s="1" t="s">
        <v>95</v>
      </c>
      <c r="C124" s="1" t="s">
        <v>89</v>
      </c>
      <c r="D124" s="1">
        <v>682.0</v>
      </c>
      <c r="E124" s="1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1">
        <v>-11.0</v>
      </c>
      <c r="O124" s="1">
        <v>11.95095</v>
      </c>
    </row>
    <row r="125" ht="15.75" hidden="1" customHeight="1">
      <c r="A125" s="4">
        <v>45527.0</v>
      </c>
      <c r="B125" s="1" t="s">
        <v>88</v>
      </c>
      <c r="C125" s="1" t="s">
        <v>89</v>
      </c>
      <c r="D125" s="1">
        <v>393.0</v>
      </c>
      <c r="E125" s="1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1">
        <v>-8.0</v>
      </c>
      <c r="O125" s="1">
        <v>6.884133333333334</v>
      </c>
    </row>
    <row r="126" ht="15.75" hidden="1" customHeight="1">
      <c r="A126" s="4">
        <v>45527.0</v>
      </c>
      <c r="B126" s="1" t="s">
        <v>107</v>
      </c>
      <c r="C126" s="1" t="s">
        <v>104</v>
      </c>
      <c r="D126" s="1">
        <v>676.0</v>
      </c>
      <c r="E126" s="1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1">
        <v>-13.0</v>
      </c>
      <c r="O126" s="1">
        <v>6.362583333333333</v>
      </c>
    </row>
    <row r="127" ht="15.75" hidden="1" customHeight="1">
      <c r="A127" s="4">
        <v>45527.0</v>
      </c>
      <c r="B127" s="1" t="s">
        <v>228</v>
      </c>
      <c r="C127" s="1" t="s">
        <v>89</v>
      </c>
      <c r="D127" s="1">
        <v>249.0</v>
      </c>
      <c r="E127" s="1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1">
        <v>2.0</v>
      </c>
      <c r="O127" s="1">
        <v>7.069866666666667</v>
      </c>
    </row>
    <row r="128" ht="15.75" hidden="1" customHeight="1">
      <c r="A128" s="4">
        <v>45527.0</v>
      </c>
      <c r="B128" s="1" t="s">
        <v>95</v>
      </c>
      <c r="C128" s="1" t="s">
        <v>89</v>
      </c>
      <c r="D128" s="1">
        <v>255.0</v>
      </c>
      <c r="E128" s="1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1">
        <v>-7.0</v>
      </c>
      <c r="O128" s="1">
        <v>11.49235</v>
      </c>
    </row>
    <row r="129" ht="15.75" hidden="1" customHeight="1">
      <c r="A129" s="4">
        <v>45527.0</v>
      </c>
      <c r="B129" s="1" t="s">
        <v>103</v>
      </c>
      <c r="C129" s="1" t="s">
        <v>104</v>
      </c>
      <c r="D129" s="1">
        <v>443.0</v>
      </c>
      <c r="E129" s="1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1">
        <v>0.0</v>
      </c>
      <c r="O129" s="1">
        <v>8.6664</v>
      </c>
    </row>
    <row r="130" ht="15.75" hidden="1" customHeight="1">
      <c r="A130" s="4">
        <v>45527.0</v>
      </c>
      <c r="B130" s="1" t="s">
        <v>103</v>
      </c>
      <c r="C130" s="1" t="s">
        <v>104</v>
      </c>
      <c r="D130" s="1">
        <v>370.0</v>
      </c>
      <c r="E130" s="1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1">
        <v>1.0</v>
      </c>
      <c r="O130" s="1">
        <v>8.689666666666668</v>
      </c>
    </row>
    <row r="131" ht="15.75" hidden="1" customHeight="1">
      <c r="A131" s="4">
        <v>45527.0</v>
      </c>
      <c r="B131" s="1" t="s">
        <v>107</v>
      </c>
      <c r="C131" s="1" t="s">
        <v>104</v>
      </c>
      <c r="D131" s="1">
        <v>262.0</v>
      </c>
      <c r="E131" s="1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1">
        <v>-5.0</v>
      </c>
      <c r="O131" s="1">
        <v>9.66355</v>
      </c>
    </row>
    <row r="132" ht="15.75" hidden="1" customHeight="1">
      <c r="A132" s="4">
        <v>45527.0</v>
      </c>
      <c r="B132" s="1" t="s">
        <v>88</v>
      </c>
      <c r="C132" s="1" t="s">
        <v>89</v>
      </c>
      <c r="D132" s="1">
        <v>437.0</v>
      </c>
      <c r="E132" s="1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1">
        <v>-6.0</v>
      </c>
      <c r="O132" s="1">
        <v>8.9802</v>
      </c>
    </row>
    <row r="133" ht="15.75" hidden="1" customHeight="1">
      <c r="A133" s="4">
        <v>45527.0</v>
      </c>
      <c r="B133" s="1" t="s">
        <v>95</v>
      </c>
      <c r="C133" s="1" t="s">
        <v>89</v>
      </c>
      <c r="D133" s="1">
        <v>617.0</v>
      </c>
      <c r="E133" s="1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1">
        <v>-10.0</v>
      </c>
      <c r="N133" s="1">
        <v>0.018216666666666666</v>
      </c>
      <c r="O133" s="1">
        <v>15.574516666666666</v>
      </c>
    </row>
    <row r="134" ht="15.75" hidden="1" customHeight="1">
      <c r="A134" s="4">
        <v>45527.0</v>
      </c>
      <c r="B134" s="1" t="s">
        <v>95</v>
      </c>
      <c r="C134" s="1" t="s">
        <v>89</v>
      </c>
      <c r="D134" s="1">
        <v>598.0</v>
      </c>
      <c r="E134" s="1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1">
        <v>-6.0</v>
      </c>
      <c r="O134" s="1">
        <v>18.173466666666666</v>
      </c>
    </row>
    <row r="135" ht="15.75" hidden="1" customHeight="1">
      <c r="A135" s="4">
        <v>45527.0</v>
      </c>
      <c r="B135" s="1" t="s">
        <v>228</v>
      </c>
      <c r="C135" s="1" t="s">
        <v>89</v>
      </c>
      <c r="D135" s="1">
        <v>119.0</v>
      </c>
      <c r="E135" s="1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1">
        <v>4.0</v>
      </c>
      <c r="O135" s="1">
        <v>9.550783333333333</v>
      </c>
    </row>
    <row r="136" ht="15.75" hidden="1" customHeight="1">
      <c r="A136" s="4">
        <v>45527.0</v>
      </c>
      <c r="B136" s="1" t="s">
        <v>88</v>
      </c>
      <c r="C136" s="1" t="s">
        <v>89</v>
      </c>
      <c r="D136" s="1">
        <v>264.0</v>
      </c>
      <c r="E136" s="1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1">
        <v>-7.0</v>
      </c>
      <c r="O136" s="1">
        <v>8.479166666666666</v>
      </c>
    </row>
    <row r="137" ht="15.75" hidden="1" customHeight="1">
      <c r="A137" s="4">
        <v>45527.0</v>
      </c>
      <c r="B137" s="1" t="s">
        <v>88</v>
      </c>
      <c r="C137" s="1" t="s">
        <v>89</v>
      </c>
      <c r="D137" s="1">
        <v>475.0</v>
      </c>
      <c r="E137" s="1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1">
        <v>-8.0</v>
      </c>
      <c r="O137" s="1">
        <v>6.03165</v>
      </c>
    </row>
    <row r="138" ht="15.75" hidden="1" customHeight="1">
      <c r="A138" s="4">
        <v>45527.0</v>
      </c>
      <c r="B138" s="1" t="s">
        <v>103</v>
      </c>
      <c r="C138" s="1" t="s">
        <v>104</v>
      </c>
      <c r="D138" s="1">
        <v>567.0</v>
      </c>
      <c r="E138" s="1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1">
        <v>-2.0</v>
      </c>
      <c r="O138" s="1">
        <v>6.578233333333333</v>
      </c>
    </row>
    <row r="139" ht="15.75" hidden="1" customHeight="1">
      <c r="A139" s="4">
        <v>45527.0</v>
      </c>
      <c r="B139" s="1" t="s">
        <v>103</v>
      </c>
      <c r="C139" s="1" t="s">
        <v>104</v>
      </c>
      <c r="D139" s="1">
        <v>378.0</v>
      </c>
      <c r="E139" s="1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1">
        <v>0.0</v>
      </c>
      <c r="O139" s="1">
        <v>7.78415</v>
      </c>
    </row>
    <row r="140" ht="15.75" hidden="1" customHeight="1">
      <c r="A140" s="4">
        <v>45527.0</v>
      </c>
      <c r="B140" s="1" t="s">
        <v>95</v>
      </c>
      <c r="C140" s="1" t="s">
        <v>89</v>
      </c>
      <c r="D140" s="1">
        <v>339.0</v>
      </c>
      <c r="E140" s="1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1">
        <v>-1.0</v>
      </c>
      <c r="N140" s="1">
        <v>0.010116666666666666</v>
      </c>
    </row>
    <row r="141" ht="15.75" hidden="1" customHeight="1">
      <c r="A141" s="4">
        <v>45527.0</v>
      </c>
      <c r="B141" s="1" t="s">
        <v>107</v>
      </c>
      <c r="C141" s="1" t="s">
        <v>104</v>
      </c>
      <c r="D141" s="1">
        <v>488.0</v>
      </c>
      <c r="E141" s="1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1">
        <v>-7.0</v>
      </c>
      <c r="O141" s="1">
        <v>7.637783333333333</v>
      </c>
    </row>
    <row r="142" ht="15.75" hidden="1" customHeight="1">
      <c r="A142" s="4">
        <v>45527.0</v>
      </c>
      <c r="B142" s="1" t="s">
        <v>95</v>
      </c>
      <c r="C142" s="1" t="s">
        <v>89</v>
      </c>
      <c r="D142" s="1">
        <v>309.0</v>
      </c>
      <c r="E142" s="1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1">
        <v>-13.0</v>
      </c>
      <c r="N142" s="1">
        <v>0.00755</v>
      </c>
      <c r="O142" s="1">
        <v>7.7812166666666664</v>
      </c>
    </row>
    <row r="143" ht="15.75" hidden="1" customHeight="1">
      <c r="A143" s="4">
        <v>45527.0</v>
      </c>
      <c r="B143" s="1" t="s">
        <v>103</v>
      </c>
      <c r="C143" s="1" t="s">
        <v>104</v>
      </c>
      <c r="D143" s="1">
        <v>321.0</v>
      </c>
      <c r="E143" s="1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1">
        <v>0.0</v>
      </c>
      <c r="O143" s="1">
        <v>8.152183333333333</v>
      </c>
    </row>
    <row r="144" ht="15.75" hidden="1" customHeight="1">
      <c r="A144" s="4">
        <v>45527.0</v>
      </c>
      <c r="B144" s="1" t="s">
        <v>103</v>
      </c>
      <c r="C144" s="1" t="s">
        <v>104</v>
      </c>
      <c r="D144" s="1">
        <v>429.0</v>
      </c>
      <c r="E144" s="1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1">
        <v>1.0</v>
      </c>
      <c r="O144" s="1">
        <v>9.3031</v>
      </c>
    </row>
    <row r="145" ht="15.75" hidden="1" customHeight="1">
      <c r="A145" s="4">
        <v>45527.0</v>
      </c>
      <c r="B145" s="1" t="s">
        <v>103</v>
      </c>
      <c r="C145" s="1" t="s">
        <v>104</v>
      </c>
      <c r="D145" s="1">
        <v>642.0</v>
      </c>
      <c r="E145" s="1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1">
        <v>4.0</v>
      </c>
      <c r="O145" s="1">
        <v>14.29</v>
      </c>
    </row>
    <row r="146" ht="15.75" hidden="1" customHeight="1">
      <c r="A146" s="4">
        <v>45527.0</v>
      </c>
      <c r="B146" s="1" t="s">
        <v>103</v>
      </c>
      <c r="C146" s="1" t="s">
        <v>104</v>
      </c>
      <c r="D146" s="1">
        <v>264.0</v>
      </c>
      <c r="E146" s="1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1">
        <v>0.0</v>
      </c>
      <c r="O146" s="1">
        <v>7.693416666666667</v>
      </c>
    </row>
    <row r="147" ht="15.75" hidden="1" customHeight="1">
      <c r="A147" s="4">
        <v>45527.0</v>
      </c>
      <c r="B147" s="1" t="s">
        <v>88</v>
      </c>
      <c r="C147" s="1" t="s">
        <v>89</v>
      </c>
      <c r="D147" s="1">
        <v>369.0</v>
      </c>
      <c r="E147" s="1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1">
        <v>-5.0</v>
      </c>
      <c r="O147" s="1">
        <v>9.97425</v>
      </c>
    </row>
    <row r="148" ht="15.75" hidden="1" customHeight="1">
      <c r="A148" s="4">
        <v>45527.0</v>
      </c>
      <c r="B148" s="1" t="s">
        <v>103</v>
      </c>
      <c r="C148" s="1" t="s">
        <v>104</v>
      </c>
      <c r="D148" s="1">
        <v>394.0</v>
      </c>
      <c r="E148" s="1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1">
        <v>1.0</v>
      </c>
      <c r="O148" s="1">
        <v>8.849066666666667</v>
      </c>
    </row>
    <row r="149" ht="15.75" hidden="1" customHeight="1">
      <c r="A149" s="4">
        <v>45527.0</v>
      </c>
      <c r="B149" s="1" t="s">
        <v>107</v>
      </c>
      <c r="C149" s="1" t="s">
        <v>104</v>
      </c>
      <c r="D149" s="1">
        <v>299.0</v>
      </c>
      <c r="E149" s="1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1">
        <v>-9.0</v>
      </c>
      <c r="O149" s="1">
        <v>5.7755</v>
      </c>
    </row>
    <row r="150" ht="15.75" hidden="1" customHeight="1">
      <c r="A150" s="4">
        <v>45527.0</v>
      </c>
      <c r="B150" s="1" t="s">
        <v>88</v>
      </c>
      <c r="C150" s="1" t="s">
        <v>459</v>
      </c>
      <c r="D150" s="1">
        <v>149.0</v>
      </c>
      <c r="E150" s="1">
        <v>0.0</v>
      </c>
      <c r="G150" s="1" t="s">
        <v>91</v>
      </c>
      <c r="H150" s="1" t="s">
        <v>92</v>
      </c>
      <c r="I150" s="1" t="s">
        <v>460</v>
      </c>
      <c r="M150" s="1">
        <v>0.0</v>
      </c>
    </row>
    <row r="151" ht="15.75" hidden="1" customHeight="1">
      <c r="A151" s="4">
        <v>45527.0</v>
      </c>
      <c r="B151" s="1" t="s">
        <v>95</v>
      </c>
      <c r="C151" s="1" t="s">
        <v>89</v>
      </c>
      <c r="D151" s="1">
        <v>973.0</v>
      </c>
      <c r="E151" s="1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1">
        <v>-6.0</v>
      </c>
      <c r="N151" s="1">
        <v>0.01665</v>
      </c>
      <c r="O151" s="1">
        <v>19.044866666666667</v>
      </c>
    </row>
    <row r="152" ht="15.75" hidden="1" customHeight="1">
      <c r="A152" s="4">
        <v>45527.0</v>
      </c>
      <c r="B152" s="1" t="s">
        <v>95</v>
      </c>
      <c r="C152" s="1" t="s">
        <v>89</v>
      </c>
      <c r="D152" s="1">
        <v>448.0</v>
      </c>
      <c r="E152" s="1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1">
        <v>-14.0</v>
      </c>
      <c r="N152" s="1">
        <v>0.01895</v>
      </c>
      <c r="O152" s="1">
        <v>51.2423</v>
      </c>
    </row>
    <row r="153" ht="15.75" hidden="1" customHeight="1">
      <c r="A153" s="4">
        <v>45527.0</v>
      </c>
      <c r="B153" s="1" t="s">
        <v>95</v>
      </c>
      <c r="C153" s="1" t="s">
        <v>89</v>
      </c>
      <c r="D153" s="1">
        <v>853.0</v>
      </c>
      <c r="E153" s="1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1">
        <v>-25.0</v>
      </c>
      <c r="O153" s="1">
        <v>55.8958</v>
      </c>
    </row>
    <row r="154" ht="15.75" hidden="1" customHeight="1">
      <c r="A154" s="4">
        <v>45529.0</v>
      </c>
      <c r="B154" s="1" t="s">
        <v>103</v>
      </c>
      <c r="C154" s="1" t="s">
        <v>104</v>
      </c>
      <c r="D154" s="1">
        <v>278.0</v>
      </c>
      <c r="E154" s="1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1">
        <v>11.0</v>
      </c>
      <c r="O154" s="1">
        <v>19.6344</v>
      </c>
    </row>
    <row r="155" ht="15.75" hidden="1" customHeight="1">
      <c r="A155" s="4">
        <v>45529.0</v>
      </c>
      <c r="B155" s="1" t="s">
        <v>103</v>
      </c>
      <c r="C155" s="1" t="s">
        <v>104</v>
      </c>
      <c r="D155" s="1">
        <v>394.0</v>
      </c>
      <c r="E155" s="1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1">
        <v>18.0</v>
      </c>
      <c r="O155" s="1">
        <v>26.045533333333335</v>
      </c>
    </row>
    <row r="156" ht="15.75" hidden="1" customHeight="1">
      <c r="A156" s="4">
        <v>45529.0</v>
      </c>
      <c r="B156" s="1" t="s">
        <v>103</v>
      </c>
      <c r="C156" s="1" t="s">
        <v>104</v>
      </c>
      <c r="D156" s="1">
        <v>429.0</v>
      </c>
      <c r="E156" s="1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1">
        <v>4.0</v>
      </c>
      <c r="O156" s="1">
        <v>12.445583333333333</v>
      </c>
    </row>
    <row r="157" ht="15.75" hidden="1" customHeight="1">
      <c r="A157" s="4">
        <v>45529.0</v>
      </c>
      <c r="B157" s="1" t="s">
        <v>103</v>
      </c>
      <c r="C157" s="1" t="s">
        <v>104</v>
      </c>
      <c r="D157" s="1">
        <v>264.0</v>
      </c>
      <c r="E157" s="1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1">
        <v>1.0</v>
      </c>
      <c r="O157" s="1">
        <v>8.528066666666666</v>
      </c>
    </row>
    <row r="158" ht="15.75" hidden="1" customHeight="1">
      <c r="A158" s="4">
        <v>45529.0</v>
      </c>
      <c r="B158" s="1" t="s">
        <v>107</v>
      </c>
      <c r="C158" s="1" t="s">
        <v>104</v>
      </c>
      <c r="D158" s="1">
        <v>364.0</v>
      </c>
      <c r="E158" s="1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1">
        <v>-7.0</v>
      </c>
      <c r="O158" s="1">
        <v>7.9052</v>
      </c>
    </row>
    <row r="159" ht="15.75" hidden="1" customHeight="1">
      <c r="A159" s="4">
        <v>45529.0</v>
      </c>
      <c r="B159" s="1" t="s">
        <v>103</v>
      </c>
      <c r="C159" s="1" t="s">
        <v>104</v>
      </c>
      <c r="D159" s="1">
        <v>313.0</v>
      </c>
      <c r="E159" s="1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1">
        <v>-1.0</v>
      </c>
      <c r="O159" s="1">
        <v>5.818516666666667</v>
      </c>
    </row>
    <row r="160" ht="15.75" hidden="1" customHeight="1">
      <c r="A160" s="4">
        <v>45529.0</v>
      </c>
      <c r="B160" s="1" t="s">
        <v>107</v>
      </c>
      <c r="C160" s="1" t="s">
        <v>104</v>
      </c>
      <c r="D160" s="1">
        <v>329.0</v>
      </c>
      <c r="E160" s="1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1">
        <v>-7.0</v>
      </c>
      <c r="O160" s="1">
        <v>7.1699166666666665</v>
      </c>
    </row>
    <row r="161" ht="15.75" hidden="1" customHeight="1">
      <c r="A161" s="4">
        <v>45529.0</v>
      </c>
      <c r="B161" s="1" t="s">
        <v>107</v>
      </c>
      <c r="C161" s="1" t="s">
        <v>104</v>
      </c>
      <c r="D161" s="1">
        <v>548.0</v>
      </c>
      <c r="E161" s="1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1">
        <v>-4.0</v>
      </c>
      <c r="O161" s="1">
        <v>15.724516666666666</v>
      </c>
    </row>
    <row r="162" ht="15.75" hidden="1" customHeight="1">
      <c r="A162" s="4">
        <v>45529.0</v>
      </c>
      <c r="B162" s="1" t="s">
        <v>95</v>
      </c>
      <c r="C162" s="1" t="s">
        <v>89</v>
      </c>
      <c r="D162" s="1">
        <v>194.0</v>
      </c>
      <c r="E162" s="1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1">
        <v>-11.0</v>
      </c>
      <c r="O162" s="1">
        <v>7.700916666666667</v>
      </c>
    </row>
    <row r="163" ht="15.75" hidden="1" customHeight="1">
      <c r="A163" s="4">
        <v>45529.0</v>
      </c>
      <c r="B163" s="1" t="s">
        <v>88</v>
      </c>
      <c r="C163" s="1" t="s">
        <v>89</v>
      </c>
      <c r="D163" s="1">
        <v>294.0</v>
      </c>
      <c r="E163" s="1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1">
        <v>-7.0</v>
      </c>
      <c r="O163" s="1">
        <v>7.435783333333333</v>
      </c>
    </row>
    <row r="164" ht="15.75" hidden="1" customHeight="1">
      <c r="A164" s="4">
        <v>45529.0</v>
      </c>
      <c r="B164" s="1" t="s">
        <v>95</v>
      </c>
      <c r="C164" s="1" t="s">
        <v>89</v>
      </c>
      <c r="D164" s="1">
        <v>494.0</v>
      </c>
      <c r="E164" s="1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1">
        <v>-13.0</v>
      </c>
      <c r="O164" s="1">
        <v>14.962166666666667</v>
      </c>
    </row>
    <row r="165" ht="15.75" hidden="1" customHeight="1">
      <c r="A165" s="4">
        <v>45529.0</v>
      </c>
      <c r="B165" s="1" t="s">
        <v>103</v>
      </c>
      <c r="C165" s="1" t="s">
        <v>104</v>
      </c>
      <c r="D165" s="1">
        <v>658.0</v>
      </c>
      <c r="E165" s="1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1">
        <v>0.0</v>
      </c>
      <c r="O165" s="1">
        <v>9.9678</v>
      </c>
    </row>
    <row r="166" ht="15.75" hidden="1" customHeight="1">
      <c r="A166" s="4">
        <v>45529.0</v>
      </c>
      <c r="B166" s="1" t="s">
        <v>103</v>
      </c>
      <c r="C166" s="1" t="s">
        <v>104</v>
      </c>
      <c r="D166" s="1">
        <v>314.0</v>
      </c>
      <c r="E166" s="1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1">
        <v>0.0</v>
      </c>
      <c r="O166" s="1">
        <v>7.423916666666667</v>
      </c>
    </row>
    <row r="167" ht="15.75" hidden="1" customHeight="1">
      <c r="A167" s="4">
        <v>45529.0</v>
      </c>
      <c r="B167" s="1" t="s">
        <v>95</v>
      </c>
      <c r="C167" s="1" t="s">
        <v>89</v>
      </c>
      <c r="D167" s="1">
        <v>643.0</v>
      </c>
      <c r="E167" s="1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1">
        <v>-10.0</v>
      </c>
      <c r="N167" s="1">
        <v>7.2167666666666666</v>
      </c>
      <c r="O167" s="1">
        <v>9.10335</v>
      </c>
    </row>
    <row r="168" ht="15.75" hidden="1" customHeight="1">
      <c r="A168" s="4">
        <v>45529.0</v>
      </c>
      <c r="B168" s="1" t="s">
        <v>103</v>
      </c>
      <c r="C168" s="1" t="s">
        <v>104</v>
      </c>
      <c r="D168" s="1">
        <v>313.0</v>
      </c>
      <c r="E168" s="1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1">
        <v>0.0</v>
      </c>
      <c r="O168" s="1">
        <v>8.77175</v>
      </c>
    </row>
    <row r="169" ht="15.75" hidden="1" customHeight="1">
      <c r="A169" s="4">
        <v>45529.0</v>
      </c>
      <c r="B169" s="1" t="s">
        <v>103</v>
      </c>
      <c r="C169" s="1" t="s">
        <v>104</v>
      </c>
      <c r="D169" s="1">
        <v>690.0</v>
      </c>
      <c r="E169" s="1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1">
        <v>0.0</v>
      </c>
      <c r="O169" s="1">
        <v>9.0191</v>
      </c>
    </row>
    <row r="170" ht="15.75" hidden="1" customHeight="1">
      <c r="A170" s="4">
        <v>45529.0</v>
      </c>
      <c r="B170" s="1" t="s">
        <v>103</v>
      </c>
      <c r="C170" s="1" t="s">
        <v>104</v>
      </c>
      <c r="D170" s="1">
        <v>289.0</v>
      </c>
      <c r="E170" s="1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1">
        <v>9.0</v>
      </c>
      <c r="O170" s="1">
        <v>15.5641</v>
      </c>
    </row>
    <row r="171" ht="15.75" hidden="1" customHeight="1">
      <c r="A171" s="4">
        <v>45529.0</v>
      </c>
      <c r="B171" s="1" t="s">
        <v>103</v>
      </c>
      <c r="C171" s="1" t="s">
        <v>104</v>
      </c>
      <c r="D171" s="1">
        <v>1136.0</v>
      </c>
      <c r="E171" s="1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1">
        <v>5.0</v>
      </c>
      <c r="O171" s="1">
        <v>16.360116666666666</v>
      </c>
    </row>
    <row r="172" ht="15.75" hidden="1" customHeight="1">
      <c r="A172" s="4">
        <v>45529.0</v>
      </c>
      <c r="B172" s="1" t="s">
        <v>88</v>
      </c>
      <c r="C172" s="1" t="s">
        <v>89</v>
      </c>
      <c r="D172" s="1">
        <v>329.0</v>
      </c>
      <c r="E172" s="1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1">
        <v>-7.0</v>
      </c>
      <c r="O172" s="1">
        <v>7.9191666666666665</v>
      </c>
    </row>
    <row r="173" ht="15.75" hidden="1" customHeight="1">
      <c r="A173" s="4">
        <v>45529.0</v>
      </c>
      <c r="B173" s="1" t="s">
        <v>88</v>
      </c>
      <c r="C173" s="1" t="s">
        <v>89</v>
      </c>
      <c r="D173" s="1">
        <v>658.0</v>
      </c>
      <c r="E173" s="1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1">
        <v>-7.0</v>
      </c>
      <c r="O173" s="1">
        <v>12.036783333333334</v>
      </c>
    </row>
    <row r="174" ht="15.75" hidden="1" customHeight="1">
      <c r="A174" s="4">
        <v>45529.0</v>
      </c>
      <c r="B174" s="1" t="s">
        <v>103</v>
      </c>
      <c r="C174" s="1" t="s">
        <v>104</v>
      </c>
      <c r="D174" s="1">
        <v>404.0</v>
      </c>
      <c r="E174" s="1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1">
        <v>0.0</v>
      </c>
      <c r="O174" s="1">
        <v>7.0974</v>
      </c>
    </row>
    <row r="175" ht="15.75" hidden="1" customHeight="1">
      <c r="A175" s="4">
        <v>45529.0</v>
      </c>
      <c r="B175" s="1" t="s">
        <v>103</v>
      </c>
      <c r="C175" s="1" t="s">
        <v>104</v>
      </c>
      <c r="D175" s="1">
        <v>467.0</v>
      </c>
      <c r="E175" s="1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1">
        <v>0.0</v>
      </c>
      <c r="O175" s="1">
        <v>8.815516666666667</v>
      </c>
    </row>
    <row r="176" ht="15.75" hidden="1" customHeight="1">
      <c r="A176" s="4">
        <v>45529.0</v>
      </c>
      <c r="B176" s="1" t="s">
        <v>103</v>
      </c>
      <c r="C176" s="1" t="s">
        <v>104</v>
      </c>
      <c r="D176" s="1">
        <v>528.0</v>
      </c>
      <c r="E176" s="1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1">
        <v>3.0</v>
      </c>
      <c r="O176" s="1">
        <v>11.697</v>
      </c>
    </row>
    <row r="177" ht="15.75" hidden="1" customHeight="1">
      <c r="A177" s="4">
        <v>45529.0</v>
      </c>
      <c r="B177" s="1" t="s">
        <v>103</v>
      </c>
      <c r="C177" s="1" t="s">
        <v>104</v>
      </c>
      <c r="D177" s="1">
        <v>338.0</v>
      </c>
      <c r="E177" s="1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1">
        <v>0.0</v>
      </c>
      <c r="O177" s="1">
        <v>7.196483333333333</v>
      </c>
    </row>
    <row r="178" ht="15.75" hidden="1" customHeight="1">
      <c r="A178" s="4">
        <v>45529.0</v>
      </c>
      <c r="B178" s="1" t="s">
        <v>103</v>
      </c>
      <c r="C178" s="1" t="s">
        <v>104</v>
      </c>
      <c r="D178" s="1">
        <v>329.0</v>
      </c>
      <c r="E178" s="1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1">
        <v>3.0</v>
      </c>
      <c r="O178" s="1">
        <v>10.134016666666666</v>
      </c>
    </row>
    <row r="179" ht="15.75" hidden="1" customHeight="1">
      <c r="A179" s="4">
        <v>45529.0</v>
      </c>
      <c r="B179" s="1" t="s">
        <v>228</v>
      </c>
      <c r="C179" s="1" t="s">
        <v>89</v>
      </c>
      <c r="D179" s="1">
        <v>158.0</v>
      </c>
      <c r="E179" s="1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1">
        <v>-2.0</v>
      </c>
      <c r="O179" s="1">
        <v>2.90425</v>
      </c>
    </row>
    <row r="180" ht="15.75" hidden="1" customHeight="1">
      <c r="A180" s="4">
        <v>45529.0</v>
      </c>
      <c r="B180" s="1" t="s">
        <v>95</v>
      </c>
      <c r="C180" s="1" t="s">
        <v>89</v>
      </c>
      <c r="D180" s="1">
        <v>447.0</v>
      </c>
      <c r="E180" s="1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1">
        <v>-9.0</v>
      </c>
      <c r="N180" s="1">
        <v>0.011216666666666666</v>
      </c>
      <c r="O180" s="1">
        <v>5.53465</v>
      </c>
    </row>
    <row r="181" ht="15.75" hidden="1" customHeight="1">
      <c r="A181" s="4">
        <v>45529.0</v>
      </c>
      <c r="B181" s="1" t="s">
        <v>95</v>
      </c>
      <c r="C181" s="1" t="s">
        <v>89</v>
      </c>
      <c r="D181" s="1">
        <v>498.0</v>
      </c>
      <c r="E181" s="1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1">
        <v>-8.0</v>
      </c>
      <c r="N181" s="1">
        <v>0.008533333333333334</v>
      </c>
      <c r="O181" s="1">
        <v>10.666283333333332</v>
      </c>
    </row>
    <row r="182" ht="15.75" hidden="1" customHeight="1">
      <c r="A182" s="4">
        <v>45529.0</v>
      </c>
      <c r="B182" s="1" t="s">
        <v>88</v>
      </c>
      <c r="C182" s="1" t="s">
        <v>89</v>
      </c>
      <c r="D182" s="1">
        <v>836.0</v>
      </c>
      <c r="E182" s="1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1">
        <v>-13.0</v>
      </c>
      <c r="O182" s="1">
        <v>6.1754</v>
      </c>
    </row>
    <row r="183" ht="15.75" hidden="1" customHeight="1">
      <c r="A183" s="4">
        <v>45529.0</v>
      </c>
      <c r="B183" s="1" t="s">
        <v>95</v>
      </c>
      <c r="C183" s="1" t="s">
        <v>89</v>
      </c>
      <c r="D183" s="1">
        <v>247.0</v>
      </c>
      <c r="E183" s="1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1">
        <v>-17.0</v>
      </c>
      <c r="O183" s="1">
        <v>18.969183333333334</v>
      </c>
    </row>
    <row r="184" ht="15.75" hidden="1" customHeight="1">
      <c r="A184" s="4">
        <v>45529.0</v>
      </c>
      <c r="B184" s="1" t="s">
        <v>95</v>
      </c>
      <c r="C184" s="1" t="s">
        <v>89</v>
      </c>
      <c r="D184" s="1">
        <v>457.0</v>
      </c>
      <c r="E184" s="1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1">
        <v>-14.0</v>
      </c>
      <c r="O184" s="1">
        <v>5.184366666666667</v>
      </c>
    </row>
    <row r="185" ht="15.75" hidden="1" customHeight="1">
      <c r="A185" s="4">
        <v>45529.0</v>
      </c>
      <c r="B185" s="1" t="s">
        <v>95</v>
      </c>
      <c r="C185" s="1" t="s">
        <v>89</v>
      </c>
      <c r="D185" s="1">
        <v>199.0</v>
      </c>
      <c r="E185" s="1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1">
        <v>-13.0</v>
      </c>
      <c r="O185" s="1">
        <v>6.393483333333333</v>
      </c>
    </row>
    <row r="186" ht="15.75" hidden="1" customHeight="1">
      <c r="A186" s="4">
        <v>45529.0</v>
      </c>
      <c r="B186" s="1" t="s">
        <v>103</v>
      </c>
      <c r="C186" s="1" t="s">
        <v>104</v>
      </c>
      <c r="D186" s="1">
        <v>313.0</v>
      </c>
      <c r="E186" s="1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1">
        <v>-1.0</v>
      </c>
      <c r="O186" s="1">
        <v>6.770983333333334</v>
      </c>
    </row>
    <row r="187" ht="15.75" hidden="1" customHeight="1">
      <c r="A187" s="4">
        <v>45529.0</v>
      </c>
      <c r="B187" s="1" t="s">
        <v>103</v>
      </c>
      <c r="C187" s="1" t="s">
        <v>104</v>
      </c>
      <c r="D187" s="1">
        <v>443.0</v>
      </c>
      <c r="E187" s="1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1">
        <v>0.0</v>
      </c>
      <c r="O187" s="1">
        <v>8.850783333333334</v>
      </c>
    </row>
    <row r="188" ht="15.75" hidden="1" customHeight="1">
      <c r="A188" s="4">
        <v>45529.0</v>
      </c>
      <c r="B188" s="1" t="s">
        <v>88</v>
      </c>
      <c r="C188" s="1" t="s">
        <v>89</v>
      </c>
      <c r="D188" s="1">
        <v>602.0</v>
      </c>
      <c r="E188" s="1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1">
        <v>-10.0</v>
      </c>
      <c r="O188" s="1">
        <v>9.3245</v>
      </c>
    </row>
    <row r="189" ht="15.75" hidden="1" customHeight="1">
      <c r="A189" s="4">
        <v>45529.0</v>
      </c>
      <c r="B189" s="1" t="s">
        <v>107</v>
      </c>
      <c r="C189" s="1" t="s">
        <v>104</v>
      </c>
      <c r="D189" s="1">
        <v>264.0</v>
      </c>
      <c r="E189" s="1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1">
        <v>-7.0</v>
      </c>
      <c r="O189" s="1">
        <v>7.7932</v>
      </c>
    </row>
    <row r="190" ht="15.75" hidden="1" customHeight="1">
      <c r="A190" s="4">
        <v>45529.0</v>
      </c>
      <c r="B190" s="1" t="s">
        <v>95</v>
      </c>
      <c r="C190" s="1" t="s">
        <v>89</v>
      </c>
      <c r="D190" s="1">
        <v>309.0</v>
      </c>
      <c r="E190" s="1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1">
        <v>-4.0</v>
      </c>
      <c r="N190" s="1">
        <v>0.007933333333333334</v>
      </c>
      <c r="O190" s="1">
        <v>14.477516666666666</v>
      </c>
    </row>
    <row r="191" ht="15.75" hidden="1" customHeight="1">
      <c r="A191" s="4">
        <v>45529.0</v>
      </c>
      <c r="B191" s="1" t="s">
        <v>103</v>
      </c>
      <c r="C191" s="1" t="s">
        <v>104</v>
      </c>
      <c r="D191" s="1">
        <v>364.0</v>
      </c>
      <c r="E191" s="1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1">
        <v>2.0</v>
      </c>
      <c r="O191" s="1">
        <v>9.1587</v>
      </c>
    </row>
    <row r="192" ht="15.75" hidden="1" customHeight="1">
      <c r="A192" s="4">
        <v>45529.0</v>
      </c>
      <c r="B192" s="1" t="s">
        <v>103</v>
      </c>
      <c r="C192" s="1" t="s">
        <v>104</v>
      </c>
      <c r="D192" s="1">
        <v>488.0</v>
      </c>
      <c r="E192" s="1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1">
        <v>-1.0</v>
      </c>
      <c r="O192" s="1">
        <v>6.2142333333333335</v>
      </c>
    </row>
    <row r="193" ht="15.75" hidden="1" customHeight="1">
      <c r="A193" s="4">
        <v>45529.0</v>
      </c>
      <c r="B193" s="1" t="s">
        <v>88</v>
      </c>
      <c r="C193" s="1" t="s">
        <v>89</v>
      </c>
      <c r="D193" s="1">
        <v>469.0</v>
      </c>
      <c r="E193" s="1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1">
        <v>-8.0</v>
      </c>
      <c r="O193" s="1">
        <v>8.603416666666666</v>
      </c>
    </row>
    <row r="194" ht="15.75" hidden="1" customHeight="1">
      <c r="A194" s="4">
        <v>45529.0</v>
      </c>
      <c r="B194" s="1" t="s">
        <v>95</v>
      </c>
      <c r="C194" s="1" t="s">
        <v>89</v>
      </c>
      <c r="D194" s="1">
        <v>247.0</v>
      </c>
      <c r="E194" s="1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1">
        <v>-13.0</v>
      </c>
      <c r="O194" s="1">
        <v>5.859333333333334</v>
      </c>
    </row>
    <row r="195" ht="15.75" hidden="1" customHeight="1">
      <c r="A195" s="4">
        <v>45529.0</v>
      </c>
      <c r="B195" s="1" t="s">
        <v>103</v>
      </c>
      <c r="C195" s="1" t="s">
        <v>104</v>
      </c>
      <c r="D195" s="1">
        <v>437.0</v>
      </c>
      <c r="E195" s="1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1">
        <v>-2.0</v>
      </c>
      <c r="O195" s="1">
        <v>6.2782333333333336</v>
      </c>
    </row>
    <row r="196" ht="15.75" hidden="1" customHeight="1">
      <c r="A196" s="4">
        <v>45529.0</v>
      </c>
      <c r="B196" s="1" t="s">
        <v>107</v>
      </c>
      <c r="C196" s="1" t="s">
        <v>104</v>
      </c>
      <c r="D196" s="1">
        <v>434.0</v>
      </c>
      <c r="E196" s="1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1">
        <v>-5.0</v>
      </c>
      <c r="O196" s="1">
        <v>9.418616666666667</v>
      </c>
    </row>
    <row r="197" ht="15.75" hidden="1" customHeight="1">
      <c r="A197" s="4">
        <v>45529.0</v>
      </c>
      <c r="B197" s="1" t="s">
        <v>95</v>
      </c>
      <c r="C197" s="1" t="s">
        <v>89</v>
      </c>
      <c r="D197" s="1">
        <v>472.0</v>
      </c>
      <c r="E197" s="1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1">
        <v>3.0</v>
      </c>
      <c r="N197" s="1">
        <v>0.009766666666666667</v>
      </c>
      <c r="O197" s="1">
        <v>8.576116666666667</v>
      </c>
    </row>
    <row r="198" ht="15.75" hidden="1" customHeight="1">
      <c r="A198" s="4">
        <v>45529.0</v>
      </c>
      <c r="B198" s="1" t="s">
        <v>103</v>
      </c>
      <c r="C198" s="1" t="s">
        <v>104</v>
      </c>
      <c r="D198" s="1">
        <v>364.0</v>
      </c>
      <c r="E198" s="1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1">
        <v>0.0</v>
      </c>
      <c r="O198" s="1">
        <v>8.987283333333334</v>
      </c>
    </row>
    <row r="199" ht="15.75" hidden="1" customHeight="1">
      <c r="A199" s="4">
        <v>45529.0</v>
      </c>
      <c r="B199" s="1" t="s">
        <v>228</v>
      </c>
      <c r="C199" s="1" t="s">
        <v>89</v>
      </c>
      <c r="D199" s="1">
        <v>249.0</v>
      </c>
      <c r="E199" s="1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1">
        <v>7.0</v>
      </c>
      <c r="O199" s="1">
        <v>12.617716666666666</v>
      </c>
    </row>
    <row r="200" ht="15.75" hidden="1" customHeight="1">
      <c r="A200" s="4">
        <v>45529.0</v>
      </c>
      <c r="B200" s="1" t="s">
        <v>103</v>
      </c>
      <c r="C200" s="1" t="s">
        <v>104</v>
      </c>
      <c r="D200" s="1">
        <v>264.0</v>
      </c>
      <c r="E200" s="1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1">
        <v>3.0</v>
      </c>
      <c r="O200" s="1">
        <v>10.337033333333334</v>
      </c>
    </row>
    <row r="201" ht="15.75" hidden="1" customHeight="1">
      <c r="A201" s="4">
        <v>45529.0</v>
      </c>
      <c r="B201" s="1" t="s">
        <v>103</v>
      </c>
      <c r="C201" s="1" t="s">
        <v>104</v>
      </c>
      <c r="D201" s="1">
        <v>685.0</v>
      </c>
      <c r="E201" s="1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1">
        <v>1.0</v>
      </c>
      <c r="O201" s="1">
        <v>11.90215</v>
      </c>
    </row>
    <row r="202" ht="15.75" hidden="1" customHeight="1">
      <c r="A202" s="4">
        <v>45529.0</v>
      </c>
      <c r="B202" s="1" t="s">
        <v>103</v>
      </c>
      <c r="C202" s="1" t="s">
        <v>104</v>
      </c>
      <c r="D202" s="1">
        <v>702.0</v>
      </c>
      <c r="E202" s="1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1">
        <v>3.0</v>
      </c>
      <c r="O202" s="1">
        <v>12.696033333333334</v>
      </c>
    </row>
    <row r="203" ht="15.75" hidden="1" customHeight="1">
      <c r="A203" s="4">
        <v>45529.0</v>
      </c>
      <c r="B203" s="1" t="s">
        <v>95</v>
      </c>
      <c r="C203" s="1" t="s">
        <v>89</v>
      </c>
      <c r="D203" s="1">
        <v>414.0</v>
      </c>
      <c r="E203" s="1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1">
        <v>-16.0</v>
      </c>
      <c r="O203" s="1">
        <v>36.98205</v>
      </c>
    </row>
    <row r="204" ht="15.75" hidden="1" customHeight="1">
      <c r="A204" s="4">
        <v>45529.0</v>
      </c>
      <c r="B204" s="1" t="s">
        <v>95</v>
      </c>
      <c r="C204" s="1" t="s">
        <v>89</v>
      </c>
      <c r="D204" s="1">
        <v>479.0</v>
      </c>
      <c r="E204" s="1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1">
        <v>-1.0</v>
      </c>
      <c r="N204" s="1">
        <v>0.010333333333333333</v>
      </c>
      <c r="O204" s="1">
        <v>8.92065</v>
      </c>
    </row>
    <row r="205" ht="15.75" hidden="1" customHeight="1">
      <c r="A205" s="4">
        <v>45529.0</v>
      </c>
      <c r="B205" s="1" t="s">
        <v>95</v>
      </c>
      <c r="C205" s="1" t="s">
        <v>89</v>
      </c>
      <c r="D205" s="1">
        <v>394.0</v>
      </c>
      <c r="E205" s="1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1">
        <v>-7.0</v>
      </c>
      <c r="N205" s="1">
        <v>0.0095</v>
      </c>
      <c r="O205" s="1">
        <v>9.9006</v>
      </c>
    </row>
    <row r="206" ht="15.75" hidden="1" customHeight="1">
      <c r="A206" s="4">
        <v>45529.0</v>
      </c>
      <c r="B206" s="1" t="s">
        <v>88</v>
      </c>
      <c r="C206" s="1" t="s">
        <v>89</v>
      </c>
      <c r="D206" s="1">
        <v>364.0</v>
      </c>
      <c r="E206" s="1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1">
        <v>-7.0</v>
      </c>
      <c r="O206" s="1">
        <v>7.74665</v>
      </c>
    </row>
    <row r="207" ht="15.75" hidden="1" customHeight="1">
      <c r="A207" s="4">
        <v>45529.0</v>
      </c>
      <c r="B207" s="1" t="s">
        <v>88</v>
      </c>
      <c r="C207" s="1" t="s">
        <v>89</v>
      </c>
      <c r="D207" s="1">
        <v>1057.0</v>
      </c>
      <c r="E207" s="1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1">
        <v>-11.0</v>
      </c>
      <c r="O207" s="1">
        <v>8.430583333333333</v>
      </c>
    </row>
    <row r="208" ht="15.75" hidden="1" customHeight="1">
      <c r="A208" s="4">
        <v>45529.0</v>
      </c>
      <c r="B208" s="1" t="s">
        <v>95</v>
      </c>
      <c r="C208" s="1" t="s">
        <v>89</v>
      </c>
      <c r="D208" s="1">
        <v>588.0</v>
      </c>
      <c r="E208" s="1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1">
        <v>-6.0</v>
      </c>
      <c r="N208" s="1">
        <v>0.00955</v>
      </c>
      <c r="O208" s="1">
        <v>8.17705</v>
      </c>
    </row>
    <row r="209" ht="15.75" hidden="1" customHeight="1">
      <c r="A209" s="4">
        <v>45529.0</v>
      </c>
      <c r="B209" s="1" t="s">
        <v>103</v>
      </c>
      <c r="C209" s="1" t="s">
        <v>104</v>
      </c>
      <c r="D209" s="1">
        <v>383.0</v>
      </c>
      <c r="E209" s="1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1">
        <v>-1.0</v>
      </c>
      <c r="O209" s="1">
        <v>6.390033333333333</v>
      </c>
    </row>
    <row r="210" ht="15.75" hidden="1" customHeight="1">
      <c r="A210" s="4">
        <v>45529.0</v>
      </c>
      <c r="B210" s="1" t="s">
        <v>95</v>
      </c>
      <c r="C210" s="1" t="s">
        <v>89</v>
      </c>
      <c r="D210" s="1">
        <v>753.0</v>
      </c>
      <c r="E210" s="1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1">
        <v>-21.0</v>
      </c>
      <c r="N210" s="1">
        <v>0.011933333333333334</v>
      </c>
      <c r="O210" s="1">
        <v>7.9619333333333335</v>
      </c>
    </row>
    <row r="211" ht="15.75" hidden="1" customHeight="1">
      <c r="A211" s="4">
        <v>45529.0</v>
      </c>
      <c r="B211" s="1" t="s">
        <v>107</v>
      </c>
      <c r="C211" s="1" t="s">
        <v>104</v>
      </c>
      <c r="D211" s="1">
        <v>321.0</v>
      </c>
      <c r="E211" s="1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1">
        <v>-8.0</v>
      </c>
      <c r="O211" s="1">
        <v>6.999433333333333</v>
      </c>
    </row>
    <row r="212" ht="15.75" hidden="1" customHeight="1">
      <c r="A212" s="4">
        <v>45529.0</v>
      </c>
      <c r="B212" s="1" t="s">
        <v>103</v>
      </c>
      <c r="C212" s="1" t="s">
        <v>104</v>
      </c>
      <c r="D212" s="1">
        <v>394.0</v>
      </c>
      <c r="E212" s="1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1">
        <v>4.0</v>
      </c>
      <c r="O212" s="1">
        <v>11.0933</v>
      </c>
    </row>
    <row r="213" ht="15.75" hidden="1" customHeight="1">
      <c r="A213" s="4">
        <v>45529.0</v>
      </c>
      <c r="B213" s="1" t="s">
        <v>88</v>
      </c>
      <c r="C213" s="1" t="s">
        <v>89</v>
      </c>
      <c r="D213" s="1">
        <v>329.0</v>
      </c>
      <c r="E213" s="1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1">
        <v>-8.0</v>
      </c>
      <c r="O213" s="1">
        <v>6.6026</v>
      </c>
    </row>
    <row r="214" ht="15.75" hidden="1" customHeight="1">
      <c r="A214" s="4">
        <v>45529.0</v>
      </c>
      <c r="B214" s="1" t="s">
        <v>95</v>
      </c>
      <c r="C214" s="1" t="s">
        <v>89</v>
      </c>
      <c r="D214" s="1">
        <v>354.0</v>
      </c>
      <c r="E214" s="1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1">
        <v>-13.0</v>
      </c>
      <c r="O214" s="1">
        <v>5.354833333333334</v>
      </c>
    </row>
    <row r="215" ht="15.75" hidden="1" customHeight="1">
      <c r="A215" s="4">
        <v>45529.0</v>
      </c>
      <c r="B215" s="1" t="s">
        <v>88</v>
      </c>
      <c r="C215" s="1" t="s">
        <v>89</v>
      </c>
      <c r="D215" s="1">
        <v>716.0</v>
      </c>
      <c r="E215" s="1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1">
        <v>-12.0</v>
      </c>
      <c r="O215" s="1">
        <v>7.605016666666667</v>
      </c>
    </row>
    <row r="216" ht="15.75" hidden="1" customHeight="1">
      <c r="A216" s="4">
        <v>45529.0</v>
      </c>
      <c r="B216" s="1" t="s">
        <v>95</v>
      </c>
      <c r="C216" s="1" t="s">
        <v>89</v>
      </c>
      <c r="D216" s="1">
        <v>223.0</v>
      </c>
      <c r="E216" s="1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1">
        <v>-11.0</v>
      </c>
      <c r="O216" s="1">
        <v>6.7835833333333335</v>
      </c>
    </row>
    <row r="217" ht="15.75" hidden="1" customHeight="1">
      <c r="A217" s="4">
        <v>45529.0</v>
      </c>
      <c r="B217" s="1" t="s">
        <v>95</v>
      </c>
      <c r="C217" s="1" t="s">
        <v>89</v>
      </c>
      <c r="D217" s="1">
        <v>507.0</v>
      </c>
      <c r="E217" s="1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1">
        <v>-19.0</v>
      </c>
      <c r="N217" s="1">
        <v>0.012716666666666666</v>
      </c>
      <c r="O217" s="1">
        <v>6.6817</v>
      </c>
    </row>
    <row r="218" ht="15.75" hidden="1" customHeight="1">
      <c r="A218" s="4">
        <v>45529.0</v>
      </c>
      <c r="B218" s="1" t="s">
        <v>107</v>
      </c>
      <c r="C218" s="1" t="s">
        <v>104</v>
      </c>
      <c r="D218" s="1">
        <v>499.0</v>
      </c>
      <c r="E218" s="1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1">
        <v>-6.0</v>
      </c>
      <c r="O218" s="1">
        <v>8.443916666666667</v>
      </c>
    </row>
    <row r="219" ht="15.75" hidden="1" customHeight="1">
      <c r="A219" s="4">
        <v>45529.0</v>
      </c>
      <c r="B219" s="1" t="s">
        <v>88</v>
      </c>
      <c r="C219" s="1" t="s">
        <v>89</v>
      </c>
      <c r="D219" s="1">
        <v>553.0</v>
      </c>
      <c r="E219" s="1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1">
        <v>-13.0</v>
      </c>
      <c r="O219" s="1">
        <v>6.243733333333333</v>
      </c>
    </row>
    <row r="220" ht="15.75" hidden="1" customHeight="1">
      <c r="A220" s="4">
        <v>45529.0</v>
      </c>
      <c r="B220" s="1" t="s">
        <v>107</v>
      </c>
      <c r="C220" s="1" t="s">
        <v>104</v>
      </c>
      <c r="D220" s="1">
        <v>348.0</v>
      </c>
      <c r="E220" s="1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1">
        <v>-7.0</v>
      </c>
      <c r="O220" s="1">
        <v>7.2093</v>
      </c>
    </row>
    <row r="221" ht="15.75" hidden="1" customHeight="1">
      <c r="A221" s="4">
        <v>45529.0</v>
      </c>
      <c r="B221" s="1" t="s">
        <v>107</v>
      </c>
      <c r="C221" s="1" t="s">
        <v>104</v>
      </c>
      <c r="D221" s="1">
        <v>427.0</v>
      </c>
      <c r="E221" s="1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1">
        <v>-10.0</v>
      </c>
      <c r="O221" s="1">
        <v>4.89385</v>
      </c>
    </row>
    <row r="222" ht="15.75" hidden="1" customHeight="1">
      <c r="A222" s="4">
        <v>45529.0</v>
      </c>
      <c r="B222" s="1" t="s">
        <v>88</v>
      </c>
      <c r="C222" s="1" t="s">
        <v>89</v>
      </c>
      <c r="D222" s="1">
        <v>224.0</v>
      </c>
      <c r="E222" s="1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1">
        <v>-11.0</v>
      </c>
      <c r="O222" s="1">
        <v>3.7498666666666667</v>
      </c>
    </row>
    <row r="223" ht="15.75" hidden="1" customHeight="1">
      <c r="A223" s="4">
        <v>45529.0</v>
      </c>
      <c r="B223" s="1" t="s">
        <v>88</v>
      </c>
      <c r="C223" s="1" t="s">
        <v>89</v>
      </c>
      <c r="D223" s="1">
        <v>423.0</v>
      </c>
      <c r="E223" s="1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1">
        <v>-11.0</v>
      </c>
      <c r="O223" s="1">
        <v>5.783333333333333</v>
      </c>
    </row>
    <row r="224" ht="15.75" hidden="1" customHeight="1">
      <c r="A224" s="4">
        <v>45529.0</v>
      </c>
      <c r="B224" s="1" t="s">
        <v>95</v>
      </c>
      <c r="C224" s="1" t="s">
        <v>89</v>
      </c>
      <c r="D224" s="1">
        <v>316.0</v>
      </c>
      <c r="E224" s="1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1">
        <v>-11.0</v>
      </c>
      <c r="O224" s="1">
        <v>7.325916666666667</v>
      </c>
    </row>
    <row r="225" ht="15.75" hidden="1" customHeight="1">
      <c r="A225" s="4">
        <v>45529.0</v>
      </c>
      <c r="B225" s="1" t="s">
        <v>103</v>
      </c>
      <c r="C225" s="1" t="s">
        <v>104</v>
      </c>
      <c r="D225" s="1">
        <v>499.0</v>
      </c>
      <c r="E225" s="1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1">
        <v>-1.0</v>
      </c>
      <c r="O225" s="1">
        <v>6.804733333333333</v>
      </c>
    </row>
    <row r="226" ht="15.75" hidden="1" customHeight="1">
      <c r="A226" s="4">
        <v>45529.0</v>
      </c>
      <c r="B226" s="1" t="s">
        <v>103</v>
      </c>
      <c r="C226" s="1" t="s">
        <v>104</v>
      </c>
      <c r="D226" s="1">
        <v>378.0</v>
      </c>
      <c r="E226" s="1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1">
        <v>0.0</v>
      </c>
      <c r="O226" s="1">
        <v>7.433416666666667</v>
      </c>
    </row>
    <row r="227" ht="15.75" hidden="1" customHeight="1">
      <c r="A227" s="4">
        <v>45529.0</v>
      </c>
      <c r="B227" s="1" t="s">
        <v>95</v>
      </c>
      <c r="C227" s="1" t="s">
        <v>89</v>
      </c>
      <c r="D227" s="1">
        <v>513.0</v>
      </c>
      <c r="E227" s="1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1">
        <v>-20.0</v>
      </c>
      <c r="N227" s="1">
        <v>0.010183333333333334</v>
      </c>
      <c r="O227" s="1">
        <v>6.8354333333333335</v>
      </c>
    </row>
    <row r="228" ht="15.75" hidden="1" customHeight="1">
      <c r="A228" s="4">
        <v>45529.0</v>
      </c>
      <c r="B228" s="1" t="s">
        <v>95</v>
      </c>
      <c r="C228" s="1" t="s">
        <v>89</v>
      </c>
      <c r="D228" s="1">
        <v>598.0</v>
      </c>
      <c r="E228" s="1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1">
        <v>-17.0</v>
      </c>
      <c r="O228" s="1">
        <v>7.0849</v>
      </c>
    </row>
    <row r="229" ht="15.75" hidden="1" customHeight="1">
      <c r="A229" s="4">
        <v>45529.0</v>
      </c>
      <c r="B229" s="1" t="s">
        <v>95</v>
      </c>
      <c r="C229" s="1" t="s">
        <v>89</v>
      </c>
      <c r="D229" s="1">
        <v>638.0</v>
      </c>
      <c r="E229" s="1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1">
        <v>-19.0</v>
      </c>
      <c r="N229" s="1">
        <v>0.01145</v>
      </c>
      <c r="O229" s="1">
        <v>6.89525</v>
      </c>
    </row>
    <row r="230" ht="15.75" hidden="1" customHeight="1">
      <c r="A230" s="4">
        <v>45529.0</v>
      </c>
      <c r="B230" s="1" t="s">
        <v>88</v>
      </c>
      <c r="C230" s="1" t="s">
        <v>89</v>
      </c>
      <c r="D230" s="1">
        <v>307.0</v>
      </c>
      <c r="E230" s="1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1">
        <v>-7.0</v>
      </c>
      <c r="O230" s="1">
        <v>7.440633333333333</v>
      </c>
    </row>
    <row r="231" ht="15.75" hidden="1" customHeight="1">
      <c r="A231" s="4">
        <v>45529.0</v>
      </c>
      <c r="B231" s="1" t="s">
        <v>95</v>
      </c>
      <c r="C231" s="1" t="s">
        <v>89</v>
      </c>
      <c r="D231" s="1">
        <v>309.0</v>
      </c>
      <c r="E231" s="1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1">
        <v>-9.0</v>
      </c>
      <c r="N231" s="1">
        <v>0.007833333333333333</v>
      </c>
      <c r="O231" s="1">
        <v>12.561933333333334</v>
      </c>
    </row>
    <row r="232" ht="15.75" hidden="1" customHeight="1">
      <c r="A232" s="4">
        <v>45529.0</v>
      </c>
      <c r="B232" s="1" t="s">
        <v>107</v>
      </c>
      <c r="C232" s="1" t="s">
        <v>104</v>
      </c>
      <c r="D232" s="1">
        <v>294.0</v>
      </c>
      <c r="E232" s="1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1">
        <v>0.0</v>
      </c>
      <c r="O232" s="1">
        <v>14.882583333333333</v>
      </c>
    </row>
    <row r="233" ht="15.75" hidden="1" customHeight="1">
      <c r="A233" s="4">
        <v>45529.0</v>
      </c>
      <c r="B233" s="1" t="s">
        <v>95</v>
      </c>
      <c r="C233" s="1" t="s">
        <v>89</v>
      </c>
      <c r="D233" s="1">
        <v>393.0</v>
      </c>
      <c r="E233" s="1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1">
        <v>-16.0</v>
      </c>
      <c r="N233" s="1">
        <v>0.014083333333333333</v>
      </c>
      <c r="O233" s="1">
        <v>5.887966666666666</v>
      </c>
    </row>
    <row r="234" ht="15.75" hidden="1" customHeight="1">
      <c r="A234" s="4">
        <v>45529.0</v>
      </c>
      <c r="B234" s="1" t="s">
        <v>88</v>
      </c>
      <c r="C234" s="1" t="s">
        <v>89</v>
      </c>
      <c r="D234" s="1">
        <v>264.0</v>
      </c>
      <c r="E234" s="1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1">
        <v>-10.0</v>
      </c>
      <c r="O234" s="1">
        <v>4.808683333333334</v>
      </c>
    </row>
    <row r="235" ht="15.75" hidden="1" customHeight="1">
      <c r="A235" s="4">
        <v>45529.0</v>
      </c>
      <c r="B235" s="1" t="s">
        <v>107</v>
      </c>
      <c r="C235" s="1" t="s">
        <v>104</v>
      </c>
      <c r="D235" s="1">
        <v>321.0</v>
      </c>
      <c r="E235" s="1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1">
        <v>-5.0</v>
      </c>
      <c r="O235" s="1">
        <v>9.69875</v>
      </c>
    </row>
    <row r="236" ht="15.75" hidden="1" customHeight="1">
      <c r="A236" s="4">
        <v>45529.0</v>
      </c>
      <c r="B236" s="1" t="s">
        <v>95</v>
      </c>
      <c r="C236" s="1" t="s">
        <v>89</v>
      </c>
      <c r="D236" s="1">
        <v>494.0</v>
      </c>
      <c r="E236" s="1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1">
        <v>-25.0</v>
      </c>
      <c r="O236" s="1">
        <v>6.8313</v>
      </c>
    </row>
    <row r="237" ht="15.75" hidden="1" customHeight="1">
      <c r="A237" s="4">
        <v>45529.0</v>
      </c>
      <c r="B237" s="1" t="s">
        <v>103</v>
      </c>
      <c r="C237" s="1" t="s">
        <v>104</v>
      </c>
      <c r="D237" s="1">
        <v>429.0</v>
      </c>
      <c r="E237" s="1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1">
        <v>0.0</v>
      </c>
      <c r="O237" s="1">
        <v>7.308883333333333</v>
      </c>
    </row>
    <row r="238" ht="15.75" hidden="1" customHeight="1">
      <c r="A238" s="4">
        <v>45529.0</v>
      </c>
      <c r="B238" s="1" t="s">
        <v>107</v>
      </c>
      <c r="C238" s="1" t="s">
        <v>104</v>
      </c>
      <c r="D238" s="1">
        <v>329.0</v>
      </c>
      <c r="E238" s="1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1">
        <v>-7.0</v>
      </c>
      <c r="O238" s="1">
        <v>7.23195</v>
      </c>
    </row>
    <row r="239" ht="15.75" hidden="1" customHeight="1">
      <c r="A239" s="4">
        <v>45529.0</v>
      </c>
      <c r="B239" s="1" t="s">
        <v>88</v>
      </c>
      <c r="C239" s="1" t="s">
        <v>89</v>
      </c>
      <c r="D239" s="1">
        <v>698.0</v>
      </c>
      <c r="E239" s="1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1">
        <v>-7.0</v>
      </c>
      <c r="O239" s="1">
        <v>12.31975</v>
      </c>
    </row>
    <row r="240" ht="15.75" hidden="1" customHeight="1">
      <c r="A240" s="4">
        <v>45529.0</v>
      </c>
      <c r="B240" s="1" t="s">
        <v>95</v>
      </c>
      <c r="C240" s="1" t="s">
        <v>89</v>
      </c>
      <c r="D240" s="1">
        <v>400.0</v>
      </c>
      <c r="E240" s="1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1">
        <v>-13.0</v>
      </c>
      <c r="O240" s="1">
        <v>15.421033333333334</v>
      </c>
    </row>
    <row r="241" ht="15.75" hidden="1" customHeight="1">
      <c r="A241" s="4">
        <v>45529.0</v>
      </c>
      <c r="B241" s="1" t="s">
        <v>95</v>
      </c>
      <c r="C241" s="1" t="s">
        <v>89</v>
      </c>
      <c r="D241" s="1">
        <v>547.0</v>
      </c>
      <c r="E241" s="1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1">
        <v>-16.0</v>
      </c>
      <c r="N241" s="1">
        <v>0.015333333333333332</v>
      </c>
      <c r="O241" s="1">
        <v>7.7781666666666665</v>
      </c>
    </row>
    <row r="242" ht="15.75" hidden="1" customHeight="1">
      <c r="A242" s="4">
        <v>45529.0</v>
      </c>
      <c r="B242" s="1" t="s">
        <v>107</v>
      </c>
      <c r="C242" s="1" t="s">
        <v>104</v>
      </c>
      <c r="D242" s="1">
        <v>429.0</v>
      </c>
      <c r="E242" s="1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1">
        <v>-4.0</v>
      </c>
      <c r="O242" s="1">
        <v>10.4264</v>
      </c>
    </row>
    <row r="243" ht="15.75" hidden="1" customHeight="1">
      <c r="A243" s="4">
        <v>45529.0</v>
      </c>
      <c r="B243" s="1" t="s">
        <v>107</v>
      </c>
      <c r="C243" s="1" t="s">
        <v>104</v>
      </c>
      <c r="D243" s="1">
        <v>264.0</v>
      </c>
      <c r="E243" s="1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1">
        <v>-8.0</v>
      </c>
      <c r="O243" s="1">
        <v>6.2398</v>
      </c>
    </row>
    <row r="244" ht="15.75" hidden="1" customHeight="1">
      <c r="A244" s="4">
        <v>45529.0</v>
      </c>
      <c r="B244" s="1" t="s">
        <v>95</v>
      </c>
      <c r="C244" s="1" t="s">
        <v>89</v>
      </c>
      <c r="D244" s="1">
        <v>309.0</v>
      </c>
      <c r="E244" s="1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1">
        <v>-10.0</v>
      </c>
      <c r="N244" s="1">
        <v>0.007216666666666666</v>
      </c>
      <c r="O244" s="1">
        <v>11.320066666666667</v>
      </c>
    </row>
    <row r="245" ht="15.75" hidden="1" customHeight="1">
      <c r="A245" s="4">
        <v>45529.0</v>
      </c>
      <c r="B245" s="1" t="s">
        <v>103</v>
      </c>
      <c r="C245" s="1" t="s">
        <v>104</v>
      </c>
      <c r="D245" s="1">
        <v>419.0</v>
      </c>
      <c r="E245" s="1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1">
        <v>5.0</v>
      </c>
      <c r="O245" s="1">
        <v>12.390166666666667</v>
      </c>
    </row>
    <row r="246" ht="15.75" hidden="1" customHeight="1">
      <c r="A246" s="4">
        <v>45529.0</v>
      </c>
      <c r="B246" s="1" t="s">
        <v>107</v>
      </c>
      <c r="C246" s="1" t="s">
        <v>104</v>
      </c>
      <c r="D246" s="1">
        <v>528.0</v>
      </c>
      <c r="E246" s="1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1">
        <v>-6.0</v>
      </c>
      <c r="O246" s="1">
        <v>13.7343</v>
      </c>
    </row>
    <row r="247" ht="15.75" hidden="1" customHeight="1">
      <c r="A247" s="4">
        <v>45529.0</v>
      </c>
      <c r="B247" s="1" t="s">
        <v>103</v>
      </c>
      <c r="C247" s="1" t="s">
        <v>104</v>
      </c>
      <c r="D247" s="1">
        <v>379.0</v>
      </c>
      <c r="E247" s="1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1">
        <v>0.0</v>
      </c>
      <c r="O247" s="1">
        <v>7.3336</v>
      </c>
    </row>
    <row r="248" ht="15.75" hidden="1" customHeight="1">
      <c r="A248" s="4">
        <v>45529.0</v>
      </c>
      <c r="B248" s="1" t="s">
        <v>103</v>
      </c>
      <c r="C248" s="1" t="s">
        <v>104</v>
      </c>
      <c r="D248" s="1">
        <v>329.0</v>
      </c>
      <c r="E248" s="1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1">
        <v>0.0</v>
      </c>
      <c r="O248" s="1">
        <v>7.932733333333333</v>
      </c>
    </row>
    <row r="249" ht="15.75" hidden="1" customHeight="1">
      <c r="A249" s="4">
        <v>45529.0</v>
      </c>
      <c r="B249" s="1" t="s">
        <v>103</v>
      </c>
      <c r="C249" s="1" t="s">
        <v>104</v>
      </c>
      <c r="D249" s="1">
        <v>713.0</v>
      </c>
      <c r="E249" s="1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1">
        <v>-1.0</v>
      </c>
      <c r="O249" s="1">
        <v>8.69495</v>
      </c>
    </row>
    <row r="250" ht="15.75" hidden="1" customHeight="1">
      <c r="A250" s="4">
        <v>45529.0</v>
      </c>
      <c r="B250" s="1" t="s">
        <v>103</v>
      </c>
      <c r="C250" s="1" t="s">
        <v>104</v>
      </c>
      <c r="D250" s="1">
        <v>947.0</v>
      </c>
      <c r="E250" s="1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1">
        <v>-1.0</v>
      </c>
      <c r="O250" s="1">
        <v>8.212633333333333</v>
      </c>
    </row>
    <row r="251" ht="15.75" hidden="1" customHeight="1">
      <c r="A251" s="4">
        <v>45529.0</v>
      </c>
      <c r="B251" s="1" t="s">
        <v>107</v>
      </c>
      <c r="C251" s="1" t="s">
        <v>104</v>
      </c>
      <c r="D251" s="1">
        <v>394.0</v>
      </c>
      <c r="E251" s="1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1">
        <v>-5.0</v>
      </c>
      <c r="O251" s="1">
        <v>9.678333333333333</v>
      </c>
    </row>
    <row r="252" ht="15.75" hidden="1" customHeight="1">
      <c r="A252" s="4">
        <v>45529.0</v>
      </c>
      <c r="B252" s="1" t="s">
        <v>103</v>
      </c>
      <c r="C252" s="1" t="s">
        <v>104</v>
      </c>
      <c r="D252" s="1">
        <v>528.0</v>
      </c>
      <c r="E252" s="1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1">
        <v>-1.0</v>
      </c>
      <c r="O252" s="1">
        <v>6.06435</v>
      </c>
    </row>
    <row r="253" ht="15.75" hidden="1" customHeight="1">
      <c r="A253" s="4">
        <v>45529.0</v>
      </c>
      <c r="B253" s="1" t="s">
        <v>103</v>
      </c>
      <c r="C253" s="1" t="s">
        <v>104</v>
      </c>
      <c r="D253" s="1">
        <v>676.0</v>
      </c>
      <c r="E253" s="1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1">
        <v>0.0</v>
      </c>
      <c r="O253" s="1">
        <v>9.1631</v>
      </c>
    </row>
    <row r="254" ht="15.75" hidden="1" customHeight="1">
      <c r="A254" s="4">
        <v>45529.0</v>
      </c>
      <c r="B254" s="1" t="s">
        <v>107</v>
      </c>
      <c r="C254" s="1" t="s">
        <v>104</v>
      </c>
      <c r="D254" s="1">
        <v>129.0</v>
      </c>
      <c r="E254" s="1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1">
        <v>-8.0</v>
      </c>
      <c r="O254" s="1">
        <v>6.99845</v>
      </c>
    </row>
    <row r="255" ht="15.75" hidden="1" customHeight="1">
      <c r="A255" s="4">
        <v>45529.0</v>
      </c>
      <c r="B255" s="1" t="s">
        <v>95</v>
      </c>
      <c r="C255" s="1" t="s">
        <v>89</v>
      </c>
      <c r="D255" s="1">
        <v>550.0</v>
      </c>
      <c r="E255" s="1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1">
        <v>-12.0</v>
      </c>
      <c r="N255" s="1">
        <v>0.011116666666666667</v>
      </c>
      <c r="O255" s="1">
        <v>10.3567</v>
      </c>
    </row>
    <row r="256" ht="15.75" hidden="1" customHeight="1">
      <c r="A256" s="4">
        <v>45529.0</v>
      </c>
      <c r="B256" s="1" t="s">
        <v>103</v>
      </c>
      <c r="C256" s="1" t="s">
        <v>104</v>
      </c>
      <c r="D256" s="1">
        <v>364.0</v>
      </c>
      <c r="E256" s="1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1">
        <v>0.0</v>
      </c>
      <c r="O256" s="1">
        <v>7.2854833333333335</v>
      </c>
    </row>
    <row r="257" ht="15.75" hidden="1" customHeight="1">
      <c r="A257" s="4">
        <v>45529.0</v>
      </c>
      <c r="B257" s="1" t="s">
        <v>107</v>
      </c>
      <c r="C257" s="1" t="s">
        <v>104</v>
      </c>
      <c r="D257" s="1">
        <v>693.0</v>
      </c>
      <c r="E257" s="1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1">
        <v>-6.0</v>
      </c>
      <c r="O257" s="1">
        <v>13.590483333333333</v>
      </c>
    </row>
    <row r="258" ht="15.75" hidden="1" customHeight="1">
      <c r="A258" s="4">
        <v>45529.0</v>
      </c>
      <c r="B258" s="1" t="s">
        <v>95</v>
      </c>
      <c r="C258" s="1" t="s">
        <v>89</v>
      </c>
      <c r="D258" s="1">
        <v>199.0</v>
      </c>
      <c r="E258" s="1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1">
        <v>-11.0</v>
      </c>
      <c r="O258" s="1">
        <v>8.397933333333333</v>
      </c>
    </row>
    <row r="259" ht="15.75" hidden="1" customHeight="1">
      <c r="A259" s="4">
        <v>45529.0</v>
      </c>
      <c r="B259" s="1" t="s">
        <v>95</v>
      </c>
      <c r="C259" s="1" t="s">
        <v>89</v>
      </c>
      <c r="D259" s="1">
        <v>309.0</v>
      </c>
      <c r="E259" s="1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1">
        <v>-10.0</v>
      </c>
      <c r="N259" s="1">
        <v>0.0111</v>
      </c>
      <c r="O259" s="1">
        <v>7.196183333333333</v>
      </c>
    </row>
    <row r="260" ht="15.75" hidden="1" customHeight="1">
      <c r="A260" s="4">
        <v>45529.0</v>
      </c>
      <c r="B260" s="1" t="s">
        <v>95</v>
      </c>
      <c r="C260" s="1" t="s">
        <v>89</v>
      </c>
      <c r="D260" s="1">
        <v>215.0</v>
      </c>
      <c r="E260" s="1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1">
        <v>-11.0</v>
      </c>
      <c r="O260" s="1">
        <v>7.3835</v>
      </c>
    </row>
    <row r="261" ht="15.75" hidden="1" customHeight="1">
      <c r="A261" s="4">
        <v>45529.0</v>
      </c>
      <c r="B261" s="1" t="s">
        <v>95</v>
      </c>
      <c r="C261" s="1" t="s">
        <v>89</v>
      </c>
      <c r="D261" s="1">
        <v>375.0</v>
      </c>
      <c r="E261" s="1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1">
        <v>3.0</v>
      </c>
      <c r="N261" s="1">
        <v>5.699866666666667</v>
      </c>
      <c r="O261" s="1">
        <v>6.887483333333333</v>
      </c>
    </row>
    <row r="262" ht="15.75" hidden="1" customHeight="1">
      <c r="A262" s="4">
        <v>45529.0</v>
      </c>
      <c r="B262" s="1" t="s">
        <v>228</v>
      </c>
      <c r="C262" s="1" t="s">
        <v>89</v>
      </c>
      <c r="D262" s="1">
        <v>498.0</v>
      </c>
      <c r="E262" s="1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1">
        <v>1.0</v>
      </c>
      <c r="O262" s="1">
        <v>6.621033333333333</v>
      </c>
    </row>
    <row r="263" ht="15.75" hidden="1" customHeight="1">
      <c r="A263" s="4">
        <v>45529.0</v>
      </c>
      <c r="B263" s="1" t="s">
        <v>103</v>
      </c>
      <c r="C263" s="1" t="s">
        <v>104</v>
      </c>
      <c r="D263" s="1">
        <v>351.0</v>
      </c>
      <c r="E263" s="1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1">
        <v>3.0</v>
      </c>
      <c r="O263" s="1">
        <v>10.094733333333334</v>
      </c>
    </row>
    <row r="264" ht="15.75" hidden="1" customHeight="1">
      <c r="A264" s="4">
        <v>45529.0</v>
      </c>
      <c r="B264" s="1" t="s">
        <v>103</v>
      </c>
      <c r="C264" s="1" t="s">
        <v>104</v>
      </c>
      <c r="D264" s="1">
        <v>319.0</v>
      </c>
      <c r="E264" s="1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1">
        <v>1.0</v>
      </c>
      <c r="O264" s="1">
        <v>8.834916666666667</v>
      </c>
    </row>
    <row r="265" ht="15.75" hidden="1" customHeight="1">
      <c r="A265" s="4">
        <v>45529.0</v>
      </c>
      <c r="B265" s="1" t="s">
        <v>103</v>
      </c>
      <c r="C265" s="1" t="s">
        <v>104</v>
      </c>
      <c r="D265" s="1">
        <v>364.0</v>
      </c>
      <c r="E265" s="1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1">
        <v>1.0</v>
      </c>
      <c r="O265" s="1">
        <v>8.103933333333334</v>
      </c>
    </row>
    <row r="266" ht="15.75" hidden="1" customHeight="1">
      <c r="A266" s="4">
        <v>45529.0</v>
      </c>
      <c r="B266" s="1" t="s">
        <v>88</v>
      </c>
      <c r="C266" s="1" t="s">
        <v>89</v>
      </c>
      <c r="D266" s="1">
        <v>418.0</v>
      </c>
      <c r="E266" s="1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1">
        <v>-7.0</v>
      </c>
      <c r="O266" s="1">
        <v>7.1531666666666665</v>
      </c>
    </row>
    <row r="267" ht="15.75" hidden="1" customHeight="1">
      <c r="A267" s="4">
        <v>45529.0</v>
      </c>
      <c r="B267" s="1" t="s">
        <v>103</v>
      </c>
      <c r="C267" s="1" t="s">
        <v>104</v>
      </c>
      <c r="D267" s="1">
        <v>268.0</v>
      </c>
      <c r="E267" s="1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1">
        <v>1.0</v>
      </c>
      <c r="O267" s="1">
        <v>8.195916666666667</v>
      </c>
    </row>
    <row r="268" ht="15.75" hidden="1" customHeight="1">
      <c r="A268" s="4">
        <v>45529.0</v>
      </c>
      <c r="B268" s="1" t="s">
        <v>103</v>
      </c>
      <c r="C268" s="1" t="s">
        <v>104</v>
      </c>
      <c r="D268" s="1">
        <v>264.0</v>
      </c>
      <c r="E268" s="1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1">
        <v>0.0</v>
      </c>
      <c r="O268" s="1">
        <v>7.167883333333333</v>
      </c>
    </row>
    <row r="269" ht="15.75" hidden="1" customHeight="1">
      <c r="A269" s="4">
        <v>45529.0</v>
      </c>
      <c r="B269" s="1" t="s">
        <v>103</v>
      </c>
      <c r="C269" s="1" t="s">
        <v>104</v>
      </c>
      <c r="D269" s="1">
        <v>408.0</v>
      </c>
      <c r="E269" s="1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1">
        <v>-1.0</v>
      </c>
      <c r="O269" s="1">
        <v>7.694016666666666</v>
      </c>
    </row>
    <row r="270" ht="15.75" hidden="1" customHeight="1">
      <c r="A270" s="4">
        <v>45529.0</v>
      </c>
      <c r="B270" s="1" t="s">
        <v>95</v>
      </c>
      <c r="C270" s="1" t="s">
        <v>89</v>
      </c>
      <c r="D270" s="1">
        <v>245.0</v>
      </c>
      <c r="E270" s="1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1">
        <v>-8.0</v>
      </c>
      <c r="O270" s="1">
        <v>10.495133333333333</v>
      </c>
    </row>
    <row r="271" ht="15.75" hidden="1" customHeight="1">
      <c r="A271" s="4">
        <v>45529.0</v>
      </c>
      <c r="B271" s="1" t="s">
        <v>95</v>
      </c>
      <c r="C271" s="1" t="s">
        <v>89</v>
      </c>
      <c r="D271" s="1">
        <v>547.0</v>
      </c>
      <c r="E271" s="1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1">
        <v>-11.0</v>
      </c>
      <c r="N271" s="1">
        <v>0.0113</v>
      </c>
      <c r="O271" s="1">
        <v>7.8432</v>
      </c>
    </row>
    <row r="272" ht="15.75" hidden="1" customHeight="1">
      <c r="A272" s="4">
        <v>45529.0</v>
      </c>
      <c r="B272" s="1" t="s">
        <v>88</v>
      </c>
      <c r="C272" s="1" t="s">
        <v>89</v>
      </c>
      <c r="D272" s="1">
        <v>303.0</v>
      </c>
      <c r="E272" s="1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1">
        <v>-9.0</v>
      </c>
      <c r="O272" s="1">
        <v>5.666</v>
      </c>
    </row>
    <row r="273" ht="15.75" hidden="1" customHeight="1">
      <c r="A273" s="4">
        <v>45529.0</v>
      </c>
      <c r="B273" s="1" t="s">
        <v>103</v>
      </c>
      <c r="C273" s="1" t="s">
        <v>104</v>
      </c>
      <c r="D273" s="1">
        <v>922.0</v>
      </c>
      <c r="E273" s="1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1">
        <v>-1.0</v>
      </c>
      <c r="O273" s="1">
        <v>8.224833333333333</v>
      </c>
    </row>
    <row r="274" ht="15.75" hidden="1" customHeight="1">
      <c r="A274" s="4">
        <v>45529.0</v>
      </c>
      <c r="B274" s="1" t="s">
        <v>95</v>
      </c>
      <c r="C274" s="1" t="s">
        <v>89</v>
      </c>
      <c r="D274" s="1">
        <v>354.0</v>
      </c>
      <c r="E274" s="1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1">
        <v>-16.0</v>
      </c>
      <c r="N274" s="1">
        <v>0.0119</v>
      </c>
      <c r="O274" s="1">
        <v>6.897316666666667</v>
      </c>
    </row>
    <row r="275" ht="15.75" hidden="1" customHeight="1">
      <c r="A275" s="4">
        <v>45529.0</v>
      </c>
      <c r="B275" s="1" t="s">
        <v>95</v>
      </c>
      <c r="C275" s="1" t="s">
        <v>89</v>
      </c>
      <c r="D275" s="1">
        <v>522.0</v>
      </c>
      <c r="E275" s="1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1">
        <v>-7.0</v>
      </c>
      <c r="N275" s="1">
        <v>0.013366666666666667</v>
      </c>
      <c r="O275" s="1">
        <v>10.712966666666667</v>
      </c>
    </row>
    <row r="276" ht="15.75" hidden="1" customHeight="1">
      <c r="A276" s="4">
        <v>45529.0</v>
      </c>
      <c r="B276" s="1" t="s">
        <v>95</v>
      </c>
      <c r="C276" s="1" t="s">
        <v>89</v>
      </c>
      <c r="D276" s="1">
        <v>533.0</v>
      </c>
      <c r="E276" s="1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1">
        <v>-7.0</v>
      </c>
      <c r="N276" s="1">
        <v>5.688666666666666</v>
      </c>
      <c r="O276" s="1">
        <v>11.8608</v>
      </c>
    </row>
    <row r="277" ht="15.75" hidden="1" customHeight="1">
      <c r="A277" s="4">
        <v>45529.0</v>
      </c>
      <c r="B277" s="1" t="s">
        <v>103</v>
      </c>
      <c r="C277" s="1" t="s">
        <v>104</v>
      </c>
      <c r="D277" s="1">
        <v>387.0</v>
      </c>
      <c r="E277" s="1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1">
        <v>0.0</v>
      </c>
      <c r="O277" s="1">
        <v>7.42385</v>
      </c>
    </row>
    <row r="278" ht="15.75" hidden="1" customHeight="1">
      <c r="A278" s="4">
        <v>45529.0</v>
      </c>
      <c r="B278" s="1" t="s">
        <v>88</v>
      </c>
      <c r="C278" s="1" t="s">
        <v>89</v>
      </c>
      <c r="D278" s="1">
        <v>657.0</v>
      </c>
      <c r="E278" s="1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1">
        <v>-12.0</v>
      </c>
      <c r="O278" s="1">
        <v>7.0929</v>
      </c>
    </row>
    <row r="279" ht="15.75" hidden="1" customHeight="1">
      <c r="A279" s="4">
        <v>45529.0</v>
      </c>
      <c r="B279" s="1" t="s">
        <v>103</v>
      </c>
      <c r="C279" s="1" t="s">
        <v>104</v>
      </c>
      <c r="D279" s="1">
        <v>214.0</v>
      </c>
      <c r="E279" s="1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1">
        <v>0.0</v>
      </c>
      <c r="O279" s="1">
        <v>6.16905</v>
      </c>
    </row>
    <row r="280" ht="15.75" hidden="1" customHeight="1">
      <c r="A280" s="4">
        <v>45529.0</v>
      </c>
      <c r="B280" s="1" t="s">
        <v>107</v>
      </c>
      <c r="C280" s="1" t="s">
        <v>104</v>
      </c>
      <c r="D280" s="1">
        <v>313.0</v>
      </c>
      <c r="E280" s="1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1">
        <v>-6.0</v>
      </c>
      <c r="O280" s="1">
        <v>8.674433333333333</v>
      </c>
    </row>
    <row r="281" ht="15.75" hidden="1" customHeight="1">
      <c r="A281" s="4">
        <v>45529.0</v>
      </c>
      <c r="B281" s="1" t="s">
        <v>103</v>
      </c>
      <c r="C281" s="1" t="s">
        <v>104</v>
      </c>
      <c r="D281" s="1">
        <v>786.0</v>
      </c>
      <c r="E281" s="1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1">
        <v>-1.0</v>
      </c>
      <c r="O281" s="1">
        <v>8.618233333333333</v>
      </c>
    </row>
    <row r="282" ht="15.75" hidden="1" customHeight="1">
      <c r="A282" s="4">
        <v>45529.0</v>
      </c>
      <c r="B282" s="1" t="s">
        <v>95</v>
      </c>
      <c r="C282" s="1" t="s">
        <v>89</v>
      </c>
      <c r="D282" s="1">
        <v>329.0</v>
      </c>
      <c r="E282" s="1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1">
        <v>-7.0</v>
      </c>
      <c r="N282" s="1">
        <v>0.011333333333333334</v>
      </c>
      <c r="O282" s="1">
        <v>11.64095</v>
      </c>
    </row>
    <row r="283" ht="15.75" hidden="1" customHeight="1">
      <c r="A283" s="4">
        <v>45529.0</v>
      </c>
      <c r="B283" s="1" t="s">
        <v>103</v>
      </c>
      <c r="C283" s="1" t="s">
        <v>104</v>
      </c>
      <c r="D283" s="1">
        <v>443.0</v>
      </c>
      <c r="E283" s="1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1">
        <v>3.0</v>
      </c>
      <c r="O283" s="1">
        <v>11.762483333333334</v>
      </c>
    </row>
    <row r="284" ht="15.75" hidden="1" customHeight="1">
      <c r="A284" s="4">
        <v>45529.0</v>
      </c>
      <c r="B284" s="1" t="s">
        <v>103</v>
      </c>
      <c r="C284" s="1" t="s">
        <v>104</v>
      </c>
      <c r="D284" s="1">
        <v>507.0</v>
      </c>
      <c r="E284" s="1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1">
        <v>0.0</v>
      </c>
      <c r="O284" s="1">
        <v>8.8061</v>
      </c>
    </row>
    <row r="285" ht="15.75" hidden="1" customHeight="1">
      <c r="A285" s="4">
        <v>45529.0</v>
      </c>
      <c r="B285" s="1" t="s">
        <v>88</v>
      </c>
      <c r="C285" s="1" t="s">
        <v>89</v>
      </c>
      <c r="D285" s="1">
        <v>321.0</v>
      </c>
      <c r="E285" s="1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1">
        <v>-7.0</v>
      </c>
      <c r="O285" s="1">
        <v>7.129783333333333</v>
      </c>
    </row>
    <row r="286" ht="15.75" hidden="1" customHeight="1">
      <c r="A286" s="4">
        <v>45529.0</v>
      </c>
      <c r="B286" s="1" t="s">
        <v>95</v>
      </c>
      <c r="C286" s="1" t="s">
        <v>89</v>
      </c>
      <c r="D286" s="1">
        <v>239.0</v>
      </c>
      <c r="E286" s="1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1">
        <v>-12.0</v>
      </c>
      <c r="N286" s="1">
        <v>0.010933333333333333</v>
      </c>
      <c r="O286" s="1">
        <v>54.25051666666667</v>
      </c>
    </row>
    <row r="287" ht="15.75" hidden="1" customHeight="1">
      <c r="A287" s="4">
        <v>45530.0</v>
      </c>
      <c r="B287" s="1" t="s">
        <v>95</v>
      </c>
      <c r="C287" s="1" t="s">
        <v>89</v>
      </c>
      <c r="D287" s="1">
        <v>397.0</v>
      </c>
      <c r="E287" s="1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1">
        <v>-2.0</v>
      </c>
      <c r="N287" s="1">
        <v>0.9790166666666666</v>
      </c>
      <c r="O287" s="1">
        <v>10.953266666666666</v>
      </c>
    </row>
    <row r="288" ht="15.75" hidden="1" customHeight="1">
      <c r="A288" s="4">
        <v>45530.0</v>
      </c>
      <c r="B288" s="1" t="s">
        <v>88</v>
      </c>
      <c r="C288" s="1" t="s">
        <v>89</v>
      </c>
      <c r="D288" s="1">
        <v>294.0</v>
      </c>
      <c r="E288" s="1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1">
        <v>-6.0</v>
      </c>
      <c r="O288" s="1">
        <v>8.005933333333333</v>
      </c>
    </row>
    <row r="289" ht="15.75" hidden="1" customHeight="1">
      <c r="A289" s="4">
        <v>45530.0</v>
      </c>
      <c r="B289" s="1" t="s">
        <v>103</v>
      </c>
      <c r="C289" s="1" t="s">
        <v>89</v>
      </c>
      <c r="D289" s="1">
        <v>424.0</v>
      </c>
      <c r="E289" s="1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1">
        <v>2.0</v>
      </c>
      <c r="O289" s="1">
        <v>10.303833333333333</v>
      </c>
    </row>
    <row r="290" ht="15.75" hidden="1" customHeight="1">
      <c r="A290" s="4">
        <v>45530.0</v>
      </c>
      <c r="B290" s="1" t="s">
        <v>88</v>
      </c>
      <c r="C290" s="1" t="s">
        <v>89</v>
      </c>
      <c r="D290" s="1">
        <v>343.0</v>
      </c>
      <c r="E290" s="1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1">
        <v>-1.0</v>
      </c>
      <c r="O290" s="1">
        <v>13.681033333333334</v>
      </c>
    </row>
    <row r="291" ht="15.75" hidden="1" customHeight="1">
      <c r="A291" s="4">
        <v>45530.0</v>
      </c>
      <c r="B291" s="1" t="s">
        <v>103</v>
      </c>
      <c r="C291" s="1" t="s">
        <v>89</v>
      </c>
      <c r="D291" s="1">
        <v>293.0</v>
      </c>
      <c r="E291" s="1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1">
        <v>-6.0</v>
      </c>
      <c r="O291" s="1">
        <v>0.7582666666666666</v>
      </c>
    </row>
    <row r="292" ht="15.75" hidden="1" customHeight="1">
      <c r="A292" s="4">
        <v>45530.0</v>
      </c>
      <c r="B292" s="1" t="s">
        <v>95</v>
      </c>
      <c r="C292" s="1" t="s">
        <v>89</v>
      </c>
      <c r="D292" s="1">
        <v>414.0</v>
      </c>
      <c r="E292" s="1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1">
        <v>-16.0</v>
      </c>
      <c r="N292" s="1">
        <v>0.010066666666666666</v>
      </c>
      <c r="O292" s="1">
        <v>10.118066666666667</v>
      </c>
    </row>
    <row r="293" ht="15.75" hidden="1" customHeight="1">
      <c r="A293" s="4">
        <v>45530.0</v>
      </c>
      <c r="B293" s="1" t="s">
        <v>103</v>
      </c>
      <c r="C293" s="1" t="s">
        <v>89</v>
      </c>
      <c r="D293" s="1">
        <v>321.0</v>
      </c>
      <c r="E293" s="1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1">
        <v>-6.0</v>
      </c>
      <c r="O293" s="1">
        <v>0.4378666666666667</v>
      </c>
    </row>
    <row r="294" ht="15.75" hidden="1" customHeight="1">
      <c r="A294" s="4">
        <v>45530.0</v>
      </c>
      <c r="B294" s="1" t="s">
        <v>228</v>
      </c>
      <c r="C294" s="1" t="s">
        <v>89</v>
      </c>
      <c r="D294" s="1">
        <v>49.0</v>
      </c>
      <c r="E294" s="1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1">
        <v>-4.0</v>
      </c>
      <c r="O294" s="1">
        <v>0.3768166666666667</v>
      </c>
    </row>
    <row r="295" ht="15.75" hidden="1" customHeight="1">
      <c r="A295" s="4">
        <v>45530.0</v>
      </c>
      <c r="B295" s="1" t="s">
        <v>107</v>
      </c>
      <c r="C295" s="1" t="s">
        <v>89</v>
      </c>
      <c r="D295" s="1">
        <v>321.0</v>
      </c>
      <c r="E295" s="1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1">
        <v>-6.0</v>
      </c>
      <c r="O295" s="1">
        <v>8.457433333333332</v>
      </c>
    </row>
    <row r="296" ht="15.75" hidden="1" customHeight="1">
      <c r="A296" s="4">
        <v>45530.0</v>
      </c>
      <c r="B296" s="1" t="s">
        <v>107</v>
      </c>
      <c r="C296" s="1" t="s">
        <v>89</v>
      </c>
      <c r="D296" s="1">
        <v>425.0</v>
      </c>
      <c r="E296" s="1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1">
        <v>-4.0</v>
      </c>
      <c r="O296" s="1">
        <v>10.968083333333333</v>
      </c>
    </row>
    <row r="297" ht="15.75" hidden="1" customHeight="1">
      <c r="A297" s="4">
        <v>45530.0</v>
      </c>
      <c r="B297" s="1" t="s">
        <v>95</v>
      </c>
      <c r="C297" s="1" t="s">
        <v>89</v>
      </c>
      <c r="D297" s="1">
        <v>265.0</v>
      </c>
      <c r="E297" s="1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1">
        <v>-11.0</v>
      </c>
      <c r="O297" s="1">
        <v>8.716516666666667</v>
      </c>
    </row>
    <row r="298" ht="15.75" hidden="1" customHeight="1">
      <c r="A298" s="4">
        <v>45530.0</v>
      </c>
      <c r="B298" s="1" t="s">
        <v>95</v>
      </c>
      <c r="C298" s="1" t="s">
        <v>89</v>
      </c>
      <c r="D298" s="1">
        <v>498.0</v>
      </c>
      <c r="E298" s="1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1">
        <v>17.0</v>
      </c>
      <c r="N298" s="1">
        <v>10.729466666666667</v>
      </c>
      <c r="O298" s="1">
        <v>9.444883333333333</v>
      </c>
    </row>
    <row r="299" ht="15.75" hidden="1" customHeight="1">
      <c r="A299" s="4">
        <v>45530.0</v>
      </c>
      <c r="B299" s="1" t="s">
        <v>103</v>
      </c>
      <c r="C299" s="1" t="s">
        <v>89</v>
      </c>
      <c r="D299" s="1">
        <v>264.0</v>
      </c>
      <c r="E299" s="1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1">
        <v>1.0</v>
      </c>
      <c r="O299" s="1">
        <v>7.57215</v>
      </c>
    </row>
    <row r="300" ht="15.75" hidden="1" customHeight="1">
      <c r="A300" s="4">
        <v>45530.0</v>
      </c>
      <c r="B300" s="1" t="s">
        <v>88</v>
      </c>
      <c r="C300" s="1" t="s">
        <v>89</v>
      </c>
      <c r="D300" s="1">
        <v>369.0</v>
      </c>
      <c r="E300" s="1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1">
        <v>-8.0</v>
      </c>
      <c r="O300" s="1">
        <v>6.616366666666667</v>
      </c>
    </row>
    <row r="301" ht="15.75" hidden="1" customHeight="1">
      <c r="A301" s="4">
        <v>45530.0</v>
      </c>
      <c r="B301" s="1" t="s">
        <v>103</v>
      </c>
      <c r="C301" s="1" t="s">
        <v>104</v>
      </c>
      <c r="D301" s="1">
        <v>433.0</v>
      </c>
      <c r="E301" s="1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1">
        <v>-1.0</v>
      </c>
      <c r="O301" s="1">
        <v>6.666416666666667</v>
      </c>
    </row>
    <row r="302" ht="15.75" hidden="1" customHeight="1">
      <c r="A302" s="4">
        <v>45530.0</v>
      </c>
      <c r="B302" s="1" t="s">
        <v>95</v>
      </c>
      <c r="C302" s="1" t="s">
        <v>89</v>
      </c>
      <c r="D302" s="1">
        <v>299.0</v>
      </c>
      <c r="E302" s="1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1">
        <v>-8.0</v>
      </c>
      <c r="O302" s="1">
        <v>11.707716666666666</v>
      </c>
    </row>
    <row r="303" ht="15.75" hidden="1" customHeight="1">
      <c r="A303" s="4">
        <v>45530.0</v>
      </c>
      <c r="B303" s="1" t="s">
        <v>103</v>
      </c>
      <c r="C303" s="1" t="s">
        <v>104</v>
      </c>
      <c r="D303" s="1">
        <v>657.0</v>
      </c>
      <c r="E303" s="1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1">
        <v>0.0</v>
      </c>
      <c r="O303" s="1">
        <v>9.607283333333333</v>
      </c>
    </row>
    <row r="304" ht="15.75" hidden="1" customHeight="1">
      <c r="A304" s="4">
        <v>45530.0</v>
      </c>
      <c r="B304" s="1" t="s">
        <v>88</v>
      </c>
      <c r="C304" s="1" t="s">
        <v>89</v>
      </c>
      <c r="D304" s="1">
        <v>378.0</v>
      </c>
      <c r="E304" s="1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1">
        <v>-8.0</v>
      </c>
      <c r="O304" s="1">
        <v>6.5332333333333334</v>
      </c>
    </row>
    <row r="305" ht="15.75" hidden="1" customHeight="1">
      <c r="A305" s="4">
        <v>45530.0</v>
      </c>
      <c r="B305" s="1" t="s">
        <v>107</v>
      </c>
      <c r="C305" s="1" t="s">
        <v>104</v>
      </c>
      <c r="D305" s="1">
        <v>329.0</v>
      </c>
      <c r="E305" s="1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1">
        <v>-8.0</v>
      </c>
      <c r="O305" s="1">
        <v>6.38385</v>
      </c>
    </row>
    <row r="306" ht="15.75" hidden="1" customHeight="1">
      <c r="A306" s="4">
        <v>45530.0</v>
      </c>
      <c r="B306" s="1" t="s">
        <v>88</v>
      </c>
      <c r="C306" s="1" t="s">
        <v>89</v>
      </c>
      <c r="D306" s="1">
        <v>364.0</v>
      </c>
      <c r="E306" s="1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1">
        <v>-9.0</v>
      </c>
      <c r="O306" s="1">
        <v>5.362166666666667</v>
      </c>
    </row>
    <row r="307" ht="15.75" hidden="1" customHeight="1">
      <c r="A307" s="4">
        <v>45530.0</v>
      </c>
      <c r="B307" s="1" t="s">
        <v>95</v>
      </c>
      <c r="C307" s="1" t="s">
        <v>89</v>
      </c>
      <c r="D307" s="1">
        <v>458.0</v>
      </c>
      <c r="E307" s="1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1">
        <v>-11.0</v>
      </c>
      <c r="N307" s="1">
        <v>0.009016666666666666</v>
      </c>
      <c r="O307" s="1">
        <v>6.974933333333333</v>
      </c>
    </row>
    <row r="308" ht="15.75" hidden="1" customHeight="1">
      <c r="A308" s="4">
        <v>45530.0</v>
      </c>
      <c r="B308" s="1" t="s">
        <v>95</v>
      </c>
      <c r="C308" s="1" t="s">
        <v>89</v>
      </c>
      <c r="D308" s="1">
        <v>468.0</v>
      </c>
      <c r="E308" s="1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1">
        <v>1.0</v>
      </c>
      <c r="N308" s="1">
        <v>8.65115</v>
      </c>
      <c r="O308" s="1">
        <v>11.0219</v>
      </c>
    </row>
    <row r="309" ht="15.75" hidden="1" customHeight="1">
      <c r="A309" s="4">
        <v>45530.0</v>
      </c>
      <c r="B309" s="1" t="s">
        <v>103</v>
      </c>
      <c r="C309" s="1" t="s">
        <v>104</v>
      </c>
      <c r="D309" s="1">
        <v>464.0</v>
      </c>
      <c r="E309" s="1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1">
        <v>2.0</v>
      </c>
      <c r="O309" s="1">
        <v>11.440983333333334</v>
      </c>
    </row>
    <row r="310" ht="15.75" hidden="1" customHeight="1">
      <c r="A310" s="4">
        <v>45530.0</v>
      </c>
      <c r="B310" s="1" t="s">
        <v>103</v>
      </c>
      <c r="C310" s="1" t="s">
        <v>104</v>
      </c>
      <c r="D310" s="1">
        <v>264.0</v>
      </c>
      <c r="E310" s="1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1">
        <v>2.0</v>
      </c>
      <c r="O310" s="1">
        <v>9.819283333333333</v>
      </c>
    </row>
    <row r="311" ht="15.75" hidden="1" customHeight="1">
      <c r="A311" s="4">
        <v>45530.0</v>
      </c>
      <c r="B311" s="1" t="s">
        <v>103</v>
      </c>
      <c r="C311" s="1" t="s">
        <v>104</v>
      </c>
      <c r="D311" s="1">
        <v>268.0</v>
      </c>
      <c r="E311" s="1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1">
        <v>0.0</v>
      </c>
      <c r="O311" s="1">
        <v>6.950716666666667</v>
      </c>
    </row>
    <row r="312" ht="15.75" hidden="1" customHeight="1">
      <c r="A312" s="4">
        <v>45530.0</v>
      </c>
      <c r="B312" s="1" t="s">
        <v>228</v>
      </c>
      <c r="C312" s="1" t="s">
        <v>89</v>
      </c>
      <c r="D312" s="1">
        <v>309.0</v>
      </c>
      <c r="E312" s="1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1">
        <v>2.0</v>
      </c>
      <c r="O312" s="1">
        <v>7.167033333333333</v>
      </c>
    </row>
    <row r="313" ht="15.75" hidden="1" customHeight="1">
      <c r="A313" s="4">
        <v>45530.0</v>
      </c>
      <c r="B313" s="1" t="s">
        <v>95</v>
      </c>
      <c r="C313" s="1" t="s">
        <v>89</v>
      </c>
      <c r="D313" s="1">
        <v>282.0</v>
      </c>
      <c r="E313" s="1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1">
        <v>-6.0</v>
      </c>
      <c r="N313" s="1">
        <v>0.00995</v>
      </c>
      <c r="O313" s="1">
        <v>9.972083333333334</v>
      </c>
    </row>
    <row r="314" ht="15.75" hidden="1" customHeight="1">
      <c r="A314" s="4">
        <v>45530.0</v>
      </c>
      <c r="B314" s="1" t="s">
        <v>103</v>
      </c>
      <c r="C314" s="1" t="s">
        <v>104</v>
      </c>
      <c r="D314" s="1">
        <v>294.0</v>
      </c>
      <c r="E314" s="1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1">
        <v>2.0</v>
      </c>
      <c r="O314" s="1">
        <v>9.9208</v>
      </c>
    </row>
    <row r="315" ht="15.75" hidden="1" customHeight="1">
      <c r="A315" s="4">
        <v>45530.0</v>
      </c>
      <c r="B315" s="1" t="s">
        <v>95</v>
      </c>
      <c r="C315" s="1" t="s">
        <v>89</v>
      </c>
      <c r="D315" s="1">
        <v>596.0</v>
      </c>
      <c r="E315" s="1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1">
        <v>-6.0</v>
      </c>
      <c r="N315" s="1">
        <v>0.0109</v>
      </c>
      <c r="O315" s="1">
        <v>23.695016666666668</v>
      </c>
    </row>
    <row r="316" ht="15.75" hidden="1" customHeight="1">
      <c r="A316" s="4">
        <v>45530.0</v>
      </c>
      <c r="B316" s="1" t="s">
        <v>95</v>
      </c>
      <c r="C316" s="1" t="s">
        <v>89</v>
      </c>
      <c r="D316" s="1">
        <v>319.0</v>
      </c>
      <c r="E316" s="1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1">
        <v>-10.0</v>
      </c>
      <c r="O316" s="1">
        <v>9.151216666666667</v>
      </c>
    </row>
    <row r="317" ht="15.75" hidden="1" customHeight="1">
      <c r="A317" s="4">
        <v>45530.0</v>
      </c>
      <c r="B317" s="1" t="s">
        <v>95</v>
      </c>
      <c r="C317" s="1" t="s">
        <v>89</v>
      </c>
      <c r="D317" s="1">
        <v>342.0</v>
      </c>
      <c r="E317" s="1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1">
        <v>-8.0</v>
      </c>
      <c r="O317" s="1">
        <v>10.900716666666666</v>
      </c>
    </row>
    <row r="318" ht="15.75" hidden="1" customHeight="1">
      <c r="A318" s="4">
        <v>45530.0</v>
      </c>
      <c r="B318" s="1" t="s">
        <v>95</v>
      </c>
      <c r="C318" s="1" t="s">
        <v>89</v>
      </c>
      <c r="D318" s="1">
        <v>250.0</v>
      </c>
      <c r="E318" s="1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1">
        <v>-19.0</v>
      </c>
      <c r="N318" s="1">
        <v>0.008916666666666666</v>
      </c>
      <c r="O318" s="1">
        <v>5.102966666666667</v>
      </c>
    </row>
    <row r="319" ht="15.75" hidden="1" customHeight="1">
      <c r="A319" s="4">
        <v>45530.0</v>
      </c>
      <c r="B319" s="1" t="s">
        <v>103</v>
      </c>
      <c r="C319" s="1" t="s">
        <v>104</v>
      </c>
      <c r="D319" s="1">
        <v>677.0</v>
      </c>
      <c r="E319" s="1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1">
        <v>1.0</v>
      </c>
      <c r="O319" s="1">
        <v>10.8082</v>
      </c>
    </row>
    <row r="320" ht="15.75" hidden="1" customHeight="1">
      <c r="A320" s="4">
        <v>45530.0</v>
      </c>
      <c r="B320" s="1" t="s">
        <v>107</v>
      </c>
      <c r="C320" s="1" t="s">
        <v>104</v>
      </c>
      <c r="D320" s="1">
        <v>618.0</v>
      </c>
      <c r="E320" s="1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1">
        <v>-10.0</v>
      </c>
      <c r="O320" s="1">
        <v>9.452733333333333</v>
      </c>
    </row>
    <row r="321" ht="15.75" hidden="1" customHeight="1">
      <c r="A321" s="4">
        <v>45530.0</v>
      </c>
      <c r="B321" s="1" t="s">
        <v>95</v>
      </c>
      <c r="C321" s="1" t="s">
        <v>89</v>
      </c>
      <c r="D321" s="1">
        <v>493.0</v>
      </c>
      <c r="E321" s="1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1">
        <v>-7.0</v>
      </c>
      <c r="O321" s="1">
        <v>11.554333333333334</v>
      </c>
    </row>
    <row r="322" ht="15.75" hidden="1" customHeight="1">
      <c r="A322" s="4">
        <v>45530.0</v>
      </c>
      <c r="B322" s="1" t="s">
        <v>103</v>
      </c>
      <c r="C322" s="1" t="s">
        <v>104</v>
      </c>
      <c r="D322" s="1">
        <v>348.0</v>
      </c>
      <c r="E322" s="1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1">
        <v>0.0</v>
      </c>
      <c r="O322" s="1">
        <v>6.916766666666667</v>
      </c>
    </row>
    <row r="323" ht="15.75" hidden="1" customHeight="1">
      <c r="A323" s="4">
        <v>45530.0</v>
      </c>
      <c r="B323" s="1" t="s">
        <v>95</v>
      </c>
      <c r="C323" s="1" t="s">
        <v>89</v>
      </c>
      <c r="D323" s="1">
        <v>182.0</v>
      </c>
      <c r="E323" s="1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1">
        <v>-8.0</v>
      </c>
      <c r="O323" s="1">
        <v>10.19705</v>
      </c>
    </row>
    <row r="324" ht="15.75" hidden="1" customHeight="1">
      <c r="A324" s="4">
        <v>45530.0</v>
      </c>
      <c r="B324" s="1" t="s">
        <v>88</v>
      </c>
      <c r="C324" s="1" t="s">
        <v>89</v>
      </c>
      <c r="D324" s="1">
        <v>465.0</v>
      </c>
      <c r="E324" s="1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1">
        <v>-4.0</v>
      </c>
      <c r="O324" s="1">
        <v>10.617233333333333</v>
      </c>
    </row>
    <row r="325" ht="15.75" hidden="1" customHeight="1">
      <c r="A325" s="4">
        <v>45530.0</v>
      </c>
      <c r="B325" s="1" t="s">
        <v>88</v>
      </c>
      <c r="C325" s="1" t="s">
        <v>89</v>
      </c>
      <c r="D325" s="1">
        <v>583.0</v>
      </c>
      <c r="E325" s="1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1">
        <v>-10.0</v>
      </c>
      <c r="O325" s="1">
        <v>9.006916666666667</v>
      </c>
    </row>
    <row r="326" ht="15.75" hidden="1" customHeight="1">
      <c r="A326" s="4">
        <v>45530.0</v>
      </c>
      <c r="B326" s="1" t="s">
        <v>107</v>
      </c>
      <c r="C326" s="1" t="s">
        <v>104</v>
      </c>
      <c r="D326" s="1">
        <v>264.0</v>
      </c>
      <c r="E326" s="1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1">
        <v>-6.0</v>
      </c>
      <c r="O326" s="1">
        <v>8.451666666666666</v>
      </c>
    </row>
    <row r="327" ht="15.75" hidden="1" customHeight="1">
      <c r="A327" s="4">
        <v>45530.0</v>
      </c>
      <c r="B327" s="1" t="s">
        <v>95</v>
      </c>
      <c r="C327" s="1" t="s">
        <v>89</v>
      </c>
      <c r="D327" s="1">
        <v>250.0</v>
      </c>
      <c r="E327" s="1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1">
        <v>-4.0</v>
      </c>
      <c r="N327" s="1">
        <v>0.009033333333333334</v>
      </c>
      <c r="O327" s="1">
        <v>11.249083333333333</v>
      </c>
    </row>
    <row r="328" ht="15.75" hidden="1" customHeight="1">
      <c r="A328" s="4">
        <v>45530.0</v>
      </c>
      <c r="B328" s="1" t="s">
        <v>107</v>
      </c>
      <c r="C328" s="1" t="s">
        <v>104</v>
      </c>
      <c r="D328" s="1">
        <v>313.0</v>
      </c>
      <c r="E328" s="1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1">
        <v>-5.0</v>
      </c>
      <c r="O328" s="1">
        <v>9.2824</v>
      </c>
    </row>
    <row r="329" ht="15.75" hidden="1" customHeight="1">
      <c r="A329" s="4">
        <v>45530.0</v>
      </c>
      <c r="B329" s="1" t="s">
        <v>228</v>
      </c>
      <c r="C329" s="1" t="s">
        <v>89</v>
      </c>
      <c r="D329" s="1">
        <v>558.0</v>
      </c>
      <c r="E329" s="1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1">
        <v>-1.0</v>
      </c>
      <c r="O329" s="1">
        <v>8.524633333333334</v>
      </c>
    </row>
    <row r="330" ht="15.75" hidden="1" customHeight="1">
      <c r="A330" s="4">
        <v>45530.0</v>
      </c>
      <c r="B330" s="1" t="s">
        <v>95</v>
      </c>
      <c r="C330" s="1" t="s">
        <v>89</v>
      </c>
      <c r="D330" s="1">
        <v>378.0</v>
      </c>
      <c r="E330" s="1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1">
        <v>6.0</v>
      </c>
      <c r="N330" s="1">
        <v>0.01335</v>
      </c>
      <c r="O330" s="1">
        <v>9.050366666666667</v>
      </c>
    </row>
    <row r="331" ht="15.75" hidden="1" customHeight="1">
      <c r="A331" s="4">
        <v>45530.0</v>
      </c>
      <c r="B331" s="1" t="s">
        <v>95</v>
      </c>
      <c r="C331" s="1" t="s">
        <v>89</v>
      </c>
      <c r="D331" s="1">
        <v>557.0</v>
      </c>
      <c r="E331" s="1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1">
        <v>-5.0</v>
      </c>
      <c r="N331" s="1">
        <v>11.785066666666667</v>
      </c>
      <c r="O331" s="1">
        <v>12.719483333333333</v>
      </c>
    </row>
    <row r="332" ht="15.75" hidden="1" customHeight="1">
      <c r="A332" s="4">
        <v>45530.0</v>
      </c>
      <c r="B332" s="1" t="s">
        <v>103</v>
      </c>
      <c r="C332" s="1" t="s">
        <v>89</v>
      </c>
      <c r="D332" s="1">
        <v>364.0</v>
      </c>
      <c r="E332" s="1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1">
        <v>0.0</v>
      </c>
      <c r="O332" s="1">
        <v>7.899866666666667</v>
      </c>
    </row>
    <row r="333" ht="15.75" hidden="1" customHeight="1">
      <c r="A333" s="4">
        <v>45530.0</v>
      </c>
      <c r="B333" s="1" t="s">
        <v>228</v>
      </c>
      <c r="C333" s="1" t="s">
        <v>89</v>
      </c>
      <c r="D333" s="1">
        <v>119.0</v>
      </c>
      <c r="E333" s="1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1">
        <v>0.0</v>
      </c>
      <c r="O333" s="1">
        <v>5.585066666666667</v>
      </c>
    </row>
    <row r="334" ht="15.75" hidden="1" customHeight="1">
      <c r="A334" s="4">
        <v>45530.0</v>
      </c>
      <c r="B334" s="1" t="s">
        <v>95</v>
      </c>
      <c r="C334" s="1" t="s">
        <v>89</v>
      </c>
      <c r="D334" s="1">
        <v>590.0</v>
      </c>
      <c r="E334" s="1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1">
        <v>-12.0</v>
      </c>
      <c r="O334" s="1">
        <v>10.620266666666666</v>
      </c>
    </row>
    <row r="335" ht="15.75" hidden="1" customHeight="1">
      <c r="A335" s="4">
        <v>45530.0</v>
      </c>
      <c r="B335" s="1" t="s">
        <v>103</v>
      </c>
      <c r="C335" s="1" t="s">
        <v>89</v>
      </c>
      <c r="D335" s="1">
        <v>329.0</v>
      </c>
      <c r="E335" s="1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1">
        <v>-1.0</v>
      </c>
      <c r="O335" s="1">
        <v>6.34385</v>
      </c>
    </row>
    <row r="336" ht="15.75" hidden="1" customHeight="1">
      <c r="A336" s="4">
        <v>45530.0</v>
      </c>
      <c r="B336" s="1" t="s">
        <v>88</v>
      </c>
      <c r="C336" s="1" t="s">
        <v>89</v>
      </c>
      <c r="D336" s="1">
        <v>575.0</v>
      </c>
      <c r="E336" s="1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1">
        <v>-11.0</v>
      </c>
      <c r="O336" s="1">
        <v>8.577216666666667</v>
      </c>
    </row>
    <row r="337" ht="15.75" hidden="1" customHeight="1">
      <c r="A337" s="4">
        <v>45530.0</v>
      </c>
      <c r="B337" s="1" t="s">
        <v>103</v>
      </c>
      <c r="C337" s="1" t="s">
        <v>89</v>
      </c>
      <c r="D337" s="1">
        <v>528.0</v>
      </c>
      <c r="E337" s="1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1">
        <v>-1.0</v>
      </c>
      <c r="O337" s="1">
        <v>7.7546</v>
      </c>
    </row>
    <row r="338" ht="15.75" hidden="1" customHeight="1">
      <c r="A338" s="4">
        <v>45530.0</v>
      </c>
      <c r="B338" s="1" t="s">
        <v>103</v>
      </c>
      <c r="C338" s="1" t="s">
        <v>89</v>
      </c>
      <c r="D338" s="1">
        <v>498.0</v>
      </c>
      <c r="E338" s="1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1">
        <v>0.0</v>
      </c>
      <c r="O338" s="1">
        <v>8.222733333333334</v>
      </c>
    </row>
    <row r="339" ht="15.75" hidden="1" customHeight="1">
      <c r="A339" s="4">
        <v>45530.0</v>
      </c>
      <c r="B339" s="1" t="s">
        <v>95</v>
      </c>
      <c r="C339" s="1" t="s">
        <v>89</v>
      </c>
      <c r="D339" s="1">
        <v>119.0</v>
      </c>
      <c r="E339" s="1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1">
        <v>-13.0</v>
      </c>
      <c r="O339" s="1">
        <v>6.5167</v>
      </c>
    </row>
    <row r="340" ht="15.75" hidden="1" customHeight="1">
      <c r="A340" s="4">
        <v>45530.0</v>
      </c>
      <c r="B340" s="1" t="s">
        <v>88</v>
      </c>
      <c r="C340" s="1" t="s">
        <v>89</v>
      </c>
      <c r="D340" s="1">
        <v>329.0</v>
      </c>
      <c r="E340" s="1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1">
        <v>-8.0</v>
      </c>
      <c r="O340" s="1">
        <v>6.6084</v>
      </c>
    </row>
    <row r="341" ht="15.75" hidden="1" customHeight="1">
      <c r="A341" s="4">
        <v>45530.0</v>
      </c>
      <c r="B341" s="1" t="s">
        <v>88</v>
      </c>
      <c r="C341" s="1" t="s">
        <v>89</v>
      </c>
      <c r="D341" s="1">
        <v>583.0</v>
      </c>
      <c r="E341" s="1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1">
        <v>-10.0</v>
      </c>
      <c r="O341" s="1">
        <v>9.6585</v>
      </c>
    </row>
    <row r="342" ht="15.75" hidden="1" customHeight="1">
      <c r="A342" s="4">
        <v>45530.0</v>
      </c>
      <c r="B342" s="1" t="s">
        <v>103</v>
      </c>
      <c r="C342" s="1" t="s">
        <v>104</v>
      </c>
      <c r="D342" s="1">
        <v>508.0</v>
      </c>
      <c r="E342" s="1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1">
        <v>1.0</v>
      </c>
      <c r="O342" s="1">
        <v>9.013183333333334</v>
      </c>
    </row>
    <row r="343" ht="15.75" hidden="1" customHeight="1">
      <c r="A343" s="4">
        <v>45530.0</v>
      </c>
      <c r="B343" s="1" t="s">
        <v>103</v>
      </c>
      <c r="C343" s="1" t="s">
        <v>104</v>
      </c>
      <c r="D343" s="1">
        <v>264.0</v>
      </c>
      <c r="E343" s="1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1">
        <v>1.0</v>
      </c>
      <c r="O343" s="1">
        <v>7.709516666666667</v>
      </c>
    </row>
    <row r="344" ht="15.75" hidden="1" customHeight="1">
      <c r="A344" s="4">
        <v>45530.0</v>
      </c>
      <c r="B344" s="1" t="s">
        <v>95</v>
      </c>
      <c r="C344" s="1" t="s">
        <v>89</v>
      </c>
      <c r="D344" s="1">
        <v>298.0</v>
      </c>
      <c r="E344" s="1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1">
        <v>-1.0</v>
      </c>
      <c r="N344" s="1">
        <v>0.009666666666666667</v>
      </c>
      <c r="O344" s="1">
        <v>7.085</v>
      </c>
    </row>
    <row r="345" ht="15.75" hidden="1" customHeight="1">
      <c r="A345" s="4">
        <v>45530.0</v>
      </c>
      <c r="B345" s="1" t="s">
        <v>88</v>
      </c>
      <c r="C345" s="1" t="s">
        <v>89</v>
      </c>
      <c r="D345" s="1">
        <v>294.0</v>
      </c>
      <c r="E345" s="1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1">
        <v>-8.0</v>
      </c>
      <c r="O345" s="1">
        <v>6.939866666666667</v>
      </c>
    </row>
    <row r="346" ht="15.75" hidden="1" customHeight="1">
      <c r="A346" s="4">
        <v>45530.0</v>
      </c>
      <c r="B346" s="1" t="s">
        <v>95</v>
      </c>
      <c r="C346" s="1" t="s">
        <v>89</v>
      </c>
      <c r="D346" s="1">
        <v>458.0</v>
      </c>
      <c r="E346" s="1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1">
        <v>-8.0</v>
      </c>
      <c r="N346" s="1">
        <v>0.00865</v>
      </c>
      <c r="O346" s="1">
        <v>10.857166666666666</v>
      </c>
    </row>
    <row r="347" ht="15.75" hidden="1" customHeight="1">
      <c r="A347" s="4">
        <v>45530.0</v>
      </c>
      <c r="B347" s="1" t="s">
        <v>103</v>
      </c>
      <c r="C347" s="1" t="s">
        <v>104</v>
      </c>
      <c r="D347" s="1">
        <v>627.0</v>
      </c>
      <c r="E347" s="1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1">
        <v>1.0</v>
      </c>
      <c r="O347" s="1">
        <v>10.851066666666666</v>
      </c>
    </row>
    <row r="348" ht="15.75" hidden="1" customHeight="1">
      <c r="A348" s="4">
        <v>45530.0</v>
      </c>
      <c r="B348" s="1" t="s">
        <v>103</v>
      </c>
      <c r="C348" s="1" t="s">
        <v>104</v>
      </c>
      <c r="D348" s="1">
        <v>839.0</v>
      </c>
      <c r="E348" s="1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1">
        <v>1.0</v>
      </c>
      <c r="O348" s="1">
        <v>11.061283333333334</v>
      </c>
    </row>
    <row r="349" ht="15.75" hidden="1" customHeight="1">
      <c r="A349" s="4">
        <v>45530.0</v>
      </c>
      <c r="B349" s="1" t="s">
        <v>88</v>
      </c>
      <c r="C349" s="1" t="s">
        <v>89</v>
      </c>
      <c r="D349" s="1">
        <v>329.0</v>
      </c>
      <c r="E349" s="1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1">
        <v>-9.0</v>
      </c>
      <c r="O349" s="1">
        <v>5.691416666666667</v>
      </c>
    </row>
    <row r="350" ht="15.75" hidden="1" customHeight="1">
      <c r="A350" s="4">
        <v>45530.0</v>
      </c>
      <c r="B350" s="1" t="s">
        <v>107</v>
      </c>
      <c r="C350" s="1" t="s">
        <v>104</v>
      </c>
      <c r="D350" s="1">
        <v>313.0</v>
      </c>
      <c r="E350" s="1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1">
        <v>-7.0</v>
      </c>
      <c r="O350" s="1">
        <v>7.516783333333334</v>
      </c>
    </row>
    <row r="351" ht="15.75" hidden="1" customHeight="1">
      <c r="A351" s="4">
        <v>45530.0</v>
      </c>
      <c r="B351" s="1" t="s">
        <v>95</v>
      </c>
      <c r="C351" s="1" t="s">
        <v>89</v>
      </c>
      <c r="D351" s="1">
        <v>258.0</v>
      </c>
      <c r="E351" s="1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1">
        <v>-9.0</v>
      </c>
      <c r="O351" s="1">
        <v>56.58266666666667</v>
      </c>
    </row>
    <row r="352" ht="15.75" hidden="1" customHeight="1">
      <c r="A352" s="4">
        <v>45530.0</v>
      </c>
      <c r="B352" s="1" t="s">
        <v>95</v>
      </c>
      <c r="C352" s="1" t="s">
        <v>89</v>
      </c>
      <c r="D352" s="1">
        <v>1503.0</v>
      </c>
      <c r="E352" s="1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1">
        <v>-22.0</v>
      </c>
      <c r="O352" s="1">
        <v>46.50991666666667</v>
      </c>
    </row>
    <row r="353" ht="15.75" hidden="1" customHeight="1">
      <c r="A353" s="4">
        <v>45530.0</v>
      </c>
      <c r="B353" s="1" t="s">
        <v>95</v>
      </c>
      <c r="C353" s="1" t="s">
        <v>89</v>
      </c>
      <c r="D353" s="1">
        <v>300.0</v>
      </c>
      <c r="E353" s="1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1">
        <v>-5.0</v>
      </c>
      <c r="O353" s="1">
        <v>11.482733333333334</v>
      </c>
    </row>
    <row r="354" ht="15.75" hidden="1" customHeight="1">
      <c r="A354" s="4">
        <v>45530.0</v>
      </c>
      <c r="B354" s="1" t="s">
        <v>103</v>
      </c>
      <c r="C354" s="1" t="s">
        <v>104</v>
      </c>
      <c r="D354" s="1">
        <v>565.0</v>
      </c>
      <c r="E354" s="1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1">
        <v>8.0</v>
      </c>
      <c r="O354" s="1">
        <v>17.0454</v>
      </c>
    </row>
    <row r="355" ht="15.75" hidden="1" customHeight="1">
      <c r="A355" s="4">
        <v>45530.0</v>
      </c>
      <c r="B355" s="1" t="s">
        <v>103</v>
      </c>
      <c r="C355" s="1" t="s">
        <v>104</v>
      </c>
      <c r="D355" s="1">
        <v>269.0</v>
      </c>
      <c r="E355" s="1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1">
        <v>1.0</v>
      </c>
      <c r="O355" s="1">
        <v>8.762433333333334</v>
      </c>
    </row>
    <row r="356" ht="15.75" hidden="1" customHeight="1">
      <c r="A356" s="4">
        <v>45530.0</v>
      </c>
      <c r="B356" s="1" t="s">
        <v>107</v>
      </c>
      <c r="C356" s="1" t="s">
        <v>104</v>
      </c>
      <c r="D356" s="1">
        <v>329.0</v>
      </c>
      <c r="E356" s="1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1">
        <v>-8.0</v>
      </c>
      <c r="O356" s="1">
        <v>6.688</v>
      </c>
    </row>
    <row r="357" ht="15.75" hidden="1" customHeight="1">
      <c r="A357" s="4">
        <v>45530.0</v>
      </c>
      <c r="B357" s="1" t="s">
        <v>95</v>
      </c>
      <c r="C357" s="1" t="s">
        <v>89</v>
      </c>
      <c r="D357" s="1">
        <v>219.0</v>
      </c>
      <c r="E357" s="1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1">
        <v>-12.0</v>
      </c>
      <c r="O357" s="1">
        <v>6.834066666666667</v>
      </c>
    </row>
    <row r="358" ht="15.75" hidden="1" customHeight="1">
      <c r="A358" s="4">
        <v>45530.0</v>
      </c>
      <c r="B358" s="1" t="s">
        <v>103</v>
      </c>
      <c r="C358" s="1" t="s">
        <v>104</v>
      </c>
      <c r="D358" s="1">
        <v>394.0</v>
      </c>
      <c r="E358" s="1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1">
        <v>1.0</v>
      </c>
      <c r="O358" s="1">
        <v>8.376416666666668</v>
      </c>
    </row>
    <row r="359" ht="15.75" hidden="1" customHeight="1">
      <c r="A359" s="4">
        <v>45530.0</v>
      </c>
      <c r="B359" s="1" t="s">
        <v>88</v>
      </c>
      <c r="C359" s="1" t="s">
        <v>89</v>
      </c>
      <c r="D359" s="1">
        <v>369.0</v>
      </c>
      <c r="E359" s="1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1">
        <v>-8.0</v>
      </c>
      <c r="O359" s="1">
        <v>6.943833333333333</v>
      </c>
    </row>
    <row r="360" ht="15.75" hidden="1" customHeight="1">
      <c r="A360" s="4">
        <v>45530.0</v>
      </c>
      <c r="B360" s="1" t="s">
        <v>95</v>
      </c>
      <c r="C360" s="1" t="s">
        <v>89</v>
      </c>
      <c r="D360" s="1">
        <v>319.0</v>
      </c>
      <c r="E360" s="1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1">
        <v>-7.0</v>
      </c>
      <c r="O360" s="1">
        <v>11.317216666666667</v>
      </c>
    </row>
    <row r="361" ht="15.75" hidden="1" customHeight="1">
      <c r="A361" s="4">
        <v>45530.0</v>
      </c>
      <c r="B361" s="1" t="s">
        <v>103</v>
      </c>
      <c r="C361" s="1" t="s">
        <v>104</v>
      </c>
      <c r="D361" s="1">
        <v>658.0</v>
      </c>
      <c r="E361" s="1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1">
        <v>2.0</v>
      </c>
      <c r="O361" s="1">
        <v>11.284666666666666</v>
      </c>
    </row>
    <row r="362" ht="15.75" hidden="1" customHeight="1">
      <c r="A362" s="4">
        <v>45530.0</v>
      </c>
      <c r="B362" s="1" t="s">
        <v>103</v>
      </c>
      <c r="C362" s="1" t="s">
        <v>104</v>
      </c>
      <c r="D362" s="1">
        <v>508.0</v>
      </c>
      <c r="E362" s="1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1">
        <v>1.0</v>
      </c>
      <c r="O362" s="1">
        <v>10.0412</v>
      </c>
    </row>
    <row r="363" ht="15.75" hidden="1" customHeight="1">
      <c r="A363" s="4">
        <v>45530.0</v>
      </c>
      <c r="B363" s="1" t="s">
        <v>107</v>
      </c>
      <c r="C363" s="1" t="s">
        <v>104</v>
      </c>
      <c r="D363" s="1">
        <v>264.0</v>
      </c>
      <c r="E363" s="1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1">
        <v>-7.0</v>
      </c>
      <c r="O363" s="1">
        <v>7.059816666666666</v>
      </c>
    </row>
    <row r="364" ht="15.75" hidden="1" customHeight="1">
      <c r="A364" s="4">
        <v>45530.0</v>
      </c>
      <c r="B364" s="1" t="s">
        <v>88</v>
      </c>
      <c r="C364" s="1" t="s">
        <v>89</v>
      </c>
      <c r="D364" s="1">
        <v>129.0</v>
      </c>
      <c r="E364" s="1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1">
        <v>-8.0</v>
      </c>
      <c r="O364" s="1">
        <v>6.6911</v>
      </c>
    </row>
    <row r="365" ht="15.75" hidden="1" customHeight="1">
      <c r="A365" s="4">
        <v>45530.0</v>
      </c>
      <c r="B365" s="1" t="s">
        <v>103</v>
      </c>
      <c r="C365" s="1" t="s">
        <v>104</v>
      </c>
      <c r="D365" s="1">
        <v>593.0</v>
      </c>
      <c r="E365" s="1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1">
        <v>0.0</v>
      </c>
      <c r="O365" s="1">
        <v>7.968833333333333</v>
      </c>
    </row>
    <row r="366" ht="15.75" hidden="1" customHeight="1">
      <c r="A366" s="4">
        <v>45530.0</v>
      </c>
      <c r="B366" s="1" t="s">
        <v>88</v>
      </c>
      <c r="C366" s="1" t="s">
        <v>89</v>
      </c>
      <c r="D366" s="1">
        <v>264.0</v>
      </c>
      <c r="E366" s="1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1">
        <v>-8.0</v>
      </c>
      <c r="O366" s="1">
        <v>6.217933333333334</v>
      </c>
    </row>
    <row r="367" ht="15.75" hidden="1" customHeight="1">
      <c r="A367" s="4">
        <v>45530.0</v>
      </c>
      <c r="B367" s="1" t="s">
        <v>88</v>
      </c>
      <c r="C367" s="1" t="s">
        <v>89</v>
      </c>
      <c r="D367" s="1">
        <v>264.0</v>
      </c>
      <c r="E367" s="1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1">
        <v>-6.0</v>
      </c>
      <c r="O367" s="1">
        <v>8.2126</v>
      </c>
    </row>
    <row r="368" ht="15.75" hidden="1" customHeight="1">
      <c r="A368" s="4">
        <v>45530.0</v>
      </c>
      <c r="B368" s="1" t="s">
        <v>228</v>
      </c>
      <c r="C368" s="1" t="s">
        <v>89</v>
      </c>
      <c r="D368" s="1">
        <v>309.0</v>
      </c>
      <c r="E368" s="1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1">
        <v>0.0</v>
      </c>
      <c r="O368" s="1">
        <v>5.668316666666667</v>
      </c>
    </row>
    <row r="369" ht="15.75" hidden="1" customHeight="1">
      <c r="A369" s="4">
        <v>45530.0</v>
      </c>
      <c r="B369" s="1" t="s">
        <v>107</v>
      </c>
      <c r="C369" s="1" t="s">
        <v>89</v>
      </c>
      <c r="D369" s="1">
        <v>329.0</v>
      </c>
      <c r="E369" s="1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1">
        <v>-6.0</v>
      </c>
      <c r="O369" s="1">
        <v>8.299466666666667</v>
      </c>
    </row>
    <row r="370" ht="15.75" hidden="1" customHeight="1">
      <c r="A370" s="4">
        <v>45530.0</v>
      </c>
      <c r="B370" s="1" t="s">
        <v>95</v>
      </c>
      <c r="C370" s="1" t="s">
        <v>89</v>
      </c>
      <c r="D370" s="1">
        <v>406.0</v>
      </c>
      <c r="E370" s="1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1">
        <v>8.0</v>
      </c>
      <c r="N370" s="1">
        <v>17.321483333333333</v>
      </c>
      <c r="O370" s="1">
        <v>8.2794</v>
      </c>
    </row>
    <row r="371" ht="15.75" hidden="1" customHeight="1">
      <c r="A371" s="4">
        <v>45530.0</v>
      </c>
      <c r="B371" s="1" t="s">
        <v>95</v>
      </c>
      <c r="C371" s="1" t="s">
        <v>89</v>
      </c>
      <c r="D371" s="1">
        <v>257.0</v>
      </c>
      <c r="E371" s="1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1">
        <v>-6.0</v>
      </c>
      <c r="N371" s="1">
        <v>0.008266666666666667</v>
      </c>
      <c r="O371" s="1">
        <v>8.3012</v>
      </c>
    </row>
    <row r="372" ht="15.75" hidden="1" customHeight="1">
      <c r="A372" s="4">
        <v>45530.0</v>
      </c>
      <c r="B372" s="1" t="s">
        <v>88</v>
      </c>
      <c r="C372" s="1" t="s">
        <v>89</v>
      </c>
      <c r="D372" s="1">
        <v>347.0</v>
      </c>
      <c r="E372" s="1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1">
        <v>-5.0</v>
      </c>
      <c r="O372" s="1">
        <v>9.11665</v>
      </c>
    </row>
    <row r="373" ht="15.75" hidden="1" customHeight="1">
      <c r="A373" s="4">
        <v>45530.0</v>
      </c>
      <c r="B373" s="1" t="s">
        <v>107</v>
      </c>
      <c r="C373" s="1" t="s">
        <v>89</v>
      </c>
      <c r="D373" s="1">
        <v>329.0</v>
      </c>
      <c r="E373" s="1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1">
        <v>-8.0</v>
      </c>
      <c r="O373" s="1">
        <v>6.585766666666666</v>
      </c>
    </row>
    <row r="374" ht="15.75" hidden="1" customHeight="1">
      <c r="A374" s="4">
        <v>45530.0</v>
      </c>
      <c r="B374" s="1" t="s">
        <v>107</v>
      </c>
      <c r="C374" s="1" t="s">
        <v>89</v>
      </c>
      <c r="D374" s="1">
        <v>658.0</v>
      </c>
      <c r="E374" s="1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1">
        <v>-5.0</v>
      </c>
      <c r="O374" s="1">
        <v>14.550066666666666</v>
      </c>
    </row>
    <row r="375" ht="15.75" hidden="1" customHeight="1">
      <c r="A375" s="4">
        <v>45530.0</v>
      </c>
      <c r="B375" s="1" t="s">
        <v>88</v>
      </c>
      <c r="C375" s="1" t="s">
        <v>89</v>
      </c>
      <c r="D375" s="1">
        <v>528.0</v>
      </c>
      <c r="E375" s="1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1">
        <v>-6.0</v>
      </c>
      <c r="O375" s="1">
        <v>13.29675</v>
      </c>
    </row>
    <row r="376" ht="15.75" hidden="1" customHeight="1">
      <c r="A376" s="4">
        <v>45530.0</v>
      </c>
      <c r="B376" s="1" t="s">
        <v>95</v>
      </c>
      <c r="C376" s="1" t="s">
        <v>89</v>
      </c>
      <c r="D376" s="1">
        <v>318.0</v>
      </c>
      <c r="E376" s="1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1">
        <v>-5.0</v>
      </c>
      <c r="O376" s="1">
        <v>13.6128</v>
      </c>
    </row>
    <row r="377" ht="15.75" hidden="1" customHeight="1">
      <c r="A377" s="4">
        <v>45530.0</v>
      </c>
      <c r="B377" s="1" t="s">
        <v>88</v>
      </c>
      <c r="C377" s="1" t="s">
        <v>89</v>
      </c>
      <c r="D377" s="1">
        <v>329.0</v>
      </c>
      <c r="E377" s="1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1">
        <v>-5.0</v>
      </c>
      <c r="O377" s="1">
        <v>9.004716666666667</v>
      </c>
    </row>
    <row r="378" ht="15.75" hidden="1" customHeight="1">
      <c r="A378" s="4">
        <v>45530.0</v>
      </c>
      <c r="B378" s="1" t="s">
        <v>107</v>
      </c>
      <c r="C378" s="1" t="s">
        <v>89</v>
      </c>
      <c r="D378" s="1">
        <v>329.0</v>
      </c>
      <c r="E378" s="1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1">
        <v>-4.0</v>
      </c>
      <c r="O378" s="1">
        <v>10.718633333333333</v>
      </c>
    </row>
    <row r="379" ht="15.75" hidden="1" customHeight="1">
      <c r="A379" s="4">
        <v>45530.0</v>
      </c>
      <c r="B379" s="1" t="s">
        <v>88</v>
      </c>
      <c r="C379" s="1" t="s">
        <v>89</v>
      </c>
      <c r="D379" s="1">
        <v>264.0</v>
      </c>
      <c r="E379" s="1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1">
        <v>-4.0</v>
      </c>
      <c r="O379" s="1">
        <v>10.62925</v>
      </c>
    </row>
    <row r="380" ht="15.75" hidden="1" customHeight="1">
      <c r="A380" s="4">
        <v>45530.0</v>
      </c>
      <c r="B380" s="1" t="s">
        <v>95</v>
      </c>
      <c r="C380" s="1" t="s">
        <v>89</v>
      </c>
      <c r="D380" s="1">
        <v>462.0</v>
      </c>
      <c r="E380" s="1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1">
        <v>-2.0</v>
      </c>
      <c r="O380" s="1">
        <v>17.51215</v>
      </c>
    </row>
    <row r="381" ht="15.75" hidden="1" customHeight="1">
      <c r="A381" s="4">
        <v>45530.0</v>
      </c>
      <c r="B381" s="1" t="s">
        <v>103</v>
      </c>
      <c r="C381" s="1" t="s">
        <v>89</v>
      </c>
      <c r="D381" s="1">
        <v>788.0</v>
      </c>
      <c r="E381" s="1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1">
        <v>2.0</v>
      </c>
      <c r="O381" s="1">
        <v>12.639666666666667</v>
      </c>
    </row>
    <row r="382" ht="15.75" hidden="1" customHeight="1">
      <c r="A382" s="4">
        <v>45530.0</v>
      </c>
      <c r="B382" s="1" t="s">
        <v>228</v>
      </c>
      <c r="C382" s="1" t="s">
        <v>89</v>
      </c>
      <c r="D382" s="1">
        <v>309.0</v>
      </c>
      <c r="E382" s="1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1">
        <v>-1.0</v>
      </c>
      <c r="O382" s="1">
        <v>3.7289166666666667</v>
      </c>
    </row>
    <row r="383" ht="15.75" hidden="1" customHeight="1">
      <c r="A383" s="4">
        <v>45530.0</v>
      </c>
      <c r="B383" s="1" t="s">
        <v>95</v>
      </c>
      <c r="C383" s="1" t="s">
        <v>89</v>
      </c>
      <c r="D383" s="1">
        <v>458.0</v>
      </c>
      <c r="E383" s="1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1">
        <v>0.0</v>
      </c>
      <c r="O383" s="1">
        <v>28.789583333333333</v>
      </c>
    </row>
    <row r="384" ht="15.75" hidden="1" customHeight="1">
      <c r="A384" s="4">
        <v>45530.0</v>
      </c>
      <c r="B384" s="1" t="s">
        <v>107</v>
      </c>
      <c r="C384" s="1" t="s">
        <v>104</v>
      </c>
      <c r="D384" s="1">
        <v>224.0</v>
      </c>
      <c r="E384" s="1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1">
        <v>-4.0</v>
      </c>
      <c r="O384" s="1">
        <v>10.066316666666667</v>
      </c>
    </row>
    <row r="385" ht="15.75" hidden="1" customHeight="1">
      <c r="A385" s="4">
        <v>45530.0</v>
      </c>
      <c r="B385" s="1" t="s">
        <v>107</v>
      </c>
      <c r="C385" s="1" t="s">
        <v>104</v>
      </c>
      <c r="D385" s="1">
        <v>278.0</v>
      </c>
      <c r="E385" s="1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1">
        <v>1.0</v>
      </c>
      <c r="O385" s="1">
        <v>16.106016666666665</v>
      </c>
    </row>
    <row r="386" ht="15.75" hidden="1" customHeight="1">
      <c r="A386" s="4">
        <v>45530.0</v>
      </c>
      <c r="B386" s="1" t="s">
        <v>95</v>
      </c>
      <c r="C386" s="1" t="s">
        <v>89</v>
      </c>
      <c r="D386" s="1">
        <v>555.0</v>
      </c>
      <c r="E386" s="1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1">
        <v>-4.0</v>
      </c>
      <c r="N386" s="1">
        <v>0.010783333333333334</v>
      </c>
      <c r="O386" s="1">
        <v>22.675583333333332</v>
      </c>
    </row>
    <row r="387" ht="15.75" hidden="1" customHeight="1">
      <c r="A387" s="4">
        <v>45530.0</v>
      </c>
      <c r="B387" s="1" t="s">
        <v>95</v>
      </c>
      <c r="C387" s="1" t="s">
        <v>89</v>
      </c>
      <c r="D387" s="1">
        <v>1305.0</v>
      </c>
      <c r="E387" s="1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1">
        <v>-2.0</v>
      </c>
      <c r="N387" s="1">
        <v>13.070983333333333</v>
      </c>
      <c r="O387" s="1">
        <v>18.044933333333333</v>
      </c>
    </row>
    <row r="388" ht="15.75" hidden="1" customHeight="1">
      <c r="A388" s="4">
        <v>45530.0</v>
      </c>
      <c r="B388" s="1" t="s">
        <v>88</v>
      </c>
      <c r="C388" s="1" t="s">
        <v>89</v>
      </c>
      <c r="D388" s="1">
        <v>356.0</v>
      </c>
      <c r="E388" s="1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1">
        <v>-6.0</v>
      </c>
      <c r="O388" s="1">
        <v>8.23695</v>
      </c>
    </row>
    <row r="389" ht="15.75" hidden="1" customHeight="1">
      <c r="A389" s="4">
        <v>45530.0</v>
      </c>
      <c r="B389" s="1" t="s">
        <v>88</v>
      </c>
      <c r="C389" s="1" t="s">
        <v>89</v>
      </c>
      <c r="D389" s="1">
        <v>289.0</v>
      </c>
      <c r="E389" s="1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1">
        <v>-9.0</v>
      </c>
      <c r="O389" s="1">
        <v>5.493666666666667</v>
      </c>
    </row>
    <row r="390" ht="15.75" hidden="1" customHeight="1">
      <c r="A390" s="4">
        <v>45530.0</v>
      </c>
      <c r="B390" s="1" t="s">
        <v>95</v>
      </c>
      <c r="C390" s="1" t="s">
        <v>89</v>
      </c>
      <c r="D390" s="1">
        <v>724.0</v>
      </c>
      <c r="E390" s="1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1">
        <v>-9.0</v>
      </c>
      <c r="N390" s="1">
        <v>19.96185</v>
      </c>
      <c r="O390" s="1">
        <v>23.260983333333332</v>
      </c>
    </row>
    <row r="391" ht="15.75" hidden="1" customHeight="1">
      <c r="A391" s="4">
        <v>45530.0</v>
      </c>
      <c r="B391" s="1" t="s">
        <v>95</v>
      </c>
      <c r="C391" s="1" t="s">
        <v>89</v>
      </c>
      <c r="D391" s="1">
        <v>199.0</v>
      </c>
      <c r="E391" s="1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1">
        <v>-9.0</v>
      </c>
      <c r="O391" s="1">
        <v>111.92053333333334</v>
      </c>
    </row>
    <row r="392" ht="15.75" hidden="1" customHeight="1">
      <c r="A392" s="4">
        <v>45530.0</v>
      </c>
      <c r="B392" s="1" t="s">
        <v>95</v>
      </c>
      <c r="C392" s="1" t="s">
        <v>89</v>
      </c>
      <c r="D392" s="1">
        <v>250.0</v>
      </c>
      <c r="E392" s="1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1">
        <v>-18.0</v>
      </c>
      <c r="N392" s="1">
        <v>0.0156</v>
      </c>
      <c r="O392" s="1">
        <v>94.07465</v>
      </c>
    </row>
    <row r="393" ht="15.75" hidden="1" customHeight="1">
      <c r="A393" s="4">
        <v>45531.0</v>
      </c>
      <c r="B393" s="1" t="s">
        <v>107</v>
      </c>
      <c r="C393" s="1" t="s">
        <v>104</v>
      </c>
      <c r="D393" s="1">
        <v>329.0</v>
      </c>
      <c r="E393" s="1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1">
        <v>-8.0</v>
      </c>
      <c r="O393" s="1">
        <v>6.4455</v>
      </c>
    </row>
    <row r="394" ht="15.75" hidden="1" customHeight="1">
      <c r="A394" s="4">
        <v>45531.0</v>
      </c>
      <c r="B394" s="1" t="s">
        <v>88</v>
      </c>
      <c r="C394" s="1" t="s">
        <v>89</v>
      </c>
      <c r="D394" s="1">
        <v>469.0</v>
      </c>
      <c r="E394" s="1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1">
        <v>3.0</v>
      </c>
      <c r="O394" s="1">
        <v>18.77391666666667</v>
      </c>
    </row>
    <row r="395" ht="15.75" hidden="1" customHeight="1">
      <c r="A395" s="4">
        <v>45531.0</v>
      </c>
      <c r="B395" s="1" t="s">
        <v>88</v>
      </c>
      <c r="C395" s="1" t="s">
        <v>89</v>
      </c>
      <c r="D395" s="1">
        <v>254.0</v>
      </c>
      <c r="E395" s="1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1">
        <v>-9.0</v>
      </c>
      <c r="O395" s="1">
        <v>5.125116666666667</v>
      </c>
    </row>
    <row r="396" ht="15.75" hidden="1" customHeight="1">
      <c r="A396" s="4">
        <v>45531.0</v>
      </c>
      <c r="B396" s="1" t="s">
        <v>103</v>
      </c>
      <c r="C396" s="1" t="s">
        <v>104</v>
      </c>
      <c r="D396" s="1">
        <v>443.0</v>
      </c>
      <c r="E396" s="1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1">
        <v>3.0</v>
      </c>
      <c r="O396" s="1">
        <v>12.730616666666666</v>
      </c>
    </row>
    <row r="397" ht="15.75" hidden="1" customHeight="1">
      <c r="A397" s="4">
        <v>45531.0</v>
      </c>
      <c r="B397" s="1" t="s">
        <v>103</v>
      </c>
      <c r="C397" s="1" t="s">
        <v>104</v>
      </c>
      <c r="D397" s="1">
        <v>379.0</v>
      </c>
      <c r="E397" s="1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1">
        <v>1.0</v>
      </c>
      <c r="O397" s="1">
        <v>8.420816666666667</v>
      </c>
    </row>
    <row r="398" ht="15.75" hidden="1" customHeight="1">
      <c r="A398" s="4">
        <v>45531.0</v>
      </c>
      <c r="B398" s="1" t="s">
        <v>103</v>
      </c>
      <c r="C398" s="1" t="s">
        <v>104</v>
      </c>
      <c r="D398" s="1">
        <v>214.0</v>
      </c>
      <c r="E398" s="1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1">
        <v>1.0</v>
      </c>
      <c r="O398" s="1">
        <v>7.8380833333333335</v>
      </c>
    </row>
    <row r="399" ht="15.75" hidden="1" customHeight="1">
      <c r="A399" s="4">
        <v>45531.0</v>
      </c>
      <c r="B399" s="1" t="s">
        <v>88</v>
      </c>
      <c r="C399" s="1" t="s">
        <v>89</v>
      </c>
      <c r="D399" s="1">
        <v>499.0</v>
      </c>
      <c r="E399" s="1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1">
        <v>-7.0</v>
      </c>
      <c r="O399" s="1">
        <v>7.7122</v>
      </c>
    </row>
    <row r="400" ht="15.75" hidden="1" customHeight="1">
      <c r="A400" s="4">
        <v>45531.0</v>
      </c>
      <c r="B400" s="1" t="s">
        <v>228</v>
      </c>
      <c r="C400" s="1" t="s">
        <v>104</v>
      </c>
      <c r="D400" s="1">
        <v>49.0</v>
      </c>
      <c r="E400" s="1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1">
        <v>8.0</v>
      </c>
      <c r="O400" s="1">
        <v>13.639183333333333</v>
      </c>
    </row>
    <row r="401" ht="15.75" hidden="1" customHeight="1">
      <c r="A401" s="4">
        <v>45531.0</v>
      </c>
      <c r="B401" s="1" t="s">
        <v>103</v>
      </c>
      <c r="C401" s="1" t="s">
        <v>104</v>
      </c>
      <c r="D401" s="1">
        <v>313.0</v>
      </c>
      <c r="E401" s="1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1">
        <v>0.0</v>
      </c>
      <c r="O401" s="1">
        <v>6.4542</v>
      </c>
    </row>
    <row r="402" ht="15.75" hidden="1" customHeight="1">
      <c r="A402" s="4">
        <v>45531.0</v>
      </c>
      <c r="B402" s="1" t="s">
        <v>107</v>
      </c>
      <c r="C402" s="1" t="s">
        <v>104</v>
      </c>
      <c r="D402" s="1">
        <v>394.0</v>
      </c>
      <c r="E402" s="1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1">
        <v>-6.0</v>
      </c>
      <c r="O402" s="1">
        <v>8.470816666666666</v>
      </c>
    </row>
    <row r="403" ht="15.75" hidden="1" customHeight="1">
      <c r="A403" s="4">
        <v>45531.0</v>
      </c>
      <c r="B403" s="1" t="s">
        <v>95</v>
      </c>
      <c r="C403" s="1" t="s">
        <v>89</v>
      </c>
      <c r="D403" s="1">
        <v>274.0</v>
      </c>
      <c r="E403" s="1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1">
        <v>-9.0</v>
      </c>
      <c r="N403" s="1">
        <v>0.00955</v>
      </c>
      <c r="O403" s="1">
        <v>8.231466666666666</v>
      </c>
    </row>
    <row r="404" ht="15.75" hidden="1" customHeight="1">
      <c r="A404" s="4">
        <v>45531.0</v>
      </c>
      <c r="B404" s="1" t="s">
        <v>103</v>
      </c>
      <c r="C404" s="1" t="s">
        <v>104</v>
      </c>
      <c r="D404" s="1">
        <v>464.0</v>
      </c>
      <c r="E404" s="1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1">
        <v>3.0</v>
      </c>
      <c r="O404" s="1">
        <v>11.530083333333334</v>
      </c>
    </row>
    <row r="405" ht="15.75" hidden="1" customHeight="1">
      <c r="A405" s="4">
        <v>45531.0</v>
      </c>
      <c r="B405" s="1" t="s">
        <v>88</v>
      </c>
      <c r="C405" s="1" t="s">
        <v>89</v>
      </c>
      <c r="D405" s="1">
        <v>321.0</v>
      </c>
      <c r="E405" s="1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1">
        <v>-7.0</v>
      </c>
      <c r="O405" s="1">
        <v>7.994783333333333</v>
      </c>
    </row>
    <row r="406" ht="15.75" hidden="1" customHeight="1">
      <c r="A406" s="4">
        <v>45531.0</v>
      </c>
      <c r="B406" s="1" t="s">
        <v>103</v>
      </c>
      <c r="C406" s="1" t="s">
        <v>104</v>
      </c>
      <c r="D406" s="1">
        <v>963.0</v>
      </c>
      <c r="E406" s="1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1">
        <v>5.0</v>
      </c>
      <c r="O406" s="1">
        <v>15.626766666666667</v>
      </c>
    </row>
    <row r="407" ht="15.75" hidden="1" customHeight="1">
      <c r="A407" s="4">
        <v>45531.0</v>
      </c>
      <c r="B407" s="1" t="s">
        <v>88</v>
      </c>
      <c r="C407" s="1" t="s">
        <v>89</v>
      </c>
      <c r="D407" s="1">
        <v>299.0</v>
      </c>
      <c r="E407" s="1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1">
        <v>-8.0</v>
      </c>
      <c r="O407" s="1">
        <v>11.379683333333332</v>
      </c>
    </row>
    <row r="408" ht="15.75" hidden="1" customHeight="1">
      <c r="A408" s="4">
        <v>45531.0</v>
      </c>
      <c r="B408" s="1" t="s">
        <v>88</v>
      </c>
      <c r="C408" s="1" t="s">
        <v>89</v>
      </c>
      <c r="D408" s="1">
        <v>362.0</v>
      </c>
      <c r="E408" s="1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1">
        <v>-8.0</v>
      </c>
      <c r="O408" s="1">
        <v>6.843516666666667</v>
      </c>
    </row>
    <row r="409" ht="15.75" hidden="1" customHeight="1">
      <c r="A409" s="4">
        <v>45531.0</v>
      </c>
      <c r="B409" s="1" t="s">
        <v>95</v>
      </c>
      <c r="C409" s="1" t="s">
        <v>89</v>
      </c>
      <c r="D409" s="1">
        <v>338.0</v>
      </c>
      <c r="E409" s="1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1">
        <v>-11.0</v>
      </c>
      <c r="N409" s="1">
        <v>0.0133</v>
      </c>
      <c r="O409" s="1">
        <v>8.07355</v>
      </c>
    </row>
    <row r="410" ht="15.75" hidden="1" customHeight="1">
      <c r="A410" s="4">
        <v>45531.0</v>
      </c>
      <c r="B410" s="1" t="s">
        <v>95</v>
      </c>
      <c r="C410" s="1" t="s">
        <v>104</v>
      </c>
      <c r="D410" s="1">
        <v>756.0</v>
      </c>
      <c r="E410" s="1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1">
        <v>-5.0</v>
      </c>
      <c r="O410" s="1">
        <v>19.670816666666667</v>
      </c>
    </row>
    <row r="411" ht="15.75" hidden="1" customHeight="1">
      <c r="A411" s="4">
        <v>45531.0</v>
      </c>
      <c r="B411" s="1" t="s">
        <v>95</v>
      </c>
      <c r="C411" s="1" t="s">
        <v>104</v>
      </c>
      <c r="D411" s="1">
        <v>1236.0</v>
      </c>
      <c r="E411" s="1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1">
        <v>-9.0</v>
      </c>
      <c r="O411" s="1">
        <v>15.7326</v>
      </c>
    </row>
    <row r="412" ht="15.75" hidden="1" customHeight="1">
      <c r="A412" s="4">
        <v>45531.0</v>
      </c>
      <c r="B412" s="1" t="s">
        <v>103</v>
      </c>
      <c r="C412" s="1" t="s">
        <v>104</v>
      </c>
      <c r="D412" s="1">
        <v>378.0</v>
      </c>
      <c r="E412" s="1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1">
        <v>2.0</v>
      </c>
      <c r="O412" s="1">
        <v>10.27485</v>
      </c>
    </row>
    <row r="413" ht="15.75" hidden="1" customHeight="1">
      <c r="A413" s="4">
        <v>45531.0</v>
      </c>
      <c r="B413" s="1" t="s">
        <v>95</v>
      </c>
      <c r="C413" s="1" t="s">
        <v>89</v>
      </c>
      <c r="D413" s="1">
        <v>424.0</v>
      </c>
      <c r="E413" s="1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1">
        <v>-7.0</v>
      </c>
      <c r="N413" s="1">
        <v>0.0103</v>
      </c>
      <c r="O413" s="1">
        <v>11.02015</v>
      </c>
    </row>
    <row r="414" ht="15.75" hidden="1" customHeight="1">
      <c r="A414" s="4">
        <v>45531.0</v>
      </c>
      <c r="B414" s="1" t="s">
        <v>228</v>
      </c>
      <c r="C414" s="1" t="s">
        <v>104</v>
      </c>
      <c r="D414" s="1">
        <v>309.0</v>
      </c>
      <c r="E414" s="1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1">
        <v>2.0</v>
      </c>
      <c r="O414" s="1">
        <v>7.119766666666667</v>
      </c>
    </row>
    <row r="415" ht="15.75" hidden="1" customHeight="1">
      <c r="A415" s="4">
        <v>45531.0</v>
      </c>
      <c r="B415" s="1" t="s">
        <v>103</v>
      </c>
      <c r="C415" s="1" t="s">
        <v>104</v>
      </c>
      <c r="D415" s="1">
        <v>488.0</v>
      </c>
      <c r="E415" s="1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1">
        <v>8.0</v>
      </c>
      <c r="O415" s="1">
        <v>16.502983333333333</v>
      </c>
    </row>
    <row r="416" ht="15.75" hidden="1" customHeight="1">
      <c r="A416" s="4">
        <v>45531.0</v>
      </c>
      <c r="B416" s="1" t="s">
        <v>103</v>
      </c>
      <c r="C416" s="1" t="s">
        <v>104</v>
      </c>
      <c r="D416" s="1">
        <v>728.0</v>
      </c>
      <c r="E416" s="1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1">
        <v>8.0</v>
      </c>
      <c r="O416" s="1">
        <v>17.731583333333333</v>
      </c>
    </row>
    <row r="417" ht="15.75" hidden="1" customHeight="1">
      <c r="A417" s="4">
        <v>45531.0</v>
      </c>
      <c r="B417" s="1" t="s">
        <v>107</v>
      </c>
      <c r="C417" s="1" t="s">
        <v>104</v>
      </c>
      <c r="D417" s="1">
        <v>443.0</v>
      </c>
      <c r="E417" s="1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1">
        <v>1.0</v>
      </c>
      <c r="O417" s="1">
        <v>16.386133333333333</v>
      </c>
    </row>
    <row r="418" ht="15.75" hidden="1" customHeight="1">
      <c r="A418" s="4">
        <v>45531.0</v>
      </c>
      <c r="B418" s="1" t="s">
        <v>88</v>
      </c>
      <c r="C418" s="1" t="s">
        <v>89</v>
      </c>
      <c r="D418" s="1">
        <v>822.0</v>
      </c>
      <c r="E418" s="1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1">
        <v>1.0</v>
      </c>
      <c r="O418" s="1">
        <v>21.108866666666668</v>
      </c>
    </row>
    <row r="419" ht="15.75" hidden="1" customHeight="1">
      <c r="A419" s="4">
        <v>45531.0</v>
      </c>
      <c r="B419" s="1" t="s">
        <v>228</v>
      </c>
      <c r="C419" s="1" t="s">
        <v>104</v>
      </c>
      <c r="D419" s="1">
        <v>249.0</v>
      </c>
      <c r="E419" s="1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1">
        <v>6.0</v>
      </c>
      <c r="O419" s="1">
        <v>11.434366666666667</v>
      </c>
    </row>
    <row r="420" ht="15.75" hidden="1" customHeight="1">
      <c r="A420" s="4">
        <v>45531.0</v>
      </c>
      <c r="B420" s="1" t="s">
        <v>88</v>
      </c>
      <c r="C420" s="1" t="s">
        <v>89</v>
      </c>
      <c r="D420" s="1">
        <v>658.0</v>
      </c>
      <c r="E420" s="1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1">
        <v>-54.0</v>
      </c>
      <c r="O420" s="1">
        <v>24.68315</v>
      </c>
    </row>
    <row r="421" ht="15.75" hidden="1" customHeight="1">
      <c r="A421" s="4">
        <v>45531.0</v>
      </c>
      <c r="B421" s="1" t="s">
        <v>103</v>
      </c>
      <c r="C421" s="1" t="s">
        <v>104</v>
      </c>
      <c r="D421" s="1">
        <v>430.0</v>
      </c>
      <c r="E421" s="1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1">
        <v>0.0</v>
      </c>
      <c r="O421" s="1">
        <v>8.47</v>
      </c>
    </row>
    <row r="422" ht="15.75" hidden="1" customHeight="1">
      <c r="A422" s="4">
        <v>45531.0</v>
      </c>
      <c r="B422" s="1" t="s">
        <v>103</v>
      </c>
      <c r="C422" s="1" t="s">
        <v>104</v>
      </c>
      <c r="D422" s="1">
        <v>329.0</v>
      </c>
      <c r="E422" s="1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1">
        <v>2.0</v>
      </c>
      <c r="O422" s="1">
        <v>9.6159</v>
      </c>
    </row>
    <row r="423" ht="15.75" hidden="1" customHeight="1">
      <c r="A423" s="4">
        <v>45531.0</v>
      </c>
      <c r="B423" s="1" t="s">
        <v>107</v>
      </c>
      <c r="C423" s="1" t="s">
        <v>104</v>
      </c>
      <c r="D423" s="1">
        <v>364.0</v>
      </c>
      <c r="E423" s="1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1">
        <v>-8.0</v>
      </c>
      <c r="O423" s="1">
        <v>6.677616666666666</v>
      </c>
    </row>
    <row r="424" ht="15.75" hidden="1" customHeight="1">
      <c r="A424" s="4">
        <v>45531.0</v>
      </c>
      <c r="B424" s="1" t="s">
        <v>95</v>
      </c>
      <c r="C424" s="1" t="s">
        <v>89</v>
      </c>
      <c r="D424" s="1">
        <v>690.0</v>
      </c>
      <c r="E424" s="1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1">
        <v>-2.0</v>
      </c>
      <c r="N424" s="1">
        <v>0.0165</v>
      </c>
      <c r="O424" s="1">
        <v>20.628283333333332</v>
      </c>
    </row>
    <row r="425" ht="15.75" hidden="1" customHeight="1">
      <c r="A425" s="4">
        <v>45531.0</v>
      </c>
      <c r="B425" s="1" t="s">
        <v>95</v>
      </c>
      <c r="C425" s="1" t="s">
        <v>104</v>
      </c>
      <c r="D425" s="1">
        <v>265.0</v>
      </c>
      <c r="E425" s="1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1">
        <v>-8.0</v>
      </c>
      <c r="O425" s="1">
        <v>11.66165</v>
      </c>
    </row>
    <row r="426" ht="15.75" hidden="1" customHeight="1">
      <c r="A426" s="4">
        <v>45531.0</v>
      </c>
      <c r="B426" s="1" t="s">
        <v>88</v>
      </c>
      <c r="C426" s="1" t="s">
        <v>89</v>
      </c>
      <c r="D426" s="1">
        <v>394.0</v>
      </c>
      <c r="E426" s="1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1">
        <v>-4.0</v>
      </c>
      <c r="O426" s="1">
        <v>10.784283333333333</v>
      </c>
    </row>
    <row r="427" ht="15.75" hidden="1" customHeight="1">
      <c r="A427" s="4">
        <v>45531.0</v>
      </c>
      <c r="B427" s="1" t="s">
        <v>95</v>
      </c>
      <c r="C427" s="1" t="s">
        <v>89</v>
      </c>
      <c r="D427" s="1">
        <v>548.0</v>
      </c>
      <c r="E427" s="1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1">
        <v>0.0</v>
      </c>
      <c r="N427" s="1">
        <v>0.011083333333333334</v>
      </c>
      <c r="O427" s="1">
        <v>26.038733333333333</v>
      </c>
    </row>
    <row r="428" ht="15.75" hidden="1" customHeight="1">
      <c r="A428" s="4">
        <v>45531.0</v>
      </c>
      <c r="B428" s="1" t="s">
        <v>95</v>
      </c>
      <c r="C428" s="1" t="s">
        <v>104</v>
      </c>
      <c r="D428" s="1">
        <v>299.0</v>
      </c>
      <c r="E428" s="1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1">
        <v>-11.0</v>
      </c>
      <c r="O428" s="1">
        <v>9.519983333333334</v>
      </c>
    </row>
    <row r="429" ht="15.75" hidden="1" customHeight="1">
      <c r="A429" s="4">
        <v>45531.0</v>
      </c>
      <c r="B429" s="1" t="s">
        <v>95</v>
      </c>
      <c r="C429" s="1" t="s">
        <v>104</v>
      </c>
      <c r="D429" s="1">
        <v>247.0</v>
      </c>
      <c r="E429" s="1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1">
        <v>-6.0</v>
      </c>
      <c r="O429" s="1">
        <v>33.03711666666667</v>
      </c>
    </row>
    <row r="430" ht="15.75" hidden="1" customHeight="1">
      <c r="A430" s="4">
        <v>45531.0</v>
      </c>
      <c r="B430" s="1" t="s">
        <v>88</v>
      </c>
      <c r="C430" s="1" t="s">
        <v>89</v>
      </c>
      <c r="D430" s="1">
        <v>329.0</v>
      </c>
      <c r="E430" s="1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1">
        <v>-6.0</v>
      </c>
      <c r="O430" s="1">
        <v>8.93215</v>
      </c>
    </row>
    <row r="431" ht="15.75" hidden="1" customHeight="1">
      <c r="A431" s="4">
        <v>45531.0</v>
      </c>
      <c r="B431" s="1" t="s">
        <v>95</v>
      </c>
      <c r="C431" s="1" t="s">
        <v>104</v>
      </c>
      <c r="D431" s="1">
        <v>236.0</v>
      </c>
      <c r="E431" s="1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1">
        <v>-11.0</v>
      </c>
      <c r="O431" s="1">
        <v>8.115483333333334</v>
      </c>
    </row>
    <row r="432" ht="15.75" hidden="1" customHeight="1">
      <c r="A432" s="4">
        <v>45531.0</v>
      </c>
      <c r="B432" s="1" t="s">
        <v>103</v>
      </c>
      <c r="C432" s="1" t="s">
        <v>104</v>
      </c>
      <c r="D432" s="1">
        <v>214.0</v>
      </c>
      <c r="E432" s="1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1">
        <v>1.0</v>
      </c>
      <c r="O432" s="1">
        <v>8.918816666666666</v>
      </c>
    </row>
    <row r="433" ht="15.75" hidden="1" customHeight="1">
      <c r="A433" s="4">
        <v>45531.0</v>
      </c>
      <c r="B433" s="1" t="s">
        <v>103</v>
      </c>
      <c r="C433" s="1" t="s">
        <v>104</v>
      </c>
      <c r="D433" s="1">
        <v>756.0</v>
      </c>
      <c r="E433" s="1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1">
        <v>2.0</v>
      </c>
      <c r="O433" s="1">
        <v>12.611833333333333</v>
      </c>
    </row>
    <row r="434" ht="15.75" hidden="1" customHeight="1">
      <c r="A434" s="4">
        <v>45531.0</v>
      </c>
      <c r="B434" s="1" t="s">
        <v>103</v>
      </c>
      <c r="C434" s="1" t="s">
        <v>104</v>
      </c>
      <c r="D434" s="1">
        <v>528.0</v>
      </c>
      <c r="E434" s="1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1">
        <v>0.0</v>
      </c>
      <c r="O434" s="1">
        <v>7.8795166666666665</v>
      </c>
    </row>
    <row r="435" ht="15.75" hidden="1" customHeight="1">
      <c r="A435" s="4">
        <v>45531.0</v>
      </c>
      <c r="B435" s="1" t="s">
        <v>95</v>
      </c>
      <c r="C435" s="1" t="s">
        <v>104</v>
      </c>
      <c r="D435" s="1">
        <v>494.0</v>
      </c>
      <c r="E435" s="1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1">
        <v>-9.0</v>
      </c>
      <c r="O435" s="1">
        <v>9.810316666666667</v>
      </c>
    </row>
    <row r="436" ht="15.75" hidden="1" customHeight="1">
      <c r="A436" s="4">
        <v>45531.0</v>
      </c>
      <c r="B436" s="1" t="s">
        <v>88</v>
      </c>
      <c r="C436" s="1" t="s">
        <v>89</v>
      </c>
      <c r="D436" s="1">
        <v>378.0</v>
      </c>
      <c r="E436" s="1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1">
        <v>-7.0</v>
      </c>
      <c r="O436" s="1">
        <v>7.686066666666667</v>
      </c>
    </row>
    <row r="437" ht="15.75" hidden="1" customHeight="1">
      <c r="A437" s="4">
        <v>45531.0</v>
      </c>
      <c r="B437" s="1" t="s">
        <v>103</v>
      </c>
      <c r="C437" s="1" t="s">
        <v>104</v>
      </c>
      <c r="D437" s="1">
        <v>288.0</v>
      </c>
      <c r="E437" s="1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1">
        <v>0.0</v>
      </c>
      <c r="O437" s="1">
        <v>6.339683333333333</v>
      </c>
    </row>
    <row r="438" ht="15.75" hidden="1" customHeight="1">
      <c r="A438" s="4">
        <v>45531.0</v>
      </c>
      <c r="B438" s="1" t="s">
        <v>103</v>
      </c>
      <c r="C438" s="1" t="s">
        <v>104</v>
      </c>
      <c r="D438" s="1">
        <v>425.0</v>
      </c>
      <c r="E438" s="1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1">
        <v>0.0</v>
      </c>
      <c r="O438" s="1">
        <v>7.569066666666667</v>
      </c>
    </row>
    <row r="439" ht="15.75" hidden="1" customHeight="1">
      <c r="A439" s="4">
        <v>45531.0</v>
      </c>
      <c r="B439" s="1" t="s">
        <v>103</v>
      </c>
      <c r="C439" s="1" t="s">
        <v>104</v>
      </c>
      <c r="D439" s="1">
        <v>329.0</v>
      </c>
      <c r="E439" s="1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1">
        <v>1.0</v>
      </c>
      <c r="O439" s="1">
        <v>8.254883333333334</v>
      </c>
    </row>
    <row r="440" ht="15.75" hidden="1" customHeight="1">
      <c r="A440" s="4">
        <v>45531.0</v>
      </c>
      <c r="B440" s="1" t="s">
        <v>88</v>
      </c>
      <c r="C440" s="1" t="s">
        <v>89</v>
      </c>
      <c r="D440" s="1">
        <v>329.0</v>
      </c>
      <c r="E440" s="1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1">
        <v>-8.0</v>
      </c>
      <c r="O440" s="1">
        <v>6.702916666666667</v>
      </c>
    </row>
    <row r="441" ht="15.75" hidden="1" customHeight="1">
      <c r="A441" s="4">
        <v>45531.0</v>
      </c>
      <c r="B441" s="1" t="s">
        <v>95</v>
      </c>
      <c r="C441" s="1" t="s">
        <v>104</v>
      </c>
      <c r="D441" s="1">
        <v>247.0</v>
      </c>
      <c r="E441" s="1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1">
        <v>-8.0</v>
      </c>
      <c r="O441" s="1">
        <v>11.134683333333333</v>
      </c>
    </row>
    <row r="442" ht="15.75" hidden="1" customHeight="1">
      <c r="A442" s="4">
        <v>45531.0</v>
      </c>
      <c r="B442" s="1" t="s">
        <v>107</v>
      </c>
      <c r="C442" s="1" t="s">
        <v>104</v>
      </c>
      <c r="D442" s="1">
        <v>634.0</v>
      </c>
      <c r="E442" s="1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1">
        <v>-9.0</v>
      </c>
      <c r="O442" s="1">
        <v>10.408833333333334</v>
      </c>
    </row>
    <row r="443" ht="15.75" hidden="1" customHeight="1">
      <c r="A443" s="4">
        <v>45531.0</v>
      </c>
      <c r="B443" s="1" t="s">
        <v>103</v>
      </c>
      <c r="C443" s="1" t="s">
        <v>104</v>
      </c>
      <c r="D443" s="1">
        <v>321.0</v>
      </c>
      <c r="E443" s="1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1">
        <v>2.0</v>
      </c>
      <c r="O443" s="1">
        <v>9.8272</v>
      </c>
    </row>
    <row r="444" ht="15.75" hidden="1" customHeight="1">
      <c r="A444" s="4">
        <v>45531.0</v>
      </c>
      <c r="B444" s="1" t="s">
        <v>88</v>
      </c>
      <c r="C444" s="1" t="s">
        <v>89</v>
      </c>
      <c r="D444" s="1">
        <v>408.0</v>
      </c>
      <c r="E444" s="1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1">
        <v>-8.0</v>
      </c>
      <c r="O444" s="1">
        <v>6.459583333333334</v>
      </c>
    </row>
    <row r="445" ht="15.75" hidden="1" customHeight="1">
      <c r="A445" s="4">
        <v>45531.0</v>
      </c>
      <c r="B445" s="1" t="s">
        <v>88</v>
      </c>
      <c r="C445" s="1" t="s">
        <v>89</v>
      </c>
      <c r="D445" s="1">
        <v>303.0</v>
      </c>
      <c r="E445" s="1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1">
        <v>-8.0</v>
      </c>
      <c r="O445" s="1">
        <v>6.73795</v>
      </c>
    </row>
    <row r="446" ht="15.75" hidden="1" customHeight="1">
      <c r="A446" s="4">
        <v>45531.0</v>
      </c>
      <c r="B446" s="1" t="s">
        <v>88</v>
      </c>
      <c r="C446" s="1" t="s">
        <v>89</v>
      </c>
      <c r="D446" s="1">
        <v>488.0</v>
      </c>
      <c r="E446" s="1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1">
        <v>-6.0</v>
      </c>
      <c r="O446" s="1">
        <v>8.042383333333333</v>
      </c>
    </row>
    <row r="447" ht="15.75" hidden="1" customHeight="1">
      <c r="A447" s="4">
        <v>45531.0</v>
      </c>
      <c r="B447" s="1" t="s">
        <v>103</v>
      </c>
      <c r="C447" s="1" t="s">
        <v>104</v>
      </c>
      <c r="D447" s="1">
        <v>508.0</v>
      </c>
      <c r="E447" s="1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1">
        <v>0.0</v>
      </c>
      <c r="O447" s="1">
        <v>8.088066666666666</v>
      </c>
    </row>
    <row r="448" ht="15.75" hidden="1" customHeight="1">
      <c r="A448" s="4">
        <v>45531.0</v>
      </c>
      <c r="B448" s="1" t="s">
        <v>103</v>
      </c>
      <c r="C448" s="1" t="s">
        <v>104</v>
      </c>
      <c r="D448" s="1">
        <v>321.0</v>
      </c>
      <c r="E448" s="1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1">
        <v>0.0</v>
      </c>
      <c r="O448" s="1">
        <v>7.54615</v>
      </c>
    </row>
    <row r="449" ht="15.75" hidden="1" customHeight="1">
      <c r="A449" s="4">
        <v>45531.0</v>
      </c>
      <c r="B449" s="1" t="s">
        <v>103</v>
      </c>
      <c r="C449" s="1" t="s">
        <v>104</v>
      </c>
      <c r="D449" s="1">
        <v>468.0</v>
      </c>
      <c r="E449" s="1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1">
        <v>1.0</v>
      </c>
      <c r="O449" s="1">
        <v>9.42555</v>
      </c>
    </row>
    <row r="450" ht="15.75" hidden="1" customHeight="1">
      <c r="A450" s="4">
        <v>45531.0</v>
      </c>
      <c r="B450" s="1" t="s">
        <v>88</v>
      </c>
      <c r="C450" s="1" t="s">
        <v>89</v>
      </c>
      <c r="D450" s="1">
        <v>658.0</v>
      </c>
      <c r="E450" s="1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1">
        <v>-10.0</v>
      </c>
      <c r="O450" s="1">
        <v>9.6285</v>
      </c>
    </row>
    <row r="451" ht="15.75" hidden="1" customHeight="1">
      <c r="A451" s="4">
        <v>45531.0</v>
      </c>
      <c r="B451" s="1" t="s">
        <v>88</v>
      </c>
      <c r="C451" s="1" t="s">
        <v>89</v>
      </c>
      <c r="D451" s="1">
        <v>428.0</v>
      </c>
      <c r="E451" s="1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1">
        <v>-6.0</v>
      </c>
      <c r="O451" s="1">
        <v>8.119583333333333</v>
      </c>
    </row>
    <row r="452" ht="15.75" hidden="1" customHeight="1">
      <c r="A452" s="4">
        <v>45531.0</v>
      </c>
      <c r="B452" s="1" t="s">
        <v>95</v>
      </c>
      <c r="C452" s="1" t="s">
        <v>104</v>
      </c>
      <c r="D452" s="1">
        <v>239.0</v>
      </c>
      <c r="E452" s="1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1">
        <v>-11.0</v>
      </c>
      <c r="O452" s="1">
        <v>8.149233333333333</v>
      </c>
    </row>
    <row r="453" ht="15.75" hidden="1" customHeight="1">
      <c r="A453" s="4">
        <v>45531.0</v>
      </c>
      <c r="B453" s="1" t="s">
        <v>95</v>
      </c>
      <c r="C453" s="1" t="s">
        <v>89</v>
      </c>
      <c r="D453" s="1">
        <v>767.0</v>
      </c>
      <c r="E453" s="1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1">
        <v>-13.0</v>
      </c>
      <c r="N453" s="1">
        <v>0.0101</v>
      </c>
      <c r="O453" s="1">
        <v>8.82895</v>
      </c>
    </row>
    <row r="454" ht="15.75" hidden="1" customHeight="1">
      <c r="A454" s="4">
        <v>45531.0</v>
      </c>
      <c r="B454" s="1" t="s">
        <v>107</v>
      </c>
      <c r="C454" s="1" t="s">
        <v>104</v>
      </c>
      <c r="D454" s="1">
        <v>321.0</v>
      </c>
      <c r="E454" s="1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1">
        <v>-4.0</v>
      </c>
      <c r="O454" s="1">
        <v>10.4875</v>
      </c>
    </row>
    <row r="455" ht="15.75" hidden="1" customHeight="1">
      <c r="A455" s="4">
        <v>45531.0</v>
      </c>
      <c r="B455" s="1" t="s">
        <v>95</v>
      </c>
      <c r="C455" s="1" t="s">
        <v>104</v>
      </c>
      <c r="D455" s="1">
        <v>190.0</v>
      </c>
      <c r="E455" s="1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1">
        <v>-31.0</v>
      </c>
      <c r="O455" s="1">
        <v>34.5078</v>
      </c>
    </row>
    <row r="456" ht="15.75" hidden="1" customHeight="1">
      <c r="A456" s="4">
        <v>45531.0</v>
      </c>
      <c r="B456" s="1" t="s">
        <v>95</v>
      </c>
      <c r="C456" s="1" t="s">
        <v>89</v>
      </c>
      <c r="D456" s="1">
        <v>732.0</v>
      </c>
      <c r="E456" s="1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1">
        <v>-7.0</v>
      </c>
      <c r="N456" s="1">
        <v>0.01255</v>
      </c>
      <c r="O456" s="1">
        <v>15.201816666666666</v>
      </c>
    </row>
    <row r="457" ht="15.75" hidden="1" customHeight="1">
      <c r="A457" s="4">
        <v>45531.0</v>
      </c>
      <c r="B457" s="1" t="s">
        <v>88</v>
      </c>
      <c r="C457" s="1" t="s">
        <v>89</v>
      </c>
      <c r="D457" s="1">
        <v>450.0</v>
      </c>
      <c r="E457" s="1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1">
        <v>3.0</v>
      </c>
      <c r="O457" s="1">
        <v>18.747583333333335</v>
      </c>
    </row>
    <row r="458" ht="15.75" hidden="1" customHeight="1">
      <c r="A458" s="4">
        <v>45531.0</v>
      </c>
      <c r="B458" s="1" t="s">
        <v>95</v>
      </c>
      <c r="C458" s="1" t="s">
        <v>104</v>
      </c>
      <c r="D458" s="1">
        <v>285.0</v>
      </c>
      <c r="E458" s="1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1">
        <v>-15.0</v>
      </c>
      <c r="O458" s="1">
        <v>16.598183333333335</v>
      </c>
    </row>
    <row r="459" ht="15.75" hidden="1" customHeight="1">
      <c r="A459" s="4">
        <v>45531.0</v>
      </c>
      <c r="B459" s="1" t="s">
        <v>103</v>
      </c>
      <c r="C459" s="1" t="s">
        <v>104</v>
      </c>
      <c r="D459" s="1">
        <v>281.0</v>
      </c>
      <c r="E459" s="1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1">
        <v>7.0</v>
      </c>
      <c r="O459" s="1">
        <v>14.936633333333333</v>
      </c>
    </row>
    <row r="460" ht="15.75" hidden="1" customHeight="1">
      <c r="A460" s="4">
        <v>45531.0</v>
      </c>
      <c r="B460" s="1" t="s">
        <v>95</v>
      </c>
      <c r="C460" s="1" t="s">
        <v>89</v>
      </c>
      <c r="D460" s="1">
        <v>365.0</v>
      </c>
      <c r="E460" s="1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1">
        <v>-8.0</v>
      </c>
      <c r="N460" s="1">
        <v>0.010366666666666666</v>
      </c>
      <c r="O460" s="1">
        <v>11.202233333333334</v>
      </c>
    </row>
    <row r="461" ht="15.75" hidden="1" customHeight="1">
      <c r="A461" s="4">
        <v>45531.0</v>
      </c>
      <c r="B461" s="1" t="s">
        <v>103</v>
      </c>
      <c r="C461" s="1" t="s">
        <v>104</v>
      </c>
      <c r="D461" s="1">
        <v>618.0</v>
      </c>
      <c r="E461" s="1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1">
        <v>4.0</v>
      </c>
      <c r="O461" s="1">
        <v>13.377416666666667</v>
      </c>
    </row>
    <row r="462" ht="15.75" hidden="1" customHeight="1">
      <c r="A462" s="4">
        <v>45531.0</v>
      </c>
      <c r="B462" s="1" t="s">
        <v>88</v>
      </c>
      <c r="C462" s="1" t="s">
        <v>89</v>
      </c>
      <c r="D462" s="1">
        <v>488.0</v>
      </c>
      <c r="E462" s="1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1">
        <v>-7.0</v>
      </c>
      <c r="O462" s="1">
        <v>7.936933333333333</v>
      </c>
    </row>
    <row r="463" ht="15.75" hidden="1" customHeight="1">
      <c r="A463" s="4">
        <v>45531.0</v>
      </c>
      <c r="B463" s="1" t="s">
        <v>103</v>
      </c>
      <c r="C463" s="1" t="s">
        <v>104</v>
      </c>
      <c r="D463" s="1">
        <v>378.0</v>
      </c>
      <c r="E463" s="1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1">
        <v>2.0</v>
      </c>
      <c r="O463" s="1">
        <v>10.09255</v>
      </c>
    </row>
    <row r="464" ht="15.75" hidden="1" customHeight="1">
      <c r="A464" s="4">
        <v>45531.0</v>
      </c>
      <c r="B464" s="1" t="s">
        <v>95</v>
      </c>
      <c r="C464" s="1" t="s">
        <v>104</v>
      </c>
      <c r="D464" s="1">
        <v>199.0</v>
      </c>
      <c r="E464" s="1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1">
        <v>-6.0</v>
      </c>
      <c r="O464" s="1">
        <v>12.878183333333334</v>
      </c>
    </row>
    <row r="465" ht="15.75" hidden="1" customHeight="1">
      <c r="A465" s="4">
        <v>45531.0</v>
      </c>
      <c r="B465" s="1" t="s">
        <v>103</v>
      </c>
      <c r="C465" s="1" t="s">
        <v>104</v>
      </c>
      <c r="D465" s="1">
        <v>251.0</v>
      </c>
      <c r="E465" s="1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1">
        <v>4.0</v>
      </c>
      <c r="O465" s="1">
        <v>11.27435</v>
      </c>
    </row>
    <row r="466" ht="15.75" hidden="1" customHeight="1">
      <c r="A466" s="4">
        <v>45531.0</v>
      </c>
      <c r="B466" s="1" t="s">
        <v>103</v>
      </c>
      <c r="C466" s="1" t="s">
        <v>104</v>
      </c>
      <c r="D466" s="1">
        <v>1365.0</v>
      </c>
      <c r="E466" s="1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1">
        <v>-3.0</v>
      </c>
      <c r="O466" s="1">
        <v>9.816933333333333</v>
      </c>
    </row>
    <row r="467" ht="15.75" hidden="1" customHeight="1">
      <c r="A467" s="4">
        <v>45531.0</v>
      </c>
      <c r="B467" s="1" t="s">
        <v>103</v>
      </c>
      <c r="C467" s="1" t="s">
        <v>104</v>
      </c>
      <c r="D467" s="1">
        <v>558.0</v>
      </c>
      <c r="E467" s="1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1">
        <v>2.0</v>
      </c>
      <c r="O467" s="1">
        <v>10.669033333333333</v>
      </c>
    </row>
    <row r="468" ht="15.75" hidden="1" customHeight="1">
      <c r="A468" s="4">
        <v>45531.0</v>
      </c>
      <c r="B468" s="1" t="s">
        <v>103</v>
      </c>
      <c r="C468" s="1" t="s">
        <v>104</v>
      </c>
      <c r="D468" s="1">
        <v>264.0</v>
      </c>
      <c r="E468" s="1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1">
        <v>0.0</v>
      </c>
      <c r="O468" s="1">
        <v>5.933</v>
      </c>
    </row>
    <row r="469" ht="15.75" hidden="1" customHeight="1">
      <c r="A469" s="4">
        <v>45531.0</v>
      </c>
      <c r="B469" s="1" t="s">
        <v>103</v>
      </c>
      <c r="C469" s="1" t="s">
        <v>104</v>
      </c>
      <c r="D469" s="1">
        <v>771.0</v>
      </c>
      <c r="E469" s="1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1">
        <v>2.0</v>
      </c>
      <c r="O469" s="1">
        <v>11.289716666666667</v>
      </c>
    </row>
    <row r="470" ht="15.75" hidden="1" customHeight="1">
      <c r="A470" s="4">
        <v>45531.0</v>
      </c>
      <c r="B470" s="1" t="s">
        <v>103</v>
      </c>
      <c r="C470" s="1" t="s">
        <v>104</v>
      </c>
      <c r="D470" s="1">
        <v>258.0</v>
      </c>
      <c r="E470" s="1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1">
        <v>2.0</v>
      </c>
      <c r="O470" s="1">
        <v>8.24445</v>
      </c>
    </row>
    <row r="471" ht="15.75" hidden="1" customHeight="1">
      <c r="A471" s="4">
        <v>45531.0</v>
      </c>
      <c r="B471" s="1" t="s">
        <v>95</v>
      </c>
      <c r="C471" s="1" t="s">
        <v>89</v>
      </c>
      <c r="D471" s="1">
        <v>374.0</v>
      </c>
      <c r="E471" s="1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1">
        <v>-11.0</v>
      </c>
      <c r="N471" s="1">
        <v>0.009433333333333334</v>
      </c>
      <c r="O471" s="1">
        <v>11.553866666666666</v>
      </c>
    </row>
    <row r="472" ht="15.75" hidden="1" customHeight="1">
      <c r="A472" s="4">
        <v>45531.0</v>
      </c>
      <c r="B472" s="1" t="s">
        <v>103</v>
      </c>
      <c r="C472" s="1" t="s">
        <v>104</v>
      </c>
      <c r="D472" s="1">
        <v>394.0</v>
      </c>
      <c r="E472" s="1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1">
        <v>5.0</v>
      </c>
      <c r="O472" s="1">
        <v>12.676116666666667</v>
      </c>
    </row>
    <row r="473" ht="15.75" hidden="1" customHeight="1">
      <c r="A473" s="4">
        <v>45531.0</v>
      </c>
      <c r="B473" s="1" t="s">
        <v>95</v>
      </c>
      <c r="C473" s="1" t="s">
        <v>104</v>
      </c>
      <c r="D473" s="1">
        <v>466.0</v>
      </c>
      <c r="E473" s="1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1">
        <v>-3.0</v>
      </c>
      <c r="O473" s="1">
        <v>15.464</v>
      </c>
    </row>
    <row r="474" ht="15.75" hidden="1" customHeight="1">
      <c r="A474" s="4">
        <v>45531.0</v>
      </c>
      <c r="B474" s="1" t="s">
        <v>88</v>
      </c>
      <c r="C474" s="1" t="s">
        <v>89</v>
      </c>
      <c r="D474" s="1">
        <v>329.0</v>
      </c>
      <c r="E474" s="1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1">
        <v>-7.0</v>
      </c>
      <c r="O474" s="1">
        <v>7.5903833333333335</v>
      </c>
    </row>
    <row r="475" ht="15.75" hidden="1" customHeight="1">
      <c r="A475" s="4">
        <v>45531.0</v>
      </c>
      <c r="B475" s="1" t="s">
        <v>95</v>
      </c>
      <c r="C475" s="1" t="s">
        <v>104</v>
      </c>
      <c r="D475" s="1">
        <v>733.0</v>
      </c>
      <c r="E475" s="1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1">
        <v>-8.0</v>
      </c>
      <c r="O475" s="1">
        <v>15.0712</v>
      </c>
    </row>
    <row r="476" ht="15.75" hidden="1" customHeight="1">
      <c r="A476" s="4">
        <v>45531.0</v>
      </c>
      <c r="B476" s="1" t="s">
        <v>103</v>
      </c>
      <c r="C476" s="1" t="s">
        <v>104</v>
      </c>
      <c r="D476" s="1">
        <v>264.0</v>
      </c>
      <c r="E476" s="1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1">
        <v>3.0</v>
      </c>
      <c r="O476" s="1">
        <v>10.550766666666666</v>
      </c>
    </row>
    <row r="477" ht="15.75" hidden="1" customHeight="1">
      <c r="A477" s="4">
        <v>45531.0</v>
      </c>
      <c r="B477" s="1" t="s">
        <v>103</v>
      </c>
      <c r="C477" s="1" t="s">
        <v>104</v>
      </c>
      <c r="D477" s="1">
        <v>658.0</v>
      </c>
      <c r="E477" s="1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1">
        <v>2.0</v>
      </c>
      <c r="O477" s="1">
        <v>11.474283333333334</v>
      </c>
    </row>
    <row r="478" ht="15.75" hidden="1" customHeight="1">
      <c r="A478" s="4">
        <v>45531.0</v>
      </c>
      <c r="B478" s="1" t="s">
        <v>103</v>
      </c>
      <c r="C478" s="1" t="s">
        <v>104</v>
      </c>
      <c r="D478" s="1">
        <v>405.0</v>
      </c>
      <c r="E478" s="1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1">
        <v>5.0</v>
      </c>
      <c r="O478" s="1">
        <v>12.342916666666667</v>
      </c>
    </row>
    <row r="479" ht="15.75" hidden="1" customHeight="1">
      <c r="A479" s="4">
        <v>45531.0</v>
      </c>
      <c r="B479" s="1" t="s">
        <v>228</v>
      </c>
      <c r="C479" s="1" t="s">
        <v>104</v>
      </c>
      <c r="D479" s="1">
        <v>368.0</v>
      </c>
      <c r="E479" s="1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1">
        <v>12.0</v>
      </c>
      <c r="O479" s="1">
        <v>17.619583333333335</v>
      </c>
    </row>
    <row r="480" ht="15.75" hidden="1" customHeight="1">
      <c r="A480" s="4">
        <v>45531.0</v>
      </c>
      <c r="B480" s="1" t="s">
        <v>88</v>
      </c>
      <c r="C480" s="1" t="s">
        <v>89</v>
      </c>
      <c r="D480" s="1">
        <v>324.0</v>
      </c>
      <c r="E480" s="1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1">
        <v>3.0</v>
      </c>
      <c r="O480" s="1">
        <v>18.138933333333334</v>
      </c>
    </row>
    <row r="481" ht="15.75" hidden="1" customHeight="1">
      <c r="A481" s="4">
        <v>45531.0</v>
      </c>
      <c r="B481" s="1" t="s">
        <v>107</v>
      </c>
      <c r="C481" s="1" t="s">
        <v>104</v>
      </c>
      <c r="D481" s="1">
        <v>264.0</v>
      </c>
      <c r="E481" s="1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1">
        <v>2.0</v>
      </c>
      <c r="O481" s="1">
        <v>17.70645</v>
      </c>
    </row>
    <row r="482" ht="15.75" hidden="1" customHeight="1">
      <c r="A482" s="4">
        <v>45531.0</v>
      </c>
      <c r="B482" s="1" t="s">
        <v>88</v>
      </c>
      <c r="C482" s="1" t="s">
        <v>89</v>
      </c>
      <c r="D482" s="1">
        <v>433.0</v>
      </c>
      <c r="E482" s="1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1">
        <v>5.0</v>
      </c>
      <c r="O482" s="1">
        <v>20.368916666666667</v>
      </c>
    </row>
    <row r="483" ht="15.75" hidden="1" customHeight="1">
      <c r="A483" s="4">
        <v>45531.0</v>
      </c>
      <c r="B483" s="1" t="s">
        <v>88</v>
      </c>
      <c r="C483" s="1" t="s">
        <v>89</v>
      </c>
      <c r="D483" s="1">
        <v>264.0</v>
      </c>
      <c r="E483" s="1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1">
        <v>1.0</v>
      </c>
      <c r="O483" s="1">
        <v>22.675466666666665</v>
      </c>
    </row>
    <row r="484" ht="15.75" hidden="1" customHeight="1">
      <c r="A484" s="4">
        <v>45531.0</v>
      </c>
      <c r="B484" s="1" t="s">
        <v>103</v>
      </c>
      <c r="C484" s="1" t="s">
        <v>104</v>
      </c>
      <c r="D484" s="1">
        <v>642.0</v>
      </c>
      <c r="E484" s="1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1">
        <v>6.0</v>
      </c>
      <c r="O484" s="1">
        <v>15.440933333333334</v>
      </c>
    </row>
    <row r="485" ht="15.75" hidden="1" customHeight="1">
      <c r="A485" s="4">
        <v>45531.0</v>
      </c>
      <c r="B485" s="1" t="s">
        <v>103</v>
      </c>
      <c r="C485" s="1" t="s">
        <v>104</v>
      </c>
      <c r="D485" s="1">
        <v>1320.0</v>
      </c>
      <c r="E485" s="1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1">
        <v>0.0</v>
      </c>
      <c r="O485" s="1">
        <v>12.82865</v>
      </c>
    </row>
    <row r="486" ht="15.75" hidden="1" customHeight="1">
      <c r="A486" s="4">
        <v>45531.0</v>
      </c>
      <c r="B486" s="1" t="s">
        <v>88</v>
      </c>
      <c r="C486" s="1" t="s">
        <v>89</v>
      </c>
      <c r="D486" s="1">
        <v>658.0</v>
      </c>
      <c r="E486" s="1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1">
        <v>1.0</v>
      </c>
      <c r="O486" s="1">
        <v>21.857966666666666</v>
      </c>
    </row>
    <row r="487" ht="15.75" hidden="1" customHeight="1">
      <c r="A487" s="4">
        <v>45531.0</v>
      </c>
      <c r="B487" s="1" t="s">
        <v>88</v>
      </c>
      <c r="C487" s="1" t="s">
        <v>89</v>
      </c>
      <c r="D487" s="1">
        <v>338.0</v>
      </c>
      <c r="E487" s="1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1">
        <v>-9.0</v>
      </c>
      <c r="O487" s="1">
        <v>5.5033</v>
      </c>
    </row>
    <row r="488" ht="15.75" hidden="1" customHeight="1">
      <c r="A488" s="4">
        <v>45531.0</v>
      </c>
      <c r="B488" s="1" t="s">
        <v>95</v>
      </c>
      <c r="C488" s="1" t="s">
        <v>104</v>
      </c>
      <c r="D488" s="1">
        <v>219.0</v>
      </c>
      <c r="E488" s="1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1">
        <v>-6.0</v>
      </c>
      <c r="O488" s="1">
        <v>12.267583333333333</v>
      </c>
    </row>
    <row r="489" ht="15.75" hidden="1" customHeight="1">
      <c r="A489" s="4">
        <v>45531.0</v>
      </c>
      <c r="B489" s="1" t="s">
        <v>103</v>
      </c>
      <c r="C489" s="1" t="s">
        <v>104</v>
      </c>
      <c r="D489" s="1">
        <v>803.0</v>
      </c>
      <c r="E489" s="1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1">
        <v>4.0</v>
      </c>
      <c r="O489" s="1">
        <v>14.100116666666667</v>
      </c>
    </row>
    <row r="490" ht="15.75" hidden="1" customHeight="1">
      <c r="A490" s="4">
        <v>45531.0</v>
      </c>
      <c r="B490" s="1" t="s">
        <v>95</v>
      </c>
      <c r="C490" s="1" t="s">
        <v>104</v>
      </c>
      <c r="D490" s="1">
        <v>238.0</v>
      </c>
      <c r="E490" s="1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1">
        <v>-8.0</v>
      </c>
      <c r="O490" s="1">
        <v>32.6817</v>
      </c>
    </row>
    <row r="491" ht="15.75" hidden="1" customHeight="1">
      <c r="A491" s="4">
        <v>45531.0</v>
      </c>
      <c r="B491" s="1" t="s">
        <v>103</v>
      </c>
      <c r="C491" s="1" t="s">
        <v>104</v>
      </c>
      <c r="D491" s="1">
        <v>633.0</v>
      </c>
      <c r="E491" s="1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1">
        <v>1.0</v>
      </c>
      <c r="O491" s="1">
        <v>9.989016666666666</v>
      </c>
    </row>
    <row r="492" ht="15.75" hidden="1" customHeight="1">
      <c r="A492" s="4">
        <v>45531.0</v>
      </c>
      <c r="B492" s="1" t="s">
        <v>103</v>
      </c>
      <c r="C492" s="1" t="s">
        <v>104</v>
      </c>
      <c r="D492" s="1">
        <v>669.0</v>
      </c>
      <c r="E492" s="1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1">
        <v>4.0</v>
      </c>
      <c r="O492" s="1">
        <v>13.851966666666666</v>
      </c>
    </row>
    <row r="493" ht="15.75" hidden="1" customHeight="1">
      <c r="A493" s="4">
        <v>45532.0</v>
      </c>
      <c r="B493" s="1" t="s">
        <v>95</v>
      </c>
      <c r="C493" s="1" t="s">
        <v>104</v>
      </c>
      <c r="D493" s="1">
        <v>219.0</v>
      </c>
      <c r="E493" s="1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1">
        <v>13.0</v>
      </c>
      <c r="O493" s="1">
        <v>32.6449</v>
      </c>
    </row>
    <row r="494" ht="15.75" hidden="1" customHeight="1">
      <c r="A494" s="4">
        <v>45532.0</v>
      </c>
      <c r="B494" s="1" t="s">
        <v>103</v>
      </c>
      <c r="C494" s="1" t="s">
        <v>104</v>
      </c>
      <c r="D494" s="1">
        <v>450.0</v>
      </c>
      <c r="E494" s="1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1">
        <v>0.0</v>
      </c>
      <c r="O494" s="1">
        <v>7.5291</v>
      </c>
    </row>
    <row r="495" ht="15.75" hidden="1" customHeight="1">
      <c r="A495" s="4">
        <v>45532.0</v>
      </c>
      <c r="B495" s="1" t="s">
        <v>88</v>
      </c>
      <c r="C495" s="1" t="s">
        <v>89</v>
      </c>
      <c r="D495" s="1">
        <v>593.0</v>
      </c>
      <c r="E495" s="1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1">
        <v>2.0</v>
      </c>
      <c r="O495" s="1">
        <v>22.298666666666666</v>
      </c>
    </row>
    <row r="496" ht="15.75" hidden="1" customHeight="1">
      <c r="A496" s="4">
        <v>45532.0</v>
      </c>
      <c r="B496" s="1" t="s">
        <v>103</v>
      </c>
      <c r="C496" s="1" t="s">
        <v>104</v>
      </c>
      <c r="D496" s="1">
        <v>458.0</v>
      </c>
      <c r="E496" s="1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1">
        <v>4.0</v>
      </c>
      <c r="O496" s="1">
        <v>12.878616666666666</v>
      </c>
    </row>
    <row r="497" ht="15.75" hidden="1" customHeight="1">
      <c r="A497" s="4">
        <v>45532.0</v>
      </c>
      <c r="B497" s="1" t="s">
        <v>88</v>
      </c>
      <c r="C497" s="1" t="s">
        <v>89</v>
      </c>
      <c r="D497" s="1">
        <v>528.0</v>
      </c>
      <c r="E497" s="1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1">
        <v>-9.0</v>
      </c>
      <c r="O497" s="1">
        <v>10.368266666666667</v>
      </c>
    </row>
    <row r="498" ht="15.75" hidden="1" customHeight="1">
      <c r="A498" s="4">
        <v>45532.0</v>
      </c>
      <c r="B498" s="1" t="s">
        <v>228</v>
      </c>
      <c r="C498" s="1" t="s">
        <v>104</v>
      </c>
      <c r="D498" s="1">
        <v>49.0</v>
      </c>
      <c r="E498" s="1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1">
        <v>0.0</v>
      </c>
      <c r="O498" s="1">
        <v>4.5013</v>
      </c>
    </row>
    <row r="499" ht="15.75" hidden="1" customHeight="1">
      <c r="A499" s="4">
        <v>45532.0</v>
      </c>
      <c r="B499" s="1" t="s">
        <v>88</v>
      </c>
      <c r="C499" s="1" t="s">
        <v>89</v>
      </c>
      <c r="D499" s="1">
        <v>258.0</v>
      </c>
      <c r="E499" s="1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1">
        <v>-13.0</v>
      </c>
      <c r="O499" s="1">
        <v>1.0134666666666667</v>
      </c>
    </row>
    <row r="500" ht="15.75" hidden="1" customHeight="1">
      <c r="A500" s="4">
        <v>45532.0</v>
      </c>
      <c r="B500" s="1" t="s">
        <v>88</v>
      </c>
      <c r="C500" s="1" t="s">
        <v>89</v>
      </c>
      <c r="D500" s="1">
        <v>264.0</v>
      </c>
      <c r="E500" s="1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1">
        <v>-7.0</v>
      </c>
      <c r="O500" s="1">
        <v>7.387583333333334</v>
      </c>
    </row>
    <row r="501" ht="15.75" hidden="1" customHeight="1">
      <c r="A501" s="4">
        <v>45532.0</v>
      </c>
      <c r="B501" s="1" t="s">
        <v>107</v>
      </c>
      <c r="C501" s="1" t="s">
        <v>104</v>
      </c>
      <c r="D501" s="1">
        <v>329.0</v>
      </c>
      <c r="E501" s="1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1">
        <v>-7.0</v>
      </c>
      <c r="O501" s="1">
        <v>7.9579</v>
      </c>
    </row>
    <row r="502" ht="15.75" hidden="1" customHeight="1">
      <c r="A502" s="4">
        <v>45532.0</v>
      </c>
      <c r="B502" s="1" t="s">
        <v>103</v>
      </c>
      <c r="C502" s="1" t="s">
        <v>104</v>
      </c>
      <c r="D502" s="1">
        <v>321.0</v>
      </c>
      <c r="E502" s="1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1">
        <v>4.0</v>
      </c>
      <c r="O502" s="1">
        <v>11.045566666666666</v>
      </c>
    </row>
    <row r="503" ht="15.75" hidden="1" customHeight="1">
      <c r="A503" s="4">
        <v>45532.0</v>
      </c>
      <c r="B503" s="1" t="s">
        <v>95</v>
      </c>
      <c r="C503" s="1" t="s">
        <v>104</v>
      </c>
      <c r="D503" s="1">
        <v>167.0</v>
      </c>
      <c r="E503" s="1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1">
        <v>-22.0</v>
      </c>
      <c r="O503" s="1">
        <v>24.156</v>
      </c>
    </row>
    <row r="504" ht="15.75" hidden="1" customHeight="1">
      <c r="A504" s="4">
        <v>45532.0</v>
      </c>
      <c r="B504" s="1" t="s">
        <v>103</v>
      </c>
      <c r="C504" s="1" t="s">
        <v>104</v>
      </c>
      <c r="D504" s="1">
        <v>319.0</v>
      </c>
      <c r="E504" s="1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1">
        <v>0.0</v>
      </c>
      <c r="O504" s="1">
        <v>7.17855</v>
      </c>
    </row>
    <row r="505" ht="15.75" hidden="1" customHeight="1">
      <c r="A505" s="4">
        <v>45532.0</v>
      </c>
      <c r="B505" s="1" t="s">
        <v>88</v>
      </c>
      <c r="C505" s="1" t="s">
        <v>89</v>
      </c>
      <c r="D505" s="1">
        <v>321.0</v>
      </c>
      <c r="E505" s="1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1">
        <v>-5.0</v>
      </c>
      <c r="O505" s="1">
        <v>9.580633333333333</v>
      </c>
    </row>
    <row r="506" ht="15.75" hidden="1" customHeight="1">
      <c r="A506" s="4">
        <v>45532.0</v>
      </c>
      <c r="B506" s="1" t="s">
        <v>95</v>
      </c>
      <c r="C506" s="1" t="s">
        <v>89</v>
      </c>
      <c r="D506" s="1">
        <v>537.0</v>
      </c>
      <c r="E506" s="1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1">
        <v>2.0</v>
      </c>
      <c r="N506" s="1">
        <v>0.009283333333333333</v>
      </c>
      <c r="O506" s="1">
        <v>15.068933333333334</v>
      </c>
    </row>
    <row r="507" ht="15.75" hidden="1" customHeight="1">
      <c r="A507" s="4">
        <v>45532.0</v>
      </c>
      <c r="B507" s="1" t="s">
        <v>103</v>
      </c>
      <c r="C507" s="1" t="s">
        <v>104</v>
      </c>
      <c r="D507" s="1">
        <v>324.0</v>
      </c>
      <c r="E507" s="1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1">
        <v>1.0</v>
      </c>
      <c r="O507" s="1">
        <v>8.28235</v>
      </c>
    </row>
    <row r="508" ht="15.75" hidden="1" customHeight="1">
      <c r="A508" s="4">
        <v>45532.0</v>
      </c>
      <c r="B508" s="1" t="s">
        <v>95</v>
      </c>
      <c r="C508" s="1" t="s">
        <v>104</v>
      </c>
      <c r="D508" s="1">
        <v>546.0</v>
      </c>
      <c r="E508" s="1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1">
        <v>-11.0</v>
      </c>
      <c r="O508" s="1">
        <v>12.371366666666667</v>
      </c>
    </row>
    <row r="509" ht="15.75" hidden="1" customHeight="1">
      <c r="A509" s="4">
        <v>45532.0</v>
      </c>
      <c r="B509" s="1" t="s">
        <v>88</v>
      </c>
      <c r="C509" s="1" t="s">
        <v>89</v>
      </c>
      <c r="D509" s="1">
        <v>321.0</v>
      </c>
      <c r="E509" s="1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1">
        <v>-8.0</v>
      </c>
      <c r="O509" s="1">
        <v>6.5447</v>
      </c>
    </row>
    <row r="510" ht="15.75" hidden="1" customHeight="1">
      <c r="A510" s="4">
        <v>45532.0</v>
      </c>
      <c r="B510" s="1" t="s">
        <v>95</v>
      </c>
      <c r="C510" s="1" t="s">
        <v>89</v>
      </c>
      <c r="D510" s="1">
        <v>269.0</v>
      </c>
      <c r="E510" s="1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1">
        <v>-20.0</v>
      </c>
      <c r="N510" s="1">
        <v>0.009133333333333334</v>
      </c>
      <c r="O510" s="1">
        <v>5.74055</v>
      </c>
    </row>
    <row r="511" ht="15.75" hidden="1" customHeight="1">
      <c r="A511" s="4">
        <v>45532.0</v>
      </c>
      <c r="B511" s="1" t="s">
        <v>103</v>
      </c>
      <c r="C511" s="1" t="s">
        <v>104</v>
      </c>
      <c r="D511" s="1">
        <v>378.0</v>
      </c>
      <c r="E511" s="1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1">
        <v>2.0</v>
      </c>
      <c r="O511" s="1">
        <v>10.158366666666666</v>
      </c>
    </row>
    <row r="512" ht="15.75" hidden="1" customHeight="1">
      <c r="A512" s="4">
        <v>45532.0</v>
      </c>
      <c r="B512" s="1" t="s">
        <v>95</v>
      </c>
      <c r="C512" s="1" t="s">
        <v>104</v>
      </c>
      <c r="D512" s="1">
        <v>167.0</v>
      </c>
      <c r="E512" s="1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1">
        <v>-7.0</v>
      </c>
      <c r="O512" s="1">
        <v>12.300283333333333</v>
      </c>
    </row>
    <row r="513" ht="15.75" hidden="1" customHeight="1">
      <c r="A513" s="4">
        <v>45532.0</v>
      </c>
      <c r="B513" s="1" t="s">
        <v>95</v>
      </c>
      <c r="C513" s="1" t="s">
        <v>89</v>
      </c>
      <c r="D513" s="1">
        <v>309.0</v>
      </c>
      <c r="E513" s="1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1">
        <v>-6.0</v>
      </c>
      <c r="N513" s="1">
        <v>0.01235</v>
      </c>
      <c r="O513" s="1">
        <v>7.2319</v>
      </c>
    </row>
    <row r="514" ht="15.75" hidden="1" customHeight="1">
      <c r="A514" s="4">
        <v>45532.0</v>
      </c>
      <c r="B514" s="1" t="s">
        <v>88</v>
      </c>
      <c r="C514" s="1" t="s">
        <v>89</v>
      </c>
      <c r="D514" s="1">
        <v>313.0</v>
      </c>
      <c r="E514" s="1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1">
        <v>-3.0</v>
      </c>
      <c r="O514" s="1">
        <v>11.92215</v>
      </c>
    </row>
    <row r="515" ht="15.75" hidden="1" customHeight="1">
      <c r="A515" s="4">
        <v>45532.0</v>
      </c>
      <c r="B515" s="1" t="s">
        <v>95</v>
      </c>
      <c r="C515" s="1" t="s">
        <v>89</v>
      </c>
      <c r="D515" s="1">
        <v>481.0</v>
      </c>
      <c r="E515" s="1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1">
        <v>0.0</v>
      </c>
      <c r="N515" s="1">
        <v>0.016533333333333334</v>
      </c>
      <c r="O515" s="1">
        <v>12.51445</v>
      </c>
    </row>
    <row r="516" ht="15.75" hidden="1" customHeight="1">
      <c r="A516" s="4">
        <v>45532.0</v>
      </c>
      <c r="B516" s="1" t="s">
        <v>95</v>
      </c>
      <c r="C516" s="1" t="s">
        <v>89</v>
      </c>
      <c r="D516" s="1">
        <v>368.0</v>
      </c>
      <c r="E516" s="1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1">
        <v>-9.0</v>
      </c>
      <c r="N516" s="1">
        <v>2.4170166666666666</v>
      </c>
      <c r="O516" s="1">
        <v>8.053183333333333</v>
      </c>
    </row>
    <row r="517" ht="15.75" hidden="1" customHeight="1">
      <c r="A517" s="4">
        <v>45532.0</v>
      </c>
      <c r="B517" s="1" t="s">
        <v>103</v>
      </c>
      <c r="C517" s="1" t="s">
        <v>104</v>
      </c>
      <c r="D517" s="1">
        <v>429.0</v>
      </c>
      <c r="E517" s="1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1">
        <v>3.0</v>
      </c>
      <c r="O517" s="1">
        <v>11.526866666666667</v>
      </c>
    </row>
    <row r="518" ht="15.75" hidden="1" customHeight="1">
      <c r="A518" s="4">
        <v>45532.0</v>
      </c>
      <c r="B518" s="1" t="s">
        <v>107</v>
      </c>
      <c r="C518" s="1" t="s">
        <v>104</v>
      </c>
      <c r="D518" s="1">
        <v>364.0</v>
      </c>
      <c r="E518" s="1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1">
        <v>-6.0</v>
      </c>
      <c r="O518" s="1">
        <v>8.672866666666666</v>
      </c>
    </row>
    <row r="519" ht="15.75" hidden="1" customHeight="1">
      <c r="A519" s="4">
        <v>45532.0</v>
      </c>
      <c r="B519" s="1" t="s">
        <v>88</v>
      </c>
      <c r="C519" s="1" t="s">
        <v>89</v>
      </c>
      <c r="D519" s="1">
        <v>264.0</v>
      </c>
      <c r="E519" s="1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1">
        <v>-8.0</v>
      </c>
      <c r="O519" s="1">
        <v>6.247733333333334</v>
      </c>
    </row>
    <row r="520" ht="15.75" hidden="1" customHeight="1">
      <c r="A520" s="4">
        <v>45532.0</v>
      </c>
      <c r="B520" s="1" t="s">
        <v>88</v>
      </c>
      <c r="C520" s="1" t="s">
        <v>89</v>
      </c>
      <c r="D520" s="1">
        <v>303.0</v>
      </c>
      <c r="E520" s="1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1">
        <v>-6.0</v>
      </c>
      <c r="O520" s="1">
        <v>8.4795</v>
      </c>
    </row>
    <row r="521" ht="15.75" hidden="1" customHeight="1">
      <c r="A521" s="4">
        <v>45532.0</v>
      </c>
      <c r="B521" s="1" t="s">
        <v>95</v>
      </c>
      <c r="C521" s="1" t="s">
        <v>89</v>
      </c>
      <c r="D521" s="1">
        <v>558.0</v>
      </c>
      <c r="E521" s="1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1">
        <v>0.0</v>
      </c>
      <c r="N521" s="1">
        <v>3.6433166666666668</v>
      </c>
      <c r="O521" s="1">
        <v>11.276783333333332</v>
      </c>
    </row>
    <row r="522" ht="15.75" hidden="1" customHeight="1">
      <c r="A522" s="4">
        <v>45532.0</v>
      </c>
      <c r="B522" s="1" t="s">
        <v>107</v>
      </c>
      <c r="C522" s="1" t="s">
        <v>104</v>
      </c>
      <c r="D522" s="1">
        <v>800.0</v>
      </c>
      <c r="E522" s="1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1">
        <v>-10.0</v>
      </c>
      <c r="O522" s="1">
        <v>9.3686</v>
      </c>
    </row>
    <row r="523" ht="15.75" hidden="1" customHeight="1">
      <c r="A523" s="4">
        <v>45532.0</v>
      </c>
      <c r="B523" s="1" t="s">
        <v>88</v>
      </c>
      <c r="C523" s="1" t="s">
        <v>89</v>
      </c>
      <c r="D523" s="1">
        <v>413.0</v>
      </c>
      <c r="E523" s="1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1">
        <v>-6.0</v>
      </c>
      <c r="O523" s="1">
        <v>8.946333333333333</v>
      </c>
    </row>
    <row r="524" ht="15.75" hidden="1" customHeight="1">
      <c r="A524" s="4">
        <v>45532.0</v>
      </c>
      <c r="B524" s="1" t="s">
        <v>95</v>
      </c>
      <c r="C524" s="1" t="s">
        <v>89</v>
      </c>
      <c r="D524" s="1">
        <v>643.0</v>
      </c>
      <c r="E524" s="1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1">
        <v>-5.0</v>
      </c>
      <c r="N524" s="1">
        <v>1.2585166666666667</v>
      </c>
      <c r="O524" s="1">
        <v>7.4519166666666665</v>
      </c>
    </row>
    <row r="525" ht="15.75" hidden="1" customHeight="1">
      <c r="A525" s="4">
        <v>45532.0</v>
      </c>
      <c r="B525" s="1" t="s">
        <v>107</v>
      </c>
      <c r="C525" s="1" t="s">
        <v>104</v>
      </c>
      <c r="D525" s="1">
        <v>585.0</v>
      </c>
      <c r="E525" s="1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1">
        <v>-7.0</v>
      </c>
      <c r="O525" s="1">
        <v>12.031483333333334</v>
      </c>
    </row>
    <row r="526" ht="15.75" hidden="1" customHeight="1">
      <c r="A526" s="4">
        <v>45532.0</v>
      </c>
      <c r="B526" s="1" t="s">
        <v>107</v>
      </c>
      <c r="C526" s="1" t="s">
        <v>104</v>
      </c>
      <c r="D526" s="1">
        <v>129.0</v>
      </c>
      <c r="E526" s="1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1">
        <v>-5.0</v>
      </c>
      <c r="O526" s="1">
        <v>9.532116666666667</v>
      </c>
    </row>
    <row r="527" ht="15.75" hidden="1" customHeight="1">
      <c r="A527" s="4">
        <v>45532.0</v>
      </c>
      <c r="B527" s="1" t="s">
        <v>103</v>
      </c>
      <c r="C527" s="1" t="s">
        <v>104</v>
      </c>
      <c r="D527" s="1">
        <v>264.0</v>
      </c>
      <c r="E527" s="1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1">
        <v>0.0</v>
      </c>
      <c r="O527" s="1">
        <v>6.8871166666666666</v>
      </c>
    </row>
    <row r="528" ht="15.75" hidden="1" customHeight="1">
      <c r="A528" s="4">
        <v>45532.0</v>
      </c>
      <c r="B528" s="1" t="s">
        <v>103</v>
      </c>
      <c r="C528" s="1" t="s">
        <v>104</v>
      </c>
      <c r="D528" s="1">
        <v>548.0</v>
      </c>
      <c r="E528" s="1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1">
        <v>0.0</v>
      </c>
      <c r="O528" s="1">
        <v>9.1946</v>
      </c>
    </row>
    <row r="529" ht="15.75" hidden="1" customHeight="1">
      <c r="A529" s="4">
        <v>45532.0</v>
      </c>
      <c r="B529" s="1" t="s">
        <v>103</v>
      </c>
      <c r="C529" s="1" t="s">
        <v>104</v>
      </c>
      <c r="D529" s="1">
        <v>319.0</v>
      </c>
      <c r="E529" s="1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1">
        <v>0.0</v>
      </c>
      <c r="O529" s="1">
        <v>7.0954</v>
      </c>
    </row>
    <row r="530" ht="15.75" hidden="1" customHeight="1">
      <c r="A530" s="4">
        <v>45532.0</v>
      </c>
      <c r="B530" s="1" t="s">
        <v>95</v>
      </c>
      <c r="C530" s="1" t="s">
        <v>104</v>
      </c>
      <c r="D530" s="1">
        <v>267.0</v>
      </c>
      <c r="E530" s="1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1">
        <v>-2.0</v>
      </c>
      <c r="O530" s="1">
        <v>15.94915</v>
      </c>
    </row>
    <row r="531" ht="15.75" hidden="1" customHeight="1">
      <c r="A531" s="4">
        <v>45532.0</v>
      </c>
      <c r="B531" s="1" t="s">
        <v>228</v>
      </c>
      <c r="C531" s="1" t="s">
        <v>104</v>
      </c>
      <c r="D531" s="1">
        <v>249.0</v>
      </c>
      <c r="E531" s="1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1">
        <v>3.0</v>
      </c>
      <c r="O531" s="1">
        <v>8.06925</v>
      </c>
    </row>
    <row r="532" ht="15.75" hidden="1" customHeight="1">
      <c r="A532" s="4">
        <v>45532.0</v>
      </c>
      <c r="B532" s="1" t="s">
        <v>95</v>
      </c>
      <c r="C532" s="1" t="s">
        <v>89</v>
      </c>
      <c r="D532" s="1">
        <v>568.0</v>
      </c>
      <c r="E532" s="1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1">
        <v>-13.0</v>
      </c>
      <c r="N532" s="1">
        <v>0.19411666666666666</v>
      </c>
      <c r="O532" s="1">
        <v>6.9428833333333335</v>
      </c>
    </row>
    <row r="533" ht="15.75" hidden="1" customHeight="1">
      <c r="A533" s="4">
        <v>45532.0</v>
      </c>
      <c r="B533" s="1" t="s">
        <v>95</v>
      </c>
      <c r="C533" s="1" t="s">
        <v>89</v>
      </c>
      <c r="D533" s="1">
        <v>250.0</v>
      </c>
      <c r="E533" s="1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1">
        <v>-6.0</v>
      </c>
      <c r="N533" s="1">
        <v>0.007883333333333332</v>
      </c>
      <c r="O533" s="1">
        <v>8.174383333333333</v>
      </c>
    </row>
    <row r="534" ht="15.75" hidden="1" customHeight="1">
      <c r="A534" s="4">
        <v>45532.0</v>
      </c>
      <c r="B534" s="1" t="s">
        <v>88</v>
      </c>
      <c r="C534" s="1" t="s">
        <v>89</v>
      </c>
      <c r="D534" s="1">
        <v>319.0</v>
      </c>
      <c r="E534" s="1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1">
        <v>-6.0</v>
      </c>
      <c r="O534" s="1">
        <v>8.604083333333334</v>
      </c>
    </row>
    <row r="535" ht="15.75" hidden="1" customHeight="1">
      <c r="A535" s="4">
        <v>45532.0</v>
      </c>
      <c r="B535" s="1" t="s">
        <v>103</v>
      </c>
      <c r="C535" s="1" t="s">
        <v>104</v>
      </c>
      <c r="D535" s="1">
        <v>264.0</v>
      </c>
      <c r="E535" s="1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1">
        <v>0.0</v>
      </c>
      <c r="O535" s="1">
        <v>7.098483333333333</v>
      </c>
    </row>
    <row r="536" ht="15.75" hidden="1" customHeight="1">
      <c r="A536" s="4">
        <v>45532.0</v>
      </c>
      <c r="B536" s="1" t="s">
        <v>103</v>
      </c>
      <c r="C536" s="1" t="s">
        <v>104</v>
      </c>
      <c r="D536" s="1">
        <v>289.0</v>
      </c>
      <c r="E536" s="1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1">
        <v>-2.0</v>
      </c>
      <c r="O536" s="1">
        <v>4.3845</v>
      </c>
    </row>
    <row r="537" ht="15.75" hidden="1" customHeight="1">
      <c r="A537" s="4">
        <v>45532.0</v>
      </c>
      <c r="B537" s="1" t="s">
        <v>88</v>
      </c>
      <c r="C537" s="1" t="s">
        <v>89</v>
      </c>
      <c r="D537" s="1">
        <v>264.0</v>
      </c>
      <c r="E537" s="1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1">
        <v>-8.0</v>
      </c>
      <c r="O537" s="1">
        <v>6.654966666666667</v>
      </c>
    </row>
    <row r="538" ht="15.75" hidden="1" customHeight="1">
      <c r="A538" s="4">
        <v>45532.0</v>
      </c>
      <c r="B538" s="1" t="s">
        <v>88</v>
      </c>
      <c r="C538" s="1" t="s">
        <v>89</v>
      </c>
      <c r="D538" s="1">
        <v>289.0</v>
      </c>
      <c r="E538" s="1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1">
        <v>-9.0</v>
      </c>
      <c r="O538" s="1">
        <v>5.686216666666667</v>
      </c>
    </row>
    <row r="539" ht="15.75" hidden="1" customHeight="1">
      <c r="A539" s="4">
        <v>45532.0</v>
      </c>
      <c r="B539" s="1" t="s">
        <v>103</v>
      </c>
      <c r="C539" s="1" t="s">
        <v>104</v>
      </c>
      <c r="D539" s="1">
        <v>329.0</v>
      </c>
      <c r="E539" s="1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1">
        <v>-1.0</v>
      </c>
      <c r="O539" s="1">
        <v>5.68015</v>
      </c>
    </row>
    <row r="540" ht="15.75" hidden="1" customHeight="1">
      <c r="A540" s="4">
        <v>45532.0</v>
      </c>
      <c r="B540" s="1" t="s">
        <v>88</v>
      </c>
      <c r="C540" s="1" t="s">
        <v>89</v>
      </c>
      <c r="D540" s="1">
        <v>715.0</v>
      </c>
      <c r="E540" s="1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1">
        <v>-10.0</v>
      </c>
      <c r="O540" s="1">
        <v>9.592716666666666</v>
      </c>
    </row>
    <row r="541" ht="15.75" hidden="1" customHeight="1">
      <c r="A541" s="4">
        <v>45532.0</v>
      </c>
      <c r="B541" s="1" t="s">
        <v>95</v>
      </c>
      <c r="C541" s="1" t="s">
        <v>89</v>
      </c>
      <c r="D541" s="1">
        <v>414.0</v>
      </c>
      <c r="E541" s="1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1">
        <v>-10.0</v>
      </c>
      <c r="N541" s="1">
        <v>0.009283333333333333</v>
      </c>
      <c r="O541" s="1">
        <v>9.28485</v>
      </c>
    </row>
    <row r="542" ht="15.75" hidden="1" customHeight="1">
      <c r="A542" s="4">
        <v>45532.0</v>
      </c>
      <c r="B542" s="1" t="s">
        <v>103</v>
      </c>
      <c r="C542" s="1" t="s">
        <v>104</v>
      </c>
      <c r="D542" s="1">
        <v>866.0</v>
      </c>
      <c r="E542" s="1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1">
        <v>-1.0</v>
      </c>
      <c r="O542" s="1">
        <v>8.888583333333333</v>
      </c>
    </row>
    <row r="543" ht="15.75" hidden="1" customHeight="1">
      <c r="A543" s="4">
        <v>45532.0</v>
      </c>
      <c r="B543" s="1" t="s">
        <v>103</v>
      </c>
      <c r="C543" s="1" t="s">
        <v>104</v>
      </c>
      <c r="D543" s="1">
        <v>378.0</v>
      </c>
      <c r="E543" s="1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1">
        <v>1.0</v>
      </c>
      <c r="O543" s="1">
        <v>8.43855</v>
      </c>
    </row>
    <row r="544" ht="15.75" hidden="1" customHeight="1">
      <c r="A544" s="4">
        <v>45532.0</v>
      </c>
      <c r="B544" s="1" t="s">
        <v>107</v>
      </c>
      <c r="C544" s="1" t="s">
        <v>104</v>
      </c>
      <c r="D544" s="1">
        <v>329.0</v>
      </c>
      <c r="E544" s="1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1">
        <v>-8.0</v>
      </c>
      <c r="O544" s="1">
        <v>6.039033333333333</v>
      </c>
    </row>
    <row r="545" ht="15.75" hidden="1" customHeight="1">
      <c r="A545" s="4">
        <v>45532.0</v>
      </c>
      <c r="B545" s="1" t="s">
        <v>95</v>
      </c>
      <c r="C545" s="1" t="s">
        <v>89</v>
      </c>
      <c r="D545" s="1">
        <v>417.0</v>
      </c>
      <c r="E545" s="1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1">
        <v>-13.0</v>
      </c>
      <c r="N545" s="1">
        <v>1.79495</v>
      </c>
      <c r="O545" s="1">
        <v>6.911066666666667</v>
      </c>
    </row>
    <row r="546" ht="15.75" hidden="1" customHeight="1">
      <c r="A546" s="4">
        <v>45532.0</v>
      </c>
      <c r="B546" s="1" t="s">
        <v>95</v>
      </c>
      <c r="C546" s="1" t="s">
        <v>89</v>
      </c>
      <c r="D546" s="1">
        <v>444.0</v>
      </c>
      <c r="E546" s="1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1">
        <v>-16.0</v>
      </c>
      <c r="N546" s="1">
        <v>0.010466666666666668</v>
      </c>
    </row>
    <row r="547" ht="15.75" hidden="1" customHeight="1">
      <c r="A547" s="4">
        <v>45532.0</v>
      </c>
      <c r="B547" s="1" t="s">
        <v>103</v>
      </c>
      <c r="C547" s="1" t="s">
        <v>104</v>
      </c>
      <c r="D547" s="1">
        <v>628.0</v>
      </c>
      <c r="E547" s="1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1">
        <v>-2.0</v>
      </c>
      <c r="O547" s="1">
        <v>6.455866666666667</v>
      </c>
    </row>
    <row r="548" ht="15.75" hidden="1" customHeight="1">
      <c r="A548" s="4">
        <v>45532.0</v>
      </c>
      <c r="B548" s="1" t="s">
        <v>88</v>
      </c>
      <c r="C548" s="1" t="s">
        <v>89</v>
      </c>
      <c r="D548" s="1">
        <v>321.0</v>
      </c>
      <c r="E548" s="1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1">
        <v>-5.0</v>
      </c>
      <c r="O548" s="1">
        <v>9.159533333333334</v>
      </c>
    </row>
    <row r="549" ht="15.75" hidden="1" customHeight="1">
      <c r="A549" s="4">
        <v>45532.0</v>
      </c>
      <c r="B549" s="1" t="s">
        <v>95</v>
      </c>
      <c r="C549" s="1" t="s">
        <v>89</v>
      </c>
      <c r="D549" s="1">
        <v>782.0</v>
      </c>
      <c r="E549" s="1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1">
        <v>3.0</v>
      </c>
      <c r="N549" s="1">
        <v>3.12345</v>
      </c>
      <c r="O549" s="1">
        <v>12.9842</v>
      </c>
    </row>
    <row r="550" ht="15.75" hidden="1" customHeight="1">
      <c r="A550" s="4">
        <v>45532.0</v>
      </c>
      <c r="B550" s="1" t="s">
        <v>88</v>
      </c>
      <c r="C550" s="1" t="s">
        <v>89</v>
      </c>
      <c r="D550" s="1">
        <v>567.0</v>
      </c>
      <c r="E550" s="1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1">
        <v>-10.0</v>
      </c>
      <c r="O550" s="1">
        <v>9.644766666666667</v>
      </c>
    </row>
    <row r="551" ht="15.75" hidden="1" customHeight="1">
      <c r="A551" s="4">
        <v>45532.0</v>
      </c>
      <c r="B551" s="1" t="s">
        <v>103</v>
      </c>
      <c r="C551" s="1" t="s">
        <v>104</v>
      </c>
      <c r="D551" s="1">
        <v>658.0</v>
      </c>
      <c r="E551" s="1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1">
        <v>1.0</v>
      </c>
      <c r="O551" s="1">
        <v>10.48665</v>
      </c>
    </row>
    <row r="552" ht="15.75" hidden="1" customHeight="1">
      <c r="A552" s="4">
        <v>45532.0</v>
      </c>
      <c r="B552" s="1" t="s">
        <v>103</v>
      </c>
      <c r="C552" s="1" t="s">
        <v>104</v>
      </c>
      <c r="D552" s="1">
        <v>663.0</v>
      </c>
      <c r="E552" s="1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1">
        <v>-3.0</v>
      </c>
      <c r="O552" s="1">
        <v>6.938616666666666</v>
      </c>
    </row>
    <row r="553" ht="15.75" hidden="1" customHeight="1">
      <c r="A553" s="4">
        <v>45532.0</v>
      </c>
      <c r="B553" s="1" t="s">
        <v>88</v>
      </c>
      <c r="C553" s="1" t="s">
        <v>89</v>
      </c>
      <c r="D553" s="1">
        <v>628.0</v>
      </c>
      <c r="E553" s="1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1">
        <v>-7.0</v>
      </c>
      <c r="O553" s="1">
        <v>12.25025</v>
      </c>
    </row>
    <row r="554" ht="15.75" hidden="1" customHeight="1">
      <c r="A554" s="4">
        <v>45532.0</v>
      </c>
      <c r="B554" s="1" t="s">
        <v>103</v>
      </c>
      <c r="C554" s="1" t="s">
        <v>104</v>
      </c>
      <c r="D554" s="1">
        <v>528.0</v>
      </c>
      <c r="E554" s="1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1">
        <v>0.0</v>
      </c>
      <c r="O554" s="1">
        <v>9.629866666666667</v>
      </c>
    </row>
    <row r="555" ht="15.75" hidden="1" customHeight="1">
      <c r="A555" s="4">
        <v>45532.0</v>
      </c>
      <c r="B555" s="1" t="s">
        <v>103</v>
      </c>
      <c r="C555" s="1" t="s">
        <v>104</v>
      </c>
      <c r="D555" s="1">
        <v>488.0</v>
      </c>
      <c r="E555" s="1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1">
        <v>-1.0</v>
      </c>
      <c r="O555" s="1">
        <v>6.07245</v>
      </c>
    </row>
    <row r="556" ht="15.75" hidden="1" customHeight="1">
      <c r="A556" s="4">
        <v>45532.0</v>
      </c>
      <c r="B556" s="1" t="s">
        <v>88</v>
      </c>
      <c r="C556" s="1" t="s">
        <v>89</v>
      </c>
      <c r="D556" s="1">
        <v>472.0</v>
      </c>
      <c r="E556" s="1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1">
        <v>-7.0</v>
      </c>
      <c r="O556" s="1">
        <v>7.50795</v>
      </c>
    </row>
    <row r="557" ht="15.75" hidden="1" customHeight="1">
      <c r="A557" s="4">
        <v>45532.0</v>
      </c>
      <c r="B557" s="1" t="s">
        <v>103</v>
      </c>
      <c r="C557" s="1" t="s">
        <v>104</v>
      </c>
      <c r="D557" s="1">
        <v>264.0</v>
      </c>
      <c r="E557" s="1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1">
        <v>0.0</v>
      </c>
      <c r="O557" s="1">
        <v>7.136983333333333</v>
      </c>
    </row>
    <row r="558" ht="15.75" hidden="1" customHeight="1">
      <c r="A558" s="4">
        <v>45532.0</v>
      </c>
      <c r="B558" s="1" t="s">
        <v>103</v>
      </c>
      <c r="C558" s="1" t="s">
        <v>104</v>
      </c>
      <c r="D558" s="1">
        <v>593.0</v>
      </c>
      <c r="E558" s="1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1">
        <v>0.0</v>
      </c>
      <c r="O558" s="1">
        <v>8.800566666666667</v>
      </c>
    </row>
    <row r="559" ht="15.75" hidden="1" customHeight="1">
      <c r="A559" s="4">
        <v>45532.0</v>
      </c>
      <c r="B559" s="1" t="s">
        <v>88</v>
      </c>
      <c r="C559" s="1" t="s">
        <v>89</v>
      </c>
      <c r="D559" s="1">
        <v>1003.0</v>
      </c>
      <c r="E559" s="1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1">
        <v>-8.0</v>
      </c>
      <c r="O559" s="1">
        <v>11.8916</v>
      </c>
    </row>
    <row r="560" ht="15.75" hidden="1" customHeight="1">
      <c r="A560" s="4">
        <v>45532.0</v>
      </c>
      <c r="B560" s="1" t="s">
        <v>88</v>
      </c>
      <c r="C560" s="1" t="s">
        <v>89</v>
      </c>
      <c r="D560" s="1">
        <v>553.0</v>
      </c>
      <c r="E560" s="1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1">
        <v>-14.0</v>
      </c>
      <c r="O560" s="1">
        <v>5.4541</v>
      </c>
    </row>
    <row r="561" ht="15.75" hidden="1" customHeight="1">
      <c r="A561" s="4">
        <v>45532.0</v>
      </c>
      <c r="B561" s="1" t="s">
        <v>88</v>
      </c>
      <c r="C561" s="1" t="s">
        <v>89</v>
      </c>
      <c r="D561" s="1">
        <v>264.0</v>
      </c>
      <c r="E561" s="1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1">
        <v>-9.0</v>
      </c>
      <c r="O561" s="1">
        <v>5.9213</v>
      </c>
    </row>
    <row r="562" ht="15.75" hidden="1" customHeight="1">
      <c r="A562" s="4">
        <v>45532.0</v>
      </c>
      <c r="B562" s="1" t="s">
        <v>88</v>
      </c>
      <c r="C562" s="1" t="s">
        <v>89</v>
      </c>
      <c r="D562" s="1">
        <v>313.0</v>
      </c>
      <c r="E562" s="1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1">
        <v>-6.0</v>
      </c>
      <c r="O562" s="1">
        <v>8.413683333333333</v>
      </c>
    </row>
    <row r="563" ht="15.75" hidden="1" customHeight="1">
      <c r="A563" s="4">
        <v>45532.0</v>
      </c>
      <c r="B563" s="1" t="s">
        <v>95</v>
      </c>
      <c r="C563" s="1" t="s">
        <v>89</v>
      </c>
      <c r="D563" s="1">
        <v>578.0</v>
      </c>
      <c r="E563" s="1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1">
        <v>-11.0</v>
      </c>
      <c r="N563" s="1">
        <v>2.7950333333333335</v>
      </c>
      <c r="O563" s="1">
        <v>8.694983333333333</v>
      </c>
    </row>
    <row r="564" ht="15.75" hidden="1" customHeight="1">
      <c r="A564" s="4">
        <v>45532.0</v>
      </c>
      <c r="B564" s="1" t="s">
        <v>88</v>
      </c>
      <c r="C564" s="1" t="s">
        <v>89</v>
      </c>
      <c r="D564" s="1">
        <v>746.0</v>
      </c>
      <c r="E564" s="1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1">
        <v>-12.0</v>
      </c>
      <c r="O564" s="1">
        <v>7.788733333333333</v>
      </c>
    </row>
    <row r="565" ht="15.75" hidden="1" customHeight="1">
      <c r="A565" s="4">
        <v>45532.0</v>
      </c>
      <c r="B565" s="1" t="s">
        <v>88</v>
      </c>
      <c r="C565" s="1" t="s">
        <v>89</v>
      </c>
      <c r="D565" s="1">
        <v>488.0</v>
      </c>
      <c r="E565" s="1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1">
        <v>-7.0</v>
      </c>
      <c r="O565" s="1">
        <v>7.4755</v>
      </c>
    </row>
    <row r="566" ht="15.75" hidden="1" customHeight="1">
      <c r="A566" s="4">
        <v>45532.0</v>
      </c>
      <c r="B566" s="1" t="s">
        <v>103</v>
      </c>
      <c r="C566" s="1" t="s">
        <v>104</v>
      </c>
      <c r="D566" s="1">
        <v>329.0</v>
      </c>
      <c r="E566" s="1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1">
        <v>0.0</v>
      </c>
      <c r="O566" s="1">
        <v>6.928716666666666</v>
      </c>
    </row>
    <row r="567" ht="15.75" hidden="1" customHeight="1">
      <c r="A567" s="4">
        <v>45532.0</v>
      </c>
      <c r="B567" s="1" t="s">
        <v>88</v>
      </c>
      <c r="C567" s="1" t="s">
        <v>89</v>
      </c>
      <c r="D567" s="1">
        <v>233.0</v>
      </c>
      <c r="E567" s="1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1">
        <v>-4.0</v>
      </c>
      <c r="O567" s="1">
        <v>10.70275</v>
      </c>
    </row>
    <row r="568" ht="15.75" hidden="1" customHeight="1">
      <c r="A568" s="4">
        <v>45532.0</v>
      </c>
      <c r="B568" s="1" t="s">
        <v>95</v>
      </c>
      <c r="C568" s="1" t="s">
        <v>89</v>
      </c>
      <c r="D568" s="1">
        <v>566.0</v>
      </c>
      <c r="E568" s="1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1">
        <v>-8.0</v>
      </c>
      <c r="N568" s="1">
        <v>0.01135</v>
      </c>
      <c r="O568" s="1">
        <v>18.526116666666667</v>
      </c>
    </row>
    <row r="569" ht="15.75" hidden="1" customHeight="1">
      <c r="A569" s="4">
        <v>45532.0</v>
      </c>
      <c r="B569" s="1" t="s">
        <v>103</v>
      </c>
      <c r="C569" s="1" t="s">
        <v>104</v>
      </c>
      <c r="D569" s="1">
        <v>448.0</v>
      </c>
      <c r="E569" s="1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1">
        <v>0.0</v>
      </c>
      <c r="O569" s="1">
        <v>6.833633333333333</v>
      </c>
    </row>
    <row r="570" ht="15.75" hidden="1" customHeight="1">
      <c r="A570" s="4">
        <v>45532.0</v>
      </c>
      <c r="B570" s="1" t="s">
        <v>103</v>
      </c>
      <c r="C570" s="1" t="s">
        <v>104</v>
      </c>
      <c r="D570" s="1">
        <v>548.0</v>
      </c>
      <c r="E570" s="1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1">
        <v>1.0</v>
      </c>
      <c r="O570" s="1">
        <v>10.51575</v>
      </c>
    </row>
    <row r="571" ht="15.75" hidden="1" customHeight="1">
      <c r="A571" s="4">
        <v>45532.0</v>
      </c>
      <c r="B571" s="1" t="s">
        <v>95</v>
      </c>
      <c r="C571" s="1" t="s">
        <v>104</v>
      </c>
      <c r="D571" s="1">
        <v>378.0</v>
      </c>
      <c r="E571" s="1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1">
        <v>-5.0</v>
      </c>
      <c r="O571" s="1">
        <v>13.639383333333333</v>
      </c>
    </row>
    <row r="572" ht="15.75" hidden="1" customHeight="1">
      <c r="A572" s="4">
        <v>45532.0</v>
      </c>
      <c r="B572" s="1" t="s">
        <v>95</v>
      </c>
      <c r="C572" s="1" t="s">
        <v>89</v>
      </c>
      <c r="D572" s="1">
        <v>299.0</v>
      </c>
      <c r="E572" s="1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1">
        <v>-16.0</v>
      </c>
      <c r="N572" s="1">
        <v>0.0077666666666666665</v>
      </c>
      <c r="O572" s="1">
        <v>6.402033333333334</v>
      </c>
    </row>
    <row r="573" ht="15.75" hidden="1" customHeight="1">
      <c r="A573" s="4">
        <v>45532.0</v>
      </c>
      <c r="B573" s="1" t="s">
        <v>103</v>
      </c>
      <c r="C573" s="1" t="s">
        <v>104</v>
      </c>
      <c r="D573" s="1">
        <v>264.0</v>
      </c>
      <c r="E573" s="1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1">
        <v>1.0</v>
      </c>
      <c r="O573" s="1">
        <v>7.289233333333334</v>
      </c>
    </row>
    <row r="574" ht="15.75" hidden="1" customHeight="1">
      <c r="A574" s="4">
        <v>45532.0</v>
      </c>
      <c r="B574" s="1" t="s">
        <v>95</v>
      </c>
      <c r="C574" s="1" t="s">
        <v>104</v>
      </c>
      <c r="D574" s="1">
        <v>422.0</v>
      </c>
      <c r="E574" s="1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1">
        <v>-13.0</v>
      </c>
      <c r="O574" s="1">
        <v>10.003233333333334</v>
      </c>
    </row>
    <row r="575" ht="15.75" hidden="1" customHeight="1">
      <c r="A575" s="4">
        <v>45532.0</v>
      </c>
      <c r="B575" s="1" t="s">
        <v>95</v>
      </c>
      <c r="C575" s="1" t="s">
        <v>104</v>
      </c>
      <c r="D575" s="1">
        <v>199.0</v>
      </c>
      <c r="E575" s="1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1">
        <v>-10.0</v>
      </c>
      <c r="O575" s="1">
        <v>7.788116666666666</v>
      </c>
    </row>
    <row r="576" ht="15.75" hidden="1" customHeight="1">
      <c r="A576" s="4">
        <v>45532.0</v>
      </c>
      <c r="B576" s="1" t="s">
        <v>107</v>
      </c>
      <c r="C576" s="1" t="s">
        <v>104</v>
      </c>
      <c r="D576" s="1">
        <v>321.0</v>
      </c>
      <c r="E576" s="1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1">
        <v>-7.0</v>
      </c>
      <c r="O576" s="1">
        <v>7.6988</v>
      </c>
    </row>
    <row r="577" ht="15.75" hidden="1" customHeight="1">
      <c r="A577" s="4">
        <v>45532.0</v>
      </c>
      <c r="B577" s="1" t="s">
        <v>103</v>
      </c>
      <c r="C577" s="1" t="s">
        <v>104</v>
      </c>
      <c r="D577" s="1">
        <v>433.0</v>
      </c>
      <c r="E577" s="1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1">
        <v>1.0</v>
      </c>
      <c r="O577" s="1">
        <v>8.56635</v>
      </c>
    </row>
    <row r="578" ht="15.75" hidden="1" customHeight="1">
      <c r="A578" s="4">
        <v>45532.0</v>
      </c>
      <c r="B578" s="1" t="s">
        <v>88</v>
      </c>
      <c r="C578" s="1" t="s">
        <v>89</v>
      </c>
      <c r="D578" s="1">
        <v>329.0</v>
      </c>
      <c r="E578" s="1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1">
        <v>-5.0</v>
      </c>
      <c r="O578" s="1">
        <v>9.14935</v>
      </c>
    </row>
    <row r="579" ht="15.75" hidden="1" customHeight="1">
      <c r="A579" s="4">
        <v>45532.0</v>
      </c>
      <c r="B579" s="1" t="s">
        <v>103</v>
      </c>
      <c r="C579" s="1" t="s">
        <v>104</v>
      </c>
      <c r="D579" s="1">
        <v>278.0</v>
      </c>
      <c r="E579" s="1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1">
        <v>0.0</v>
      </c>
      <c r="O579" s="1">
        <v>6.304033333333333</v>
      </c>
    </row>
    <row r="580" ht="15.75" hidden="1" customHeight="1">
      <c r="A580" s="4">
        <v>45532.0</v>
      </c>
      <c r="B580" s="1" t="s">
        <v>88</v>
      </c>
      <c r="C580" s="1" t="s">
        <v>89</v>
      </c>
      <c r="D580" s="1">
        <v>289.0</v>
      </c>
      <c r="E580" s="1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1">
        <v>-5.0</v>
      </c>
      <c r="O580" s="1">
        <v>9.033966666666666</v>
      </c>
    </row>
    <row r="581" ht="15.75" hidden="1" customHeight="1">
      <c r="A581" s="4">
        <v>45532.0</v>
      </c>
      <c r="B581" s="1" t="s">
        <v>95</v>
      </c>
      <c r="C581" s="1" t="s">
        <v>104</v>
      </c>
      <c r="D581" s="1">
        <v>278.0</v>
      </c>
      <c r="E581" s="1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1">
        <v>-23.0</v>
      </c>
      <c r="O581" s="1">
        <v>5.6725666666666665</v>
      </c>
    </row>
    <row r="582" ht="15.75" hidden="1" customHeight="1">
      <c r="A582" s="4">
        <v>45532.0</v>
      </c>
      <c r="B582" s="1" t="s">
        <v>88</v>
      </c>
      <c r="C582" s="1" t="s">
        <v>89</v>
      </c>
      <c r="D582" s="1">
        <v>264.0</v>
      </c>
      <c r="E582" s="1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1">
        <v>-7.0</v>
      </c>
      <c r="O582" s="1">
        <v>7.1250333333333336</v>
      </c>
    </row>
    <row r="583" ht="15.75" hidden="1" customHeight="1">
      <c r="A583" s="4">
        <v>45532.0</v>
      </c>
      <c r="B583" s="1" t="s">
        <v>88</v>
      </c>
      <c r="C583" s="1" t="s">
        <v>89</v>
      </c>
      <c r="D583" s="1">
        <v>264.0</v>
      </c>
      <c r="E583" s="1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1">
        <v>-6.0</v>
      </c>
      <c r="O583" s="1">
        <v>8.880333333333333</v>
      </c>
    </row>
    <row r="584" ht="15.75" hidden="1" customHeight="1">
      <c r="A584" s="4">
        <v>45532.0</v>
      </c>
      <c r="B584" s="1" t="s">
        <v>103</v>
      </c>
      <c r="C584" s="1" t="s">
        <v>104</v>
      </c>
      <c r="D584" s="1">
        <v>857.0</v>
      </c>
      <c r="E584" s="1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1">
        <v>0.0</v>
      </c>
      <c r="O584" s="1">
        <v>9.148033333333334</v>
      </c>
    </row>
    <row r="585" ht="15.75" hidden="1" customHeight="1">
      <c r="A585" s="4">
        <v>45532.0</v>
      </c>
      <c r="B585" s="1" t="s">
        <v>88</v>
      </c>
      <c r="C585" s="1" t="s">
        <v>89</v>
      </c>
      <c r="D585" s="1">
        <v>658.0</v>
      </c>
      <c r="E585" s="1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1">
        <v>-13.0</v>
      </c>
      <c r="O585" s="1">
        <v>6.708083333333334</v>
      </c>
    </row>
    <row r="586" ht="15.75" hidden="1" customHeight="1">
      <c r="A586" s="4">
        <v>45532.0</v>
      </c>
      <c r="B586" s="1" t="s">
        <v>103</v>
      </c>
      <c r="C586" s="1" t="s">
        <v>104</v>
      </c>
      <c r="D586" s="1">
        <v>298.0</v>
      </c>
      <c r="E586" s="1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1">
        <v>0.0</v>
      </c>
      <c r="O586" s="1">
        <v>6.064433333333334</v>
      </c>
    </row>
    <row r="587" ht="15.75" hidden="1" customHeight="1">
      <c r="A587" s="4">
        <v>45532.0</v>
      </c>
      <c r="B587" s="1" t="s">
        <v>88</v>
      </c>
      <c r="C587" s="1" t="s">
        <v>89</v>
      </c>
      <c r="D587" s="1">
        <v>264.0</v>
      </c>
      <c r="E587" s="1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1">
        <v>-8.0</v>
      </c>
      <c r="O587" s="1">
        <v>6.403083333333333</v>
      </c>
    </row>
    <row r="588" ht="15.75" hidden="1" customHeight="1">
      <c r="A588" s="4">
        <v>45532.0</v>
      </c>
      <c r="B588" s="1" t="s">
        <v>103</v>
      </c>
      <c r="C588" s="1" t="s">
        <v>104</v>
      </c>
      <c r="D588" s="1">
        <v>528.0</v>
      </c>
      <c r="E588" s="1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1">
        <v>2.0</v>
      </c>
      <c r="O588" s="1">
        <v>10.383716666666666</v>
      </c>
    </row>
    <row r="589" ht="15.75" hidden="1" customHeight="1">
      <c r="A589" s="4">
        <v>45532.0</v>
      </c>
      <c r="B589" s="1" t="s">
        <v>95</v>
      </c>
      <c r="C589" s="1" t="s">
        <v>104</v>
      </c>
      <c r="D589" s="1">
        <v>238.0</v>
      </c>
      <c r="E589" s="1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1">
        <v>-6.0</v>
      </c>
      <c r="O589" s="1">
        <v>12.7115</v>
      </c>
    </row>
    <row r="590" ht="15.75" hidden="1" customHeight="1">
      <c r="A590" s="4">
        <v>45532.0</v>
      </c>
      <c r="B590" s="1" t="s">
        <v>103</v>
      </c>
      <c r="C590" s="1" t="s">
        <v>104</v>
      </c>
      <c r="D590" s="1">
        <v>329.0</v>
      </c>
      <c r="E590" s="1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1">
        <v>1.0</v>
      </c>
      <c r="O590" s="1">
        <v>8.4617</v>
      </c>
    </row>
    <row r="591" ht="15.75" hidden="1" customHeight="1">
      <c r="A591" s="4">
        <v>45532.0</v>
      </c>
      <c r="B591" s="1" t="s">
        <v>95</v>
      </c>
      <c r="C591" s="1" t="s">
        <v>89</v>
      </c>
      <c r="D591" s="1">
        <v>792.0</v>
      </c>
      <c r="E591" s="1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1">
        <v>-9.0</v>
      </c>
      <c r="N591" s="1">
        <v>0.015566666666666666</v>
      </c>
      <c r="O591" s="1">
        <v>16.267783333333334</v>
      </c>
    </row>
    <row r="592" ht="15.75" hidden="1" customHeight="1">
      <c r="A592" s="4">
        <v>45532.0</v>
      </c>
      <c r="B592" s="1" t="s">
        <v>103</v>
      </c>
      <c r="C592" s="1" t="s">
        <v>104</v>
      </c>
      <c r="D592" s="1">
        <v>278.0</v>
      </c>
      <c r="E592" s="1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1">
        <v>0.0</v>
      </c>
      <c r="O592" s="1">
        <v>6.0892333333333335</v>
      </c>
    </row>
    <row r="593" ht="15.75" hidden="1" customHeight="1">
      <c r="A593" s="4">
        <v>45532.0</v>
      </c>
      <c r="B593" s="1" t="s">
        <v>88</v>
      </c>
      <c r="C593" s="1" t="s">
        <v>89</v>
      </c>
      <c r="D593" s="1">
        <v>394.0</v>
      </c>
      <c r="E593" s="1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1">
        <v>-8.0</v>
      </c>
      <c r="O593" s="1">
        <v>10.263433333333333</v>
      </c>
    </row>
    <row r="594" ht="15.75" hidden="1" customHeight="1">
      <c r="A594" s="4">
        <v>45532.0</v>
      </c>
      <c r="B594" s="1" t="s">
        <v>88</v>
      </c>
      <c r="C594" s="1" t="s">
        <v>89</v>
      </c>
      <c r="D594" s="1">
        <v>528.0</v>
      </c>
      <c r="E594" s="1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1">
        <v>-7.0</v>
      </c>
      <c r="O594" s="1">
        <v>12.2985</v>
      </c>
    </row>
    <row r="595" ht="15.75" hidden="1" customHeight="1">
      <c r="A595" s="4">
        <v>45532.0</v>
      </c>
      <c r="B595" s="1" t="s">
        <v>103</v>
      </c>
      <c r="C595" s="1" t="s">
        <v>104</v>
      </c>
      <c r="D595" s="1">
        <v>364.0</v>
      </c>
      <c r="E595" s="1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1">
        <v>1.0</v>
      </c>
      <c r="O595" s="1">
        <v>8.700166666666666</v>
      </c>
    </row>
    <row r="596" ht="15.75" hidden="1" customHeight="1">
      <c r="A596" s="4">
        <v>45532.0</v>
      </c>
      <c r="B596" s="1" t="s">
        <v>107</v>
      </c>
      <c r="C596" s="1" t="s">
        <v>104</v>
      </c>
      <c r="D596" s="1">
        <v>346.0</v>
      </c>
      <c r="E596" s="1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1">
        <v>-6.0</v>
      </c>
      <c r="O596" s="1">
        <v>8.9167</v>
      </c>
    </row>
    <row r="597" ht="15.75" hidden="1" customHeight="1">
      <c r="A597" s="4">
        <v>45532.0</v>
      </c>
      <c r="B597" s="1" t="s">
        <v>95</v>
      </c>
      <c r="C597" s="1" t="s">
        <v>89</v>
      </c>
      <c r="D597" s="1">
        <v>393.0</v>
      </c>
      <c r="E597" s="1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1">
        <v>-5.0</v>
      </c>
      <c r="N597" s="1">
        <v>0.018833333333333334</v>
      </c>
      <c r="O597" s="1">
        <v>11.2754</v>
      </c>
    </row>
    <row r="598" ht="15.75" hidden="1" customHeight="1">
      <c r="A598" s="4">
        <v>45532.0</v>
      </c>
      <c r="B598" s="1" t="s">
        <v>95</v>
      </c>
      <c r="C598" s="1" t="s">
        <v>104</v>
      </c>
      <c r="D598" s="1">
        <v>493.0</v>
      </c>
      <c r="E598" s="1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1">
        <v>-12.0</v>
      </c>
      <c r="O598" s="1">
        <v>6.82145</v>
      </c>
    </row>
    <row r="599" ht="15.75" hidden="1" customHeight="1">
      <c r="A599" s="4">
        <v>45532.0</v>
      </c>
      <c r="B599" s="1" t="s">
        <v>103</v>
      </c>
      <c r="C599" s="1" t="s">
        <v>104</v>
      </c>
      <c r="D599" s="1">
        <v>313.0</v>
      </c>
      <c r="E599" s="1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1">
        <v>0.0</v>
      </c>
      <c r="O599" s="1">
        <v>6.800916666666667</v>
      </c>
    </row>
    <row r="600" ht="15.75" hidden="1" customHeight="1">
      <c r="A600" s="4">
        <v>45532.0</v>
      </c>
      <c r="B600" s="1" t="s">
        <v>95</v>
      </c>
      <c r="C600" s="1" t="s">
        <v>104</v>
      </c>
      <c r="D600" s="1">
        <v>247.0</v>
      </c>
      <c r="E600" s="1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1">
        <v>-7.0</v>
      </c>
      <c r="O600" s="1">
        <v>11.3086</v>
      </c>
    </row>
    <row r="601" ht="15.75" hidden="1" customHeight="1">
      <c r="A601" s="4">
        <v>45532.0</v>
      </c>
      <c r="B601" s="1" t="s">
        <v>95</v>
      </c>
      <c r="C601" s="1" t="s">
        <v>89</v>
      </c>
      <c r="D601" s="1">
        <v>995.0</v>
      </c>
      <c r="E601" s="1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1">
        <v>-14.0</v>
      </c>
      <c r="N601" s="1">
        <v>0.0113</v>
      </c>
      <c r="O601" s="1">
        <v>12.152683333333334</v>
      </c>
    </row>
    <row r="602" ht="15.75" hidden="1" customHeight="1">
      <c r="A602" s="4">
        <v>45532.0</v>
      </c>
      <c r="B602" s="1" t="s">
        <v>103</v>
      </c>
      <c r="C602" s="1" t="s">
        <v>104</v>
      </c>
      <c r="D602" s="1">
        <v>264.0</v>
      </c>
      <c r="E602" s="1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1">
        <v>0.0</v>
      </c>
      <c r="O602" s="1">
        <v>6.8673166666666665</v>
      </c>
    </row>
    <row r="603" ht="15.75" hidden="1" customHeight="1">
      <c r="A603" s="4">
        <v>45532.0</v>
      </c>
      <c r="B603" s="1" t="s">
        <v>228</v>
      </c>
      <c r="C603" s="1" t="s">
        <v>104</v>
      </c>
      <c r="D603" s="1">
        <v>39.0</v>
      </c>
      <c r="E603" s="1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1">
        <v>0.0</v>
      </c>
      <c r="O603" s="1">
        <v>4.77165</v>
      </c>
    </row>
    <row r="604" ht="15.75" hidden="1" customHeight="1">
      <c r="A604" s="4">
        <v>45532.0</v>
      </c>
      <c r="B604" s="1" t="s">
        <v>103</v>
      </c>
      <c r="C604" s="1" t="s">
        <v>104</v>
      </c>
      <c r="D604" s="1">
        <v>469.0</v>
      </c>
      <c r="E604" s="1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1">
        <v>3.0</v>
      </c>
      <c r="O604" s="1">
        <v>11.581766666666667</v>
      </c>
    </row>
    <row r="605" ht="15.75" hidden="1" customHeight="1">
      <c r="A605" s="4">
        <v>45532.0</v>
      </c>
      <c r="B605" s="1" t="s">
        <v>88</v>
      </c>
      <c r="C605" s="1" t="s">
        <v>89</v>
      </c>
      <c r="D605" s="1">
        <v>264.0</v>
      </c>
      <c r="E605" s="1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1">
        <v>-8.0</v>
      </c>
      <c r="O605" s="1">
        <v>11.029033333333333</v>
      </c>
    </row>
    <row r="606" ht="15.75" hidden="1" customHeight="1">
      <c r="A606" s="4">
        <v>45532.0</v>
      </c>
      <c r="B606" s="1" t="s">
        <v>95</v>
      </c>
      <c r="C606" s="1" t="s">
        <v>104</v>
      </c>
      <c r="D606" s="1">
        <v>285.0</v>
      </c>
      <c r="E606" s="1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1">
        <v>-4.0</v>
      </c>
      <c r="O606" s="1">
        <v>25.4383</v>
      </c>
    </row>
    <row r="607" ht="15.75" hidden="1" customHeight="1">
      <c r="A607" s="4">
        <v>45532.0</v>
      </c>
      <c r="B607" s="1" t="s">
        <v>95</v>
      </c>
      <c r="C607" s="1" t="s">
        <v>104</v>
      </c>
      <c r="D607" s="1">
        <v>199.0</v>
      </c>
      <c r="E607" s="1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1">
        <v>-10.0</v>
      </c>
      <c r="O607" s="1">
        <v>9.49765</v>
      </c>
    </row>
    <row r="608" ht="15.75" hidden="1" customHeight="1">
      <c r="A608" s="4">
        <v>45532.0</v>
      </c>
      <c r="B608" s="1" t="s">
        <v>103</v>
      </c>
      <c r="C608" s="1" t="s">
        <v>104</v>
      </c>
      <c r="D608" s="1">
        <v>657.0</v>
      </c>
      <c r="E608" s="1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1">
        <v>0.0</v>
      </c>
      <c r="O608" s="1">
        <v>8.3824</v>
      </c>
    </row>
    <row r="609" ht="15.75" hidden="1" customHeight="1">
      <c r="A609" s="4">
        <v>45532.0</v>
      </c>
      <c r="B609" s="1" t="s">
        <v>95</v>
      </c>
      <c r="C609" s="1" t="s">
        <v>104</v>
      </c>
      <c r="D609" s="1">
        <v>199.0</v>
      </c>
      <c r="E609" s="1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1">
        <v>-9.0</v>
      </c>
      <c r="O609" s="1">
        <v>16.041183333333333</v>
      </c>
    </row>
    <row r="610" ht="15.75" hidden="1" customHeight="1">
      <c r="A610" s="4">
        <v>45532.0</v>
      </c>
      <c r="B610" s="1" t="s">
        <v>88</v>
      </c>
      <c r="C610" s="1" t="s">
        <v>89</v>
      </c>
      <c r="D610" s="1">
        <v>294.0</v>
      </c>
      <c r="E610" s="1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1">
        <v>0.0</v>
      </c>
      <c r="O610" s="1">
        <v>14.243416666666667</v>
      </c>
    </row>
    <row r="611" ht="15.75" hidden="1" customHeight="1">
      <c r="A611" s="4">
        <v>45532.0</v>
      </c>
      <c r="B611" s="1" t="s">
        <v>103</v>
      </c>
      <c r="C611" s="1" t="s">
        <v>104</v>
      </c>
      <c r="D611" s="1">
        <v>373.0</v>
      </c>
      <c r="E611" s="1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1">
        <v>4.0</v>
      </c>
      <c r="O611" s="1">
        <v>13.811433333333333</v>
      </c>
    </row>
    <row r="612" ht="15.75" hidden="1" customHeight="1">
      <c r="A612" s="4">
        <v>45532.0</v>
      </c>
      <c r="B612" s="1" t="s">
        <v>107</v>
      </c>
      <c r="C612" s="1" t="s">
        <v>104</v>
      </c>
      <c r="D612" s="1">
        <v>351.0</v>
      </c>
      <c r="E612" s="1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1">
        <v>0.0</v>
      </c>
      <c r="O612" s="1">
        <v>15.33875</v>
      </c>
    </row>
    <row r="613" ht="15.75" hidden="1" customHeight="1">
      <c r="A613" s="4">
        <v>45532.0</v>
      </c>
      <c r="B613" s="1" t="s">
        <v>103</v>
      </c>
      <c r="C613" s="1" t="s">
        <v>104</v>
      </c>
      <c r="D613" s="1">
        <v>1220.0</v>
      </c>
      <c r="E613" s="1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1">
        <v>2.0</v>
      </c>
      <c r="O613" s="1">
        <v>14.270633333333333</v>
      </c>
    </row>
    <row r="614" ht="15.75" hidden="1" customHeight="1">
      <c r="A614" s="4">
        <v>45532.0</v>
      </c>
      <c r="B614" s="1" t="s">
        <v>95</v>
      </c>
      <c r="C614" s="1" t="s">
        <v>89</v>
      </c>
      <c r="D614" s="1">
        <v>374.0</v>
      </c>
      <c r="E614" s="1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1">
        <v>2.0</v>
      </c>
      <c r="N614" s="1">
        <v>0.01415</v>
      </c>
      <c r="O614" s="1">
        <v>90.27966666666667</v>
      </c>
    </row>
    <row r="615" ht="15.75" hidden="1" customHeight="1">
      <c r="A615" s="4">
        <v>45532.0</v>
      </c>
      <c r="B615" s="1" t="s">
        <v>88</v>
      </c>
      <c r="C615" s="1" t="s">
        <v>89</v>
      </c>
      <c r="D615" s="1">
        <v>674.0</v>
      </c>
      <c r="E615" s="1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1">
        <v>-10.0</v>
      </c>
      <c r="O615" s="1">
        <v>316.97243333333336</v>
      </c>
    </row>
    <row r="616" ht="15.75" hidden="1" customHeight="1">
      <c r="A616" s="4">
        <v>45533.0</v>
      </c>
      <c r="B616" s="1" t="s">
        <v>107</v>
      </c>
      <c r="C616" s="1" t="s">
        <v>104</v>
      </c>
      <c r="D616" s="1">
        <v>378.0</v>
      </c>
      <c r="E616" s="1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1">
        <v>-6.0</v>
      </c>
      <c r="O616" s="1">
        <v>8.82955</v>
      </c>
    </row>
    <row r="617" ht="15.75" hidden="1" customHeight="1">
      <c r="A617" s="4">
        <v>45533.0</v>
      </c>
      <c r="B617" s="1" t="s">
        <v>88</v>
      </c>
      <c r="C617" s="1" t="s">
        <v>89</v>
      </c>
      <c r="D617" s="1">
        <v>329.0</v>
      </c>
      <c r="E617" s="1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1">
        <v>-3.0</v>
      </c>
      <c r="O617" s="1">
        <v>11.044466666666667</v>
      </c>
    </row>
    <row r="618" ht="15.75" hidden="1" customHeight="1">
      <c r="A618" s="4">
        <v>45533.0</v>
      </c>
      <c r="B618" s="1" t="s">
        <v>88</v>
      </c>
      <c r="C618" s="1" t="s">
        <v>89</v>
      </c>
      <c r="D618" s="1">
        <v>352.0</v>
      </c>
      <c r="E618" s="1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1">
        <v>-7.0</v>
      </c>
      <c r="O618" s="1">
        <v>7.226966666666667</v>
      </c>
    </row>
    <row r="619" ht="15.75" hidden="1" customHeight="1">
      <c r="A619" s="4">
        <v>45533.0</v>
      </c>
      <c r="B619" s="1" t="s">
        <v>88</v>
      </c>
      <c r="C619" s="1" t="s">
        <v>89</v>
      </c>
      <c r="D619" s="1">
        <v>264.0</v>
      </c>
      <c r="E619" s="1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1">
        <v>-7.0</v>
      </c>
      <c r="O619" s="1">
        <v>7.153983333333334</v>
      </c>
    </row>
    <row r="620" ht="15.75" hidden="1" customHeight="1">
      <c r="A620" s="4">
        <v>45533.0</v>
      </c>
      <c r="B620" s="1" t="s">
        <v>228</v>
      </c>
      <c r="C620" s="1" t="s">
        <v>104</v>
      </c>
      <c r="D620" s="1">
        <v>249.0</v>
      </c>
      <c r="E620" s="1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1">
        <v>2.0</v>
      </c>
      <c r="O620" s="1">
        <v>7.819266666666667</v>
      </c>
    </row>
    <row r="621" ht="15.75" hidden="1" customHeight="1">
      <c r="A621" s="4">
        <v>45533.0</v>
      </c>
      <c r="B621" s="1" t="s">
        <v>228</v>
      </c>
      <c r="C621" s="1" t="s">
        <v>104</v>
      </c>
      <c r="D621" s="1">
        <v>368.0</v>
      </c>
      <c r="E621" s="1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1">
        <v>4.0</v>
      </c>
      <c r="O621" s="1">
        <v>9.090716666666667</v>
      </c>
    </row>
    <row r="622" ht="15.75" hidden="1" customHeight="1">
      <c r="A622" s="4">
        <v>45533.0</v>
      </c>
      <c r="B622" s="1" t="s">
        <v>88</v>
      </c>
      <c r="C622" s="1" t="s">
        <v>89</v>
      </c>
      <c r="D622" s="1">
        <v>368.0</v>
      </c>
      <c r="E622" s="1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1">
        <v>-6.0</v>
      </c>
      <c r="O622" s="1">
        <v>8.476866666666666</v>
      </c>
    </row>
    <row r="623" ht="15.75" hidden="1" customHeight="1">
      <c r="A623" s="4">
        <v>45533.0</v>
      </c>
      <c r="B623" s="1" t="s">
        <v>103</v>
      </c>
      <c r="C623" s="1" t="s">
        <v>104</v>
      </c>
      <c r="D623" s="1">
        <v>500.0</v>
      </c>
      <c r="E623" s="1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1">
        <v>0.0</v>
      </c>
      <c r="O623" s="1">
        <v>8.539616666666667</v>
      </c>
    </row>
    <row r="624" ht="15.75" hidden="1" customHeight="1">
      <c r="A624" s="4">
        <v>45533.0</v>
      </c>
      <c r="B624" s="1" t="s">
        <v>103</v>
      </c>
      <c r="C624" s="1" t="s">
        <v>104</v>
      </c>
      <c r="D624" s="1">
        <v>882.0</v>
      </c>
      <c r="E624" s="1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1">
        <v>0.0</v>
      </c>
      <c r="O624" s="1">
        <v>10.219866666666666</v>
      </c>
    </row>
    <row r="625" ht="15.75" hidden="1" customHeight="1">
      <c r="A625" s="4">
        <v>45533.0</v>
      </c>
      <c r="B625" s="1" t="s">
        <v>103</v>
      </c>
      <c r="C625" s="1" t="s">
        <v>104</v>
      </c>
      <c r="D625" s="1">
        <v>233.0</v>
      </c>
      <c r="E625" s="1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1">
        <v>5.0</v>
      </c>
      <c r="O625" s="1">
        <v>11.105866666666667</v>
      </c>
    </row>
    <row r="626" ht="15.75" hidden="1" customHeight="1">
      <c r="A626" s="4">
        <v>45533.0</v>
      </c>
      <c r="B626" s="1" t="s">
        <v>88</v>
      </c>
      <c r="C626" s="1" t="s">
        <v>89</v>
      </c>
      <c r="D626" s="1">
        <v>378.0</v>
      </c>
      <c r="E626" s="1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1">
        <v>-7.0</v>
      </c>
      <c r="O626" s="1">
        <v>7.133766666666666</v>
      </c>
    </row>
    <row r="627" ht="15.75" hidden="1" customHeight="1">
      <c r="A627" s="4">
        <v>45533.0</v>
      </c>
      <c r="B627" s="1" t="s">
        <v>95</v>
      </c>
      <c r="C627" s="1" t="s">
        <v>89</v>
      </c>
      <c r="D627" s="1">
        <v>395.0</v>
      </c>
      <c r="E627" s="1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1">
        <v>-7.0</v>
      </c>
      <c r="N627" s="1">
        <v>0.013583333333333333</v>
      </c>
    </row>
    <row r="628" ht="15.75" hidden="1" customHeight="1">
      <c r="A628" s="4">
        <v>45533.0</v>
      </c>
      <c r="B628" s="1" t="s">
        <v>107</v>
      </c>
      <c r="C628" s="1" t="s">
        <v>104</v>
      </c>
      <c r="D628" s="1">
        <v>393.0</v>
      </c>
      <c r="E628" s="1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1">
        <v>-5.0</v>
      </c>
      <c r="O628" s="1">
        <v>9.120583333333334</v>
      </c>
    </row>
    <row r="629" ht="15.75" hidden="1" customHeight="1">
      <c r="A629" s="4">
        <v>45533.0</v>
      </c>
      <c r="B629" s="1" t="s">
        <v>103</v>
      </c>
      <c r="C629" s="1" t="s">
        <v>104</v>
      </c>
      <c r="D629" s="1">
        <v>321.0</v>
      </c>
      <c r="E629" s="1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1">
        <v>2.0</v>
      </c>
      <c r="O629" s="1">
        <v>9.66505</v>
      </c>
    </row>
    <row r="630" ht="15.75" hidden="1" customHeight="1">
      <c r="A630" s="4">
        <v>45533.0</v>
      </c>
      <c r="B630" s="1" t="s">
        <v>95</v>
      </c>
      <c r="C630" s="1" t="s">
        <v>104</v>
      </c>
      <c r="D630" s="1">
        <v>199.0</v>
      </c>
      <c r="E630" s="1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1">
        <v>-8.0</v>
      </c>
      <c r="O630" s="1">
        <v>9.746533333333334</v>
      </c>
    </row>
    <row r="631" ht="15.75" hidden="1" customHeight="1">
      <c r="A631" s="4">
        <v>45533.0</v>
      </c>
      <c r="B631" s="1" t="s">
        <v>103</v>
      </c>
      <c r="C631" s="1" t="s">
        <v>104</v>
      </c>
      <c r="D631" s="1">
        <v>289.0</v>
      </c>
      <c r="E631" s="1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1">
        <v>0.0</v>
      </c>
      <c r="O631" s="1">
        <v>7.82555</v>
      </c>
    </row>
    <row r="632" ht="15.75" hidden="1" customHeight="1">
      <c r="A632" s="4">
        <v>45533.0</v>
      </c>
      <c r="B632" s="1" t="s">
        <v>88</v>
      </c>
      <c r="C632" s="1" t="s">
        <v>89</v>
      </c>
      <c r="D632" s="1">
        <v>329.0</v>
      </c>
      <c r="E632" s="1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1">
        <v>-8.0</v>
      </c>
      <c r="O632" s="1">
        <v>6.237583333333333</v>
      </c>
    </row>
    <row r="633" ht="15.75" hidden="1" customHeight="1">
      <c r="A633" s="4">
        <v>45533.0</v>
      </c>
      <c r="B633" s="1" t="s">
        <v>88</v>
      </c>
      <c r="C633" s="1" t="s">
        <v>89</v>
      </c>
      <c r="D633" s="1">
        <v>289.0</v>
      </c>
      <c r="E633" s="1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1">
        <v>0.0</v>
      </c>
      <c r="O633" s="1">
        <v>14.06935</v>
      </c>
    </row>
    <row r="634" ht="15.75" hidden="1" customHeight="1">
      <c r="A634" s="4">
        <v>45533.0</v>
      </c>
      <c r="B634" s="1" t="s">
        <v>88</v>
      </c>
      <c r="C634" s="1" t="s">
        <v>89</v>
      </c>
      <c r="D634" s="1">
        <v>299.0</v>
      </c>
      <c r="E634" s="1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1">
        <v>-6.0</v>
      </c>
      <c r="O634" s="1">
        <v>8.090983333333334</v>
      </c>
    </row>
    <row r="635" ht="15.75" hidden="1" customHeight="1">
      <c r="A635" s="4">
        <v>45533.0</v>
      </c>
      <c r="B635" s="1" t="s">
        <v>103</v>
      </c>
      <c r="C635" s="1" t="s">
        <v>104</v>
      </c>
      <c r="D635" s="1">
        <v>264.0</v>
      </c>
      <c r="E635" s="1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1">
        <v>0.0</v>
      </c>
      <c r="O635" s="1">
        <v>6.97265</v>
      </c>
    </row>
    <row r="636" ht="15.75" hidden="1" customHeight="1">
      <c r="A636" s="4">
        <v>45533.0</v>
      </c>
      <c r="B636" s="1" t="s">
        <v>95</v>
      </c>
      <c r="C636" s="1" t="s">
        <v>104</v>
      </c>
      <c r="D636" s="1">
        <v>199.0</v>
      </c>
      <c r="E636" s="1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1">
        <v>-9.0</v>
      </c>
      <c r="O636" s="1">
        <v>9.83025</v>
      </c>
    </row>
    <row r="637" ht="15.75" hidden="1" customHeight="1">
      <c r="A637" s="4">
        <v>45533.0</v>
      </c>
      <c r="B637" s="1" t="s">
        <v>103</v>
      </c>
      <c r="C637" s="1" t="s">
        <v>104</v>
      </c>
      <c r="D637" s="1">
        <v>623.0</v>
      </c>
      <c r="E637" s="1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1">
        <v>2.0</v>
      </c>
      <c r="O637" s="1">
        <v>11.83075</v>
      </c>
    </row>
    <row r="638" ht="15.75" hidden="1" customHeight="1">
      <c r="A638" s="4">
        <v>45533.0</v>
      </c>
      <c r="B638" s="1" t="s">
        <v>95</v>
      </c>
      <c r="C638" s="1" t="s">
        <v>104</v>
      </c>
      <c r="D638" s="1">
        <v>327.0</v>
      </c>
      <c r="E638" s="1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1">
        <v>-29.0</v>
      </c>
      <c r="O638" s="1">
        <v>7.380633333333333</v>
      </c>
    </row>
    <row r="639" ht="15.75" hidden="1" customHeight="1">
      <c r="A639" s="4">
        <v>45533.0</v>
      </c>
      <c r="B639" s="1" t="s">
        <v>103</v>
      </c>
      <c r="C639" s="1" t="s">
        <v>104</v>
      </c>
      <c r="D639" s="1">
        <v>264.0</v>
      </c>
      <c r="E639" s="1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1">
        <v>3.0</v>
      </c>
      <c r="O639" s="1">
        <v>9.158766666666667</v>
      </c>
    </row>
    <row r="640" ht="15.75" hidden="1" customHeight="1">
      <c r="A640" s="4">
        <v>45533.0</v>
      </c>
      <c r="B640" s="1" t="s">
        <v>88</v>
      </c>
      <c r="C640" s="1" t="s">
        <v>89</v>
      </c>
      <c r="D640" s="1">
        <v>329.0</v>
      </c>
      <c r="E640" s="1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1">
        <v>-13.0</v>
      </c>
      <c r="O640" s="1">
        <v>8.345166666666668</v>
      </c>
    </row>
    <row r="641" ht="15.75" hidden="1" customHeight="1">
      <c r="A641" s="4">
        <v>45533.0</v>
      </c>
      <c r="B641" s="1" t="s">
        <v>95</v>
      </c>
      <c r="C641" s="1" t="s">
        <v>104</v>
      </c>
      <c r="D641" s="1">
        <v>1226.0</v>
      </c>
      <c r="E641" s="1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1">
        <v>-4.0</v>
      </c>
      <c r="O641" s="1">
        <v>20.14655</v>
      </c>
    </row>
    <row r="642" ht="15.75" hidden="1" customHeight="1">
      <c r="A642" s="4">
        <v>45533.0</v>
      </c>
      <c r="B642" s="1" t="s">
        <v>88</v>
      </c>
      <c r="C642" s="1" t="s">
        <v>89</v>
      </c>
      <c r="D642" s="1">
        <v>394.0</v>
      </c>
      <c r="E642" s="1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1">
        <v>-7.0</v>
      </c>
      <c r="O642" s="1">
        <v>7.189233333333333</v>
      </c>
    </row>
    <row r="643" ht="15.75" hidden="1" customHeight="1">
      <c r="A643" s="4">
        <v>45533.0</v>
      </c>
      <c r="B643" s="1" t="s">
        <v>95</v>
      </c>
      <c r="C643" s="1" t="s">
        <v>104</v>
      </c>
      <c r="D643" s="1">
        <v>418.0</v>
      </c>
      <c r="E643" s="1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1">
        <v>-8.0</v>
      </c>
      <c r="O643" s="1">
        <v>10.624316666666667</v>
      </c>
    </row>
    <row r="644" ht="15.75" hidden="1" customHeight="1">
      <c r="A644" s="4">
        <v>45533.0</v>
      </c>
      <c r="B644" s="1" t="s">
        <v>107</v>
      </c>
      <c r="C644" s="1" t="s">
        <v>104</v>
      </c>
      <c r="D644" s="1">
        <v>321.0</v>
      </c>
      <c r="E644" s="1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1">
        <v>-6.0</v>
      </c>
      <c r="O644" s="1">
        <v>8.256366666666667</v>
      </c>
    </row>
    <row r="645" ht="15.75" hidden="1" customHeight="1">
      <c r="A645" s="4">
        <v>45533.0</v>
      </c>
      <c r="B645" s="1" t="s">
        <v>95</v>
      </c>
      <c r="C645" s="1" t="s">
        <v>89</v>
      </c>
      <c r="D645" s="1">
        <v>250.0</v>
      </c>
      <c r="E645" s="1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1">
        <v>-7.0</v>
      </c>
      <c r="N645" s="1">
        <v>0.010516666666666667</v>
      </c>
      <c r="O645" s="1">
        <v>10.6056</v>
      </c>
    </row>
    <row r="646" ht="15.75" hidden="1" customHeight="1">
      <c r="A646" s="4">
        <v>45533.0</v>
      </c>
      <c r="B646" s="1" t="s">
        <v>95</v>
      </c>
      <c r="C646" s="1" t="s">
        <v>89</v>
      </c>
      <c r="D646" s="1">
        <v>536.0</v>
      </c>
      <c r="E646" s="1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1">
        <v>-2.0</v>
      </c>
      <c r="N646" s="1">
        <v>0.013516666666666666</v>
      </c>
      <c r="O646" s="1">
        <v>13.534583333333334</v>
      </c>
    </row>
    <row r="647" ht="15.75" hidden="1" customHeight="1">
      <c r="A647" s="4">
        <v>45533.0</v>
      </c>
      <c r="B647" s="1" t="s">
        <v>95</v>
      </c>
      <c r="C647" s="1" t="s">
        <v>89</v>
      </c>
      <c r="D647" s="1">
        <v>557.0</v>
      </c>
      <c r="E647" s="1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1">
        <v>8.0</v>
      </c>
      <c r="N647" s="1">
        <v>0.010283333333333334</v>
      </c>
      <c r="O647" s="1">
        <v>15.466266666666666</v>
      </c>
    </row>
    <row r="648" ht="15.75" hidden="1" customHeight="1">
      <c r="A648" s="4">
        <v>45533.0</v>
      </c>
      <c r="B648" s="1" t="s">
        <v>88</v>
      </c>
      <c r="C648" s="1" t="s">
        <v>89</v>
      </c>
      <c r="D648" s="1">
        <v>723.0</v>
      </c>
      <c r="E648" s="1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1">
        <v>-9.0</v>
      </c>
      <c r="O648" s="1">
        <v>10.71535</v>
      </c>
    </row>
    <row r="649" ht="15.75" hidden="1" customHeight="1">
      <c r="A649" s="4">
        <v>45533.0</v>
      </c>
      <c r="B649" s="1" t="s">
        <v>88</v>
      </c>
      <c r="C649" s="1" t="s">
        <v>89</v>
      </c>
      <c r="D649" s="1">
        <v>329.0</v>
      </c>
      <c r="E649" s="1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1">
        <v>-5.0</v>
      </c>
      <c r="O649" s="1">
        <v>9.40615</v>
      </c>
    </row>
    <row r="650" ht="15.75" hidden="1" customHeight="1">
      <c r="A650" s="4">
        <v>45533.0</v>
      </c>
      <c r="B650" s="1" t="s">
        <v>95</v>
      </c>
      <c r="C650" s="1" t="s">
        <v>89</v>
      </c>
      <c r="D650" s="1">
        <v>309.0</v>
      </c>
      <c r="E650" s="1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1">
        <v>-16.0</v>
      </c>
      <c r="N650" s="1">
        <v>0.010633333333333333</v>
      </c>
      <c r="O650" s="1">
        <v>7.148716666666667</v>
      </c>
    </row>
    <row r="651" ht="15.75" hidden="1" customHeight="1">
      <c r="A651" s="4">
        <v>45533.0</v>
      </c>
      <c r="B651" s="1" t="s">
        <v>95</v>
      </c>
      <c r="C651" s="1" t="s">
        <v>104</v>
      </c>
      <c r="D651" s="1">
        <v>247.0</v>
      </c>
      <c r="E651" s="1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1">
        <v>-6.0</v>
      </c>
      <c r="O651" s="1">
        <v>12.83965</v>
      </c>
    </row>
    <row r="652" ht="15.75" hidden="1" customHeight="1">
      <c r="A652" s="4">
        <v>45533.0</v>
      </c>
      <c r="B652" s="1" t="s">
        <v>103</v>
      </c>
      <c r="C652" s="1" t="s">
        <v>104</v>
      </c>
      <c r="D652" s="1">
        <v>413.0</v>
      </c>
      <c r="E652" s="1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1">
        <v>0.0</v>
      </c>
      <c r="O652" s="1">
        <v>7.458283333333333</v>
      </c>
    </row>
    <row r="653" ht="15.75" hidden="1" customHeight="1">
      <c r="A653" s="4">
        <v>45533.0</v>
      </c>
      <c r="B653" s="1" t="s">
        <v>103</v>
      </c>
      <c r="C653" s="1" t="s">
        <v>104</v>
      </c>
      <c r="D653" s="1">
        <v>329.0</v>
      </c>
      <c r="E653" s="1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1">
        <v>0.0</v>
      </c>
      <c r="O653" s="1">
        <v>6.293783333333334</v>
      </c>
    </row>
    <row r="654" ht="15.75" hidden="1" customHeight="1">
      <c r="A654" s="4">
        <v>45533.0</v>
      </c>
      <c r="B654" s="1" t="s">
        <v>95</v>
      </c>
      <c r="C654" s="1" t="s">
        <v>104</v>
      </c>
      <c r="D654" s="1">
        <v>283.0</v>
      </c>
      <c r="E654" s="1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1">
        <v>-13.0</v>
      </c>
      <c r="O654" s="1">
        <v>6.6659</v>
      </c>
    </row>
    <row r="655" ht="15.75" hidden="1" customHeight="1">
      <c r="A655" s="4">
        <v>45533.0</v>
      </c>
      <c r="B655" s="1" t="s">
        <v>95</v>
      </c>
      <c r="C655" s="1" t="s">
        <v>89</v>
      </c>
      <c r="D655" s="1">
        <v>598.0</v>
      </c>
      <c r="E655" s="1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1">
        <v>0.0</v>
      </c>
      <c r="N655" s="1">
        <v>0.01275</v>
      </c>
      <c r="O655" s="1">
        <v>12.56435</v>
      </c>
    </row>
    <row r="656" ht="15.75" hidden="1" customHeight="1">
      <c r="A656" s="4">
        <v>45533.0</v>
      </c>
      <c r="B656" s="1" t="s">
        <v>103</v>
      </c>
      <c r="C656" s="1" t="s">
        <v>104</v>
      </c>
      <c r="D656" s="1">
        <v>1046.0</v>
      </c>
      <c r="E656" s="1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1">
        <v>-1.0</v>
      </c>
      <c r="O656" s="1">
        <v>10.647983333333332</v>
      </c>
    </row>
    <row r="657" ht="15.75" hidden="1" customHeight="1">
      <c r="A657" s="4">
        <v>45533.0</v>
      </c>
      <c r="B657" s="1" t="s">
        <v>103</v>
      </c>
      <c r="C657" s="1" t="s">
        <v>104</v>
      </c>
      <c r="D657" s="1">
        <v>294.0</v>
      </c>
      <c r="E657" s="1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1">
        <v>-1.0</v>
      </c>
      <c r="O657" s="1">
        <v>5.049516666666666</v>
      </c>
    </row>
    <row r="658" ht="15.75" hidden="1" customHeight="1">
      <c r="A658" s="4">
        <v>45533.0</v>
      </c>
      <c r="B658" s="1" t="s">
        <v>95</v>
      </c>
      <c r="C658" s="1" t="s">
        <v>89</v>
      </c>
      <c r="D658" s="1">
        <v>526.0</v>
      </c>
      <c r="E658" s="1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1">
        <v>19.0</v>
      </c>
      <c r="N658" s="1">
        <v>19.153433333333332</v>
      </c>
      <c r="O658" s="1">
        <v>17.865766666666666</v>
      </c>
    </row>
    <row r="659" ht="15.75" hidden="1" customHeight="1">
      <c r="A659" s="4">
        <v>45533.0</v>
      </c>
      <c r="B659" s="1" t="s">
        <v>95</v>
      </c>
      <c r="C659" s="1" t="s">
        <v>89</v>
      </c>
      <c r="D659" s="1">
        <v>612.0</v>
      </c>
      <c r="E659" s="1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1">
        <v>-6.0</v>
      </c>
      <c r="N659" s="1">
        <v>4.920866666666667</v>
      </c>
      <c r="O659" s="1">
        <v>13.4175</v>
      </c>
    </row>
    <row r="660" ht="15.75" hidden="1" customHeight="1">
      <c r="A660" s="4">
        <v>45533.0</v>
      </c>
      <c r="B660" s="1" t="s">
        <v>95</v>
      </c>
      <c r="C660" s="1" t="s">
        <v>89</v>
      </c>
      <c r="D660" s="1">
        <v>608.0</v>
      </c>
      <c r="E660" s="1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1">
        <v>-9.0</v>
      </c>
      <c r="N660" s="1">
        <v>0.0136</v>
      </c>
      <c r="O660" s="1">
        <v>26.833016666666666</v>
      </c>
    </row>
    <row r="661" ht="15.75" hidden="1" customHeight="1">
      <c r="A661" s="4">
        <v>45533.0</v>
      </c>
      <c r="B661" s="1" t="s">
        <v>95</v>
      </c>
      <c r="C661" s="1" t="s">
        <v>89</v>
      </c>
      <c r="D661" s="1">
        <v>962.0</v>
      </c>
      <c r="E661" s="1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1">
        <v>-10.0</v>
      </c>
      <c r="N661" s="1">
        <v>0.01806666666666667</v>
      </c>
      <c r="O661" s="1">
        <v>12.392233333333333</v>
      </c>
    </row>
    <row r="662" ht="15.75" hidden="1" customHeight="1">
      <c r="A662" s="4">
        <v>45533.0</v>
      </c>
      <c r="B662" s="1" t="s">
        <v>88</v>
      </c>
      <c r="C662" s="1" t="s">
        <v>89</v>
      </c>
      <c r="D662" s="1">
        <v>338.0</v>
      </c>
      <c r="E662" s="1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1">
        <v>-8.0</v>
      </c>
      <c r="O662" s="1">
        <v>6.239933333333333</v>
      </c>
    </row>
    <row r="663" ht="15.75" hidden="1" customHeight="1">
      <c r="A663" s="4">
        <v>45533.0</v>
      </c>
      <c r="B663" s="1" t="s">
        <v>95</v>
      </c>
      <c r="C663" s="1" t="s">
        <v>89</v>
      </c>
      <c r="D663" s="1">
        <v>309.0</v>
      </c>
      <c r="E663" s="1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1">
        <v>-7.0</v>
      </c>
      <c r="N663" s="1">
        <v>0.009783333333333333</v>
      </c>
      <c r="O663" s="1">
        <v>10.378666666666666</v>
      </c>
    </row>
    <row r="664" ht="15.75" hidden="1" customHeight="1">
      <c r="A664" s="4">
        <v>45533.0</v>
      </c>
      <c r="B664" s="1" t="s">
        <v>88</v>
      </c>
      <c r="C664" s="1" t="s">
        <v>89</v>
      </c>
      <c r="D664" s="1">
        <v>448.0</v>
      </c>
      <c r="E664" s="1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1">
        <v>-8.0</v>
      </c>
      <c r="O664" s="1">
        <v>6.6154166666666665</v>
      </c>
    </row>
    <row r="665" ht="15.75" hidden="1" customHeight="1">
      <c r="A665" s="4">
        <v>45533.0</v>
      </c>
      <c r="B665" s="1" t="s">
        <v>103</v>
      </c>
      <c r="C665" s="1" t="s">
        <v>104</v>
      </c>
      <c r="D665" s="1">
        <v>333.0</v>
      </c>
      <c r="E665" s="1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1">
        <v>0.0</v>
      </c>
      <c r="O665" s="1">
        <v>6.37395</v>
      </c>
    </row>
    <row r="666" ht="15.75" hidden="1" customHeight="1">
      <c r="A666" s="4">
        <v>45533.0</v>
      </c>
      <c r="B666" s="1" t="s">
        <v>88</v>
      </c>
      <c r="C666" s="1" t="s">
        <v>89</v>
      </c>
      <c r="D666" s="1">
        <v>299.0</v>
      </c>
      <c r="E666" s="1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1">
        <v>-8.0</v>
      </c>
      <c r="O666" s="1">
        <v>6.5181</v>
      </c>
    </row>
    <row r="667" ht="15.75" hidden="1" customHeight="1">
      <c r="A667" s="4">
        <v>45533.0</v>
      </c>
      <c r="B667" s="1" t="s">
        <v>103</v>
      </c>
      <c r="C667" s="1" t="s">
        <v>104</v>
      </c>
      <c r="D667" s="1">
        <v>528.0</v>
      </c>
      <c r="E667" s="1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1">
        <v>-1.0</v>
      </c>
      <c r="O667" s="1">
        <v>7.06135</v>
      </c>
    </row>
    <row r="668" ht="15.75" hidden="1" customHeight="1">
      <c r="A668" s="4">
        <v>45533.0</v>
      </c>
      <c r="B668" s="1" t="s">
        <v>95</v>
      </c>
      <c r="C668" s="1" t="s">
        <v>104</v>
      </c>
      <c r="D668" s="1">
        <v>567.0</v>
      </c>
      <c r="E668" s="1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1">
        <v>-14.0</v>
      </c>
      <c r="O668" s="1">
        <v>9.3109</v>
      </c>
    </row>
    <row r="669" ht="15.75" hidden="1" customHeight="1">
      <c r="A669" s="4">
        <v>45533.0</v>
      </c>
      <c r="B669" s="1" t="s">
        <v>103</v>
      </c>
      <c r="C669" s="1" t="s">
        <v>104</v>
      </c>
      <c r="D669" s="1">
        <v>916.0</v>
      </c>
      <c r="E669" s="1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1">
        <v>-3.0</v>
      </c>
      <c r="O669" s="1">
        <v>8.468783333333333</v>
      </c>
    </row>
    <row r="670" ht="15.75" hidden="1" customHeight="1">
      <c r="A670" s="4">
        <v>45533.0</v>
      </c>
      <c r="B670" s="1" t="s">
        <v>88</v>
      </c>
      <c r="C670" s="1" t="s">
        <v>89</v>
      </c>
      <c r="D670" s="1">
        <v>593.0</v>
      </c>
      <c r="E670" s="1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1">
        <v>-7.0</v>
      </c>
      <c r="O670" s="1">
        <v>12.909966666666667</v>
      </c>
    </row>
    <row r="671" ht="15.75" hidden="1" customHeight="1">
      <c r="A671" s="4">
        <v>45533.0</v>
      </c>
      <c r="B671" s="1" t="s">
        <v>103</v>
      </c>
      <c r="C671" s="1" t="s">
        <v>104</v>
      </c>
      <c r="D671" s="1">
        <v>553.0</v>
      </c>
      <c r="E671" s="1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1">
        <v>2.0</v>
      </c>
      <c r="O671" s="1">
        <v>10.237966666666667</v>
      </c>
    </row>
    <row r="672" ht="15.75" hidden="1" customHeight="1">
      <c r="A672" s="4">
        <v>45533.0</v>
      </c>
      <c r="B672" s="1" t="s">
        <v>95</v>
      </c>
      <c r="C672" s="1" t="s">
        <v>104</v>
      </c>
      <c r="D672" s="1">
        <v>247.0</v>
      </c>
      <c r="E672" s="1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1">
        <v>-5.0</v>
      </c>
      <c r="O672" s="1">
        <v>14.5452</v>
      </c>
    </row>
    <row r="673" ht="15.75" hidden="1" customHeight="1">
      <c r="A673" s="4">
        <v>45533.0</v>
      </c>
      <c r="B673" s="1" t="s">
        <v>103</v>
      </c>
      <c r="C673" s="1" t="s">
        <v>104</v>
      </c>
      <c r="D673" s="1">
        <v>837.0</v>
      </c>
      <c r="E673" s="1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1">
        <v>0.0</v>
      </c>
      <c r="O673" s="1">
        <v>12.92075</v>
      </c>
    </row>
    <row r="674" ht="15.75" hidden="1" customHeight="1">
      <c r="A674" s="4">
        <v>45533.0</v>
      </c>
      <c r="B674" s="1" t="s">
        <v>103</v>
      </c>
      <c r="C674" s="1" t="s">
        <v>104</v>
      </c>
      <c r="D674" s="1">
        <v>321.0</v>
      </c>
      <c r="E674" s="1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1">
        <v>-2.0</v>
      </c>
      <c r="O674" s="1">
        <v>5.09675</v>
      </c>
    </row>
    <row r="675" ht="15.75" hidden="1" customHeight="1">
      <c r="A675" s="4">
        <v>45533.0</v>
      </c>
      <c r="B675" s="1" t="s">
        <v>95</v>
      </c>
      <c r="C675" s="1" t="s">
        <v>89</v>
      </c>
      <c r="D675" s="1">
        <v>389.0</v>
      </c>
      <c r="E675" s="1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1">
        <v>-12.0</v>
      </c>
      <c r="N675" s="1">
        <v>0.010633333333333333</v>
      </c>
      <c r="O675" s="1">
        <v>12.50365</v>
      </c>
    </row>
    <row r="676" ht="15.75" hidden="1" customHeight="1">
      <c r="A676" s="4">
        <v>45533.0</v>
      </c>
      <c r="B676" s="1" t="s">
        <v>103</v>
      </c>
      <c r="C676" s="1" t="s">
        <v>104</v>
      </c>
      <c r="D676" s="1">
        <v>602.0</v>
      </c>
      <c r="E676" s="1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1">
        <v>0.0</v>
      </c>
      <c r="O676" s="1">
        <v>7.99045</v>
      </c>
    </row>
    <row r="677" ht="15.75" hidden="1" customHeight="1">
      <c r="A677" s="4">
        <v>45533.0</v>
      </c>
      <c r="B677" s="1" t="s">
        <v>88</v>
      </c>
      <c r="C677" s="1" t="s">
        <v>89</v>
      </c>
      <c r="D677" s="1">
        <v>329.0</v>
      </c>
      <c r="E677" s="1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1">
        <v>-4.0</v>
      </c>
      <c r="O677" s="1">
        <v>10.069316666666667</v>
      </c>
    </row>
    <row r="678" ht="15.75" hidden="1" customHeight="1">
      <c r="A678" s="4">
        <v>45533.0</v>
      </c>
      <c r="B678" s="1" t="s">
        <v>103</v>
      </c>
      <c r="C678" s="1" t="s">
        <v>104</v>
      </c>
      <c r="D678" s="1">
        <v>264.0</v>
      </c>
      <c r="E678" s="1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1">
        <v>-1.0</v>
      </c>
      <c r="O678" s="1">
        <v>5.865616666666667</v>
      </c>
    </row>
    <row r="679" ht="15.75" hidden="1" customHeight="1">
      <c r="A679" s="4">
        <v>45533.0</v>
      </c>
      <c r="B679" s="1" t="s">
        <v>88</v>
      </c>
      <c r="C679" s="1" t="s">
        <v>89</v>
      </c>
      <c r="D679" s="1">
        <v>329.0</v>
      </c>
      <c r="E679" s="1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1">
        <v>-9.0</v>
      </c>
      <c r="O679" s="1">
        <v>5.5892</v>
      </c>
    </row>
    <row r="680" ht="15.75" hidden="1" customHeight="1">
      <c r="A680" s="4">
        <v>45533.0</v>
      </c>
      <c r="B680" s="1" t="s">
        <v>103</v>
      </c>
      <c r="C680" s="1" t="s">
        <v>104</v>
      </c>
      <c r="D680" s="1">
        <v>264.0</v>
      </c>
      <c r="E680" s="1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1">
        <v>-2.0</v>
      </c>
      <c r="O680" s="1">
        <v>4.668516666666667</v>
      </c>
    </row>
    <row r="681" ht="15.75" hidden="1" customHeight="1">
      <c r="A681" s="4">
        <v>45533.0</v>
      </c>
      <c r="B681" s="1" t="s">
        <v>103</v>
      </c>
      <c r="C681" s="1" t="s">
        <v>104</v>
      </c>
      <c r="D681" s="1">
        <v>378.0</v>
      </c>
      <c r="E681" s="1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1">
        <v>0.0</v>
      </c>
      <c r="O681" s="1">
        <v>7.481233333333333</v>
      </c>
    </row>
    <row r="682" ht="15.75" hidden="1" customHeight="1">
      <c r="A682" s="4">
        <v>45533.0</v>
      </c>
      <c r="B682" s="1" t="s">
        <v>88</v>
      </c>
      <c r="C682" s="1" t="s">
        <v>89</v>
      </c>
      <c r="D682" s="1">
        <v>352.0</v>
      </c>
      <c r="E682" s="1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1">
        <v>-9.0</v>
      </c>
      <c r="O682" s="1">
        <v>5.822066666666666</v>
      </c>
    </row>
    <row r="683" ht="15.75" hidden="1" customHeight="1">
      <c r="A683" s="4">
        <v>45533.0</v>
      </c>
      <c r="B683" s="1" t="s">
        <v>88</v>
      </c>
      <c r="C683" s="1" t="s">
        <v>89</v>
      </c>
      <c r="D683" s="1">
        <v>429.0</v>
      </c>
      <c r="E683" s="1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1">
        <v>-6.0</v>
      </c>
      <c r="O683" s="1">
        <v>8.1047</v>
      </c>
    </row>
    <row r="684" ht="15.75" hidden="1" customHeight="1">
      <c r="A684" s="4">
        <v>45533.0</v>
      </c>
      <c r="B684" s="1" t="s">
        <v>95</v>
      </c>
      <c r="C684" s="1" t="s">
        <v>104</v>
      </c>
      <c r="D684" s="1">
        <v>199.0</v>
      </c>
      <c r="E684" s="1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1">
        <v>-11.0</v>
      </c>
      <c r="O684" s="1">
        <v>7.4343</v>
      </c>
    </row>
    <row r="685" ht="15.75" hidden="1" customHeight="1">
      <c r="A685" s="4">
        <v>45533.0</v>
      </c>
      <c r="B685" s="1" t="s">
        <v>95</v>
      </c>
      <c r="C685" s="1" t="s">
        <v>104</v>
      </c>
      <c r="D685" s="1">
        <v>366.0</v>
      </c>
      <c r="E685" s="1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1">
        <v>-12.0</v>
      </c>
      <c r="O685" s="1">
        <v>11.16695</v>
      </c>
    </row>
    <row r="686" ht="15.75" hidden="1" customHeight="1">
      <c r="A686" s="4">
        <v>45533.0</v>
      </c>
      <c r="B686" s="1" t="s">
        <v>103</v>
      </c>
      <c r="C686" s="1" t="s">
        <v>104</v>
      </c>
      <c r="D686" s="1">
        <v>634.0</v>
      </c>
      <c r="E686" s="1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1">
        <v>1.0</v>
      </c>
      <c r="O686" s="1">
        <v>10.57485</v>
      </c>
    </row>
    <row r="687" ht="15.75" hidden="1" customHeight="1">
      <c r="A687" s="4">
        <v>45533.0</v>
      </c>
      <c r="B687" s="1" t="s">
        <v>95</v>
      </c>
      <c r="C687" s="1" t="s">
        <v>104</v>
      </c>
      <c r="D687" s="1">
        <v>598.0</v>
      </c>
      <c r="E687" s="1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1">
        <v>-11.0</v>
      </c>
      <c r="O687" s="1">
        <v>12.675183333333333</v>
      </c>
    </row>
    <row r="688" ht="15.75" hidden="1" customHeight="1">
      <c r="A688" s="4">
        <v>45533.0</v>
      </c>
      <c r="B688" s="1" t="s">
        <v>95</v>
      </c>
      <c r="C688" s="1" t="s">
        <v>89</v>
      </c>
      <c r="D688" s="1">
        <v>319.0</v>
      </c>
      <c r="E688" s="1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1">
        <v>-11.0</v>
      </c>
      <c r="N688" s="1">
        <v>0.00825</v>
      </c>
      <c r="O688" s="1">
        <v>7.716183333333333</v>
      </c>
    </row>
    <row r="689" ht="15.75" hidden="1" customHeight="1">
      <c r="A689" s="4">
        <v>45533.0</v>
      </c>
      <c r="B689" s="1" t="s">
        <v>103</v>
      </c>
      <c r="C689" s="1" t="s">
        <v>104</v>
      </c>
      <c r="D689" s="1">
        <v>273.0</v>
      </c>
      <c r="E689" s="1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1">
        <v>0.0</v>
      </c>
      <c r="O689" s="1">
        <v>6.952816666666667</v>
      </c>
    </row>
    <row r="690" ht="15.75" hidden="1" customHeight="1">
      <c r="A690" s="4">
        <v>45533.0</v>
      </c>
      <c r="B690" s="1" t="s">
        <v>88</v>
      </c>
      <c r="C690" s="1" t="s">
        <v>89</v>
      </c>
      <c r="D690" s="1">
        <v>149.0</v>
      </c>
      <c r="E690" s="1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1">
        <v>-8.0</v>
      </c>
      <c r="O690" s="1">
        <v>6.400883333333334</v>
      </c>
    </row>
    <row r="691" ht="15.75" hidden="1" customHeight="1">
      <c r="A691" s="4">
        <v>45533.0</v>
      </c>
      <c r="B691" s="1" t="s">
        <v>103</v>
      </c>
      <c r="C691" s="1" t="s">
        <v>104</v>
      </c>
      <c r="D691" s="1">
        <v>528.0</v>
      </c>
      <c r="E691" s="1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1">
        <v>0.0</v>
      </c>
      <c r="O691" s="1">
        <v>7.731433333333333</v>
      </c>
    </row>
    <row r="692" ht="15.75" hidden="1" customHeight="1">
      <c r="A692" s="4">
        <v>45533.0</v>
      </c>
      <c r="B692" s="1" t="s">
        <v>228</v>
      </c>
      <c r="C692" s="1" t="s">
        <v>104</v>
      </c>
      <c r="D692" s="1">
        <v>498.0</v>
      </c>
      <c r="E692" s="1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1">
        <v>4.0</v>
      </c>
      <c r="O692" s="1">
        <v>9.030433333333333</v>
      </c>
    </row>
    <row r="693" ht="15.75" hidden="1" customHeight="1">
      <c r="A693" s="4">
        <v>45533.0</v>
      </c>
      <c r="B693" s="1" t="s">
        <v>103</v>
      </c>
      <c r="C693" s="1" t="s">
        <v>104</v>
      </c>
      <c r="D693" s="1">
        <v>577.0</v>
      </c>
      <c r="E693" s="1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1">
        <v>2.0</v>
      </c>
      <c r="O693" s="1">
        <v>11.022516666666666</v>
      </c>
    </row>
    <row r="694" ht="15.75" hidden="1" customHeight="1">
      <c r="A694" s="4">
        <v>45533.0</v>
      </c>
      <c r="B694" s="1" t="s">
        <v>95</v>
      </c>
      <c r="C694" s="1" t="s">
        <v>104</v>
      </c>
      <c r="D694" s="1">
        <v>489.0</v>
      </c>
      <c r="E694" s="1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1">
        <v>-9.0</v>
      </c>
      <c r="O694" s="1">
        <v>8.424366666666666</v>
      </c>
    </row>
    <row r="695" ht="15.75" hidden="1" customHeight="1">
      <c r="A695" s="4">
        <v>45533.0</v>
      </c>
      <c r="B695" s="1" t="s">
        <v>95</v>
      </c>
      <c r="C695" s="1" t="s">
        <v>89</v>
      </c>
      <c r="D695" s="1">
        <v>239.0</v>
      </c>
      <c r="E695" s="1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1">
        <v>-2.0</v>
      </c>
      <c r="N695" s="1">
        <v>0.00975</v>
      </c>
      <c r="O695" s="1">
        <v>7.53125</v>
      </c>
    </row>
    <row r="696" ht="15.75" hidden="1" customHeight="1">
      <c r="A696" s="4">
        <v>45533.0</v>
      </c>
      <c r="B696" s="1" t="s">
        <v>103</v>
      </c>
      <c r="C696" s="1" t="s">
        <v>104</v>
      </c>
      <c r="D696" s="1">
        <v>214.0</v>
      </c>
      <c r="E696" s="1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1">
        <v>4.0</v>
      </c>
      <c r="O696" s="1">
        <v>10.902583333333334</v>
      </c>
    </row>
    <row r="697" ht="15.75" hidden="1" customHeight="1">
      <c r="A697" s="4">
        <v>45533.0</v>
      </c>
      <c r="B697" s="1" t="s">
        <v>88</v>
      </c>
      <c r="C697" s="1" t="s">
        <v>89</v>
      </c>
      <c r="D697" s="1">
        <v>642.0</v>
      </c>
      <c r="E697" s="1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1">
        <v>-10.0</v>
      </c>
      <c r="O697" s="1">
        <v>9.456133333333334</v>
      </c>
    </row>
    <row r="698" ht="15.75" hidden="1" customHeight="1">
      <c r="A698" s="4">
        <v>45533.0</v>
      </c>
      <c r="B698" s="1" t="s">
        <v>88</v>
      </c>
      <c r="C698" s="1" t="s">
        <v>89</v>
      </c>
      <c r="D698" s="1">
        <v>264.0</v>
      </c>
      <c r="E698" s="1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1">
        <v>-2.0</v>
      </c>
      <c r="O698" s="1">
        <v>12.417083333333334</v>
      </c>
    </row>
    <row r="699" ht="15.75" hidden="1" customHeight="1">
      <c r="A699" s="4">
        <v>45533.0</v>
      </c>
      <c r="B699" s="1" t="s">
        <v>107</v>
      </c>
      <c r="C699" s="1" t="s">
        <v>89</v>
      </c>
      <c r="D699" s="1">
        <v>321.0</v>
      </c>
      <c r="E699" s="1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1">
        <v>-2.0</v>
      </c>
      <c r="O699" s="1">
        <v>12.633516666666667</v>
      </c>
    </row>
    <row r="700" ht="15.75" hidden="1" customHeight="1">
      <c r="A700" s="4">
        <v>45533.0</v>
      </c>
      <c r="B700" s="1" t="s">
        <v>103</v>
      </c>
      <c r="C700" s="1" t="s">
        <v>89</v>
      </c>
      <c r="D700" s="1">
        <v>553.0</v>
      </c>
      <c r="E700" s="1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1">
        <v>2.0</v>
      </c>
      <c r="O700" s="1">
        <v>11.541333333333334</v>
      </c>
    </row>
    <row r="701" ht="15.75" hidden="1" customHeight="1">
      <c r="A701" s="4">
        <v>45533.0</v>
      </c>
      <c r="B701" s="1" t="s">
        <v>103</v>
      </c>
      <c r="C701" s="1" t="s">
        <v>89</v>
      </c>
      <c r="D701" s="1">
        <v>307.0</v>
      </c>
      <c r="E701" s="1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1">
        <v>0.0</v>
      </c>
      <c r="O701" s="1">
        <v>7.247166666666667</v>
      </c>
    </row>
    <row r="702" ht="15.75" hidden="1" customHeight="1">
      <c r="A702" s="4">
        <v>45533.0</v>
      </c>
      <c r="B702" s="1" t="s">
        <v>95</v>
      </c>
      <c r="C702" s="1" t="s">
        <v>89</v>
      </c>
      <c r="D702" s="1">
        <v>360.0</v>
      </c>
      <c r="E702" s="1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1">
        <v>-17.0</v>
      </c>
      <c r="O702" s="1">
        <v>16.858766666666668</v>
      </c>
    </row>
    <row r="703" ht="15.75" hidden="1" customHeight="1">
      <c r="A703" s="4">
        <v>45533.0</v>
      </c>
      <c r="B703" s="1" t="s">
        <v>95</v>
      </c>
      <c r="C703" s="1" t="s">
        <v>89</v>
      </c>
      <c r="D703" s="1">
        <v>367.0</v>
      </c>
      <c r="E703" s="1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1">
        <v>-1.0</v>
      </c>
      <c r="N703" s="1">
        <v>0.013316666666666666</v>
      </c>
      <c r="O703" s="1">
        <v>11.385816666666667</v>
      </c>
    </row>
    <row r="704" ht="15.75" hidden="1" customHeight="1">
      <c r="A704" s="4">
        <v>45533.0</v>
      </c>
      <c r="B704" s="1" t="s">
        <v>95</v>
      </c>
      <c r="C704" s="1" t="s">
        <v>89</v>
      </c>
      <c r="D704" s="1">
        <v>937.0</v>
      </c>
      <c r="E704" s="1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1">
        <v>0.0</v>
      </c>
      <c r="N704" s="1">
        <v>0.01325</v>
      </c>
      <c r="O704" s="1">
        <v>32.61991666666667</v>
      </c>
    </row>
    <row r="705" ht="15.75" hidden="1" customHeight="1">
      <c r="A705" s="4">
        <v>45533.0</v>
      </c>
      <c r="B705" s="1" t="s">
        <v>88</v>
      </c>
      <c r="C705" s="1" t="s">
        <v>89</v>
      </c>
      <c r="D705" s="1">
        <v>264.0</v>
      </c>
      <c r="E705" s="1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1">
        <v>-7.0</v>
      </c>
      <c r="O705" s="1">
        <v>7.8219666666666665</v>
      </c>
    </row>
    <row r="706" ht="15.75" hidden="1" customHeight="1">
      <c r="A706" s="4">
        <v>45533.0</v>
      </c>
      <c r="B706" s="1" t="s">
        <v>95</v>
      </c>
      <c r="C706" s="1" t="s">
        <v>89</v>
      </c>
      <c r="D706" s="1">
        <v>1485.0</v>
      </c>
      <c r="E706" s="1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1">
        <v>-8.0</v>
      </c>
      <c r="N706" s="1">
        <v>0.0031166666666666665</v>
      </c>
      <c r="O706" s="1">
        <v>16.231466666666666</v>
      </c>
    </row>
    <row r="707" ht="15.75" hidden="1" customHeight="1">
      <c r="A707" s="4">
        <v>45533.0</v>
      </c>
      <c r="B707" s="1" t="s">
        <v>88</v>
      </c>
      <c r="C707" s="1" t="s">
        <v>89</v>
      </c>
      <c r="D707" s="1">
        <v>329.0</v>
      </c>
      <c r="E707" s="1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1">
        <v>-8.0</v>
      </c>
      <c r="O707" s="1">
        <v>6.401433333333333</v>
      </c>
    </row>
    <row r="708" ht="15.75" hidden="1" customHeight="1">
      <c r="A708" s="4">
        <v>45533.0</v>
      </c>
      <c r="B708" s="1" t="s">
        <v>88</v>
      </c>
      <c r="C708" s="1" t="s">
        <v>89</v>
      </c>
      <c r="D708" s="1">
        <v>264.0</v>
      </c>
      <c r="E708" s="1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1">
        <v>-9.0</v>
      </c>
      <c r="O708" s="1">
        <v>6.054483333333334</v>
      </c>
    </row>
    <row r="709" ht="15.75" hidden="1" customHeight="1">
      <c r="A709" s="4">
        <v>45533.0</v>
      </c>
      <c r="B709" s="1" t="s">
        <v>107</v>
      </c>
      <c r="C709" s="1" t="s">
        <v>89</v>
      </c>
      <c r="D709" s="1">
        <v>329.0</v>
      </c>
      <c r="E709" s="1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1">
        <v>-8.0</v>
      </c>
      <c r="O709" s="1">
        <v>6.46665</v>
      </c>
    </row>
    <row r="710" ht="15.75" hidden="1" customHeight="1">
      <c r="A710" s="4">
        <v>45533.0</v>
      </c>
      <c r="B710" s="1" t="s">
        <v>103</v>
      </c>
      <c r="C710" s="1" t="s">
        <v>89</v>
      </c>
      <c r="D710" s="1">
        <v>264.0</v>
      </c>
      <c r="E710" s="1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1">
        <v>-1.0</v>
      </c>
      <c r="O710" s="1">
        <v>5.62345</v>
      </c>
    </row>
    <row r="711" ht="15.75" hidden="1" customHeight="1">
      <c r="A711" s="4">
        <v>45533.0</v>
      </c>
      <c r="B711" s="1" t="s">
        <v>107</v>
      </c>
      <c r="C711" s="1" t="s">
        <v>89</v>
      </c>
      <c r="D711" s="1">
        <v>289.0</v>
      </c>
      <c r="E711" s="1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1">
        <v>-7.0</v>
      </c>
      <c r="O711" s="1">
        <v>7.274466666666667</v>
      </c>
    </row>
    <row r="712" ht="15.75" hidden="1" customHeight="1">
      <c r="A712" s="4">
        <v>45533.0</v>
      </c>
      <c r="B712" s="1" t="s">
        <v>88</v>
      </c>
      <c r="C712" s="1" t="s">
        <v>89</v>
      </c>
      <c r="D712" s="1">
        <v>264.0</v>
      </c>
      <c r="E712" s="1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1">
        <v>-11.0</v>
      </c>
      <c r="O712" s="1">
        <v>8.209883333333334</v>
      </c>
    </row>
    <row r="713" ht="15.75" hidden="1" customHeight="1">
      <c r="A713" s="4">
        <v>45533.0</v>
      </c>
      <c r="B713" s="1" t="s">
        <v>95</v>
      </c>
      <c r="C713" s="1" t="s">
        <v>89</v>
      </c>
      <c r="D713" s="1">
        <v>247.0</v>
      </c>
      <c r="E713" s="1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1">
        <v>-6.0</v>
      </c>
      <c r="O713" s="1">
        <v>21.332933333333333</v>
      </c>
    </row>
    <row r="714" ht="15.75" hidden="1" customHeight="1">
      <c r="A714" s="4">
        <v>45533.0</v>
      </c>
      <c r="B714" s="1" t="s">
        <v>95</v>
      </c>
      <c r="C714" s="1" t="s">
        <v>89</v>
      </c>
      <c r="D714" s="1">
        <v>239.0</v>
      </c>
      <c r="E714" s="1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1">
        <v>-6.0</v>
      </c>
      <c r="O714" s="1">
        <v>12.399683333333334</v>
      </c>
    </row>
    <row r="715" ht="15.75" hidden="1" customHeight="1">
      <c r="A715" s="4">
        <v>45533.0</v>
      </c>
      <c r="B715" s="1" t="s">
        <v>103</v>
      </c>
      <c r="C715" s="1" t="s">
        <v>89</v>
      </c>
      <c r="D715" s="1">
        <v>264.0</v>
      </c>
      <c r="E715" s="1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1">
        <v>4.0</v>
      </c>
      <c r="O715" s="1">
        <v>11.49375</v>
      </c>
    </row>
    <row r="716" ht="15.75" hidden="1" customHeight="1">
      <c r="A716" s="4">
        <v>45533.0</v>
      </c>
      <c r="B716" s="1" t="s">
        <v>103</v>
      </c>
      <c r="C716" s="1" t="s">
        <v>89</v>
      </c>
      <c r="D716" s="1">
        <v>264.0</v>
      </c>
      <c r="E716" s="1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1">
        <v>7.0</v>
      </c>
      <c r="O716" s="1">
        <v>14.403133333333333</v>
      </c>
    </row>
    <row r="717" ht="15.75" hidden="1" customHeight="1">
      <c r="A717" s="4">
        <v>45533.0</v>
      </c>
      <c r="B717" s="1" t="s">
        <v>95</v>
      </c>
      <c r="C717" s="1" t="s">
        <v>89</v>
      </c>
      <c r="D717" s="1">
        <v>742.0</v>
      </c>
      <c r="E717" s="1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1">
        <v>9.0</v>
      </c>
      <c r="O717" s="1">
        <v>34.13665</v>
      </c>
    </row>
    <row r="718" ht="15.75" hidden="1" customHeight="1">
      <c r="A718" s="4">
        <v>45533.0</v>
      </c>
      <c r="B718" s="1" t="s">
        <v>95</v>
      </c>
      <c r="C718" s="1" t="s">
        <v>89</v>
      </c>
      <c r="D718" s="1">
        <v>248.0</v>
      </c>
      <c r="E718" s="1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1">
        <v>1.0</v>
      </c>
      <c r="O718" s="1">
        <v>20.995466666666665</v>
      </c>
    </row>
    <row r="719" ht="15.75" hidden="1" customHeight="1">
      <c r="A719" s="4">
        <v>45533.0</v>
      </c>
      <c r="B719" s="1" t="s">
        <v>107</v>
      </c>
      <c r="C719" s="1" t="s">
        <v>89</v>
      </c>
      <c r="D719" s="1">
        <v>593.0</v>
      </c>
      <c r="E719" s="1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1">
        <v>-9.0</v>
      </c>
      <c r="O719" s="1">
        <v>10.5444</v>
      </c>
    </row>
    <row r="720" ht="15.75" hidden="1" customHeight="1">
      <c r="A720" s="4">
        <v>45533.0</v>
      </c>
      <c r="B720" s="1" t="s">
        <v>95</v>
      </c>
      <c r="C720" s="1" t="s">
        <v>89</v>
      </c>
      <c r="D720" s="1">
        <v>642.0</v>
      </c>
      <c r="E720" s="1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1">
        <v>13.0</v>
      </c>
      <c r="N720" s="1">
        <v>13.60045</v>
      </c>
      <c r="O720" s="1">
        <v>39.52985</v>
      </c>
    </row>
    <row r="721" ht="15.75" hidden="1" customHeight="1">
      <c r="A721" s="4">
        <v>45533.0</v>
      </c>
      <c r="B721" s="1" t="s">
        <v>95</v>
      </c>
      <c r="C721" s="1" t="s">
        <v>89</v>
      </c>
      <c r="D721" s="1">
        <v>184.0</v>
      </c>
      <c r="E721" s="1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1">
        <v>3.0</v>
      </c>
      <c r="O721" s="1">
        <v>21.879433333333335</v>
      </c>
    </row>
    <row r="722" ht="15.75" hidden="1" customHeight="1">
      <c r="A722" s="4">
        <v>45533.0</v>
      </c>
      <c r="B722" s="1" t="s">
        <v>95</v>
      </c>
      <c r="C722" s="1" t="s">
        <v>89</v>
      </c>
      <c r="D722" s="1">
        <v>618.0</v>
      </c>
      <c r="E722" s="1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1">
        <v>33.0</v>
      </c>
      <c r="N722" s="1">
        <v>25.709333333333333</v>
      </c>
      <c r="O722" s="1">
        <v>39.05608333333333</v>
      </c>
    </row>
    <row r="723" ht="15.75" hidden="1" customHeight="1">
      <c r="A723" s="4">
        <v>45533.0</v>
      </c>
      <c r="B723" s="1" t="s">
        <v>95</v>
      </c>
      <c r="C723" s="1" t="s">
        <v>89</v>
      </c>
      <c r="D723" s="1">
        <v>299.0</v>
      </c>
      <c r="E723" s="1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1">
        <v>-20.0</v>
      </c>
      <c r="N723" s="1">
        <v>0.004716666666666667</v>
      </c>
      <c r="O723" s="1">
        <v>10.343066666666667</v>
      </c>
    </row>
    <row r="724" ht="15.75" hidden="1" customHeight="1">
      <c r="A724" s="4">
        <v>45533.0</v>
      </c>
      <c r="B724" s="1" t="s">
        <v>95</v>
      </c>
      <c r="C724" s="1" t="s">
        <v>89</v>
      </c>
      <c r="D724" s="1">
        <v>2257.0</v>
      </c>
      <c r="E724" s="1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1">
        <v>15.0</v>
      </c>
      <c r="N724" s="1">
        <v>30.828916666666668</v>
      </c>
      <c r="O724" s="1">
        <v>33.78765</v>
      </c>
    </row>
    <row r="725" ht="15.75" hidden="1" customHeight="1">
      <c r="A725" s="4">
        <v>45533.0</v>
      </c>
      <c r="B725" s="1" t="s">
        <v>103</v>
      </c>
      <c r="C725" s="1" t="s">
        <v>89</v>
      </c>
      <c r="D725" s="1">
        <v>3960.0</v>
      </c>
      <c r="E725" s="1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1">
        <v>29.0</v>
      </c>
      <c r="O725" s="1">
        <v>50.33566666666667</v>
      </c>
    </row>
    <row r="726" ht="15.75" hidden="1" customHeight="1">
      <c r="A726" s="4">
        <v>45533.0</v>
      </c>
      <c r="B726" s="1" t="s">
        <v>228</v>
      </c>
      <c r="C726" s="1" t="s">
        <v>89</v>
      </c>
      <c r="D726" s="1">
        <v>249.0</v>
      </c>
      <c r="E726" s="1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1">
        <v>7.0</v>
      </c>
      <c r="O726" s="1">
        <v>12.481283333333334</v>
      </c>
    </row>
    <row r="727" ht="15.75" hidden="1" customHeight="1">
      <c r="A727" s="4">
        <v>45533.0</v>
      </c>
      <c r="B727" s="1" t="s">
        <v>88</v>
      </c>
      <c r="C727" s="1" t="s">
        <v>89</v>
      </c>
      <c r="D727" s="1">
        <v>987.0</v>
      </c>
      <c r="E727" s="1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1">
        <v>-4.0</v>
      </c>
      <c r="O727" s="1">
        <v>15.036216666666666</v>
      </c>
    </row>
    <row r="728" ht="15.75" hidden="1" customHeight="1">
      <c r="A728" s="4">
        <v>45533.0</v>
      </c>
      <c r="B728" s="1" t="s">
        <v>95</v>
      </c>
      <c r="C728" s="1" t="s">
        <v>89</v>
      </c>
      <c r="D728" s="1">
        <v>167.0</v>
      </c>
      <c r="E728" s="1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1">
        <v>1.0</v>
      </c>
      <c r="O728" s="1">
        <v>84.05956666666667</v>
      </c>
    </row>
    <row r="729" ht="15.75" hidden="1" customHeight="1">
      <c r="A729" s="4">
        <v>45533.0</v>
      </c>
      <c r="B729" s="1" t="s">
        <v>95</v>
      </c>
      <c r="C729" s="1" t="s">
        <v>89</v>
      </c>
      <c r="D729" s="1">
        <v>275.0</v>
      </c>
      <c r="E729" s="1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1">
        <v>0.0</v>
      </c>
      <c r="O729" s="1">
        <v>278.2114</v>
      </c>
    </row>
    <row r="730" ht="15.75" hidden="1" customHeight="1">
      <c r="A730" s="4">
        <v>45534.0</v>
      </c>
      <c r="B730" s="1" t="s">
        <v>88</v>
      </c>
      <c r="C730" s="1" t="s">
        <v>89</v>
      </c>
      <c r="D730" s="1">
        <v>528.0</v>
      </c>
      <c r="E730" s="1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1">
        <v>-11.0</v>
      </c>
      <c r="O730" s="1">
        <v>8.738366666666666</v>
      </c>
    </row>
    <row r="731" ht="15.75" hidden="1" customHeight="1">
      <c r="A731" s="4">
        <v>45534.0</v>
      </c>
      <c r="B731" s="1" t="s">
        <v>95</v>
      </c>
      <c r="C731" s="1" t="s">
        <v>89</v>
      </c>
      <c r="D731" s="1">
        <v>518.0</v>
      </c>
      <c r="E731" s="1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1">
        <v>6.0</v>
      </c>
      <c r="N731" s="1">
        <v>14.194966666666666</v>
      </c>
      <c r="O731" s="1">
        <v>8.393916666666666</v>
      </c>
    </row>
    <row r="732" ht="15.75" hidden="1" customHeight="1">
      <c r="A732" s="4">
        <v>45534.0</v>
      </c>
      <c r="B732" s="1" t="s">
        <v>95</v>
      </c>
      <c r="C732" s="1" t="s">
        <v>104</v>
      </c>
      <c r="D732" s="1">
        <v>199.0</v>
      </c>
      <c r="E732" s="1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1">
        <v>-9.0</v>
      </c>
      <c r="O732" s="1">
        <v>29.685166666666667</v>
      </c>
    </row>
    <row r="733" ht="15.75" customHeight="1">
      <c r="A733" s="4">
        <v>45534.0</v>
      </c>
      <c r="B733" s="1" t="s">
        <v>103</v>
      </c>
      <c r="C733" s="1" t="s">
        <v>104</v>
      </c>
      <c r="D733" s="1">
        <v>394.0</v>
      </c>
      <c r="E733" s="1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1">
        <v>0.0</v>
      </c>
      <c r="O733" s="1">
        <v>7.644383333333334</v>
      </c>
    </row>
    <row r="734" ht="15.75" hidden="1" customHeight="1">
      <c r="A734" s="4">
        <v>45534.0</v>
      </c>
      <c r="B734" s="1" t="s">
        <v>95</v>
      </c>
      <c r="C734" s="1" t="s">
        <v>104</v>
      </c>
      <c r="D734" s="1">
        <v>214.0</v>
      </c>
      <c r="E734" s="1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1">
        <v>-9.0</v>
      </c>
      <c r="O734" s="1">
        <v>9.897966666666667</v>
      </c>
    </row>
    <row r="735" ht="15.75" hidden="1" customHeight="1">
      <c r="A735" s="4">
        <v>45534.0</v>
      </c>
      <c r="B735" s="1" t="s">
        <v>95</v>
      </c>
      <c r="C735" s="1" t="s">
        <v>89</v>
      </c>
      <c r="D735" s="1">
        <v>416.0</v>
      </c>
      <c r="E735" s="1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1">
        <v>-12.0</v>
      </c>
      <c r="N735" s="1">
        <v>0.0127</v>
      </c>
      <c r="O735" s="1">
        <v>9.887233333333333</v>
      </c>
    </row>
    <row r="736" ht="15.75" hidden="1" customHeight="1">
      <c r="A736" s="4">
        <v>45534.0</v>
      </c>
      <c r="B736" s="1" t="s">
        <v>107</v>
      </c>
      <c r="C736" s="1" t="s">
        <v>104</v>
      </c>
      <c r="D736" s="1">
        <v>394.0</v>
      </c>
      <c r="E736" s="1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1">
        <v>-3.0</v>
      </c>
      <c r="O736" s="1">
        <v>11.439233333333334</v>
      </c>
    </row>
    <row r="737" ht="15.75" hidden="1" customHeight="1">
      <c r="A737" s="4">
        <v>45534.0</v>
      </c>
      <c r="B737" s="1" t="s">
        <v>95</v>
      </c>
      <c r="C737" s="1" t="s">
        <v>104</v>
      </c>
      <c r="D737" s="1">
        <v>569.0</v>
      </c>
      <c r="E737" s="1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1">
        <v>-15.0</v>
      </c>
      <c r="O737" s="1">
        <v>42.5069</v>
      </c>
    </row>
    <row r="738" ht="15.75" customHeight="1">
      <c r="A738" s="4">
        <v>45534.0</v>
      </c>
      <c r="B738" s="1" t="s">
        <v>103</v>
      </c>
      <c r="C738" s="1" t="s">
        <v>104</v>
      </c>
      <c r="D738" s="1">
        <v>313.0</v>
      </c>
      <c r="E738" s="1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1">
        <v>1.0</v>
      </c>
      <c r="O738" s="1">
        <v>8.49015</v>
      </c>
    </row>
    <row r="739" ht="15.75" hidden="1" customHeight="1">
      <c r="A739" s="4">
        <v>45534.0</v>
      </c>
      <c r="B739" s="1" t="s">
        <v>88</v>
      </c>
      <c r="C739" s="1" t="s">
        <v>89</v>
      </c>
      <c r="D739" s="1">
        <v>413.0</v>
      </c>
      <c r="E739" s="1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1">
        <v>-5.0</v>
      </c>
      <c r="O739" s="1">
        <v>9.480016666666666</v>
      </c>
    </row>
    <row r="740" ht="15.75" customHeight="1">
      <c r="A740" s="4">
        <v>45534.0</v>
      </c>
      <c r="B740" s="1" t="s">
        <v>103</v>
      </c>
      <c r="C740" s="1" t="s">
        <v>104</v>
      </c>
      <c r="D740" s="1">
        <v>578.0</v>
      </c>
      <c r="E740" s="1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1">
        <v>5.0</v>
      </c>
      <c r="O740" s="1">
        <v>14.4203</v>
      </c>
    </row>
    <row r="741" ht="15.75" hidden="1" customHeight="1">
      <c r="A741" s="4">
        <v>45534.0</v>
      </c>
      <c r="B741" s="1" t="s">
        <v>107</v>
      </c>
      <c r="C741" s="1" t="s">
        <v>104</v>
      </c>
      <c r="D741" s="1">
        <v>264.0</v>
      </c>
      <c r="E741" s="1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1">
        <v>-8.0</v>
      </c>
      <c r="O741" s="1">
        <v>6.808483333333333</v>
      </c>
    </row>
    <row r="742" ht="15.75" customHeight="1">
      <c r="A742" s="4">
        <v>45534.0</v>
      </c>
      <c r="B742" s="1" t="s">
        <v>103</v>
      </c>
      <c r="C742" s="1" t="s">
        <v>104</v>
      </c>
      <c r="D742" s="1">
        <v>346.0</v>
      </c>
      <c r="E742" s="1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1">
        <v>-2.0</v>
      </c>
      <c r="O742" s="1">
        <v>5.589783333333333</v>
      </c>
    </row>
    <row r="743" ht="15.75" hidden="1" customHeight="1">
      <c r="A743" s="4">
        <v>45534.0</v>
      </c>
      <c r="B743" s="1" t="s">
        <v>88</v>
      </c>
      <c r="C743" s="1" t="s">
        <v>89</v>
      </c>
      <c r="D743" s="1">
        <v>698.0</v>
      </c>
      <c r="E743" s="1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1">
        <v>-5.0</v>
      </c>
      <c r="O743" s="1">
        <v>14.787483333333334</v>
      </c>
    </row>
    <row r="744" ht="15.75" customHeight="1">
      <c r="A744" s="4">
        <v>45534.0</v>
      </c>
      <c r="B744" s="1" t="s">
        <v>103</v>
      </c>
      <c r="C744" s="1" t="s">
        <v>104</v>
      </c>
      <c r="D744" s="1">
        <v>429.0</v>
      </c>
      <c r="E744" s="1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1">
        <v>-1.0</v>
      </c>
      <c r="O744" s="1">
        <v>6.23145</v>
      </c>
    </row>
    <row r="745" ht="15.75" customHeight="1">
      <c r="A745" s="4">
        <v>45534.0</v>
      </c>
      <c r="B745" s="1" t="s">
        <v>103</v>
      </c>
      <c r="C745" s="1" t="s">
        <v>104</v>
      </c>
      <c r="D745" s="1">
        <v>356.0</v>
      </c>
      <c r="E745" s="1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1">
        <v>-1.0</v>
      </c>
      <c r="O745" s="1">
        <v>5.9687</v>
      </c>
    </row>
    <row r="746" ht="15.75" hidden="1" customHeight="1">
      <c r="A746" s="4">
        <v>45534.0</v>
      </c>
      <c r="B746" s="1" t="s">
        <v>88</v>
      </c>
      <c r="C746" s="1" t="s">
        <v>89</v>
      </c>
      <c r="D746" s="1">
        <v>1673.0</v>
      </c>
      <c r="E746" s="1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1">
        <v>-2.0</v>
      </c>
      <c r="O746" s="1">
        <v>17.923883333333333</v>
      </c>
    </row>
    <row r="747" ht="15.75" hidden="1" customHeight="1">
      <c r="A747" s="4">
        <v>45534.0</v>
      </c>
      <c r="B747" s="1" t="s">
        <v>88</v>
      </c>
      <c r="C747" s="1" t="s">
        <v>89</v>
      </c>
      <c r="D747" s="1">
        <v>264.0</v>
      </c>
      <c r="E747" s="1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1">
        <v>-9.0</v>
      </c>
      <c r="O747" s="1">
        <v>5.791783333333333</v>
      </c>
    </row>
    <row r="748" ht="15.75" hidden="1" customHeight="1">
      <c r="A748" s="4">
        <v>45534.0</v>
      </c>
      <c r="B748" s="1" t="s">
        <v>88</v>
      </c>
      <c r="C748" s="1" t="s">
        <v>89</v>
      </c>
      <c r="D748" s="1">
        <v>528.0</v>
      </c>
      <c r="E748" s="1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1">
        <v>-11.0</v>
      </c>
      <c r="O748" s="1">
        <v>8.639383333333333</v>
      </c>
    </row>
    <row r="749" ht="15.75" hidden="1" customHeight="1">
      <c r="A749" s="4">
        <v>45534.0</v>
      </c>
      <c r="B749" s="1" t="s">
        <v>103</v>
      </c>
      <c r="C749" s="1" t="s">
        <v>104</v>
      </c>
      <c r="D749" s="1">
        <v>299.0</v>
      </c>
      <c r="E749" s="1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1">
        <v>4.0</v>
      </c>
      <c r="O749" s="1">
        <v>11.271366666666667</v>
      </c>
    </row>
    <row r="750" ht="15.75" hidden="1" customHeight="1">
      <c r="A750" s="4">
        <v>45534.0</v>
      </c>
      <c r="B750" s="1" t="s">
        <v>88</v>
      </c>
      <c r="C750" s="1" t="s">
        <v>89</v>
      </c>
      <c r="D750" s="1">
        <v>258.0</v>
      </c>
      <c r="E750" s="1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1">
        <v>-3.0</v>
      </c>
      <c r="O750" s="1">
        <v>11.96275</v>
      </c>
    </row>
    <row r="751" ht="15.75" hidden="1" customHeight="1">
      <c r="A751" s="4">
        <v>45534.0</v>
      </c>
      <c r="B751" s="1" t="s">
        <v>95</v>
      </c>
      <c r="C751" s="1" t="s">
        <v>89</v>
      </c>
      <c r="D751" s="1">
        <v>368.0</v>
      </c>
      <c r="E751" s="1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1">
        <v>-9.0</v>
      </c>
      <c r="N751" s="1">
        <v>0.0135</v>
      </c>
      <c r="O751" s="1">
        <v>7.81235</v>
      </c>
    </row>
    <row r="752" ht="15.75" customHeight="1">
      <c r="A752" s="4">
        <v>45534.0</v>
      </c>
      <c r="B752" s="1" t="s">
        <v>103</v>
      </c>
      <c r="C752" s="1" t="s">
        <v>104</v>
      </c>
      <c r="D752" s="1">
        <v>424.0</v>
      </c>
      <c r="E752" s="1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1">
        <v>2.0</v>
      </c>
      <c r="O752" s="1">
        <v>10.09455</v>
      </c>
    </row>
    <row r="753" ht="15.75" hidden="1" customHeight="1">
      <c r="A753" s="4">
        <v>45534.0</v>
      </c>
      <c r="B753" s="1" t="s">
        <v>88</v>
      </c>
      <c r="C753" s="1" t="s">
        <v>89</v>
      </c>
      <c r="D753" s="1">
        <v>179.0</v>
      </c>
      <c r="E753" s="1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1">
        <v>-6.0</v>
      </c>
      <c r="O753" s="1">
        <v>8.31265</v>
      </c>
    </row>
    <row r="754" ht="15.75" hidden="1" customHeight="1">
      <c r="A754" s="4">
        <v>45534.0</v>
      </c>
      <c r="B754" s="1" t="s">
        <v>107</v>
      </c>
      <c r="C754" s="1" t="s">
        <v>104</v>
      </c>
      <c r="D754" s="1">
        <v>313.0</v>
      </c>
      <c r="E754" s="1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1">
        <v>-6.0</v>
      </c>
      <c r="O754" s="1">
        <v>8.388866666666667</v>
      </c>
    </row>
    <row r="755" ht="15.75" hidden="1" customHeight="1">
      <c r="A755" s="4">
        <v>45534.0</v>
      </c>
      <c r="B755" s="1" t="s">
        <v>88</v>
      </c>
      <c r="C755" s="1" t="s">
        <v>89</v>
      </c>
      <c r="D755" s="1">
        <v>264.0</v>
      </c>
      <c r="E755" s="1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1">
        <v>3.0</v>
      </c>
      <c r="O755" s="1">
        <v>18.82855</v>
      </c>
    </row>
    <row r="756" ht="15.75" hidden="1" customHeight="1">
      <c r="A756" s="4">
        <v>45534.0</v>
      </c>
      <c r="B756" s="1" t="s">
        <v>107</v>
      </c>
      <c r="C756" s="1" t="s">
        <v>104</v>
      </c>
      <c r="D756" s="1">
        <v>409.0</v>
      </c>
      <c r="E756" s="1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1">
        <v>-7.0</v>
      </c>
      <c r="O756" s="1">
        <v>7.4282</v>
      </c>
    </row>
    <row r="757" ht="15.75" hidden="1" customHeight="1">
      <c r="A757" s="4">
        <v>45534.0</v>
      </c>
      <c r="B757" s="1" t="s">
        <v>228</v>
      </c>
      <c r="C757" s="1" t="s">
        <v>89</v>
      </c>
      <c r="D757" s="1">
        <v>498.0</v>
      </c>
      <c r="E757" s="1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1">
        <v>2.0</v>
      </c>
      <c r="O757" s="1">
        <v>7.268233333333334</v>
      </c>
    </row>
    <row r="758" ht="15.75" hidden="1" customHeight="1">
      <c r="A758" s="4">
        <v>45534.0</v>
      </c>
      <c r="B758" s="1" t="s">
        <v>95</v>
      </c>
      <c r="C758" s="1" t="s">
        <v>104</v>
      </c>
      <c r="D758" s="1">
        <v>280.0</v>
      </c>
      <c r="E758" s="1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1">
        <v>-4.0</v>
      </c>
      <c r="O758" s="1">
        <v>105.08908333333333</v>
      </c>
    </row>
    <row r="759" ht="15.75" hidden="1" customHeight="1">
      <c r="A759" s="4">
        <v>45534.0</v>
      </c>
      <c r="B759" s="1" t="s">
        <v>95</v>
      </c>
      <c r="C759" s="1" t="s">
        <v>89</v>
      </c>
      <c r="D759" s="1">
        <v>215.0</v>
      </c>
      <c r="E759" s="1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1">
        <v>-11.0</v>
      </c>
      <c r="O759" s="1">
        <v>7.120833333333334</v>
      </c>
    </row>
    <row r="760" ht="15.75" hidden="1" customHeight="1">
      <c r="A760" s="4">
        <v>45534.0</v>
      </c>
      <c r="B760" s="1" t="s">
        <v>88</v>
      </c>
      <c r="C760" s="1" t="s">
        <v>89</v>
      </c>
      <c r="D760" s="1">
        <v>294.0</v>
      </c>
      <c r="E760" s="1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1">
        <v>-6.0</v>
      </c>
      <c r="O760" s="1">
        <v>8.241333333333333</v>
      </c>
    </row>
    <row r="761" ht="15.75" customHeight="1">
      <c r="A761" s="4">
        <v>45534.0</v>
      </c>
      <c r="B761" s="1" t="s">
        <v>103</v>
      </c>
      <c r="C761" s="1" t="s">
        <v>104</v>
      </c>
      <c r="D761" s="1">
        <v>329.0</v>
      </c>
      <c r="E761" s="1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1">
        <v>-1.0</v>
      </c>
      <c r="O761" s="1">
        <v>5.638516666666667</v>
      </c>
    </row>
    <row r="762" ht="15.75" customHeight="1">
      <c r="A762" s="4">
        <v>45534.0</v>
      </c>
      <c r="B762" s="1" t="s">
        <v>103</v>
      </c>
      <c r="C762" s="1" t="s">
        <v>89</v>
      </c>
      <c r="D762" s="1">
        <v>289.0</v>
      </c>
      <c r="E762" s="1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1">
        <v>-2.0</v>
      </c>
      <c r="O762" s="1">
        <v>5.831533333333334</v>
      </c>
    </row>
    <row r="763" ht="15.75" customHeight="1">
      <c r="A763" s="4">
        <v>45534.0</v>
      </c>
      <c r="B763" s="1" t="s">
        <v>103</v>
      </c>
      <c r="C763" s="1" t="s">
        <v>89</v>
      </c>
      <c r="D763" s="1">
        <v>329.0</v>
      </c>
      <c r="E763" s="1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1">
        <v>0.0</v>
      </c>
      <c r="O763" s="1">
        <v>7.401683333333334</v>
      </c>
    </row>
    <row r="764" ht="15.75" customHeight="1">
      <c r="A764" s="4">
        <v>45534.0</v>
      </c>
      <c r="B764" s="1" t="s">
        <v>103</v>
      </c>
      <c r="C764" s="1" t="s">
        <v>89</v>
      </c>
      <c r="D764" s="1">
        <v>264.0</v>
      </c>
      <c r="E764" s="1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1">
        <v>0.0</v>
      </c>
      <c r="O764" s="1">
        <v>5.8038</v>
      </c>
    </row>
    <row r="765" ht="15.75" hidden="1" customHeight="1">
      <c r="A765" s="4">
        <v>45534.0</v>
      </c>
      <c r="B765" s="1" t="s">
        <v>88</v>
      </c>
      <c r="C765" s="1" t="s">
        <v>89</v>
      </c>
      <c r="D765" s="1">
        <v>129.0</v>
      </c>
      <c r="E765" s="1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1">
        <v>-2.0</v>
      </c>
      <c r="O765" s="1">
        <v>12.384766666666666</v>
      </c>
    </row>
    <row r="766" ht="15.75" hidden="1" customHeight="1">
      <c r="A766" s="4">
        <v>45534.0</v>
      </c>
      <c r="B766" s="1" t="s">
        <v>88</v>
      </c>
      <c r="C766" s="1" t="s">
        <v>89</v>
      </c>
      <c r="D766" s="1">
        <v>364.0</v>
      </c>
      <c r="E766" s="1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1">
        <v>-8.0</v>
      </c>
      <c r="O766" s="1">
        <v>6.390266666666666</v>
      </c>
    </row>
    <row r="767" ht="15.75" hidden="1" customHeight="1">
      <c r="A767" s="4">
        <v>45534.0</v>
      </c>
      <c r="B767" s="1" t="s">
        <v>103</v>
      </c>
      <c r="C767" s="1" t="s">
        <v>104</v>
      </c>
      <c r="D767" s="1">
        <v>279.0</v>
      </c>
      <c r="E767" s="1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1">
        <v>0.0</v>
      </c>
      <c r="O767" s="1">
        <v>7.406633333333334</v>
      </c>
    </row>
    <row r="768" ht="15.75" hidden="1" customHeight="1">
      <c r="A768" s="4">
        <v>45534.0</v>
      </c>
      <c r="B768" s="1" t="s">
        <v>88</v>
      </c>
      <c r="C768" s="1" t="s">
        <v>89</v>
      </c>
      <c r="D768" s="1">
        <v>329.0</v>
      </c>
      <c r="E768" s="1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1">
        <v>-4.0</v>
      </c>
      <c r="O768" s="1">
        <v>10.554116666666667</v>
      </c>
    </row>
    <row r="769" ht="15.75" hidden="1" customHeight="1">
      <c r="A769" s="4">
        <v>45534.0</v>
      </c>
      <c r="B769" s="1" t="s">
        <v>95</v>
      </c>
      <c r="C769" s="1" t="s">
        <v>89</v>
      </c>
      <c r="D769" s="1">
        <v>213.0</v>
      </c>
      <c r="E769" s="1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1">
        <v>-10.0</v>
      </c>
      <c r="O769" s="1">
        <v>14.049466666666667</v>
      </c>
    </row>
    <row r="770" ht="15.75" hidden="1" customHeight="1">
      <c r="A770" s="4">
        <v>45534.0</v>
      </c>
      <c r="B770" s="1" t="s">
        <v>95</v>
      </c>
      <c r="C770" s="1" t="s">
        <v>89</v>
      </c>
      <c r="D770" s="1">
        <v>562.0</v>
      </c>
      <c r="E770" s="1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1">
        <v>-10.0</v>
      </c>
      <c r="N770" s="1">
        <v>0.011133333333333334</v>
      </c>
      <c r="O770" s="1">
        <v>18.3896</v>
      </c>
    </row>
    <row r="771" ht="15.75" customHeight="1">
      <c r="A771" s="4">
        <v>45534.0</v>
      </c>
      <c r="B771" s="1" t="s">
        <v>103</v>
      </c>
      <c r="C771" s="1" t="s">
        <v>104</v>
      </c>
      <c r="D771" s="1">
        <v>394.0</v>
      </c>
      <c r="E771" s="1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1">
        <v>1.0</v>
      </c>
      <c r="O771" s="1">
        <v>9.7269</v>
      </c>
    </row>
    <row r="772" ht="15.75" hidden="1" customHeight="1">
      <c r="A772" s="4">
        <v>45534.0</v>
      </c>
      <c r="B772" s="1" t="s">
        <v>228</v>
      </c>
      <c r="C772" s="1" t="s">
        <v>89</v>
      </c>
      <c r="D772" s="1">
        <v>309.0</v>
      </c>
      <c r="E772" s="1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1">
        <v>2.0</v>
      </c>
      <c r="O772" s="1">
        <v>7.359816666666666</v>
      </c>
    </row>
    <row r="773" ht="15.75" hidden="1" customHeight="1">
      <c r="A773" s="4">
        <v>45534.0</v>
      </c>
      <c r="B773" s="1" t="s">
        <v>107</v>
      </c>
      <c r="C773" s="1" t="s">
        <v>104</v>
      </c>
      <c r="D773" s="1">
        <v>394.0</v>
      </c>
      <c r="E773" s="1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1">
        <v>-2.0</v>
      </c>
      <c r="O773" s="1">
        <v>12.288766666666668</v>
      </c>
    </row>
    <row r="774" ht="15.75" hidden="1" customHeight="1">
      <c r="A774" s="4">
        <v>45534.0</v>
      </c>
      <c r="B774" s="1" t="s">
        <v>95</v>
      </c>
      <c r="C774" s="1" t="s">
        <v>89</v>
      </c>
      <c r="D774" s="1">
        <v>781.0</v>
      </c>
      <c r="E774" s="1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1">
        <v>-7.0</v>
      </c>
      <c r="O774" s="1">
        <v>16.557183333333334</v>
      </c>
    </row>
    <row r="775" ht="15.75" customHeight="1">
      <c r="A775" s="4">
        <v>45534.0</v>
      </c>
      <c r="B775" s="1" t="s">
        <v>103</v>
      </c>
      <c r="C775" s="1" t="s">
        <v>104</v>
      </c>
      <c r="D775" s="1">
        <v>184.0</v>
      </c>
      <c r="E775" s="1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1">
        <v>1.0</v>
      </c>
      <c r="O775" s="1">
        <v>7.006366666666667</v>
      </c>
    </row>
    <row r="776" ht="15.75" hidden="1" customHeight="1">
      <c r="A776" s="4">
        <v>45534.0</v>
      </c>
      <c r="B776" s="1" t="s">
        <v>228</v>
      </c>
      <c r="C776" s="1" t="s">
        <v>89</v>
      </c>
      <c r="D776" s="1">
        <v>249.0</v>
      </c>
      <c r="E776" s="1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1">
        <v>2.0</v>
      </c>
      <c r="O776" s="1">
        <v>7.257816666666667</v>
      </c>
    </row>
    <row r="777" ht="15.75" hidden="1" customHeight="1">
      <c r="A777" s="4">
        <v>45534.0</v>
      </c>
      <c r="B777" s="1" t="s">
        <v>88</v>
      </c>
      <c r="C777" s="1" t="s">
        <v>89</v>
      </c>
      <c r="D777" s="1">
        <v>618.0</v>
      </c>
      <c r="E777" s="1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1">
        <v>-7.0</v>
      </c>
      <c r="O777" s="1">
        <v>12.321216666666666</v>
      </c>
    </row>
    <row r="778" ht="15.75" hidden="1" customHeight="1">
      <c r="A778" s="4">
        <v>45534.0</v>
      </c>
      <c r="B778" s="1" t="s">
        <v>88</v>
      </c>
      <c r="C778" s="1" t="s">
        <v>89</v>
      </c>
      <c r="D778" s="1">
        <v>329.0</v>
      </c>
      <c r="E778" s="1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1">
        <v>-3.0</v>
      </c>
      <c r="O778" s="1">
        <v>11.309883333333334</v>
      </c>
    </row>
    <row r="779" ht="15.75" hidden="1" customHeight="1">
      <c r="A779" s="4">
        <v>45534.0</v>
      </c>
      <c r="B779" s="1" t="s">
        <v>95</v>
      </c>
      <c r="C779" s="1" t="s">
        <v>89</v>
      </c>
      <c r="D779" s="1">
        <v>398.0</v>
      </c>
      <c r="E779" s="1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1">
        <v>-10.0</v>
      </c>
      <c r="O779" s="1">
        <v>8.134</v>
      </c>
    </row>
    <row r="780" ht="15.75" hidden="1" customHeight="1">
      <c r="A780" s="4">
        <v>45534.0</v>
      </c>
      <c r="B780" s="1" t="s">
        <v>95</v>
      </c>
      <c r="C780" s="1" t="s">
        <v>89</v>
      </c>
      <c r="D780" s="1">
        <v>418.0</v>
      </c>
      <c r="E780" s="1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1">
        <v>-11.0</v>
      </c>
      <c r="O780" s="1">
        <v>7.104583333333333</v>
      </c>
    </row>
    <row r="781" ht="15.75" hidden="1" customHeight="1">
      <c r="A781" s="4">
        <v>45534.0</v>
      </c>
      <c r="B781" s="1" t="s">
        <v>95</v>
      </c>
      <c r="C781" s="1" t="s">
        <v>89</v>
      </c>
      <c r="D781" s="1">
        <v>547.0</v>
      </c>
      <c r="E781" s="1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1">
        <v>-12.0</v>
      </c>
      <c r="N781" s="1">
        <v>0.009716666666666667</v>
      </c>
      <c r="O781" s="1">
        <v>8.0084</v>
      </c>
    </row>
    <row r="782" ht="15.75" hidden="1" customHeight="1">
      <c r="A782" s="4">
        <v>45534.0</v>
      </c>
      <c r="B782" s="1" t="s">
        <v>88</v>
      </c>
      <c r="C782" s="1" t="s">
        <v>89</v>
      </c>
      <c r="D782" s="1">
        <v>264.0</v>
      </c>
      <c r="E782" s="1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1">
        <v>-6.0</v>
      </c>
      <c r="O782" s="1">
        <v>8.742133333333333</v>
      </c>
    </row>
    <row r="783" ht="15.75" customHeight="1">
      <c r="A783" s="4">
        <v>45534.0</v>
      </c>
      <c r="B783" s="1" t="s">
        <v>103</v>
      </c>
      <c r="C783" s="1" t="s">
        <v>104</v>
      </c>
      <c r="D783" s="1">
        <v>728.0</v>
      </c>
      <c r="E783" s="1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1">
        <v>-3.0</v>
      </c>
      <c r="O783" s="1">
        <v>6.597783333333333</v>
      </c>
    </row>
    <row r="784" ht="15.75" hidden="1" customHeight="1">
      <c r="A784" s="4">
        <v>45534.0</v>
      </c>
      <c r="B784" s="1" t="s">
        <v>88</v>
      </c>
      <c r="C784" s="1" t="s">
        <v>89</v>
      </c>
      <c r="D784" s="1">
        <v>364.0</v>
      </c>
      <c r="E784" s="1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1">
        <v>-8.0</v>
      </c>
      <c r="O784" s="1">
        <v>6.978583333333333</v>
      </c>
    </row>
    <row r="785" ht="15.75" hidden="1" customHeight="1">
      <c r="A785" s="4">
        <v>45534.0</v>
      </c>
      <c r="B785" s="1" t="s">
        <v>95</v>
      </c>
      <c r="C785" s="1" t="s">
        <v>89</v>
      </c>
      <c r="D785" s="1">
        <v>167.0</v>
      </c>
      <c r="E785" s="1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1">
        <v>-11.0</v>
      </c>
      <c r="O785" s="1">
        <v>7.188533333333333</v>
      </c>
    </row>
    <row r="786" ht="15.75" hidden="1" customHeight="1">
      <c r="A786" s="4">
        <v>45534.0</v>
      </c>
      <c r="B786" s="1" t="s">
        <v>95</v>
      </c>
      <c r="C786" s="1" t="s">
        <v>89</v>
      </c>
      <c r="D786" s="1">
        <v>568.0</v>
      </c>
      <c r="E786" s="1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1">
        <v>-2.0</v>
      </c>
      <c r="N786" s="1">
        <v>0.010633333333333333</v>
      </c>
      <c r="O786" s="1">
        <v>9.4534</v>
      </c>
    </row>
    <row r="787" ht="15.75" hidden="1" customHeight="1">
      <c r="A787" s="4">
        <v>45534.0</v>
      </c>
      <c r="B787" s="1" t="s">
        <v>95</v>
      </c>
      <c r="C787" s="1" t="s">
        <v>89</v>
      </c>
      <c r="D787" s="1">
        <v>547.0</v>
      </c>
      <c r="E787" s="1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1">
        <v>6.0</v>
      </c>
      <c r="N787" s="1">
        <v>0.008366666666666666</v>
      </c>
      <c r="O787" s="1">
        <v>8.041783333333333</v>
      </c>
    </row>
    <row r="788" ht="15.75" hidden="1" customHeight="1">
      <c r="A788" s="4">
        <v>45534.0</v>
      </c>
      <c r="B788" s="1" t="s">
        <v>95</v>
      </c>
      <c r="C788" s="1" t="s">
        <v>89</v>
      </c>
      <c r="D788" s="1">
        <v>387.0</v>
      </c>
      <c r="E788" s="1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1">
        <v>-8.0</v>
      </c>
      <c r="O788" s="1">
        <v>10.464283333333332</v>
      </c>
    </row>
    <row r="789" ht="15.75" hidden="1" customHeight="1">
      <c r="A789" s="4">
        <v>45534.0</v>
      </c>
      <c r="B789" s="1" t="s">
        <v>95</v>
      </c>
      <c r="C789" s="1" t="s">
        <v>89</v>
      </c>
      <c r="D789" s="1">
        <v>331.0</v>
      </c>
      <c r="E789" s="1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1">
        <v>-12.0</v>
      </c>
      <c r="N789" s="1">
        <v>0.012883333333333333</v>
      </c>
      <c r="O789" s="1">
        <v>8.232516666666667</v>
      </c>
    </row>
    <row r="790" ht="15.75" hidden="1" customHeight="1">
      <c r="A790" s="4">
        <v>45534.0</v>
      </c>
      <c r="B790" s="1" t="s">
        <v>88</v>
      </c>
      <c r="C790" s="1" t="s">
        <v>89</v>
      </c>
      <c r="D790" s="1">
        <v>329.0</v>
      </c>
      <c r="E790" s="1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1">
        <v>-7.0</v>
      </c>
      <c r="O790" s="1">
        <v>7.676733333333333</v>
      </c>
    </row>
    <row r="791" ht="15.75" hidden="1" customHeight="1">
      <c r="A791" s="4">
        <v>45534.0</v>
      </c>
      <c r="B791" s="1" t="s">
        <v>107</v>
      </c>
      <c r="C791" s="1" t="s">
        <v>104</v>
      </c>
      <c r="D791" s="1">
        <v>329.0</v>
      </c>
      <c r="E791" s="1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1">
        <v>-7.0</v>
      </c>
      <c r="O791" s="1">
        <v>7.7084166666666665</v>
      </c>
    </row>
    <row r="792" ht="15.75" customHeight="1">
      <c r="A792" s="4">
        <v>45534.0</v>
      </c>
      <c r="B792" s="1" t="s">
        <v>103</v>
      </c>
      <c r="C792" s="1" t="s">
        <v>104</v>
      </c>
      <c r="D792" s="1">
        <v>264.0</v>
      </c>
      <c r="E792" s="1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1">
        <v>-1.0</v>
      </c>
      <c r="O792" s="1">
        <v>6.58535</v>
      </c>
    </row>
    <row r="793" ht="15.75" hidden="1" customHeight="1">
      <c r="A793" s="4">
        <v>45534.0</v>
      </c>
      <c r="B793" s="1" t="s">
        <v>88</v>
      </c>
      <c r="C793" s="1" t="s">
        <v>89</v>
      </c>
      <c r="D793" s="1">
        <v>488.0</v>
      </c>
      <c r="E793" s="1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1">
        <v>-9.0</v>
      </c>
      <c r="O793" s="1">
        <v>5.497116666666667</v>
      </c>
    </row>
    <row r="794" ht="15.75" hidden="1" customHeight="1">
      <c r="A794" s="4">
        <v>45534.0</v>
      </c>
      <c r="B794" s="1" t="s">
        <v>88</v>
      </c>
      <c r="C794" s="1" t="s">
        <v>89</v>
      </c>
      <c r="D794" s="1">
        <v>528.0</v>
      </c>
      <c r="E794" s="1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1">
        <v>-10.0</v>
      </c>
      <c r="O794" s="1">
        <v>9.954083333333333</v>
      </c>
    </row>
    <row r="795" ht="15.75" hidden="1" customHeight="1">
      <c r="A795" s="4">
        <v>45534.0</v>
      </c>
      <c r="B795" s="1" t="s">
        <v>107</v>
      </c>
      <c r="C795" s="1" t="s">
        <v>104</v>
      </c>
      <c r="D795" s="1">
        <v>528.0</v>
      </c>
      <c r="E795" s="1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1">
        <v>-11.0</v>
      </c>
      <c r="O795" s="1">
        <v>8.1088</v>
      </c>
    </row>
    <row r="796" ht="15.75" hidden="1" customHeight="1">
      <c r="A796" s="4">
        <v>45534.0</v>
      </c>
      <c r="B796" s="1" t="s">
        <v>103</v>
      </c>
      <c r="C796" s="1" t="s">
        <v>459</v>
      </c>
      <c r="D796" s="1">
        <v>264.0</v>
      </c>
      <c r="E796" s="1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1">
        <v>0.0</v>
      </c>
      <c r="O796" s="1">
        <v>7.2999</v>
      </c>
    </row>
    <row r="797" ht="15.75" hidden="1" customHeight="1">
      <c r="A797" s="4">
        <v>45534.0</v>
      </c>
      <c r="B797" s="1" t="s">
        <v>228</v>
      </c>
      <c r="C797" s="1" t="s">
        <v>89</v>
      </c>
      <c r="D797" s="1">
        <v>49.0</v>
      </c>
      <c r="E797" s="1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1">
        <v>1.0</v>
      </c>
      <c r="O797" s="1">
        <v>6.64535</v>
      </c>
    </row>
    <row r="798" ht="15.75" hidden="1" customHeight="1">
      <c r="A798" s="4">
        <v>45534.0</v>
      </c>
      <c r="B798" s="1" t="s">
        <v>95</v>
      </c>
      <c r="C798" s="1" t="s">
        <v>89</v>
      </c>
      <c r="D798" s="1">
        <v>1231.0</v>
      </c>
      <c r="E798" s="1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1">
        <v>0.0</v>
      </c>
      <c r="N798" s="1">
        <v>0.0102</v>
      </c>
      <c r="O798" s="1">
        <v>11.470716666666666</v>
      </c>
    </row>
    <row r="799" ht="15.75" customHeight="1">
      <c r="A799" s="4">
        <v>45534.0</v>
      </c>
      <c r="B799" s="1" t="s">
        <v>103</v>
      </c>
      <c r="C799" s="1" t="s">
        <v>104</v>
      </c>
      <c r="D799" s="1">
        <v>504.0</v>
      </c>
      <c r="E799" s="1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1">
        <v>-1.0</v>
      </c>
      <c r="O799" s="1">
        <v>7.087233333333334</v>
      </c>
    </row>
    <row r="800" ht="15.75" customHeight="1">
      <c r="A800" s="4">
        <v>45534.0</v>
      </c>
      <c r="B800" s="1" t="s">
        <v>103</v>
      </c>
      <c r="C800" s="1" t="s">
        <v>104</v>
      </c>
      <c r="D800" s="1">
        <v>289.0</v>
      </c>
      <c r="E800" s="1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1">
        <v>0.0</v>
      </c>
      <c r="O800" s="1">
        <v>7.415583333333333</v>
      </c>
    </row>
    <row r="801" ht="15.75" customHeight="1">
      <c r="A801" s="4">
        <v>45534.0</v>
      </c>
      <c r="B801" s="1" t="s">
        <v>103</v>
      </c>
      <c r="C801" s="1" t="s">
        <v>104</v>
      </c>
      <c r="D801" s="1">
        <v>663.0</v>
      </c>
      <c r="E801" s="1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1">
        <v>-2.0</v>
      </c>
      <c r="O801" s="1">
        <v>7.44165</v>
      </c>
    </row>
    <row r="802" ht="15.75" customHeight="1">
      <c r="A802" s="4">
        <v>45534.0</v>
      </c>
      <c r="B802" s="1" t="s">
        <v>103</v>
      </c>
      <c r="C802" s="1" t="s">
        <v>104</v>
      </c>
      <c r="D802" s="1">
        <v>488.0</v>
      </c>
      <c r="E802" s="1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1">
        <v>-1.0</v>
      </c>
      <c r="O802" s="1">
        <v>7.71025</v>
      </c>
    </row>
    <row r="803" ht="15.75" hidden="1" customHeight="1">
      <c r="A803" s="4">
        <v>45534.0</v>
      </c>
      <c r="B803" s="1" t="s">
        <v>95</v>
      </c>
      <c r="C803" s="1" t="s">
        <v>89</v>
      </c>
      <c r="D803" s="1">
        <v>267.0</v>
      </c>
      <c r="E803" s="1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1">
        <v>-7.0</v>
      </c>
      <c r="O803" s="1">
        <v>12.382783333333334</v>
      </c>
    </row>
    <row r="804" ht="15.75" hidden="1" customHeight="1">
      <c r="A804" s="4">
        <v>45534.0</v>
      </c>
      <c r="B804" s="1" t="s">
        <v>107</v>
      </c>
      <c r="C804" s="1" t="s">
        <v>104</v>
      </c>
      <c r="D804" s="1">
        <v>321.0</v>
      </c>
      <c r="E804" s="1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1">
        <v>-4.0</v>
      </c>
      <c r="O804" s="1">
        <v>10.57835</v>
      </c>
    </row>
    <row r="805" ht="15.75" hidden="1" customHeight="1">
      <c r="A805" s="4">
        <v>45534.0</v>
      </c>
      <c r="B805" s="1" t="s">
        <v>95</v>
      </c>
      <c r="C805" s="1" t="s">
        <v>89</v>
      </c>
      <c r="D805" s="1">
        <v>403.0</v>
      </c>
      <c r="E805" s="1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1">
        <v>-7.0</v>
      </c>
      <c r="N805" s="1">
        <v>0.011533333333333333</v>
      </c>
      <c r="O805" s="1">
        <v>16.03015</v>
      </c>
    </row>
    <row r="806" ht="15.75" hidden="1" customHeight="1">
      <c r="A806" s="4">
        <v>45534.0</v>
      </c>
      <c r="B806" s="1" t="s">
        <v>107</v>
      </c>
      <c r="C806" s="1" t="s">
        <v>104</v>
      </c>
      <c r="D806" s="1">
        <v>658.0</v>
      </c>
      <c r="E806" s="1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1">
        <v>-11.0</v>
      </c>
      <c r="O806" s="1">
        <v>8.793633333333334</v>
      </c>
    </row>
    <row r="807" ht="15.75" hidden="1" customHeight="1">
      <c r="A807" s="4">
        <v>45534.0</v>
      </c>
      <c r="B807" s="1" t="s">
        <v>95</v>
      </c>
      <c r="C807" s="1" t="s">
        <v>89</v>
      </c>
      <c r="D807" s="1">
        <v>509.0</v>
      </c>
      <c r="E807" s="1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1">
        <v>-7.0</v>
      </c>
      <c r="O807" s="1">
        <v>16.9152</v>
      </c>
    </row>
    <row r="808" ht="15.75" customHeight="1">
      <c r="A808" s="4">
        <v>45534.0</v>
      </c>
      <c r="B808" s="1" t="s">
        <v>103</v>
      </c>
      <c r="C808" s="1" t="s">
        <v>104</v>
      </c>
      <c r="D808" s="1">
        <v>604.0</v>
      </c>
      <c r="E808" s="1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1">
        <v>3.0</v>
      </c>
      <c r="O808" s="1">
        <v>13.8123</v>
      </c>
    </row>
    <row r="809" ht="15.75" hidden="1" customHeight="1">
      <c r="A809" s="4">
        <v>45534.0</v>
      </c>
      <c r="B809" s="1" t="s">
        <v>88</v>
      </c>
      <c r="C809" s="1" t="s">
        <v>89</v>
      </c>
      <c r="D809" s="1">
        <v>485.0</v>
      </c>
      <c r="E809" s="1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1">
        <v>-6.0</v>
      </c>
      <c r="O809" s="1">
        <v>8.543083333333334</v>
      </c>
    </row>
    <row r="810" ht="15.75" hidden="1" customHeight="1">
      <c r="A810" s="4">
        <v>45534.0</v>
      </c>
      <c r="B810" s="1" t="s">
        <v>95</v>
      </c>
      <c r="C810" s="1" t="s">
        <v>89</v>
      </c>
      <c r="D810" s="1">
        <v>265.0</v>
      </c>
      <c r="E810" s="1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1">
        <v>-19.0</v>
      </c>
      <c r="O810" s="1">
        <v>27.44815</v>
      </c>
    </row>
    <row r="811" ht="15.75" customHeight="1">
      <c r="A811" s="4">
        <v>45534.0</v>
      </c>
      <c r="B811" s="1" t="s">
        <v>103</v>
      </c>
      <c r="C811" s="1" t="s">
        <v>104</v>
      </c>
      <c r="D811" s="1">
        <v>693.0</v>
      </c>
      <c r="E811" s="1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1">
        <v>4.0</v>
      </c>
      <c r="O811" s="1">
        <v>14.952816666666667</v>
      </c>
    </row>
    <row r="812" ht="15.75" customHeight="1">
      <c r="A812" s="4">
        <v>45534.0</v>
      </c>
      <c r="B812" s="1" t="s">
        <v>103</v>
      </c>
      <c r="C812" s="1" t="s">
        <v>104</v>
      </c>
      <c r="D812" s="1">
        <v>545.0</v>
      </c>
      <c r="E812" s="1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1">
        <v>0.0</v>
      </c>
      <c r="O812" s="1">
        <v>9.6321</v>
      </c>
    </row>
    <row r="813" ht="15.75" hidden="1" customHeight="1">
      <c r="A813" s="4">
        <v>45534.0</v>
      </c>
      <c r="B813" s="1" t="s">
        <v>95</v>
      </c>
      <c r="C813" s="1" t="s">
        <v>89</v>
      </c>
      <c r="D813" s="1">
        <v>762.0</v>
      </c>
      <c r="E813" s="1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1">
        <v>-17.0</v>
      </c>
      <c r="O813" s="1">
        <v>15.636666666666667</v>
      </c>
    </row>
    <row r="814" ht="15.75" hidden="1" customHeight="1">
      <c r="A814" s="4">
        <v>45534.0</v>
      </c>
      <c r="B814" s="1" t="s">
        <v>95</v>
      </c>
      <c r="C814" s="1" t="s">
        <v>89</v>
      </c>
      <c r="D814" s="1">
        <v>398.0</v>
      </c>
      <c r="E814" s="1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1">
        <v>-21.0</v>
      </c>
      <c r="O814" s="1">
        <v>14.574033333333333</v>
      </c>
    </row>
    <row r="815" ht="15.75" customHeight="1">
      <c r="A815" s="4">
        <v>45534.0</v>
      </c>
      <c r="B815" s="1" t="s">
        <v>103</v>
      </c>
      <c r="C815" s="1" t="s">
        <v>104</v>
      </c>
      <c r="D815" s="1">
        <v>264.0</v>
      </c>
      <c r="E815" s="1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1">
        <v>2.0</v>
      </c>
      <c r="O815" s="1">
        <v>9.005466666666667</v>
      </c>
    </row>
    <row r="816" ht="15.75" hidden="1" customHeight="1">
      <c r="A816" s="4">
        <v>45534.0</v>
      </c>
      <c r="B816" s="1" t="s">
        <v>103</v>
      </c>
      <c r="C816" s="1" t="s">
        <v>104</v>
      </c>
      <c r="D816" s="1">
        <v>429.0</v>
      </c>
      <c r="E816" s="1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1">
        <v>2.0</v>
      </c>
      <c r="O816" s="1">
        <v>10.768566666666667</v>
      </c>
    </row>
    <row r="817" ht="15.75" customHeight="1">
      <c r="A817" s="4">
        <v>45534.0</v>
      </c>
      <c r="B817" s="1" t="s">
        <v>103</v>
      </c>
      <c r="C817" s="1" t="s">
        <v>104</v>
      </c>
      <c r="D817" s="1">
        <v>459.0</v>
      </c>
      <c r="E817" s="1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1">
        <v>11.0</v>
      </c>
      <c r="O817" s="1">
        <v>19.065666666666665</v>
      </c>
    </row>
    <row r="818" ht="15.75" customHeight="1">
      <c r="A818" s="4">
        <v>45534.0</v>
      </c>
      <c r="B818" s="1" t="s">
        <v>103</v>
      </c>
      <c r="C818" s="1" t="s">
        <v>104</v>
      </c>
      <c r="D818" s="1">
        <v>329.0</v>
      </c>
      <c r="E818" s="1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1">
        <v>2.0</v>
      </c>
      <c r="O818" s="1">
        <v>9.056133333333333</v>
      </c>
    </row>
    <row r="819" ht="15.75" hidden="1" customHeight="1">
      <c r="A819" s="4">
        <v>45534.0</v>
      </c>
      <c r="B819" s="1" t="s">
        <v>95</v>
      </c>
      <c r="C819" s="1" t="s">
        <v>89</v>
      </c>
      <c r="D819" s="1">
        <v>507.0</v>
      </c>
      <c r="E819" s="1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1">
        <v>-14.0</v>
      </c>
      <c r="N819" s="1">
        <v>0.009983333333333334</v>
      </c>
      <c r="O819" s="1">
        <v>9.45025</v>
      </c>
    </row>
    <row r="820" ht="15.75" customHeight="1">
      <c r="A820" s="4">
        <v>45534.0</v>
      </c>
      <c r="B820" s="1" t="s">
        <v>103</v>
      </c>
      <c r="C820" s="1" t="s">
        <v>104</v>
      </c>
      <c r="D820" s="1">
        <v>508.0</v>
      </c>
      <c r="E820" s="1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1">
        <v>0.0</v>
      </c>
      <c r="O820" s="1">
        <v>9.748433333333333</v>
      </c>
    </row>
    <row r="821" ht="15.75" customHeight="1">
      <c r="A821" s="4">
        <v>45534.0</v>
      </c>
      <c r="B821" s="1" t="s">
        <v>103</v>
      </c>
      <c r="C821" s="1" t="s">
        <v>104</v>
      </c>
      <c r="D821" s="1">
        <v>498.0</v>
      </c>
      <c r="E821" s="1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1">
        <v>0.0</v>
      </c>
      <c r="O821" s="1">
        <v>7.1875</v>
      </c>
    </row>
    <row r="822" ht="15.75" hidden="1" customHeight="1">
      <c r="A822" s="4">
        <v>45534.0</v>
      </c>
      <c r="B822" s="1" t="s">
        <v>107</v>
      </c>
      <c r="C822" s="1" t="s">
        <v>104</v>
      </c>
      <c r="D822" s="1">
        <v>498.0</v>
      </c>
      <c r="E822" s="1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1">
        <v>-3.0</v>
      </c>
      <c r="O822" s="1">
        <v>11.16685</v>
      </c>
    </row>
    <row r="823" ht="15.75" hidden="1" customHeight="1">
      <c r="A823" s="4">
        <v>45534.0</v>
      </c>
      <c r="B823" s="1" t="s">
        <v>95</v>
      </c>
      <c r="C823" s="1" t="s">
        <v>89</v>
      </c>
      <c r="D823" s="1">
        <v>576.0</v>
      </c>
      <c r="E823" s="1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1">
        <v>-4.0</v>
      </c>
      <c r="N823" s="1">
        <v>10.765316666666667</v>
      </c>
      <c r="O823" s="1">
        <v>17.553716666666666</v>
      </c>
    </row>
    <row r="824" ht="15.75" hidden="1" customHeight="1">
      <c r="A824" s="4">
        <v>45534.0</v>
      </c>
      <c r="B824" s="1" t="s">
        <v>107</v>
      </c>
      <c r="C824" s="1" t="s">
        <v>104</v>
      </c>
      <c r="D824" s="1">
        <v>658.0</v>
      </c>
      <c r="E824" s="1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1">
        <v>-11.0</v>
      </c>
      <c r="O824" s="1">
        <v>8.815</v>
      </c>
    </row>
    <row r="825" ht="15.75" hidden="1" customHeight="1">
      <c r="A825" s="4">
        <v>45534.0</v>
      </c>
      <c r="B825" s="1" t="s">
        <v>107</v>
      </c>
      <c r="C825" s="1" t="s">
        <v>104</v>
      </c>
      <c r="D825" s="1">
        <v>294.0</v>
      </c>
      <c r="E825" s="1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1">
        <v>-7.0</v>
      </c>
      <c r="O825" s="1">
        <v>7.94905</v>
      </c>
    </row>
    <row r="826" ht="15.75" customHeight="1">
      <c r="A826" s="4">
        <v>45534.0</v>
      </c>
      <c r="B826" s="1" t="s">
        <v>103</v>
      </c>
      <c r="C826" s="1" t="s">
        <v>104</v>
      </c>
      <c r="D826" s="1">
        <v>805.0</v>
      </c>
      <c r="E826" s="1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1">
        <v>6.0</v>
      </c>
      <c r="O826" s="1">
        <v>16.01375</v>
      </c>
    </row>
    <row r="827" ht="15.75" customHeight="1">
      <c r="A827" s="4">
        <v>45534.0</v>
      </c>
      <c r="B827" s="1" t="s">
        <v>103</v>
      </c>
      <c r="C827" s="1" t="s">
        <v>104</v>
      </c>
      <c r="D827" s="1">
        <v>313.0</v>
      </c>
      <c r="E827" s="1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1">
        <v>2.0</v>
      </c>
      <c r="O827" s="1">
        <v>9.803816666666666</v>
      </c>
    </row>
    <row r="828" ht="15.75" hidden="1" customHeight="1">
      <c r="A828" s="4">
        <v>45534.0</v>
      </c>
      <c r="B828" s="1" t="s">
        <v>88</v>
      </c>
      <c r="C828" s="1" t="s">
        <v>89</v>
      </c>
      <c r="D828" s="1">
        <v>405.0</v>
      </c>
      <c r="E828" s="1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1">
        <v>-4.0</v>
      </c>
      <c r="O828" s="1">
        <v>10.5442</v>
      </c>
    </row>
    <row r="829" ht="15.75" hidden="1" customHeight="1">
      <c r="A829" s="4">
        <v>45534.0</v>
      </c>
      <c r="B829" s="1" t="s">
        <v>103</v>
      </c>
      <c r="C829" s="1" t="s">
        <v>104</v>
      </c>
      <c r="D829" s="1">
        <v>898.0</v>
      </c>
      <c r="E829" s="1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1">
        <v>4.0</v>
      </c>
      <c r="O829" s="1">
        <v>14.444666666666667</v>
      </c>
    </row>
    <row r="830" ht="15.75" customHeight="1">
      <c r="A830" s="4">
        <v>45534.0</v>
      </c>
      <c r="B830" s="1" t="s">
        <v>103</v>
      </c>
      <c r="C830" s="1" t="s">
        <v>104</v>
      </c>
      <c r="D830" s="1">
        <v>548.0</v>
      </c>
      <c r="E830" s="1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1">
        <v>1.0</v>
      </c>
      <c r="O830" s="1">
        <v>9.673366666666666</v>
      </c>
    </row>
    <row r="831" ht="15.75" hidden="1" customHeight="1">
      <c r="A831" s="4">
        <v>45534.0</v>
      </c>
      <c r="B831" s="1" t="s">
        <v>95</v>
      </c>
      <c r="C831" s="1" t="s">
        <v>89</v>
      </c>
      <c r="D831" s="1">
        <v>582.0</v>
      </c>
      <c r="E831" s="1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1">
        <v>4.0</v>
      </c>
      <c r="N831" s="1">
        <v>10.824583333333333</v>
      </c>
      <c r="O831" s="1">
        <v>9.686233333333334</v>
      </c>
    </row>
    <row r="832" ht="15.75" customHeight="1">
      <c r="A832" s="4">
        <v>45534.0</v>
      </c>
      <c r="B832" s="1" t="s">
        <v>103</v>
      </c>
      <c r="C832" s="1" t="s">
        <v>89</v>
      </c>
      <c r="D832" s="1">
        <v>279.0</v>
      </c>
      <c r="E832" s="1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1">
        <v>2.0</v>
      </c>
      <c r="O832" s="1">
        <v>9.041683333333333</v>
      </c>
    </row>
    <row r="833" ht="15.75" customHeight="1">
      <c r="A833" s="4">
        <v>45534.0</v>
      </c>
      <c r="B833" s="1" t="s">
        <v>103</v>
      </c>
      <c r="C833" s="1" t="s">
        <v>89</v>
      </c>
      <c r="D833" s="1">
        <v>593.0</v>
      </c>
      <c r="E833" s="1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1">
        <v>4.0</v>
      </c>
      <c r="O833" s="1">
        <v>13.095333333333333</v>
      </c>
    </row>
    <row r="834" ht="15.75" customHeight="1">
      <c r="A834" s="4">
        <v>45534.0</v>
      </c>
      <c r="B834" s="1" t="s">
        <v>103</v>
      </c>
      <c r="C834" s="1" t="s">
        <v>104</v>
      </c>
      <c r="D834" s="1">
        <v>434.0</v>
      </c>
      <c r="E834" s="1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1">
        <v>3.0</v>
      </c>
      <c r="O834" s="1">
        <v>10.79805</v>
      </c>
    </row>
    <row r="835" ht="15.75" hidden="1" customHeight="1">
      <c r="A835" s="4">
        <v>45534.0</v>
      </c>
      <c r="B835" s="1" t="s">
        <v>95</v>
      </c>
      <c r="C835" s="1" t="s">
        <v>89</v>
      </c>
      <c r="D835" s="1">
        <v>279.0</v>
      </c>
      <c r="E835" s="1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1">
        <v>-2.0</v>
      </c>
      <c r="N835" s="1">
        <v>0.008416666666666666</v>
      </c>
      <c r="O835" s="1">
        <v>9.88375</v>
      </c>
    </row>
    <row r="836" ht="15.75" hidden="1" customHeight="1">
      <c r="A836" s="4">
        <v>45534.0</v>
      </c>
      <c r="B836" s="1" t="s">
        <v>95</v>
      </c>
      <c r="C836" s="1" t="s">
        <v>89</v>
      </c>
      <c r="D836" s="1">
        <v>199.0</v>
      </c>
      <c r="E836" s="1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1">
        <v>4.0</v>
      </c>
      <c r="O836" s="1">
        <v>23.849866666666667</v>
      </c>
    </row>
    <row r="837" ht="15.75" hidden="1" customHeight="1">
      <c r="A837" s="4">
        <v>45534.0</v>
      </c>
      <c r="B837" s="1" t="s">
        <v>95</v>
      </c>
      <c r="C837" s="1" t="s">
        <v>89</v>
      </c>
      <c r="D837" s="1">
        <v>523.0</v>
      </c>
      <c r="E837" s="1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1">
        <v>-12.0</v>
      </c>
      <c r="N837" s="1">
        <v>0.014616666666666667</v>
      </c>
      <c r="O837" s="1">
        <v>10.904966666666667</v>
      </c>
    </row>
    <row r="838" ht="15.75" hidden="1" customHeight="1">
      <c r="A838" s="4">
        <v>45534.0</v>
      </c>
      <c r="B838" s="1" t="s">
        <v>88</v>
      </c>
      <c r="C838" s="1" t="s">
        <v>89</v>
      </c>
      <c r="D838" s="1">
        <v>1337.0</v>
      </c>
      <c r="E838" s="1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1">
        <v>-6.0</v>
      </c>
      <c r="O838" s="1">
        <v>13.039216666666666</v>
      </c>
    </row>
    <row r="839" ht="15.75" hidden="1" customHeight="1">
      <c r="A839" s="4">
        <v>45534.0</v>
      </c>
      <c r="B839" s="1" t="s">
        <v>103</v>
      </c>
      <c r="C839" s="1" t="s">
        <v>89</v>
      </c>
      <c r="D839" s="1">
        <v>528.0</v>
      </c>
      <c r="E839" s="1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1">
        <v>2.0</v>
      </c>
      <c r="O839" s="1">
        <v>10.008083333333333</v>
      </c>
    </row>
    <row r="840" ht="15.75" hidden="1" customHeight="1">
      <c r="A840" s="4">
        <v>45534.0</v>
      </c>
      <c r="B840" s="1" t="s">
        <v>95</v>
      </c>
      <c r="C840" s="1" t="s">
        <v>89</v>
      </c>
      <c r="D840" s="1">
        <v>410.0</v>
      </c>
      <c r="E840" s="1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1">
        <v>-12.0</v>
      </c>
      <c r="N840" s="1">
        <v>0.0157</v>
      </c>
      <c r="O840" s="1">
        <v>9.14075</v>
      </c>
    </row>
    <row r="841" ht="15.75" hidden="1" customHeight="1">
      <c r="A841" s="4">
        <v>45534.0</v>
      </c>
      <c r="B841" s="1" t="s">
        <v>95</v>
      </c>
      <c r="C841" s="1" t="s">
        <v>89</v>
      </c>
      <c r="D841" s="1">
        <v>269.0</v>
      </c>
      <c r="E841" s="1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1">
        <v>-11.0</v>
      </c>
      <c r="N841" s="1">
        <v>0.0082</v>
      </c>
      <c r="O841" s="1">
        <v>8.87355</v>
      </c>
    </row>
    <row r="842" ht="15.75" customHeight="1">
      <c r="A842" s="4">
        <v>45534.0</v>
      </c>
      <c r="B842" s="1" t="s">
        <v>103</v>
      </c>
      <c r="C842" s="1" t="s">
        <v>104</v>
      </c>
      <c r="D842" s="1">
        <v>321.0</v>
      </c>
      <c r="E842" s="1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1">
        <v>0.0</v>
      </c>
      <c r="O842" s="1">
        <v>7.55645</v>
      </c>
    </row>
    <row r="843" ht="15.75" hidden="1" customHeight="1">
      <c r="A843" s="4">
        <v>45534.0</v>
      </c>
      <c r="B843" s="1" t="s">
        <v>88</v>
      </c>
      <c r="C843" s="1" t="s">
        <v>89</v>
      </c>
      <c r="D843" s="1">
        <v>499.0</v>
      </c>
      <c r="E843" s="1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1">
        <v>-6.0</v>
      </c>
      <c r="O843" s="1">
        <v>8.808283333333334</v>
      </c>
    </row>
    <row r="844" ht="15.75" hidden="1" customHeight="1">
      <c r="A844" s="4">
        <v>45534.0</v>
      </c>
      <c r="B844" s="1" t="s">
        <v>103</v>
      </c>
      <c r="C844" s="1" t="s">
        <v>104</v>
      </c>
      <c r="D844" s="1">
        <v>329.0</v>
      </c>
      <c r="E844" s="1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1">
        <v>2.0</v>
      </c>
      <c r="O844" s="1">
        <v>9.145983333333334</v>
      </c>
    </row>
    <row r="845" ht="15.75" hidden="1" customHeight="1">
      <c r="A845" s="4">
        <v>45534.0</v>
      </c>
      <c r="B845" s="1" t="s">
        <v>88</v>
      </c>
      <c r="C845" s="1" t="s">
        <v>89</v>
      </c>
      <c r="D845" s="1">
        <v>313.0</v>
      </c>
      <c r="E845" s="1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1">
        <v>-7.0</v>
      </c>
      <c r="O845" s="1">
        <v>7.3621</v>
      </c>
    </row>
    <row r="846" ht="15.75" hidden="1" customHeight="1">
      <c r="A846" s="4">
        <v>45534.0</v>
      </c>
      <c r="B846" s="1" t="s">
        <v>107</v>
      </c>
      <c r="C846" s="1" t="s">
        <v>104</v>
      </c>
      <c r="D846" s="1">
        <v>129.0</v>
      </c>
      <c r="E846" s="1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1">
        <v>-7.0</v>
      </c>
      <c r="O846" s="1">
        <v>7.1823</v>
      </c>
    </row>
    <row r="847" ht="15.75" hidden="1" customHeight="1">
      <c r="A847" s="4">
        <v>45534.0</v>
      </c>
      <c r="B847" s="1" t="s">
        <v>88</v>
      </c>
      <c r="C847" s="1" t="s">
        <v>89</v>
      </c>
      <c r="D847" s="1">
        <v>415.0</v>
      </c>
      <c r="E847" s="1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1">
        <v>-6.0</v>
      </c>
      <c r="O847" s="1">
        <v>8.112883333333333</v>
      </c>
    </row>
    <row r="848" ht="15.75" hidden="1" customHeight="1">
      <c r="A848" s="4">
        <v>45534.0</v>
      </c>
      <c r="B848" s="1" t="s">
        <v>88</v>
      </c>
      <c r="C848" s="1" t="s">
        <v>89</v>
      </c>
      <c r="D848" s="1">
        <v>448.0</v>
      </c>
      <c r="E848" s="1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1">
        <v>-7.0</v>
      </c>
      <c r="O848" s="1">
        <v>7.713783333333334</v>
      </c>
    </row>
    <row r="849" ht="15.75" hidden="1" customHeight="1">
      <c r="A849" s="4">
        <v>45534.0</v>
      </c>
      <c r="B849" s="1" t="s">
        <v>95</v>
      </c>
      <c r="C849" s="1" t="s">
        <v>89</v>
      </c>
      <c r="D849" s="1">
        <v>484.0</v>
      </c>
      <c r="E849" s="1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1">
        <v>-9.0</v>
      </c>
      <c r="O849" s="1">
        <v>9.64845</v>
      </c>
    </row>
    <row r="850" ht="15.75" hidden="1" customHeight="1">
      <c r="A850" s="4">
        <v>45534.0</v>
      </c>
      <c r="B850" s="1" t="s">
        <v>95</v>
      </c>
      <c r="C850" s="1" t="s">
        <v>89</v>
      </c>
      <c r="D850" s="1">
        <v>154.0</v>
      </c>
      <c r="E850" s="1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1">
        <v>-8.0</v>
      </c>
      <c r="O850" s="1">
        <v>11.12775</v>
      </c>
    </row>
    <row r="851" ht="15.75" hidden="1" customHeight="1">
      <c r="A851" s="4">
        <v>45534.0</v>
      </c>
      <c r="B851" s="1" t="s">
        <v>107</v>
      </c>
      <c r="C851" s="1" t="s">
        <v>104</v>
      </c>
      <c r="D851" s="1">
        <v>329.0</v>
      </c>
      <c r="E851" s="1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1">
        <v>-3.0</v>
      </c>
      <c r="O851" s="1">
        <v>11.7582</v>
      </c>
    </row>
    <row r="852" ht="15.75" customHeight="1">
      <c r="A852" s="4">
        <v>45534.0</v>
      </c>
      <c r="B852" s="1" t="s">
        <v>103</v>
      </c>
      <c r="C852" s="1" t="s">
        <v>104</v>
      </c>
      <c r="D852" s="1">
        <v>417.0</v>
      </c>
      <c r="E852" s="1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1">
        <v>7.0</v>
      </c>
      <c r="O852" s="1">
        <v>16.537066666666668</v>
      </c>
    </row>
    <row r="853" ht="15.75" customHeight="1">
      <c r="A853" s="4">
        <v>45534.0</v>
      </c>
      <c r="B853" s="1" t="s">
        <v>103</v>
      </c>
      <c r="C853" s="1" t="s">
        <v>104</v>
      </c>
      <c r="D853" s="1">
        <v>732.0</v>
      </c>
      <c r="E853" s="1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1">
        <v>3.0</v>
      </c>
      <c r="O853" s="1">
        <v>15.744233333333334</v>
      </c>
    </row>
    <row r="854" ht="15.75" customHeight="1">
      <c r="A854" s="4">
        <v>45534.0</v>
      </c>
      <c r="B854" s="1" t="s">
        <v>103</v>
      </c>
      <c r="C854" s="1" t="s">
        <v>104</v>
      </c>
      <c r="D854" s="1">
        <v>1320.0</v>
      </c>
      <c r="E854" s="1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1">
        <v>0.0</v>
      </c>
      <c r="O854" s="1">
        <v>15.664083333333334</v>
      </c>
    </row>
    <row r="855" ht="15.75" hidden="1" customHeight="1">
      <c r="A855" s="4">
        <v>45534.0</v>
      </c>
      <c r="B855" s="1" t="s">
        <v>88</v>
      </c>
      <c r="C855" s="1" t="s">
        <v>89</v>
      </c>
      <c r="D855" s="1">
        <v>528.0</v>
      </c>
      <c r="E855" s="1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1">
        <v>0.0</v>
      </c>
      <c r="O855" s="1">
        <v>19.3948</v>
      </c>
    </row>
    <row r="856" ht="15.75" hidden="1" customHeight="1">
      <c r="A856" s="4">
        <v>45534.0</v>
      </c>
      <c r="B856" s="1" t="s">
        <v>95</v>
      </c>
      <c r="C856" s="1" t="s">
        <v>89</v>
      </c>
      <c r="D856" s="1">
        <v>327.0</v>
      </c>
      <c r="E856" s="1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1">
        <v>9.0</v>
      </c>
      <c r="N856" s="1">
        <v>4.176</v>
      </c>
      <c r="O856" s="1">
        <v>13.513466666666666</v>
      </c>
    </row>
    <row r="857" ht="15.75" customHeight="1">
      <c r="A857" s="4">
        <v>45534.0</v>
      </c>
      <c r="B857" s="1" t="s">
        <v>103</v>
      </c>
      <c r="C857" s="1" t="s">
        <v>104</v>
      </c>
      <c r="D857" s="1">
        <v>408.0</v>
      </c>
      <c r="E857" s="1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1">
        <v>3.0</v>
      </c>
      <c r="O857" s="1">
        <v>12.643616666666667</v>
      </c>
    </row>
    <row r="858" ht="15.75" customHeight="1">
      <c r="A858" s="4">
        <v>45534.0</v>
      </c>
      <c r="B858" s="1" t="s">
        <v>103</v>
      </c>
      <c r="C858" s="1" t="s">
        <v>104</v>
      </c>
      <c r="D858" s="1">
        <v>329.0</v>
      </c>
      <c r="E858" s="1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1">
        <v>5.0</v>
      </c>
      <c r="O858" s="1">
        <v>13.69075</v>
      </c>
    </row>
    <row r="859" ht="15.75" hidden="1" customHeight="1">
      <c r="A859" s="4">
        <v>45534.0</v>
      </c>
      <c r="B859" s="1" t="s">
        <v>88</v>
      </c>
      <c r="C859" s="1" t="s">
        <v>89</v>
      </c>
      <c r="D859" s="1">
        <v>504.0</v>
      </c>
      <c r="E859" s="1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1">
        <v>-2.0</v>
      </c>
      <c r="O859" s="1">
        <v>17.060066666666668</v>
      </c>
    </row>
    <row r="860" ht="15.75" hidden="1" customHeight="1">
      <c r="A860" s="4">
        <v>45534.0</v>
      </c>
      <c r="B860" s="1" t="s">
        <v>95</v>
      </c>
      <c r="C860" s="1" t="s">
        <v>89</v>
      </c>
      <c r="D860" s="1">
        <v>1074.0</v>
      </c>
      <c r="E860" s="1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1">
        <v>-3.0</v>
      </c>
      <c r="N860" s="1">
        <v>0.010416666666666666</v>
      </c>
      <c r="O860" s="1">
        <v>23.188766666666666</v>
      </c>
    </row>
    <row r="861" ht="15.75" hidden="1" customHeight="1">
      <c r="A861" s="4">
        <v>45534.0</v>
      </c>
      <c r="B861" s="1" t="s">
        <v>88</v>
      </c>
      <c r="C861" s="1" t="s">
        <v>89</v>
      </c>
      <c r="D861" s="1">
        <v>329.0</v>
      </c>
      <c r="E861" s="1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1">
        <v>-2.0</v>
      </c>
      <c r="O861" s="1">
        <v>12.442483333333334</v>
      </c>
    </row>
    <row r="862" ht="15.75" customHeight="1">
      <c r="A862" s="4">
        <v>45534.0</v>
      </c>
      <c r="B862" s="1" t="s">
        <v>103</v>
      </c>
      <c r="C862" s="1" t="s">
        <v>104</v>
      </c>
      <c r="D862" s="1">
        <v>264.0</v>
      </c>
      <c r="E862" s="1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1">
        <v>0.0</v>
      </c>
      <c r="O862" s="1">
        <v>6.8414166666666665</v>
      </c>
    </row>
    <row r="863" ht="15.75" customHeight="1">
      <c r="A863" s="4">
        <v>45534.0</v>
      </c>
      <c r="B863" s="1" t="s">
        <v>103</v>
      </c>
      <c r="C863" s="1" t="s">
        <v>104</v>
      </c>
      <c r="D863" s="1">
        <v>528.0</v>
      </c>
      <c r="E863" s="1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1">
        <v>6.0</v>
      </c>
      <c r="O863" s="1">
        <v>15.075166666666666</v>
      </c>
    </row>
    <row r="864" ht="15.75" customHeight="1">
      <c r="A864" s="4">
        <v>45534.0</v>
      </c>
      <c r="B864" s="1" t="s">
        <v>103</v>
      </c>
      <c r="C864" s="1" t="s">
        <v>104</v>
      </c>
      <c r="D864" s="1">
        <v>488.0</v>
      </c>
      <c r="E864" s="1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1">
        <v>5.0</v>
      </c>
      <c r="O864" s="1">
        <v>13.79015</v>
      </c>
    </row>
    <row r="865" ht="15.75" hidden="1" customHeight="1">
      <c r="A865" s="4">
        <v>45534.0</v>
      </c>
      <c r="B865" s="1" t="s">
        <v>95</v>
      </c>
      <c r="C865" s="1" t="s">
        <v>89</v>
      </c>
      <c r="D865" s="1">
        <v>707.0</v>
      </c>
      <c r="E865" s="1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1">
        <v>-11.0</v>
      </c>
      <c r="N865" s="1">
        <v>0.010866666666666667</v>
      </c>
      <c r="O865" s="1">
        <v>15.937333333333333</v>
      </c>
    </row>
    <row r="866" ht="15.75" customHeight="1">
      <c r="A866" s="4">
        <v>45534.0</v>
      </c>
      <c r="B866" s="1" t="s">
        <v>103</v>
      </c>
      <c r="C866" s="1" t="s">
        <v>104</v>
      </c>
      <c r="D866" s="1">
        <v>378.0</v>
      </c>
      <c r="E866" s="1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1">
        <v>3.0</v>
      </c>
      <c r="O866" s="1">
        <v>11.509583333333333</v>
      </c>
    </row>
    <row r="867" ht="15.75" hidden="1" customHeight="1">
      <c r="A867" s="4">
        <v>45534.0</v>
      </c>
      <c r="B867" s="1" t="s">
        <v>95</v>
      </c>
      <c r="C867" s="1" t="s">
        <v>89</v>
      </c>
      <c r="D867" s="1">
        <v>250.0</v>
      </c>
      <c r="E867" s="1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1">
        <v>7.0</v>
      </c>
      <c r="N867" s="1">
        <v>9.038833333333333</v>
      </c>
      <c r="O867" s="1">
        <v>17.90235</v>
      </c>
    </row>
    <row r="868" ht="15.75" hidden="1" customHeight="1">
      <c r="A868" s="4">
        <v>45534.0</v>
      </c>
      <c r="B868" s="1" t="s">
        <v>88</v>
      </c>
      <c r="C868" s="1" t="s">
        <v>89</v>
      </c>
      <c r="D868" s="1">
        <v>364.0</v>
      </c>
      <c r="E868" s="1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1">
        <v>1.0</v>
      </c>
      <c r="O868" s="1">
        <v>16.7009</v>
      </c>
    </row>
    <row r="869" ht="15.75" hidden="1" customHeight="1">
      <c r="A869" s="4">
        <v>45534.0</v>
      </c>
      <c r="B869" s="1" t="s">
        <v>95</v>
      </c>
      <c r="C869" s="1" t="s">
        <v>89</v>
      </c>
      <c r="D869" s="1">
        <v>1245.0</v>
      </c>
      <c r="E869" s="1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1">
        <v>-11.0</v>
      </c>
      <c r="N869" s="1">
        <v>0.00945</v>
      </c>
    </row>
    <row r="870" ht="15.75" hidden="1" customHeight="1">
      <c r="A870" s="4">
        <v>45534.0</v>
      </c>
      <c r="B870" s="1" t="s">
        <v>95</v>
      </c>
      <c r="C870" s="1" t="s">
        <v>89</v>
      </c>
      <c r="D870" s="1">
        <v>199.0</v>
      </c>
      <c r="E870" s="1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1">
        <v>0.0</v>
      </c>
      <c r="O870" s="1">
        <v>171.58558333333335</v>
      </c>
    </row>
    <row r="871" ht="15.75" hidden="1" customHeight="1">
      <c r="A871" s="4">
        <v>45535.0</v>
      </c>
      <c r="B871" s="1" t="s">
        <v>95</v>
      </c>
      <c r="C871" s="1" t="s">
        <v>89</v>
      </c>
      <c r="D871" s="1">
        <v>423.0</v>
      </c>
      <c r="E871" s="1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1">
        <v>7.0</v>
      </c>
      <c r="N871" s="1">
        <v>9.019483333333334</v>
      </c>
      <c r="O871" s="1">
        <v>11.531583333333334</v>
      </c>
    </row>
    <row r="872" ht="15.75" customHeight="1">
      <c r="A872" s="4">
        <v>45535.0</v>
      </c>
      <c r="B872" s="1" t="s">
        <v>103</v>
      </c>
      <c r="C872" s="1" t="s">
        <v>104</v>
      </c>
      <c r="D872" s="1">
        <v>264.0</v>
      </c>
      <c r="E872" s="1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1">
        <v>1.0</v>
      </c>
      <c r="O872" s="1">
        <v>7.085733333333334</v>
      </c>
    </row>
    <row r="873" ht="15.75" customHeight="1">
      <c r="A873" s="4">
        <v>45535.0</v>
      </c>
      <c r="B873" s="1" t="s">
        <v>103</v>
      </c>
      <c r="C873" s="1" t="s">
        <v>104</v>
      </c>
      <c r="D873" s="1">
        <v>435.0</v>
      </c>
      <c r="E873" s="1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1">
        <v>4.0</v>
      </c>
      <c r="O873" s="1">
        <v>12.797716666666666</v>
      </c>
    </row>
    <row r="874" ht="15.75" hidden="1" customHeight="1">
      <c r="A874" s="4">
        <v>45535.0</v>
      </c>
      <c r="B874" s="1" t="s">
        <v>88</v>
      </c>
      <c r="C874" s="1" t="s">
        <v>89</v>
      </c>
      <c r="D874" s="1">
        <v>400.0</v>
      </c>
      <c r="E874" s="1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1">
        <v>0.0</v>
      </c>
      <c r="O874" s="1">
        <v>14.249033333333333</v>
      </c>
    </row>
    <row r="875" ht="15.75" hidden="1" customHeight="1">
      <c r="A875" s="4">
        <v>45535.0</v>
      </c>
      <c r="B875" s="1" t="s">
        <v>95</v>
      </c>
      <c r="C875" s="1" t="s">
        <v>89</v>
      </c>
      <c r="D875" s="1">
        <v>1066.0</v>
      </c>
      <c r="E875" s="1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1">
        <v>7.0</v>
      </c>
      <c r="N875" s="1">
        <v>14.57325</v>
      </c>
      <c r="O875" s="1">
        <v>13.066333333333333</v>
      </c>
    </row>
    <row r="876" ht="15.75" hidden="1" customHeight="1">
      <c r="A876" s="4">
        <v>45535.0</v>
      </c>
      <c r="B876" s="1" t="s">
        <v>88</v>
      </c>
      <c r="C876" s="1" t="s">
        <v>89</v>
      </c>
      <c r="D876" s="1">
        <v>249.0</v>
      </c>
      <c r="E876" s="1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1">
        <v>-10.0</v>
      </c>
      <c r="O876" s="1">
        <v>4.391</v>
      </c>
    </row>
    <row r="877" ht="15.75" hidden="1" customHeight="1">
      <c r="A877" s="4">
        <v>45535.0</v>
      </c>
      <c r="B877" s="1" t="s">
        <v>88</v>
      </c>
      <c r="C877" s="1" t="s">
        <v>89</v>
      </c>
      <c r="D877" s="1">
        <v>294.0</v>
      </c>
      <c r="E877" s="1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1">
        <v>-7.0</v>
      </c>
      <c r="O877" s="1">
        <v>7.88955</v>
      </c>
    </row>
    <row r="878" ht="15.75" hidden="1" customHeight="1">
      <c r="A878" s="4">
        <v>45535.0</v>
      </c>
      <c r="B878" s="1" t="s">
        <v>107</v>
      </c>
      <c r="C878" s="1" t="s">
        <v>104</v>
      </c>
      <c r="D878" s="1">
        <v>264.0</v>
      </c>
      <c r="E878" s="1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1">
        <v>-6.0</v>
      </c>
      <c r="O878" s="1">
        <v>8.548466666666666</v>
      </c>
    </row>
    <row r="879" ht="15.75" hidden="1" customHeight="1">
      <c r="A879" s="4">
        <v>45535.0</v>
      </c>
      <c r="B879" s="1" t="s">
        <v>107</v>
      </c>
      <c r="C879" s="1" t="s">
        <v>104</v>
      </c>
      <c r="D879" s="1">
        <v>772.0</v>
      </c>
      <c r="E879" s="1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1">
        <v>-9.0</v>
      </c>
      <c r="O879" s="1">
        <v>10.49795</v>
      </c>
    </row>
    <row r="880" ht="15.75" hidden="1" customHeight="1">
      <c r="A880" s="4">
        <v>45535.0</v>
      </c>
      <c r="B880" s="1" t="s">
        <v>88</v>
      </c>
      <c r="C880" s="1" t="s">
        <v>89</v>
      </c>
      <c r="D880" s="1">
        <v>1316.0</v>
      </c>
      <c r="E880" s="1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1">
        <v>-8.0</v>
      </c>
      <c r="O880" s="1">
        <v>11.782383333333334</v>
      </c>
    </row>
    <row r="881" ht="15.75" hidden="1" customHeight="1">
      <c r="A881" s="4">
        <v>45535.0</v>
      </c>
      <c r="B881" s="1" t="s">
        <v>88</v>
      </c>
      <c r="C881" s="1" t="s">
        <v>89</v>
      </c>
      <c r="D881" s="1">
        <v>313.0</v>
      </c>
      <c r="E881" s="1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1">
        <v>-8.0</v>
      </c>
      <c r="O881" s="1">
        <v>10.568583333333333</v>
      </c>
    </row>
    <row r="882" ht="15.75" hidden="1" customHeight="1">
      <c r="A882" s="4">
        <v>45535.0</v>
      </c>
      <c r="B882" s="1" t="s">
        <v>103</v>
      </c>
      <c r="C882" s="1" t="s">
        <v>104</v>
      </c>
      <c r="D882" s="1">
        <v>284.0</v>
      </c>
      <c r="E882" s="1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1">
        <v>1.0</v>
      </c>
      <c r="O882" s="1">
        <v>8.308833333333334</v>
      </c>
    </row>
    <row r="883" ht="15.75" customHeight="1">
      <c r="A883" s="4">
        <v>45535.0</v>
      </c>
      <c r="B883" s="1" t="s">
        <v>103</v>
      </c>
      <c r="C883" s="1" t="s">
        <v>104</v>
      </c>
      <c r="D883" s="1">
        <v>129.0</v>
      </c>
      <c r="E883" s="1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1">
        <v>1.0</v>
      </c>
      <c r="O883" s="1">
        <v>6.46445</v>
      </c>
    </row>
    <row r="884" ht="15.75" hidden="1" customHeight="1">
      <c r="A884" s="4">
        <v>45535.0</v>
      </c>
      <c r="B884" s="1" t="s">
        <v>107</v>
      </c>
      <c r="C884" s="1" t="s">
        <v>104</v>
      </c>
      <c r="D884" s="1">
        <v>329.0</v>
      </c>
      <c r="E884" s="1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1">
        <v>-2.0</v>
      </c>
      <c r="O884" s="1">
        <v>12.3828</v>
      </c>
    </row>
    <row r="885" ht="15.75" hidden="1" customHeight="1">
      <c r="A885" s="4">
        <v>45535.0</v>
      </c>
      <c r="B885" s="1" t="s">
        <v>88</v>
      </c>
      <c r="C885" s="1" t="s">
        <v>89</v>
      </c>
      <c r="D885" s="1">
        <v>2057.0</v>
      </c>
      <c r="E885" s="1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1">
        <v>-4.0</v>
      </c>
      <c r="O885" s="1">
        <v>15.672133333333333</v>
      </c>
    </row>
    <row r="886" ht="15.75" hidden="1" customHeight="1">
      <c r="A886" s="4">
        <v>45535.0</v>
      </c>
      <c r="B886" s="1" t="s">
        <v>95</v>
      </c>
      <c r="C886" s="1" t="s">
        <v>104</v>
      </c>
      <c r="D886" s="1">
        <v>199.0</v>
      </c>
      <c r="E886" s="1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1">
        <v>-9.0</v>
      </c>
      <c r="O886" s="1">
        <v>10.067983333333334</v>
      </c>
    </row>
    <row r="887" ht="15.75" hidden="1" customHeight="1">
      <c r="A887" s="4">
        <v>45535.0</v>
      </c>
      <c r="B887" s="1" t="s">
        <v>107</v>
      </c>
      <c r="C887" s="1" t="s">
        <v>104</v>
      </c>
      <c r="D887" s="1">
        <v>294.0</v>
      </c>
      <c r="E887" s="1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1">
        <v>-8.0</v>
      </c>
      <c r="O887" s="1">
        <v>6.74925</v>
      </c>
    </row>
    <row r="888" ht="15.75" customHeight="1">
      <c r="A888" s="4">
        <v>45535.0</v>
      </c>
      <c r="B888" s="1" t="s">
        <v>103</v>
      </c>
      <c r="C888" s="1" t="s">
        <v>104</v>
      </c>
      <c r="D888" s="1">
        <v>378.0</v>
      </c>
      <c r="E888" s="1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1">
        <v>0.0</v>
      </c>
      <c r="O888" s="1">
        <v>7.180666666666666</v>
      </c>
    </row>
    <row r="889" ht="15.75" hidden="1" customHeight="1">
      <c r="A889" s="4">
        <v>45535.0</v>
      </c>
      <c r="B889" s="1" t="s">
        <v>95</v>
      </c>
      <c r="C889" s="1" t="s">
        <v>104</v>
      </c>
      <c r="D889" s="1">
        <v>335.0</v>
      </c>
      <c r="E889" s="1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1">
        <v>-23.0</v>
      </c>
      <c r="O889" s="1">
        <v>9.52545</v>
      </c>
    </row>
    <row r="890" ht="15.75" customHeight="1">
      <c r="A890" s="4">
        <v>45535.0</v>
      </c>
      <c r="B890" s="1" t="s">
        <v>103</v>
      </c>
      <c r="C890" s="1" t="s">
        <v>104</v>
      </c>
      <c r="D890" s="1">
        <v>429.0</v>
      </c>
      <c r="E890" s="1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1">
        <v>1.0</v>
      </c>
      <c r="O890" s="1">
        <v>9.653166666666667</v>
      </c>
    </row>
    <row r="891" ht="15.75" hidden="1" customHeight="1">
      <c r="A891" s="4">
        <v>45535.0</v>
      </c>
      <c r="B891" s="1" t="s">
        <v>95</v>
      </c>
      <c r="C891" s="1" t="s">
        <v>104</v>
      </c>
      <c r="D891" s="1">
        <v>247.0</v>
      </c>
      <c r="E891" s="1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1">
        <v>-7.0</v>
      </c>
      <c r="O891" s="1">
        <v>10.8328</v>
      </c>
    </row>
    <row r="892" ht="15.75" hidden="1" customHeight="1">
      <c r="A892" s="4">
        <v>45535.0</v>
      </c>
      <c r="B892" s="1" t="s">
        <v>103</v>
      </c>
      <c r="C892" s="1" t="s">
        <v>104</v>
      </c>
      <c r="D892" s="1">
        <v>474.0</v>
      </c>
      <c r="E892" s="1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1">
        <v>0.0</v>
      </c>
      <c r="O892" s="1">
        <v>7.8293333333333335</v>
      </c>
    </row>
    <row r="893" ht="15.75" hidden="1" customHeight="1">
      <c r="A893" s="4">
        <v>45535.0</v>
      </c>
      <c r="B893" s="1" t="s">
        <v>95</v>
      </c>
      <c r="C893" s="1" t="s">
        <v>89</v>
      </c>
      <c r="D893" s="1">
        <v>618.0</v>
      </c>
      <c r="E893" s="1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1">
        <v>-9.0</v>
      </c>
      <c r="N893" s="1">
        <v>6.214916666666666</v>
      </c>
      <c r="O893" s="1">
        <v>8.191616666666667</v>
      </c>
    </row>
    <row r="894" ht="15.75" hidden="1" customHeight="1">
      <c r="A894" s="4">
        <v>45535.0</v>
      </c>
      <c r="B894" s="1" t="s">
        <v>95</v>
      </c>
      <c r="C894" s="1" t="s">
        <v>89</v>
      </c>
      <c r="D894" s="1">
        <v>598.0</v>
      </c>
      <c r="E894" s="1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1">
        <v>-7.0</v>
      </c>
      <c r="N894" s="1">
        <v>0.0101</v>
      </c>
      <c r="O894" s="1">
        <v>8.481916666666667</v>
      </c>
    </row>
    <row r="895" ht="15.75" hidden="1" customHeight="1">
      <c r="A895" s="4">
        <v>45535.0</v>
      </c>
      <c r="B895" s="1" t="s">
        <v>107</v>
      </c>
      <c r="C895" s="1" t="s">
        <v>104</v>
      </c>
      <c r="D895" s="1">
        <v>553.0</v>
      </c>
      <c r="E895" s="1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1">
        <v>-11.0</v>
      </c>
      <c r="O895" s="1">
        <v>8.088616666666667</v>
      </c>
    </row>
    <row r="896" ht="15.75" hidden="1" customHeight="1">
      <c r="A896" s="4">
        <v>45535.0</v>
      </c>
      <c r="B896" s="1" t="s">
        <v>88</v>
      </c>
      <c r="C896" s="1" t="s">
        <v>89</v>
      </c>
      <c r="D896" s="1">
        <v>264.0</v>
      </c>
      <c r="E896" s="1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1">
        <v>-8.0</v>
      </c>
      <c r="O896" s="1">
        <v>6.984216666666667</v>
      </c>
    </row>
    <row r="897" ht="15.75" hidden="1" customHeight="1">
      <c r="A897" s="4">
        <v>45535.0</v>
      </c>
      <c r="B897" s="1" t="s">
        <v>107</v>
      </c>
      <c r="C897" s="1" t="s">
        <v>104</v>
      </c>
      <c r="D897" s="1">
        <v>394.0</v>
      </c>
      <c r="E897" s="1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1">
        <v>-6.0</v>
      </c>
      <c r="O897" s="1">
        <v>8.357066666666666</v>
      </c>
    </row>
    <row r="898" ht="15.75" hidden="1" customHeight="1">
      <c r="A898" s="4">
        <v>45535.0</v>
      </c>
      <c r="B898" s="1" t="s">
        <v>88</v>
      </c>
      <c r="C898" s="1" t="s">
        <v>89</v>
      </c>
      <c r="D898" s="1">
        <v>264.0</v>
      </c>
      <c r="E898" s="1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1">
        <v>-7.0</v>
      </c>
      <c r="O898" s="1">
        <v>7.357833333333334</v>
      </c>
    </row>
    <row r="899" ht="15.75" hidden="1" customHeight="1">
      <c r="A899" s="4">
        <v>45535.0</v>
      </c>
      <c r="B899" s="1" t="s">
        <v>88</v>
      </c>
      <c r="C899" s="1" t="s">
        <v>89</v>
      </c>
      <c r="D899" s="1">
        <v>571.0</v>
      </c>
      <c r="E899" s="1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1">
        <v>-10.0</v>
      </c>
      <c r="O899" s="1">
        <v>9.726333333333333</v>
      </c>
    </row>
    <row r="900" ht="15.75" hidden="1" customHeight="1">
      <c r="A900" s="4">
        <v>45535.0</v>
      </c>
      <c r="B900" s="1" t="s">
        <v>107</v>
      </c>
      <c r="C900" s="1" t="s">
        <v>104</v>
      </c>
      <c r="D900" s="1">
        <v>378.0</v>
      </c>
      <c r="E900" s="1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1">
        <v>-3.0</v>
      </c>
      <c r="O900" s="1">
        <v>11.3603</v>
      </c>
    </row>
    <row r="901" ht="15.75" hidden="1" customHeight="1">
      <c r="A901" s="4">
        <v>45535.0</v>
      </c>
      <c r="B901" s="1" t="s">
        <v>95</v>
      </c>
      <c r="C901" s="1" t="s">
        <v>104</v>
      </c>
      <c r="D901" s="1">
        <v>247.0</v>
      </c>
      <c r="E901" s="1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1">
        <v>-13.0</v>
      </c>
      <c r="O901" s="1">
        <v>5.952583333333333</v>
      </c>
    </row>
    <row r="902" ht="15.75" customHeight="1">
      <c r="A902" s="4">
        <v>45535.0</v>
      </c>
      <c r="B902" s="1" t="s">
        <v>103</v>
      </c>
      <c r="C902" s="1" t="s">
        <v>104</v>
      </c>
      <c r="D902" s="1">
        <v>677.0</v>
      </c>
      <c r="E902" s="1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1">
        <v>-2.0</v>
      </c>
      <c r="O902" s="1">
        <v>6.40955</v>
      </c>
    </row>
    <row r="903" ht="15.75" hidden="1" customHeight="1">
      <c r="A903" s="4">
        <v>45535.0</v>
      </c>
      <c r="B903" s="1" t="s">
        <v>95</v>
      </c>
      <c r="C903" s="1" t="s">
        <v>104</v>
      </c>
      <c r="D903" s="1">
        <v>268.0</v>
      </c>
      <c r="E903" s="1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1">
        <v>-11.0</v>
      </c>
      <c r="O903" s="1">
        <v>7.971116666666667</v>
      </c>
    </row>
    <row r="904" ht="15.75" hidden="1" customHeight="1">
      <c r="A904" s="4">
        <v>45535.0</v>
      </c>
      <c r="B904" s="1" t="s">
        <v>88</v>
      </c>
      <c r="C904" s="1" t="s">
        <v>89</v>
      </c>
      <c r="D904" s="1">
        <v>602.0</v>
      </c>
      <c r="E904" s="1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1">
        <v>-11.0</v>
      </c>
      <c r="O904" s="1">
        <v>8.518183333333333</v>
      </c>
    </row>
    <row r="905" ht="15.75" customHeight="1">
      <c r="A905" s="4">
        <v>45535.0</v>
      </c>
      <c r="B905" s="1" t="s">
        <v>103</v>
      </c>
      <c r="C905" s="1" t="s">
        <v>104</v>
      </c>
      <c r="D905" s="1">
        <v>329.0</v>
      </c>
      <c r="E905" s="1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1">
        <v>0.0</v>
      </c>
      <c r="O905" s="1">
        <v>6.969666666666667</v>
      </c>
    </row>
    <row r="906" ht="15.75" hidden="1" customHeight="1">
      <c r="A906" s="4">
        <v>45535.0</v>
      </c>
      <c r="B906" s="1" t="s">
        <v>95</v>
      </c>
      <c r="C906" s="1" t="s">
        <v>104</v>
      </c>
      <c r="D906" s="1">
        <v>219.0</v>
      </c>
      <c r="E906" s="1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1">
        <v>-24.0</v>
      </c>
      <c r="O906" s="1">
        <v>9.28475</v>
      </c>
    </row>
    <row r="907" ht="15.75" hidden="1" customHeight="1">
      <c r="A907" s="4">
        <v>45535.0</v>
      </c>
      <c r="B907" s="1" t="s">
        <v>88</v>
      </c>
      <c r="C907" s="1" t="s">
        <v>89</v>
      </c>
      <c r="D907" s="1">
        <v>364.0</v>
      </c>
      <c r="E907" s="1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1">
        <v>-7.0</v>
      </c>
      <c r="O907" s="1">
        <v>7.991816666666667</v>
      </c>
    </row>
    <row r="908" ht="15.75" customHeight="1">
      <c r="A908" s="4">
        <v>45535.0</v>
      </c>
      <c r="B908" s="1" t="s">
        <v>103</v>
      </c>
      <c r="C908" s="1" t="s">
        <v>104</v>
      </c>
      <c r="D908" s="1">
        <v>294.0</v>
      </c>
      <c r="E908" s="1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1">
        <v>4.0</v>
      </c>
      <c r="O908" s="1">
        <v>11.132433333333333</v>
      </c>
    </row>
    <row r="909" ht="15.75" hidden="1" customHeight="1">
      <c r="A909" s="4">
        <v>45535.0</v>
      </c>
      <c r="B909" s="1" t="s">
        <v>88</v>
      </c>
      <c r="C909" s="1" t="s">
        <v>89</v>
      </c>
      <c r="D909" s="1">
        <v>329.0</v>
      </c>
      <c r="E909" s="1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1">
        <v>-6.0</v>
      </c>
      <c r="O909" s="1">
        <v>13.5242</v>
      </c>
    </row>
    <row r="910" ht="15.75" hidden="1" customHeight="1">
      <c r="A910" s="4">
        <v>45535.0</v>
      </c>
      <c r="B910" s="1" t="s">
        <v>95</v>
      </c>
      <c r="C910" s="1" t="s">
        <v>104</v>
      </c>
      <c r="D910" s="1">
        <v>285.0</v>
      </c>
      <c r="E910" s="1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1">
        <v>-9.0</v>
      </c>
      <c r="O910" s="1">
        <v>9.421783333333334</v>
      </c>
    </row>
    <row r="911" ht="15.75" hidden="1" customHeight="1">
      <c r="A911" s="4">
        <v>45535.0</v>
      </c>
      <c r="B911" s="1" t="s">
        <v>228</v>
      </c>
      <c r="C911" s="1" t="s">
        <v>104</v>
      </c>
      <c r="D911" s="1">
        <v>346.0</v>
      </c>
      <c r="E911" s="1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1">
        <v>2.0</v>
      </c>
      <c r="O911" s="1">
        <v>7.3796333333333335</v>
      </c>
    </row>
    <row r="912" ht="15.75" hidden="1" customHeight="1">
      <c r="A912" s="4">
        <v>45535.0</v>
      </c>
      <c r="B912" s="1" t="s">
        <v>95</v>
      </c>
      <c r="C912" s="1" t="s">
        <v>89</v>
      </c>
      <c r="D912" s="1">
        <v>301.0</v>
      </c>
      <c r="E912" s="1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1">
        <v>-7.0</v>
      </c>
      <c r="N912" s="1">
        <v>0.012283333333333334</v>
      </c>
      <c r="O912" s="1">
        <v>7.0979</v>
      </c>
    </row>
    <row r="913" ht="15.75" customHeight="1">
      <c r="A913" s="4">
        <v>45535.0</v>
      </c>
      <c r="B913" s="1" t="s">
        <v>103</v>
      </c>
      <c r="C913" s="1" t="s">
        <v>104</v>
      </c>
      <c r="D913" s="1">
        <v>413.0</v>
      </c>
      <c r="E913" s="1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1">
        <v>1.0</v>
      </c>
      <c r="O913" s="1">
        <v>8.825783333333334</v>
      </c>
    </row>
    <row r="914" ht="15.75" hidden="1" customHeight="1">
      <c r="A914" s="4">
        <v>45535.0</v>
      </c>
      <c r="B914" s="1" t="s">
        <v>95</v>
      </c>
      <c r="C914" s="1" t="s">
        <v>89</v>
      </c>
      <c r="D914" s="1">
        <v>533.0</v>
      </c>
      <c r="E914" s="1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1">
        <v>-20.0</v>
      </c>
      <c r="N914" s="1">
        <v>0.009533333333333333</v>
      </c>
      <c r="O914" s="1">
        <v>9.995966666666666</v>
      </c>
    </row>
    <row r="915" ht="15.75" hidden="1" customHeight="1">
      <c r="A915" s="4">
        <v>45535.0</v>
      </c>
      <c r="B915" s="1" t="s">
        <v>95</v>
      </c>
      <c r="C915" s="1" t="s">
        <v>104</v>
      </c>
      <c r="D915" s="1">
        <v>344.0</v>
      </c>
      <c r="E915" s="1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1">
        <v>-10.0</v>
      </c>
      <c r="O915" s="1">
        <v>8.9806</v>
      </c>
    </row>
    <row r="916" ht="15.75" hidden="1" customHeight="1">
      <c r="A916" s="4">
        <v>45535.0</v>
      </c>
      <c r="B916" s="1" t="s">
        <v>95</v>
      </c>
      <c r="C916" s="1" t="s">
        <v>104</v>
      </c>
      <c r="D916" s="1">
        <v>279.0</v>
      </c>
      <c r="E916" s="1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1">
        <v>-9.0</v>
      </c>
      <c r="O916" s="1">
        <v>9.7129</v>
      </c>
    </row>
    <row r="917" ht="15.75" hidden="1" customHeight="1">
      <c r="A917" s="4">
        <v>45535.0</v>
      </c>
      <c r="B917" s="1" t="s">
        <v>88</v>
      </c>
      <c r="C917" s="1" t="s">
        <v>89</v>
      </c>
      <c r="D917" s="1">
        <v>483.0</v>
      </c>
      <c r="E917" s="1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1">
        <v>-6.0</v>
      </c>
      <c r="O917" s="1">
        <v>8.94335</v>
      </c>
    </row>
    <row r="918" ht="15.75" hidden="1" customHeight="1">
      <c r="A918" s="4">
        <v>45535.0</v>
      </c>
      <c r="B918" s="1" t="s">
        <v>95</v>
      </c>
      <c r="C918" s="1" t="s">
        <v>89</v>
      </c>
      <c r="D918" s="1">
        <v>437.0</v>
      </c>
      <c r="E918" s="1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1">
        <v>-5.0</v>
      </c>
      <c r="N918" s="1">
        <v>0.009783333333333333</v>
      </c>
      <c r="O918" s="1">
        <v>15.12945</v>
      </c>
    </row>
    <row r="919" ht="15.75" hidden="1" customHeight="1">
      <c r="A919" s="4">
        <v>45535.0</v>
      </c>
      <c r="B919" s="1" t="s">
        <v>107</v>
      </c>
      <c r="C919" s="1" t="s">
        <v>104</v>
      </c>
      <c r="D919" s="1">
        <v>393.0</v>
      </c>
      <c r="E919" s="1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1">
        <v>-8.0</v>
      </c>
      <c r="O919" s="1">
        <v>6.8753166666666665</v>
      </c>
    </row>
    <row r="920" ht="15.75" hidden="1" customHeight="1">
      <c r="A920" s="4">
        <v>45535.0</v>
      </c>
      <c r="B920" s="1" t="s">
        <v>88</v>
      </c>
      <c r="C920" s="1" t="s">
        <v>89</v>
      </c>
      <c r="D920" s="1">
        <v>264.0</v>
      </c>
      <c r="E920" s="1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1">
        <v>-8.0</v>
      </c>
      <c r="O920" s="1">
        <v>6.3173</v>
      </c>
    </row>
    <row r="921" ht="15.75" hidden="1" customHeight="1">
      <c r="A921" s="4">
        <v>45535.0</v>
      </c>
      <c r="B921" s="1" t="s">
        <v>107</v>
      </c>
      <c r="C921" s="1" t="s">
        <v>104</v>
      </c>
      <c r="D921" s="1">
        <v>429.0</v>
      </c>
      <c r="E921" s="1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1">
        <v>-7.0</v>
      </c>
      <c r="O921" s="1">
        <v>7.935983333333334</v>
      </c>
    </row>
    <row r="922" ht="15.75" hidden="1" customHeight="1">
      <c r="A922" s="4">
        <v>45535.0</v>
      </c>
      <c r="B922" s="1" t="s">
        <v>88</v>
      </c>
      <c r="C922" s="1" t="s">
        <v>89</v>
      </c>
      <c r="D922" s="1">
        <v>592.0</v>
      </c>
      <c r="E922" s="1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1">
        <v>-11.0</v>
      </c>
      <c r="O922" s="1">
        <v>8.3988</v>
      </c>
    </row>
    <row r="923" ht="15.75" hidden="1" customHeight="1">
      <c r="A923" s="4">
        <v>45535.0</v>
      </c>
      <c r="B923" s="1" t="s">
        <v>88</v>
      </c>
      <c r="C923" s="1" t="s">
        <v>89</v>
      </c>
      <c r="D923" s="1">
        <v>391.0</v>
      </c>
      <c r="E923" s="1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1">
        <v>-5.0</v>
      </c>
      <c r="O923" s="1">
        <v>9.54845</v>
      </c>
    </row>
    <row r="924" ht="15.75" hidden="1" customHeight="1">
      <c r="A924" s="4">
        <v>45535.0</v>
      </c>
      <c r="B924" s="1" t="s">
        <v>88</v>
      </c>
      <c r="C924" s="1" t="s">
        <v>89</v>
      </c>
      <c r="D924" s="1">
        <v>877.0</v>
      </c>
      <c r="E924" s="1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1">
        <v>-9.0</v>
      </c>
      <c r="O924" s="1">
        <v>10.342316666666667</v>
      </c>
    </row>
    <row r="925" ht="15.75" hidden="1" customHeight="1">
      <c r="A925" s="4">
        <v>45535.0</v>
      </c>
      <c r="B925" s="1" t="s">
        <v>95</v>
      </c>
      <c r="C925" s="1" t="s">
        <v>104</v>
      </c>
      <c r="D925" s="1">
        <v>247.0</v>
      </c>
      <c r="E925" s="1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1">
        <v>-12.0</v>
      </c>
      <c r="O925" s="1">
        <v>6.52595</v>
      </c>
    </row>
    <row r="926" ht="15.75" hidden="1" customHeight="1">
      <c r="A926" s="4">
        <v>45535.0</v>
      </c>
      <c r="B926" s="1" t="s">
        <v>95</v>
      </c>
      <c r="C926" s="1" t="s">
        <v>89</v>
      </c>
      <c r="D926" s="1">
        <v>586.0</v>
      </c>
      <c r="E926" s="1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1">
        <v>6.0</v>
      </c>
      <c r="N926" s="1">
        <v>16.3099</v>
      </c>
      <c r="O926" s="1">
        <v>10.158366666666666</v>
      </c>
    </row>
    <row r="927" ht="15.75" hidden="1" customHeight="1">
      <c r="A927" s="4">
        <v>45535.0</v>
      </c>
      <c r="B927" s="1" t="s">
        <v>95</v>
      </c>
      <c r="C927" s="1" t="s">
        <v>89</v>
      </c>
      <c r="D927" s="1">
        <v>309.0</v>
      </c>
      <c r="E927" s="1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1">
        <v>3.0</v>
      </c>
      <c r="N927" s="1">
        <v>0.007266666666666667</v>
      </c>
      <c r="O927" s="1">
        <v>5.51465</v>
      </c>
    </row>
    <row r="928" ht="15.75" hidden="1" customHeight="1">
      <c r="A928" s="4">
        <v>45535.0</v>
      </c>
      <c r="B928" s="1" t="s">
        <v>95</v>
      </c>
      <c r="C928" s="1" t="s">
        <v>89</v>
      </c>
      <c r="D928" s="1">
        <v>578.0</v>
      </c>
      <c r="E928" s="1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1">
        <v>-1.0</v>
      </c>
      <c r="N928" s="1">
        <v>0.008966666666666666</v>
      </c>
      <c r="O928" s="1">
        <v>9.9853</v>
      </c>
    </row>
    <row r="929" ht="15.75" hidden="1" customHeight="1">
      <c r="A929" s="4">
        <v>45535.0</v>
      </c>
      <c r="B929" s="1" t="s">
        <v>95</v>
      </c>
      <c r="C929" s="1" t="s">
        <v>104</v>
      </c>
      <c r="D929" s="1">
        <v>199.0</v>
      </c>
      <c r="E929" s="1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1">
        <v>-13.0</v>
      </c>
      <c r="O929" s="1">
        <v>4.80335</v>
      </c>
    </row>
    <row r="930" ht="15.75" hidden="1" customHeight="1">
      <c r="A930" s="4">
        <v>45535.0</v>
      </c>
      <c r="B930" s="1" t="s">
        <v>95</v>
      </c>
      <c r="C930" s="1" t="s">
        <v>104</v>
      </c>
      <c r="D930" s="1">
        <v>359.0</v>
      </c>
      <c r="E930" s="1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1">
        <v>-25.0</v>
      </c>
      <c r="O930" s="1">
        <v>9.027783333333334</v>
      </c>
    </row>
    <row r="931" ht="15.75" hidden="1" customHeight="1">
      <c r="A931" s="4">
        <v>45535.0</v>
      </c>
      <c r="B931" s="1" t="s">
        <v>95</v>
      </c>
      <c r="C931" s="1" t="s">
        <v>104</v>
      </c>
      <c r="D931" s="1">
        <v>358.0</v>
      </c>
      <c r="E931" s="1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1">
        <v>-11.0</v>
      </c>
      <c r="O931" s="1">
        <v>7.7374</v>
      </c>
    </row>
    <row r="932" ht="15.75" hidden="1" customHeight="1">
      <c r="A932" s="4">
        <v>45535.0</v>
      </c>
      <c r="B932" s="1" t="s">
        <v>88</v>
      </c>
      <c r="C932" s="1" t="s">
        <v>89</v>
      </c>
      <c r="D932" s="1">
        <v>289.0</v>
      </c>
      <c r="E932" s="1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1">
        <v>-8.0</v>
      </c>
      <c r="O932" s="1">
        <v>6.489566666666667</v>
      </c>
    </row>
    <row r="933" ht="15.75" hidden="1" customHeight="1">
      <c r="A933" s="4">
        <v>45535.0</v>
      </c>
      <c r="B933" s="1" t="s">
        <v>95</v>
      </c>
      <c r="C933" s="1" t="s">
        <v>89</v>
      </c>
      <c r="D933" s="1">
        <v>417.0</v>
      </c>
      <c r="E933" s="1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1">
        <v>-11.0</v>
      </c>
      <c r="N933" s="1">
        <v>0.00935</v>
      </c>
      <c r="O933" s="1">
        <v>5.756366666666667</v>
      </c>
    </row>
    <row r="934" ht="15.75" hidden="1" customHeight="1">
      <c r="A934" s="4">
        <v>45535.0</v>
      </c>
      <c r="B934" s="1" t="s">
        <v>88</v>
      </c>
      <c r="C934" s="1" t="s">
        <v>89</v>
      </c>
      <c r="D934" s="1">
        <v>258.0</v>
      </c>
      <c r="E934" s="1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1">
        <v>-8.0</v>
      </c>
      <c r="O934" s="1">
        <v>6.587733333333333</v>
      </c>
    </row>
    <row r="935" ht="15.75" hidden="1" customHeight="1">
      <c r="A935" s="4">
        <v>45535.0</v>
      </c>
      <c r="B935" s="1" t="s">
        <v>103</v>
      </c>
      <c r="C935" s="1" t="s">
        <v>104</v>
      </c>
      <c r="D935" s="1">
        <v>378.0</v>
      </c>
      <c r="E935" s="1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1">
        <v>-1.0</v>
      </c>
      <c r="O935" s="1">
        <v>6.3897</v>
      </c>
    </row>
    <row r="936" ht="15.75" customHeight="1">
      <c r="A936" s="4">
        <v>45535.0</v>
      </c>
      <c r="B936" s="1" t="s">
        <v>103</v>
      </c>
      <c r="C936" s="1" t="s">
        <v>104</v>
      </c>
      <c r="D936" s="1">
        <v>1524.0</v>
      </c>
      <c r="E936" s="1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1">
        <v>-2.0</v>
      </c>
      <c r="O936" s="1">
        <v>11.10425</v>
      </c>
    </row>
    <row r="937" ht="15.75" hidden="1" customHeight="1">
      <c r="A937" s="4">
        <v>45535.0</v>
      </c>
      <c r="B937" s="1" t="s">
        <v>88</v>
      </c>
      <c r="C937" s="1" t="s">
        <v>89</v>
      </c>
      <c r="D937" s="1">
        <v>453.0</v>
      </c>
      <c r="E937" s="1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1">
        <v>-6.0</v>
      </c>
      <c r="O937" s="1">
        <v>8.841883333333334</v>
      </c>
    </row>
    <row r="938" ht="15.75" hidden="1" customHeight="1">
      <c r="A938" s="4">
        <v>45535.0</v>
      </c>
      <c r="B938" s="1" t="s">
        <v>88</v>
      </c>
      <c r="C938" s="1" t="s">
        <v>89</v>
      </c>
      <c r="D938" s="1">
        <v>258.0</v>
      </c>
      <c r="E938" s="1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1">
        <v>-7.0</v>
      </c>
      <c r="O938" s="1">
        <v>7.4713666666666665</v>
      </c>
    </row>
    <row r="939" ht="15.75" hidden="1" customHeight="1">
      <c r="A939" s="4">
        <v>45535.0</v>
      </c>
      <c r="B939" s="1" t="s">
        <v>95</v>
      </c>
      <c r="C939" s="1" t="s">
        <v>89</v>
      </c>
      <c r="D939" s="1">
        <v>684.0</v>
      </c>
      <c r="E939" s="1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1">
        <v>-3.0</v>
      </c>
      <c r="N939" s="1">
        <v>0.012366666666666666</v>
      </c>
      <c r="O939" s="1">
        <v>6.691183333333333</v>
      </c>
    </row>
    <row r="940" ht="15.75" hidden="1" customHeight="1">
      <c r="A940" s="4">
        <v>45535.0</v>
      </c>
      <c r="B940" s="1" t="s">
        <v>228</v>
      </c>
      <c r="C940" s="1" t="s">
        <v>104</v>
      </c>
      <c r="D940" s="1">
        <v>306.0</v>
      </c>
      <c r="E940" s="1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1">
        <v>2.0</v>
      </c>
      <c r="O940" s="1">
        <v>7.428983333333333</v>
      </c>
    </row>
    <row r="941" ht="15.75" hidden="1" customHeight="1">
      <c r="A941" s="4">
        <v>45535.0</v>
      </c>
      <c r="B941" s="1" t="s">
        <v>88</v>
      </c>
      <c r="C941" s="1" t="s">
        <v>89</v>
      </c>
      <c r="D941" s="1">
        <v>329.0</v>
      </c>
      <c r="E941" s="1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1">
        <v>-7.0</v>
      </c>
      <c r="O941" s="1">
        <v>7.096016666666666</v>
      </c>
    </row>
    <row r="942" ht="15.75" hidden="1" customHeight="1">
      <c r="A942" s="4">
        <v>45535.0</v>
      </c>
      <c r="B942" s="1" t="s">
        <v>95</v>
      </c>
      <c r="C942" s="1" t="s">
        <v>104</v>
      </c>
      <c r="D942" s="1">
        <v>275.0</v>
      </c>
      <c r="E942" s="1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1">
        <v>-11.0</v>
      </c>
      <c r="O942" s="1">
        <v>22.8525</v>
      </c>
    </row>
    <row r="943" ht="15.75" customHeight="1">
      <c r="A943" s="4">
        <v>45535.0</v>
      </c>
      <c r="B943" s="1" t="s">
        <v>103</v>
      </c>
      <c r="C943" s="1" t="s">
        <v>104</v>
      </c>
      <c r="D943" s="1">
        <v>528.0</v>
      </c>
      <c r="E943" s="1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1">
        <v>0.0</v>
      </c>
      <c r="O943" s="1">
        <v>8.8054</v>
      </c>
    </row>
    <row r="944" ht="15.75" hidden="1" customHeight="1">
      <c r="A944" s="4">
        <v>45535.0</v>
      </c>
      <c r="B944" s="1" t="s">
        <v>95</v>
      </c>
      <c r="C944" s="1" t="s">
        <v>89</v>
      </c>
      <c r="D944" s="1">
        <v>812.0</v>
      </c>
      <c r="E944" s="1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1">
        <v>-2.0</v>
      </c>
      <c r="N944" s="1">
        <v>0.010216666666666667</v>
      </c>
      <c r="O944" s="1">
        <v>17.698433333333334</v>
      </c>
    </row>
    <row r="945" ht="15.75" hidden="1" customHeight="1">
      <c r="A945" s="4">
        <v>45535.0</v>
      </c>
      <c r="B945" s="1" t="s">
        <v>95</v>
      </c>
      <c r="C945" s="1" t="s">
        <v>89</v>
      </c>
      <c r="D945" s="1">
        <v>507.0</v>
      </c>
      <c r="E945" s="1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1">
        <v>1.0</v>
      </c>
      <c r="N945" s="1">
        <v>0.00925</v>
      </c>
      <c r="O945" s="1">
        <v>15.206833333333334</v>
      </c>
    </row>
    <row r="946" ht="15.75" hidden="1" customHeight="1">
      <c r="A946" s="4">
        <v>45535.0</v>
      </c>
      <c r="B946" s="1" t="s">
        <v>88</v>
      </c>
      <c r="C946" s="1" t="s">
        <v>89</v>
      </c>
      <c r="D946" s="1">
        <v>289.0</v>
      </c>
      <c r="E946" s="1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1">
        <v>-10.0</v>
      </c>
      <c r="O946" s="1">
        <v>4.9973833333333335</v>
      </c>
    </row>
    <row r="947" ht="15.75" hidden="1" customHeight="1">
      <c r="A947" s="4">
        <v>45535.0</v>
      </c>
      <c r="B947" s="1" t="s">
        <v>95</v>
      </c>
      <c r="C947" s="1" t="s">
        <v>104</v>
      </c>
      <c r="D947" s="1">
        <v>247.0</v>
      </c>
      <c r="E947" s="1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1">
        <v>-14.0</v>
      </c>
      <c r="O947" s="1">
        <v>8.249433333333334</v>
      </c>
    </row>
    <row r="948" ht="15.75" hidden="1" customHeight="1">
      <c r="A948" s="4">
        <v>45535.0</v>
      </c>
      <c r="B948" s="1" t="s">
        <v>95</v>
      </c>
      <c r="C948" s="1" t="s">
        <v>104</v>
      </c>
      <c r="D948" s="1">
        <v>199.0</v>
      </c>
      <c r="E948" s="1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1">
        <v>-10.0</v>
      </c>
      <c r="O948" s="1">
        <v>6.8387</v>
      </c>
    </row>
    <row r="949" ht="15.75" customHeight="1">
      <c r="A949" s="4">
        <v>45535.0</v>
      </c>
      <c r="B949" s="1" t="s">
        <v>103</v>
      </c>
      <c r="C949" s="1" t="s">
        <v>104</v>
      </c>
      <c r="D949" s="1">
        <v>593.0</v>
      </c>
      <c r="E949" s="1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1">
        <v>1.0</v>
      </c>
      <c r="O949" s="1">
        <v>10.12885</v>
      </c>
    </row>
    <row r="950" ht="15.75" customHeight="1">
      <c r="A950" s="4">
        <v>45535.0</v>
      </c>
      <c r="B950" s="1" t="s">
        <v>103</v>
      </c>
      <c r="C950" s="1" t="s">
        <v>104</v>
      </c>
      <c r="D950" s="1">
        <v>793.0</v>
      </c>
      <c r="E950" s="1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1">
        <v>0.0</v>
      </c>
      <c r="O950" s="1">
        <v>10.874016666666666</v>
      </c>
    </row>
    <row r="951" ht="15.75" hidden="1" customHeight="1">
      <c r="A951" s="4">
        <v>45535.0</v>
      </c>
      <c r="B951" s="1" t="s">
        <v>95</v>
      </c>
      <c r="C951" s="1" t="s">
        <v>89</v>
      </c>
      <c r="D951" s="1">
        <v>747.0</v>
      </c>
      <c r="E951" s="1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1">
        <v>-10.0</v>
      </c>
      <c r="N951" s="1">
        <v>0.013083333333333334</v>
      </c>
      <c r="O951" s="1">
        <v>13.563583333333334</v>
      </c>
    </row>
    <row r="952" ht="15.75" customHeight="1">
      <c r="A952" s="4">
        <v>45535.0</v>
      </c>
      <c r="B952" s="1" t="s">
        <v>103</v>
      </c>
      <c r="C952" s="1" t="s">
        <v>104</v>
      </c>
      <c r="D952" s="1">
        <v>408.0</v>
      </c>
      <c r="E952" s="1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1">
        <v>1.0</v>
      </c>
      <c r="O952" s="1">
        <v>8.256866666666667</v>
      </c>
    </row>
    <row r="953" ht="15.75" customHeight="1">
      <c r="A953" s="4">
        <v>45535.0</v>
      </c>
      <c r="B953" s="1" t="s">
        <v>103</v>
      </c>
      <c r="C953" s="1" t="s">
        <v>104</v>
      </c>
      <c r="D953" s="1">
        <v>214.0</v>
      </c>
      <c r="E953" s="1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1">
        <v>0.0</v>
      </c>
      <c r="O953" s="1">
        <v>6.87415</v>
      </c>
    </row>
    <row r="954" ht="15.75" hidden="1" customHeight="1">
      <c r="A954" s="4">
        <v>45535.0</v>
      </c>
      <c r="B954" s="1" t="s">
        <v>95</v>
      </c>
      <c r="C954" s="1" t="s">
        <v>104</v>
      </c>
      <c r="D954" s="1">
        <v>522.0</v>
      </c>
      <c r="E954" s="1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1">
        <v>-15.0</v>
      </c>
      <c r="O954" s="1">
        <v>8.290233333333333</v>
      </c>
    </row>
    <row r="955" ht="15.75" hidden="1" customHeight="1">
      <c r="A955" s="4">
        <v>45535.0</v>
      </c>
      <c r="B955" s="1" t="s">
        <v>95</v>
      </c>
      <c r="C955" s="1" t="s">
        <v>104</v>
      </c>
      <c r="D955" s="1">
        <v>628.0</v>
      </c>
      <c r="E955" s="1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1">
        <v>-12.0</v>
      </c>
      <c r="O955" s="1">
        <v>10.9664</v>
      </c>
    </row>
    <row r="956" ht="15.75" hidden="1" customHeight="1">
      <c r="A956" s="4">
        <v>45535.0</v>
      </c>
      <c r="B956" s="1" t="s">
        <v>103</v>
      </c>
      <c r="C956" s="1" t="s">
        <v>104</v>
      </c>
      <c r="D956" s="1">
        <v>788.0</v>
      </c>
      <c r="E956" s="1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1">
        <v>0.0</v>
      </c>
      <c r="O956" s="1">
        <v>10.43965</v>
      </c>
    </row>
    <row r="957" ht="15.75" hidden="1" customHeight="1">
      <c r="A957" s="4">
        <v>45535.0</v>
      </c>
      <c r="B957" s="1" t="s">
        <v>88</v>
      </c>
      <c r="C957" s="1" t="s">
        <v>89</v>
      </c>
      <c r="D957" s="1">
        <v>617.0</v>
      </c>
      <c r="E957" s="1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1">
        <v>-12.0</v>
      </c>
      <c r="O957" s="1">
        <v>7.2453</v>
      </c>
    </row>
    <row r="958" ht="15.75" customHeight="1">
      <c r="A958" s="4">
        <v>45535.0</v>
      </c>
      <c r="B958" s="1" t="s">
        <v>103</v>
      </c>
      <c r="C958" s="1" t="s">
        <v>104</v>
      </c>
      <c r="D958" s="1">
        <v>334.0</v>
      </c>
      <c r="E958" s="1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1">
        <v>0.0</v>
      </c>
      <c r="O958" s="1">
        <v>7.81785</v>
      </c>
    </row>
    <row r="959" ht="15.75" hidden="1" customHeight="1">
      <c r="A959" s="4">
        <v>45535.0</v>
      </c>
      <c r="B959" s="1" t="s">
        <v>88</v>
      </c>
      <c r="C959" s="1" t="s">
        <v>89</v>
      </c>
      <c r="D959" s="1">
        <v>321.0</v>
      </c>
      <c r="E959" s="1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1">
        <v>-5.0</v>
      </c>
      <c r="O959" s="1">
        <v>9.20615</v>
      </c>
    </row>
    <row r="960" ht="15.75" hidden="1" customHeight="1">
      <c r="A960" s="4">
        <v>45535.0</v>
      </c>
      <c r="B960" s="1" t="s">
        <v>88</v>
      </c>
      <c r="C960" s="1" t="s">
        <v>89</v>
      </c>
      <c r="D960" s="1">
        <v>264.0</v>
      </c>
      <c r="E960" s="1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1">
        <v>-6.0</v>
      </c>
      <c r="O960" s="1">
        <v>8.182616666666666</v>
      </c>
    </row>
    <row r="961" ht="15.75" hidden="1" customHeight="1">
      <c r="A961" s="4">
        <v>45535.0</v>
      </c>
      <c r="B961" s="1" t="s">
        <v>95</v>
      </c>
      <c r="C961" s="1" t="s">
        <v>104</v>
      </c>
      <c r="D961" s="1">
        <v>398.0</v>
      </c>
      <c r="E961" s="1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1">
        <v>-6.0</v>
      </c>
      <c r="O961" s="1">
        <v>26.8426</v>
      </c>
    </row>
    <row r="962" ht="15.75" hidden="1" customHeight="1">
      <c r="A962" s="4">
        <v>45535.0</v>
      </c>
      <c r="B962" s="1" t="s">
        <v>95</v>
      </c>
      <c r="C962" s="1" t="s">
        <v>89</v>
      </c>
      <c r="D962" s="1">
        <v>555.0</v>
      </c>
      <c r="E962" s="1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1">
        <v>-17.0</v>
      </c>
      <c r="N962" s="1">
        <v>0.009166666666666667</v>
      </c>
      <c r="O962" s="1">
        <v>36.835966666666664</v>
      </c>
    </row>
    <row r="963" ht="15.75" customHeight="1">
      <c r="A963" s="4">
        <v>45535.0</v>
      </c>
      <c r="B963" s="1" t="s">
        <v>103</v>
      </c>
      <c r="C963" s="1" t="s">
        <v>104</v>
      </c>
      <c r="D963" s="1">
        <v>504.0</v>
      </c>
      <c r="E963" s="1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1">
        <v>0.0</v>
      </c>
      <c r="O963" s="1">
        <v>7.5652</v>
      </c>
    </row>
    <row r="964" ht="15.75" hidden="1" customHeight="1">
      <c r="A964" s="4">
        <v>45535.0</v>
      </c>
      <c r="B964" s="1" t="s">
        <v>88</v>
      </c>
      <c r="C964" s="1" t="s">
        <v>89</v>
      </c>
      <c r="D964" s="1">
        <v>129.0</v>
      </c>
      <c r="E964" s="1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1">
        <v>-1.0</v>
      </c>
      <c r="O964" s="1">
        <v>13.06295</v>
      </c>
    </row>
    <row r="965" ht="15.75" customHeight="1">
      <c r="A965" s="4">
        <v>45535.0</v>
      </c>
      <c r="B965" s="1" t="s">
        <v>103</v>
      </c>
      <c r="C965" s="1" t="s">
        <v>104</v>
      </c>
      <c r="D965" s="1">
        <v>540.0</v>
      </c>
      <c r="E965" s="1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1">
        <v>3.0</v>
      </c>
      <c r="O965" s="1">
        <v>11.959716666666667</v>
      </c>
    </row>
    <row r="966" ht="15.75" hidden="1" customHeight="1">
      <c r="A966" s="4">
        <v>45535.0</v>
      </c>
      <c r="B966" s="1" t="s">
        <v>95</v>
      </c>
      <c r="C966" s="1" t="s">
        <v>89</v>
      </c>
      <c r="D966" s="1">
        <v>933.0</v>
      </c>
      <c r="E966" s="1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1">
        <v>-12.0</v>
      </c>
      <c r="N966" s="1">
        <v>0.012716666666666666</v>
      </c>
      <c r="O966" s="1">
        <v>13.36945</v>
      </c>
    </row>
    <row r="967" ht="15.75" hidden="1" customHeight="1">
      <c r="A967" s="4">
        <v>45535.0</v>
      </c>
      <c r="B967" s="1" t="s">
        <v>88</v>
      </c>
      <c r="C967" s="1" t="s">
        <v>89</v>
      </c>
      <c r="D967" s="1">
        <v>658.0</v>
      </c>
      <c r="E967" s="1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1">
        <v>-2.0</v>
      </c>
      <c r="O967" s="1">
        <v>17.615966666666665</v>
      </c>
    </row>
    <row r="968" ht="15.75" hidden="1" customHeight="1">
      <c r="A968" s="4">
        <v>45535.0</v>
      </c>
      <c r="B968" s="1" t="s">
        <v>228</v>
      </c>
      <c r="C968" s="1" t="s">
        <v>104</v>
      </c>
      <c r="D968" s="1">
        <v>249.0</v>
      </c>
      <c r="E968" s="1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1">
        <v>0.0</v>
      </c>
      <c r="O968" s="1">
        <v>5.97885</v>
      </c>
    </row>
    <row r="969" ht="15.75" hidden="1" customHeight="1">
      <c r="A969" s="4">
        <v>45535.0</v>
      </c>
      <c r="B969" s="1" t="s">
        <v>95</v>
      </c>
      <c r="C969" s="1" t="s">
        <v>104</v>
      </c>
      <c r="D969" s="1">
        <v>167.0</v>
      </c>
      <c r="E969" s="1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1">
        <v>-5.0</v>
      </c>
      <c r="O969" s="1">
        <v>11.184933333333333</v>
      </c>
    </row>
    <row r="970" ht="15.75" customHeight="1">
      <c r="A970" s="4">
        <v>45535.0</v>
      </c>
      <c r="B970" s="1" t="s">
        <v>103</v>
      </c>
      <c r="C970" s="1" t="s">
        <v>104</v>
      </c>
      <c r="D970" s="1">
        <v>264.0</v>
      </c>
      <c r="E970" s="1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1">
        <v>0.0</v>
      </c>
      <c r="O970" s="1">
        <v>6.964483333333333</v>
      </c>
    </row>
    <row r="971" ht="15.75" hidden="1" customHeight="1">
      <c r="A971" s="4">
        <v>45535.0</v>
      </c>
      <c r="B971" s="1" t="s">
        <v>228</v>
      </c>
      <c r="C971" s="1" t="s">
        <v>104</v>
      </c>
      <c r="D971" s="1">
        <v>249.0</v>
      </c>
      <c r="E971" s="1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1">
        <v>3.0</v>
      </c>
      <c r="O971" s="1">
        <v>8.699083333333334</v>
      </c>
    </row>
    <row r="972" ht="15.75" hidden="1" customHeight="1">
      <c r="A972" s="4">
        <v>45535.0</v>
      </c>
      <c r="B972" s="1" t="s">
        <v>88</v>
      </c>
      <c r="C972" s="1" t="s">
        <v>89</v>
      </c>
      <c r="D972" s="1">
        <v>329.0</v>
      </c>
      <c r="E972" s="1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1">
        <v>-6.0</v>
      </c>
      <c r="O972" s="1">
        <v>8.436</v>
      </c>
    </row>
    <row r="973" ht="15.75" customHeight="1">
      <c r="A973" s="4">
        <v>45535.0</v>
      </c>
      <c r="B973" s="1" t="s">
        <v>103</v>
      </c>
      <c r="C973" s="1" t="s">
        <v>104</v>
      </c>
      <c r="D973" s="1">
        <v>468.0</v>
      </c>
      <c r="E973" s="1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1">
        <v>3.0</v>
      </c>
      <c r="O973" s="1">
        <v>11.44185</v>
      </c>
    </row>
    <row r="974" ht="15.75" hidden="1" customHeight="1">
      <c r="A974" s="4">
        <v>45535.0</v>
      </c>
      <c r="B974" s="1" t="s">
        <v>88</v>
      </c>
      <c r="C974" s="1" t="s">
        <v>89</v>
      </c>
      <c r="D974" s="1">
        <v>410.0</v>
      </c>
      <c r="E974" s="1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1">
        <v>-8.0</v>
      </c>
      <c r="O974" s="1">
        <v>6.11005</v>
      </c>
    </row>
    <row r="975" ht="15.75" hidden="1" customHeight="1">
      <c r="A975" s="4">
        <v>45535.0</v>
      </c>
      <c r="B975" s="1" t="s">
        <v>103</v>
      </c>
      <c r="C975" s="1" t="s">
        <v>104</v>
      </c>
      <c r="D975" s="1">
        <v>264.0</v>
      </c>
      <c r="E975" s="1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1">
        <v>1.0</v>
      </c>
      <c r="O975" s="1">
        <v>7.0374</v>
      </c>
    </row>
    <row r="976" ht="15.75" customHeight="1">
      <c r="A976" s="4">
        <v>45535.0</v>
      </c>
      <c r="B976" s="1" t="s">
        <v>103</v>
      </c>
      <c r="C976" s="1" t="s">
        <v>104</v>
      </c>
      <c r="D976" s="1">
        <v>329.0</v>
      </c>
      <c r="E976" s="1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1">
        <v>1.0</v>
      </c>
      <c r="O976" s="1">
        <v>8.01505</v>
      </c>
    </row>
    <row r="977" ht="15.75" customHeight="1">
      <c r="A977" s="4">
        <v>45535.0</v>
      </c>
      <c r="B977" s="1" t="s">
        <v>103</v>
      </c>
      <c r="C977" s="1" t="s">
        <v>104</v>
      </c>
      <c r="D977" s="1">
        <v>289.0</v>
      </c>
      <c r="E977" s="1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1">
        <v>-2.0</v>
      </c>
      <c r="O977" s="1">
        <v>4.961316666666667</v>
      </c>
    </row>
    <row r="978" ht="15.75" customHeight="1">
      <c r="A978" s="4">
        <v>45535.0</v>
      </c>
      <c r="B978" s="1" t="s">
        <v>103</v>
      </c>
      <c r="C978" s="1" t="s">
        <v>104</v>
      </c>
      <c r="D978" s="1">
        <v>329.0</v>
      </c>
      <c r="E978" s="1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1">
        <v>0.0</v>
      </c>
      <c r="O978" s="1">
        <v>6.731483333333333</v>
      </c>
    </row>
    <row r="979" ht="15.75" hidden="1" customHeight="1">
      <c r="A979" s="4">
        <v>45535.0</v>
      </c>
      <c r="B979" s="1" t="s">
        <v>95</v>
      </c>
      <c r="C979" s="1" t="s">
        <v>104</v>
      </c>
      <c r="D979" s="1">
        <v>199.0</v>
      </c>
      <c r="E979" s="1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1">
        <v>-10.0</v>
      </c>
      <c r="O979" s="1">
        <v>8.7672</v>
      </c>
    </row>
    <row r="980" ht="15.75" hidden="1" customHeight="1">
      <c r="A980" s="4">
        <v>45535.0</v>
      </c>
      <c r="B980" s="1" t="s">
        <v>103</v>
      </c>
      <c r="C980" s="1" t="s">
        <v>104</v>
      </c>
      <c r="D980" s="1">
        <v>553.0</v>
      </c>
      <c r="E980" s="1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1">
        <v>2.0</v>
      </c>
      <c r="O980" s="1">
        <v>10.146683333333334</v>
      </c>
    </row>
    <row r="981" ht="15.75" customHeight="1">
      <c r="A981" s="4">
        <v>45535.0</v>
      </c>
      <c r="B981" s="1" t="s">
        <v>103</v>
      </c>
      <c r="C981" s="1" t="s">
        <v>104</v>
      </c>
      <c r="D981" s="1">
        <v>329.0</v>
      </c>
      <c r="E981" s="1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1">
        <v>3.0</v>
      </c>
      <c r="O981" s="1">
        <v>10.114566666666667</v>
      </c>
    </row>
    <row r="982" ht="15.75" hidden="1" customHeight="1">
      <c r="A982" s="4">
        <v>45535.0</v>
      </c>
      <c r="B982" s="1" t="s">
        <v>88</v>
      </c>
      <c r="C982" s="1" t="s">
        <v>89</v>
      </c>
      <c r="D982" s="1">
        <v>755.0</v>
      </c>
      <c r="E982" s="1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1">
        <v>-7.0</v>
      </c>
      <c r="O982" s="1">
        <v>12.357516666666667</v>
      </c>
    </row>
    <row r="983" ht="15.75" hidden="1" customHeight="1">
      <c r="A983" s="4">
        <v>45535.0</v>
      </c>
      <c r="B983" s="1" t="s">
        <v>103</v>
      </c>
      <c r="C983" s="1" t="s">
        <v>104</v>
      </c>
      <c r="D983" s="1">
        <v>264.0</v>
      </c>
      <c r="E983" s="1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1">
        <v>-1.0</v>
      </c>
      <c r="O983" s="1">
        <v>4.850666666666666</v>
      </c>
    </row>
    <row r="984" ht="15.75" hidden="1" customHeight="1">
      <c r="A984" s="4">
        <v>45535.0</v>
      </c>
      <c r="B984" s="1" t="s">
        <v>95</v>
      </c>
      <c r="C984" s="1" t="s">
        <v>89</v>
      </c>
      <c r="D984" s="1">
        <v>423.0</v>
      </c>
      <c r="E984" s="1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1">
        <v>-1.0</v>
      </c>
      <c r="N984" s="1">
        <v>0.008066666666666666</v>
      </c>
      <c r="O984" s="1">
        <v>7.651916666666667</v>
      </c>
    </row>
    <row r="985" ht="15.75" hidden="1" customHeight="1">
      <c r="A985" s="4">
        <v>45535.0</v>
      </c>
      <c r="B985" s="1" t="s">
        <v>95</v>
      </c>
      <c r="C985" s="1" t="s">
        <v>89</v>
      </c>
      <c r="D985" s="1">
        <v>375.0</v>
      </c>
      <c r="E985" s="1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1">
        <v>-8.0</v>
      </c>
      <c r="N985" s="1">
        <v>0.009633333333333334</v>
      </c>
      <c r="O985" s="1">
        <v>10.321466666666666</v>
      </c>
    </row>
    <row r="986" ht="15.75" customHeight="1">
      <c r="A986" s="4">
        <v>45535.0</v>
      </c>
      <c r="B986" s="1" t="s">
        <v>103</v>
      </c>
      <c r="C986" s="1" t="s">
        <v>104</v>
      </c>
      <c r="D986" s="1">
        <v>329.0</v>
      </c>
      <c r="E986" s="1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1">
        <v>1.0</v>
      </c>
      <c r="O986" s="1">
        <v>8.716483333333333</v>
      </c>
    </row>
    <row r="987" ht="15.75" hidden="1" customHeight="1">
      <c r="A987" s="4">
        <v>45535.0</v>
      </c>
      <c r="B987" s="1" t="s">
        <v>88</v>
      </c>
      <c r="C987" s="1" t="s">
        <v>89</v>
      </c>
      <c r="D987" s="1">
        <v>329.0</v>
      </c>
      <c r="E987" s="1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1">
        <v>-5.0</v>
      </c>
      <c r="O987" s="1">
        <v>9.6136</v>
      </c>
    </row>
    <row r="988" ht="15.75" hidden="1" customHeight="1">
      <c r="A988" s="4">
        <v>45535.0</v>
      </c>
      <c r="B988" s="1" t="s">
        <v>95</v>
      </c>
      <c r="C988" s="1" t="s">
        <v>104</v>
      </c>
      <c r="D988" s="1">
        <v>299.0</v>
      </c>
      <c r="E988" s="1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1">
        <v>-9.0</v>
      </c>
      <c r="O988" s="1">
        <v>10.298383333333334</v>
      </c>
    </row>
    <row r="989" ht="15.75" hidden="1" customHeight="1">
      <c r="A989" s="4">
        <v>45535.0</v>
      </c>
      <c r="B989" s="1" t="s">
        <v>103</v>
      </c>
      <c r="C989" s="1" t="s">
        <v>104</v>
      </c>
      <c r="D989" s="1">
        <v>264.0</v>
      </c>
      <c r="E989" s="1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1">
        <v>0.0</v>
      </c>
      <c r="O989" s="1">
        <v>6.687483333333334</v>
      </c>
    </row>
    <row r="990" ht="15.75" hidden="1" customHeight="1">
      <c r="A990" s="4">
        <v>45535.0</v>
      </c>
      <c r="B990" s="1" t="s">
        <v>95</v>
      </c>
      <c r="C990" s="1" t="s">
        <v>89</v>
      </c>
      <c r="D990" s="1">
        <v>394.0</v>
      </c>
      <c r="E990" s="1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1">
        <v>-10.0</v>
      </c>
      <c r="N990" s="1">
        <v>0.009416666666666667</v>
      </c>
      <c r="O990" s="1">
        <v>11.0414</v>
      </c>
    </row>
    <row r="991" ht="15.75" hidden="1" customHeight="1">
      <c r="A991" s="4">
        <v>45535.0</v>
      </c>
      <c r="B991" s="1" t="s">
        <v>88</v>
      </c>
      <c r="C991" s="1" t="s">
        <v>89</v>
      </c>
      <c r="D991" s="1">
        <v>394.0</v>
      </c>
      <c r="E991" s="1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1">
        <v>-5.0</v>
      </c>
      <c r="O991" s="1">
        <v>9.698566666666666</v>
      </c>
    </row>
    <row r="992" ht="15.75" customHeight="1">
      <c r="A992" s="4">
        <v>45535.0</v>
      </c>
      <c r="B992" s="1" t="s">
        <v>103</v>
      </c>
      <c r="C992" s="1" t="s">
        <v>104</v>
      </c>
      <c r="D992" s="1">
        <v>209.0</v>
      </c>
      <c r="E992" s="1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1">
        <v>1.0</v>
      </c>
      <c r="O992" s="1">
        <v>7.370516666666667</v>
      </c>
    </row>
    <row r="993" ht="15.75" customHeight="1">
      <c r="A993" s="4">
        <v>45535.0</v>
      </c>
      <c r="B993" s="1" t="s">
        <v>103</v>
      </c>
      <c r="C993" s="1" t="s">
        <v>104</v>
      </c>
      <c r="D993" s="1">
        <v>351.0</v>
      </c>
      <c r="E993" s="1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1">
        <v>0.0</v>
      </c>
      <c r="O993" s="1">
        <v>6.198483333333333</v>
      </c>
    </row>
    <row r="994" ht="15.75" customHeight="1">
      <c r="A994" s="4">
        <v>45535.0</v>
      </c>
      <c r="B994" s="1" t="s">
        <v>103</v>
      </c>
      <c r="C994" s="1" t="s">
        <v>104</v>
      </c>
      <c r="D994" s="1">
        <v>293.0</v>
      </c>
      <c r="E994" s="1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1">
        <v>0.0</v>
      </c>
      <c r="O994" s="1">
        <v>6.5834166666666665</v>
      </c>
    </row>
    <row r="995" ht="15.75" hidden="1" customHeight="1">
      <c r="A995" s="4">
        <v>45535.0</v>
      </c>
      <c r="B995" s="1" t="s">
        <v>88</v>
      </c>
      <c r="C995" s="1" t="s">
        <v>89</v>
      </c>
      <c r="D995" s="1">
        <v>498.0</v>
      </c>
      <c r="E995" s="1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1">
        <v>-4.0</v>
      </c>
      <c r="O995" s="1">
        <v>10.820066666666667</v>
      </c>
    </row>
    <row r="996" ht="15.75" hidden="1" customHeight="1">
      <c r="A996" s="4">
        <v>45535.0</v>
      </c>
      <c r="B996" s="1" t="s">
        <v>107</v>
      </c>
      <c r="C996" s="1" t="s">
        <v>104</v>
      </c>
      <c r="D996" s="1">
        <v>264.0</v>
      </c>
      <c r="E996" s="1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1">
        <v>-7.0</v>
      </c>
      <c r="O996" s="1">
        <v>7.1001666666666665</v>
      </c>
    </row>
    <row r="997" ht="15.75" hidden="1" customHeight="1">
      <c r="A997" s="4">
        <v>45535.0</v>
      </c>
      <c r="B997" s="1" t="s">
        <v>88</v>
      </c>
      <c r="C997" s="1" t="s">
        <v>89</v>
      </c>
      <c r="D997" s="1">
        <v>321.0</v>
      </c>
      <c r="E997" s="1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1">
        <v>-8.0</v>
      </c>
      <c r="O997" s="1">
        <v>6.352533333333334</v>
      </c>
    </row>
    <row r="998" ht="15.75" hidden="1" customHeight="1">
      <c r="A998" s="4">
        <v>45535.0</v>
      </c>
      <c r="B998" s="1" t="s">
        <v>107</v>
      </c>
      <c r="C998" s="1" t="s">
        <v>104</v>
      </c>
      <c r="D998" s="1">
        <v>394.0</v>
      </c>
      <c r="E998" s="1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1">
        <v>-5.0</v>
      </c>
      <c r="O998" s="1">
        <v>9.075066666666666</v>
      </c>
    </row>
    <row r="999" ht="15.75" hidden="1" customHeight="1">
      <c r="A999" s="4">
        <v>45535.0</v>
      </c>
      <c r="B999" s="1" t="s">
        <v>88</v>
      </c>
      <c r="C999" s="1" t="s">
        <v>89</v>
      </c>
      <c r="D999" s="1">
        <v>313.0</v>
      </c>
      <c r="E999" s="1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1">
        <v>-10.0</v>
      </c>
      <c r="O999" s="1">
        <v>4.978133333333333</v>
      </c>
    </row>
    <row r="1000" ht="15.75" hidden="1" customHeight="1">
      <c r="A1000" s="4">
        <v>45535.0</v>
      </c>
      <c r="B1000" s="1" t="s">
        <v>88</v>
      </c>
      <c r="C1000" s="1" t="s">
        <v>89</v>
      </c>
      <c r="D1000" s="1">
        <v>264.0</v>
      </c>
      <c r="E1000" s="1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1">
        <v>-8.0</v>
      </c>
      <c r="O1000" s="1">
        <v>6.6466</v>
      </c>
    </row>
    <row r="1001" ht="15.75" hidden="1" customHeight="1">
      <c r="A1001" s="4">
        <v>45535.0</v>
      </c>
      <c r="B1001" s="1" t="s">
        <v>107</v>
      </c>
      <c r="C1001" s="1" t="s">
        <v>104</v>
      </c>
      <c r="D1001" s="1">
        <v>129.0</v>
      </c>
      <c r="E1001" s="1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1">
        <v>-10.0</v>
      </c>
      <c r="O1001" s="1">
        <v>4.907983333333333</v>
      </c>
    </row>
    <row r="1002" ht="15.75" customHeight="1">
      <c r="A1002" s="4">
        <v>45535.0</v>
      </c>
      <c r="B1002" s="1" t="s">
        <v>103</v>
      </c>
      <c r="C1002" s="1" t="s">
        <v>104</v>
      </c>
      <c r="D1002" s="1">
        <v>492.0</v>
      </c>
      <c r="E1002" s="1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1">
        <v>1.0</v>
      </c>
      <c r="O1002" s="1">
        <v>10.66895</v>
      </c>
    </row>
    <row r="1003" ht="15.75" hidden="1" customHeight="1">
      <c r="A1003" s="4">
        <v>45535.0</v>
      </c>
      <c r="B1003" s="1" t="s">
        <v>95</v>
      </c>
      <c r="C1003" s="1" t="s">
        <v>89</v>
      </c>
      <c r="D1003" s="1">
        <v>369.0</v>
      </c>
      <c r="E1003" s="1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1">
        <v>-7.0</v>
      </c>
      <c r="N1003" s="1">
        <v>0.014433333333333333</v>
      </c>
      <c r="O1003" s="1">
        <v>10.888283333333334</v>
      </c>
    </row>
    <row r="1004" ht="15.75" hidden="1" customHeight="1">
      <c r="A1004" s="4">
        <v>45535.0</v>
      </c>
      <c r="B1004" s="1" t="s">
        <v>95</v>
      </c>
      <c r="C1004" s="1" t="s">
        <v>89</v>
      </c>
      <c r="D1004" s="1">
        <v>488.0</v>
      </c>
      <c r="E1004" s="1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1">
        <v>0.0</v>
      </c>
      <c r="N1004" s="1">
        <v>0.017516666666666666</v>
      </c>
      <c r="O1004" s="1">
        <v>10.55535</v>
      </c>
    </row>
    <row r="1005" ht="15.75" customHeight="1">
      <c r="A1005" s="4">
        <v>45535.0</v>
      </c>
      <c r="B1005" s="1" t="s">
        <v>103</v>
      </c>
      <c r="C1005" s="1" t="s">
        <v>104</v>
      </c>
      <c r="D1005" s="1">
        <v>594.0</v>
      </c>
      <c r="E1005" s="1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1">
        <v>0.0</v>
      </c>
      <c r="O1005" s="1">
        <v>8.529466666666666</v>
      </c>
    </row>
    <row r="1006" ht="15.75" hidden="1" customHeight="1">
      <c r="A1006" s="4">
        <v>45535.0</v>
      </c>
      <c r="B1006" s="1" t="s">
        <v>88</v>
      </c>
      <c r="C1006" s="1" t="s">
        <v>89</v>
      </c>
      <c r="D1006" s="1">
        <v>394.0</v>
      </c>
      <c r="E1006" s="1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1">
        <v>-6.0</v>
      </c>
      <c r="O1006" s="1">
        <v>8.096483333333333</v>
      </c>
    </row>
    <row r="1007" ht="15.75" hidden="1" customHeight="1">
      <c r="A1007" s="4">
        <v>45535.0</v>
      </c>
      <c r="B1007" s="1" t="s">
        <v>95</v>
      </c>
      <c r="C1007" s="1" t="s">
        <v>104</v>
      </c>
      <c r="D1007" s="1">
        <v>464.0</v>
      </c>
      <c r="E1007" s="1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1">
        <v>-12.0</v>
      </c>
      <c r="O1007" s="1">
        <v>19.472466666666666</v>
      </c>
    </row>
    <row r="1008" ht="15.75" hidden="1" customHeight="1">
      <c r="A1008" s="4">
        <v>45535.0</v>
      </c>
      <c r="B1008" s="1" t="s">
        <v>107</v>
      </c>
      <c r="C1008" s="1" t="s">
        <v>104</v>
      </c>
      <c r="D1008" s="1">
        <v>329.0</v>
      </c>
      <c r="E1008" s="1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1">
        <v>-8.0</v>
      </c>
      <c r="O1008" s="1">
        <v>6.587433333333333</v>
      </c>
    </row>
    <row r="1009" ht="15.75" customHeight="1">
      <c r="A1009" s="4">
        <v>45535.0</v>
      </c>
      <c r="B1009" s="1" t="s">
        <v>103</v>
      </c>
      <c r="C1009" s="1" t="s">
        <v>104</v>
      </c>
      <c r="D1009" s="1">
        <v>329.0</v>
      </c>
      <c r="E1009" s="1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1">
        <v>0.0</v>
      </c>
      <c r="O1009" s="1">
        <v>6.6493</v>
      </c>
    </row>
    <row r="1010" ht="15.75" customHeight="1">
      <c r="A1010" s="4">
        <v>45535.0</v>
      </c>
      <c r="B1010" s="1" t="s">
        <v>103</v>
      </c>
      <c r="C1010" s="1" t="s">
        <v>104</v>
      </c>
      <c r="D1010" s="1">
        <v>349.0</v>
      </c>
      <c r="E1010" s="1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1">
        <v>3.0</v>
      </c>
      <c r="O1010" s="1">
        <v>10.3852</v>
      </c>
    </row>
    <row r="1011" ht="15.75" hidden="1" customHeight="1">
      <c r="A1011" s="4">
        <v>45535.0</v>
      </c>
      <c r="B1011" s="1" t="s">
        <v>95</v>
      </c>
      <c r="C1011" s="1" t="s">
        <v>89</v>
      </c>
      <c r="D1011" s="1">
        <v>647.0</v>
      </c>
      <c r="E1011" s="1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1">
        <v>-9.0</v>
      </c>
      <c r="N1011" s="1">
        <v>0.0146</v>
      </c>
      <c r="O1011" s="1">
        <v>36.92228333333333</v>
      </c>
    </row>
    <row r="1012" ht="15.75" customHeight="1">
      <c r="A1012" s="4">
        <v>45535.0</v>
      </c>
      <c r="B1012" s="1" t="s">
        <v>103</v>
      </c>
      <c r="C1012" s="1" t="s">
        <v>104</v>
      </c>
      <c r="D1012" s="1">
        <v>1086.0</v>
      </c>
      <c r="E1012" s="1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1">
        <v>-1.0</v>
      </c>
      <c r="O1012" s="1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2">
      <filters>
        <filter val="ready_pickup"/>
        <filter val="delivered"/>
      </filters>
    </filterColumn>
    <filterColumn colId="7">
      <filters>
        <filter val="online"/>
        <filter val="card"/>
      </filters>
    </filterColumn>
    <filterColumn colId="1">
      <filters>
        <filter val="damejidlo"/>
        <filter val="manual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6" width="12.63"/>
    <col customWidth="1" min="40" max="40" width="20.25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2497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2498</v>
      </c>
      <c r="AP1" s="5" t="s">
        <v>2499</v>
      </c>
      <c r="AQ1" s="5" t="s">
        <v>2500</v>
      </c>
      <c r="AR1" s="5" t="s">
        <v>2501</v>
      </c>
      <c r="AS1" s="5" t="s">
        <v>2502</v>
      </c>
      <c r="AT1" s="5" t="s">
        <v>2503</v>
      </c>
      <c r="AU1" s="5" t="s">
        <v>2504</v>
      </c>
      <c r="AV1" s="5" t="s">
        <v>2505</v>
      </c>
    </row>
    <row r="2" ht="15.75" customHeight="1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 ht="15.75" customHeight="1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 ht="15.75" customHeight="1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 ht="15.75" customHeight="1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1">
        <v>9.0</v>
      </c>
      <c r="N5" s="1" t="b">
        <v>1</v>
      </c>
      <c r="O5" s="1">
        <v>360.0</v>
      </c>
    </row>
    <row r="6" ht="15.75" customHeight="1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1">
        <v>6.0</v>
      </c>
      <c r="N6" s="1" t="b">
        <v>1</v>
      </c>
      <c r="O6" s="1">
        <v>240.0</v>
      </c>
    </row>
    <row r="7" ht="15.75" customHeight="1">
      <c r="A7" s="2">
        <v>45505.0</v>
      </c>
      <c r="B7" s="1" t="s">
        <v>2506</v>
      </c>
      <c r="P7" s="1">
        <v>3.0</v>
      </c>
      <c r="S7" s="1">
        <v>12155.0</v>
      </c>
      <c r="T7" s="1">
        <v>7267.0</v>
      </c>
      <c r="U7" s="1">
        <v>17983.0</v>
      </c>
      <c r="V7" s="1">
        <v>8801.0</v>
      </c>
      <c r="W7" s="1">
        <v>917.0</v>
      </c>
      <c r="X7" s="1">
        <v>1093.0</v>
      </c>
      <c r="Y7" s="1">
        <v>5130.0</v>
      </c>
      <c r="AA7" s="1">
        <v>1500.0</v>
      </c>
      <c r="AB7" s="1">
        <v>56736.0</v>
      </c>
      <c r="AC7" s="1">
        <v>7.0</v>
      </c>
      <c r="AD7" s="1">
        <v>0.22244543911358552</v>
      </c>
      <c r="AE7" s="1">
        <v>500.0</v>
      </c>
      <c r="AG7" s="1">
        <v>1890.0</v>
      </c>
      <c r="AI7" s="1">
        <v>600.0</v>
      </c>
      <c r="AJ7" s="1">
        <v>1.0</v>
      </c>
      <c r="AK7" s="1">
        <v>264.0</v>
      </c>
      <c r="AL7" s="1">
        <v>4.0</v>
      </c>
      <c r="AM7" s="1" t="s">
        <v>2507</v>
      </c>
      <c r="AN7" s="1">
        <v>2.0</v>
      </c>
      <c r="AO7" s="1">
        <v>3.0</v>
      </c>
      <c r="AP7" s="1"/>
      <c r="AQ7" s="1"/>
      <c r="AR7" s="1"/>
      <c r="AS7" s="1"/>
      <c r="AT7" s="1"/>
      <c r="AU7" s="1"/>
      <c r="AV7" s="1"/>
    </row>
    <row r="8" ht="15.75" customHeight="1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 ht="15.75" customHeight="1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 ht="15.75" customHeight="1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 ht="15.75" customHeight="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 ht="15.75" customHeight="1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1">
        <v>22.0</v>
      </c>
      <c r="N12" s="1" t="b">
        <v>1</v>
      </c>
      <c r="O12" s="1">
        <v>880.0</v>
      </c>
    </row>
    <row r="13" ht="15.75" customHeight="1">
      <c r="A13" s="2">
        <v>45506.0</v>
      </c>
      <c r="B13" s="1" t="s">
        <v>39</v>
      </c>
      <c r="P13" s="1">
        <v>6.0</v>
      </c>
      <c r="S13" s="1">
        <v>13714.0</v>
      </c>
      <c r="T13" s="1">
        <v>8559.0</v>
      </c>
      <c r="U13" s="1">
        <v>15123.0</v>
      </c>
      <c r="V13" s="1">
        <v>13992.0</v>
      </c>
      <c r="W13" s="1">
        <v>823.0</v>
      </c>
      <c r="X13" s="1">
        <v>4446.0</v>
      </c>
      <c r="Y13" s="1">
        <v>3340.0</v>
      </c>
      <c r="AA13" s="1">
        <v>7980.0</v>
      </c>
      <c r="AB13" s="1">
        <v>65404.5</v>
      </c>
      <c r="AC13" s="1">
        <v>6.5</v>
      </c>
      <c r="AD13" s="1">
        <v>0.26557243666029695</v>
      </c>
      <c r="AH13" s="1">
        <v>1000.0</v>
      </c>
      <c r="AI13" s="1">
        <v>880.0</v>
      </c>
      <c r="AJ13" s="1">
        <v>0.0</v>
      </c>
      <c r="AK13" s="1">
        <v>0.0</v>
      </c>
      <c r="AL13" s="1">
        <v>4.0</v>
      </c>
      <c r="AM13" s="1" t="s">
        <v>2511</v>
      </c>
      <c r="AN13" s="1">
        <v>1.0</v>
      </c>
      <c r="AO13" s="1">
        <v>4.0</v>
      </c>
      <c r="AP13" s="1"/>
      <c r="AQ13" s="1"/>
      <c r="AR13" s="1"/>
      <c r="AS13" s="1"/>
      <c r="AT13" s="1"/>
      <c r="AU13" s="1"/>
      <c r="AV13" s="1"/>
    </row>
    <row r="14" ht="15.75" customHeight="1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 ht="15.75" customHeight="1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 ht="15.75" customHeight="1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 ht="15.75" customHeight="1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 ht="15.75" customHeight="1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1">
        <v>15.0</v>
      </c>
      <c r="N18" s="1" t="b">
        <v>1</v>
      </c>
      <c r="O18" s="1">
        <v>600.0</v>
      </c>
    </row>
    <row r="19" ht="15.75" customHeight="1">
      <c r="A19" s="2">
        <v>45507.0</v>
      </c>
      <c r="B19" s="1" t="s">
        <v>2512</v>
      </c>
      <c r="P19" s="1">
        <v>2.0</v>
      </c>
      <c r="S19" s="1">
        <v>9875.0</v>
      </c>
      <c r="T19" s="1">
        <v>6927.0</v>
      </c>
      <c r="U19" s="1">
        <v>20583.0</v>
      </c>
      <c r="V19" s="1">
        <v>11023.0</v>
      </c>
      <c r="W19" s="1">
        <v>0.0</v>
      </c>
      <c r="X19" s="1">
        <v>795.0</v>
      </c>
      <c r="Y19" s="1">
        <v>8635.0</v>
      </c>
      <c r="AA19" s="1">
        <v>855.0</v>
      </c>
      <c r="AB19" s="1">
        <v>59046.0</v>
      </c>
      <c r="AC19" s="1">
        <v>-328.0</v>
      </c>
      <c r="AD19" s="1">
        <v>0.26831100554734255</v>
      </c>
      <c r="AG19" s="1">
        <v>220.0</v>
      </c>
      <c r="AI19" s="1">
        <v>600.0</v>
      </c>
      <c r="AJ19" s="1">
        <v>0.0</v>
      </c>
      <c r="AK19" s="1">
        <v>0.0</v>
      </c>
      <c r="AL19" s="1">
        <v>2.0</v>
      </c>
      <c r="AM19" s="1" t="s">
        <v>2514</v>
      </c>
      <c r="AN19" s="1">
        <v>1.0</v>
      </c>
      <c r="AO19" s="1">
        <v>1.0</v>
      </c>
      <c r="AP19" s="1"/>
      <c r="AQ19" s="1"/>
      <c r="AR19" s="1"/>
      <c r="AS19" s="1"/>
      <c r="AT19" s="1"/>
      <c r="AU19" s="1"/>
      <c r="AV19" s="1"/>
    </row>
    <row r="20" ht="15.75" customHeight="1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 ht="15.75" customHeight="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 ht="15.75" customHeight="1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 ht="15.75" customHeight="1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 ht="15.75" customHeight="1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1">
        <v>18.0</v>
      </c>
      <c r="N24" s="1" t="b">
        <v>1</v>
      </c>
      <c r="O24" s="1">
        <v>720.0</v>
      </c>
    </row>
    <row r="25" ht="15.75" customHeight="1">
      <c r="A25" s="2">
        <v>45508.0</v>
      </c>
      <c r="B25" s="1" t="s">
        <v>67</v>
      </c>
      <c r="P25" s="1">
        <v>11.0</v>
      </c>
      <c r="S25" s="1">
        <v>12864.0</v>
      </c>
      <c r="T25" s="1">
        <v>7236.0</v>
      </c>
      <c r="U25" s="1">
        <v>23360.0</v>
      </c>
      <c r="V25" s="1">
        <v>12483.0</v>
      </c>
      <c r="W25" s="1">
        <v>358.0</v>
      </c>
      <c r="X25" s="1">
        <v>2604.0</v>
      </c>
      <c r="Y25" s="1">
        <v>4023.0</v>
      </c>
      <c r="AA25" s="1">
        <v>6230.0</v>
      </c>
      <c r="AB25" s="1">
        <v>67274.0</v>
      </c>
      <c r="AC25" s="1">
        <v>0.0</v>
      </c>
      <c r="AD25" s="1">
        <v>0.25279071905265604</v>
      </c>
      <c r="AI25" s="1">
        <v>720.0</v>
      </c>
      <c r="AJ25" s="1">
        <v>1.0</v>
      </c>
      <c r="AK25" s="1">
        <v>321.0</v>
      </c>
      <c r="AL25" s="1">
        <v>19.0</v>
      </c>
      <c r="AM25" s="1" t="s">
        <v>2517</v>
      </c>
      <c r="AN25" s="1">
        <v>1.0</v>
      </c>
      <c r="AO25" s="1">
        <v>2.0</v>
      </c>
      <c r="AP25" s="1"/>
      <c r="AQ25" s="1"/>
      <c r="AR25" s="1"/>
      <c r="AS25" s="1"/>
      <c r="AT25" s="1"/>
      <c r="AU25" s="1"/>
      <c r="AV25" s="1"/>
    </row>
    <row r="26" ht="15.75" customHeight="1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 ht="15.75" customHeight="1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 ht="15.75" customHeight="1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1">
        <v>6.0</v>
      </c>
      <c r="N28" s="1" t="b">
        <v>1</v>
      </c>
      <c r="O28" s="1">
        <v>240.0</v>
      </c>
    </row>
    <row r="29" ht="15.75" customHeight="1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1">
        <v>6.0</v>
      </c>
      <c r="N29" s="1" t="b">
        <v>1</v>
      </c>
      <c r="O29" s="1">
        <v>240.0</v>
      </c>
    </row>
    <row r="30" ht="15.75" customHeight="1">
      <c r="A30" s="2">
        <v>45509.0</v>
      </c>
      <c r="B30" s="1" t="s">
        <v>69</v>
      </c>
      <c r="P30" s="1">
        <v>7.0</v>
      </c>
      <c r="S30" s="1">
        <v>9763.0</v>
      </c>
      <c r="T30" s="1">
        <v>4297.0</v>
      </c>
      <c r="U30" s="1">
        <v>9409.0</v>
      </c>
      <c r="V30" s="1">
        <v>9197.0</v>
      </c>
      <c r="W30" s="1">
        <v>0.0</v>
      </c>
      <c r="X30" s="1">
        <v>747.0</v>
      </c>
      <c r="Y30" s="1">
        <v>3343.0</v>
      </c>
      <c r="AA30" s="1">
        <v>3170.0</v>
      </c>
      <c r="AB30" s="1">
        <v>39700.0</v>
      </c>
      <c r="AC30" s="1">
        <v>39.0</v>
      </c>
      <c r="AD30" s="1">
        <v>0.3900916381246444</v>
      </c>
      <c r="AH30" s="1">
        <v>80.0</v>
      </c>
      <c r="AI30" s="1">
        <v>480.0</v>
      </c>
      <c r="AJ30" s="1">
        <v>0.0</v>
      </c>
      <c r="AK30" s="1">
        <v>0.0</v>
      </c>
      <c r="AL30" s="1">
        <v>23.0</v>
      </c>
      <c r="AM30" s="1" t="s">
        <v>2519</v>
      </c>
      <c r="AN30" s="1">
        <v>2.0</v>
      </c>
      <c r="AO30" s="1">
        <v>4.0</v>
      </c>
      <c r="AP30" s="1"/>
      <c r="AQ30" s="1"/>
      <c r="AR30" s="1"/>
      <c r="AS30" s="1"/>
      <c r="AT30" s="1"/>
      <c r="AU30" s="1"/>
      <c r="AV30" s="1"/>
    </row>
    <row r="31" ht="15.75" customHeight="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 ht="15.75" customHeight="1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 ht="15.75" customHeight="1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 ht="15.75" customHeight="1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1">
        <v>7.0</v>
      </c>
      <c r="N34" s="1" t="b">
        <v>1</v>
      </c>
      <c r="O34" s="1">
        <v>280.0</v>
      </c>
    </row>
    <row r="35" ht="15.75" customHeight="1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1">
        <v>12.0</v>
      </c>
      <c r="N35" s="1" t="b">
        <v>1</v>
      </c>
      <c r="O35" s="1">
        <v>480.0</v>
      </c>
    </row>
    <row r="36" ht="15.75" customHeight="1">
      <c r="A36" s="2">
        <v>45510.0</v>
      </c>
      <c r="B36" s="1" t="s">
        <v>61</v>
      </c>
      <c r="P36" s="1">
        <v>1.0</v>
      </c>
      <c r="S36" s="1">
        <v>8586.0</v>
      </c>
      <c r="T36" s="1">
        <v>6871.0</v>
      </c>
      <c r="U36" s="1">
        <v>13982.0</v>
      </c>
      <c r="V36" s="1">
        <v>9114.0</v>
      </c>
      <c r="W36" s="1">
        <v>0.0</v>
      </c>
      <c r="X36" s="1">
        <v>3462.0</v>
      </c>
      <c r="Y36" s="1">
        <v>4333.0</v>
      </c>
      <c r="AA36" s="1">
        <v>5210.0</v>
      </c>
      <c r="AB36" s="1">
        <v>49815.5</v>
      </c>
      <c r="AC36" s="1">
        <v>40.5</v>
      </c>
      <c r="AD36" s="1">
        <v>0.2969145706366169</v>
      </c>
      <c r="AH36" s="1">
        <v>1000.0</v>
      </c>
      <c r="AI36" s="1">
        <v>760.0</v>
      </c>
      <c r="AJ36" s="1">
        <v>1.0</v>
      </c>
      <c r="AK36" s="1">
        <v>498.0</v>
      </c>
      <c r="AL36" s="1">
        <v>5.0</v>
      </c>
      <c r="AM36" s="1" t="s">
        <v>2521</v>
      </c>
      <c r="AN36" s="1">
        <v>2.0</v>
      </c>
      <c r="AO36" s="1">
        <v>0.0</v>
      </c>
      <c r="AP36" s="1"/>
      <c r="AQ36" s="1"/>
      <c r="AR36" s="1"/>
      <c r="AS36" s="1"/>
      <c r="AT36" s="1"/>
      <c r="AU36" s="1"/>
      <c r="AV36" s="1"/>
    </row>
    <row r="37" ht="15.75" customHeight="1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 ht="15.75" customHeight="1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 ht="15.75" customHeight="1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 ht="15.75" customHeight="1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1">
        <v>13.0</v>
      </c>
      <c r="N40" s="1" t="b">
        <v>1</v>
      </c>
      <c r="O40" s="1">
        <v>520.0</v>
      </c>
    </row>
    <row r="41" ht="15.75" customHeight="1">
      <c r="A41" s="2">
        <v>45511.0</v>
      </c>
      <c r="B41" s="1" t="s">
        <v>73</v>
      </c>
      <c r="P41" s="1">
        <v>4.0</v>
      </c>
      <c r="S41" s="1">
        <v>8154.0</v>
      </c>
      <c r="T41" s="1">
        <v>4246.0</v>
      </c>
      <c r="U41" s="1">
        <v>8791.0</v>
      </c>
      <c r="V41" s="1">
        <v>9064.0</v>
      </c>
      <c r="W41" s="1">
        <v>1660.0</v>
      </c>
      <c r="X41" s="1">
        <v>2318.0</v>
      </c>
      <c r="Y41" s="1">
        <v>2641.0</v>
      </c>
      <c r="AA41" s="1">
        <v>4240.0</v>
      </c>
      <c r="AB41" s="1">
        <v>39350.5</v>
      </c>
      <c r="AC41" s="1">
        <v>5.5</v>
      </c>
      <c r="AD41" s="1">
        <v>0.33455310894520746</v>
      </c>
      <c r="AH41" s="1">
        <v>40.0</v>
      </c>
      <c r="AI41" s="1">
        <v>520.0</v>
      </c>
      <c r="AJ41" s="1">
        <v>0.0</v>
      </c>
      <c r="AK41" s="1">
        <v>0.0</v>
      </c>
      <c r="AL41" s="1">
        <v>2.0</v>
      </c>
      <c r="AM41" s="1" t="s">
        <v>2522</v>
      </c>
      <c r="AN41" s="1">
        <v>1.0</v>
      </c>
      <c r="AO41" s="1">
        <v>3.0</v>
      </c>
      <c r="AP41" s="1"/>
      <c r="AQ41" s="1"/>
      <c r="AR41" s="1"/>
      <c r="AS41" s="1"/>
      <c r="AT41" s="1"/>
      <c r="AU41" s="1"/>
      <c r="AV41" s="1"/>
    </row>
    <row r="42" ht="15.75" customHeight="1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 ht="15.75" customHeight="1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 ht="15.75" customHeight="1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 ht="15.75" customHeight="1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1">
        <v>14.0</v>
      </c>
      <c r="N45" s="1" t="b">
        <v>1</v>
      </c>
      <c r="O45" s="1">
        <v>560.0</v>
      </c>
    </row>
    <row r="46" ht="15.75" customHeight="1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1">
        <v>8.0</v>
      </c>
      <c r="N46" s="1" t="b">
        <v>1</v>
      </c>
      <c r="O46" s="1">
        <v>320.0</v>
      </c>
    </row>
    <row r="47" ht="15.75" customHeight="1">
      <c r="A47" s="2">
        <v>45512.0</v>
      </c>
      <c r="B47" s="1" t="s">
        <v>2506</v>
      </c>
      <c r="P47" s="1">
        <v>2.0</v>
      </c>
      <c r="S47" s="1">
        <v>13349.0</v>
      </c>
      <c r="T47" s="1">
        <v>5636.0</v>
      </c>
      <c r="U47" s="1">
        <v>17458.0</v>
      </c>
      <c r="V47" s="1">
        <v>12178.0</v>
      </c>
      <c r="W47" s="1">
        <v>0.0</v>
      </c>
      <c r="X47" s="1">
        <v>1005.0</v>
      </c>
      <c r="Y47" s="1">
        <v>3153.0</v>
      </c>
      <c r="AA47" s="1">
        <v>3450.0</v>
      </c>
      <c r="AB47" s="1">
        <v>56098.0</v>
      </c>
      <c r="AC47" s="1">
        <v>6.0</v>
      </c>
      <c r="AD47" s="1">
        <v>0.2343877092507467</v>
      </c>
      <c r="AI47" s="1">
        <v>880.0</v>
      </c>
      <c r="AJ47" s="1">
        <v>0.0</v>
      </c>
      <c r="AK47" s="1">
        <v>0.0</v>
      </c>
      <c r="AL47" s="1">
        <v>4.0</v>
      </c>
      <c r="AM47" s="1" t="s">
        <v>2523</v>
      </c>
      <c r="AN47" s="1">
        <v>2.0</v>
      </c>
      <c r="AO47" s="1">
        <v>2.0</v>
      </c>
      <c r="AP47" s="1"/>
      <c r="AQ47" s="1"/>
      <c r="AR47" s="1"/>
      <c r="AS47" s="1"/>
      <c r="AT47" s="1"/>
      <c r="AU47" s="1"/>
      <c r="AV47" s="1"/>
    </row>
    <row r="48" ht="15.75" customHeight="1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 ht="15.75" customHeight="1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 ht="15.75" customHeight="1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 ht="15.75" customHeight="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 ht="15.75" customHeight="1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 ht="15.75" customHeight="1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1">
        <v>12.0</v>
      </c>
      <c r="N53" s="1" t="b">
        <v>1</v>
      </c>
      <c r="O53" s="1">
        <v>480.0</v>
      </c>
    </row>
    <row r="54" ht="15.75" customHeight="1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1">
        <v>13.0</v>
      </c>
      <c r="N54" s="1" t="b">
        <v>1</v>
      </c>
      <c r="O54" s="1">
        <v>520.0</v>
      </c>
    </row>
    <row r="55" ht="15.75" customHeight="1">
      <c r="A55" s="2">
        <v>45513.0</v>
      </c>
      <c r="B55" s="1" t="s">
        <v>39</v>
      </c>
      <c r="P55" s="1">
        <v>4.0</v>
      </c>
      <c r="S55" s="1">
        <v>12739.0</v>
      </c>
      <c r="T55" s="1">
        <v>4396.0</v>
      </c>
      <c r="U55" s="1">
        <v>16038.0</v>
      </c>
      <c r="V55" s="1">
        <v>13494.0</v>
      </c>
      <c r="W55" s="1">
        <v>748.0</v>
      </c>
      <c r="X55" s="1">
        <v>5197.0</v>
      </c>
      <c r="Y55" s="1">
        <v>4219.0</v>
      </c>
      <c r="Z55" s="1">
        <v>220.0</v>
      </c>
      <c r="AA55" s="1">
        <v>8426.0</v>
      </c>
      <c r="AB55" s="1">
        <v>61360.0</v>
      </c>
      <c r="AC55" s="1">
        <v>0.0</v>
      </c>
      <c r="AD55" s="1">
        <v>0.25725929780880685</v>
      </c>
      <c r="AH55" s="1">
        <v>80.0</v>
      </c>
      <c r="AI55" s="1">
        <v>1000.0</v>
      </c>
      <c r="AJ55" s="1">
        <v>1.0</v>
      </c>
      <c r="AK55" s="1">
        <v>329.0</v>
      </c>
      <c r="AL55" s="1">
        <v>2.0</v>
      </c>
      <c r="AM55" s="1" t="s">
        <v>2524</v>
      </c>
      <c r="AN55" s="1">
        <v>2.0</v>
      </c>
      <c r="AO55" s="1">
        <v>3.0</v>
      </c>
      <c r="AP55" s="1"/>
      <c r="AQ55" s="1"/>
      <c r="AR55" s="1"/>
      <c r="AS55" s="1"/>
      <c r="AT55" s="1"/>
      <c r="AU55" s="1"/>
      <c r="AV55" s="1"/>
    </row>
    <row r="56" ht="15.75" customHeight="1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 ht="15.75" customHeight="1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 ht="15.75" customHeight="1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 ht="15.75" customHeight="1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 ht="15.75" customHeight="1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1">
        <v>12.0</v>
      </c>
      <c r="N60" s="1" t="b">
        <v>1</v>
      </c>
      <c r="O60" s="1">
        <v>480.0</v>
      </c>
    </row>
    <row r="61" ht="15.75" customHeight="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1">
        <v>10.0</v>
      </c>
      <c r="N61" s="1" t="b">
        <v>1</v>
      </c>
      <c r="O61" s="1">
        <v>400.0</v>
      </c>
    </row>
    <row r="62" ht="15.75" customHeight="1">
      <c r="A62" s="2">
        <v>45514.0</v>
      </c>
      <c r="B62" s="1" t="s">
        <v>2512</v>
      </c>
      <c r="P62" s="1">
        <v>4.0</v>
      </c>
      <c r="S62" s="1">
        <v>13195.0</v>
      </c>
      <c r="T62" s="1">
        <v>8108.0</v>
      </c>
      <c r="U62" s="1">
        <v>20257.0</v>
      </c>
      <c r="V62" s="1">
        <v>13678.0</v>
      </c>
      <c r="W62" s="1">
        <v>378.0</v>
      </c>
      <c r="X62" s="1">
        <v>4033.0</v>
      </c>
      <c r="Y62" s="1">
        <v>5809.0</v>
      </c>
      <c r="AA62" s="1">
        <v>5000.0</v>
      </c>
      <c r="AB62" s="1">
        <v>67302.75</v>
      </c>
      <c r="AC62" s="1">
        <v>2.25</v>
      </c>
      <c r="AD62" s="1">
        <v>0.20578299391255764</v>
      </c>
      <c r="AI62" s="1">
        <v>880.0</v>
      </c>
      <c r="AJ62" s="1">
        <v>0.0</v>
      </c>
      <c r="AK62" s="1">
        <v>0.0</v>
      </c>
      <c r="AL62" s="1">
        <v>2.0</v>
      </c>
      <c r="AM62" s="1" t="s">
        <v>2528</v>
      </c>
      <c r="AN62" s="1">
        <v>2.0</v>
      </c>
      <c r="AO62" s="1">
        <v>1.0</v>
      </c>
      <c r="AP62" s="1"/>
      <c r="AQ62" s="1"/>
      <c r="AR62" s="1"/>
      <c r="AS62" s="1"/>
      <c r="AT62" s="1"/>
      <c r="AU62" s="1"/>
      <c r="AV62" s="1"/>
    </row>
    <row r="63" ht="15.75" customHeight="1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 ht="15.75" customHeight="1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 ht="15.75" customHeight="1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 ht="15.75" customHeight="1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 ht="15.75" customHeight="1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1">
        <v>7.0</v>
      </c>
      <c r="N67" s="1" t="b">
        <v>1</v>
      </c>
      <c r="O67" s="1">
        <v>280.0</v>
      </c>
    </row>
    <row r="68" ht="15.75" customHeight="1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1">
        <v>13.0</v>
      </c>
      <c r="N68" s="1" t="b">
        <v>1</v>
      </c>
      <c r="O68" s="1">
        <v>520.0</v>
      </c>
    </row>
    <row r="69" ht="15.75" customHeight="1">
      <c r="A69" s="2">
        <v>45515.0</v>
      </c>
      <c r="B69" s="1" t="s">
        <v>67</v>
      </c>
      <c r="P69" s="1">
        <v>2.0</v>
      </c>
      <c r="S69" s="1">
        <v>14266.0</v>
      </c>
      <c r="T69" s="1">
        <v>9954.0</v>
      </c>
      <c r="U69" s="1">
        <v>16950.0</v>
      </c>
      <c r="V69" s="1">
        <v>11974.0</v>
      </c>
      <c r="W69" s="1">
        <v>0.0</v>
      </c>
      <c r="X69" s="1">
        <v>2373.0</v>
      </c>
      <c r="Y69" s="1">
        <v>6149.0</v>
      </c>
      <c r="Z69" s="1">
        <v>360.0</v>
      </c>
      <c r="AA69" s="1">
        <v>4760.0</v>
      </c>
      <c r="AB69" s="1">
        <v>65205.0</v>
      </c>
      <c r="AC69" s="1">
        <v>8.0</v>
      </c>
      <c r="AD69" s="1">
        <v>0.19551997229581147</v>
      </c>
      <c r="AI69" s="1">
        <v>800.0</v>
      </c>
      <c r="AJ69" s="1">
        <v>0.0</v>
      </c>
      <c r="AK69" s="1">
        <v>0.0</v>
      </c>
      <c r="AL69" s="1">
        <v>4.0</v>
      </c>
      <c r="AM69" s="1" t="s">
        <v>2530</v>
      </c>
      <c r="AN69" s="1">
        <v>2.0</v>
      </c>
      <c r="AO69" s="1">
        <v>2.0</v>
      </c>
      <c r="AP69" s="1"/>
      <c r="AQ69" s="1"/>
      <c r="AR69" s="1"/>
      <c r="AS69" s="1"/>
      <c r="AT69" s="1"/>
      <c r="AU69" s="1"/>
      <c r="AV69" s="1"/>
    </row>
    <row r="70" ht="15.75" customHeight="1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 ht="15.75" customHeight="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 ht="15.75" customHeight="1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 ht="15.75" customHeight="1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1">
        <v>9.0</v>
      </c>
      <c r="N73" s="1" t="b">
        <v>1</v>
      </c>
      <c r="O73" s="1">
        <v>360.0</v>
      </c>
    </row>
    <row r="74" ht="15.75" customHeight="1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1">
        <v>9.0</v>
      </c>
      <c r="N74" s="1" t="b">
        <v>1</v>
      </c>
      <c r="O74" s="1">
        <v>360.0</v>
      </c>
    </row>
    <row r="75" ht="15.75" customHeight="1">
      <c r="A75" s="2">
        <v>45516.0</v>
      </c>
      <c r="B75" s="1" t="s">
        <v>69</v>
      </c>
      <c r="P75" s="1">
        <v>5.0</v>
      </c>
      <c r="S75" s="1">
        <v>8460.0</v>
      </c>
      <c r="T75" s="1">
        <v>4941.0</v>
      </c>
      <c r="U75" s="1">
        <v>15978.0</v>
      </c>
      <c r="V75" s="1">
        <v>5899.0</v>
      </c>
      <c r="W75" s="1">
        <v>548.0</v>
      </c>
      <c r="X75" s="1">
        <v>1020.0</v>
      </c>
      <c r="Y75" s="1">
        <v>2894.0</v>
      </c>
      <c r="AA75" s="1">
        <v>4710.0</v>
      </c>
      <c r="AB75" s="1">
        <v>44143.0</v>
      </c>
      <c r="AC75" s="1">
        <v>7.0</v>
      </c>
      <c r="AD75" s="1">
        <v>0.35855323184986043</v>
      </c>
      <c r="AI75" s="1">
        <v>720.0</v>
      </c>
      <c r="AJ75" s="1">
        <v>1.0</v>
      </c>
      <c r="AK75" s="1">
        <v>466.0</v>
      </c>
      <c r="AL75" s="1">
        <v>17.0</v>
      </c>
      <c r="AM75" s="1" t="s">
        <v>2532</v>
      </c>
      <c r="AN75" s="1">
        <v>2.0</v>
      </c>
      <c r="AO75" s="1">
        <v>4.0</v>
      </c>
      <c r="AP75" s="1"/>
      <c r="AQ75" s="1"/>
      <c r="AR75" s="1"/>
      <c r="AS75" s="1"/>
      <c r="AT75" s="1"/>
      <c r="AU75" s="1"/>
      <c r="AV75" s="1"/>
    </row>
    <row r="76" ht="15.75" customHeight="1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 ht="15.75" customHeight="1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 ht="15.75" customHeight="1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 ht="15.75" customHeight="1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1">
        <v>6.0</v>
      </c>
      <c r="N79" s="1" t="b">
        <v>1</v>
      </c>
      <c r="O79" s="1">
        <v>240.0</v>
      </c>
    </row>
    <row r="80" ht="15.75" customHeight="1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1">
        <v>6.0</v>
      </c>
    </row>
    <row r="81" ht="15.75" customHeight="1">
      <c r="A81" s="2">
        <v>45517.0</v>
      </c>
      <c r="B81" s="1" t="s">
        <v>61</v>
      </c>
      <c r="P81" s="1">
        <v>2.0</v>
      </c>
      <c r="S81" s="1">
        <v>7127.0</v>
      </c>
      <c r="T81" s="1">
        <v>4665.0</v>
      </c>
      <c r="U81" s="1">
        <v>13593.0</v>
      </c>
      <c r="V81" s="1">
        <v>7867.0</v>
      </c>
      <c r="W81" s="1">
        <v>0.0</v>
      </c>
      <c r="X81" s="1">
        <v>3915.0</v>
      </c>
      <c r="Z81" s="1">
        <v>2779.0</v>
      </c>
      <c r="AA81" s="1">
        <v>1480.0</v>
      </c>
      <c r="AB81" s="1">
        <v>43529.9</v>
      </c>
      <c r="AC81" s="1">
        <v>1.0999999999985448</v>
      </c>
      <c r="AD81" s="1">
        <v>0.2937014004982411</v>
      </c>
      <c r="AE81" s="1">
        <v>500.0</v>
      </c>
      <c r="AG81" s="1">
        <v>3780.0</v>
      </c>
      <c r="AH81" s="1">
        <v>1500.0</v>
      </c>
      <c r="AI81" s="1">
        <v>240.0</v>
      </c>
      <c r="AJ81" s="1">
        <v>2.0</v>
      </c>
      <c r="AK81" s="1">
        <v>886.0</v>
      </c>
      <c r="AL81" s="1">
        <v>5.0</v>
      </c>
      <c r="AM81" s="1" t="s">
        <v>2533</v>
      </c>
      <c r="AN81" s="1">
        <v>1.0</v>
      </c>
      <c r="AO81" s="1">
        <v>1.0</v>
      </c>
      <c r="AP81" s="1"/>
      <c r="AQ81" s="1"/>
      <c r="AR81" s="1"/>
      <c r="AS81" s="1"/>
      <c r="AT81" s="1"/>
      <c r="AU81" s="1"/>
      <c r="AV81" s="1"/>
    </row>
    <row r="82" ht="15.75" customHeight="1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 ht="15.75" customHeight="1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 ht="15.75" customHeight="1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 ht="15.75" customHeight="1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1">
        <v>7.0</v>
      </c>
      <c r="N85" s="1" t="b">
        <v>1</v>
      </c>
      <c r="O85" s="1">
        <v>280.0</v>
      </c>
    </row>
    <row r="86" ht="15.75" customHeight="1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1">
        <v>11.0</v>
      </c>
      <c r="N86" s="1" t="b">
        <v>1</v>
      </c>
      <c r="O86" s="1">
        <v>440.0</v>
      </c>
    </row>
    <row r="87" ht="15.75" customHeight="1">
      <c r="A87" s="2">
        <v>45518.0</v>
      </c>
      <c r="B87" s="1" t="s">
        <v>73</v>
      </c>
      <c r="P87" s="1">
        <v>7.0</v>
      </c>
      <c r="S87" s="1">
        <v>9539.0</v>
      </c>
      <c r="T87" s="1">
        <v>3348.0</v>
      </c>
      <c r="U87" s="1">
        <v>17816.0</v>
      </c>
      <c r="V87" s="1">
        <v>10822.0</v>
      </c>
      <c r="W87" s="1">
        <v>368.0</v>
      </c>
      <c r="X87" s="1">
        <v>538.0</v>
      </c>
      <c r="Y87" s="1">
        <v>4553.0</v>
      </c>
      <c r="AA87" s="1">
        <v>4105.0</v>
      </c>
      <c r="AB87" s="1">
        <v>51269.5</v>
      </c>
      <c r="AC87" s="1">
        <v>1.5</v>
      </c>
      <c r="AD87" s="1">
        <v>0.25999290403745673</v>
      </c>
      <c r="AI87" s="1">
        <v>720.0</v>
      </c>
      <c r="AJ87" s="1">
        <v>3.0</v>
      </c>
      <c r="AK87" s="1">
        <v>767.0</v>
      </c>
      <c r="AL87" s="1">
        <v>5.0</v>
      </c>
      <c r="AM87" s="1" t="s">
        <v>2535</v>
      </c>
      <c r="AN87" s="1">
        <v>2.0</v>
      </c>
      <c r="AO87" s="1">
        <v>7.0</v>
      </c>
      <c r="AP87" s="1"/>
      <c r="AQ87" s="1"/>
      <c r="AR87" s="1"/>
      <c r="AS87" s="1"/>
      <c r="AT87" s="1"/>
      <c r="AU87" s="1"/>
      <c r="AV87" s="1"/>
    </row>
    <row r="88" ht="15.75" customHeight="1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 ht="15.75" customHeight="1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 ht="15.75" customHeight="1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1">
        <v>7.0</v>
      </c>
      <c r="N90" s="1" t="b">
        <v>1</v>
      </c>
      <c r="O90" s="1">
        <v>280.0</v>
      </c>
    </row>
    <row r="91" ht="15.75" customHeight="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1">
        <v>14.0</v>
      </c>
      <c r="N91" s="1" t="b">
        <v>1</v>
      </c>
      <c r="O91" s="1">
        <v>560.0</v>
      </c>
    </row>
    <row r="92" ht="15.75" customHeight="1">
      <c r="A92" s="2">
        <v>45519.0</v>
      </c>
      <c r="B92" s="1" t="s">
        <v>2506</v>
      </c>
      <c r="P92" s="1">
        <v>1.0</v>
      </c>
      <c r="S92" s="1">
        <v>5535.0</v>
      </c>
      <c r="T92" s="1">
        <v>8580.0</v>
      </c>
      <c r="U92" s="1">
        <v>14640.0</v>
      </c>
      <c r="V92" s="1">
        <v>13204.0</v>
      </c>
      <c r="W92" s="1">
        <v>0.0</v>
      </c>
      <c r="X92" s="1">
        <v>4145.0</v>
      </c>
      <c r="Y92" s="1">
        <v>919.0</v>
      </c>
      <c r="AA92" s="1">
        <v>4862.0</v>
      </c>
      <c r="AB92" s="1">
        <v>48580.0</v>
      </c>
      <c r="AC92" s="1">
        <v>0.0</v>
      </c>
      <c r="AD92" s="1">
        <v>0.19856849307427718</v>
      </c>
      <c r="AI92" s="1">
        <v>840.0</v>
      </c>
      <c r="AJ92" s="1">
        <v>0.0</v>
      </c>
      <c r="AK92" s="1">
        <v>0.0</v>
      </c>
      <c r="AL92" s="1">
        <v>1.0</v>
      </c>
      <c r="AM92" s="1" t="s">
        <v>2537</v>
      </c>
      <c r="AN92" s="1">
        <v>2.0</v>
      </c>
      <c r="AO92" s="1">
        <v>1.0</v>
      </c>
      <c r="AP92" s="1"/>
      <c r="AQ92" s="1"/>
      <c r="AR92" s="1"/>
      <c r="AS92" s="1"/>
      <c r="AT92" s="1"/>
      <c r="AU92" s="1"/>
      <c r="AV92" s="1"/>
    </row>
    <row r="93" ht="15.75" customHeight="1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 ht="15.75" customHeight="1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 ht="15.75" customHeight="1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 ht="15.75" customHeight="1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 ht="15.75" customHeight="1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1">
        <v>19.0</v>
      </c>
      <c r="N97" s="1" t="b">
        <v>1</v>
      </c>
      <c r="O97" s="1">
        <v>760.0</v>
      </c>
    </row>
    <row r="98" ht="15.75" customHeight="1">
      <c r="A98" s="2">
        <v>45520.0</v>
      </c>
      <c r="B98" s="1" t="s">
        <v>39</v>
      </c>
      <c r="P98" s="1">
        <v>1.0</v>
      </c>
      <c r="S98" s="1">
        <v>11627.0</v>
      </c>
      <c r="T98" s="1">
        <v>11185.0</v>
      </c>
      <c r="U98" s="1">
        <v>19934.0</v>
      </c>
      <c r="V98" s="1">
        <v>14587.0</v>
      </c>
      <c r="W98" s="1">
        <v>0.0</v>
      </c>
      <c r="X98" s="1">
        <v>841.0</v>
      </c>
      <c r="Y98" s="1">
        <v>3949.0</v>
      </c>
      <c r="AA98" s="1">
        <v>3350.0</v>
      </c>
      <c r="AB98" s="1">
        <v>65671.5</v>
      </c>
      <c r="AC98" s="1">
        <v>0.5</v>
      </c>
      <c r="AD98" s="1">
        <v>0.17034983811163731</v>
      </c>
      <c r="AH98" s="1">
        <v>280.0</v>
      </c>
      <c r="AI98" s="1">
        <v>760.0</v>
      </c>
      <c r="AJ98" s="1">
        <v>3.0</v>
      </c>
      <c r="AK98" s="1">
        <v>892.0</v>
      </c>
      <c r="AL98" s="1">
        <v>6.0</v>
      </c>
      <c r="AM98" s="1" t="s">
        <v>2538</v>
      </c>
      <c r="AN98" s="1">
        <v>1.0</v>
      </c>
      <c r="AO98" s="1">
        <v>0.0</v>
      </c>
      <c r="AP98" s="1"/>
      <c r="AQ98" s="1"/>
      <c r="AR98" s="1"/>
      <c r="AS98" s="1"/>
      <c r="AT98" s="1"/>
      <c r="AU98" s="1"/>
      <c r="AV98" s="1"/>
    </row>
    <row r="99" ht="15.75" customHeight="1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 ht="15.75" customHeight="1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 ht="15.75" customHeight="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 ht="15.75" customHeight="1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 ht="15.75" customHeight="1">
      <c r="A103" s="2">
        <v>45521.0</v>
      </c>
      <c r="B103" s="1" t="s">
        <v>2512</v>
      </c>
      <c r="P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AB103" s="1">
        <v>0.0</v>
      </c>
      <c r="AC103" s="1">
        <v>0.0</v>
      </c>
      <c r="AD103" s="1" t="s">
        <v>60</v>
      </c>
      <c r="AI103" s="1">
        <v>0.0</v>
      </c>
      <c r="AJ103" s="1">
        <v>0.0</v>
      </c>
      <c r="AK103" s="1">
        <v>0.0</v>
      </c>
      <c r="AL103" s="1">
        <v>0.0</v>
      </c>
      <c r="AM103" s="1" t="e">
        <v>#DIV/0!</v>
      </c>
      <c r="AN103" s="1">
        <v>0.0</v>
      </c>
      <c r="AO103" s="1">
        <v>0.0</v>
      </c>
      <c r="AP103" s="1"/>
      <c r="AQ103" s="1"/>
      <c r="AR103" s="1"/>
      <c r="AS103" s="1"/>
      <c r="AT103" s="1"/>
      <c r="AU103" s="1"/>
      <c r="AV103" s="1"/>
    </row>
    <row r="104" ht="15.75" customHeight="1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 ht="15.75" customHeight="1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 ht="15.75" customHeight="1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 ht="15.75" customHeight="1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 ht="15.75" customHeight="1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1">
        <v>18.0</v>
      </c>
      <c r="N108" s="1" t="b">
        <v>1</v>
      </c>
      <c r="O108" s="1">
        <v>720.0</v>
      </c>
    </row>
    <row r="109" ht="15.75" customHeight="1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1">
        <v>2.0</v>
      </c>
    </row>
    <row r="110" ht="15.75" customHeight="1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 ht="15.75" customHeight="1">
      <c r="A111" s="2">
        <v>45522.0</v>
      </c>
      <c r="B111" s="1" t="s">
        <v>67</v>
      </c>
      <c r="P111" s="1">
        <v>7.0</v>
      </c>
      <c r="S111" s="1">
        <v>7993.0</v>
      </c>
      <c r="T111" s="1">
        <v>3681.0</v>
      </c>
      <c r="U111" s="1">
        <v>23414.0</v>
      </c>
      <c r="V111" s="1">
        <v>11825.0</v>
      </c>
      <c r="W111" s="1">
        <v>762.0</v>
      </c>
      <c r="X111" s="1">
        <v>3120.0</v>
      </c>
      <c r="Y111" s="1">
        <v>5012.0</v>
      </c>
      <c r="Z111" s="1">
        <v>420.0</v>
      </c>
      <c r="AA111" s="1">
        <v>3950.0</v>
      </c>
      <c r="AB111" s="1">
        <v>59268.0</v>
      </c>
      <c r="AC111" s="1">
        <v>9.0</v>
      </c>
      <c r="AD111" s="1">
        <v>0.26451181402356055</v>
      </c>
      <c r="AE111" s="1">
        <v>500.0</v>
      </c>
      <c r="AH111" s="1">
        <v>1000.0</v>
      </c>
      <c r="AI111" s="1">
        <v>720.0</v>
      </c>
      <c r="AJ111" s="1">
        <v>1.0</v>
      </c>
      <c r="AK111" s="1">
        <v>503.0</v>
      </c>
      <c r="AL111" s="1">
        <v>10.0</v>
      </c>
      <c r="AM111" s="1" t="s">
        <v>2541</v>
      </c>
      <c r="AN111" s="1">
        <v>1.0</v>
      </c>
      <c r="AO111" s="1">
        <v>2.0</v>
      </c>
      <c r="AP111" s="1"/>
      <c r="AQ111" s="1"/>
      <c r="AR111" s="1"/>
      <c r="AS111" s="1"/>
      <c r="AT111" s="1"/>
      <c r="AU111" s="1"/>
      <c r="AV111" s="1"/>
    </row>
    <row r="112" ht="15.75" customHeight="1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 ht="15.75" customHeight="1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 ht="15.75" customHeight="1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 ht="15.75" customHeight="1">
      <c r="A115" s="2">
        <v>45523.0</v>
      </c>
      <c r="B115" s="1" t="s">
        <v>69</v>
      </c>
      <c r="P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AB115" s="1">
        <v>0.0</v>
      </c>
      <c r="AC115" s="1">
        <v>0.0</v>
      </c>
      <c r="AD115" s="1" t="s">
        <v>60</v>
      </c>
      <c r="AI115" s="1">
        <v>0.0</v>
      </c>
      <c r="AJ115" s="1">
        <v>0.0</v>
      </c>
      <c r="AK115" s="1">
        <v>0.0</v>
      </c>
      <c r="AL115" s="1">
        <v>0.0</v>
      </c>
      <c r="AM115" s="1" t="e">
        <v>#DIV/0!</v>
      </c>
      <c r="AN115" s="1">
        <v>0.0</v>
      </c>
      <c r="AO115" s="1">
        <v>0.0</v>
      </c>
      <c r="AP115" s="1"/>
      <c r="AQ115" s="1"/>
      <c r="AR115" s="1"/>
      <c r="AS115" s="1"/>
      <c r="AT115" s="1"/>
      <c r="AU115" s="1"/>
      <c r="AV115" s="1"/>
    </row>
    <row r="116" ht="15.75" customHeight="1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 ht="15.75" customHeight="1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 ht="15.75" customHeight="1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1">
        <v>5.0</v>
      </c>
      <c r="N118" s="1" t="b">
        <v>1</v>
      </c>
      <c r="O118" s="1">
        <v>200.0</v>
      </c>
    </row>
    <row r="119" ht="15.75" customHeight="1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1">
        <v>15.0</v>
      </c>
    </row>
    <row r="120" ht="15.75" customHeight="1">
      <c r="A120" s="2">
        <v>45524.0</v>
      </c>
      <c r="B120" s="1" t="s">
        <v>61</v>
      </c>
      <c r="P120" s="1">
        <v>0.0</v>
      </c>
      <c r="S120" s="1">
        <v>8173.0</v>
      </c>
      <c r="T120" s="1">
        <v>4462.0</v>
      </c>
      <c r="U120" s="1">
        <v>14505.0</v>
      </c>
      <c r="V120" s="1">
        <v>7805.0</v>
      </c>
      <c r="W120" s="1">
        <v>0.0</v>
      </c>
      <c r="X120" s="1">
        <v>334.0</v>
      </c>
      <c r="Y120" s="1">
        <v>5906.0</v>
      </c>
      <c r="AB120" s="1">
        <v>44087.0</v>
      </c>
      <c r="AC120" s="1">
        <v>884.0</v>
      </c>
      <c r="AD120" s="1">
        <v>0.2056506261153716</v>
      </c>
      <c r="AE120" s="1">
        <v>500.0</v>
      </c>
      <c r="AH120" s="1">
        <v>3420.0</v>
      </c>
      <c r="AI120" s="1">
        <v>200.0</v>
      </c>
      <c r="AJ120" s="1">
        <v>0.0</v>
      </c>
      <c r="AK120" s="1">
        <v>0.0</v>
      </c>
      <c r="AL120" s="1">
        <v>6.0</v>
      </c>
      <c r="AM120" s="1" t="s">
        <v>2542</v>
      </c>
      <c r="AN120" s="1">
        <v>1.0</v>
      </c>
      <c r="AO120" s="1">
        <v>0.0</v>
      </c>
      <c r="AP120" s="1"/>
      <c r="AQ120" s="1"/>
      <c r="AR120" s="1"/>
      <c r="AS120" s="1"/>
      <c r="AT120" s="1"/>
      <c r="AU120" s="1"/>
      <c r="AV120" s="1"/>
    </row>
    <row r="121" ht="15.75" customHeight="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 ht="15.75" customHeight="1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 ht="15.75" customHeight="1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 ht="15.75" customHeight="1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1">
        <v>6.0</v>
      </c>
      <c r="N124" s="1" t="b">
        <v>1</v>
      </c>
      <c r="O124" s="1">
        <v>240.0</v>
      </c>
    </row>
    <row r="125" ht="15.75" customHeight="1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1">
        <v>12.0</v>
      </c>
      <c r="N125" s="1" t="b">
        <v>1</v>
      </c>
      <c r="O125" s="1">
        <v>480.0</v>
      </c>
    </row>
    <row r="126" ht="15.75" customHeight="1">
      <c r="A126" s="2">
        <v>45525.0</v>
      </c>
      <c r="B126" s="1" t="s">
        <v>73</v>
      </c>
      <c r="P126" s="1">
        <v>1.0</v>
      </c>
      <c r="S126" s="1">
        <v>12445.0</v>
      </c>
      <c r="T126" s="1">
        <v>6419.0</v>
      </c>
      <c r="U126" s="1">
        <v>17874.0</v>
      </c>
      <c r="V126" s="1">
        <v>8862.0</v>
      </c>
      <c r="W126" s="1">
        <v>378.0</v>
      </c>
      <c r="X126" s="1">
        <v>927.0</v>
      </c>
      <c r="Y126" s="1">
        <v>4116.0</v>
      </c>
      <c r="AA126" s="1">
        <v>2866.0</v>
      </c>
      <c r="AB126" s="1">
        <v>54561.0</v>
      </c>
      <c r="AC126" s="1">
        <v>-881.0</v>
      </c>
      <c r="AD126" s="1">
        <v>0.24313979204098873</v>
      </c>
      <c r="AI126" s="1">
        <v>720.0</v>
      </c>
      <c r="AJ126" s="1">
        <v>0.0</v>
      </c>
      <c r="AK126" s="1">
        <v>0.0</v>
      </c>
      <c r="AL126" s="1">
        <v>6.0</v>
      </c>
      <c r="AM126" s="1" t="s">
        <v>2543</v>
      </c>
      <c r="AN126" s="1">
        <v>2.0</v>
      </c>
      <c r="AO126" s="1">
        <v>1.0</v>
      </c>
      <c r="AP126" s="1"/>
      <c r="AQ126" s="1"/>
      <c r="AR126" s="1"/>
      <c r="AS126" s="1"/>
      <c r="AT126" s="1"/>
      <c r="AU126" s="1"/>
      <c r="AV126" s="1"/>
    </row>
    <row r="127" ht="15.75" customHeight="1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 ht="15.75" customHeight="1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 ht="15.75" customHeight="1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 ht="15.75" customHeight="1">
      <c r="A130" s="2">
        <v>45526.0</v>
      </c>
      <c r="B130" s="1" t="s">
        <v>2506</v>
      </c>
      <c r="P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AB130" s="1">
        <v>0.0</v>
      </c>
      <c r="AC130" s="1">
        <v>0.0</v>
      </c>
      <c r="AD130" s="1" t="s">
        <v>60</v>
      </c>
      <c r="AI130" s="1">
        <v>0.0</v>
      </c>
      <c r="AJ130" s="1">
        <v>0.0</v>
      </c>
      <c r="AK130" s="1">
        <v>0.0</v>
      </c>
      <c r="AL130" s="1">
        <v>0.0</v>
      </c>
      <c r="AM130" s="1" t="e">
        <v>#DIV/0!</v>
      </c>
      <c r="AN130" s="1">
        <v>0.0</v>
      </c>
      <c r="AO130" s="1">
        <v>0.0</v>
      </c>
      <c r="AP130" s="1"/>
      <c r="AQ130" s="1"/>
      <c r="AR130" s="1"/>
      <c r="AS130" s="1"/>
      <c r="AT130" s="1"/>
      <c r="AU130" s="1"/>
      <c r="AV130" s="1"/>
    </row>
    <row r="131" ht="15.75" customHeight="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 ht="15.75" customHeight="1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 ht="15.75" customHeight="1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 ht="15.75" customHeight="1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 ht="15.75" customHeight="1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 ht="15.75" customHeight="1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1">
        <v>14.0</v>
      </c>
      <c r="N136" s="1" t="b">
        <v>1</v>
      </c>
      <c r="O136" s="1">
        <v>560.0</v>
      </c>
    </row>
    <row r="137" ht="15.75" customHeight="1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1">
        <v>9.0</v>
      </c>
      <c r="N137" s="1" t="b">
        <v>1</v>
      </c>
      <c r="O137" s="1">
        <v>360.0</v>
      </c>
    </row>
    <row r="138" ht="15.75" customHeight="1">
      <c r="A138" s="2">
        <v>45527.0</v>
      </c>
      <c r="B138" s="1" t="s">
        <v>39</v>
      </c>
      <c r="P138" s="1">
        <v>3.0</v>
      </c>
      <c r="S138" s="1">
        <v>14827.0</v>
      </c>
      <c r="T138" s="1">
        <v>8871.0</v>
      </c>
      <c r="U138" s="1">
        <v>17676.0</v>
      </c>
      <c r="V138" s="1">
        <v>13372.0</v>
      </c>
      <c r="W138" s="1">
        <v>0.0</v>
      </c>
      <c r="X138" s="1">
        <v>2280.0</v>
      </c>
      <c r="Y138" s="1">
        <v>4293.0</v>
      </c>
      <c r="AA138" s="1">
        <v>3740.0</v>
      </c>
      <c r="AB138" s="1">
        <v>66694.0</v>
      </c>
      <c r="AC138" s="1">
        <v>205.0</v>
      </c>
      <c r="AD138" s="1">
        <v>0.23306718015936043</v>
      </c>
      <c r="AG138" s="1">
        <v>200.0</v>
      </c>
      <c r="AH138" s="1">
        <v>3000.0</v>
      </c>
      <c r="AI138" s="1">
        <v>920.0</v>
      </c>
      <c r="AJ138" s="1">
        <v>1.0</v>
      </c>
      <c r="AK138" s="1">
        <v>149.0</v>
      </c>
      <c r="AL138" s="1">
        <v>1.0</v>
      </c>
      <c r="AM138" s="1" t="s">
        <v>2528</v>
      </c>
      <c r="AN138" s="1">
        <v>2.0</v>
      </c>
      <c r="AO138" s="1">
        <v>0.0</v>
      </c>
      <c r="AP138" s="1"/>
      <c r="AQ138" s="1"/>
      <c r="AR138" s="1"/>
      <c r="AS138" s="1"/>
      <c r="AT138" s="1"/>
      <c r="AU138" s="1"/>
      <c r="AV138" s="1"/>
    </row>
    <row r="139" ht="15.75" customHeight="1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 ht="15.75" customHeight="1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 ht="15.75" customHeight="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 ht="15.75" customHeight="1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 ht="15.75" customHeight="1">
      <c r="A143" s="2">
        <v>45528.0</v>
      </c>
      <c r="B143" s="1" t="s">
        <v>2512</v>
      </c>
      <c r="P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AB143" s="1">
        <v>0.0</v>
      </c>
      <c r="AC143" s="1">
        <v>0.0</v>
      </c>
      <c r="AD143" s="1" t="s">
        <v>60</v>
      </c>
      <c r="AI143" s="1">
        <v>0.0</v>
      </c>
      <c r="AJ143" s="1">
        <v>0.0</v>
      </c>
      <c r="AK143" s="1">
        <v>0.0</v>
      </c>
      <c r="AL143" s="1">
        <v>0.0</v>
      </c>
      <c r="AM143" s="1" t="e">
        <v>#DIV/0!</v>
      </c>
      <c r="AN143" s="1">
        <v>0.0</v>
      </c>
      <c r="AO143" s="1">
        <v>0.0</v>
      </c>
      <c r="AP143" s="1"/>
      <c r="AQ143" s="1"/>
      <c r="AR143" s="1"/>
      <c r="AS143" s="1"/>
      <c r="AT143" s="1"/>
      <c r="AU143" s="1"/>
      <c r="AV143" s="1"/>
    </row>
    <row r="144" ht="15.75" customHeight="1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 ht="15.75" customHeight="1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 ht="15.75" customHeight="1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 ht="15.75" customHeight="1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 ht="15.75" customHeight="1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1">
        <v>16.0</v>
      </c>
      <c r="N148" s="1" t="b">
        <v>1</v>
      </c>
      <c r="O148" s="1">
        <v>640.0</v>
      </c>
    </row>
    <row r="149" ht="15.75" customHeight="1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1">
        <v>6.0</v>
      </c>
      <c r="N149" s="1" t="b">
        <v>1</v>
      </c>
      <c r="O149" s="1">
        <v>240.0</v>
      </c>
    </row>
    <row r="150" ht="15.75" customHeight="1">
      <c r="A150" s="2">
        <v>45528.0</v>
      </c>
      <c r="B150" s="1" t="s">
        <v>2512</v>
      </c>
      <c r="P150" s="1">
        <v>3.0</v>
      </c>
      <c r="S150" s="1">
        <v>9822.0</v>
      </c>
      <c r="T150" s="1">
        <v>7228.0</v>
      </c>
      <c r="U150" s="1">
        <v>20958.0</v>
      </c>
      <c r="V150" s="1">
        <v>11556.0</v>
      </c>
      <c r="W150" s="1">
        <v>533.0</v>
      </c>
      <c r="X150" s="1">
        <v>1917.0</v>
      </c>
      <c r="Y150" s="1">
        <v>1979.0</v>
      </c>
      <c r="AA150" s="1">
        <v>4552.0</v>
      </c>
      <c r="AB150" s="1">
        <v>57683.0</v>
      </c>
      <c r="AC150" s="1">
        <v>30.0</v>
      </c>
      <c r="AD150" s="1">
        <v>0.24774129697741773</v>
      </c>
      <c r="AH150" s="1">
        <v>205.0</v>
      </c>
      <c r="AI150" s="1">
        <v>880.0</v>
      </c>
      <c r="AJ150" s="1">
        <v>0.0</v>
      </c>
      <c r="AK150" s="1">
        <v>0.0</v>
      </c>
      <c r="AL150" s="1">
        <v>4.0</v>
      </c>
      <c r="AM150" s="1" t="s">
        <v>2547</v>
      </c>
      <c r="AN150" s="1">
        <v>2.0</v>
      </c>
      <c r="AO150" s="1">
        <v>3.0</v>
      </c>
      <c r="AP150" s="1"/>
      <c r="AQ150" s="1"/>
      <c r="AR150" s="1"/>
      <c r="AS150" s="1"/>
      <c r="AT150" s="1"/>
      <c r="AU150" s="1"/>
      <c r="AV150" s="1"/>
    </row>
    <row r="151" ht="15.75" customHeight="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 ht="15.75" customHeight="1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1">
        <v>5.0</v>
      </c>
      <c r="N152" s="1" t="b">
        <v>1</v>
      </c>
      <c r="O152" s="1">
        <v>200.0</v>
      </c>
    </row>
    <row r="153" ht="15.75" customHeight="1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1">
        <v>7.0</v>
      </c>
      <c r="N153" s="1" t="b">
        <v>1</v>
      </c>
      <c r="O153" s="1">
        <v>280.0</v>
      </c>
    </row>
    <row r="154" ht="15.75" customHeight="1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 ht="15.75" customHeight="1">
      <c r="A155" s="2">
        <v>45530.0</v>
      </c>
      <c r="B155" s="1" t="s">
        <v>69</v>
      </c>
      <c r="P155" s="1">
        <v>7.0</v>
      </c>
      <c r="S155" s="1">
        <v>8045.0</v>
      </c>
      <c r="T155" s="1">
        <v>5323.0</v>
      </c>
      <c r="U155" s="1">
        <v>11309.0</v>
      </c>
      <c r="V155" s="1">
        <v>8347.0</v>
      </c>
      <c r="W155" s="1">
        <v>1773.0</v>
      </c>
      <c r="X155" s="1">
        <v>1130.0</v>
      </c>
      <c r="Y155" s="1">
        <v>3115.0</v>
      </c>
      <c r="AA155" s="1">
        <v>4480.0</v>
      </c>
      <c r="AB155" s="1">
        <v>42906.0</v>
      </c>
      <c r="AC155" s="1">
        <v>6.0</v>
      </c>
      <c r="AD155" s="1">
        <v>0.38774956494542456</v>
      </c>
      <c r="AH155" s="1">
        <v>40.0</v>
      </c>
      <c r="AI155" s="1">
        <v>480.0</v>
      </c>
      <c r="AJ155" s="1">
        <v>0.0</v>
      </c>
      <c r="AK155" s="1">
        <v>0.0</v>
      </c>
      <c r="AL155" s="1">
        <v>3.0</v>
      </c>
      <c r="AM155" s="1" t="s">
        <v>2548</v>
      </c>
      <c r="AN155" s="1">
        <v>2.0</v>
      </c>
      <c r="AO155" s="1">
        <v>106.0</v>
      </c>
      <c r="AP155" s="1">
        <v>19.0</v>
      </c>
      <c r="AQ155" s="1">
        <v>6.0</v>
      </c>
      <c r="AR155" s="1">
        <v>2.0</v>
      </c>
      <c r="AS155" s="1">
        <v>0.15789473684210525</v>
      </c>
      <c r="AT155" s="1">
        <v>2.0</v>
      </c>
      <c r="AU155" s="1">
        <v>0.8421052631578947</v>
      </c>
      <c r="AV155" s="1">
        <v>0.10526315789473684</v>
      </c>
    </row>
    <row r="156" ht="15.75" customHeight="1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 ht="15.75" customHeight="1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 ht="15.75" customHeight="1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 ht="15.75" customHeight="1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1">
        <v>3.0</v>
      </c>
      <c r="N159" s="1" t="b">
        <v>1</v>
      </c>
      <c r="O159" s="1">
        <v>120.0</v>
      </c>
    </row>
    <row r="160" ht="15.75" customHeight="1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1">
        <v>6.0</v>
      </c>
      <c r="N160" s="1" t="b">
        <v>1</v>
      </c>
      <c r="O160" s="1">
        <v>240.0</v>
      </c>
    </row>
    <row r="161" ht="15.75" customHeight="1">
      <c r="A161" s="2">
        <v>45531.0</v>
      </c>
      <c r="B161" s="1" t="s">
        <v>61</v>
      </c>
      <c r="P161" s="1">
        <v>0.0</v>
      </c>
      <c r="S161" s="1">
        <v>10683.0</v>
      </c>
      <c r="T161" s="1">
        <v>2749.0</v>
      </c>
      <c r="U161" s="1">
        <v>16912.0</v>
      </c>
      <c r="V161" s="1">
        <v>5326.0</v>
      </c>
      <c r="W161" s="1">
        <v>0.0</v>
      </c>
      <c r="X161" s="1">
        <v>2907.0</v>
      </c>
      <c r="Y161" s="1">
        <v>5242.0</v>
      </c>
      <c r="AA161" s="1">
        <v>2630.0</v>
      </c>
      <c r="AB161" s="1">
        <v>45087.0</v>
      </c>
      <c r="AC161" s="1">
        <v>0.0</v>
      </c>
      <c r="AD161" s="1">
        <v>0.2769475643433448</v>
      </c>
      <c r="AG161" s="1">
        <v>945.0</v>
      </c>
      <c r="AH161" s="1">
        <v>240.0</v>
      </c>
      <c r="AI161" s="1">
        <v>360.0</v>
      </c>
      <c r="AJ161" s="1">
        <v>0.0</v>
      </c>
      <c r="AK161" s="1">
        <v>0.0</v>
      </c>
      <c r="AL161" s="1">
        <v>0.0</v>
      </c>
      <c r="AM161" s="1" t="s">
        <v>2549</v>
      </c>
      <c r="AN161" s="1">
        <v>2.0</v>
      </c>
      <c r="AO161" s="1">
        <v>100.0</v>
      </c>
      <c r="AP161" s="1">
        <v>9.0</v>
      </c>
      <c r="AQ161" s="1">
        <v>0.0</v>
      </c>
      <c r="AR161" s="1">
        <v>0.0</v>
      </c>
      <c r="AS161" s="1">
        <v>0.0</v>
      </c>
      <c r="AT161" s="1">
        <v>0.0</v>
      </c>
      <c r="AU161" s="1">
        <v>1.0</v>
      </c>
      <c r="AV161" s="1">
        <v>0.0</v>
      </c>
    </row>
    <row r="162" ht="15.75" customHeight="1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 ht="15.75" customHeight="1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 ht="15.75" customHeight="1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 ht="15.75" customHeight="1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1">
        <v>6.0</v>
      </c>
      <c r="N165" s="1" t="b">
        <v>1</v>
      </c>
      <c r="O165" s="1">
        <v>240.0</v>
      </c>
    </row>
    <row r="166" ht="15.75" customHeight="1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1">
        <v>8.0</v>
      </c>
      <c r="N166" s="1" t="b">
        <v>1</v>
      </c>
      <c r="O166" s="1">
        <v>320.0</v>
      </c>
    </row>
    <row r="167" ht="15.75" customHeight="1">
      <c r="A167" s="2">
        <v>45532.0</v>
      </c>
      <c r="B167" s="1" t="s">
        <v>73</v>
      </c>
      <c r="P167" s="1">
        <v>6.0</v>
      </c>
      <c r="S167" s="1">
        <v>14975.0</v>
      </c>
      <c r="T167" s="1">
        <v>3554.0</v>
      </c>
      <c r="U167" s="1">
        <v>15901.0</v>
      </c>
      <c r="V167" s="1">
        <v>9498.0</v>
      </c>
      <c r="W167" s="1">
        <v>926.0</v>
      </c>
      <c r="X167" s="1">
        <v>2107.0</v>
      </c>
      <c r="Y167" s="1">
        <v>1577.0</v>
      </c>
      <c r="AA167" s="1">
        <v>3565.0</v>
      </c>
      <c r="AB167" s="1">
        <v>51215.0</v>
      </c>
      <c r="AC167" s="1">
        <v>0.0</v>
      </c>
      <c r="AD167" s="1">
        <v>0.2288284188918947</v>
      </c>
      <c r="AH167" s="1">
        <v>659.0</v>
      </c>
      <c r="AI167" s="1">
        <v>560.0</v>
      </c>
      <c r="AJ167" s="1">
        <v>0.0</v>
      </c>
      <c r="AK167" s="1">
        <v>0.0</v>
      </c>
      <c r="AL167" s="1">
        <v>0.0</v>
      </c>
      <c r="AM167" s="1" t="s">
        <v>2550</v>
      </c>
      <c r="AN167" s="1">
        <v>2.0</v>
      </c>
      <c r="AO167" s="1">
        <v>123.0</v>
      </c>
      <c r="AP167" s="1">
        <v>20.0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 ht="15.75" customHeight="1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 ht="15.75" customHeight="1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 ht="15.75" customHeight="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1">
        <v>11.0</v>
      </c>
      <c r="N171" s="1" t="b">
        <v>1</v>
      </c>
      <c r="O171" s="1">
        <v>440.0</v>
      </c>
    </row>
    <row r="172" ht="15.75" customHeight="1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1">
        <v>5.0</v>
      </c>
      <c r="N172" s="1" t="b">
        <v>1</v>
      </c>
      <c r="O172" s="1">
        <v>200.0</v>
      </c>
    </row>
    <row r="173" ht="15.75" customHeight="1">
      <c r="A173" s="2">
        <v>45533.0</v>
      </c>
      <c r="B173" s="1" t="s">
        <v>2506</v>
      </c>
      <c r="P173" s="1">
        <v>5.0</v>
      </c>
      <c r="S173" s="1">
        <v>10663.0</v>
      </c>
      <c r="T173" s="1">
        <v>2624.0</v>
      </c>
      <c r="U173" s="1">
        <v>15405.0</v>
      </c>
      <c r="V173" s="1">
        <v>9507.0</v>
      </c>
      <c r="W173" s="1">
        <v>3395.0</v>
      </c>
      <c r="X173" s="1">
        <v>2887.0</v>
      </c>
      <c r="Y173" s="1">
        <v>5682.0</v>
      </c>
      <c r="AA173" s="1">
        <v>6070.0</v>
      </c>
      <c r="AB173" s="1">
        <v>53984.0</v>
      </c>
      <c r="AC173" s="1">
        <v>2.0</v>
      </c>
      <c r="AD173" s="1">
        <v>0.27669374247088735</v>
      </c>
      <c r="AI173" s="1">
        <v>640.0</v>
      </c>
      <c r="AJ173" s="1">
        <v>0.0</v>
      </c>
      <c r="AK173" s="1">
        <v>0.0</v>
      </c>
      <c r="AL173" s="1">
        <v>5.0</v>
      </c>
      <c r="AM173" s="1" t="s">
        <v>2553</v>
      </c>
      <c r="AN173" s="1">
        <v>2.0</v>
      </c>
      <c r="AO173" s="1">
        <v>114.0</v>
      </c>
      <c r="AP173" s="1">
        <v>21.0</v>
      </c>
      <c r="AQ173" s="1">
        <v>4.0</v>
      </c>
      <c r="AR173" s="1">
        <v>4.0</v>
      </c>
      <c r="AS173" s="1">
        <v>0.23809523809523808</v>
      </c>
      <c r="AT173" s="1">
        <v>4.0</v>
      </c>
      <c r="AU173" s="1">
        <v>0.7619047619047619</v>
      </c>
      <c r="AV173" s="1">
        <v>0.19047619047619047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6.0"/>
  </cols>
  <sheetData>
    <row r="1" ht="15.75" customHeight="1">
      <c r="A1" s="6"/>
      <c r="B1" s="7" t="s">
        <v>2554</v>
      </c>
      <c r="C1" s="8" t="s">
        <v>0</v>
      </c>
      <c r="D1" s="9">
        <v>46100.0</v>
      </c>
      <c r="E1" s="10"/>
      <c r="F1" s="11" t="s">
        <v>28</v>
      </c>
      <c r="G1" s="12"/>
      <c r="H1" s="13"/>
      <c r="I1" s="11" t="s">
        <v>26</v>
      </c>
      <c r="J1" s="12"/>
      <c r="K1" s="13"/>
      <c r="L1" s="14" t="s">
        <v>2555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2556</v>
      </c>
      <c r="M2" s="23">
        <f>SUMIFS(RestiaCSV!C:C, RestiaCSV!A:A, Report!L2, RestiaCSV!B:B, "&lt;&gt;canceled")</f>
        <v>0</v>
      </c>
    </row>
    <row r="3" ht="15.75" customHeight="1">
      <c r="A3" s="6"/>
      <c r="B3" s="24" t="str">
        <f>CHOOSE(WEEKDAY(D1), "Neděle", "Pondělí", "Úterý", "Středa", "Čtvrtek", "Pátek", "Sobota")</f>
        <v>Čtvrtek</v>
      </c>
      <c r="C3" s="25"/>
      <c r="D3" s="25"/>
      <c r="E3" s="10"/>
      <c r="H3" s="20"/>
      <c r="K3" s="20"/>
      <c r="L3" s="22" t="s">
        <v>2557</v>
      </c>
      <c r="M3" s="23">
        <f>SUMIFS(RestiaCSV!C:C, RestiaCSV!A:A, Report!L3, RestiaCSV!B:B, "&lt;&gt;canceled")</f>
        <v>0</v>
      </c>
    </row>
    <row r="4" ht="15.75" customHeight="1">
      <c r="A4" s="6"/>
      <c r="B4" s="17"/>
      <c r="C4" s="26"/>
      <c r="D4" s="26"/>
      <c r="E4" s="18"/>
      <c r="F4" s="26"/>
      <c r="G4" s="26"/>
      <c r="H4" s="18"/>
      <c r="I4" s="26"/>
      <c r="J4" s="26"/>
      <c r="K4" s="18"/>
      <c r="L4" s="22" t="s">
        <v>2558</v>
      </c>
      <c r="M4" s="23">
        <f>SUMIFS(RestiaCSV!C:C, RestiaCSV!A:A, "damejidlo", RestiaCSV!G:G, "online", RestiaCSV!B:B, "&lt;&gt;canceled")</f>
        <v>0</v>
      </c>
    </row>
    <row r="5" ht="15.75" customHeight="1">
      <c r="A5" s="6"/>
      <c r="B5" s="27" t="s">
        <v>2559</v>
      </c>
      <c r="C5" s="25"/>
      <c r="D5" s="25"/>
      <c r="E5" s="25"/>
      <c r="F5" s="25"/>
      <c r="G5" s="25"/>
      <c r="H5" s="25"/>
      <c r="I5" s="25"/>
      <c r="J5" s="25"/>
      <c r="K5" s="10"/>
      <c r="L5" s="28" t="s">
        <v>2560</v>
      </c>
      <c r="M5" s="23">
        <f>SUMIFS(RestiaCSV!C:C, RestiaCSV!A:A, "generic", RestiaCSV!G:G, "online", RestiaCSV!B:B, "&lt;&gt;canceled") </f>
        <v>0</v>
      </c>
    </row>
    <row r="6" ht="15.75" customHeight="1">
      <c r="A6" s="6"/>
      <c r="B6" s="17"/>
      <c r="C6" s="26"/>
      <c r="D6" s="26"/>
      <c r="E6" s="26"/>
      <c r="F6" s="26"/>
      <c r="G6" s="26"/>
      <c r="H6" s="26"/>
      <c r="I6" s="26"/>
      <c r="J6" s="26"/>
      <c r="K6" s="18"/>
      <c r="L6" s="28" t="s">
        <v>2561</v>
      </c>
      <c r="M6" s="23">
        <f>SUMIFS(RestiaCSV!C:C, RestiaCSV!E:E, "wolt kurýr", RestiaCSV!A:A, "&lt;&gt;wolt", RestiaCSV!G:G, "cash", RestiaCSV!B:B, "&lt;&gt;canceled")</f>
        <v>0</v>
      </c>
    </row>
    <row r="7" ht="15.75" customHeight="1">
      <c r="A7" s="6"/>
      <c r="B7" s="29"/>
      <c r="C7" s="25"/>
      <c r="D7" s="25"/>
      <c r="E7" s="10"/>
      <c r="F7" s="30"/>
      <c r="J7" s="31"/>
      <c r="K7" s="10"/>
      <c r="L7" s="32" t="s">
        <v>2562</v>
      </c>
      <c r="M7" s="33">
        <f>SUMIFS(RestiaCSV!C:C, RestiaCSV!A:A, "damejidlo", RestiaCSV!G:G, "cash", RestiaCSV!B:B, "&lt;&gt;canceled") </f>
        <v>0</v>
      </c>
    </row>
    <row r="8" ht="15.75" customHeight="1">
      <c r="A8" s="6"/>
      <c r="B8" s="34"/>
      <c r="E8" s="20"/>
      <c r="J8" s="34"/>
      <c r="K8" s="20"/>
      <c r="L8" s="35" t="s">
        <v>25</v>
      </c>
      <c r="M8" s="10"/>
    </row>
    <row r="9" ht="15.75" customHeight="1">
      <c r="A9" s="6"/>
      <c r="B9" s="17"/>
      <c r="C9" s="26"/>
      <c r="D9" s="26"/>
      <c r="E9" s="18"/>
      <c r="F9" s="26"/>
      <c r="G9" s="26"/>
      <c r="H9" s="26"/>
      <c r="I9" s="26"/>
      <c r="J9" s="17"/>
      <c r="K9" s="18"/>
      <c r="L9" s="36" t="s">
        <v>23</v>
      </c>
      <c r="M9" s="37"/>
    </row>
    <row r="10" ht="15.75" customHeight="1">
      <c r="A10" s="6"/>
      <c r="B10" s="38" t="s">
        <v>2563</v>
      </c>
      <c r="C10" s="26"/>
      <c r="D10" s="26"/>
      <c r="E10" s="26"/>
      <c r="F10" s="18"/>
      <c r="G10" s="39" t="s">
        <v>15</v>
      </c>
      <c r="H10" s="26"/>
      <c r="I10" s="18"/>
      <c r="J10" s="38" t="s">
        <v>2564</v>
      </c>
      <c r="K10" s="18"/>
      <c r="L10" s="40" t="s">
        <v>24</v>
      </c>
      <c r="M10" s="41"/>
    </row>
    <row r="11" ht="15.75" customHeight="1">
      <c r="A11" s="6"/>
      <c r="B11" s="42" t="s">
        <v>2565</v>
      </c>
      <c r="C11" s="43" t="s">
        <v>2566</v>
      </c>
      <c r="D11" s="43" t="s">
        <v>2567</v>
      </c>
      <c r="E11" s="43" t="s">
        <v>2568</v>
      </c>
      <c r="F11" s="44" t="s">
        <v>2569</v>
      </c>
      <c r="G11" s="45"/>
      <c r="I11" s="20"/>
      <c r="J11" s="46">
        <f>M2+M3+M4+M5+M6+M13+M14+M15+M16+M17+M9+M10+M11-I2</f>
        <v>0</v>
      </c>
      <c r="K11" s="10"/>
      <c r="L11" s="47" t="s">
        <v>25</v>
      </c>
      <c r="M11" s="48"/>
    </row>
    <row r="12" ht="15.75" customHeight="1">
      <c r="A12" s="49">
        <f t="array" ref="A12">IF(ISBLANK(B12), 0, IF(ISNUMBER(MATCH(B12, HR!A:A, 0)), 0, IF(ISNUMBER(MATCH(B12, HR!B:B, 0)), INDEX(HR!V:V, MATCH(B12, HR!B:B, 0)) * (F12 * 24), 0)))</f>
        <v>0</v>
      </c>
      <c r="B12" s="50"/>
      <c r="C12" s="51"/>
      <c r="D12" s="51"/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0"/>
      <c r="J12" s="34"/>
      <c r="K12" s="20"/>
      <c r="L12" s="54" t="s">
        <v>2570</v>
      </c>
      <c r="M12" s="55"/>
    </row>
    <row r="13" ht="15.75" customHeight="1">
      <c r="A13" s="49">
        <f t="array" ref="A13">IF(ISBLANK(B13), 0, IF(ISNUMBER(MATCH(B13, HR!A:A, 0)), 0, IF(ISNUMBER(MATCH(B13, HR!B:B, 0)), INDEX(HR!V:V, MATCH(B13, HR!B:B, 0)) * (F13 * 24), 0)))</f>
        <v>0</v>
      </c>
      <c r="B13" s="50"/>
      <c r="C13" s="51"/>
      <c r="D13" s="51"/>
      <c r="E13" s="52"/>
      <c r="F13" s="53" t="str">
        <f t="shared" si="1"/>
        <v>0:00</v>
      </c>
      <c r="G13" s="26"/>
      <c r="H13" s="26"/>
      <c r="I13" s="18"/>
      <c r="J13" s="34"/>
      <c r="K13" s="20"/>
      <c r="L13" s="22" t="s">
        <v>29</v>
      </c>
      <c r="M13" s="56"/>
    </row>
    <row r="14" ht="15.75" customHeight="1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2"/>
      <c r="F14" s="53" t="str">
        <f t="shared" si="1"/>
        <v>0:00</v>
      </c>
      <c r="G14" s="57"/>
      <c r="I14" s="20"/>
      <c r="J14" s="34"/>
      <c r="K14" s="20"/>
      <c r="L14" s="58" t="s">
        <v>30</v>
      </c>
      <c r="M14" s="56"/>
    </row>
    <row r="15" ht="15.75" customHeight="1">
      <c r="A15" s="49">
        <f t="array" ref="A15">IF(ISBLANK(B15), 0, IF(ISNUMBER(MATCH(B15, HR!A:A, 0)), 0, IF(ISNUMBER(MATCH(B15, HR!B:B, 0)), INDEX(HR!V:V, MATCH(B15, HR!B:B, 0)) * (F15 * 24), 0)))</f>
        <v>0</v>
      </c>
      <c r="B15" s="50"/>
      <c r="C15" s="51"/>
      <c r="D15" s="51"/>
      <c r="E15" s="59"/>
      <c r="F15" s="53" t="str">
        <f t="shared" si="1"/>
        <v>0:00</v>
      </c>
      <c r="I15" s="20"/>
      <c r="J15" s="34"/>
      <c r="K15" s="20"/>
      <c r="L15" s="58" t="s">
        <v>31</v>
      </c>
      <c r="M15" s="56"/>
    </row>
    <row r="16" ht="15.75" customHeight="1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9"/>
      <c r="F16" s="53" t="str">
        <f t="shared" si="1"/>
        <v>0:00</v>
      </c>
      <c r="I16" s="20"/>
      <c r="J16" s="34"/>
      <c r="K16" s="20"/>
      <c r="L16" s="58" t="s">
        <v>32</v>
      </c>
      <c r="M16" s="56"/>
    </row>
    <row r="17" ht="15.75" customHeight="1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6"/>
      <c r="H17" s="26"/>
      <c r="I17" s="18"/>
      <c r="J17" s="17"/>
      <c r="K17" s="18"/>
      <c r="L17" s="60" t="s">
        <v>33</v>
      </c>
      <c r="M17" s="61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9"/>
      <c r="F18" s="53" t="str">
        <f t="shared" si="1"/>
        <v>0:00</v>
      </c>
      <c r="G18" s="39" t="s">
        <v>16</v>
      </c>
      <c r="H18" s="26"/>
      <c r="I18" s="18"/>
      <c r="J18" s="62"/>
      <c r="M18" s="63"/>
    </row>
    <row r="19" ht="15.75" customHeight="1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9"/>
      <c r="F19" s="53" t="str">
        <f t="shared" si="1"/>
        <v>0:00</v>
      </c>
      <c r="G19" s="45"/>
      <c r="I19" s="20"/>
      <c r="M19" s="63"/>
    </row>
    <row r="20" ht="15.75" customHeight="1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64"/>
      <c r="D20" s="64"/>
      <c r="E20" s="59"/>
      <c r="F20" s="53" t="str">
        <f t="shared" si="1"/>
        <v>0:00</v>
      </c>
      <c r="I20" s="20"/>
      <c r="M20" s="63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5"/>
      <c r="C21" s="66"/>
      <c r="D21" s="66"/>
      <c r="E21" s="67"/>
      <c r="F21" s="68" t="str">
        <f t="shared" si="1"/>
        <v>0:00</v>
      </c>
      <c r="G21" s="26"/>
      <c r="H21" s="26"/>
      <c r="I21" s="18"/>
      <c r="M21" s="63"/>
    </row>
    <row r="22" ht="15.75" customHeight="1">
      <c r="A22" s="69"/>
      <c r="B22" s="70"/>
      <c r="C22" s="26"/>
      <c r="D22" s="26"/>
      <c r="E22" s="26"/>
      <c r="F22" s="26"/>
      <c r="G22" s="26"/>
      <c r="H22" s="26"/>
      <c r="I22" s="18"/>
      <c r="J22" s="71" t="s">
        <v>34</v>
      </c>
      <c r="K22" s="71" t="s">
        <v>35</v>
      </c>
      <c r="L22" s="72" t="s">
        <v>2571</v>
      </c>
      <c r="M22" s="72" t="s">
        <v>37</v>
      </c>
    </row>
    <row r="23" ht="15.75" customHeight="1">
      <c r="A23" s="69"/>
      <c r="B23" s="73" t="s">
        <v>78</v>
      </c>
      <c r="I23" s="20"/>
      <c r="J23" s="74">
        <f>COUNTIF(RestiaCSV!B:B, "canceled")</f>
        <v>0</v>
      </c>
      <c r="K23" s="75">
        <f>SUMIF(RestiaCSV!B:B, "canceled", RestiaCSV!C:C)</f>
        <v>0</v>
      </c>
      <c r="L23" s="76">
        <f>COUNTIFS(RestiaCSV!L:L, "&gt;5", RestiaCSV!F:F, "delivery")</f>
        <v>0</v>
      </c>
      <c r="M23" s="74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9"/>
      <c r="B24" s="77" t="s">
        <v>2565</v>
      </c>
      <c r="C24" s="78" t="s">
        <v>2566</v>
      </c>
      <c r="D24" s="78" t="s">
        <v>2567</v>
      </c>
      <c r="E24" s="78" t="s">
        <v>2568</v>
      </c>
      <c r="F24" s="79" t="s">
        <v>2569</v>
      </c>
      <c r="G24" s="79" t="s">
        <v>2572</v>
      </c>
      <c r="H24" s="79" t="s">
        <v>2573</v>
      </c>
      <c r="I24" s="80" t="s">
        <v>13</v>
      </c>
      <c r="J24" s="81" t="s">
        <v>2574</v>
      </c>
      <c r="K24" s="82" t="s">
        <v>2498</v>
      </c>
      <c r="L24" s="81" t="s">
        <v>2499</v>
      </c>
      <c r="M24" s="82" t="s">
        <v>2500</v>
      </c>
    </row>
    <row r="25" ht="15.75" customHeight="1">
      <c r="A25" s="49">
        <f t="array" ref="A25">IF(ISBLANK(B25), 0, IF(ISNUMBER(MATCH(B25, HR!A:A, 0)), 0, IF(ISNUMBER(MATCH(B25, HR!B:B, 0)), INDEX(HR!V:V, MATCH(B25, HR!B:B, 0)) * (F25 * 24), 0)))</f>
        <v>0</v>
      </c>
      <c r="B25" s="50"/>
      <c r="C25" s="83"/>
      <c r="D25" s="83"/>
      <c r="E25" s="83"/>
      <c r="F25" s="53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4">
        <f>COUNTIF(RestiaCSV!E:E, B25)</f>
        <v>0</v>
      </c>
      <c r="H25" s="85" t="b">
        <v>1</v>
      </c>
      <c r="I25" s="86">
        <f t="shared" ref="I25:I31" si="3">IF(H25,G25*40, 0)</f>
        <v>0</v>
      </c>
      <c r="J25" s="87"/>
      <c r="K25" s="87"/>
      <c r="L25" s="87"/>
      <c r="M25" s="87"/>
    </row>
    <row r="26" ht="15.75" customHeight="1">
      <c r="A26" s="49">
        <f t="array" ref="A26">IF(ISBLANK(B26), 0, IF(ISNUMBER(MATCH(B26, HR!A:A, 0)), 0, IF(ISNUMBER(MATCH(B26, HR!B:B, 0)), INDEX(HR!V:V, MATCH(B26, HR!B:B, 0)) * (F26 * 24), 0)))</f>
        <v>0</v>
      </c>
      <c r="B26" s="50"/>
      <c r="C26" s="83"/>
      <c r="D26" s="83"/>
      <c r="E26" s="83"/>
      <c r="F26" s="53" t="str">
        <f t="shared" si="2"/>
        <v>0:00</v>
      </c>
      <c r="G26" s="84">
        <f>COUNTIF(RestiaCSV!E:E, B26)</f>
        <v>0</v>
      </c>
      <c r="H26" s="85" t="b">
        <v>1</v>
      </c>
      <c r="I26" s="88">
        <f t="shared" si="3"/>
        <v>0</v>
      </c>
      <c r="J26" s="89">
        <f>COUNTIF(I25:I31, "&gt;0")</f>
        <v>0</v>
      </c>
      <c r="K26" s="76">
        <f>IFERROR(__xludf.DUMMYFUNCTION("COUNTA(FILTER(RestiaCSV!B2:B32, RestiaCSV!B2:B32 &lt;&gt; ""canceled""))"),0.0)</f>
        <v>0</v>
      </c>
      <c r="L26" s="76">
        <f>COUNTIF(RestiaCSV!F1:F32, "delivery")</f>
        <v>0</v>
      </c>
      <c r="M26" s="90">
        <f>COUNTIFS(RestiaCSV!M:M, "&gt;5",RestiaCSV!A:A, "&lt;&gt;wolt")</f>
        <v>0</v>
      </c>
    </row>
    <row r="27" ht="15.75" customHeight="1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83"/>
      <c r="D27" s="83"/>
      <c r="E27" s="91"/>
      <c r="F27" s="53" t="str">
        <f t="shared" si="2"/>
        <v>0:00</v>
      </c>
      <c r="G27" s="84">
        <f>COUNTIF(RestiaCSV!E:E, B27)</f>
        <v>0</v>
      </c>
      <c r="H27" s="85" t="b">
        <v>1</v>
      </c>
      <c r="I27" s="88">
        <f t="shared" si="3"/>
        <v>0</v>
      </c>
      <c r="J27" s="92" t="s">
        <v>2575</v>
      </c>
      <c r="K27" s="93"/>
      <c r="L27" s="81" t="s">
        <v>2502</v>
      </c>
      <c r="M27" s="82" t="s">
        <v>2503</v>
      </c>
    </row>
    <row r="28" ht="15.7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83"/>
      <c r="D28" s="83"/>
      <c r="E28" s="91"/>
      <c r="F28" s="53" t="str">
        <f t="shared" si="2"/>
        <v>0:00</v>
      </c>
      <c r="G28" s="84">
        <f>COUNTIF(RestiaCSV!E:E, B28)</f>
        <v>0</v>
      </c>
      <c r="H28" s="85" t="b">
        <v>0</v>
      </c>
      <c r="I28" s="88">
        <f t="shared" si="3"/>
        <v>0</v>
      </c>
      <c r="J28" s="94"/>
      <c r="K28" s="95"/>
      <c r="L28" s="87"/>
      <c r="M28" s="87"/>
    </row>
    <row r="29" ht="15.75" customHeight="1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83"/>
      <c r="D29" s="83"/>
      <c r="E29" s="91"/>
      <c r="F29" s="53" t="str">
        <f t="shared" si="2"/>
        <v>0:00</v>
      </c>
      <c r="G29" s="84">
        <f>COUNTIF(RestiaCSV!E:E, B29)</f>
        <v>0</v>
      </c>
      <c r="H29" s="85" t="b">
        <v>0</v>
      </c>
      <c r="I29" s="88">
        <f t="shared" si="3"/>
        <v>0</v>
      </c>
      <c r="J29" s="96">
        <f>COUNTIFS(RestiaCSV!M:M, "&gt;5", RestiaCSV!L:L, "&gt;5")</f>
        <v>0</v>
      </c>
      <c r="K29" s="97"/>
      <c r="L29" s="98" t="str">
        <f>L23/L26</f>
        <v>#DIV/0!</v>
      </c>
      <c r="M29" s="76">
        <f>COUNTIFS(RestiaCSV!L:L, "&gt;5", RestiaCSV!F:F, "delivery", RestiaCSV!E:E, "Wolt Kurýr")</f>
        <v>0</v>
      </c>
    </row>
    <row r="30" ht="15.75" customHeight="1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91"/>
      <c r="D30" s="83"/>
      <c r="E30" s="91"/>
      <c r="F30" s="53" t="str">
        <f t="shared" si="2"/>
        <v>0:00</v>
      </c>
      <c r="G30" s="84">
        <f>COUNTIF(RestiaCSV!E:E, B30)</f>
        <v>0</v>
      </c>
      <c r="H30" s="85" t="b">
        <v>0</v>
      </c>
      <c r="I30" s="88">
        <f t="shared" si="3"/>
        <v>0</v>
      </c>
      <c r="J30" s="99"/>
      <c r="K30" s="99"/>
      <c r="L30" s="82" t="s">
        <v>2504</v>
      </c>
      <c r="M30" s="82" t="s">
        <v>2505</v>
      </c>
    </row>
    <row r="31" ht="15.75" customHeight="1">
      <c r="A31" s="49">
        <f t="array" ref="A31">IF(ISBLANK(B31), 0, IF(ISNUMBER(MATCH(B31, HR!A:A, 0)), 0, IF(ISNUMBER(MATCH(B31, HR!B:B, 0)), INDEX(HR!V:V, MATCH(B31, HR!B:B, 0)) * (F31 * 24), 0)))</f>
        <v>0</v>
      </c>
      <c r="B31" s="50"/>
      <c r="C31" s="91"/>
      <c r="D31" s="91"/>
      <c r="E31" s="91"/>
      <c r="F31" s="53" t="str">
        <f t="shared" si="2"/>
        <v>0:00</v>
      </c>
      <c r="G31" s="84">
        <f>COUNTIF(RestiaCSV!E:E, B31)</f>
        <v>0</v>
      </c>
      <c r="H31" s="85" t="b">
        <v>0</v>
      </c>
      <c r="I31" s="88">
        <f t="shared" si="3"/>
        <v>0</v>
      </c>
      <c r="J31" s="99"/>
      <c r="K31" s="99"/>
      <c r="L31" s="87"/>
      <c r="M31" s="87"/>
    </row>
    <row r="32" ht="15.75" customHeight="1">
      <c r="A32" s="100"/>
      <c r="B32" s="101" t="s">
        <v>90</v>
      </c>
      <c r="C32" s="102" t="s">
        <v>14</v>
      </c>
      <c r="D32" s="26"/>
      <c r="E32" s="26"/>
      <c r="F32" s="103"/>
      <c r="G32" s="104">
        <f>COUNTIFS(RestiaCSV!E:E, "wolt kurýr", RestiaCSV!A:A, "&lt;&gt;wolt")</f>
        <v>0</v>
      </c>
      <c r="H32" s="105" t="b">
        <v>1</v>
      </c>
      <c r="I32" s="106">
        <f>G32*127</f>
        <v>0</v>
      </c>
      <c r="J32" s="107"/>
      <c r="K32" s="107"/>
      <c r="L32" s="98" t="str">
        <f>100%-L29</f>
        <v>#DIV/0!</v>
      </c>
      <c r="M32" s="98" t="str">
        <f>M29/L26</f>
        <v>#DIV/0!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"Rothová Anastasia,Vostrý Daniel,Roth Stanislav ml.,Horváth Petr,Klapperová Giulia Laura,Raboch Tomáš,Tůma Vladimír,Rataj Pavel"</formula1>
    </dataValidation>
    <dataValidation type="list" allowBlank="1" sqref="B25:B31">
      <formula1>"Vokrojová Eliška,Mikešová Adéla,Kavalír Milan,Vopatová Anna,Vopatová Šárka,Tušlová Mariana,Světlík František,Ženíšek Lukáš,Kneblová Anna,Roth Stanislav st."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08"/>
      <c r="B1" s="7" t="str">
        <f>Report!B1</f>
        <v>Bolevec</v>
      </c>
      <c r="C1" s="109">
        <v>46082.0</v>
      </c>
      <c r="D1" s="110" t="s">
        <v>2576</v>
      </c>
      <c r="E1" s="111">
        <v>46112.0</v>
      </c>
      <c r="F1" s="112" t="s">
        <v>28</v>
      </c>
      <c r="G1" s="12"/>
      <c r="H1" s="13"/>
      <c r="I1" s="112" t="s">
        <v>26</v>
      </c>
      <c r="J1" s="12"/>
      <c r="K1" s="13"/>
      <c r="L1" s="113" t="s">
        <v>2555</v>
      </c>
      <c r="M1" s="20"/>
      <c r="N1" s="113"/>
    </row>
    <row r="2" ht="19.5" customHeight="1">
      <c r="A2" s="108"/>
      <c r="B2" s="16"/>
      <c r="C2" s="17"/>
      <c r="D2" s="16"/>
      <c r="E2" s="18"/>
      <c r="F2" s="114">
        <v>1.2067572964582176</v>
      </c>
      <c r="H2" s="20"/>
      <c r="I2" s="115">
        <v>198352.91999999998</v>
      </c>
      <c r="K2" s="20"/>
      <c r="L2" s="116" t="s">
        <v>2556</v>
      </c>
      <c r="M2" s="117">
        <v>0.0</v>
      </c>
      <c r="N2" s="118"/>
    </row>
    <row r="3" ht="15.75" customHeight="1">
      <c r="A3" s="119"/>
      <c r="B3" s="120" t="str">
        <f>CHOOSE(WEEKDAY(C1), "Neděle", "Pondělí", "Úterý", "Středa", "Čtvrtek", "Pátek", "Sobota")</f>
        <v>Neděle</v>
      </c>
      <c r="C3" s="25"/>
      <c r="D3" s="120" t="str">
        <f>CHOOSE(WEEKDAY(E1), "Neděle", "Pondělí", "Úterý", "Středa", "Čtvrtek", "Pátek", "Sobota")</f>
        <v>Úterý</v>
      </c>
      <c r="E3" s="25"/>
      <c r="H3" s="20"/>
      <c r="K3" s="20"/>
      <c r="L3" s="121" t="s">
        <v>2557</v>
      </c>
      <c r="M3" s="122">
        <v>11861.0</v>
      </c>
      <c r="N3" s="118"/>
    </row>
    <row r="4" ht="15.75" customHeight="1">
      <c r="A4" s="119"/>
      <c r="B4" s="17"/>
      <c r="C4" s="26"/>
      <c r="D4" s="17"/>
      <c r="E4" s="26"/>
      <c r="F4" s="26"/>
      <c r="G4" s="26"/>
      <c r="H4" s="18"/>
      <c r="I4" s="26"/>
      <c r="J4" s="26"/>
      <c r="K4" s="18"/>
      <c r="L4" s="121" t="s">
        <v>2558</v>
      </c>
      <c r="M4" s="122">
        <v>81331.42</v>
      </c>
      <c r="N4" s="118"/>
    </row>
    <row r="5" ht="15.75" customHeight="1">
      <c r="A5" s="123"/>
      <c r="B5" s="124" t="s">
        <v>2577</v>
      </c>
      <c r="C5" s="25"/>
      <c r="D5" s="25"/>
      <c r="E5" s="10"/>
      <c r="F5" s="125" t="s">
        <v>2578</v>
      </c>
      <c r="G5" s="25"/>
      <c r="H5" s="25"/>
      <c r="I5" s="25"/>
      <c r="J5" s="25"/>
      <c r="K5" s="10"/>
      <c r="L5" s="121" t="s">
        <v>2560</v>
      </c>
      <c r="M5" s="122">
        <v>22818.0</v>
      </c>
      <c r="N5" s="118"/>
    </row>
    <row r="6" ht="15.75" customHeight="1">
      <c r="A6" s="123"/>
      <c r="B6" s="17"/>
      <c r="C6" s="26"/>
      <c r="D6" s="26"/>
      <c r="E6" s="18"/>
      <c r="F6" s="26"/>
      <c r="G6" s="26"/>
      <c r="H6" s="26"/>
      <c r="I6" s="26"/>
      <c r="J6" s="26"/>
      <c r="K6" s="18"/>
      <c r="L6" s="121" t="s">
        <v>2561</v>
      </c>
      <c r="M6" s="122">
        <v>0.0</v>
      </c>
      <c r="N6" s="118"/>
    </row>
    <row r="7" ht="15.75" customHeight="1">
      <c r="A7" s="113"/>
      <c r="B7" s="126">
        <f>TEXT(SUMPRODUCT((IFERROR(LEFT(D10:D30, FIND(":", D10:D30) - 1) * 60, 0) + IFERROR(MID(D10:D30, FIND(":", D10:D30) + 1, LEN(D10:D30) - FIND(":", D10:D30)), 0))), "[h]:mm")/60</f>
        <v>372</v>
      </c>
      <c r="C7" s="26"/>
      <c r="D7" s="26"/>
      <c r="E7" s="18"/>
      <c r="F7" s="127">
        <f>TEXT(SUMPRODUCT((IFERROR(LEFT(H10:H30, FIND(":", H10:H30) - 1) * 60, 0) + IFERROR(MID(H10:H30, FIND(":", H10:H30) + 1, LEN(H10:H30) - FIND(":", H10:H30)), 0))), "[h]:mm")/60</f>
        <v>238.5</v>
      </c>
      <c r="G7" s="12"/>
      <c r="H7" s="12"/>
      <c r="I7" s="12"/>
      <c r="J7" s="128"/>
      <c r="K7" s="128"/>
      <c r="L7" s="129" t="s">
        <v>2562</v>
      </c>
      <c r="M7" s="130">
        <v>5200.2</v>
      </c>
      <c r="N7" s="118"/>
    </row>
    <row r="8" ht="15.75" customHeight="1">
      <c r="A8" s="131"/>
      <c r="B8" s="132" t="s">
        <v>2563</v>
      </c>
      <c r="C8" s="12"/>
      <c r="D8" s="12"/>
      <c r="E8" s="13"/>
      <c r="F8" s="133" t="s">
        <v>78</v>
      </c>
      <c r="G8" s="12"/>
      <c r="H8" s="12"/>
      <c r="I8" s="13"/>
      <c r="J8" s="134" t="s">
        <v>2564</v>
      </c>
      <c r="K8" s="10"/>
      <c r="L8" s="127" t="s">
        <v>25</v>
      </c>
      <c r="M8" s="13"/>
      <c r="N8" s="113"/>
    </row>
    <row r="9" ht="15.75" customHeight="1">
      <c r="A9" s="135"/>
      <c r="B9" s="136" t="s">
        <v>2565</v>
      </c>
      <c r="C9" s="137" t="s">
        <v>2579</v>
      </c>
      <c r="D9" s="137" t="s">
        <v>2569</v>
      </c>
      <c r="E9" s="138"/>
      <c r="F9" s="136" t="s">
        <v>2565</v>
      </c>
      <c r="G9" s="137" t="s">
        <v>2579</v>
      </c>
      <c r="H9" s="137" t="s">
        <v>2569</v>
      </c>
      <c r="I9" s="139" t="s">
        <v>2572</v>
      </c>
      <c r="J9" s="140">
        <v>-0.5000000000063665</v>
      </c>
      <c r="K9" s="10"/>
      <c r="L9" s="141" t="s">
        <v>23</v>
      </c>
      <c r="M9" s="122">
        <v>49744.0</v>
      </c>
      <c r="N9" s="118"/>
    </row>
    <row r="10" ht="18.75" customHeight="1">
      <c r="A10" s="142"/>
      <c r="B10" s="143" t="s">
        <v>2580</v>
      </c>
      <c r="C10" s="144">
        <v>10.0</v>
      </c>
      <c r="D10" s="144" t="s">
        <v>2581</v>
      </c>
      <c r="E10" s="145" t="s">
        <v>2582</v>
      </c>
      <c r="F10" s="143" t="s">
        <v>2583</v>
      </c>
      <c r="G10" s="144">
        <v>6.0</v>
      </c>
      <c r="H10" s="144" t="s">
        <v>2584</v>
      </c>
      <c r="I10" s="146">
        <v>14.0</v>
      </c>
      <c r="J10" s="34"/>
      <c r="K10" s="20"/>
      <c r="L10" s="141" t="s">
        <v>24</v>
      </c>
      <c r="M10" s="122">
        <v>0.0</v>
      </c>
      <c r="N10" s="118"/>
    </row>
    <row r="11" ht="18.75" customHeight="1">
      <c r="A11" s="142"/>
      <c r="B11" s="143" t="s">
        <v>2585</v>
      </c>
      <c r="C11" s="144">
        <v>8.0</v>
      </c>
      <c r="D11" s="144" t="s">
        <v>2586</v>
      </c>
      <c r="E11" s="145" t="s">
        <v>49</v>
      </c>
      <c r="F11" s="143" t="s">
        <v>2587</v>
      </c>
      <c r="G11" s="144">
        <v>4.0</v>
      </c>
      <c r="H11" s="144" t="s">
        <v>2588</v>
      </c>
      <c r="I11" s="146">
        <v>5.0</v>
      </c>
      <c r="J11" s="34"/>
      <c r="K11" s="20"/>
      <c r="L11" s="147" t="s">
        <v>25</v>
      </c>
      <c r="M11" s="148">
        <v>28952.0</v>
      </c>
      <c r="N11" s="118"/>
    </row>
    <row r="12" ht="18.75" customHeight="1">
      <c r="A12" s="142"/>
      <c r="B12" s="143" t="s">
        <v>2589</v>
      </c>
      <c r="C12" s="144">
        <v>15.0</v>
      </c>
      <c r="D12" s="144" t="s">
        <v>2590</v>
      </c>
      <c r="E12" s="145" t="s">
        <v>50</v>
      </c>
      <c r="F12" s="143" t="s">
        <v>2591</v>
      </c>
      <c r="G12" s="144">
        <v>9.0</v>
      </c>
      <c r="H12" s="144" t="s">
        <v>2592</v>
      </c>
      <c r="I12" s="146">
        <v>20.0</v>
      </c>
      <c r="J12" s="34"/>
      <c r="K12" s="20"/>
      <c r="L12" s="149" t="s">
        <v>2570</v>
      </c>
      <c r="M12" s="18"/>
      <c r="N12" s="113"/>
    </row>
    <row r="13" ht="18.75" customHeight="1">
      <c r="A13" s="142"/>
      <c r="B13" s="143" t="s">
        <v>2593</v>
      </c>
      <c r="C13" s="144">
        <v>7.0</v>
      </c>
      <c r="D13" s="144" t="s">
        <v>2594</v>
      </c>
      <c r="E13" s="145" t="s">
        <v>50</v>
      </c>
      <c r="F13" s="143" t="s">
        <v>2595</v>
      </c>
      <c r="G13" s="144">
        <v>1.0</v>
      </c>
      <c r="H13" s="144" t="s">
        <v>2596</v>
      </c>
      <c r="I13" s="146">
        <v>2.0</v>
      </c>
      <c r="J13" s="34"/>
      <c r="K13" s="20"/>
      <c r="L13" s="141" t="s">
        <v>29</v>
      </c>
      <c r="M13" s="122">
        <v>0.0</v>
      </c>
      <c r="N13" s="118"/>
    </row>
    <row r="14" ht="18.75" customHeight="1">
      <c r="A14" s="142"/>
      <c r="B14" s="143" t="s">
        <v>2597</v>
      </c>
      <c r="C14" s="144">
        <v>6.0</v>
      </c>
      <c r="D14" s="144" t="s">
        <v>2598</v>
      </c>
      <c r="E14" s="145" t="s">
        <v>2599</v>
      </c>
      <c r="F14" s="143" t="s">
        <v>2600</v>
      </c>
      <c r="G14" s="144">
        <v>3.0</v>
      </c>
      <c r="H14" s="144" t="s">
        <v>2536</v>
      </c>
      <c r="I14" s="146">
        <v>3.0</v>
      </c>
      <c r="J14" s="34"/>
      <c r="K14" s="20"/>
      <c r="L14" s="137" t="s">
        <v>30</v>
      </c>
      <c r="M14" s="122">
        <v>0.0</v>
      </c>
      <c r="N14" s="118"/>
    </row>
    <row r="15" ht="18.75" customHeight="1">
      <c r="A15" s="142"/>
      <c r="B15" s="143" t="s">
        <v>2601</v>
      </c>
      <c r="C15" s="144">
        <v>2.0</v>
      </c>
      <c r="D15" s="144" t="s">
        <v>63</v>
      </c>
      <c r="E15" s="145" t="s">
        <v>2599</v>
      </c>
      <c r="F15" s="143" t="s">
        <v>2602</v>
      </c>
      <c r="G15" s="144">
        <v>3.0</v>
      </c>
      <c r="H15" s="144" t="s">
        <v>2603</v>
      </c>
      <c r="I15" s="146">
        <v>8.0</v>
      </c>
      <c r="J15" s="34"/>
      <c r="K15" s="20"/>
      <c r="L15" s="137" t="s">
        <v>31</v>
      </c>
      <c r="M15" s="122">
        <v>0.0</v>
      </c>
      <c r="N15" s="118"/>
    </row>
    <row r="16" ht="18.75" customHeight="1">
      <c r="A16" s="142"/>
      <c r="B16" s="143"/>
      <c r="C16" s="144"/>
      <c r="D16" s="144"/>
      <c r="E16" s="150"/>
      <c r="F16" s="143" t="s">
        <v>2604</v>
      </c>
      <c r="G16" s="144">
        <v>4.0</v>
      </c>
      <c r="H16" s="144" t="s">
        <v>2605</v>
      </c>
      <c r="I16" s="146">
        <v>2.0</v>
      </c>
      <c r="J16" s="34"/>
      <c r="K16" s="20"/>
      <c r="L16" s="137" t="s">
        <v>32</v>
      </c>
      <c r="M16" s="122">
        <v>1406.0</v>
      </c>
      <c r="N16" s="118"/>
    </row>
    <row r="17" ht="18.75" customHeight="1">
      <c r="A17" s="142"/>
      <c r="B17" s="143"/>
      <c r="C17" s="144"/>
      <c r="D17" s="144"/>
      <c r="E17" s="150"/>
      <c r="F17" s="143" t="s">
        <v>2606</v>
      </c>
      <c r="G17" s="144">
        <v>2.0</v>
      </c>
      <c r="H17" s="144" t="s">
        <v>43</v>
      </c>
      <c r="I17" s="146">
        <v>2.0</v>
      </c>
      <c r="J17" s="17"/>
      <c r="K17" s="18"/>
      <c r="L17" s="151" t="s">
        <v>33</v>
      </c>
      <c r="M17" s="152">
        <v>2240.0</v>
      </c>
      <c r="N17" s="118"/>
    </row>
    <row r="18" ht="18.75" customHeight="1">
      <c r="A18" s="142"/>
      <c r="B18" s="143"/>
      <c r="C18" s="144"/>
      <c r="D18" s="144"/>
      <c r="E18" s="150"/>
      <c r="F18" s="143"/>
      <c r="G18" s="144"/>
      <c r="H18" s="144"/>
      <c r="I18" s="146"/>
      <c r="J18" s="153"/>
      <c r="K18" s="12"/>
      <c r="L18" s="12"/>
      <c r="M18" s="13"/>
      <c r="N18" s="154"/>
    </row>
    <row r="19" ht="18.75" customHeight="1">
      <c r="A19" s="142"/>
      <c r="B19" s="143"/>
      <c r="C19" s="144"/>
      <c r="D19" s="144"/>
      <c r="E19" s="150"/>
      <c r="F19" s="143"/>
      <c r="G19" s="144"/>
      <c r="H19" s="144"/>
      <c r="I19" s="146"/>
      <c r="J19" s="155" t="s">
        <v>34</v>
      </c>
      <c r="K19" s="156" t="s">
        <v>35</v>
      </c>
      <c r="L19" s="157" t="s">
        <v>2571</v>
      </c>
      <c r="M19" s="158" t="s">
        <v>37</v>
      </c>
    </row>
    <row r="20" ht="18.75" customHeight="1">
      <c r="A20" s="142"/>
      <c r="B20" s="143"/>
      <c r="C20" s="144"/>
      <c r="D20" s="144"/>
      <c r="E20" s="150"/>
      <c r="F20" s="143"/>
      <c r="G20" s="144"/>
      <c r="H20" s="144"/>
      <c r="I20" s="146"/>
      <c r="J20" s="159"/>
      <c r="K20" s="87"/>
      <c r="L20" s="87"/>
      <c r="M20" s="160"/>
    </row>
    <row r="21" ht="18.75" customHeight="1">
      <c r="A21" s="142"/>
      <c r="B21" s="143"/>
      <c r="C21" s="144"/>
      <c r="D21" s="144"/>
      <c r="E21" s="150"/>
      <c r="F21" s="143"/>
      <c r="G21" s="144"/>
      <c r="H21" s="144"/>
      <c r="I21" s="161"/>
      <c r="J21" s="162">
        <v>13.0</v>
      </c>
      <c r="K21" s="75">
        <v>4502.5</v>
      </c>
      <c r="L21" s="76">
        <v>4.0</v>
      </c>
      <c r="M21" s="163" t="s">
        <v>2607</v>
      </c>
      <c r="N21" s="154"/>
    </row>
    <row r="22" ht="18.75" customHeight="1">
      <c r="A22" s="142"/>
      <c r="B22" s="143"/>
      <c r="C22" s="144"/>
      <c r="D22" s="144"/>
      <c r="E22" s="150"/>
      <c r="F22" s="143"/>
      <c r="G22" s="144"/>
      <c r="H22" s="144"/>
      <c r="I22" s="146"/>
      <c r="J22" s="164" t="s">
        <v>2574</v>
      </c>
      <c r="K22" s="82" t="s">
        <v>2498</v>
      </c>
      <c r="L22" s="81" t="s">
        <v>2499</v>
      </c>
      <c r="M22" s="165" t="s">
        <v>2500</v>
      </c>
      <c r="N22" s="154"/>
    </row>
    <row r="23" ht="18.75" customHeight="1">
      <c r="A23" s="142"/>
      <c r="B23" s="143"/>
      <c r="C23" s="144"/>
      <c r="D23" s="144"/>
      <c r="E23" s="150"/>
      <c r="F23" s="143"/>
      <c r="G23" s="144"/>
      <c r="H23" s="144"/>
      <c r="I23" s="146"/>
      <c r="J23" s="159"/>
      <c r="K23" s="87"/>
      <c r="L23" s="87"/>
      <c r="M23" s="160"/>
      <c r="N23" s="154"/>
    </row>
    <row r="24" ht="18.75" customHeight="1">
      <c r="A24" s="142"/>
      <c r="B24" s="143"/>
      <c r="C24" s="144"/>
      <c r="D24" s="144"/>
      <c r="E24" s="150"/>
      <c r="F24" s="143"/>
      <c r="G24" s="144"/>
      <c r="H24" s="144"/>
      <c r="I24" s="146"/>
      <c r="J24" s="166">
        <v>24.0</v>
      </c>
      <c r="K24" s="76">
        <v>635.0</v>
      </c>
      <c r="L24" s="76">
        <v>60.0</v>
      </c>
      <c r="M24" s="167">
        <v>20.0</v>
      </c>
      <c r="N24" s="154"/>
    </row>
    <row r="25" ht="18.75" customHeight="1">
      <c r="A25" s="142"/>
      <c r="B25" s="143"/>
      <c r="C25" s="144"/>
      <c r="D25" s="144"/>
      <c r="E25" s="150"/>
      <c r="F25" s="143"/>
      <c r="G25" s="144"/>
      <c r="H25" s="144"/>
      <c r="I25" s="146"/>
      <c r="J25" s="168" t="s">
        <v>2575</v>
      </c>
      <c r="K25" s="93"/>
      <c r="L25" s="169" t="s">
        <v>2502</v>
      </c>
      <c r="M25" s="170" t="s">
        <v>2503</v>
      </c>
      <c r="N25" s="154"/>
    </row>
    <row r="26" ht="18.75" customHeight="1">
      <c r="A26" s="142"/>
      <c r="B26" s="143"/>
      <c r="C26" s="144"/>
      <c r="D26" s="144"/>
      <c r="E26" s="150"/>
      <c r="F26" s="143"/>
      <c r="G26" s="144"/>
      <c r="H26" s="144"/>
      <c r="I26" s="146"/>
      <c r="J26" s="171"/>
      <c r="K26" s="95"/>
      <c r="L26" s="87"/>
      <c r="M26" s="160"/>
      <c r="N26" s="154"/>
    </row>
    <row r="27" ht="18.75" customHeight="1">
      <c r="A27" s="142"/>
      <c r="B27" s="143"/>
      <c r="C27" s="144"/>
      <c r="D27" s="144"/>
      <c r="E27" s="150"/>
      <c r="F27" s="143"/>
      <c r="G27" s="144"/>
      <c r="H27" s="144"/>
      <c r="I27" s="146"/>
      <c r="J27" s="172">
        <v>2.0</v>
      </c>
      <c r="K27" s="93"/>
      <c r="L27" s="98">
        <v>0.10416666666666666</v>
      </c>
      <c r="M27" s="173">
        <v>0.0</v>
      </c>
      <c r="N27" s="154"/>
    </row>
    <row r="28" ht="18.75" customHeight="1">
      <c r="A28" s="142"/>
      <c r="B28" s="143"/>
      <c r="C28" s="144"/>
      <c r="D28" s="144"/>
      <c r="E28" s="150"/>
      <c r="F28" s="143"/>
      <c r="G28" s="144"/>
      <c r="H28" s="144"/>
      <c r="I28" s="146"/>
      <c r="J28" s="174"/>
      <c r="K28" s="175" t="s">
        <v>2608</v>
      </c>
      <c r="L28" s="176" t="s">
        <v>2504</v>
      </c>
      <c r="M28" s="170" t="s">
        <v>2505</v>
      </c>
      <c r="N28" s="154"/>
    </row>
    <row r="29" ht="18.75" customHeight="1">
      <c r="A29" s="142"/>
      <c r="B29" s="143"/>
      <c r="C29" s="144"/>
      <c r="D29" s="144"/>
      <c r="E29" s="150"/>
      <c r="F29" s="143"/>
      <c r="G29" s="144"/>
      <c r="H29" s="144"/>
      <c r="I29" s="146"/>
      <c r="J29" s="34"/>
      <c r="K29" s="87"/>
      <c r="L29" s="87"/>
      <c r="M29" s="160"/>
      <c r="N29" s="154"/>
    </row>
    <row r="30" ht="18.75" customHeight="1">
      <c r="A30" s="142"/>
      <c r="B30" s="143"/>
      <c r="C30" s="144"/>
      <c r="D30" s="144"/>
      <c r="E30" s="150"/>
      <c r="F30" s="143"/>
      <c r="G30" s="144"/>
      <c r="H30" s="144"/>
      <c r="I30" s="146"/>
      <c r="J30" s="17"/>
      <c r="K30" s="177"/>
      <c r="L30" s="178">
        <v>0.8958333333333333</v>
      </c>
      <c r="M30" s="179">
        <v>0.0</v>
      </c>
      <c r="N30" s="15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10" width="25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1"/>
      <c r="B2" s="1"/>
      <c r="C2" s="18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5.75" customHeight="1">
      <c r="A3" s="1"/>
      <c r="B3" s="18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5.75" customHeight="1">
      <c r="A4" s="1"/>
      <c r="B4" s="1"/>
      <c r="C4" s="18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5.75" customHeight="1">
      <c r="A6" s="1"/>
      <c r="B6" s="1"/>
      <c r="C6" s="18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5.75" customHeight="1">
      <c r="A7" s="1"/>
      <c r="B7" s="1"/>
      <c r="C7" s="18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5.75" customHeight="1">
      <c r="A8" s="1"/>
      <c r="B8" s="1"/>
      <c r="C8" s="18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75" customHeight="1">
      <c r="A9" s="1"/>
      <c r="B9" s="1"/>
      <c r="C9" s="18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5.75" customHeight="1">
      <c r="A10" s="1"/>
      <c r="B10" s="1"/>
      <c r="C10" s="18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5.75" customHeight="1">
      <c r="A11" s="1"/>
      <c r="B11" s="1"/>
      <c r="C11" s="18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5.75" customHeight="1">
      <c r="A12" s="1"/>
      <c r="B12" s="1"/>
      <c r="C12" s="18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5.75" customHeight="1">
      <c r="A13" s="1"/>
      <c r="B13" s="1"/>
      <c r="C13" s="18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5.75" customHeight="1">
      <c r="A14" s="1"/>
      <c r="B14" s="1"/>
      <c r="C14" s="18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5.75" customHeight="1">
      <c r="A15" s="1"/>
      <c r="B15" s="1"/>
      <c r="C15" s="18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5.75" customHeight="1">
      <c r="A16" s="1"/>
      <c r="B16" s="1"/>
      <c r="C16" s="18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5.75" customHeight="1">
      <c r="A17" s="1"/>
      <c r="B17" s="180"/>
      <c r="C17" s="18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5.75" customHeight="1">
      <c r="A18" s="1"/>
      <c r="B18" s="1"/>
      <c r="C18" s="18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5.75" customHeight="1">
      <c r="A19" s="1"/>
      <c r="B19" s="1"/>
      <c r="C19" s="18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5.75" customHeight="1">
      <c r="A20" s="1"/>
      <c r="B20" s="1"/>
      <c r="C20" s="18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5.75" customHeight="1">
      <c r="A21" s="1"/>
      <c r="B21" s="1"/>
      <c r="C21" s="18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80"/>
      <c r="C22" s="18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80"/>
      <c r="C23" s="18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8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8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8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8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8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80"/>
      <c r="C29" s="18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80"/>
      <c r="C30" s="18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80"/>
      <c r="C31" s="18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80"/>
      <c r="C32" s="18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8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8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8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8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8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80"/>
      <c r="C39" s="18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8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8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8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8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8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8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8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8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8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8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8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8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8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8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8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8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8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8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8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8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8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8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8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8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8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8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8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8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80"/>
      <c r="C188" s="18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8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8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8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8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/>
      <c r="B1" s="5"/>
      <c r="C1" s="181" t="str">
        <f>IFERROR(__xludf.DUMMYFUNCTION("IMPORTRANGE(""1TpIiNTfR1pnpn85VWQTTdvQ2Xcr0GStmWJ2UvfKxG_A"", ""Mzdy!A1:F200"")"),"#REF!")</f>
        <v>#REF!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82" t="str">
        <f>IFERROR(__xludf.DUMMYFUNCTION("IMPORTRANGE(""1TpIiNTfR1pnpn85VWQTTdvQ2Xcr0GStmWJ2UvfKxG_A"", ""Mzdy!ac1:ad200"")"),"#REF!")</f>
        <v>#REF!</v>
      </c>
      <c r="W1" s="183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8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83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5.75" customHeight="1">
      <c r="A4" s="184" t="s">
        <v>2609</v>
      </c>
      <c r="B4" s="184" t="s">
        <v>2610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83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15.75" customHeight="1">
      <c r="A5" s="5" t="str">
        <f>IF(AND(B5&lt;&gt;"", C5=TRUE, E5=Report!$B$1), B5, "")</f>
        <v/>
      </c>
      <c r="B5" s="185" t="str">
        <f>IF(OR(E5=Report!$B$1, F5=Report!$B$1, G5=Report!$B$1, H5=Report!$B$1), D5, "")</f>
        <v/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83"/>
      <c r="W5" s="183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15.75" customHeight="1">
      <c r="A6" s="5" t="str">
        <f>IF(AND(B6&lt;&gt;"", C6=TRUE, E6=Report!$B$1), B6, "")</f>
        <v/>
      </c>
      <c r="B6" s="185" t="str">
        <f>IF(OR(E6=Report!$B$1, F6=Report!$B$1, G6=Report!$B$1, H6=Report!$B$1), D6, "")</f>
        <v/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83"/>
      <c r="W6" s="183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ht="15.75" customHeight="1">
      <c r="A7" s="5" t="str">
        <f>IF(AND(B7&lt;&gt;"", C7=TRUE, E7=Report!$B$1), B7, "")</f>
        <v/>
      </c>
      <c r="B7" s="185" t="str">
        <f>IF(OR(E7=Report!$B$1, F7=Report!$B$1, G7=Report!$B$1, H7=Report!$B$1), D7, "")</f>
        <v/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83"/>
      <c r="W7" s="18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15.75" customHeight="1">
      <c r="A8" s="5" t="str">
        <f>IF(AND(B8&lt;&gt;"", C8=TRUE, E8=Report!$B$1), B8, "")</f>
        <v/>
      </c>
      <c r="B8" s="185" t="str">
        <f>IF(OR(E8=Report!$B$1, F8=Report!$B$1, G8=Report!$B$1, H8=Report!$B$1), D8, "")</f>
        <v/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83"/>
      <c r="W8" s="183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ht="15.75" customHeight="1">
      <c r="A9" s="5" t="str">
        <f>IF(AND(B9&lt;&gt;"", C9=TRUE, E9=Report!$B$1), B9, "")</f>
        <v/>
      </c>
      <c r="B9" s="185" t="str">
        <f>IF(OR(E9=Report!$B$1, F9=Report!$B$1, G9=Report!$B$1, H9=Report!$B$1), D9, "")</f>
        <v/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83"/>
      <c r="W9" s="183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ht="15.75" customHeight="1">
      <c r="A10" s="5" t="str">
        <f>IF(AND(B10&lt;&gt;"", C10=TRUE, E10=Report!$B$1), B10, "")</f>
        <v/>
      </c>
      <c r="B10" s="185" t="str">
        <f>IF(OR(E10=Report!$B$1, F10=Report!$B$1, G10=Report!$B$1, H10=Report!$B$1), D10, "")</f>
        <v/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83"/>
      <c r="W10" s="183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5.75" customHeight="1">
      <c r="A11" s="5" t="str">
        <f>IF(AND(B11&lt;&gt;"", C11=TRUE, E11=Report!$B$1), B11, "")</f>
        <v/>
      </c>
      <c r="B11" s="185" t="str">
        <f>IF(OR(E11=Report!$B$1, F11=Report!$B$1, G11=Report!$B$1, H11=Report!$B$1), D11, "")</f>
        <v/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83"/>
      <c r="W11" s="183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75" customHeight="1">
      <c r="A12" s="5" t="str">
        <f>IF(AND(B12&lt;&gt;"", C12=TRUE, E12=Report!$B$1), B12, "")</f>
        <v/>
      </c>
      <c r="B12" s="185" t="str">
        <f>IF(OR(E12=Report!$B$1, F12=Report!$B$1, G12=Report!$B$1, H12=Report!$B$1), D12, "")</f>
        <v/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83"/>
      <c r="W12" s="183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75" customHeight="1">
      <c r="A13" s="5" t="str">
        <f>IF(AND(B13&lt;&gt;"", C13=TRUE, E13=Report!$B$1), B13, "")</f>
        <v/>
      </c>
      <c r="B13" s="185" t="str">
        <f>IF(OR(E13=Report!$B$1, F13=Report!$B$1, G13=Report!$B$1, H13=Report!$B$1), D13, "")</f>
        <v/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83"/>
      <c r="W13" s="18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75" customHeight="1">
      <c r="A14" s="5" t="str">
        <f>IF(AND(B14&lt;&gt;"", C14=TRUE, E14=Report!$B$1), B14, "")</f>
        <v/>
      </c>
      <c r="B14" s="185" t="str">
        <f>IF(OR(E14=Report!$B$1, F14=Report!$B$1, G14=Report!$B$1, H14=Report!$B$1), D14, "")</f>
        <v/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83"/>
      <c r="W14" s="183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5.75" customHeight="1">
      <c r="A15" s="5" t="str">
        <f>IF(AND(B15&lt;&gt;"", C15=TRUE, E15=Report!$B$1), B15, "")</f>
        <v/>
      </c>
      <c r="B15" s="185" t="str">
        <f>IF(OR(E15=Report!$B$1, F15=Report!$B$1, G15=Report!$B$1, H15=Report!$B$1), D15, "")</f>
        <v/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83"/>
      <c r="W15" s="183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ht="15.75" customHeight="1">
      <c r="A16" s="5" t="str">
        <f>IF(AND(B16&lt;&gt;"", C16=TRUE, E16=Report!$B$1), B16, "")</f>
        <v/>
      </c>
      <c r="B16" s="185" t="str">
        <f>IF(OR(E16=Report!$B$1, F16=Report!$B$1, G16=Report!$B$1, H16=Report!$B$1), D16, "")</f>
        <v/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83"/>
      <c r="W16" s="183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t="15.75" customHeight="1">
      <c r="A17" s="5" t="str">
        <f>IF(AND(B17&lt;&gt;"", C17=TRUE, E17=Report!$B$1), B17, "")</f>
        <v/>
      </c>
      <c r="B17" s="185" t="str">
        <f>IF(OR(E17=Report!$B$1, F17=Report!$B$1, G17=Report!$B$1, H17=Report!$B$1), D17, "")</f>
        <v/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83"/>
      <c r="W17" s="183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15.75" customHeight="1">
      <c r="A18" s="5" t="str">
        <f>IF(AND(B18&lt;&gt;"", C18=TRUE, E18=Report!$B$1), B18, "")</f>
        <v/>
      </c>
      <c r="B18" s="185" t="str">
        <f>IF(OR(E18=Report!$B$1, F18=Report!$B$1, G18=Report!$B$1, H18=Report!$B$1), D18, "")</f>
        <v/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83"/>
      <c r="W18" s="183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ht="15.75" customHeight="1">
      <c r="A19" s="5" t="str">
        <f>IF(AND(B19&lt;&gt;"", C19=TRUE, E19=Report!$B$1), B19, "")</f>
        <v/>
      </c>
      <c r="B19" s="185" t="str">
        <f>IF(OR(E19=Report!$B$1, F19=Report!$B$1, G19=Report!$B$1, H19=Report!$B$1), D19, "")</f>
        <v/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83"/>
      <c r="W19" s="183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ht="15.75" customHeight="1">
      <c r="A20" s="5" t="str">
        <f>IF(AND(B20&lt;&gt;"", C20=TRUE, E20=Report!$B$1), B20, "")</f>
        <v/>
      </c>
      <c r="B20" s="185" t="str">
        <f>IF(OR(E20=Report!$B$1, F20=Report!$B$1, G20=Report!$B$1, H20=Report!$B$1), D20, "")</f>
        <v/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83"/>
      <c r="W20" s="183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ht="15.75" customHeight="1">
      <c r="A21" s="5" t="str">
        <f>IF(AND(B21&lt;&gt;"", C21=TRUE, E21=Report!$B$1), B21, "")</f>
        <v/>
      </c>
      <c r="B21" s="185" t="str">
        <f>IF(OR(E21=Report!$B$1, F21=Report!$B$1, G21=Report!$B$1, H21=Report!$B$1), D21, "")</f>
        <v/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83"/>
      <c r="W21" s="183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ht="15.75" customHeight="1">
      <c r="A22" s="5" t="str">
        <f>IF(AND(B22&lt;&gt;"", C22=TRUE, E22=Report!$B$1), B22, "")</f>
        <v/>
      </c>
      <c r="B22" s="185" t="str">
        <f>IF(OR(E22=Report!$B$1, F22=Report!$B$1, G22=Report!$B$1, H22=Report!$B$1), D22, "")</f>
        <v/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83"/>
      <c r="W22" s="183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ht="15.75" customHeight="1">
      <c r="A23" s="5" t="str">
        <f>IF(AND(B23&lt;&gt;"", C23=TRUE, E23=Report!$B$1), B23, "")</f>
        <v/>
      </c>
      <c r="B23" s="185" t="str">
        <f>IF(OR(E23=Report!$B$1, F23=Report!$B$1, G23=Report!$B$1, H23=Report!$B$1), D23, "")</f>
        <v/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83"/>
      <c r="W23" s="183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ht="15.75" customHeight="1">
      <c r="A24" s="5" t="str">
        <f>IF(AND(B24&lt;&gt;"", C24=TRUE, E24=Report!$B$1), B24, "")</f>
        <v/>
      </c>
      <c r="B24" s="185" t="str">
        <f>IF(OR(E24=Report!$B$1, F24=Report!$B$1, G24=Report!$B$1, H24=Report!$B$1), D24, "")</f>
        <v/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83"/>
      <c r="W24" s="183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15.75" customHeight="1">
      <c r="A25" s="5" t="str">
        <f>IF(AND(B25&lt;&gt;"", C25=TRUE, E25=Report!$B$1), B25, "")</f>
        <v/>
      </c>
      <c r="B25" s="185" t="str">
        <f>IF(OR(E25=Report!$B$1, F25=Report!$B$1, G25=Report!$B$1, H25=Report!$B$1), D25, "")</f>
        <v/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83"/>
      <c r="W25" s="183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ht="15.75" customHeight="1">
      <c r="A26" s="5" t="str">
        <f>IF(AND(B26&lt;&gt;"", C26=TRUE, E26=Report!$B$1), B26, "")</f>
        <v/>
      </c>
      <c r="B26" s="185" t="str">
        <f>IF(OR(E26=Report!$B$1, F26=Report!$B$1, G26=Report!$B$1, H26=Report!$B$1), D26, "")</f>
        <v/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83"/>
      <c r="W26" s="183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ht="15.75" customHeight="1">
      <c r="A27" s="5" t="str">
        <f>IF(AND(B27&lt;&gt;"", C27=TRUE, E27=Report!$B$1), B27, "")</f>
        <v/>
      </c>
      <c r="B27" s="185" t="str">
        <f>IF(OR(E27=Report!$B$1, F27=Report!$B$1, G27=Report!$B$1, H27=Report!$B$1), D27, "")</f>
        <v/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83"/>
      <c r="W27" s="183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ht="15.75" customHeight="1">
      <c r="A28" s="5" t="str">
        <f>IF(AND(B28&lt;&gt;"", C28=TRUE, E28=Report!$B$1), B28, "")</f>
        <v/>
      </c>
      <c r="B28" s="185" t="str">
        <f>IF(OR(E28=Report!$B$1, F28=Report!$B$1, G28=Report!$B$1, H28=Report!$B$1), D28, "")</f>
        <v/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83"/>
      <c r="W28" s="183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ht="15.75" customHeight="1">
      <c r="A29" s="5" t="str">
        <f>IF(AND(B29&lt;&gt;"", C29=TRUE, E29=Report!$B$1), B29, "")</f>
        <v/>
      </c>
      <c r="B29" s="185" t="str">
        <f>IF(OR(E29=Report!$B$1, F29=Report!$B$1, G29=Report!$B$1, H29=Report!$B$1), D29, "")</f>
        <v/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83"/>
      <c r="W29" s="183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5.75" customHeight="1">
      <c r="A30" s="5" t="str">
        <f>IF(AND(B30&lt;&gt;"", C30=TRUE, E30=Report!$B$1), B30, "")</f>
        <v/>
      </c>
      <c r="B30" s="185" t="str">
        <f>IF(OR(E30=Report!$B$1, F30=Report!$B$1, G30=Report!$B$1, H30=Report!$B$1), D30, "")</f>
        <v/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83"/>
      <c r="W30" s="183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15.75" customHeight="1">
      <c r="A31" s="5" t="str">
        <f>IF(AND(B31&lt;&gt;"", C31=TRUE, E31=Report!$B$1), B31, "")</f>
        <v/>
      </c>
      <c r="B31" s="185" t="str">
        <f>IF(OR(E31=Report!$B$1, F31=Report!$B$1, G31=Report!$B$1, H31=Report!$B$1), D31, "")</f>
        <v/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83"/>
      <c r="W31" s="183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ht="15.75" customHeight="1">
      <c r="A32" s="5" t="str">
        <f>IF(AND(B32&lt;&gt;"", C32=TRUE, E32=Report!$B$1), B32, "")</f>
        <v/>
      </c>
      <c r="B32" s="185" t="str">
        <f>IF(OR(E32=Report!$B$1, F32=Report!$B$1, G32=Report!$B$1, H32=Report!$B$1), D32, "")</f>
        <v/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83"/>
      <c r="W32" s="183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ht="15.75" customHeight="1">
      <c r="A33" s="5" t="str">
        <f>IF(AND(B33&lt;&gt;"", C33=TRUE, E33=Report!$B$1), B33, "")</f>
        <v/>
      </c>
      <c r="B33" s="185" t="str">
        <f>IF(OR(E33=Report!$B$1, F33=Report!$B$1, G33=Report!$B$1, H33=Report!$B$1), D33, "")</f>
        <v/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83"/>
      <c r="W33" s="183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t="15.75" customHeight="1">
      <c r="A34" s="5" t="str">
        <f>IF(AND(B34&lt;&gt;"", C34=TRUE, E34=Report!$B$1), B34, "")</f>
        <v/>
      </c>
      <c r="B34" s="185" t="str">
        <f>IF(OR(E34=Report!$B$1, F34=Report!$B$1, G34=Report!$B$1, H34=Report!$B$1), D34, "")</f>
        <v/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83"/>
      <c r="W34" s="183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ht="15.75" customHeight="1">
      <c r="A35" s="5" t="str">
        <f>IF(AND(B35&lt;&gt;"", C35=TRUE, E35=Report!$B$1), B35, "")</f>
        <v/>
      </c>
      <c r="B35" s="185" t="str">
        <f>IF(OR(E35=Report!$B$1, F35=Report!$B$1, G35=Report!$B$1, H35=Report!$B$1), D35, "")</f>
        <v/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83"/>
      <c r="W35" s="183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ht="15.75" customHeight="1">
      <c r="A36" s="5" t="str">
        <f>IF(AND(B36&lt;&gt;"", C36=TRUE, E36=Report!$B$1), B36, "")</f>
        <v/>
      </c>
      <c r="B36" s="185" t="str">
        <f>IF(OR(E36=Report!$B$1, F36=Report!$B$1, G36=Report!$B$1, H36=Report!$B$1), D36, "")</f>
        <v/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83"/>
      <c r="W36" s="183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ht="15.75" customHeight="1">
      <c r="A37" s="5" t="str">
        <f>IF(AND(B37&lt;&gt;"", C37=TRUE, E37=Report!$B$1), B37, "")</f>
        <v/>
      </c>
      <c r="B37" s="185" t="str">
        <f>IF(OR(E37=Report!$B$1, F37=Report!$B$1, G37=Report!$B$1, H37=Report!$B$1), D37, "")</f>
        <v/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83"/>
      <c r="W37" s="183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ht="15.75" customHeight="1">
      <c r="A38" s="5" t="str">
        <f>IF(AND(B38&lt;&gt;"", C38=TRUE, E38=Report!$B$1), B38, "")</f>
        <v/>
      </c>
      <c r="B38" s="185" t="str">
        <f>IF(OR(E38=Report!$B$1, F38=Report!$B$1, G38=Report!$B$1, H38=Report!$B$1), D38, "")</f>
        <v/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83"/>
      <c r="W38" s="183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ht="15.75" customHeight="1">
      <c r="A39" s="5" t="str">
        <f>IF(AND(B39&lt;&gt;"", C39=TRUE, E39=Report!$B$1), B39, "")</f>
        <v/>
      </c>
      <c r="B39" s="185" t="str">
        <f>IF(OR(E39=Report!$B$1, F39=Report!$B$1, G39=Report!$B$1, H39=Report!$B$1), D39, "")</f>
        <v/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83"/>
      <c r="W39" s="183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ht="15.75" customHeight="1">
      <c r="A40" s="5" t="str">
        <f>IF(AND(B40&lt;&gt;"", C40=TRUE, E40=Report!$B$1), B40, "")</f>
        <v/>
      </c>
      <c r="B40" s="185" t="str">
        <f>IF(OR(E40=Report!$B$1, F40=Report!$B$1, G40=Report!$B$1, H40=Report!$B$1), D40, "")</f>
        <v/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83"/>
      <c r="W40" s="183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ht="15.75" customHeight="1">
      <c r="A41" s="5" t="str">
        <f>IF(AND(B41&lt;&gt;"", C41=TRUE, E41=Report!$B$1), B41, "")</f>
        <v/>
      </c>
      <c r="B41" s="185" t="str">
        <f>IF(OR(E41=Report!$B$1, F41=Report!$B$1, G41=Report!$B$1, H41=Report!$B$1), D41, "")</f>
        <v/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83"/>
      <c r="W41" s="183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ht="15.75" customHeight="1">
      <c r="A42" s="5" t="str">
        <f>IF(AND(B42&lt;&gt;"", C42=TRUE, E42=Report!$B$1), B42, "")</f>
        <v/>
      </c>
      <c r="B42" s="185" t="str">
        <f>IF(OR(E42=Report!$B$1, F42=Report!$B$1, G42=Report!$B$1, H42=Report!$B$1), D42, "")</f>
        <v/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83"/>
      <c r="W42" s="183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ht="15.75" customHeight="1">
      <c r="A43" s="5" t="str">
        <f>IF(AND(B43&lt;&gt;"", C43=TRUE, E43=Report!$B$1), B43, "")</f>
        <v/>
      </c>
      <c r="B43" s="185" t="str">
        <f>IF(OR(E43=Report!$B$1, F43=Report!$B$1, G43=Report!$B$1, H43=Report!$B$1), D43, "")</f>
        <v/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83"/>
      <c r="W43" s="183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15.75" customHeight="1">
      <c r="A44" s="5"/>
      <c r="B44" s="186" t="str">
        <f>IF(OR(E44=Report!$B$1, F44=Report!$B$1, G44=Report!$B$1, H44=Report!$B$1), D44, "")</f>
        <v/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83"/>
      <c r="W44" s="183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ht="15.75" customHeight="1">
      <c r="A45" s="5"/>
      <c r="B45" s="186" t="str">
        <f>IF(OR(E45=Report!$B$1, F45=Report!$B$1, G45=Report!$B$1, H45=Report!$B$1), D45, "")</f>
        <v/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83"/>
      <c r="W45" s="183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ht="15.75" customHeight="1">
      <c r="A46" s="5"/>
      <c r="B46" s="186" t="str">
        <f>IF(OR(E46=Report!$B$1, F46=Report!$B$1, G46=Report!$B$1, H46=Report!$B$1), D46, "")</f>
        <v/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83"/>
      <c r="W46" s="183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ht="15.75" customHeight="1">
      <c r="A47" s="5"/>
      <c r="B47" s="186" t="str">
        <f>IF(OR(E47=Report!$B$1, F47=Report!$B$1, G47=Report!$B$1, H47=Report!$B$1), D47, "")</f>
        <v/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83"/>
      <c r="W47" s="183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ht="15.75" customHeight="1">
      <c r="A48" s="5"/>
      <c r="B48" s="186" t="str">
        <f>IF(OR(E48=Report!$B$1, F48=Report!$B$1, G48=Report!$B$1, H48=Report!$B$1), D48, "")</f>
        <v/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83"/>
      <c r="W48" s="183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ht="15.75" customHeight="1">
      <c r="A49" s="5"/>
      <c r="B49" s="186" t="str">
        <f>IF(OR(E49=Report!$B$1, F49=Report!$B$1, G49=Report!$B$1, H49=Report!$B$1), D49, "")</f>
        <v/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83"/>
      <c r="W49" s="183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15.75" customHeight="1">
      <c r="A50" s="5"/>
      <c r="B50" s="186" t="str">
        <f>IF(OR(E50=Report!$B$1, F50=Report!$B$1, G50=Report!$B$1, H50=Report!$B$1), D50, "")</f>
        <v/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83"/>
      <c r="W50" s="183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t="15.75" customHeight="1">
      <c r="A51" s="5"/>
      <c r="B51" s="186" t="str">
        <f>IF(OR(E51=Report!$B$1, F51=Report!$B$1, G51=Report!$B$1, H51=Report!$B$1), D51, "")</f>
        <v/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83"/>
      <c r="W51" s="183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ht="15.75" customHeight="1">
      <c r="A52" s="5"/>
      <c r="B52" s="186" t="str">
        <f>IF(OR(E52=Report!$B$1, F52=Report!$B$1, G52=Report!$B$1, H52=Report!$B$1), D52, "")</f>
        <v/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83"/>
      <c r="W52" s="183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ht="15.75" customHeight="1">
      <c r="A53" s="5"/>
      <c r="B53" s="186" t="str">
        <f>IF(OR(E53=Report!$B$1, F53=Report!$B$1, G53=Report!$B$1, H53=Report!$B$1), D53, "")</f>
        <v/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83"/>
      <c r="W53" s="183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ht="15.75" customHeight="1">
      <c r="A54" s="5"/>
      <c r="B54" s="186" t="str">
        <f>IF(OR(E54=Report!$B$1, F54=Report!$B$1, G54=Report!$B$1, H54=Report!$B$1), D54, "")</f>
        <v/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83"/>
      <c r="W54" s="183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ht="15.75" customHeight="1">
      <c r="A55" s="5"/>
      <c r="B55" s="186" t="str">
        <f>IF(OR(E55=Report!$B$1, F55=Report!$B$1, G55=Report!$B$1, H55=Report!$B$1), D55, "")</f>
        <v/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83"/>
      <c r="W55" s="183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ht="15.75" customHeight="1">
      <c r="A56" s="5"/>
      <c r="B56" s="186" t="str">
        <f>IF(OR(E56=Report!$B$1, F56=Report!$B$1, G56=Report!$B$1, H56=Report!$B$1), D56, "")</f>
        <v/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83"/>
      <c r="W56" s="183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ht="15.75" customHeight="1">
      <c r="A57" s="5"/>
      <c r="B57" s="186" t="str">
        <f>IF(OR(E57=Report!$B$1, F57=Report!$B$1, G57=Report!$B$1, H57=Report!$B$1), D57, "")</f>
        <v/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83"/>
      <c r="W57" s="183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t="15.75" customHeight="1">
      <c r="A58" s="5"/>
      <c r="B58" s="186" t="str">
        <f>IF(OR(E58=Report!$B$1, F58=Report!$B$1, G58=Report!$B$1, H58=Report!$B$1), D58, "")</f>
        <v/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83"/>
      <c r="W58" s="183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ht="15.75" customHeight="1">
      <c r="A59" s="5"/>
      <c r="B59" s="186" t="str">
        <f>IF(OR(E59=Report!$B$1, F59=Report!$B$1, G59=Report!$B$1, H59=Report!$B$1), D59, "")</f>
        <v/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83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ht="15.75" customHeight="1">
      <c r="A60" s="5"/>
      <c r="B60" s="186" t="str">
        <f>IF(OR(E60=Report!$B$1, F60=Report!$B$1, G60=Report!$B$1, H60=Report!$B$1), D60, "")</f>
        <v/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183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ht="15.75" customHeight="1">
      <c r="A61" s="5"/>
      <c r="B61" s="185" t="str">
        <f>IF(OR(E61=Report!$B$1, F61=Report!$B$1, G61=Report!$B$1, H61=Report!$B$1), D61, "")</f>
        <v/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83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ht="15.75" customHeight="1">
      <c r="A62" s="5"/>
      <c r="B62" s="185" t="str">
        <f>IF(OR(E62=Report!$B$1, F62=Report!$B$1, G62=Report!$B$1, H62=Report!$B$1), D62, "")</f>
        <v/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183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ht="15.75" customHeight="1">
      <c r="A63" s="5"/>
      <c r="B63" s="185" t="str">
        <f>IF(OR(E63=Report!$B$1, F63=Report!$B$1, G63=Report!$B$1, H63=Report!$B$1), D63, "")</f>
        <v/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183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t="15.75" customHeight="1">
      <c r="A64" s="5"/>
      <c r="B64" s="185" t="str">
        <f>IF(OR(E64=Report!$B$1, F64=Report!$B$1, G64=Report!$B$1, H64=Report!$B$1), D64, "")</f>
        <v/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83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t="15.75" customHeight="1">
      <c r="A65" s="5"/>
      <c r="B65" s="185" t="str">
        <f>IF(OR(E65=Report!$B$1, F65=Report!$B$1, G65=Report!$B$1, H65=Report!$B$1), D65, "")</f>
        <v/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18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ht="15.75" customHeight="1">
      <c r="A66" s="5"/>
      <c r="B66" s="185" t="str">
        <f>IF(OR(E66=Report!$B$1, F66=Report!$B$1, G66=Report!$B$1, H66=Report!$B$1), D66, "")</f>
        <v/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83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ht="15.75" customHeight="1">
      <c r="A67" s="5"/>
      <c r="B67" s="185" t="str">
        <f>IF(OR(E67=Report!$B$1, F67=Report!$B$1, G67=Report!$B$1, H67=Report!$B$1), D67, "")</f>
        <v/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83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15.75" customHeight="1">
      <c r="A68" s="5"/>
      <c r="B68" s="185" t="str">
        <f>IF(OR(E68=Report!$B$1, F68=Report!$B$1, G68=Report!$B$1, H68=Report!$B$1), D68, "")</f>
        <v/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83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ht="15.75" customHeight="1">
      <c r="A69" s="5"/>
      <c r="B69" s="185" t="str">
        <f>IF(OR(E69=Report!$B$1, F69=Report!$B$1, G69=Report!$B$1, H69=Report!$B$1), D69, "")</f>
        <v/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83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t="15.75" customHeight="1">
      <c r="A70" s="5"/>
      <c r="B70" s="185" t="str">
        <f>IF(OR(E70=Report!$B$1, F70=Report!$B$1, G70=Report!$B$1, H70=Report!$B$1), D70, "")</f>
        <v/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83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ht="15.75" customHeight="1">
      <c r="A71" s="5"/>
      <c r="B71" s="185" t="str">
        <f>IF(OR(E71=Report!$B$1, F71=Report!$B$1, G71=Report!$B$1, H71=Report!$B$1), D71, "")</f>
        <v/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83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ht="15.75" customHeight="1">
      <c r="A72" s="5"/>
      <c r="B72" s="185" t="str">
        <f>IF(OR(E72=Report!$B$1, F72=Report!$B$1, G72=Report!$B$1, H72=Report!$B$1), D72, "")</f>
        <v/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83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ht="15.75" customHeight="1">
      <c r="A73" s="5"/>
      <c r="B73" s="185" t="str">
        <f>IF(OR(E73=Report!$B$1, F73=Report!$B$1, G73=Report!$B$1, H73=Report!$B$1), D73, "")</f>
        <v/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83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ht="15.75" customHeight="1">
      <c r="A74" s="5"/>
      <c r="B74" s="185" t="str">
        <f>IF(OR(E74=Report!$B$1, F74=Report!$B$1, G74=Report!$B$1, H74=Report!$B$1), D74, "")</f>
        <v/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83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ht="15.75" customHeight="1">
      <c r="A75" s="5"/>
      <c r="B75" s="185" t="str">
        <f>IF(OR(E75=Report!$B$1, F75=Report!$B$1, G75=Report!$B$1, H75=Report!$B$1), D75, "")</f>
        <v/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83"/>
      <c r="W75" s="183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ht="15.75" customHeight="1">
      <c r="A76" s="5"/>
      <c r="B76" s="185" t="str">
        <f>IF(OR(E76=Report!$B$1, F76=Report!$B$1, G76=Report!$B$1, H76=Report!$B$1), D76, "")</f>
        <v/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83"/>
      <c r="W76" s="183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ht="15.75" customHeight="1">
      <c r="A77" s="5"/>
      <c r="B77" s="185" t="str">
        <f>IF(OR(E77=Report!$B$1, F77=Report!$B$1, G77=Report!$B$1, H77=Report!$B$1), D77, "")</f>
        <v/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83"/>
      <c r="W77" s="183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ht="15.75" customHeight="1">
      <c r="A78" s="5"/>
      <c r="B78" s="185" t="str">
        <f>IF(OR(E78=Report!$B$1, F78=Report!$B$1, G78=Report!$B$1, H78=Report!$B$1), D78, "")</f>
        <v/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83"/>
      <c r="W78" s="183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ht="15.75" customHeight="1">
      <c r="A79" s="5"/>
      <c r="B79" s="185" t="str">
        <f>IF(OR(E79=Report!$B$1, F79=Report!$B$1, G79=Report!$B$1, H79=Report!$B$1), D79, "")</f>
        <v/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83"/>
      <c r="W79" s="183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ht="15.75" customHeight="1">
      <c r="A80" s="5"/>
      <c r="B80" s="185" t="str">
        <f>IF(OR(E80=Report!$B$1, F80=Report!$B$1, G80=Report!$B$1, H80=Report!$B$1), D80, "")</f>
        <v/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83"/>
      <c r="W80" s="183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ht="15.75" customHeight="1">
      <c r="A81" s="5"/>
      <c r="B81" s="185" t="str">
        <f>IF(OR(E81=Report!$B$1, F81=Report!$B$1, G81=Report!$B$1, H81=Report!$B$1), D81, "")</f>
        <v/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83"/>
      <c r="W81" s="183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ht="15.75" customHeight="1">
      <c r="A82" s="5"/>
      <c r="B82" s="185" t="str">
        <f>IF(OR(E82=Report!$B$1, F82=Report!$B$1, G82=Report!$B$1, H82=Report!$B$1), D82, "")</f>
        <v/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83"/>
      <c r="W82" s="183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ht="15.75" customHeight="1">
      <c r="A83" s="5"/>
      <c r="B83" s="185" t="str">
        <f>IF(OR(E83=Report!$B$1, F83=Report!$B$1, G83=Report!$B$1, H83=Report!$B$1), D83, "")</f>
        <v/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83"/>
      <c r="W83" s="183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ht="15.75" customHeight="1">
      <c r="A84" s="5"/>
      <c r="B84" s="185" t="str">
        <f>IF(OR(E84=Report!$B$1, F84=Report!$B$1, G84=Report!$B$1, H84=Report!$B$1), D84, "")</f>
        <v/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83"/>
      <c r="W84" s="183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ht="15.75" customHeight="1">
      <c r="A85" s="5"/>
      <c r="B85" s="185" t="str">
        <f>IF(OR(E85=Report!$B$1, F85=Report!$B$1, G85=Report!$B$1, H85=Report!$B$1), D85, "")</f>
        <v/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83"/>
      <c r="W85" s="183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ht="15.75" customHeight="1">
      <c r="A86" s="5"/>
      <c r="B86" s="185" t="str">
        <f>IF(OR(E86=Report!$B$1, F86=Report!$B$1, G86=Report!$B$1, H86=Report!$B$1), D86, "")</f>
        <v/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83"/>
      <c r="W86" s="183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ht="15.75" customHeight="1">
      <c r="A87" s="5"/>
      <c r="B87" s="185" t="str">
        <f>IF(OR(E87=Report!$B$1, F87=Report!$B$1, G87=Report!$B$1, H87=Report!$B$1), D87, "")</f>
        <v/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83"/>
      <c r="W87" s="183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ht="15.75" customHeight="1">
      <c r="A88" s="5"/>
      <c r="B88" s="185" t="str">
        <f>IF(OR(E88=Report!$B$1, F88=Report!$B$1, G88=Report!$B$1, H88=Report!$B$1), D88, "")</f>
        <v/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83"/>
      <c r="W88" s="183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ht="15.75" customHeight="1">
      <c r="A89" s="5"/>
      <c r="B89" s="185" t="str">
        <f>IF(OR(E89=Report!$B$1, F89=Report!$B$1, G89=Report!$B$1, H89=Report!$B$1), D89, "")</f>
        <v/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83"/>
      <c r="W89" s="183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ht="15.75" customHeight="1">
      <c r="A90" s="5"/>
      <c r="B90" s="185" t="str">
        <f>IF(OR(E90=Report!$B$1, F90=Report!$B$1, G90=Report!$B$1, H90=Report!$B$1), D90, "")</f>
        <v/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83"/>
      <c r="W90" s="183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ht="15.75" customHeight="1">
      <c r="A91" s="5"/>
      <c r="B91" s="185" t="str">
        <f>IF(OR(E91=Report!$B$1, F91=Report!$B$1, G91=Report!$B$1, H91=Report!$B$1), D91, "")</f>
        <v/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83"/>
      <c r="W91" s="183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ht="15.75" customHeight="1">
      <c r="A92" s="5"/>
      <c r="B92" s="185" t="str">
        <f>IF(OR(E92=Report!$B$1, F92=Report!$B$1, G92=Report!$B$1, H92=Report!$B$1), D92, "")</f>
        <v/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83"/>
      <c r="W92" s="183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ht="15.75" customHeight="1">
      <c r="A93" s="5"/>
      <c r="B93" s="185" t="str">
        <f>IF(OR(E93=Report!$B$1, F93=Report!$B$1, G93=Report!$B$1, H93=Report!$B$1), D93, "")</f>
        <v/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83"/>
      <c r="W93" s="183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ht="15.75" customHeight="1">
      <c r="A94" s="5"/>
      <c r="B94" s="185" t="str">
        <f>IF(OR(E94=Report!$B$1, F94=Report!$B$1, G94=Report!$B$1, H94=Report!$B$1), D94, "")</f>
        <v/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83"/>
      <c r="W94" s="183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ht="15.75" customHeight="1">
      <c r="A95" s="5"/>
      <c r="B95" s="185" t="str">
        <f>IF(OR(E95=Report!$B$1, F95=Report!$B$1, G95=Report!$B$1, H95=Report!$B$1), D95, "")</f>
        <v/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83"/>
      <c r="W95" s="183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ht="15.75" customHeight="1">
      <c r="A96" s="5"/>
      <c r="B96" s="185" t="str">
        <f>IF(OR(E96=Report!$B$1, F96=Report!$B$1, G96=Report!$B$1, H96=Report!$B$1), D96, "")</f>
        <v/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83"/>
      <c r="W96" s="183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ht="15.75" customHeight="1">
      <c r="A97" s="5"/>
      <c r="B97" s="185" t="str">
        <f>IF(OR(E97=Report!$B$1, F97=Report!$B$1, G97=Report!$B$1, H97=Report!$B$1), D97, "")</f>
        <v/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83"/>
      <c r="W97" s="183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ht="15.75" customHeight="1">
      <c r="A98" s="5"/>
      <c r="B98" s="185" t="str">
        <f>IF(OR(E98=Report!$B$1, F98=Report!$B$1, G98=Report!$B$1, H98=Report!$B$1), D98, "")</f>
        <v/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83"/>
      <c r="W98" s="183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ht="15.75" customHeight="1">
      <c r="A99" s="5"/>
      <c r="B99" s="185" t="str">
        <f>IF(OR(E99=Report!$B$1, F99=Report!$B$1, G99=Report!$B$1, H99=Report!$B$1), D99, "")</f>
        <v/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83"/>
      <c r="W99" s="183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ht="15.75" customHeight="1">
      <c r="A100" s="5"/>
      <c r="B100" s="185" t="str">
        <f>IF(OR(E100=Report!$B$1, F100=Report!$B$1, G100=Report!$B$1, H100=Report!$B$1), D100, "")</f>
        <v/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83"/>
      <c r="W100" s="183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ht="15.75" customHeight="1">
      <c r="A101" s="5"/>
      <c r="B101" s="185" t="str">
        <f>IF(OR(E101=Report!$B$1, F101=Report!$B$1, G101=Report!$B$1, H101=Report!$B$1), D101, "")</f>
        <v/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83"/>
      <c r="W101" s="183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ht="15.75" customHeight="1">
      <c r="A102" s="5"/>
      <c r="B102" s="185" t="str">
        <f>IF(OR(E102=Report!$B$1, F102=Report!$B$1, G102=Report!$B$1, H102=Report!$B$1), D102, "")</f>
        <v/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83"/>
      <c r="W102" s="183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ht="15.75" customHeight="1">
      <c r="A103" s="5"/>
      <c r="B103" s="185" t="str">
        <f>IF(OR(E103=Report!$B$1, F103=Report!$B$1, G103=Report!$B$1, H103=Report!$B$1), D103, "")</f>
        <v/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83"/>
      <c r="W103" s="183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ht="15.75" customHeight="1">
      <c r="A104" s="5"/>
      <c r="B104" s="185" t="str">
        <f>IF(OR(E104=Report!$B$1, F104=Report!$B$1, G104=Report!$B$1, H104=Report!$B$1), D104, "")</f>
        <v/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83"/>
      <c r="W104" s="183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ht="15.75" customHeight="1">
      <c r="A105" s="5"/>
      <c r="B105" s="185" t="str">
        <f>IF(OR(E105=Report!$B$1, F105=Report!$B$1, G105=Report!$B$1, H105=Report!$B$1), D105, "")</f>
        <v/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83"/>
      <c r="W105" s="183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ht="15.75" customHeight="1">
      <c r="A106" s="5"/>
      <c r="B106" s="185" t="str">
        <f>IF(OR(E106=Report!$B$1, F106=Report!$B$1, G106=Report!$B$1, H106=Report!$B$1), D106, "")</f>
        <v/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83"/>
      <c r="W106" s="183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ht="15.75" customHeight="1">
      <c r="A107" s="5"/>
      <c r="B107" s="185" t="str">
        <f>IF(OR(E107=Report!$B$1, F107=Report!$B$1, G107=Report!$B$1, H107=Report!$B$1), D107, "")</f>
        <v/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83"/>
      <c r="W107" s="183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ht="15.75" customHeight="1">
      <c r="A108" s="5"/>
      <c r="B108" s="185" t="str">
        <f>IF(OR(E108=Report!$B$1, F108=Report!$B$1, G108=Report!$B$1, H108=Report!$B$1), D108, "")</f>
        <v/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83"/>
      <c r="W108" s="183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ht="15.75" customHeight="1">
      <c r="A109" s="5"/>
      <c r="B109" s="185" t="str">
        <f>IF(OR(E109=Report!$B$1, F109=Report!$B$1, G109=Report!$B$1, H109=Report!$B$1), D109, "")</f>
        <v/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83"/>
      <c r="W109" s="183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ht="15.75" customHeight="1">
      <c r="A110" s="5"/>
      <c r="B110" s="185" t="str">
        <f>IF(OR(E110=Report!$B$1, F110=Report!$B$1, G110=Report!$B$1, H110=Report!$B$1), D110, "")</f>
        <v/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83"/>
      <c r="W110" s="183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ht="15.75" customHeight="1">
      <c r="A111" s="5"/>
      <c r="B111" s="185" t="str">
        <f>IF(OR(E111=Report!$B$1, F111=Report!$B$1, G111=Report!$B$1, H111=Report!$B$1), D111, "")</f>
        <v/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83"/>
      <c r="W111" s="183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ht="15.75" customHeight="1">
      <c r="A112" s="5"/>
      <c r="B112" s="185" t="str">
        <f>IF(OR(E112=Report!$B$1, F112=Report!$B$1, G112=Report!$B$1, H112=Report!$B$1), D112, "")</f>
        <v/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83"/>
      <c r="W112" s="183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ht="15.75" customHeight="1">
      <c r="A113" s="5"/>
      <c r="B113" s="185" t="str">
        <f>IF(OR(E113=Report!$B$1, F113=Report!$B$1, G113=Report!$B$1, H113=Report!$B$1), D113, "")</f>
        <v/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83"/>
      <c r="W113" s="183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ht="15.75" customHeight="1">
      <c r="A114" s="5"/>
      <c r="B114" s="185" t="str">
        <f>IF(OR(E114=Report!$B$1, F114=Report!$B$1, G114=Report!$B$1, H114=Report!$B$1), D114, "")</f>
        <v/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83"/>
      <c r="W114" s="183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ht="15.75" customHeight="1">
      <c r="A115" s="5"/>
      <c r="B115" s="185" t="str">
        <f>IF(OR(E115=Report!$B$1, F115=Report!$B$1, G115=Report!$B$1, H115=Report!$B$1), D115, "")</f>
        <v/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83"/>
      <c r="W115" s="183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ht="15.75" customHeight="1">
      <c r="A116" s="5"/>
      <c r="B116" s="185" t="str">
        <f>IF(OR(E116=Report!$B$1, F116=Report!$B$1, G116=Report!$B$1, H116=Report!$B$1), D116, "")</f>
        <v/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83"/>
      <c r="W116" s="183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ht="15.75" customHeight="1">
      <c r="A117" s="5"/>
      <c r="B117" s="185" t="str">
        <f>IF(OR(E117=Report!$B$1, F117=Report!$B$1, G117=Report!$B$1, H117=Report!$B$1), D117, "")</f>
        <v/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83"/>
      <c r="W117" s="183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ht="15.75" customHeight="1">
      <c r="A118" s="5"/>
      <c r="B118" s="185" t="str">
        <f>IF(OR(E118=Report!$B$1, F118=Report!$B$1, G118=Report!$B$1, H118=Report!$B$1), D118, "")</f>
        <v/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83"/>
      <c r="W118" s="183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ht="15.75" customHeight="1">
      <c r="A119" s="5"/>
      <c r="B119" s="185" t="str">
        <f>IF(OR(E119=Report!$B$1, F119=Report!$B$1, G119=Report!$B$1, H119=Report!$B$1), D119, "")</f>
        <v/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83"/>
      <c r="W119" s="183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ht="15.75" customHeight="1">
      <c r="A120" s="5"/>
      <c r="B120" s="185" t="str">
        <f>IF(OR(E120=Report!$B$1, F120=Report!$B$1, G120=Report!$B$1, H120=Report!$B$1), D120, "")</f>
        <v/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83"/>
      <c r="W120" s="183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ht="15.75" customHeight="1">
      <c r="A121" s="5"/>
      <c r="B121" s="185" t="str">
        <f>IF(OR(E121=Report!$B$1, F121=Report!$B$1, G121=Report!$B$1, H121=Report!$B$1), D121, "")</f>
        <v/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83"/>
      <c r="W121" s="183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ht="15.75" customHeight="1">
      <c r="A122" s="5"/>
      <c r="B122" s="185" t="str">
        <f>IF(OR(E122=Report!$B$1, F122=Report!$B$1, G122=Report!$B$1, H122=Report!$B$1), D122, "")</f>
        <v/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83"/>
      <c r="W122" s="183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ht="15.75" customHeight="1">
      <c r="A123" s="5"/>
      <c r="B123" s="185" t="str">
        <f>IF(OR(E123=Report!$B$1, F123=Report!$B$1, G123=Report!$B$1, H123=Report!$B$1), D123, "")</f>
        <v/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83"/>
      <c r="W123" s="183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ht="15.75" customHeight="1">
      <c r="A124" s="5"/>
      <c r="B124" s="185" t="str">
        <f>IF(OR(E124=Report!$B$1, F124=Report!$B$1, G124=Report!$B$1, H124=Report!$B$1), D124, "")</f>
        <v/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83"/>
      <c r="W124" s="183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ht="15.75" customHeight="1">
      <c r="A125" s="5"/>
      <c r="B125" s="185" t="str">
        <f>IF(OR(E125=Report!$B$1, F125=Report!$B$1, G125=Report!$B$1, H125=Report!$B$1), D125, "")</f>
        <v/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83"/>
      <c r="W125" s="183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ht="15.75" customHeight="1">
      <c r="A126" s="5"/>
      <c r="B126" s="185" t="str">
        <f>IF(OR(E126=Report!$B$1, F126=Report!$B$1, G126=Report!$B$1, H126=Report!$B$1), D126, "")</f>
        <v/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83"/>
      <c r="W126" s="183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ht="15.75" customHeight="1">
      <c r="A127" s="5"/>
      <c r="B127" s="185" t="str">
        <f>IF(OR(E127=Report!$B$1, F127=Report!$B$1, G127=Report!$B$1, H127=Report!$B$1), D127, "")</f>
        <v/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83"/>
      <c r="W127" s="183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ht="15.75" customHeight="1">
      <c r="A128" s="5"/>
      <c r="B128" s="185" t="str">
        <f>IF(OR(E128=Report!$B$1, F128=Report!$B$1, G128=Report!$B$1, H128=Report!$B$1), D128, "")</f>
        <v/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83"/>
      <c r="W128" s="183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ht="15.75" customHeight="1">
      <c r="A129" s="5"/>
      <c r="B129" s="185" t="str">
        <f>IF(OR(E129=Report!$B$1, F129=Report!$B$1, G129=Report!$B$1, H129=Report!$B$1), D129, "")</f>
        <v/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83"/>
      <c r="W129" s="183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ht="15.75" customHeight="1">
      <c r="A130" s="5"/>
      <c r="B130" s="185" t="str">
        <f>IF(OR(E130=Report!$B$1, F130=Report!$B$1, G130=Report!$B$1, H130=Report!$B$1), D130, "")</f>
        <v/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83"/>
      <c r="W130" s="183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ht="15.75" customHeight="1">
      <c r="A131" s="5"/>
      <c r="B131" s="185" t="str">
        <f>IF(OR(E131=Report!$B$1, F131=Report!$B$1, G131=Report!$B$1, H131=Report!$B$1), D131, "")</f>
        <v/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83"/>
      <c r="W131" s="183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ht="15.75" customHeight="1">
      <c r="A132" s="5"/>
      <c r="B132" s="185" t="str">
        <f>IF(OR(E132=Report!$B$1, F132=Report!$B$1, G132=Report!$B$1, H132=Report!$B$1), D132, "")</f>
        <v/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83"/>
      <c r="W132" s="183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ht="15.75" customHeight="1">
      <c r="A133" s="5"/>
      <c r="B133" s="185" t="str">
        <f>IF(OR(E133=Report!$B$1, F133=Report!$B$1, G133=Report!$B$1, H133=Report!$B$1), D133, "")</f>
        <v/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83"/>
      <c r="W133" s="183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ht="15.75" customHeight="1">
      <c r="A134" s="5"/>
      <c r="B134" s="185" t="str">
        <f>IF(OR(E134=Report!$B$1, F134=Report!$B$1, G134=Report!$B$1, H134=Report!$B$1), D134, "")</f>
        <v/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83"/>
      <c r="W134" s="183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ht="15.75" customHeight="1">
      <c r="A135" s="5"/>
      <c r="B135" s="185" t="str">
        <f>IF(OR(E135=Report!$B$1, F135=Report!$B$1, G135=Report!$B$1, H135=Report!$B$1), D135, "")</f>
        <v/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83"/>
      <c r="W135" s="183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ht="15.75" customHeight="1">
      <c r="A136" s="5"/>
      <c r="B136" s="185" t="str">
        <f>IF(OR(E136=Report!$B$1, F136=Report!$B$1, G136=Report!$B$1, H136=Report!$B$1), D136, "")</f>
        <v/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83"/>
      <c r="W136" s="183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ht="15.75" customHeight="1">
      <c r="A137" s="5"/>
      <c r="B137" s="185" t="str">
        <f>IF(OR(E137=Report!$B$1, F137=Report!$B$1, G137=Report!$B$1, H137=Report!$B$1), D137, "")</f>
        <v/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83"/>
      <c r="W137" s="183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ht="15.75" customHeight="1">
      <c r="A138" s="5"/>
      <c r="B138" s="185" t="str">
        <f>IF(OR(E138=Report!$B$1, F138=Report!$B$1, G138=Report!$B$1, H138=Report!$B$1), D138, "")</f>
        <v/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83"/>
      <c r="W138" s="183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ht="15.75" customHeight="1">
      <c r="A139" s="5"/>
      <c r="B139" s="185" t="str">
        <f>IF(OR(E139=Report!$B$1, F139=Report!$B$1, G139=Report!$B$1, H139=Report!$B$1), D139, "")</f>
        <v/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83"/>
      <c r="W139" s="183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ht="15.75" customHeight="1">
      <c r="A140" s="5"/>
      <c r="B140" s="185" t="str">
        <f>IF(OR(E140=Report!$B$1, F140=Report!$B$1, G140=Report!$B$1, H140=Report!$B$1), D140, "")</f>
        <v/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83"/>
      <c r="W140" s="183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ht="15.75" customHeight="1">
      <c r="A141" s="5"/>
      <c r="B141" s="185" t="str">
        <f>IF(OR(E141=Report!$B$1, F141=Report!$B$1, G141=Report!$B$1, H141=Report!$B$1), D141, "")</f>
        <v/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83"/>
      <c r="W141" s="183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ht="15.75" customHeight="1">
      <c r="A142" s="5"/>
      <c r="B142" s="185" t="str">
        <f>IF(OR(E142=Report!$B$1, F142=Report!$B$1, G142=Report!$B$1, H142=Report!$B$1), D142, "")</f>
        <v/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83"/>
      <c r="W142" s="183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ht="15.75" customHeight="1">
      <c r="A143" s="5"/>
      <c r="B143" s="185" t="str">
        <f>IF(OR(E143=Report!$B$1, F143=Report!$B$1, G143=Report!$B$1, H143=Report!$B$1), D143, "")</f>
        <v/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83"/>
      <c r="W143" s="183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ht="15.75" customHeight="1">
      <c r="A144" s="5"/>
      <c r="B144" s="185" t="str">
        <f>IF(OR(E144=Report!$B$1, F144=Report!$B$1, G144=Report!$B$1, H144=Report!$B$1), D144, "")</f>
        <v/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83"/>
      <c r="W144" s="183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ht="15.75" customHeight="1">
      <c r="A145" s="5"/>
      <c r="B145" s="185" t="str">
        <f>IF(OR(E145=Report!$B$1, F145=Report!$B$1, G145=Report!$B$1, H145=Report!$B$1), D145, "")</f>
        <v/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83"/>
      <c r="W145" s="183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ht="15.75" customHeight="1">
      <c r="A146" s="5"/>
      <c r="B146" s="185" t="str">
        <f>IF(OR(E146=Report!$B$1, F146=Report!$B$1, G146=Report!$B$1, H146=Report!$B$1), D146, "")</f>
        <v/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83"/>
      <c r="W146" s="183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ht="15.75" customHeight="1">
      <c r="A147" s="5"/>
      <c r="B147" s="185" t="str">
        <f>IF(OR(E147=Report!$B$1, F147=Report!$B$1, G147=Report!$B$1, H147=Report!$B$1), D147, "")</f>
        <v/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83"/>
      <c r="W147" s="183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ht="15.75" customHeight="1">
      <c r="A148" s="5"/>
      <c r="B148" s="185" t="str">
        <f>IF(OR(E148=Report!$B$1, F148=Report!$B$1, G148=Report!$B$1, H148=Report!$B$1), D148, "")</f>
        <v/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83"/>
      <c r="W148" s="183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ht="15.75" customHeight="1">
      <c r="A149" s="5"/>
      <c r="B149" s="185" t="str">
        <f>IF(OR(E149=Report!$B$1, F149=Report!$B$1, G149=Report!$B$1, H149=Report!$B$1), D149, "")</f>
        <v/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83"/>
      <c r="W149" s="183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ht="15.75" customHeight="1">
      <c r="A150" s="5"/>
      <c r="B150" s="185" t="str">
        <f>IF(OR(E150=Report!$B$1, F150=Report!$B$1, G150=Report!$B$1, H150=Report!$B$1), D150, "")</f>
        <v/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83"/>
      <c r="W150" s="183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ht="15.75" customHeight="1">
      <c r="A151" s="5"/>
      <c r="B151" s="185" t="str">
        <f>IF(OR(E151=Report!$B$1, F151=Report!$B$1, G151=Report!$B$1, H151=Report!$B$1), D151, "")</f>
        <v/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183"/>
      <c r="W151" s="183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ht="15.75" customHeight="1">
      <c r="A152" s="5"/>
      <c r="B152" s="185" t="str">
        <f>IF(OR(E152=Report!$B$1, F152=Report!$B$1, G152=Report!$B$1, H152=Report!$B$1), D152, "")</f>
        <v/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183"/>
      <c r="W152" s="183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ht="15.75" customHeight="1">
      <c r="A153" s="5"/>
      <c r="B153" s="185" t="str">
        <f>IF(OR(E153=Report!$B$1, F153=Report!$B$1, G153=Report!$B$1, H153=Report!$B$1), D153, "")</f>
        <v/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183"/>
      <c r="W153" s="183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ht="15.75" customHeight="1">
      <c r="A154" s="5"/>
      <c r="B154" s="185" t="str">
        <f>IF(OR(E154=Report!$B$1, F154=Report!$B$1, G154=Report!$B$1, H154=Report!$B$1), D154, "")</f>
        <v/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183"/>
      <c r="W154" s="183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ht="15.75" customHeight="1">
      <c r="A155" s="5"/>
      <c r="B155" s="185" t="str">
        <f>IF(OR(E155=Report!$B$1, F155=Report!$B$1, G155=Report!$B$1, H155=Report!$B$1), D155, "")</f>
        <v/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183"/>
      <c r="W155" s="183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ht="15.75" customHeight="1">
      <c r="A156" s="5"/>
      <c r="B156" s="185" t="str">
        <f>IF(OR(E156=Report!$B$1, F156=Report!$B$1, G156=Report!$B$1, H156=Report!$B$1), D156, "")</f>
        <v/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183"/>
      <c r="W156" s="183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ht="15.75" customHeight="1">
      <c r="A157" s="5"/>
      <c r="B157" s="185" t="str">
        <f>IF(OR(E157=Report!$B$1, F157=Report!$B$1, G157=Report!$B$1, H157=Report!$B$1), D157, "")</f>
        <v/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183"/>
      <c r="W157" s="183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ht="15.75" customHeight="1">
      <c r="A158" s="5"/>
      <c r="B158" s="185" t="str">
        <f>IF(OR(E158=Report!$B$1, F158=Report!$B$1, G158=Report!$B$1, H158=Report!$B$1), D158, "")</f>
        <v/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183"/>
      <c r="W158" s="183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ht="15.75" customHeight="1">
      <c r="A159" s="5"/>
      <c r="B159" s="185" t="str">
        <f>IF(OR(E159=Report!$B$1, F159=Report!$B$1, G159=Report!$B$1, H159=Report!$B$1), D159, "")</f>
        <v/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183"/>
      <c r="W159" s="183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ht="15.75" customHeight="1">
      <c r="A160" s="5"/>
      <c r="B160" s="185" t="str">
        <f>IF(OR(E160=Report!$B$1, F160=Report!$B$1, G160=Report!$B$1, H160=Report!$B$1), D160, "")</f>
        <v/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183"/>
      <c r="W160" s="183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ht="15.75" customHeight="1">
      <c r="A161" s="5"/>
      <c r="B161" s="185" t="str">
        <f>IF(OR(E161=Report!$B$1, F161=Report!$B$1, G161=Report!$B$1, H161=Report!$B$1), D161, "")</f>
        <v/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183"/>
      <c r="W161" s="183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ht="15.75" customHeight="1">
      <c r="A162" s="5"/>
      <c r="B162" s="185" t="str">
        <f>IF(OR(E162=Report!$B$1, F162=Report!$B$1, G162=Report!$B$1, H162=Report!$B$1), D162, "")</f>
        <v/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183"/>
      <c r="W162" s="183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ht="15.75" customHeight="1">
      <c r="A163" s="5"/>
      <c r="B163" s="185" t="str">
        <f>IF(OR(E163=Report!$B$1, F163=Report!$B$1, G163=Report!$B$1, H163=Report!$B$1), D163, "")</f>
        <v/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183"/>
      <c r="W163" s="183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ht="15.75" customHeight="1">
      <c r="A164" s="5"/>
      <c r="B164" s="185" t="str">
        <f>IF(OR(E164=Report!$B$1, F164=Report!$B$1, G164=Report!$B$1, H164=Report!$B$1), D164, "")</f>
        <v/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183"/>
      <c r="W164" s="183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ht="15.75" customHeight="1">
      <c r="A165" s="5"/>
      <c r="B165" s="185" t="str">
        <f>IF(OR(E165=Report!$B$1, F165=Report!$B$1, G165=Report!$B$1, H165=Report!$B$1), D165, "")</f>
        <v/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183"/>
      <c r="W165" s="183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ht="15.75" customHeight="1">
      <c r="A166" s="5"/>
      <c r="B166" s="185" t="str">
        <f>IF(OR(E166=Report!$B$1, F166=Report!$B$1, G166=Report!$B$1, H166=Report!$B$1), D166, "")</f>
        <v/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183"/>
      <c r="W166" s="183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5.75" customHeight="1">
      <c r="A167" s="5"/>
      <c r="B167" s="185" t="str">
        <f>IF(OR(E167=Report!$B$1, F167=Report!$B$1, G167=Report!$B$1, H167=Report!$B$1), D167, "")</f>
        <v/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183"/>
      <c r="W167" s="183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ht="15.75" customHeight="1">
      <c r="A168" s="5"/>
      <c r="B168" s="185" t="str">
        <f>IF(OR(E168=Report!$B$1, F168=Report!$B$1, G168=Report!$B$1, H168=Report!$B$1), D168, "")</f>
        <v/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183"/>
      <c r="W168" s="183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ht="15.75" customHeight="1">
      <c r="A169" s="5"/>
      <c r="B169" s="185" t="str">
        <f>IF(OR(E169=Report!$B$1, F169=Report!$B$1, G169=Report!$B$1, H169=Report!$B$1), D169, "")</f>
        <v/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183"/>
      <c r="W169" s="183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ht="15.75" customHeight="1">
      <c r="A170" s="5"/>
      <c r="B170" s="185" t="str">
        <f>IF(OR(E170=Report!$B$1, F170=Report!$B$1, G170=Report!$B$1, H170=Report!$B$1), D170, "")</f>
        <v/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183"/>
      <c r="W170" s="183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ht="15.75" customHeight="1">
      <c r="A171" s="5"/>
      <c r="B171" s="185" t="str">
        <f>IF(OR(E171=Report!$B$1, F171=Report!$B$1, G171=Report!$B$1, H171=Report!$B$1), D171, "")</f>
        <v/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183"/>
      <c r="W171" s="183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ht="15.75" customHeight="1">
      <c r="A172" s="5"/>
      <c r="B172" s="185" t="str">
        <f>IF(OR(E172=Report!$B$1, F172=Report!$B$1, G172=Report!$B$1, H172=Report!$B$1), D172, "")</f>
        <v/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183"/>
      <c r="W172" s="183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ht="15.75" customHeight="1">
      <c r="A173" s="5"/>
      <c r="B173" s="185" t="str">
        <f>IF(OR(E173=Report!$B$1, F173=Report!$B$1, G173=Report!$B$1, H173=Report!$B$1), D173, "")</f>
        <v/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183"/>
      <c r="W173" s="183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ht="15.75" customHeight="1">
      <c r="A174" s="5"/>
      <c r="B174" s="185" t="str">
        <f>IF(OR(E174=Report!$B$1, F174=Report!$B$1, G174=Report!$B$1, H174=Report!$B$1), D174, "")</f>
        <v/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183"/>
      <c r="W174" s="183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t="15.75" customHeight="1">
      <c r="A175" s="5"/>
      <c r="B175" s="185" t="str">
        <f>IF(OR(E175=Report!$B$1, F175=Report!$B$1, G175=Report!$B$1, H175=Report!$B$1), D175, "")</f>
        <v/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183"/>
      <c r="W175" s="183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ht="15.75" customHeight="1">
      <c r="A176" s="5"/>
      <c r="B176" s="185" t="str">
        <f>IF(OR(E176=Report!$B$1, F176=Report!$B$1, G176=Report!$B$1, H176=Report!$B$1), D176, "")</f>
        <v/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183"/>
      <c r="W176" s="183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ht="15.75" customHeight="1">
      <c r="A177" s="5"/>
      <c r="B177" s="185" t="str">
        <f>IF(OR(E177=Report!$B$1, F177=Report!$B$1, G177=Report!$B$1, H177=Report!$B$1), D177, "")</f>
        <v/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183"/>
      <c r="W177" s="183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ht="15.75" customHeight="1">
      <c r="A178" s="5"/>
      <c r="B178" s="185" t="str">
        <f>IF(OR(E178=Report!$B$1, F178=Report!$B$1, G178=Report!$B$1, H178=Report!$B$1), D178, "")</f>
        <v/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183"/>
      <c r="W178" s="183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ht="15.75" customHeight="1">
      <c r="A179" s="5"/>
      <c r="B179" s="185" t="str">
        <f>IF(OR(E179=Report!$B$1, F179=Report!$B$1, G179=Report!$B$1, H179=Report!$B$1), D179, "")</f>
        <v/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183"/>
      <c r="W179" s="183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183"/>
      <c r="W180" s="183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183"/>
      <c r="W181" s="183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183"/>
      <c r="W182" s="183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183"/>
      <c r="W183" s="183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183"/>
      <c r="W184" s="183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183"/>
      <c r="W185" s="183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183"/>
      <c r="W186" s="183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183"/>
      <c r="W187" s="183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183"/>
      <c r="W188" s="183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183"/>
      <c r="W189" s="183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183"/>
      <c r="W190" s="183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183"/>
      <c r="W191" s="183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183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183"/>
      <c r="W193" s="183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183"/>
      <c r="W194" s="183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183"/>
      <c r="W195" s="183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183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183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183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183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183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183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183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183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183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183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183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183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183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183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183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183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183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183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183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83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183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183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183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183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183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183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183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183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183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183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183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183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183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183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183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183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3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183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3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183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183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3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183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183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183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183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183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183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183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183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183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183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183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183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183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183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183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183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183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183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183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183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183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183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183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183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183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183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183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183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183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183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183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183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183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183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183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183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183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183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183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183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183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183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183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183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183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183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183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183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183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183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183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183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183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183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183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183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183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183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183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183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183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183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183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183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183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183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183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183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183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183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183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183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183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183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183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183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183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183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183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183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183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183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183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183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183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183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183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183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183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183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183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183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183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183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183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183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183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183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183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183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183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183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183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183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183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183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183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183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183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183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183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183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183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183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183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183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183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183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183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183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183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183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183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183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183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183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183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183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183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183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183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183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183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183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183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183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183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183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183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183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183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183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183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183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183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183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183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183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183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183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183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183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183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183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183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183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183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183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183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2.63"/>
    <col customWidth="1" min="3" max="6" width="18.13"/>
    <col customWidth="1" min="7" max="7" width="17.75"/>
    <col customWidth="1" min="8" max="28" width="18.13"/>
  </cols>
  <sheetData>
    <row r="1" ht="15.75" customHeight="1">
      <c r="A1" s="187" t="s">
        <v>2611</v>
      </c>
      <c r="B1" s="12"/>
      <c r="C1" s="12"/>
      <c r="D1" s="12"/>
      <c r="E1" s="12"/>
      <c r="F1" s="12"/>
      <c r="G1" s="12"/>
      <c r="H1" s="13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</row>
    <row r="2" ht="15.75" customHeight="1">
      <c r="A2" s="1" t="s">
        <v>2612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84</v>
      </c>
      <c r="AB2" s="1" t="s">
        <v>85</v>
      </c>
    </row>
    <row r="3" ht="15.75" customHeight="1">
      <c r="A3" s="1" t="s">
        <v>2613</v>
      </c>
      <c r="B3" s="1" t="s">
        <v>2614</v>
      </c>
      <c r="C3" s="1" t="s">
        <v>2615</v>
      </c>
      <c r="D3" s="1" t="s">
        <v>2616</v>
      </c>
      <c r="E3" s="1" t="s">
        <v>2617</v>
      </c>
      <c r="F3" s="1" t="s">
        <v>2615</v>
      </c>
      <c r="G3" s="1"/>
    </row>
    <row r="4" ht="15.75" customHeight="1">
      <c r="A4" s="1" t="s">
        <v>2618</v>
      </c>
      <c r="B4" s="1" t="s">
        <v>2617</v>
      </c>
      <c r="C4" s="1" t="s">
        <v>2619</v>
      </c>
      <c r="E4" s="1" t="s">
        <v>2616</v>
      </c>
      <c r="F4" s="1"/>
      <c r="G4" s="1" t="s">
        <v>2615</v>
      </c>
      <c r="H4" s="1" t="s">
        <v>2620</v>
      </c>
    </row>
    <row r="5" ht="15.75" customHeight="1">
      <c r="A5" s="1" t="s">
        <v>2621</v>
      </c>
      <c r="B5" s="1" t="s">
        <v>2622</v>
      </c>
      <c r="D5" s="1" t="s">
        <v>2622</v>
      </c>
      <c r="E5" s="1" t="s">
        <v>2622</v>
      </c>
      <c r="F5" s="1" t="s">
        <v>2622</v>
      </c>
      <c r="G5" s="1" t="s">
        <v>2622</v>
      </c>
      <c r="H5" s="1"/>
    </row>
    <row r="6" ht="15.75" customHeight="1">
      <c r="A6" s="1" t="s">
        <v>2623</v>
      </c>
      <c r="B6" s="1" t="s">
        <v>2624</v>
      </c>
      <c r="C6" s="1" t="s">
        <v>2625</v>
      </c>
      <c r="D6" s="1" t="s">
        <v>2617</v>
      </c>
      <c r="F6" s="1"/>
      <c r="G6" s="1" t="s">
        <v>2626</v>
      </c>
      <c r="H6" s="1" t="s">
        <v>2617</v>
      </c>
    </row>
    <row r="7" ht="15.75" customHeight="1">
      <c r="A7" s="1" t="s">
        <v>2627</v>
      </c>
      <c r="B7" s="1"/>
      <c r="C7" s="1" t="s">
        <v>2617</v>
      </c>
      <c r="D7" s="1"/>
      <c r="F7" s="1" t="s">
        <v>2626</v>
      </c>
      <c r="G7" s="1" t="s">
        <v>2626</v>
      </c>
    </row>
    <row r="8" ht="15.75" customHeight="1">
      <c r="A8" s="1" t="s">
        <v>2628</v>
      </c>
      <c r="B8" s="1"/>
      <c r="C8" s="1" t="s">
        <v>2629</v>
      </c>
      <c r="D8" s="1" t="s">
        <v>2629</v>
      </c>
      <c r="E8" s="1"/>
      <c r="F8" s="1" t="s">
        <v>2630</v>
      </c>
      <c r="G8" s="1" t="s">
        <v>2631</v>
      </c>
    </row>
    <row r="9" ht="15.75" customHeight="1">
      <c r="A9" s="1" t="s">
        <v>2632</v>
      </c>
      <c r="C9" s="1"/>
      <c r="D9" s="1"/>
      <c r="F9" s="1"/>
      <c r="G9" s="1" t="s">
        <v>2629</v>
      </c>
      <c r="H9" s="1" t="s">
        <v>2633</v>
      </c>
    </row>
    <row r="10" ht="15.75" customHeight="1">
      <c r="A10" s="1"/>
      <c r="C10" s="1"/>
      <c r="E10" s="1"/>
      <c r="G10" s="1"/>
      <c r="H10" s="1"/>
    </row>
    <row r="11" ht="15.75" customHeight="1">
      <c r="A11" s="1"/>
      <c r="C11" s="1"/>
      <c r="E11" s="1"/>
    </row>
    <row r="12" ht="15.75" customHeight="1">
      <c r="A12" s="1"/>
      <c r="D12" s="1"/>
      <c r="E12" s="1"/>
      <c r="F12" s="1"/>
      <c r="G12" s="1"/>
      <c r="H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B13" s="1">
        <v>-5.0</v>
      </c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  <c r="AB14" s="1">
        <v>-6.0</v>
      </c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  <c r="AB15" s="1">
        <v>2.0</v>
      </c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2634</v>
      </c>
      <c r="AB16" s="1">
        <v>-11.0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  <c r="AB17" s="1">
        <v>0.0</v>
      </c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  <c r="AB18" s="1">
        <v>5.0</v>
      </c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B19" s="1">
        <v>-7.0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B20" s="1">
        <v>1.0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B21" s="1">
        <v>-2.0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"/>
      <c r="P22" s="1"/>
      <c r="Q22" s="1"/>
      <c r="S22" s="1"/>
      <c r="T22" s="1"/>
      <c r="U22" s="1"/>
      <c r="V22" s="1"/>
      <c r="W22" s="1"/>
      <c r="X22" s="1"/>
      <c r="Y22" s="1"/>
      <c r="Z22" s="1"/>
      <c r="AB22" s="1">
        <v>-1.0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B23" s="1">
        <v>0.0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B24" s="1">
        <v>-7.0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B25" s="1">
        <v>-9.0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B26" s="1">
        <v>0.0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 t="s">
        <v>2635</v>
      </c>
      <c r="AB27" s="1">
        <v>-8.0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B28" s="1">
        <v>-7.0</v>
      </c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B29" s="1">
        <v>-2.0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B30" s="1">
        <v>-8.0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 t="s">
        <v>2636</v>
      </c>
      <c r="AB31" s="1">
        <v>0.0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B32" s="1">
        <v>1.0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Q33" s="1"/>
      <c r="S33" s="1"/>
      <c r="T33" s="1"/>
      <c r="U33" s="1"/>
      <c r="V33" s="1"/>
      <c r="Y33" s="1"/>
      <c r="Z33" s="1"/>
      <c r="AB33" s="1">
        <v>0.0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  <c r="AB34" s="1">
        <v>4.0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 t="s">
        <v>2637</v>
      </c>
      <c r="AB35" s="1">
        <v>-12.0</v>
      </c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2638</v>
      </c>
      <c r="AB36" s="1">
        <v>0.0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B37" s="1">
        <v>-2.0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P38" s="1"/>
      <c r="Q38" s="1"/>
      <c r="S38" s="1"/>
      <c r="T38" s="1"/>
      <c r="U38" s="1"/>
      <c r="V38" s="1"/>
      <c r="W38" s="1"/>
      <c r="X38" s="1"/>
      <c r="Y38" s="1"/>
      <c r="Z38" s="1"/>
      <c r="AB38" s="1">
        <v>-10.0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 t="s">
        <v>2639</v>
      </c>
      <c r="AB39" s="1">
        <v>6.0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  <c r="U40" s="1"/>
      <c r="V40" s="1"/>
      <c r="W40" s="1"/>
      <c r="X40" s="1"/>
      <c r="Y40" s="1"/>
      <c r="Z40" s="1"/>
      <c r="AB40" s="1">
        <v>-7.0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B41" s="1">
        <v>-2.0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  <c r="AB42" s="1">
        <v>0.0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  <c r="U43" s="1"/>
      <c r="V43" s="1"/>
      <c r="W43" s="1"/>
      <c r="X43" s="1"/>
      <c r="Y43" s="1"/>
      <c r="Z43" s="1"/>
      <c r="AB43" s="1">
        <v>-2.0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B44" s="1">
        <v>0.0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 t="s">
        <v>2640</v>
      </c>
      <c r="AB45" s="1">
        <v>-13.0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  <c r="U46" s="1"/>
      <c r="V46" s="1"/>
      <c r="W46" s="1"/>
      <c r="X46" s="1"/>
      <c r="Y46" s="1"/>
      <c r="Z46" s="1"/>
      <c r="AB46" s="1">
        <v>-6.0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  <c r="AB47" s="1">
        <v>0.0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  <c r="AB48" s="1">
        <v>-6.0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 t="s">
        <v>2641</v>
      </c>
      <c r="AB49" s="1">
        <v>5.0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S50" s="1"/>
      <c r="T50" s="1"/>
      <c r="U50" s="1"/>
      <c r="V50" s="1"/>
      <c r="W50" s="1"/>
      <c r="X50" s="1"/>
      <c r="Y50" s="1"/>
      <c r="Z50" s="1"/>
      <c r="AB50" s="1">
        <v>0.0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B51" s="1">
        <v>0.0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  <c r="U52" s="1"/>
      <c r="V52" s="1"/>
      <c r="W52" s="1"/>
      <c r="X52" s="1"/>
      <c r="Y52" s="1"/>
      <c r="Z52" s="1"/>
      <c r="AB52" s="1">
        <v>-8.0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  <c r="U53" s="1"/>
      <c r="V53" s="1"/>
      <c r="W53" s="1"/>
      <c r="X53" s="1"/>
      <c r="Y53" s="1"/>
      <c r="Z53" s="1"/>
      <c r="AB53" s="1">
        <v>-11.0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  <c r="U54" s="1"/>
      <c r="V54" s="1"/>
      <c r="W54" s="1"/>
      <c r="X54" s="1"/>
      <c r="Y54" s="1"/>
      <c r="Z54" s="1"/>
      <c r="AB54" s="1">
        <v>-6.0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S55" s="1"/>
      <c r="T55" s="1"/>
      <c r="U55" s="1"/>
      <c r="V55" s="1"/>
      <c r="W55" s="1"/>
      <c r="X55" s="1"/>
      <c r="Y55" s="1"/>
      <c r="Z55" s="1"/>
      <c r="AB55" s="1">
        <v>-2.0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 t="s">
        <v>2642</v>
      </c>
      <c r="AB56" s="1">
        <v>-9.0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  <c r="V57" s="1"/>
      <c r="W57" s="1"/>
      <c r="X57" s="1"/>
      <c r="Y57" s="1"/>
      <c r="Z57" s="1"/>
      <c r="AB57" s="1">
        <v>-9.0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B58" s="1">
        <v>-2.0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  <c r="U59" s="1"/>
      <c r="V59" s="1"/>
      <c r="W59" s="1"/>
      <c r="X59" s="1"/>
      <c r="Y59" s="1"/>
      <c r="Z59" s="1"/>
      <c r="AB59" s="1">
        <v>-8.0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 t="s">
        <v>2643</v>
      </c>
      <c r="AB60" s="1">
        <v>-19.0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S61" s="1"/>
      <c r="T61" s="1"/>
      <c r="U61" s="1"/>
      <c r="V61" s="1"/>
      <c r="W61" s="1"/>
      <c r="X61" s="1"/>
      <c r="Y61" s="1"/>
      <c r="Z61" s="1"/>
      <c r="AB61" s="1">
        <v>-12.0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  <c r="U62" s="1"/>
      <c r="V62" s="1"/>
      <c r="W62" s="1"/>
      <c r="X62" s="1"/>
      <c r="Y62" s="1"/>
      <c r="Z62" s="1"/>
      <c r="AB62" s="1">
        <v>-7.0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  <c r="U63" s="1"/>
      <c r="V63" s="1"/>
      <c r="W63" s="1"/>
      <c r="X63" s="1"/>
      <c r="Y63" s="1"/>
      <c r="Z63" s="1"/>
      <c r="AB63" s="1">
        <v>-9.0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S64" s="1"/>
      <c r="T64" s="1"/>
      <c r="U64" s="1"/>
      <c r="V64" s="1"/>
      <c r="W64" s="1"/>
      <c r="X64" s="1"/>
      <c r="Y64" s="1"/>
      <c r="Z64" s="1"/>
      <c r="AB64" s="1">
        <v>-9.0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P65" s="1"/>
      <c r="Q65" s="1"/>
      <c r="S65" s="1"/>
      <c r="T65" s="1"/>
      <c r="U65" s="1"/>
      <c r="V65" s="1"/>
      <c r="W65" s="1"/>
      <c r="X65" s="1"/>
      <c r="Y65" s="1"/>
      <c r="Z65" s="1"/>
      <c r="AB65" s="1">
        <v>-11.0</v>
      </c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P66" s="1"/>
      <c r="Q66" s="1"/>
      <c r="S66" s="1"/>
      <c r="T66" s="1"/>
      <c r="U66" s="1"/>
      <c r="V66" s="1"/>
      <c r="W66" s="1"/>
      <c r="X66" s="1"/>
      <c r="Y66" s="1"/>
      <c r="Z66" s="1"/>
      <c r="AB66" s="1">
        <v>3.0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 t="s">
        <v>2644</v>
      </c>
      <c r="AB67" s="1">
        <v>-14.0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B68" s="1">
        <v>1.0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B69" s="1">
        <v>-2.0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S70" s="1"/>
      <c r="T70" s="1"/>
      <c r="U70" s="1"/>
      <c r="V70" s="1"/>
      <c r="W70" s="1"/>
      <c r="X70" s="1"/>
      <c r="Y70" s="1"/>
      <c r="Z70" s="1"/>
      <c r="AB70" s="1">
        <v>1.0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B71" s="1">
        <v>-1.0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  <c r="U72" s="1"/>
      <c r="V72" s="1"/>
      <c r="W72" s="1"/>
      <c r="X72" s="1"/>
      <c r="Y72" s="1"/>
      <c r="Z72" s="1"/>
      <c r="AB72" s="1">
        <v>-9.0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B73" s="1">
        <v>0.0</v>
      </c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  <c r="U74" s="1"/>
      <c r="V74" s="1"/>
      <c r="W74" s="1"/>
      <c r="X74" s="1"/>
      <c r="Y74" s="1"/>
      <c r="Z74" s="1"/>
      <c r="AB74" s="1">
        <v>-7.0</v>
      </c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/>
      <c r="Q75" s="1"/>
      <c r="S75" s="1"/>
      <c r="T75" s="1"/>
      <c r="U75" s="1"/>
      <c r="V75" s="1"/>
      <c r="W75" s="1"/>
      <c r="X75" s="1"/>
      <c r="Y75" s="1"/>
      <c r="Z75" s="1"/>
      <c r="AB75" s="1">
        <v>0.0</v>
      </c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  <c r="U76" s="1"/>
      <c r="V76" s="1"/>
      <c r="W76" s="1"/>
      <c r="X76" s="1"/>
      <c r="Y76" s="1"/>
      <c r="Z76" s="1"/>
      <c r="AB76" s="1">
        <v>-8.0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B77" s="1">
        <v>0.0</v>
      </c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B78" s="1">
        <v>1.0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  <c r="U79" s="1"/>
      <c r="V79" s="1"/>
      <c r="W79" s="1"/>
      <c r="X79" s="1"/>
      <c r="Y79" s="1"/>
      <c r="Z79" s="1"/>
      <c r="AB79" s="1">
        <v>-7.0</v>
      </c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B80" s="1">
        <v>0.0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B81" s="1">
        <v>-11.0</v>
      </c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P82" s="1"/>
      <c r="Q82" s="1"/>
      <c r="S82" s="1"/>
      <c r="T82" s="1"/>
      <c r="U82" s="1"/>
      <c r="V82" s="1"/>
      <c r="W82" s="1"/>
      <c r="X82" s="1"/>
      <c r="Y82" s="1"/>
      <c r="Z82" s="1"/>
      <c r="AB82" s="1">
        <v>-13.0</v>
      </c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 t="s">
        <v>2645</v>
      </c>
      <c r="AB83" s="1">
        <v>-21.0</v>
      </c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 t="s">
        <v>2646</v>
      </c>
      <c r="AB84" s="1">
        <v>-7.0</v>
      </c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 t="s">
        <v>2647</v>
      </c>
      <c r="AB85" s="1">
        <v>-10.0</v>
      </c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 t="s">
        <v>2648</v>
      </c>
      <c r="AB86" s="1">
        <v>-6.0</v>
      </c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S87" s="1"/>
      <c r="T87" s="1"/>
      <c r="U87" s="1"/>
      <c r="V87" s="1"/>
      <c r="W87" s="1"/>
      <c r="X87" s="1"/>
      <c r="Y87" s="1"/>
      <c r="Z87" s="1"/>
      <c r="AB87" s="1">
        <v>-7.0</v>
      </c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P88" s="1"/>
      <c r="Q88" s="1"/>
      <c r="S88" s="1"/>
      <c r="T88" s="1"/>
      <c r="U88" s="1"/>
      <c r="V88" s="1"/>
      <c r="W88" s="1"/>
      <c r="X88" s="1"/>
      <c r="Y88" s="1"/>
      <c r="Z88" s="1"/>
      <c r="AB88" s="1">
        <v>-2.0</v>
      </c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 t="s">
        <v>2649</v>
      </c>
      <c r="AB89" s="1">
        <v>-17.0</v>
      </c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P90" s="1"/>
      <c r="Q90" s="1"/>
      <c r="S90" s="1"/>
      <c r="T90" s="1"/>
      <c r="U90" s="1"/>
      <c r="V90" s="1"/>
      <c r="W90" s="1"/>
      <c r="X90" s="1"/>
      <c r="Y90" s="1"/>
      <c r="Z90" s="1"/>
      <c r="AB90" s="1">
        <v>-12.0</v>
      </c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  <c r="U91" s="1"/>
      <c r="V91" s="1"/>
      <c r="W91" s="1"/>
      <c r="X91" s="1"/>
      <c r="Y91" s="1"/>
      <c r="Z91" s="1"/>
      <c r="AB91" s="1">
        <v>-4.0</v>
      </c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  <c r="U92" s="1"/>
      <c r="V92" s="1"/>
      <c r="W92" s="1"/>
      <c r="X92" s="1"/>
      <c r="Y92" s="1"/>
      <c r="Z92" s="1"/>
      <c r="AB92" s="1">
        <v>-11.0</v>
      </c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S93" s="1"/>
      <c r="T93" s="1"/>
      <c r="U93" s="1"/>
      <c r="V93" s="1"/>
      <c r="W93" s="1"/>
      <c r="X93" s="1"/>
      <c r="Y93" s="1"/>
      <c r="Z93" s="1"/>
      <c r="AB93" s="1">
        <v>1.0</v>
      </c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P94" s="1"/>
      <c r="Q94" s="1"/>
      <c r="S94" s="1"/>
      <c r="T94" s="1"/>
      <c r="U94" s="1"/>
      <c r="V94" s="1"/>
      <c r="W94" s="1"/>
      <c r="X94" s="1"/>
      <c r="Y94" s="1"/>
      <c r="Z94" s="1"/>
      <c r="AB94" s="1">
        <v>0.0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  <c r="U95" s="1"/>
      <c r="V95" s="1"/>
      <c r="W95" s="1"/>
      <c r="X95" s="1"/>
      <c r="Y95" s="1"/>
      <c r="Z95" s="1"/>
      <c r="AB95" s="1">
        <v>-9.0</v>
      </c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B96" s="1">
        <v>1.0</v>
      </c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  <c r="U97" s="1"/>
      <c r="V97" s="1"/>
      <c r="W97" s="1"/>
      <c r="X97" s="1"/>
      <c r="Y97" s="1"/>
      <c r="Z97" s="1"/>
      <c r="AB97" s="1">
        <v>-8.0</v>
      </c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 t="s">
        <v>2650</v>
      </c>
      <c r="AB98" s="1">
        <v>-6.0</v>
      </c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 t="s">
        <v>2651</v>
      </c>
      <c r="AB99" s="1">
        <v>1.0</v>
      </c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B100" s="1">
        <v>-1.0</v>
      </c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  <c r="U101" s="1"/>
      <c r="V101" s="1"/>
      <c r="W101" s="1"/>
      <c r="X101" s="1"/>
      <c r="Y101" s="1"/>
      <c r="Z101" s="1"/>
      <c r="AB101" s="1">
        <v>-5.0</v>
      </c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 t="s">
        <v>2652</v>
      </c>
      <c r="AB102" s="1">
        <v>-2.0</v>
      </c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B103" s="1">
        <v>1.0</v>
      </c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">
        <v>2653</v>
      </c>
      <c r="AB104" s="1">
        <v>-12.0</v>
      </c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P105" s="1"/>
      <c r="Q105" s="1"/>
      <c r="S105" s="1"/>
      <c r="T105" s="1"/>
      <c r="U105" s="1"/>
      <c r="V105" s="1"/>
      <c r="W105" s="1"/>
      <c r="X105" s="1"/>
      <c r="Y105" s="1"/>
      <c r="Z105" s="1"/>
      <c r="AB105" s="1">
        <v>0.0</v>
      </c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B106" s="1">
        <v>-1.0</v>
      </c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 t="s">
        <v>2654</v>
      </c>
      <c r="AB107" s="1">
        <v>-14.0</v>
      </c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 t="s">
        <v>2655</v>
      </c>
      <c r="AB108" s="1">
        <v>-6.0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 t="s">
        <v>2656</v>
      </c>
      <c r="AB109" s="1">
        <v>-11.0</v>
      </c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  <c r="U110" s="1"/>
      <c r="V110" s="1"/>
      <c r="W110" s="1"/>
      <c r="X110" s="1"/>
      <c r="Y110" s="1"/>
      <c r="Z110" s="1"/>
      <c r="AB110" s="1">
        <v>-8.0</v>
      </c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 t="s">
        <v>2657</v>
      </c>
      <c r="AB111" s="1">
        <v>-1.0</v>
      </c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  <c r="AB112" s="1">
        <v>4.0</v>
      </c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P113" s="1"/>
      <c r="Q113" s="1"/>
      <c r="S113" s="1"/>
      <c r="T113" s="1"/>
      <c r="U113" s="1"/>
      <c r="V113" s="1"/>
      <c r="W113" s="1"/>
      <c r="X113" s="1"/>
      <c r="Y113" s="1"/>
      <c r="Z113" s="1"/>
      <c r="AB113" s="1">
        <v>-7.0</v>
      </c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 t="s">
        <v>2658</v>
      </c>
      <c r="AB114" s="1">
        <v>12.0</v>
      </c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S115" s="1"/>
      <c r="T115" s="1"/>
      <c r="U115" s="1"/>
      <c r="V115" s="1"/>
      <c r="W115" s="1"/>
      <c r="X115" s="1"/>
      <c r="Y115" s="1"/>
      <c r="Z115" s="1"/>
      <c r="AB115" s="1">
        <v>-1.0</v>
      </c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 t="s">
        <v>2659</v>
      </c>
      <c r="AB116" s="1">
        <v>-17.0</v>
      </c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  <c r="U117" s="1"/>
      <c r="V117" s="1"/>
      <c r="W117" s="1"/>
      <c r="X117" s="1"/>
      <c r="Y117" s="1"/>
      <c r="Z117" s="1"/>
      <c r="AB117" s="1">
        <v>-5.0</v>
      </c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  <c r="U118" s="1"/>
      <c r="V118" s="1"/>
      <c r="W118" s="1"/>
      <c r="X118" s="1"/>
      <c r="Y118" s="1"/>
      <c r="Z118" s="1"/>
      <c r="AB118" s="1">
        <v>-6.0</v>
      </c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  <c r="U119" s="1"/>
      <c r="V119" s="1"/>
      <c r="W119" s="1"/>
      <c r="X119" s="1"/>
      <c r="Y119" s="1"/>
      <c r="Z119" s="1"/>
      <c r="AB119" s="1">
        <v>-6.0</v>
      </c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 t="s">
        <v>2660</v>
      </c>
      <c r="AB120" s="1">
        <v>-15.0</v>
      </c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W121" s="1"/>
      <c r="X121" s="1"/>
      <c r="Y121" s="1"/>
      <c r="Z121" s="1"/>
      <c r="AB121" s="1">
        <v>-6.0</v>
      </c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P122" s="1"/>
      <c r="Q122" s="1"/>
      <c r="S122" s="1"/>
      <c r="T122" s="1"/>
      <c r="U122" s="1"/>
      <c r="V122" s="1"/>
      <c r="W122" s="1"/>
      <c r="X122" s="1"/>
      <c r="Y122" s="1"/>
      <c r="Z122" s="1"/>
      <c r="AB122" s="1">
        <v>0.0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P123" s="1"/>
      <c r="Q123" s="1"/>
      <c r="S123" s="1"/>
      <c r="T123" s="1"/>
      <c r="U123" s="1"/>
      <c r="V123" s="1"/>
      <c r="W123" s="1"/>
      <c r="X123" s="1"/>
      <c r="Y123" s="1"/>
      <c r="Z123" s="1"/>
      <c r="AB123" s="1">
        <v>-12.0</v>
      </c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B124" s="1">
        <v>-11.0</v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 t="s">
        <v>2661</v>
      </c>
      <c r="AB125" s="1">
        <v>-11.0</v>
      </c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  <c r="U126" s="1"/>
      <c r="V126" s="1"/>
      <c r="W126" s="1"/>
      <c r="X126" s="1"/>
      <c r="Y126" s="1"/>
      <c r="Z126" s="1"/>
      <c r="AB126" s="1">
        <v>-6.0</v>
      </c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  <c r="U127" s="1"/>
      <c r="V127" s="1"/>
      <c r="W127" s="1"/>
      <c r="X127" s="1"/>
      <c r="Y127" s="1"/>
      <c r="Z127" s="1"/>
      <c r="AB127" s="1">
        <v>-8.0</v>
      </c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P128" s="1"/>
      <c r="Q128" s="1"/>
      <c r="S128" s="1"/>
      <c r="T128" s="1"/>
      <c r="U128" s="1"/>
      <c r="V128" s="1"/>
      <c r="W128" s="1"/>
      <c r="X128" s="1"/>
      <c r="Y128" s="1"/>
      <c r="Z128" s="1"/>
      <c r="AB128" s="1">
        <v>0.0</v>
      </c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P129" s="1"/>
      <c r="Q129" s="1"/>
      <c r="S129" s="1"/>
      <c r="T129" s="1"/>
      <c r="U129" s="1"/>
      <c r="V129" s="1"/>
      <c r="W129" s="1"/>
      <c r="X129" s="1"/>
      <c r="Y129" s="1"/>
      <c r="Z129" s="1"/>
      <c r="AB129" s="1">
        <v>0.0</v>
      </c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P130" s="1"/>
      <c r="Q130" s="1"/>
      <c r="S130" s="1"/>
      <c r="T130" s="1"/>
      <c r="U130" s="1"/>
      <c r="V130" s="1"/>
      <c r="W130" s="1"/>
      <c r="X130" s="1"/>
      <c r="Y130" s="1"/>
      <c r="Z130" s="1"/>
      <c r="AB130" s="1">
        <v>-8.0</v>
      </c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S131" s="1"/>
      <c r="T131" s="1"/>
      <c r="U131" s="1"/>
      <c r="V131" s="1"/>
      <c r="W131" s="1"/>
      <c r="X131" s="1"/>
      <c r="Y131" s="1"/>
      <c r="Z131" s="1"/>
      <c r="AB131" s="1">
        <v>-8.0</v>
      </c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B132" s="1">
        <v>-8.0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B133" s="1">
        <v>0.0</v>
      </c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  <c r="U134" s="1"/>
      <c r="V134" s="1"/>
      <c r="W134" s="1"/>
      <c r="X134" s="1"/>
      <c r="Y134" s="1"/>
      <c r="Z134" s="1"/>
      <c r="AB134" s="1">
        <v>-5.0</v>
      </c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B135" s="1">
        <v>0.0</v>
      </c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B136" s="1">
        <v>-10.0</v>
      </c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P137" s="1"/>
      <c r="Q137" s="1"/>
      <c r="S137" s="1"/>
      <c r="T137" s="1"/>
      <c r="U137" s="1"/>
      <c r="V137" s="1"/>
      <c r="W137" s="1"/>
      <c r="X137" s="1"/>
      <c r="Y137" s="1"/>
      <c r="Z137" s="1"/>
      <c r="AB137" s="1">
        <v>-12.0</v>
      </c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 t="s">
        <v>2662</v>
      </c>
      <c r="AB138" s="1">
        <v>-10.0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