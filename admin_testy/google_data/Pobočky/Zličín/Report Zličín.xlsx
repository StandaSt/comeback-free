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 2024" sheetId="1" r:id="rId4"/>
    <sheet state="visible" name="DatabaseRestia" sheetId="2" r:id="rId5"/>
    <sheet state="visible" name="August 2024" sheetId="3" r:id="rId6"/>
    <sheet state="visible" name="Report" sheetId="4" r:id="rId7"/>
    <sheet state="visible" name="Kontrola" sheetId="5" r:id="rId8"/>
    <sheet state="visible" name="RestiaCSV" sheetId="6" r:id="rId9"/>
    <sheet state="visible" name="HR" sheetId="7" r:id="rId10"/>
    <sheet state="visible" name="Denik" sheetId="8" r:id="rId11"/>
    <sheet state="visible" name="Směny" sheetId="9" r:id="rId12"/>
  </sheets>
  <definedNames>
    <definedName hidden="1" localSheetId="1" name="_xlnm._FilterDatabase">DatabaseRestia!$A$1:$O$1012</definedName>
    <definedName hidden="1" localSheetId="5" name="_xlnm._FilterDatabase">RestiaCSV!$A$1:$M$1615</definedName>
  </definedNames>
  <calcPr/>
  <extLst>
    <ext uri="GoogleSheetsCustomDataVersion2">
      <go:sheetsCustomData xmlns:go="http://customooxmlschemas.google.com/" r:id="rId13" roundtripDataChecksum="v/lLt/oCDHQMOiXOe80l4sqg1a3t8XgkcRksXaG+nFs="/>
    </ext>
  </extLst>
</workbook>
</file>

<file path=xl/sharedStrings.xml><?xml version="1.0" encoding="utf-8"?>
<sst xmlns="http://schemas.openxmlformats.org/spreadsheetml/2006/main" count="9006" uniqueCount="2663">
  <si>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</si>
  <si>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</si>
  <si>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</si>
  <si>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</si>
  <si>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</si>
  <si>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</si>
  <si>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</si>
  <si>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</si>
  <si>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</si>
  <si>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</si>
  <si>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</si>
  <si>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</si>
  <si>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</si>
  <si>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</si>
  <si>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</si>
  <si>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</si>
  <si>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</si>
  <si>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</si>
  <si>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</si>
  <si>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</si>
  <si>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</si>
  <si>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</si>
  <si>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</si>
  <si>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</si>
  <si>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</si>
  <si>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</si>
  <si>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</si>
  <si>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</si>
  <si>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</si>
  <si>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</si>
  <si>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</si>
  <si>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</si>
  <si>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</si>
  <si>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</si>
  <si>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</si>
  <si>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</si>
  <si>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</si>
  <si>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</si>
  <si>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</si>
  <si>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</si>
  <si>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</si>
  <si>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</si>
  <si>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</si>
  <si>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</si>
  <si>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</si>
  <si>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</si>
  <si>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</si>
  <si>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</si>
  <si>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</si>
  <si>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</si>
  <si>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</si>
  <si>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</si>
  <si>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</si>
  <si>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</si>
  <si>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</si>
  <si>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</si>
  <si>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</si>
  <si>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</si>
  <si>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</si>
  <si>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</si>
  <si>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</si>
  <si>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</si>
  <si>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</si>
  <si>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</si>
  <si>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</si>
  <si>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</si>
  <si>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</si>
  <si>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</si>
  <si>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</si>
  <si>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</si>
  <si>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</si>
  <si>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</si>
  <si>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</si>
  <si>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</si>
  <si>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</si>
  <si>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</si>
  <si>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</si>
  <si>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</si>
  <si>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</si>
  <si>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</si>
  <si>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</si>
  <si>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</si>
  <si>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</si>
  <si>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</si>
  <si>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</si>
  <si>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</si>
  <si>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</si>
  <si>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</si>
  <si>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</si>
  <si>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delivered</t>
  </si>
  <si>
    <t>Wolt Kurýr</t>
  </si>
  <si>
    <t>external-delivery</t>
  </si>
  <si>
    <t>online</t>
  </si>
  <si>
    <t>2024-08-24T00:17:38.587+02:00</t>
  </si>
  <si>
    <t>2024-08-24T00:23:36.582+02:00</t>
  </si>
  <si>
    <t>generic</t>
  </si>
  <si>
    <t>Čerešňák Michal</t>
  </si>
  <si>
    <t>delivery</t>
  </si>
  <si>
    <t>cash</t>
  </si>
  <si>
    <t>2024-08-24T00:12:02.323+02:00</t>
  </si>
  <si>
    <t>2024-08-24T00:18:35.025+02:00</t>
  </si>
  <si>
    <t>2024-08-24T00:33:47.305+02:00</t>
  </si>
  <si>
    <t>2024-08-24T00:12:03.165+02:00</t>
  </si>
  <si>
    <t>damejidlo</t>
  </si>
  <si>
    <t>ready_pickup</t>
  </si>
  <si>
    <t>2024-08-24T00:03:45.643+02:00</t>
  </si>
  <si>
    <t>2024-08-24T00:11:09.248+02:00</t>
  </si>
  <si>
    <t>bolt</t>
  </si>
  <si>
    <t>Daniil</t>
  </si>
  <si>
    <t>2024-08-23T23:53:41.282+02:00</t>
  </si>
  <si>
    <t>2024-08-24T00:00:49.237+02:00</t>
  </si>
  <si>
    <t>2024-08-23T23:49:52.305+02:00</t>
  </si>
  <si>
    <t>2024-08-23T23:55:58.105+02:00</t>
  </si>
  <si>
    <t>2024-08-23T23:44:27.224+02:00</t>
  </si>
  <si>
    <t>2024-08-23T23:48:53.249+02:00</t>
  </si>
  <si>
    <t>2024-08-23T23:32:45.232+02:00</t>
  </si>
  <si>
    <t>2024-08-23T23:38:55.364+02:00</t>
  </si>
  <si>
    <t>2024-08-23T23:24:17.939+02:00</t>
  </si>
  <si>
    <t>2024-08-23T23:29:38.478+02:00</t>
  </si>
  <si>
    <t>pickup</t>
  </si>
  <si>
    <t>2024-08-23T23:24:03.465+02:00</t>
  </si>
  <si>
    <t>2024-08-23T23:30:18.992+02:00</t>
  </si>
  <si>
    <t>2024-08-23T23:15:44.159+02:00</t>
  </si>
  <si>
    <t>2024-08-23T23:21:41.344+02:00</t>
  </si>
  <si>
    <t>2024-08-23T23:15:12.877+02:00</t>
  </si>
  <si>
    <t>2024-08-23T23:21:02.582+02:00</t>
  </si>
  <si>
    <t>2024-08-23T23:09:01.378+02:00</t>
  </si>
  <si>
    <t>2024-08-23T23:16:32.019+02:00</t>
  </si>
  <si>
    <t>2024-08-23T23:36:15.354+02:00</t>
  </si>
  <si>
    <t>2024-08-23T23:09:02.133+02:00</t>
  </si>
  <si>
    <t>2024-08-23T22:58:44.512+02:00</t>
  </si>
  <si>
    <t>2024-08-23T23:04:40.407+02:00</t>
  </si>
  <si>
    <t>2024-08-23T22:57:44.525+02:00</t>
  </si>
  <si>
    <t>2024-08-23T23:03:05.326+02:00</t>
  </si>
  <si>
    <t>2024-08-23T22:54:44.690+02:00</t>
  </si>
  <si>
    <t>2024-08-23T23:01:38.275+02:00</t>
  </si>
  <si>
    <t>2024-08-23T22:30:29.545+02:00</t>
  </si>
  <si>
    <t>2024-08-23T22:36:48.180+02:00</t>
  </si>
  <si>
    <t>2024-08-23T22:26:43.460+02:00</t>
  </si>
  <si>
    <t>2024-08-23T22:33:00.403+02:00</t>
  </si>
  <si>
    <t>2024-08-23T22:23:01.605+02:00</t>
  </si>
  <si>
    <t>2024-08-23T22:29:29.981+02:00</t>
  </si>
  <si>
    <t>2024-08-23T22:14:54.205+02:00</t>
  </si>
  <si>
    <t>2024-08-23T22:19:29.476+02:00</t>
  </si>
  <si>
    <t>2024-08-23T21:57:43.519+02:00</t>
  </si>
  <si>
    <t>2024-08-23T22:03:36.346+02:00</t>
  </si>
  <si>
    <t>2024-08-23T21:35:08.328+02:00</t>
  </si>
  <si>
    <t>2024-08-23T21:44:25.233+02:00</t>
  </si>
  <si>
    <t>2024-08-23T21:30:40.018+02:00</t>
  </si>
  <si>
    <t>2024-08-23T21:37:22.255+02:00</t>
  </si>
  <si>
    <t>2024-08-23T21:22:44.178+02:00</t>
  </si>
  <si>
    <t>2024-08-23T21:31:32.312+02:00</t>
  </si>
  <si>
    <t>2024-08-23T21:14:44.626+02:00</t>
  </si>
  <si>
    <t>2024-08-23T21:24:46.267+02:00</t>
  </si>
  <si>
    <t>2024-08-23T21:11:01.623+02:00</t>
  </si>
  <si>
    <t>2024-08-23T21:20:38.155+02:00</t>
  </si>
  <si>
    <t>2024-08-23T21:42:15.426+02:00</t>
  </si>
  <si>
    <t>2024-08-23T21:15:23.862+02:00</t>
  </si>
  <si>
    <t>2024-08-23T21:10:00.474+02:00</t>
  </si>
  <si>
    <t>2024-08-23T21:16:22.265+02:00</t>
  </si>
  <si>
    <t>2024-08-23T21:08:44.645+02:00</t>
  </si>
  <si>
    <t>2024-08-23T21:14:02.511+02:00</t>
  </si>
  <si>
    <t>Petr</t>
  </si>
  <si>
    <t>2024-08-23T21:02:58.668+02:00</t>
  </si>
  <si>
    <t>2024-08-23T21:10:07.507+02:00</t>
  </si>
  <si>
    <t>2024-08-23T21:02:01.356+02:00</t>
  </si>
  <si>
    <t>2024-08-23T21:08:07.021+02:00</t>
  </si>
  <si>
    <t>2024-08-23T21:32:43.488+02:00</t>
  </si>
  <si>
    <t>2024-08-23T21:02:01.984+02:00</t>
  </si>
  <si>
    <t>2024-08-23T21:00:02.896+02:00</t>
  </si>
  <si>
    <t>2024-08-23T21:05:37.301+02:00</t>
  </si>
  <si>
    <t>2024-08-23T20:51:26.998+02:00</t>
  </si>
  <si>
    <t>2024-08-23T20:59:19.185+02:00</t>
  </si>
  <si>
    <t>Roman</t>
  </si>
  <si>
    <t>2024-08-23T20:45:51.474+02:00</t>
  </si>
  <si>
    <t>2024-08-23T20:52:46.169+02:00</t>
  </si>
  <si>
    <t>2024-08-23T20:44:53.746+02:00</t>
  </si>
  <si>
    <t>2024-08-23T20:52:57.180+02:00</t>
  </si>
  <si>
    <t>2024-08-23T20:36:51.238+02:00</t>
  </si>
  <si>
    <t>2024-08-23T20:49:19.224+02:00</t>
  </si>
  <si>
    <t>2024-08-23T20:33:43.896+02:00</t>
  </si>
  <si>
    <t>2024-08-23T20:43:20.314+02:00</t>
  </si>
  <si>
    <t>2024-08-23T20:33:01.811+02:00</t>
  </si>
  <si>
    <t>2024-08-23T20:40:19.164+02:00</t>
  </si>
  <si>
    <t>2024-08-23T20:50:27.761+02:00</t>
  </si>
  <si>
    <t>2024-08-23T20:35:07.952+02:00</t>
  </si>
  <si>
    <t>2024-08-23T20:28:01.471+02:00</t>
  </si>
  <si>
    <t>2024-08-23T20:45:12.971+02:00</t>
  </si>
  <si>
    <t>2024-08-23T20:26:01.979+02:00</t>
  </si>
  <si>
    <t>2024-08-23T20:30:25.004+02:00</t>
  </si>
  <si>
    <t>2024-08-23T20:57:34.627+02:00</t>
  </si>
  <si>
    <t>2024-08-23T20:26:02.500+02:00</t>
  </si>
  <si>
    <t>2024-08-23T20:21:01.522+02:00</t>
  </si>
  <si>
    <t>2024-08-23T20:28:46.998+02:00</t>
  </si>
  <si>
    <t>2024-08-23T20:38:35.431+02:00</t>
  </si>
  <si>
    <t>2024-08-23T20:21:02.078+02:00</t>
  </si>
  <si>
    <t>2024-08-23T20:19:01.870+02:00</t>
  </si>
  <si>
    <t>2024-08-23T20:27:26.014+02:00</t>
  </si>
  <si>
    <t>2024-08-23T21:07:40.137+02:00</t>
  </si>
  <si>
    <t>2024-08-23T20:19:02.358+02:00</t>
  </si>
  <si>
    <t>2024-08-23T20:16:42.868+02:00</t>
  </si>
  <si>
    <t>2024-08-23T20:26:11.311+02:00</t>
  </si>
  <si>
    <t>Petro</t>
  </si>
  <si>
    <t>2024-08-23T20:12:54.567+02:00</t>
  </si>
  <si>
    <t>2024-08-23T20:22:06.159+02:00</t>
  </si>
  <si>
    <t>2024-08-23T20:10:02.324+02:00</t>
  </si>
  <si>
    <t>2024-08-23T20:19:31.050+02:00</t>
  </si>
  <si>
    <t>2024-08-23T20:53:44.837+02:00</t>
  </si>
  <si>
    <t>2024-08-23T20:10:03.058+02:00</t>
  </si>
  <si>
    <t>2024-08-23T20:09:35.657+02:00</t>
  </si>
  <si>
    <t>2024-08-23T20:16:12.104+02:00</t>
  </si>
  <si>
    <t>2024-08-23T20:08:01.496+02:00</t>
  </si>
  <si>
    <t>2024-08-23T20:15:57.021+02:00</t>
  </si>
  <si>
    <t>card</t>
  </si>
  <si>
    <t>2024-08-23T20:08:01.484+02:00</t>
  </si>
  <si>
    <t>2024-08-23T20:49:04.967+02:00</t>
  </si>
  <si>
    <t>2024-08-23T20:01:01.758+02:00</t>
  </si>
  <si>
    <t>2024-08-23T20:09:03.291+02:00</t>
  </si>
  <si>
    <t>2024-08-23T19:55:02.186+02:00</t>
  </si>
  <si>
    <t>2024-08-23T20:03:27.005+02:00</t>
  </si>
  <si>
    <t>2024-08-23T20:13:43.739+02:00</t>
  </si>
  <si>
    <t>2024-08-23T19:55:03.092+02:00</t>
  </si>
  <si>
    <t>2024-08-23T19:54:45.137+02:00</t>
  </si>
  <si>
    <t>2024-08-23T20:02:33.384+02:00</t>
  </si>
  <si>
    <t>2024-08-23T19:52:42.001+02:00</t>
  </si>
  <si>
    <t>2024-08-23T19:58:12.157+02:00</t>
  </si>
  <si>
    <t>2024-08-23T19:51:23.172+02:00</t>
  </si>
  <si>
    <t>2024-08-23T19:56:10.136+02:00</t>
  </si>
  <si>
    <t>manual</t>
  </si>
  <si>
    <t>2024-08-23T19:49:30.026+02:00</t>
  </si>
  <si>
    <t>2024-08-23T19:56:07.983+02:00</t>
  </si>
  <si>
    <t>2024-08-23T19:43:44.774+02:00</t>
  </si>
  <si>
    <t>2024-08-23T19:52:12.336+02:00</t>
  </si>
  <si>
    <t>2024-08-23T19:38:02.061+02:00</t>
  </si>
  <si>
    <t>2024-08-23T19:48:14.995+02:00</t>
  </si>
  <si>
    <t>2024-08-23T19:35:44.366+02:00</t>
  </si>
  <si>
    <t>2024-08-23T19:47:48.229+02:00</t>
  </si>
  <si>
    <t>2024-08-23T19:31:44.270+02:00</t>
  </si>
  <si>
    <t>2024-08-23T19:39:35.683+02:00</t>
  </si>
  <si>
    <t>2024-08-23T19:28:44.081+02:00</t>
  </si>
  <si>
    <t>2024-08-23T19:33:34.278+02:00</t>
  </si>
  <si>
    <t>2024-08-23T19:28:01.792+02:00</t>
  </si>
  <si>
    <t>2024-08-23T19:37:43.997+02:00</t>
  </si>
  <si>
    <t>2024-08-23T19:24:01.653+02:00</t>
  </si>
  <si>
    <t>2024-08-23T19:46:43.104+02:00</t>
  </si>
  <si>
    <t>2024-08-23T20:00:35.469+02:00</t>
  </si>
  <si>
    <t>2024-08-23T19:26:40.934+02:00</t>
  </si>
  <si>
    <t>2024-08-23T19:23:44.893+02:00</t>
  </si>
  <si>
    <t>2024-08-23T19:32:12.329+02:00</t>
  </si>
  <si>
    <t>2024-08-23T19:13:01.670+02:00</t>
  </si>
  <si>
    <t>2024-08-23T19:21:28.063+02:00</t>
  </si>
  <si>
    <t>2024-08-23T19:43:32.054+02:00</t>
  </si>
  <si>
    <t>2024-08-23T19:13:02.293+02:00</t>
  </si>
  <si>
    <t>2024-08-23T19:10:02.134+02:00</t>
  </si>
  <si>
    <t>2024-08-23T19:19:46.982+02:00</t>
  </si>
  <si>
    <t>2024-08-23T19:47:13.789+02:00</t>
  </si>
  <si>
    <t>2024-08-23T19:10:02.706+02:00</t>
  </si>
  <si>
    <t>2024-08-23T19:09:03.136+02:00</t>
  </si>
  <si>
    <t>2024-08-23T19:16:43.981+02:00</t>
  </si>
  <si>
    <t>2024-08-23T19:04:42.927+02:00</t>
  </si>
  <si>
    <t>2024-08-23T19:11:33.473+02:00</t>
  </si>
  <si>
    <t>2024-08-23T19:04:01.798+02:00</t>
  </si>
  <si>
    <t>2024-08-23T19:10:08.987+02:00</t>
  </si>
  <si>
    <t>2024-08-23T19:37:41.253+02:00</t>
  </si>
  <si>
    <t>2024-08-23T19:04:02.394+02:00</t>
  </si>
  <si>
    <t>2024-08-23T19:02:11.292+02:00</t>
  </si>
  <si>
    <t>2024-08-23T19:08:45.663+02:00</t>
  </si>
  <si>
    <t>Alexander</t>
  </si>
  <si>
    <t>2024-08-23T18:58:55.159+02:00</t>
  </si>
  <si>
    <t>2024-08-23T19:03:40.123+02:00</t>
  </si>
  <si>
    <t>2024-08-23T18:57:26.488+02:00</t>
  </si>
  <si>
    <t>2024-08-23T19:08:13.488+02:00</t>
  </si>
  <si>
    <t>2024-08-23T18:50:26.589+02:00</t>
  </si>
  <si>
    <t>2024-08-23T18:57:54.971+02:00</t>
  </si>
  <si>
    <t>2024-08-23T18:45:41.348+02:00</t>
  </si>
  <si>
    <t>2024-08-23T18:50:54.299+02:00</t>
  </si>
  <si>
    <t>2024-08-23T18:37:15.602+02:00</t>
  </si>
  <si>
    <t>2024-08-23T18:50:07.354+02:00</t>
  </si>
  <si>
    <t>2024-08-23T18:36:01.943+02:00</t>
  </si>
  <si>
    <t>2024-08-23T18:46:22.005+02:00</t>
  </si>
  <si>
    <t>2024-08-23T18:52:26.212+02:00</t>
  </si>
  <si>
    <t>2024-08-23T18:36:02.598+02:00</t>
  </si>
  <si>
    <t>Valentyn</t>
  </si>
  <si>
    <t>2024-08-23T18:34:59.908+02:00</t>
  </si>
  <si>
    <t>2024-08-23T18:48:56.147+02:00</t>
  </si>
  <si>
    <t>2024-08-23T18:34:01.818+02:00</t>
  </si>
  <si>
    <t>2024-08-23T18:42:01.014+02:00</t>
  </si>
  <si>
    <t>Bakhtiyar</t>
  </si>
  <si>
    <t>2024-08-23T18:33:48.828+02:00</t>
  </si>
  <si>
    <t>2024-08-23T18:45:14.200+02:00</t>
  </si>
  <si>
    <t>2024-08-23T18:31:16.155+02:00</t>
  </si>
  <si>
    <t>2024-08-23T18:39:46.147+02:00</t>
  </si>
  <si>
    <t>2024-08-23T18:29:41.296+02:00</t>
  </si>
  <si>
    <t>2024-08-23T18:35:26.412+02:00</t>
  </si>
  <si>
    <t>2024-08-23T18:28:17.385+02:00</t>
  </si>
  <si>
    <t>2024-08-23T18:33:46.234+02:00</t>
  </si>
  <si>
    <t>2024-08-23T18:26:39.269+02:00</t>
  </si>
  <si>
    <t>2024-08-23T18:32:07.362+02:00</t>
  </si>
  <si>
    <t>2024-08-23T18:24:01.776+02:00</t>
  </si>
  <si>
    <t>2024-08-23T18:34:58.977+02:00</t>
  </si>
  <si>
    <t>2024-08-23T18:18:42.930+02:00</t>
  </si>
  <si>
    <t>2024-08-23T18:27:47.260+02:00</t>
  </si>
  <si>
    <t>2024-08-23T18:17:22.682+02:00</t>
  </si>
  <si>
    <t>2024-08-23T18:25:13.134+02:00</t>
  </si>
  <si>
    <t>2024-08-23T18:14:01.882+02:00</t>
  </si>
  <si>
    <t>2024-08-23T18:38:21.980+02:00</t>
  </si>
  <si>
    <t>2024-08-23T18:09:06.262+02:00</t>
  </si>
  <si>
    <t>2024-08-23T18:14:24.304+02:00</t>
  </si>
  <si>
    <t>2024-08-23T18:05:40.619+02:00</t>
  </si>
  <si>
    <t>2024-08-23T18:13:06.275+02:00</t>
  </si>
  <si>
    <t>2024-08-23T18:02:01.989+02:00</t>
  </si>
  <si>
    <t>2024-08-23T18:09:11.997+02:00</t>
  </si>
  <si>
    <t>2024-08-23T18:26:45.709+02:00</t>
  </si>
  <si>
    <t>2024-08-23T18:02:02.810+02:00</t>
  </si>
  <si>
    <t>2024-08-23T17:51:01.842+02:00</t>
  </si>
  <si>
    <t>2024-08-23T18:05:33.287+02:00</t>
  </si>
  <si>
    <t>2024-08-23T17:49:43.097+02:00</t>
  </si>
  <si>
    <t>2024-08-23T17:56:56.452+02:00</t>
  </si>
  <si>
    <t>2024-08-23T17:46:00.165+02:00</t>
  </si>
  <si>
    <t>2024-08-23T17:51:11.283+02:00</t>
  </si>
  <si>
    <t>2024-08-23T17:40:02.344+02:00</t>
  </si>
  <si>
    <t>2024-08-23T17:46:55.984+02:00</t>
  </si>
  <si>
    <t>2024-08-23T17:37:41.457+02:00</t>
  </si>
  <si>
    <t>2024-08-23T17:45:31.366+02:00</t>
  </si>
  <si>
    <t>2024-08-23T17:27:39.901+02:00</t>
  </si>
  <si>
    <t>2024-08-23T17:34:14.299+02:00</t>
  </si>
  <si>
    <t>2024-08-23T17:19:50.482+02:00</t>
  </si>
  <si>
    <t>2024-08-23T17:26:38.236+02:00</t>
  </si>
  <si>
    <t>2024-08-23T17:10:02.476+02:00</t>
  </si>
  <si>
    <t>2024-08-23T17:18:01.023+02:00</t>
  </si>
  <si>
    <t>2024-08-23T17:32:09.350+02:00</t>
  </si>
  <si>
    <t>2024-08-23T17:10:03.465+02:00</t>
  </si>
  <si>
    <t>2024-08-23T17:10:02.466+02:00</t>
  </si>
  <si>
    <t>2024-08-23T17:30:04.956+02:00</t>
  </si>
  <si>
    <t>Alexandr</t>
  </si>
  <si>
    <t>2024-08-23T17:07:44.486+02:00</t>
  </si>
  <si>
    <t>2024-08-23T17:17:28.105+02:00</t>
  </si>
  <si>
    <t>2024-08-23T17:06:17.661+02:00</t>
  </si>
  <si>
    <t>2024-08-23T17:14:45.306+02:00</t>
  </si>
  <si>
    <t>2024-08-23T16:56:44.740+02:00</t>
  </si>
  <si>
    <t>2024-08-23T17:03:23.528+02:00</t>
  </si>
  <si>
    <t>Dušan</t>
  </si>
  <si>
    <t>2024-08-23T16:22:46.990+02:00</t>
  </si>
  <si>
    <t>2024-08-23T16:31:39.138+02:00</t>
  </si>
  <si>
    <t>2024-08-23T16:22:38.183+02:00</t>
  </si>
  <si>
    <t>2024-08-23T16:29:15.238+02:00</t>
  </si>
  <si>
    <t>2024-08-23T16:05:50.367+02:00</t>
  </si>
  <si>
    <t>2024-08-23T16:13:49.232+02:00</t>
  </si>
  <si>
    <t>Volodymyr</t>
  </si>
  <si>
    <t>2024-08-23T16:05:01.206+02:00</t>
  </si>
  <si>
    <t>2024-08-23T16:12:58.109+02:00</t>
  </si>
  <si>
    <t>2024-08-23T16:01:38.555+02:00</t>
  </si>
  <si>
    <t>2024-08-23T16:09:57.284+02:00</t>
  </si>
  <si>
    <t>2024-08-23T15:50:59.843+02:00</t>
  </si>
  <si>
    <t>2024-08-23T16:01:41.137+02:00</t>
  </si>
  <si>
    <t>2024-08-23T15:48:46.031+02:00</t>
  </si>
  <si>
    <t>2024-08-23T16:01:13.225+02:00</t>
  </si>
  <si>
    <t>2024-08-23T15:46:16.474+02:00</t>
  </si>
  <si>
    <t>2024-08-23T15:59:44.245+02:00</t>
  </si>
  <si>
    <t>2024-08-23T15:43:47.596+02:00</t>
  </si>
  <si>
    <t>2024-08-23T15:53:14.400+02:00</t>
  </si>
  <si>
    <t>2024-08-23T15:35:37.622+02:00</t>
  </si>
  <si>
    <t>2024-08-23T15:44:58.221+02:00</t>
  </si>
  <si>
    <t>2024-08-23T15:33:37.587+02:00</t>
  </si>
  <si>
    <t>2024-08-23T15:43:52.531+02:00</t>
  </si>
  <si>
    <t>2024-08-23T15:04:35.325+02:00</t>
  </si>
  <si>
    <t>2024-08-23T15:12:26.282+02:00</t>
  </si>
  <si>
    <t>2024-08-23T14:59:32.642+02:00</t>
  </si>
  <si>
    <t>2024-08-23T15:06:27.149+02:00</t>
  </si>
  <si>
    <t>2024-08-23T14:44:36.934+02:00</t>
  </si>
  <si>
    <t>2024-08-23T14:52:32.339+02:00</t>
  </si>
  <si>
    <t>2024-08-23T14:44:26.266+02:00</t>
  </si>
  <si>
    <t>2024-08-23T14:54:54.127+02:00</t>
  </si>
  <si>
    <t>Kormash Liubov</t>
  </si>
  <si>
    <t>2024-08-23T14:43:01.530+02:00</t>
  </si>
  <si>
    <t>2024-08-23T14:52:08.071+02:00</t>
  </si>
  <si>
    <t>2024-08-23T15:14:29.583+02:00</t>
  </si>
  <si>
    <t>2024-08-23T14:43:02.395+02:00</t>
  </si>
  <si>
    <t>2024-08-23T14:34:01.747+02:00</t>
  </si>
  <si>
    <t>2024-08-23T14:46:12.946+02:00</t>
  </si>
  <si>
    <t>2024-08-23T15:02:10.031+02:00</t>
  </si>
  <si>
    <t>2024-08-23T14:34:02.394+02:00</t>
  </si>
  <si>
    <t>Jan</t>
  </si>
  <si>
    <t>2024-08-23T14:11:09.224+02:00</t>
  </si>
  <si>
    <t>2024-08-23T14:19:47.155+02:00</t>
  </si>
  <si>
    <t>2024-08-23T13:38:37.502+02:00</t>
  </si>
  <si>
    <t>2024-08-23T13:44:30.030+02:00</t>
  </si>
  <si>
    <t>2024-08-23T13:35:35.359+02:00</t>
  </si>
  <si>
    <t>2024-08-23T13:43:11.184+02:00</t>
  </si>
  <si>
    <t>2024-08-23T13:31:01.846+02:00</t>
  </si>
  <si>
    <t>2024-08-23T13:40:32.907+02:00</t>
  </si>
  <si>
    <t>2024-08-23T13:50:34.611+02:00</t>
  </si>
  <si>
    <t>2024-08-23T13:31:02.663+02:00</t>
  </si>
  <si>
    <t>2024-08-23T13:27:36.365+02:00</t>
  </si>
  <si>
    <t>2024-08-23T13:37:57.229+02:00</t>
  </si>
  <si>
    <t>2024-08-23T13:17:30.157+02:00</t>
  </si>
  <si>
    <t>2024-08-23T13:24:44.297+02:00</t>
  </si>
  <si>
    <t>2024-08-23T13:15:01.586+02:00</t>
  </si>
  <si>
    <t>2024-08-23T13:25:59.873+02:00</t>
  </si>
  <si>
    <t>2024-08-23T13:31:00.970+02:00</t>
  </si>
  <si>
    <t>2024-08-23T13:15:02.169+02:00</t>
  </si>
  <si>
    <t>2024-08-23T13:14:01.834+02:00</t>
  </si>
  <si>
    <t>2024-08-23T13:25:58.891+02:00</t>
  </si>
  <si>
    <t>2024-08-23T12:54:27.052+02:00</t>
  </si>
  <si>
    <t>2024-08-23T13:01:20.100+02:00</t>
  </si>
  <si>
    <t>2024-08-23T12:52:56.168+02:00</t>
  </si>
  <si>
    <t>2024-08-23T12:59:17.923+02:00</t>
  </si>
  <si>
    <t>2024-08-23T12:44:53.715+02:00</t>
  </si>
  <si>
    <t>2024-08-23T12:51:57.907+02:00</t>
  </si>
  <si>
    <t>2024-08-23T12:41:02.270+02:00</t>
  </si>
  <si>
    <t>2024-08-23T12:52:31.811+02:00</t>
  </si>
  <si>
    <t>2024-08-23T12:32:45.379+02:00</t>
  </si>
  <si>
    <t>2024-08-23T12:41:25.363+02:00</t>
  </si>
  <si>
    <t>2024-08-23T12:31:13.881+02:00</t>
  </si>
  <si>
    <t>2024-08-23T12:39:55.261+02:00</t>
  </si>
  <si>
    <t>2024-08-23T12:30:18.052+02:00</t>
  </si>
  <si>
    <t>2024-08-23T12:39:57.865+02:00</t>
  </si>
  <si>
    <t>2024-08-23T12:30:15.272+02:00</t>
  </si>
  <si>
    <t>2024-08-23T12:39:14.084+02:00</t>
  </si>
  <si>
    <t>2024-08-23T12:30:01.423+02:00</t>
  </si>
  <si>
    <t>2024-08-23T12:45:35.894+02:00</t>
  </si>
  <si>
    <t>2024-08-23T12:53:16.433+02:00</t>
  </si>
  <si>
    <t>2024-08-23T12:30:02.516+02:00</t>
  </si>
  <si>
    <t>2024-08-23T12:30:01.398+02:00</t>
  </si>
  <si>
    <t>2024-08-23T12:48:11.806+02:00</t>
  </si>
  <si>
    <t>2024-08-23T12:29:26.777+02:00</t>
  </si>
  <si>
    <t>2024-08-23T12:38:59.824+02:00</t>
  </si>
  <si>
    <t>2024-08-23T12:06:15.218+02:00</t>
  </si>
  <si>
    <t>2024-08-23T12:14:43.968+02:00</t>
  </si>
  <si>
    <t>2024-08-23T12:02:43.080+02:00</t>
  </si>
  <si>
    <t>2024-08-23T12:08:44.979+02:00</t>
  </si>
  <si>
    <t>2024-08-23T12:00:48.378+02:00</t>
  </si>
  <si>
    <t>2024-08-23T12:07:23.072+02:00</t>
  </si>
  <si>
    <t>2024-08-23T11:57:52.988+02:00</t>
  </si>
  <si>
    <t>2024-08-23T12:05:40.037+02:00</t>
  </si>
  <si>
    <t>2024-08-23T11:55:01.776+02:00</t>
  </si>
  <si>
    <t>2024-08-23T12:19:33.618+02:00</t>
  </si>
  <si>
    <t>2024-08-23T11:55:02.383+02:00</t>
  </si>
  <si>
    <t>2024-08-23T11:50:36.207+02:00</t>
  </si>
  <si>
    <t>2024-08-23T11:58:14.474+02:00</t>
  </si>
  <si>
    <t>2024-08-23T11:49:01.994+02:00</t>
  </si>
  <si>
    <t>2024-08-23T11:56:48.867+02:00</t>
  </si>
  <si>
    <t>2024-08-23T12:04:25.781+02:00</t>
  </si>
  <si>
    <t>2024-08-23T11:49:02.447+02:00</t>
  </si>
  <si>
    <t>2024-08-23T11:37:24.887+02:00</t>
  </si>
  <si>
    <t>2024-08-23T11:45:34.018+02:00</t>
  </si>
  <si>
    <t>2024-08-23T11:34:46.899+02:00</t>
  </si>
  <si>
    <t>2024-08-23T11:44:05.085+02:00</t>
  </si>
  <si>
    <t>2024-08-23T11:28:41.711+02:00</t>
  </si>
  <si>
    <t>2024-08-23T11:42:59.111+02:00</t>
  </si>
  <si>
    <t>2024-08-23T11:24:46.507+02:00</t>
  </si>
  <si>
    <t>2024-08-23T11:32:28.112+02:00</t>
  </si>
  <si>
    <t>2024-08-23T11:23:57.600+02:00</t>
  </si>
  <si>
    <t>2024-08-23T11:33:56.055+02:00</t>
  </si>
  <si>
    <t>2024-08-23T11:23:00.274+02:00</t>
  </si>
  <si>
    <t>2024-08-23T11:31:51.218+02:00</t>
  </si>
  <si>
    <t>Serhii</t>
  </si>
  <si>
    <t>2024-08-23T11:17:43.700+02:00</t>
  </si>
  <si>
    <t>2024-08-23T11:23:30.230+02:00</t>
  </si>
  <si>
    <t>canceled</t>
  </si>
  <si>
    <t>2024-08-23T10:56:10.650+02:00</t>
  </si>
  <si>
    <t>2024-08-23T10:50:02.092+02:00</t>
  </si>
  <si>
    <t>2024-08-23T11:09:04.784+02:00</t>
  </si>
  <si>
    <t>2024-08-23T11:23:34.347+02:00</t>
  </si>
  <si>
    <t>2024-08-23T10:50:03.091+02:00</t>
  </si>
  <si>
    <t>2024-08-23T10:15:02.286+02:00</t>
  </si>
  <si>
    <t>2024-08-23T11:06:16.824+02:00</t>
  </si>
  <si>
    <t>2024-08-23T11:15:15.366+02:00</t>
  </si>
  <si>
    <t>2024-08-23T10:15:03.423+02:00</t>
  </si>
  <si>
    <t>2024-08-23T10:09:02.019+02:00</t>
  </si>
  <si>
    <t>2024-08-23T11:04:55.767+02:00</t>
  </si>
  <si>
    <t>2024-08-25T00:18:14.599+02:00</t>
  </si>
  <si>
    <t>2024-08-25T00:37:52.663+02:00</t>
  </si>
  <si>
    <t>2024-08-25T00:07:13.804+02:00</t>
  </si>
  <si>
    <t>2024-08-25T00:33:16.536+02:00</t>
  </si>
  <si>
    <t>2024-08-25T00:03:14.145+02:00</t>
  </si>
  <si>
    <t>2024-08-25T00:15:40.880+02:00</t>
  </si>
  <si>
    <t>2024-08-24T23:53:13.894+02:00</t>
  </si>
  <si>
    <t>2024-08-25T00:01:45.578+02:00</t>
  </si>
  <si>
    <t>Lukaš</t>
  </si>
  <si>
    <t>2024-08-24T23:30:17.250+02:00</t>
  </si>
  <si>
    <t>2024-08-24T23:38:11.562+02:00</t>
  </si>
  <si>
    <t>2024-08-24T23:18:06.521+02:00</t>
  </si>
  <si>
    <t>2024-08-24T23:23:55.632+02:00</t>
  </si>
  <si>
    <t>Marat</t>
  </si>
  <si>
    <t>2024-08-24T23:05:20.296+02:00</t>
  </si>
  <si>
    <t>2024-08-24T23:12:30.491+02:00</t>
  </si>
  <si>
    <t>2024-08-24T22:52:10.394+02:00</t>
  </si>
  <si>
    <t>2024-08-24T23:07:53.865+02:00</t>
  </si>
  <si>
    <t>2024-08-24T22:47:02.260+02:00</t>
  </si>
  <si>
    <t>2024-08-24T22:54:44.315+02:00</t>
  </si>
  <si>
    <t>2024-08-24T22:36:57.413+02:00</t>
  </si>
  <si>
    <t>2024-08-24T22:44:23.560+02:00</t>
  </si>
  <si>
    <t>2024-08-24T22:32:01.551+02:00</t>
  </si>
  <si>
    <t>2024-08-24T22:46:59.281+02:00</t>
  </si>
  <si>
    <t>2024-08-24T22:31:12.600+02:00</t>
  </si>
  <si>
    <t>2024-08-24T22:41:10.668+02:00</t>
  </si>
  <si>
    <t>2024-08-24T22:27:13.141+02:00</t>
  </si>
  <si>
    <t>2024-08-24T22:34:38.576+02:00</t>
  </si>
  <si>
    <t>2024-08-24T22:21:02.128+02:00</t>
  </si>
  <si>
    <t>2024-08-24T22:30:08.329+02:00</t>
  </si>
  <si>
    <t>2024-08-24T22:47:19.871+02:00</t>
  </si>
  <si>
    <t>2024-08-24T22:28:15.134+02:00</t>
  </si>
  <si>
    <t>2024-08-24T22:12:14.282+02:00</t>
  </si>
  <si>
    <t>2024-08-24T22:21:00.587+02:00</t>
  </si>
  <si>
    <t>2024-08-24T22:10:13.509+02:00</t>
  </si>
  <si>
    <t>2024-08-24T22:19:14.655+02:00</t>
  </si>
  <si>
    <t>2024-08-24T22:00:14.810+02:00</t>
  </si>
  <si>
    <t>2024-08-24T22:15:48.656+02:00</t>
  </si>
  <si>
    <t>2024-08-24T21:58:12.955+02:00</t>
  </si>
  <si>
    <t>2024-08-24T22:14:34.562+02:00</t>
  </si>
  <si>
    <t>2024-08-24T21:57:46.615+02:00</t>
  </si>
  <si>
    <t>2024-08-24T22:05:41.765+02:00</t>
  </si>
  <si>
    <t>2024-08-24T21:35:41.332+02:00</t>
  </si>
  <si>
    <t>2024-08-24T21:47:43.539+02:00</t>
  </si>
  <si>
    <t>2024-08-24T21:26:13.753+02:00</t>
  </si>
  <si>
    <t>2024-08-24T21:33:19.597+02:00</t>
  </si>
  <si>
    <t>2024-08-24T21:10:15.699+02:00</t>
  </si>
  <si>
    <t>2024-08-24T21:19:04.630+02:00</t>
  </si>
  <si>
    <t>2024-08-24T21:05:13.814+02:00</t>
  </si>
  <si>
    <t>2024-08-24T21:16:55.634+02:00</t>
  </si>
  <si>
    <t>2024-08-24T21:05:13.792+02:00</t>
  </si>
  <si>
    <t>2024-08-24T21:12:25.581+02:00</t>
  </si>
  <si>
    <t>2024-08-24T20:55:15.525+02:00</t>
  </si>
  <si>
    <t>2024-08-24T21:05:23.566+02:00</t>
  </si>
  <si>
    <t>2024-08-24T20:47:53.008+02:00</t>
  </si>
  <si>
    <t>2024-08-24T20:50:47.263+02:00</t>
  </si>
  <si>
    <t>2024-08-24T20:37:02.269+02:00</t>
  </si>
  <si>
    <t>2024-08-24T20:42:34.348+02:00</t>
  </si>
  <si>
    <t>2024-08-24T21:01:29.233+02:00</t>
  </si>
  <si>
    <t>2024-08-24T20:37:02.942+02:00</t>
  </si>
  <si>
    <t>2024-08-24T20:29:02.308+02:00</t>
  </si>
  <si>
    <t>2024-08-24T20:39:42.285+02:00</t>
  </si>
  <si>
    <t>2024-08-24T20:50:01.921+02:00</t>
  </si>
  <si>
    <t>2024-08-24T20:29:02.820+02:00</t>
  </si>
  <si>
    <t>2024-08-24T20:23:51.941+02:00</t>
  </si>
  <si>
    <t>2024-08-24T20:30:02.465+02:00</t>
  </si>
  <si>
    <t>2024-08-24T20:23:02.130+02:00</t>
  </si>
  <si>
    <t>2024-08-24T20:42:00.281+02:00</t>
  </si>
  <si>
    <t>2024-08-24T20:19:02.278+02:00</t>
  </si>
  <si>
    <t>2024-08-24T20:24:13.340+02:00</t>
  </si>
  <si>
    <t>2024-08-24T20:17:01.625+02:00</t>
  </si>
  <si>
    <t>2024-08-24T20:23:25.234+02:00</t>
  </si>
  <si>
    <t>2024-08-24T20:14:16.421+02:00</t>
  </si>
  <si>
    <t>2024-08-24T20:21:02.680+02:00</t>
  </si>
  <si>
    <t>2024-08-24T20:11:18.479+02:00</t>
  </si>
  <si>
    <t>2024-08-24T20:20:09.526+02:00</t>
  </si>
  <si>
    <t>2024-08-24T20:07:32.945+02:00</t>
  </si>
  <si>
    <t>2024-08-24T20:16:52.415+02:00</t>
  </si>
  <si>
    <t>2024-08-24T20:07:28.837+02:00</t>
  </si>
  <si>
    <t>2024-08-24T20:15:16.429+02:00</t>
  </si>
  <si>
    <t>2024-08-24T20:06:01.630+02:00</t>
  </si>
  <si>
    <t>2024-08-24T20:20:30.281+02:00</t>
  </si>
  <si>
    <t>2024-08-24T20:30:32.449+02:00</t>
  </si>
  <si>
    <t>2024-08-24T20:06:02.106+02:00</t>
  </si>
  <si>
    <t>2024-08-24T20:05:15.019+02:00</t>
  </si>
  <si>
    <t>2024-08-24T20:14:24.541+02:00</t>
  </si>
  <si>
    <t>2024-08-24T20:05:14.640+02:00</t>
  </si>
  <si>
    <t>2024-08-24T20:11:27.494+02:00</t>
  </si>
  <si>
    <t>2024-08-24T20:02:30.292+02:00</t>
  </si>
  <si>
    <t>2024-08-24T20:11:06.497+02:00</t>
  </si>
  <si>
    <t>2024-08-24T20:01:02.678+02:00</t>
  </si>
  <si>
    <t>2024-08-24T20:06:54.238+02:00</t>
  </si>
  <si>
    <t>2024-08-24T19:57:15.822+02:00</t>
  </si>
  <si>
    <t>2024-08-24T20:03:32.516+02:00</t>
  </si>
  <si>
    <t>KHAYDAROV</t>
  </si>
  <si>
    <t>2024-08-24T19:54:57.293+02:00</t>
  </si>
  <si>
    <t>2024-08-24T20:04:22.410+02:00</t>
  </si>
  <si>
    <t>2024-08-24T19:53:01.709+02:00</t>
  </si>
  <si>
    <t>2024-08-24T20:01:36.276+02:00</t>
  </si>
  <si>
    <t>2024-08-24T20:23:21.226+02:00</t>
  </si>
  <si>
    <t>2024-08-24T19:53:02.295+02:00</t>
  </si>
  <si>
    <t>2024-08-24T19:48:13.226+02:00</t>
  </si>
  <si>
    <t>2024-08-24T19:57:12.463+02:00</t>
  </si>
  <si>
    <t>2024-08-24T19:46:38.169+02:00</t>
  </si>
  <si>
    <t>2024-08-24T19:59:15.232+02:00</t>
  </si>
  <si>
    <t>2024-08-24T19:46:17.408+02:00</t>
  </si>
  <si>
    <t>2024-08-24T19:56:37.630+02:00</t>
  </si>
  <si>
    <t>2024-08-24T19:43:15.397+02:00</t>
  </si>
  <si>
    <t>2024-08-24T19:55:09.526+02:00</t>
  </si>
  <si>
    <t>2024-08-24T19:40:13.727+02:00</t>
  </si>
  <si>
    <t>2024-08-24T19:52:55.489+02:00</t>
  </si>
  <si>
    <t>2024-08-24T19:36:02.317+02:00</t>
  </si>
  <si>
    <t>2024-08-24T20:13:01.240+02:00</t>
  </si>
  <si>
    <t>2024-08-24T19:28:01.991+02:00</t>
  </si>
  <si>
    <t>2024-08-24T19:36:57.230+02:00</t>
  </si>
  <si>
    <t>2024-08-24T19:59:29.031+02:00</t>
  </si>
  <si>
    <t>2024-08-24T19:28:02.611+02:00</t>
  </si>
  <si>
    <t>2024-08-24T19:27:02.194+02:00</t>
  </si>
  <si>
    <t>2024-08-24T19:36:56.230+02:00</t>
  </si>
  <si>
    <t>2024-08-24T19:48:48.957+02:00</t>
  </si>
  <si>
    <t>2024-08-24T19:27:02.764+02:00</t>
  </si>
  <si>
    <t>2024-08-24T19:23:17.606+02:00</t>
  </si>
  <si>
    <t>2024-08-24T19:31:02.405+02:00</t>
  </si>
  <si>
    <t>2024-08-24T19:21:46.672+02:00</t>
  </si>
  <si>
    <t>2024-08-24T19:30:12.507+02:00</t>
  </si>
  <si>
    <t>2024-08-24T19:18:01.677+02:00</t>
  </si>
  <si>
    <t>2024-08-24T19:26:12.300+02:00</t>
  </si>
  <si>
    <t>2024-08-24T19:45:23.190+02:00</t>
  </si>
  <si>
    <t>2024-08-24T19:18:02.250+02:00</t>
  </si>
  <si>
    <t>2024-08-24T19:12:11.122+02:00</t>
  </si>
  <si>
    <t>2024-08-24T19:18:34.524+02:00</t>
  </si>
  <si>
    <t>2024-08-24T19:05:01.556+02:00</t>
  </si>
  <si>
    <t>2024-08-24T19:12:59.272+02:00</t>
  </si>
  <si>
    <t>2024-08-24T19:17:25.658+02:00</t>
  </si>
  <si>
    <t>2024-08-24T19:05:02.272+02:00</t>
  </si>
  <si>
    <t>2024-08-24T19:02:39.365+02:00</t>
  </si>
  <si>
    <t>2024-08-24T19:09:39.331+02:00</t>
  </si>
  <si>
    <t>2024-08-24T18:59:11.873+02:00</t>
  </si>
  <si>
    <t>2024-08-24T19:10:17.471+02:00</t>
  </si>
  <si>
    <t>2024-08-24T18:51:38.331+02:00</t>
  </si>
  <si>
    <t>2024-08-24T18:58:14.487+02:00</t>
  </si>
  <si>
    <t>2024-08-24T18:51:02.005+02:00</t>
  </si>
  <si>
    <t>2024-08-24T18:56:23.295+02:00</t>
  </si>
  <si>
    <t>2024-08-24T18:46:09.116+02:00</t>
  </si>
  <si>
    <t>2024-08-24T18:53:45.417+02:00</t>
  </si>
  <si>
    <t>2024-08-24T18:41:02.263+02:00</t>
  </si>
  <si>
    <t>2024-08-24T18:47:49.278+02:00</t>
  </si>
  <si>
    <t>2024-08-24T18:36:01.365+02:00</t>
  </si>
  <si>
    <t>2024-08-24T18:42:42.267+02:00</t>
  </si>
  <si>
    <t>2024-08-24T18:54:14.808+02:00</t>
  </si>
  <si>
    <t>2024-08-24T18:36:02.128+02:00</t>
  </si>
  <si>
    <t>2024-08-24T18:30:26.042+02:00</t>
  </si>
  <si>
    <t>2024-08-24T18:38:52.677+02:00</t>
  </si>
  <si>
    <t>2024-08-24T18:25:58.831+02:00</t>
  </si>
  <si>
    <t>2024-08-24T18:32:13.455+02:00</t>
  </si>
  <si>
    <t>Amr</t>
  </si>
  <si>
    <t>2024-08-24T18:22:17.782+02:00</t>
  </si>
  <si>
    <t>2024-08-24T18:29:30.340+02:00</t>
  </si>
  <si>
    <t>2024-08-24T18:12:19.036+02:00</t>
  </si>
  <si>
    <t>2024-08-24T18:17:12.667+02:00</t>
  </si>
  <si>
    <t>2024-08-24T18:09:27.480+02:00</t>
  </si>
  <si>
    <t>2024-08-24T18:13:12.472+02:00</t>
  </si>
  <si>
    <t>2024-08-24T18:09:27.452+02:00</t>
  </si>
  <si>
    <t>2024-08-24T18:15:14.452+02:00</t>
  </si>
  <si>
    <t>2024-08-24T17:48:02.692+02:00</t>
  </si>
  <si>
    <t>2024-08-24T17:55:22.247+02:00</t>
  </si>
  <si>
    <t>2024-08-24T17:43:10.241+02:00</t>
  </si>
  <si>
    <t>2024-08-24T17:49:58.525+02:00</t>
  </si>
  <si>
    <t>2024-08-24T17:40:08.506+02:00</t>
  </si>
  <si>
    <t>2024-08-24T17:47:34.511+02:00</t>
  </si>
  <si>
    <t>2024-08-24T17:40:02.131+02:00</t>
  </si>
  <si>
    <t>2024-08-24T17:46:52.257+02:00</t>
  </si>
  <si>
    <t>2024-08-24T17:58:03.917+02:00</t>
  </si>
  <si>
    <t>2024-08-24T17:40:02.742+02:00</t>
  </si>
  <si>
    <t>2024-08-24T17:30:01.429+02:00</t>
  </si>
  <si>
    <t>2024-08-24T17:37:06.523+02:00</t>
  </si>
  <si>
    <t>2024-08-24T17:18:01.585+02:00</t>
  </si>
  <si>
    <t>2024-08-24T17:24:55.300+02:00</t>
  </si>
  <si>
    <t>2024-08-24T17:33:04.792+02:00</t>
  </si>
  <si>
    <t>2024-08-24T17:18:02.272+02:00</t>
  </si>
  <si>
    <t>2024-08-24T16:55:04.064+02:00</t>
  </si>
  <si>
    <t>2024-08-24T17:02:30.502+02:00</t>
  </si>
  <si>
    <t>2024-08-24T16:51:01.554+02:00</t>
  </si>
  <si>
    <t>2024-08-24T17:03:35.270+02:00</t>
  </si>
  <si>
    <t>2024-08-24T17:09:51.396+02:00</t>
  </si>
  <si>
    <t>2024-08-24T16:51:02.024+02:00</t>
  </si>
  <si>
    <t>2024-08-24T16:47:56.522+02:00</t>
  </si>
  <si>
    <t>2024-08-24T17:02:49.477+02:00</t>
  </si>
  <si>
    <t>2024-08-24T16:36:01.977+02:00</t>
  </si>
  <si>
    <t>2024-08-24T16:41:55.255+02:00</t>
  </si>
  <si>
    <t>2024-08-24T16:52:27.357+02:00</t>
  </si>
  <si>
    <t>2024-08-24T16:36:02.822+02:00</t>
  </si>
  <si>
    <t>2024-08-24T16:35:57.889+02:00</t>
  </si>
  <si>
    <t>2024-08-24T16:40:46.410+02:00</t>
  </si>
  <si>
    <t>2024-08-24T16:09:02.507+02:00</t>
  </si>
  <si>
    <t>2024-08-24T16:18:44.432+02:00</t>
  </si>
  <si>
    <t>2024-08-24T15:58:01.353+02:00</t>
  </si>
  <si>
    <t>2024-08-24T16:04:51.231+02:00</t>
  </si>
  <si>
    <t>2024-08-24T15:34:06.980+02:00</t>
  </si>
  <si>
    <t>2024-08-24T15:41:25.513+02:00</t>
  </si>
  <si>
    <t>2024-08-24T15:32:15.471+02:00</t>
  </si>
  <si>
    <t>2024-08-24T15:39:29.388+02:00</t>
  </si>
  <si>
    <t>2024-08-24T15:31:37.945+02:00</t>
  </si>
  <si>
    <t>2024-08-24T15:43:57.130+02:00</t>
  </si>
  <si>
    <t>2024-08-24T15:31:01.946+02:00</t>
  </si>
  <si>
    <t>2024-08-24T15:46:27.208+02:00</t>
  </si>
  <si>
    <t>2024-08-24T15:30:01.598+02:00</t>
  </si>
  <si>
    <t>2024-08-24T15:37:48.288+02:00</t>
  </si>
  <si>
    <t>2024-08-24T15:52:31.598+02:00</t>
  </si>
  <si>
    <t>2024-08-24T15:30:02.518+02:00</t>
  </si>
  <si>
    <t>Zilolahon</t>
  </si>
  <si>
    <t>2024-08-24T15:26:14.824+02:00</t>
  </si>
  <si>
    <t>2024-08-24T15:36:40.408+02:00</t>
  </si>
  <si>
    <t>2024-08-24T15:10:33.027+02:00</t>
  </si>
  <si>
    <t>2024-08-24T15:16:47.415+02:00</t>
  </si>
  <si>
    <t>2024-08-24T14:49:02.049+02:00</t>
  </si>
  <si>
    <t>2024-08-24T15:00:21.253+02:00</t>
  </si>
  <si>
    <t>2024-08-24T15:07:29.881+02:00</t>
  </si>
  <si>
    <t>2024-08-24T14:49:02.482+02:00</t>
  </si>
  <si>
    <t>2024-08-24T14:47:05.196+02:00</t>
  </si>
  <si>
    <t>2024-08-24T14:59:28.606+02:00</t>
  </si>
  <si>
    <t>2024-08-24T14:46:03.760+02:00</t>
  </si>
  <si>
    <t>2024-08-24T14:59:47.818+02:00</t>
  </si>
  <si>
    <t>2024-08-24T14:33:05.599+02:00</t>
  </si>
  <si>
    <t>2024-08-24T14:40:25.615+02:00</t>
  </si>
  <si>
    <t>2024-08-24T14:26:06.612+02:00</t>
  </si>
  <si>
    <t>2024-08-24T14:34:02.576+02:00</t>
  </si>
  <si>
    <t>2024-08-24T14:20:04.948+02:00</t>
  </si>
  <si>
    <t>2024-08-24T14:28:46.645+02:00</t>
  </si>
  <si>
    <t>2024-08-24T14:17:04.027+02:00</t>
  </si>
  <si>
    <t>2024-08-24T14:25:16.785+02:00</t>
  </si>
  <si>
    <t>Vitalii</t>
  </si>
  <si>
    <t>2024-08-24T14:01:53.715+02:00</t>
  </si>
  <si>
    <t>2024-08-24T14:11:34.415+02:00</t>
  </si>
  <si>
    <t>2024-08-24T14:01:07.666+02:00</t>
  </si>
  <si>
    <t>2024-08-24T14:07:11.527+02:00</t>
  </si>
  <si>
    <t>2024-08-24T13:51:04.840+02:00</t>
  </si>
  <si>
    <t>2024-08-24T14:00:14.626+02:00</t>
  </si>
  <si>
    <t>2024-08-24T13:50:53.579+02:00</t>
  </si>
  <si>
    <t>2024-08-24T13:57:53.486+02:00</t>
  </si>
  <si>
    <t>2024-08-24T13:38:01.839+02:00</t>
  </si>
  <si>
    <t>2024-08-24T13:48:23.241+02:00</t>
  </si>
  <si>
    <t>2024-08-24T14:04:37.047+02:00</t>
  </si>
  <si>
    <t>2024-08-24T13:38:02.506+02:00</t>
  </si>
  <si>
    <t>2024-08-24T13:34:03.357+02:00</t>
  </si>
  <si>
    <t>2024-08-24T13:41:20.486+02:00</t>
  </si>
  <si>
    <t>2024-08-24T13:31:04.955+02:00</t>
  </si>
  <si>
    <t>2024-08-24T13:44:40.384+02:00</t>
  </si>
  <si>
    <t>2024-08-24T13:20:01.314+02:00</t>
  </si>
  <si>
    <t>2024-08-24T13:28:25.190+02:00</t>
  </si>
  <si>
    <t>2024-08-24T13:16:01.523+02:00</t>
  </si>
  <si>
    <t>2024-08-24T13:23:13.294+02:00</t>
  </si>
  <si>
    <t>2024-08-24T13:34:04.268+02:00</t>
  </si>
  <si>
    <t>2024-08-24T13:16:02.189+02:00</t>
  </si>
  <si>
    <t>2024-08-24T13:13:02.194+02:00</t>
  </si>
  <si>
    <t>2024-08-24T13:20:25.204+02:00</t>
  </si>
  <si>
    <t>2024-08-24T13:10:02.133+02:00</t>
  </si>
  <si>
    <t>2024-08-24T13:16:55.382+02:00</t>
  </si>
  <si>
    <t>2024-08-24T13:47:17.402+02:00</t>
  </si>
  <si>
    <t>2024-08-24T13:15:44.125+02:00</t>
  </si>
  <si>
    <t>2024-08-24T13:06:57.956+02:00</t>
  </si>
  <si>
    <t>2024-08-24T13:13:35.218+02:00</t>
  </si>
  <si>
    <t>2024-08-24T12:58:02.930+02:00</t>
  </si>
  <si>
    <t>2024-08-24T13:08:08.614+02:00</t>
  </si>
  <si>
    <t>2024-08-24T12:57:12.440+02:00</t>
  </si>
  <si>
    <t>2024-08-24T13:06:02.535+02:00</t>
  </si>
  <si>
    <t>2024-08-24T12:57:03.265+02:00</t>
  </si>
  <si>
    <t>2024-08-24T13:05:09.501+02:00</t>
  </si>
  <si>
    <t>2024-08-24T12:45:47.275+02:00</t>
  </si>
  <si>
    <t>2024-08-24T12:52:56.465+02:00</t>
  </si>
  <si>
    <t>2024-08-24T12:35:03.729+02:00</t>
  </si>
  <si>
    <t>2024-08-24T12:43:15.484+02:00</t>
  </si>
  <si>
    <t>2024-08-24T12:35:02.463+02:00</t>
  </si>
  <si>
    <t>2024-08-24T12:42:12.536+02:00</t>
  </si>
  <si>
    <t>2024-08-24T12:30:04.815+02:00</t>
  </si>
  <si>
    <t>2024-08-24T12:37:46.456+02:00</t>
  </si>
  <si>
    <t>2024-08-24T12:23:01.486+02:00</t>
  </si>
  <si>
    <t>2024-08-24T12:33:31.194+02:00</t>
  </si>
  <si>
    <t>2024-08-24T12:21:01.735+02:00</t>
  </si>
  <si>
    <t>2024-08-24T12:28:52.327+02:00</t>
  </si>
  <si>
    <t>2024-08-24T12:48:53.457+02:00</t>
  </si>
  <si>
    <t>2024-08-24T12:21:02.413+02:00</t>
  </si>
  <si>
    <t>2024-08-24T12:09:08.713+02:00</t>
  </si>
  <si>
    <t>2024-08-24T12:14:48.673+02:00</t>
  </si>
  <si>
    <t>2024-08-24T12:00:04.078+02:00</t>
  </si>
  <si>
    <t>2024-08-24T12:08:17.568+02:00</t>
  </si>
  <si>
    <t>2024-08-24T11:56:02.497+02:00</t>
  </si>
  <si>
    <t>2024-08-24T12:02:56.336+02:00</t>
  </si>
  <si>
    <t>2024-08-24T12:07:04.763+02:00</t>
  </si>
  <si>
    <t>2024-08-24T11:56:03.211+02:00</t>
  </si>
  <si>
    <t>2024-08-24T11:51:01.480+02:00</t>
  </si>
  <si>
    <t>2024-08-24T12:01:44.258+02:00</t>
  </si>
  <si>
    <t>2024-08-24T12:22:06.010+02:00</t>
  </si>
  <si>
    <t>2024-08-24T11:51:02.282+02:00</t>
  </si>
  <si>
    <t>2024-08-24T11:48:01.596+02:00</t>
  </si>
  <si>
    <t>2024-08-24T11:59:53.244+02:00</t>
  </si>
  <si>
    <t>2024-08-24T12:19:35.261+02:00</t>
  </si>
  <si>
    <t>2024-08-24T11:53:42.916+02:00</t>
  </si>
  <si>
    <t>2024-08-24T11:28:01.033+02:00</t>
  </si>
  <si>
    <t>2024-08-24T11:35:26.464+02:00</t>
  </si>
  <si>
    <t>2024-08-24T11:26:57.826+02:00</t>
  </si>
  <si>
    <t>2024-08-24T11:34:03.400+02:00</t>
  </si>
  <si>
    <t>2024-08-24T11:19:00.736+02:00</t>
  </si>
  <si>
    <t>2024-08-24T11:25:10.879+02:00</t>
  </si>
  <si>
    <t>Pavel</t>
  </si>
  <si>
    <t>2024-08-24T11:16:28.959+02:00</t>
  </si>
  <si>
    <t>2024-08-24T11:25:09.425+02:00</t>
  </si>
  <si>
    <t>2024-08-24T11:12:00.350+02:00</t>
  </si>
  <si>
    <t>2024-08-24T11:20:37.444+02:00</t>
  </si>
  <si>
    <t>2024-08-24T11:10:01.768+02:00</t>
  </si>
  <si>
    <t>2024-08-24T11:21:40.225+02:00</t>
  </si>
  <si>
    <t>2024-08-24T11:37:55.551+02:00</t>
  </si>
  <si>
    <t>2024-08-24T11:10:02.448+02:00</t>
  </si>
  <si>
    <t>2024-08-24T11:06:01.853+02:00</t>
  </si>
  <si>
    <t>2024-08-24T11:17:47.602+02:00</t>
  </si>
  <si>
    <t>2024-08-24T11:05:59.142+02:00</t>
  </si>
  <si>
    <t>2024-08-24T11:14:47.508+02:00</t>
  </si>
  <si>
    <t>2024-08-24T11:02:48.840+02:00</t>
  </si>
  <si>
    <t>2024-08-24T11:09:56.627+02:00</t>
  </si>
  <si>
    <t>2024-08-24T10:14:01.603+02:00</t>
  </si>
  <si>
    <t>2024-08-24T11:08:16.634+02:00</t>
  </si>
  <si>
    <t>2024-08-24T11:17:13.229+02:00</t>
  </si>
  <si>
    <t>2024-08-24T10:14:02.259+02:00</t>
  </si>
  <si>
    <t>2024-08-26T23:32:01.836+02:00</t>
  </si>
  <si>
    <t>2024-08-26T23:42:59.032+02:00</t>
  </si>
  <si>
    <t>2024-08-27T00:02:40.908+02:00</t>
  </si>
  <si>
    <t>2024-08-26T23:33:00.577+02:00</t>
  </si>
  <si>
    <t>2024-08-26T23:24:55.727+02:00</t>
  </si>
  <si>
    <t>2024-08-26T23:32:56.083+02:00</t>
  </si>
  <si>
    <t>2024-08-26T23:05:08.228+02:00</t>
  </si>
  <si>
    <t>2024-08-26T23:15:26.458+02:00</t>
  </si>
  <si>
    <t>2024-08-26T22:52:38.307+02:00</t>
  </si>
  <si>
    <t>2024-08-26T23:06:19.169+02:00</t>
  </si>
  <si>
    <t>2024-08-26T22:51:11.791+02:00</t>
  </si>
  <si>
    <t>2024-08-26T22:51:57.287+02:00</t>
  </si>
  <si>
    <t>2024-08-26T22:44:01.902+02:00</t>
  </si>
  <si>
    <t>2024-08-26T22:54:08.986+02:00</t>
  </si>
  <si>
    <t>2024-08-26T22:57:28.176+02:00</t>
  </si>
  <si>
    <t>2024-08-26T22:44:02.506+02:00</t>
  </si>
  <si>
    <t>2024-08-26T22:40:11.026+02:00</t>
  </si>
  <si>
    <t>2024-08-26T22:40:37.298+02:00</t>
  </si>
  <si>
    <t>2024-08-26T22:39:48.319+02:00</t>
  </si>
  <si>
    <t>2024-08-26T22:40:10.928+02:00</t>
  </si>
  <si>
    <t>Daviti</t>
  </si>
  <si>
    <t>2024-08-26T22:19:09.590+02:00</t>
  </si>
  <si>
    <t>2024-08-26T22:27:37.036+02:00</t>
  </si>
  <si>
    <t>Kamran</t>
  </si>
  <si>
    <t>2024-08-26T22:13:33.922+02:00</t>
  </si>
  <si>
    <t>2024-08-26T22:24:32.007+02:00</t>
  </si>
  <si>
    <t>2024-08-26T22:10:01.873+02:00</t>
  </si>
  <si>
    <t>2024-08-26T22:18:44.864+02:00</t>
  </si>
  <si>
    <t>2024-08-26T22:03:01.472+02:00</t>
  </si>
  <si>
    <t>2024-08-26T22:12:28.165+02:00</t>
  </si>
  <si>
    <t>2024-08-26T22:49:53.049+02:00</t>
  </si>
  <si>
    <t>2024-08-26T22:13:45.240+02:00</t>
  </si>
  <si>
    <t>2024-08-26T21:57:10.929+02:00</t>
  </si>
  <si>
    <t>2024-08-26T22:04:45.258+02:00</t>
  </si>
  <si>
    <t>2024-08-26T21:53:50.152+02:00</t>
  </si>
  <si>
    <t>2024-08-26T22:00:27.134+02:00</t>
  </si>
  <si>
    <t>2024-08-26T21:25:11.120+02:00</t>
  </si>
  <si>
    <t>2024-08-26T21:31:51.105+02:00</t>
  </si>
  <si>
    <t>2024-08-26T21:25:01.365+02:00</t>
  </si>
  <si>
    <t>2024-08-26T21:36:43.828+02:00</t>
  </si>
  <si>
    <t>2024-08-26T21:13:11.757+02:00</t>
  </si>
  <si>
    <t>2024-08-26T21:22:48.194+02:00</t>
  </si>
  <si>
    <t>2024-08-26T21:09:59.997+02:00</t>
  </si>
  <si>
    <t>2024-08-26T21:16:31.991+02:00</t>
  </si>
  <si>
    <t>2024-08-26T21:02:55.239+02:00</t>
  </si>
  <si>
    <t>2024-08-26T21:09:18.270+02:00</t>
  </si>
  <si>
    <t>2024-08-26T20:59:22.266+02:00</t>
  </si>
  <si>
    <t>2024-08-26T21:04:43.996+02:00</t>
  </si>
  <si>
    <t>2024-08-26T20:56:02.347+02:00</t>
  </si>
  <si>
    <t>2024-08-26T21:03:00.843+02:00</t>
  </si>
  <si>
    <t>2024-08-26T21:12:49.473+02:00</t>
  </si>
  <si>
    <t>2024-08-26T20:56:02.888+02:00</t>
  </si>
  <si>
    <t>2024-08-26T20:55:01.634+02:00</t>
  </si>
  <si>
    <t>2024-08-26T21:06:02.948+02:00</t>
  </si>
  <si>
    <t>2024-08-26T21:36:32.582+02:00</t>
  </si>
  <si>
    <t>2024-08-26T21:03:40.703+02:00</t>
  </si>
  <si>
    <t>2024-08-26T20:43:12.733+02:00</t>
  </si>
  <si>
    <t>2024-08-26T20:54:39.192+02:00</t>
  </si>
  <si>
    <t>2024-08-26T20:39:13.937+02:00</t>
  </si>
  <si>
    <t>2024-08-26T20:49:03.094+02:00</t>
  </si>
  <si>
    <t>2024-08-26T20:38:11.043+02:00</t>
  </si>
  <si>
    <t>2024-08-26T20:45:08.086+02:00</t>
  </si>
  <si>
    <t>2024-08-26T20:31:40.780+02:00</t>
  </si>
  <si>
    <t>2024-08-26T20:38:50.802+02:00</t>
  </si>
  <si>
    <t>2024-08-26T20:23:01.531+02:00</t>
  </si>
  <si>
    <t>2024-08-26T20:32:59.856+02:00</t>
  </si>
  <si>
    <t>2024-08-26T20:45:46.697+02:00</t>
  </si>
  <si>
    <t>2024-08-26T20:23:02.128+02:00</t>
  </si>
  <si>
    <t>2024-08-26T20:21:16.898+02:00</t>
  </si>
  <si>
    <t>2024-08-26T20:31:12.146+02:00</t>
  </si>
  <si>
    <t>2024-08-26T20:14:02.194+02:00</t>
  </si>
  <si>
    <t>2024-08-26T20:37:43.895+02:00</t>
  </si>
  <si>
    <t>2024-08-26T20:53:12.840+02:00</t>
  </si>
  <si>
    <t>2024-08-26T20:14:02.848+02:00</t>
  </si>
  <si>
    <t>2024-08-26T20:10:01.746+02:00</t>
  </si>
  <si>
    <t>2024-08-26T20:19:10.819+02:00</t>
  </si>
  <si>
    <t>2024-08-26T20:10:01.734+02:00</t>
  </si>
  <si>
    <t>2024-08-26T20:20:55.777+02:00</t>
  </si>
  <si>
    <t>2024-08-26T20:00:01.667+02:00</t>
  </si>
  <si>
    <t>2024-08-26T20:05:07.845+02:00</t>
  </si>
  <si>
    <t>2024-08-26T20:09:57.172+02:00</t>
  </si>
  <si>
    <t>2024-08-26T20:00:02.202+02:00</t>
  </si>
  <si>
    <t>2024-08-26T19:52:15.532+02:00</t>
  </si>
  <si>
    <t>2024-08-26T20:03:04.024+02:00</t>
  </si>
  <si>
    <t>Oleksii</t>
  </si>
  <si>
    <t>2024-08-26T19:37:51.810+02:00</t>
  </si>
  <si>
    <t>2024-08-26T19:47:18.974+02:00</t>
  </si>
  <si>
    <t>2024-08-26T19:34:01.589+02:00</t>
  </si>
  <si>
    <t>2024-08-26T19:45:34.849+02:00</t>
  </si>
  <si>
    <t>2024-08-26T19:31:17.047+02:00</t>
  </si>
  <si>
    <t>2024-08-26T19:38:12.053+02:00</t>
  </si>
  <si>
    <t>2024-08-26T19:29:01.978+02:00</t>
  </si>
  <si>
    <t>2024-08-26T19:39:13.801+02:00</t>
  </si>
  <si>
    <t>2024-08-26T19:25:29.965+02:00</t>
  </si>
  <si>
    <t>2024-08-26T19:36:06.999+02:00</t>
  </si>
  <si>
    <t>2024-08-26T19:22:58.592+02:00</t>
  </si>
  <si>
    <t>2024-08-26T19:31:59.007+02:00</t>
  </si>
  <si>
    <t>2024-08-26T19:13:31.838+02:00</t>
  </si>
  <si>
    <t>2024-08-26T19:21:58.938+02:00</t>
  </si>
  <si>
    <t>2024-08-26T19:12:01.865+02:00</t>
  </si>
  <si>
    <t>2024-08-26T19:23:16.810+02:00</t>
  </si>
  <si>
    <t>2024-08-26T19:35:24.145+02:00</t>
  </si>
  <si>
    <t>2024-08-26T19:12:02.407+02:00</t>
  </si>
  <si>
    <t>Beka</t>
  </si>
  <si>
    <t>2024-08-26T19:11:18.055+02:00</t>
  </si>
  <si>
    <t>2024-08-26T19:20:34.999+02:00</t>
  </si>
  <si>
    <t>2024-08-26T19:10:35.334+02:00</t>
  </si>
  <si>
    <t>2024-08-26T19:19:06.812+02:00</t>
  </si>
  <si>
    <t>2024-08-26T19:06:01.822+02:00</t>
  </si>
  <si>
    <t>2024-08-26T19:15:04.844+02:00</t>
  </si>
  <si>
    <t>2024-08-26T19:46:29.642+02:00</t>
  </si>
  <si>
    <t>2024-08-26T19:06:02.623+02:00</t>
  </si>
  <si>
    <t>2024-08-26T19:01:01.751+02:00</t>
  </si>
  <si>
    <t>2024-08-26T19:13:44.920+02:00</t>
  </si>
  <si>
    <t>2024-08-26T19:34:03.362+02:00</t>
  </si>
  <si>
    <t>2024-08-26T19:12:48.855+02:00</t>
  </si>
  <si>
    <t>2024-08-26T18:43:18.104+02:00</t>
  </si>
  <si>
    <t>2024-08-26T18:51:12.096+02:00</t>
  </si>
  <si>
    <t>2024-08-26T18:28:12.708+02:00</t>
  </si>
  <si>
    <t>2024-08-26T18:33:47.812+02:00</t>
  </si>
  <si>
    <t>2024-08-26T18:18:01.570+02:00</t>
  </si>
  <si>
    <t>2024-08-26T18:28:38.786+02:00</t>
  </si>
  <si>
    <t>2024-08-26T18:14:16.442+02:00</t>
  </si>
  <si>
    <t>2024-08-26T18:20:37.073+02:00</t>
  </si>
  <si>
    <t>2024-08-26T18:11:07.363+02:00</t>
  </si>
  <si>
    <t>2024-08-26T18:19:41.996+02:00</t>
  </si>
  <si>
    <t>2024-08-26T18:07:16.917+02:00</t>
  </si>
  <si>
    <t>2024-08-26T18:15:02.193+02:00</t>
  </si>
  <si>
    <t>2024-08-26T18:01:16.853+02:00</t>
  </si>
  <si>
    <t>2024-08-26T18:09:30.217+02:00</t>
  </si>
  <si>
    <t>2024-08-26T17:56:02.082+02:00</t>
  </si>
  <si>
    <t>2024-08-26T18:02:33.084+02:00</t>
  </si>
  <si>
    <t>2024-08-26T17:52:31.191+02:00</t>
  </si>
  <si>
    <t>2024-08-26T17:59:07.695+02:00</t>
  </si>
  <si>
    <t>2024-08-26T17:40:22.603+02:00</t>
  </si>
  <si>
    <t>2024-08-26T17:50:02.113+02:00</t>
  </si>
  <si>
    <t>2024-08-26T17:28:07.257+02:00</t>
  </si>
  <si>
    <t>2024-08-26T17:37:08.048+02:00</t>
  </si>
  <si>
    <t>2024-08-26T17:26:07.457+02:00</t>
  </si>
  <si>
    <t>2024-08-26T17:33:50.028+02:00</t>
  </si>
  <si>
    <t>2024-08-26T17:22:01.722+02:00</t>
  </si>
  <si>
    <t>2024-08-26T17:29:06.822+02:00</t>
  </si>
  <si>
    <t>2024-08-26T17:49:12.187+02:00</t>
  </si>
  <si>
    <t>2024-08-26T17:22:02.302+02:00</t>
  </si>
  <si>
    <t>2024-08-26T17:21:46.870+02:00</t>
  </si>
  <si>
    <t>2024-08-26T17:28:43.262+02:00</t>
  </si>
  <si>
    <t>2024-08-26T17:28:43.261+02:00</t>
  </si>
  <si>
    <t>2024-08-26T17:16:01.392+02:00</t>
  </si>
  <si>
    <t>2024-08-26T17:26:52.822+02:00</t>
  </si>
  <si>
    <t>2024-08-26T17:36:48.756+02:00</t>
  </si>
  <si>
    <t>2024-08-26T17:16:01.911+02:00</t>
  </si>
  <si>
    <t>2024-08-26T17:13:06.097+02:00</t>
  </si>
  <si>
    <t>2024-08-26T17:23:57.161+02:00</t>
  </si>
  <si>
    <t>2024-08-26T17:10:05.578+02:00</t>
  </si>
  <si>
    <t>2024-08-26T17:21:09.255+02:00</t>
  </si>
  <si>
    <t>2024-08-26T17:04:11.553+02:00</t>
  </si>
  <si>
    <t>2024-08-26T17:09:53.038+02:00</t>
  </si>
  <si>
    <t>2024-08-26T16:57:29.075+02:00</t>
  </si>
  <si>
    <t>2024-08-26T17:05:00.082+02:00</t>
  </si>
  <si>
    <t>2024-08-26T16:54:01.831+02:00</t>
  </si>
  <si>
    <t>2024-08-26T17:50:36.791+02:00</t>
  </si>
  <si>
    <t>2024-08-26T16:51:02.167+02:00</t>
  </si>
  <si>
    <t>2024-08-26T17:37:32.762+02:00</t>
  </si>
  <si>
    <t>2024-08-26T16:48:02.098+02:00</t>
  </si>
  <si>
    <t>2024-08-26T16:59:31.062+02:00</t>
  </si>
  <si>
    <t>2024-08-26T16:40:04.368+02:00</t>
  </si>
  <si>
    <t>2024-08-26T16:57:07.092+02:00</t>
  </si>
  <si>
    <t>2024-08-26T16:18:03.362+02:00</t>
  </si>
  <si>
    <t>2024-08-26T16:26:49.108+02:00</t>
  </si>
  <si>
    <t>2024-08-26T16:14:37.694+02:00</t>
  </si>
  <si>
    <t>2024-08-26T16:21:18.974+02:00</t>
  </si>
  <si>
    <t>2024-08-26T15:46:01.721+02:00</t>
  </si>
  <si>
    <t>2024-08-26T15:52:51.765+02:00</t>
  </si>
  <si>
    <t>2024-08-26T15:43:04.563+02:00</t>
  </si>
  <si>
    <t>2024-08-26T15:51:27.148+02:00</t>
  </si>
  <si>
    <t>2024-08-26T15:29:43.349+02:00</t>
  </si>
  <si>
    <t>2024-08-26T15:36:39.979+02:00</t>
  </si>
  <si>
    <t>2024-08-26T14:55:01.722+02:00</t>
  </si>
  <si>
    <t>2024-08-26T15:06:20.755+02:00</t>
  </si>
  <si>
    <t>2024-08-26T14:45:02.017+02:00</t>
  </si>
  <si>
    <t>2024-08-26T14:56:19.097+02:00</t>
  </si>
  <si>
    <t>2024-08-26T14:44:03.813+02:00</t>
  </si>
  <si>
    <t>2024-08-26T14:54:06.285+02:00</t>
  </si>
  <si>
    <t>2024-08-26T14:20:11.259+02:00</t>
  </si>
  <si>
    <t>2024-08-26T14:27:14.848+02:00</t>
  </si>
  <si>
    <t>2024-08-26T14:13:52.463+02:00</t>
  </si>
  <si>
    <t>2024-08-26T14:20:33.929+02:00</t>
  </si>
  <si>
    <t>2024-08-26T14:00:03.154+02:00</t>
  </si>
  <si>
    <t>2024-08-26T14:08:01.284+02:00</t>
  </si>
  <si>
    <t>2024-08-26T13:53:17.920+02:00</t>
  </si>
  <si>
    <t>2024-08-26T13:59:30.996+02:00</t>
  </si>
  <si>
    <t>2024-08-26T13:45:45.484+02:00</t>
  </si>
  <si>
    <t>2024-08-26T13:53:58.240+02:00</t>
  </si>
  <si>
    <t>2024-08-26T13:28:49.710+02:00</t>
  </si>
  <si>
    <t>2024-08-26T13:34:29.809+02:00</t>
  </si>
  <si>
    <t>2024-08-26T13:14:02.973+02:00</t>
  </si>
  <si>
    <t>2024-08-26T13:22:20.941+02:00</t>
  </si>
  <si>
    <t>2024-08-26T13:10:01.996+02:00</t>
  </si>
  <si>
    <t>2024-08-26T13:18:18.760+02:00</t>
  </si>
  <si>
    <t>2024-08-26T13:51:39.923+02:00</t>
  </si>
  <si>
    <t>2024-08-26T13:27:21.285+02:00</t>
  </si>
  <si>
    <t>2024-08-26T12:53:01.806+02:00</t>
  </si>
  <si>
    <t>2024-08-26T13:01:19.878+02:00</t>
  </si>
  <si>
    <t>2024-08-26T13:16:06.044+02:00</t>
  </si>
  <si>
    <t>2024-08-26T12:53:02.302+02:00</t>
  </si>
  <si>
    <t>2024-08-26T12:42:01.076+02:00</t>
  </si>
  <si>
    <t>2024-08-26T12:51:08.075+02:00</t>
  </si>
  <si>
    <t>Tereza</t>
  </si>
  <si>
    <t>2024-08-26T12:41:05.097+02:00</t>
  </si>
  <si>
    <t>2024-08-26T12:47:40.243+02:00</t>
  </si>
  <si>
    <t>Ladislav</t>
  </si>
  <si>
    <t>2024-08-26T12:26:52.892+02:00</t>
  </si>
  <si>
    <t>2024-08-26T12:41:25.896+02:00</t>
  </si>
  <si>
    <t>2024-08-26T12:22:58.143+02:00</t>
  </si>
  <si>
    <t>2024-08-26T12:36:15.948+02:00</t>
  </si>
  <si>
    <t>2024-08-26T12:22:01.971+02:00</t>
  </si>
  <si>
    <t>2024-08-26T12:35:38.739+02:00</t>
  </si>
  <si>
    <t>2024-08-26T12:16:28.722+02:00</t>
  </si>
  <si>
    <t>2024-08-26T12:25:29.005+02:00</t>
  </si>
  <si>
    <t>Sekhesh</t>
  </si>
  <si>
    <t>2024-08-26T12:15:41.834+02:00</t>
  </si>
  <si>
    <t>2024-08-26T12:26:24.952+02:00</t>
  </si>
  <si>
    <t>2024-08-26T12:05:28.157+02:00</t>
  </si>
  <si>
    <t>2024-08-26T12:16:05.912+02:00</t>
  </si>
  <si>
    <t>2024-08-26T12:05:02.052+02:00</t>
  </si>
  <si>
    <t>2024-08-26T12:22:32.781+02:00</t>
  </si>
  <si>
    <t>2024-08-26T11:52:13.637+02:00</t>
  </si>
  <si>
    <t>2024-08-26T12:04:52.017+02:00</t>
  </si>
  <si>
    <t>2024-08-26T11:50:04.990+02:00</t>
  </si>
  <si>
    <t>2024-08-26T11:53:48.725+02:00</t>
  </si>
  <si>
    <t>2024-08-26T11:46:01.343+02:00</t>
  </si>
  <si>
    <t>2024-08-26T12:14:48.718+02:00</t>
  </si>
  <si>
    <t>2024-08-26T11:42:49.931+02:00</t>
  </si>
  <si>
    <t>2024-08-26T11:52:53.910+02:00</t>
  </si>
  <si>
    <t>Alexandra</t>
  </si>
  <si>
    <t>2024-08-26T11:35:44.529+02:00</t>
  </si>
  <si>
    <t>2024-08-26T11:51:50.890+02:00</t>
  </si>
  <si>
    <t>2024-08-26T11:34:02.264+02:00</t>
  </si>
  <si>
    <t>2024-08-26T11:56:42.799+02:00</t>
  </si>
  <si>
    <t>2024-08-26T12:03:07.898+02:00</t>
  </si>
  <si>
    <t>2024-08-26T11:34:02.911+02:00</t>
  </si>
  <si>
    <t>2024-08-26T11:31:02.091+02:00</t>
  </si>
  <si>
    <t>2024-08-26T11:49:04.787+02:00</t>
  </si>
  <si>
    <t>2024-08-26T12:03:24.072+02:00</t>
  </si>
  <si>
    <t>2024-08-26T11:44:06.350+02:00</t>
  </si>
  <si>
    <t>2024-08-26T11:30:07.723+02:00</t>
  </si>
  <si>
    <t>2024-08-26T11:38:21.940+02:00</t>
  </si>
  <si>
    <t>2024-08-26T11:01:26.277+02:00</t>
  </si>
  <si>
    <t>2024-08-26T11:06:55.897+02:00</t>
  </si>
  <si>
    <t>2024-08-26T10:42:02.263+02:00</t>
  </si>
  <si>
    <t>2024-08-26T11:05:17.922+02:00</t>
  </si>
  <si>
    <t>2024-08-26T11:20:52.806+02:00</t>
  </si>
  <si>
    <t>2024-08-26T11:01:59.974+02:00</t>
  </si>
  <si>
    <t>2024-08-26T10:14:01.470+02:00</t>
  </si>
  <si>
    <t>2024-08-26T12:05:56.702+02:00</t>
  </si>
  <si>
    <t>2024-08-26T09:35:01.322+02:00</t>
  </si>
  <si>
    <t>2024-08-26T11:09:05.801+02:00</t>
  </si>
  <si>
    <t>2024-08-26T11:26:01.592+02:00</t>
  </si>
  <si>
    <t>2024-08-26T09:35:02.258+02:00</t>
  </si>
  <si>
    <t>2024-08-27T23:21:13.032+02:00</t>
  </si>
  <si>
    <t>2024-08-27T23:27:39.762+02:00</t>
  </si>
  <si>
    <t>2024-08-27T23:11:22.346+02:00</t>
  </si>
  <si>
    <t>2024-08-27T23:30:08.781+02:00</t>
  </si>
  <si>
    <t>2024-08-27T23:06:19.252+02:00</t>
  </si>
  <si>
    <t>2024-08-27T23:11:26.759+02:00</t>
  </si>
  <si>
    <t>2024-08-27T22:56:42.142+02:00</t>
  </si>
  <si>
    <t>2024-08-27T23:09:25.979+02:00</t>
  </si>
  <si>
    <t>2024-08-27T22:56:41.702+02:00</t>
  </si>
  <si>
    <t>2024-08-27T23:05:06.951+02:00</t>
  </si>
  <si>
    <t>2024-08-27T22:54:40.904+02:00</t>
  </si>
  <si>
    <t>2024-08-27T23:02:31.189+02:00</t>
  </si>
  <si>
    <t>2024-08-27T22:23:07.099+02:00</t>
  </si>
  <si>
    <t>2024-08-27T22:30:49.831+02:00</t>
  </si>
  <si>
    <t>2024-08-27T22:14:29.213+02:00</t>
  </si>
  <si>
    <t>2024-08-27T22:28:07.564+02:00</t>
  </si>
  <si>
    <t>2024-08-27T22:05:41.533+02:00</t>
  </si>
  <si>
    <t>2024-08-27T22:12:08.785+02:00</t>
  </si>
  <si>
    <t>2024-08-27T21:59:07.885+02:00</t>
  </si>
  <si>
    <t>2024-08-27T22:07:36.134+02:00</t>
  </si>
  <si>
    <t>Lažek Jaroslav</t>
  </si>
  <si>
    <t>2024-08-27T21:58:01.652+02:00</t>
  </si>
  <si>
    <t>2024-08-27T22:06:15.540+02:00</t>
  </si>
  <si>
    <t>2024-08-27T22:16:01.870+02:00</t>
  </si>
  <si>
    <t>2024-08-27T21:58:02.225+02:00</t>
  </si>
  <si>
    <t>2024-08-27T21:54:41.014+02:00</t>
  </si>
  <si>
    <t>2024-08-27T22:06:12.819+02:00</t>
  </si>
  <si>
    <t>2024-08-27T21:54:28.038+02:00</t>
  </si>
  <si>
    <t>2024-08-27T22:02:27.725+02:00</t>
  </si>
  <si>
    <t>2024-08-27T21:41:40.487+02:00</t>
  </si>
  <si>
    <t>2024-08-27T21:57:18.093+02:00</t>
  </si>
  <si>
    <t>2024-08-27T21:37:21.929+02:00</t>
  </si>
  <si>
    <t>2024-08-27T21:48:44.710+02:00</t>
  </si>
  <si>
    <t>2024-08-27T21:36:23.101+02:00</t>
  </si>
  <si>
    <t>2024-08-27T21:43:13.712+02:00</t>
  </si>
  <si>
    <t>2024-08-27T21:30:03.148+02:00</t>
  </si>
  <si>
    <t>2024-08-27T21:38:07.561+02:00</t>
  </si>
  <si>
    <t>2024-08-27T21:47:36.571+02:00</t>
  </si>
  <si>
    <t>2024-08-27T21:30:03.946+02:00</t>
  </si>
  <si>
    <t>2024-08-27T21:10:02.277+02:00</t>
  </si>
  <si>
    <t>2024-08-27T21:29:42.526+02:00</t>
  </si>
  <si>
    <t>2024-08-27T21:05:01.533+02:00</t>
  </si>
  <si>
    <t>2024-08-27T21:20:45.489+02:00</t>
  </si>
  <si>
    <t>2024-08-27T20:48:40.313+02:00</t>
  </si>
  <si>
    <t>2024-08-27T20:58:56.804+02:00</t>
  </si>
  <si>
    <t>2024-08-27T20:43:01.645+02:00</t>
  </si>
  <si>
    <t>2024-08-27T20:54:02.854+02:00</t>
  </si>
  <si>
    <t>2024-08-27T21:08:54.377+02:00</t>
  </si>
  <si>
    <t>2024-08-27T20:43:02.263+02:00</t>
  </si>
  <si>
    <t>2024-08-27T20:33:23.321+02:00</t>
  </si>
  <si>
    <t>2024-08-27T20:40:30.507+02:00</t>
  </si>
  <si>
    <t>2024-08-27T20:32:43.584+02:00</t>
  </si>
  <si>
    <t>2024-08-27T20:49:13.763+02:00</t>
  </si>
  <si>
    <t>2024-08-27T20:29:42.134+02:00</t>
  </si>
  <si>
    <t>2024-08-27T20:47:26.029+02:00</t>
  </si>
  <si>
    <t>2024-08-27T20:19:12.492+02:00</t>
  </si>
  <si>
    <t>2024-08-27T20:35:35.660+02:00</t>
  </si>
  <si>
    <t>2024-08-27T20:17:29.230+02:00</t>
  </si>
  <si>
    <t>2024-08-27T20:38:35.762+02:00</t>
  </si>
  <si>
    <t>2024-08-27T20:14:54.469+02:00</t>
  </si>
  <si>
    <t>2024-08-27T20:26:20.531+02:00</t>
  </si>
  <si>
    <t>2024-08-27T20:08:07.651+02:00</t>
  </si>
  <si>
    <t>2024-08-27T20:32:48.640+02:00</t>
  </si>
  <si>
    <t>2024-08-27T20:07:46.536+02:00</t>
  </si>
  <si>
    <t>2024-08-27T20:16:14.736+02:00</t>
  </si>
  <si>
    <t>2024-08-27T20:06:41.769+02:00</t>
  </si>
  <si>
    <t>2024-08-27T20:16:18.723+02:00</t>
  </si>
  <si>
    <t>2024-08-27T20:03:37.281+02:00</t>
  </si>
  <si>
    <t>2024-08-27T20:10:17.938+02:00</t>
  </si>
  <si>
    <t>2024-08-27T20:02:01.800+02:00</t>
  </si>
  <si>
    <t>2024-08-27T20:22:39.497+02:00</t>
  </si>
  <si>
    <t>2024-08-27T20:34:18.798+02:00</t>
  </si>
  <si>
    <t>2024-08-27T20:02:02.790+02:00</t>
  </si>
  <si>
    <t>2024-08-27T20:02:01.789+02:00</t>
  </si>
  <si>
    <t>2024-08-27T20:13:41.488+02:00</t>
  </si>
  <si>
    <t>2024-08-27T20:00:29.714+02:00</t>
  </si>
  <si>
    <t>2024-08-27T20:11:16.771+02:00</t>
  </si>
  <si>
    <t>2024-08-27T20:00:01.283+02:00</t>
  </si>
  <si>
    <t>2024-08-27T20:26:03.607+02:00</t>
  </si>
  <si>
    <t>2024-08-27T20:39:43.029+02:00</t>
  </si>
  <si>
    <t>2024-08-27T20:00:01.948+02:00</t>
  </si>
  <si>
    <t>2024-08-27T19:54:02.304+02:00</t>
  </si>
  <si>
    <t>2024-08-27T20:03:33.503+02:00</t>
  </si>
  <si>
    <t>2024-08-27T19:50:02.358+02:00</t>
  </si>
  <si>
    <t>2024-08-27T20:23:04.585+02:00</t>
  </si>
  <si>
    <t>2024-08-27T19:49:51.941+02:00</t>
  </si>
  <si>
    <t>2024-08-27T19:58:47.870+02:00</t>
  </si>
  <si>
    <t>2024-08-27T19:44:01.807+02:00</t>
  </si>
  <si>
    <t>2024-08-27T19:52:08.736+02:00</t>
  </si>
  <si>
    <t>2024-08-27T19:38:42.927+02:00</t>
  </si>
  <si>
    <t>2024-08-27T19:47:38.056+02:00</t>
  </si>
  <si>
    <t>2024-08-27T19:33:43.030+02:00</t>
  </si>
  <si>
    <t>2024-08-27T19:46:19.740+02:00</t>
  </si>
  <si>
    <t>2024-08-27T19:32:41.102+02:00</t>
  </si>
  <si>
    <t>2024-08-27T19:40:33.873+02:00</t>
  </si>
  <si>
    <t>2024-08-27T19:26:01.805+02:00</t>
  </si>
  <si>
    <t>2024-08-27T19:35:50.424+02:00</t>
  </si>
  <si>
    <t>2024-08-27T19:24:42.604+02:00</t>
  </si>
  <si>
    <t>2024-08-27T19:32:23.768+02:00</t>
  </si>
  <si>
    <t>2024-08-27T19:16:45.424+02:00</t>
  </si>
  <si>
    <t>2024-08-27T19:23:05.805+02:00</t>
  </si>
  <si>
    <t>2024-08-27T19:11:40.667+02:00</t>
  </si>
  <si>
    <t>2024-08-27T19:19:14.811+02:00</t>
  </si>
  <si>
    <t>2024-08-27T18:59:42.476+02:00</t>
  </si>
  <si>
    <t>2024-08-27T19:07:57.769+02:00</t>
  </si>
  <si>
    <t>2024-08-27T18:58:29.545+02:00</t>
  </si>
  <si>
    <t>2024-08-27T19:05:11.720+02:00</t>
  </si>
  <si>
    <t>2024-08-27T18:52:02.345+02:00</t>
  </si>
  <si>
    <t>2024-08-27T19:03:10.426+02:00</t>
  </si>
  <si>
    <t>Eliška</t>
  </si>
  <si>
    <t>2024-08-27T18:49:33.093+02:00</t>
  </si>
  <si>
    <t>2024-08-27T18:59:57.623+02:00</t>
  </si>
  <si>
    <t>2024-08-27T18:45:40.101+02:00</t>
  </si>
  <si>
    <t>2024-08-27T18:55:29.733+02:00</t>
  </si>
  <si>
    <t>2024-08-27T18:44:55.337+02:00</t>
  </si>
  <si>
    <t>2024-08-27T18:51:22.912+02:00</t>
  </si>
  <si>
    <t>2024-08-27T18:26:49.426+02:00</t>
  </si>
  <si>
    <t>2024-08-27T18:33:33.703+02:00</t>
  </si>
  <si>
    <t>2024-08-27T18:22:43.087+02:00</t>
  </si>
  <si>
    <t>2024-08-27T18:30:45.630+02:00</t>
  </si>
  <si>
    <t>2024-08-27T18:18:43.391+02:00</t>
  </si>
  <si>
    <t>2024-08-27T18:26:48.675+02:00</t>
  </si>
  <si>
    <t>2024-08-27T18:03:36.847+02:00</t>
  </si>
  <si>
    <t>2024-08-27T18:11:09.616+02:00</t>
  </si>
  <si>
    <t>2024-08-27T17:53:40.111+02:00</t>
  </si>
  <si>
    <t>2024-08-27T18:03:05.644+02:00</t>
  </si>
  <si>
    <t>2024-08-27T17:51:33.872+02:00</t>
  </si>
  <si>
    <t>2024-08-27T18:01:11.582+02:00</t>
  </si>
  <si>
    <t>2024-08-27T17:47:34.453+02:00</t>
  </si>
  <si>
    <t>2024-08-27T17:55:41.628+02:00</t>
  </si>
  <si>
    <t>2024-08-27T17:34:01.368+02:00</t>
  </si>
  <si>
    <t>2024-08-27T17:42:10.322+02:00</t>
  </si>
  <si>
    <t>2024-08-27T17:32:01.671+02:00</t>
  </si>
  <si>
    <t>2024-08-27T17:40:51.408+02:00</t>
  </si>
  <si>
    <t>2024-08-27T17:57:05.919+02:00</t>
  </si>
  <si>
    <t>2024-08-27T17:32:02.277+02:00</t>
  </si>
  <si>
    <t>Azar</t>
  </si>
  <si>
    <t>2024-08-27T17:27:15.507+02:00</t>
  </si>
  <si>
    <t>2024-08-27T17:37:44.757+02:00</t>
  </si>
  <si>
    <t>2024-08-27T17:24:02.937+02:00</t>
  </si>
  <si>
    <t>2024-08-27T17:58:33.405+02:00</t>
  </si>
  <si>
    <t>2024-08-27T17:19:02.214+02:00</t>
  </si>
  <si>
    <t>2024-08-27T17:34:14.323+02:00</t>
  </si>
  <si>
    <t>2024-08-27T17:49:25.998+02:00</t>
  </si>
  <si>
    <t>2024-08-27T17:19:02.967+02:00</t>
  </si>
  <si>
    <t>2024-08-27T17:14:54.808+02:00</t>
  </si>
  <si>
    <t>2024-08-27T17:33:39.663+02:00</t>
  </si>
  <si>
    <t>2024-08-27T17:13:01.430+02:00</t>
  </si>
  <si>
    <t>2024-08-27T17:29:37.321+02:00</t>
  </si>
  <si>
    <t>2024-08-27T17:06:35.805+02:00</t>
  </si>
  <si>
    <t>2024-08-27T17:21:32.003+02:00</t>
  </si>
  <si>
    <t>2024-08-27T16:59:03.264+02:00</t>
  </si>
  <si>
    <t>2024-08-27T17:10:15.398+02:00</t>
  </si>
  <si>
    <t>2024-08-27T17:18:21.918+02:00</t>
  </si>
  <si>
    <t>2024-08-27T16:59:03.886+02:00</t>
  </si>
  <si>
    <t>2024-08-27T16:55:35.994+02:00</t>
  </si>
  <si>
    <t>2024-08-27T17:08:58.639+02:00</t>
  </si>
  <si>
    <t>2024-08-27T16:53:48.376+02:00</t>
  </si>
  <si>
    <t>2024-08-27T17:01:44.592+02:00</t>
  </si>
  <si>
    <t>2024-08-27T16:47:35.074+02:00</t>
  </si>
  <si>
    <t>2024-08-27T16:57:40.627+02:00</t>
  </si>
  <si>
    <t>2024-08-27T16:24:01.903+02:00</t>
  </si>
  <si>
    <t>2024-08-27T16:36:54.594+02:00</t>
  </si>
  <si>
    <t>2024-08-27T15:15:35.229+02:00</t>
  </si>
  <si>
    <t>2024-08-27T15:26:51.690+02:00</t>
  </si>
  <si>
    <t>2024-08-27T15:13:33.516+02:00</t>
  </si>
  <si>
    <t>2024-08-27T15:23:22.532+02:00</t>
  </si>
  <si>
    <t>2024-08-27T15:03:33.668+02:00</t>
  </si>
  <si>
    <t>2024-08-27T15:14:13.810+02:00</t>
  </si>
  <si>
    <t>2024-08-27T14:49:31.566+02:00</t>
  </si>
  <si>
    <t>2024-08-27T14:55:27.546+02:00</t>
  </si>
  <si>
    <t>2024-08-27T14:40:32.381+02:00</t>
  </si>
  <si>
    <t>2024-08-27T14:51:49.764+02:00</t>
  </si>
  <si>
    <t>2024-08-27T14:21:34.195+02:00</t>
  </si>
  <si>
    <t>2024-08-27T14:29:48.862+02:00</t>
  </si>
  <si>
    <t>2024-08-27T13:47:02.102+02:00</t>
  </si>
  <si>
    <t>2024-08-27T13:58:35.334+02:00</t>
  </si>
  <si>
    <t>2024-08-27T14:04:53.755+02:00</t>
  </si>
  <si>
    <t>2024-08-27T13:47:02.668+02:00</t>
  </si>
  <si>
    <t>2024-08-27T13:24:30.949+02:00</t>
  </si>
  <si>
    <t>2024-08-27T13:37:11.516+02:00</t>
  </si>
  <si>
    <t>2024-08-27T13:16:01.496+02:00</t>
  </si>
  <si>
    <t>2024-08-27T13:31:29.336+02:00</t>
  </si>
  <si>
    <t>2024-08-27T12:51:05.135+02:00</t>
  </si>
  <si>
    <t>2024-08-27T12:58:40.558+02:00</t>
  </si>
  <si>
    <t>2024-08-27T12:32:02.028+02:00</t>
  </si>
  <si>
    <t>2024-08-27T12:47:06.300+02:00</t>
  </si>
  <si>
    <t>2024-08-27T12:25:46.590+02:00</t>
  </si>
  <si>
    <t>2024-08-27T12:36:19.636+02:00</t>
  </si>
  <si>
    <t>2024-08-27T12:22:40.014+02:00</t>
  </si>
  <si>
    <t>2024-08-27T12:34:08.471+02:00</t>
  </si>
  <si>
    <t>2024-08-27T11:59:44.009+02:00</t>
  </si>
  <si>
    <t>2024-08-27T12:12:04.584+02:00</t>
  </si>
  <si>
    <t>2024-08-27T11:55:42.071+02:00</t>
  </si>
  <si>
    <t>2024-08-27T12:13:19.246+02:00</t>
  </si>
  <si>
    <t>2024-08-27T11:52:19.087+02:00</t>
  </si>
  <si>
    <t>2024-08-27T12:10:27.423+02:00</t>
  </si>
  <si>
    <t>Zdenek</t>
  </si>
  <si>
    <t>2024-08-27T11:51:53.045+02:00</t>
  </si>
  <si>
    <t>2024-08-27T12:09:35.432+02:00</t>
  </si>
  <si>
    <t>2024-08-27T11:49:46.436+02:00</t>
  </si>
  <si>
    <t>2024-08-27T12:10:08.571+02:00</t>
  </si>
  <si>
    <t>2024-08-27T11:38:09.913+02:00</t>
  </si>
  <si>
    <t>2024-08-27T12:00:50.441+02:00</t>
  </si>
  <si>
    <t>2024-08-27T11:37:44.043+02:00</t>
  </si>
  <si>
    <t>2024-08-27T11:53:10.499+02:00</t>
  </si>
  <si>
    <t>2024-08-27T11:37:43.756+02:00</t>
  </si>
  <si>
    <t>2024-08-27T11:50:33.475+02:00</t>
  </si>
  <si>
    <t>2024-08-27T11:37:09.113+02:00</t>
  </si>
  <si>
    <t>2024-08-27T11:59:00.591+02:00</t>
  </si>
  <si>
    <t>2024-08-27T11:29:04.260+02:00</t>
  </si>
  <si>
    <t>2024-08-27T11:34:34.458+02:00</t>
  </si>
  <si>
    <t>2024-08-27T11:21:02.160+02:00</t>
  </si>
  <si>
    <t>2024-08-27T11:33:18.215+02:00</t>
  </si>
  <si>
    <t>2024-08-27T11:17:38.483+02:00</t>
  </si>
  <si>
    <t>2024-08-27T11:31:44.490+02:00</t>
  </si>
  <si>
    <t>2024-08-27T11:04:01.318+02:00</t>
  </si>
  <si>
    <t>2024-08-27T11:36:42.220+02:00</t>
  </si>
  <si>
    <t>2024-08-27T11:02:29.151+02:00</t>
  </si>
  <si>
    <t>2024-08-27T11:12:28.492+02:00</t>
  </si>
  <si>
    <t>2024-08-27T10:52:28.745+02:00</t>
  </si>
  <si>
    <t>2024-08-27T11:06:19.863+02:00</t>
  </si>
  <si>
    <t>2024-08-28T23:19:01.500+02:00</t>
  </si>
  <si>
    <t>2024-08-28T23:51:40.194+02:00</t>
  </si>
  <si>
    <t>2024-08-28T23:10:01.666+02:00</t>
  </si>
  <si>
    <t>2024-08-28T23:17:33.412+02:00</t>
  </si>
  <si>
    <t>2024-08-28T23:01:06.420+02:00</t>
  </si>
  <si>
    <t>2024-08-28T23:23:24.340+02:00</t>
  </si>
  <si>
    <t>2024-08-28T23:00:01.637+02:00</t>
  </si>
  <si>
    <t>2024-08-28T23:12:54.354+02:00</t>
  </si>
  <si>
    <t>2024-08-28T22:48:59.073+02:00</t>
  </si>
  <si>
    <t>2024-08-28T22:59:21.169+02:00</t>
  </si>
  <si>
    <t>2024-08-28T22:30:27.725+02:00</t>
  </si>
  <si>
    <t>2024-08-28T22:34:57.803+02:00</t>
  </si>
  <si>
    <t>2024-08-28T22:05:11.562+02:00</t>
  </si>
  <si>
    <t>2024-08-28T22:06:12.370+02:00</t>
  </si>
  <si>
    <t>2024-08-28T21:42:07.349+02:00</t>
  </si>
  <si>
    <t>2024-08-28T21:49:30.604+02:00</t>
  </si>
  <si>
    <t>2024-08-28T21:39:04.897+02:00</t>
  </si>
  <si>
    <t>2024-08-28T21:47:02.371+02:00</t>
  </si>
  <si>
    <t>2024-08-28T21:16:00.772+02:00</t>
  </si>
  <si>
    <t>2024-08-28T21:27:03.506+02:00</t>
  </si>
  <si>
    <t>2024-08-28T21:13:01.831+02:00</t>
  </si>
  <si>
    <t>2024-08-28T21:37:11.191+02:00</t>
  </si>
  <si>
    <t>2024-08-28T21:12:01.785+02:00</t>
  </si>
  <si>
    <t>2024-08-28T21:19:12.498+02:00</t>
  </si>
  <si>
    <t>2024-08-28T21:08:24.483+02:00</t>
  </si>
  <si>
    <t>2024-08-28T21:17:59.321+02:00</t>
  </si>
  <si>
    <t>2024-08-28T20:56:02.086+02:00</t>
  </si>
  <si>
    <t>2024-08-28T21:11:06.222+02:00</t>
  </si>
  <si>
    <t>2024-08-28T21:33:14.554+02:00</t>
  </si>
  <si>
    <t>2024-08-28T20:56:02.643+02:00</t>
  </si>
  <si>
    <t>2024-08-28T20:53:05.562+02:00</t>
  </si>
  <si>
    <t>2024-08-28T21:01:22.503+02:00</t>
  </si>
  <si>
    <t>2024-08-28T20:49:01.810+02:00</t>
  </si>
  <si>
    <t>2024-08-28T21:01:24.092+02:00</t>
  </si>
  <si>
    <t>2024-08-28T20:47:18.635+02:00</t>
  </si>
  <si>
    <t>2024-08-28T20:53:51.317+02:00</t>
  </si>
  <si>
    <t>2024-08-28T20:47:01.892+02:00</t>
  </si>
  <si>
    <t>2024-08-28T20:52:46.325+02:00</t>
  </si>
  <si>
    <t>2024-08-28T20:55:17.259+02:00</t>
  </si>
  <si>
    <t>2024-08-28T20:47:02.440+02:00</t>
  </si>
  <si>
    <t>2024-08-28T20:41:04.251+02:00</t>
  </si>
  <si>
    <t>2024-08-28T20:51:13.753+02:00</t>
  </si>
  <si>
    <t>2024-08-28T20:39:02.108+02:00</t>
  </si>
  <si>
    <t>2024-08-28T20:51:20.125+02:00</t>
  </si>
  <si>
    <t>2024-08-28T20:38:01.356+02:00</t>
  </si>
  <si>
    <t>2024-08-28T20:45:15.270+02:00</t>
  </si>
  <si>
    <t>2024-08-28T21:01:21.884+02:00</t>
  </si>
  <si>
    <t>2024-08-28T20:38:02.097+02:00</t>
  </si>
  <si>
    <t>2024-08-28T20:37:44.976+02:00</t>
  </si>
  <si>
    <t>2024-08-28T20:49:40.305+02:00</t>
  </si>
  <si>
    <t>2024-08-28T20:36:03.326+02:00</t>
  </si>
  <si>
    <t>2024-08-28T20:48:34.193+02:00</t>
  </si>
  <si>
    <t>2024-08-28T21:08:56.338+02:00</t>
  </si>
  <si>
    <t>2024-08-28T20:36:04.318+02:00</t>
  </si>
  <si>
    <t>2024-08-28T20:34:02.058+02:00</t>
  </si>
  <si>
    <t>2024-08-28T20:42:05.249+02:00</t>
  </si>
  <si>
    <t>2024-08-28T20:58:26.993+02:00</t>
  </si>
  <si>
    <t>2024-08-28T20:36:27.079+02:00</t>
  </si>
  <si>
    <t>2024-08-28T20:32:03.973+02:00</t>
  </si>
  <si>
    <t>2024-08-28T20:43:35.585+02:00</t>
  </si>
  <si>
    <t>2024-08-28T20:30:33.870+02:00</t>
  </si>
  <si>
    <t>2024-08-28T20:39:14.242+02:00</t>
  </si>
  <si>
    <t>2024-08-28T20:29:42.424+02:00</t>
  </si>
  <si>
    <t>2024-08-28T20:35:57.288+02:00</t>
  </si>
  <si>
    <t>2024-08-28T20:27:12.634+02:00</t>
  </si>
  <si>
    <t>2024-08-28T20:35:41.404+02:00</t>
  </si>
  <si>
    <t>2024-08-28T20:22:01.654+02:00</t>
  </si>
  <si>
    <t>2024-08-28T20:33:18.261+02:00</t>
  </si>
  <si>
    <t>2024-08-28T21:02:00.120+02:00</t>
  </si>
  <si>
    <t>2024-08-28T20:25:40.253+02:00</t>
  </si>
  <si>
    <t>Adam</t>
  </si>
  <si>
    <t>2024-08-28T20:21:09.115+02:00</t>
  </si>
  <si>
    <t>2024-08-28T20:30:31.231+02:00</t>
  </si>
  <si>
    <t>2024-08-28T20:16:40.545+02:00</t>
  </si>
  <si>
    <t>2024-08-28T20:25:37.325+02:00</t>
  </si>
  <si>
    <t>2024-08-28T20:13:02.136+02:00</t>
  </si>
  <si>
    <t>2024-08-28T20:20:29.251+02:00</t>
  </si>
  <si>
    <t>2024-08-28T20:46:29.899+02:00</t>
  </si>
  <si>
    <t>2024-08-28T20:14:17.647+02:00</t>
  </si>
  <si>
    <t>2024-08-28T20:00:39.377+02:00</t>
  </si>
  <si>
    <t>2024-08-28T20:12:41.266+02:00</t>
  </si>
  <si>
    <t>2024-08-28T19:50:29.350+02:00</t>
  </si>
  <si>
    <t>2024-08-28T20:00:01.277+02:00</t>
  </si>
  <si>
    <t>2024-08-28T19:50:04.161+02:00</t>
  </si>
  <si>
    <t>2024-08-28T19:56:57.388+02:00</t>
  </si>
  <si>
    <t>2024-08-28T19:46:04.693+02:00</t>
  </si>
  <si>
    <t>2024-08-28T19:55:16.369+02:00</t>
  </si>
  <si>
    <t>2024-08-28T19:45:06.717+02:00</t>
  </si>
  <si>
    <t>2024-08-28T19:52:12.441+02:00</t>
  </si>
  <si>
    <t>2024-08-28T19:44:02.178+02:00</t>
  </si>
  <si>
    <t>2024-08-28T19:59:59.127+02:00</t>
  </si>
  <si>
    <t>2024-08-28T19:43:29.947+02:00</t>
  </si>
  <si>
    <t>2024-08-28T19:51:34.102+02:00</t>
  </si>
  <si>
    <t>2024-08-28T19:43:01.841+02:00</t>
  </si>
  <si>
    <t>2024-08-28T19:49:58.414+02:00</t>
  </si>
  <si>
    <t>2024-08-28T20:08:31.425+02:00</t>
  </si>
  <si>
    <t>2024-08-28T19:43:13.488+02:00</t>
  </si>
  <si>
    <t>2024-08-28T19:37:01.711+02:00</t>
  </si>
  <si>
    <t>2024-08-28T19:45:12.174+02:00</t>
  </si>
  <si>
    <t>2024-08-28T19:59:48.235+02:00</t>
  </si>
  <si>
    <t>2024-08-28T19:37:02.184+02:00</t>
  </si>
  <si>
    <t>2024-08-28T19:35:32.289+02:00</t>
  </si>
  <si>
    <t>2024-08-28T19:44:08.534+02:00</t>
  </si>
  <si>
    <t>2024-08-28T19:33:02.445+02:00</t>
  </si>
  <si>
    <t>2024-08-28T19:40:08.354+02:00</t>
  </si>
  <si>
    <t>2024-08-28T19:11:06.258+02:00</t>
  </si>
  <si>
    <t>2024-08-28T19:15:29.328+02:00</t>
  </si>
  <si>
    <t>2024-08-28T19:08:49.127+02:00</t>
  </si>
  <si>
    <t>2024-08-28T19:15:28.425+02:00</t>
  </si>
  <si>
    <t>2024-08-28T19:07:18.187+02:00</t>
  </si>
  <si>
    <t>2024-08-28T19:12:59.360+02:00</t>
  </si>
  <si>
    <t>2024-08-28T19:06:06.548+02:00</t>
  </si>
  <si>
    <t>2024-08-28T19:11:47.357+02:00</t>
  </si>
  <si>
    <t>2024-08-28T18:56:11.776+02:00</t>
  </si>
  <si>
    <t>2024-08-28T19:05:47.339+02:00</t>
  </si>
  <si>
    <t>2024-08-28T18:50:02.025+02:00</t>
  </si>
  <si>
    <t>2024-08-28T18:59:19.116+02:00</t>
  </si>
  <si>
    <t>2024-08-28T19:07:10.160+02:00</t>
  </si>
  <si>
    <t>2024-08-28T18:50:02.582+02:00</t>
  </si>
  <si>
    <t>2024-08-28T18:48:01.106+02:00</t>
  </si>
  <si>
    <t>2024-08-28T18:56:54.421+02:00</t>
  </si>
  <si>
    <t>2024-08-28T18:46:02.108+02:00</t>
  </si>
  <si>
    <t>2024-08-28T18:54:28.421+02:00</t>
  </si>
  <si>
    <t>2024-08-28T18:41:22.226+02:00</t>
  </si>
  <si>
    <t>2024-08-28T18:47:24.568+02:00</t>
  </si>
  <si>
    <t>2024-08-28T18:39:01.591+02:00</t>
  </si>
  <si>
    <t>2024-08-28T18:45:56.255+02:00</t>
  </si>
  <si>
    <t>2024-08-28T18:58:57.354+02:00</t>
  </si>
  <si>
    <t>2024-08-28T18:40:49.288+02:00</t>
  </si>
  <si>
    <t>2024-08-28T18:33:01.915+02:00</t>
  </si>
  <si>
    <t>2024-08-28T18:45:02.192+02:00</t>
  </si>
  <si>
    <t>2024-08-28T18:33:02.543+02:00</t>
  </si>
  <si>
    <t>2024-08-28T18:29:02.996+02:00</t>
  </si>
  <si>
    <t>2024-08-28T18:35:30.348+02:00</t>
  </si>
  <si>
    <t>2024-08-28T18:28:35.843+02:00</t>
  </si>
  <si>
    <t>2024-08-28T18:37:45.415+02:00</t>
  </si>
  <si>
    <t>2024-08-28T18:18:02.031+02:00</t>
  </si>
  <si>
    <t>2024-08-28T18:31:01.083+02:00</t>
  </si>
  <si>
    <t>2024-08-28T19:00:53.883+02:00</t>
  </si>
  <si>
    <t>2024-08-28T18:21:09.438+02:00</t>
  </si>
  <si>
    <t>2024-08-28T18:17:24.628+02:00</t>
  </si>
  <si>
    <t>2024-08-28T18:27:03.314+02:00</t>
  </si>
  <si>
    <t>2024-08-28T18:13:03.238+02:00</t>
  </si>
  <si>
    <t>2024-08-28T18:23:32.437+02:00</t>
  </si>
  <si>
    <t>2024-08-28T18:13:02.946+02:00</t>
  </si>
  <si>
    <t>2024-08-28T18:19:59.263+02:00</t>
  </si>
  <si>
    <t>2024-08-28T18:12:29.426+02:00</t>
  </si>
  <si>
    <t>2024-08-28T18:24:44.441+02:00</t>
  </si>
  <si>
    <t>2024-08-28T18:08:00.490+02:00</t>
  </si>
  <si>
    <t>2024-08-28T18:17:38.282+02:00</t>
  </si>
  <si>
    <t>2024-08-28T18:02:59.867+02:00</t>
  </si>
  <si>
    <t>2024-08-28T18:09:04.214+02:00</t>
  </si>
  <si>
    <t>2024-08-28T17:55:53.835+02:00</t>
  </si>
  <si>
    <t>2024-08-28T18:03:24.312+02:00</t>
  </si>
  <si>
    <t>2024-08-28T17:55:03.985+02:00</t>
  </si>
  <si>
    <t>2024-08-28T18:02:12.204+02:00</t>
  </si>
  <si>
    <t>2024-08-28T17:45:57.209+02:00</t>
  </si>
  <si>
    <t>2024-08-28T17:54:45.243+02:00</t>
  </si>
  <si>
    <t>2024-08-28T17:42:53.678+02:00</t>
  </si>
  <si>
    <t>2024-08-28T17:54:47.174+02:00</t>
  </si>
  <si>
    <t>2024-08-28T17:41:21.153+02:00</t>
  </si>
  <si>
    <t>2024-08-28T17:46:48.399+02:00</t>
  </si>
  <si>
    <t>2024-08-28T17:27:16.805+02:00</t>
  </si>
  <si>
    <t>2024-08-28T17:33:12.083+02:00</t>
  </si>
  <si>
    <t>2024-08-28T17:21:44.325+02:00</t>
  </si>
  <si>
    <t>2024-08-28T17:30:09.146+02:00</t>
  </si>
  <si>
    <t>2024-08-28T17:10:01.474+02:00</t>
  </si>
  <si>
    <t>2024-08-28T17:18:43.173+02:00</t>
  </si>
  <si>
    <t>2024-08-28T17:32:34.933+02:00</t>
  </si>
  <si>
    <t>2024-08-28T17:12:49.176+02:00</t>
  </si>
  <si>
    <t>2024-08-28T17:09:05.757+02:00</t>
  </si>
  <si>
    <t>2024-08-28T17:16:53.081+02:00</t>
  </si>
  <si>
    <t>2024-08-28T17:02:03.666+02:00</t>
  </si>
  <si>
    <t>2024-08-28T17:09:32.196+02:00</t>
  </si>
  <si>
    <t>2024-08-28T16:57:06.375+02:00</t>
  </si>
  <si>
    <t>2024-08-28T17:04:02.098+02:00</t>
  </si>
  <si>
    <t>2024-08-28T16:50:02.975+02:00</t>
  </si>
  <si>
    <t>2024-08-28T17:00:45.140+02:00</t>
  </si>
  <si>
    <t>2024-08-28T16:49:01.362+02:00</t>
  </si>
  <si>
    <t>2024-08-28T17:07:32.929+02:00</t>
  </si>
  <si>
    <t>2024-08-28T17:20:20.155+02:00</t>
  </si>
  <si>
    <t>2024-08-28T16:49:02.043+02:00</t>
  </si>
  <si>
    <t>2024-08-28T16:36:05.469+02:00</t>
  </si>
  <si>
    <t>2024-08-28T16:42:55.487+02:00</t>
  </si>
  <si>
    <t>2024-08-28T16:09:57.240+02:00</t>
  </si>
  <si>
    <t>2024-08-28T16:20:28.185+02:00</t>
  </si>
  <si>
    <t>2024-08-28T16:08:01.475+02:00</t>
  </si>
  <si>
    <t>2024-08-28T16:21:39.838+02:00</t>
  </si>
  <si>
    <t>2024-08-28T15:54:01.789+02:00</t>
  </si>
  <si>
    <t>2024-08-28T16:00:25.911+02:00</t>
  </si>
  <si>
    <t>2024-08-28T16:11:39.626+02:00</t>
  </si>
  <si>
    <t>2024-08-28T15:54:02.255+02:00</t>
  </si>
  <si>
    <t>2024-08-28T15:42:05.893+02:00</t>
  </si>
  <si>
    <t>2024-08-28T15:49:23.247+02:00</t>
  </si>
  <si>
    <t>2024-08-28T15:36:01.637+02:00</t>
  </si>
  <si>
    <t>2024-08-28T15:46:01.831+02:00</t>
  </si>
  <si>
    <t>2024-08-28T15:25:01.827+02:00</t>
  </si>
  <si>
    <t>2024-08-28T15:32:49.114+02:00</t>
  </si>
  <si>
    <t>Bohdan</t>
  </si>
  <si>
    <t>2024-08-28T15:10:40.044+02:00</t>
  </si>
  <si>
    <t>2024-08-28T15:18:21.972+02:00</t>
  </si>
  <si>
    <t>2024-08-28T14:58:02.122+02:00</t>
  </si>
  <si>
    <t>2024-08-28T15:06:36.103+02:00</t>
  </si>
  <si>
    <t>2024-08-28T14:41:54.045+02:00</t>
  </si>
  <si>
    <t>2024-08-28T14:51:03.006+02:00</t>
  </si>
  <si>
    <t>2024-08-28T14:20:03.176+02:00</t>
  </si>
  <si>
    <t>2024-08-28T14:26:21.418+02:00</t>
  </si>
  <si>
    <t>2024-08-28T14:13:48.962+02:00</t>
  </si>
  <si>
    <t>2024-08-28T14:22:51.000+02:00</t>
  </si>
  <si>
    <t>2024-08-28T14:01:01.491+02:00</t>
  </si>
  <si>
    <t>2024-08-28T14:06:41.845+02:00</t>
  </si>
  <si>
    <t>2024-08-28T13:59:41.469+02:00</t>
  </si>
  <si>
    <t>2024-08-28T14:06:48.971+02:00</t>
  </si>
  <si>
    <t>2024-08-28T13:55:05.393+02:00</t>
  </si>
  <si>
    <t>2024-08-28T14:03:58.213+02:00</t>
  </si>
  <si>
    <t>2024-08-28T13:52:03.216+02:00</t>
  </si>
  <si>
    <t>2024-08-28T14:01:12.098+02:00</t>
  </si>
  <si>
    <t>2024-08-28T13:44:35.477+02:00</t>
  </si>
  <si>
    <t>2024-08-28T13:51:17.962+02:00</t>
  </si>
  <si>
    <t>2024-08-28T13:42:04.226+02:00</t>
  </si>
  <si>
    <t>2024-08-28T13:48:08.092+02:00</t>
  </si>
  <si>
    <t>2024-08-28T13:38:03.779+02:00</t>
  </si>
  <si>
    <t>2024-08-28T13:44:27.964+02:00</t>
  </si>
  <si>
    <t>2024-08-28T13:21:02.728+02:00</t>
  </si>
  <si>
    <t>2024-08-28T13:31:25.751+02:00</t>
  </si>
  <si>
    <t>2024-08-28T13:21:02.090+02:00</t>
  </si>
  <si>
    <t>2024-08-28T13:33:44.780+02:00</t>
  </si>
  <si>
    <t>2024-08-28T13:17:05.450+02:00</t>
  </si>
  <si>
    <t>2024-08-28T13:25:33.152+02:00</t>
  </si>
  <si>
    <t>2024-08-28T13:08:02.082+02:00</t>
  </si>
  <si>
    <t>2024-08-28T13:24:18.149+02:00</t>
  </si>
  <si>
    <t>2024-08-28T13:37:36.670+02:00</t>
  </si>
  <si>
    <t>2024-08-28T13:08:03.016+02:00</t>
  </si>
  <si>
    <t>2024-08-28T12:46:29.679+02:00</t>
  </si>
  <si>
    <t>2024-08-28T12:52:35.033+02:00</t>
  </si>
  <si>
    <t>2024-08-28T12:34:45.140+02:00</t>
  </si>
  <si>
    <t>2024-08-28T12:45:00.946+02:00</t>
  </si>
  <si>
    <t>2024-08-28T12:29:44.106+02:00</t>
  </si>
  <si>
    <t>2024-08-28T12:42:02.016+02:00</t>
  </si>
  <si>
    <t>2024-08-28T12:27:11.214+02:00</t>
  </si>
  <si>
    <t>2024-08-28T12:35:53.224+02:00</t>
  </si>
  <si>
    <t>2024-08-28T12:15:43.978+02:00</t>
  </si>
  <si>
    <t>2024-08-28T12:24:38.980+02:00</t>
  </si>
  <si>
    <t>2024-08-28T12:12:02.317+02:00</t>
  </si>
  <si>
    <t>2024-08-28T12:23:18.841+02:00</t>
  </si>
  <si>
    <t>2024-08-28T12:41:10.628+02:00</t>
  </si>
  <si>
    <t>2024-08-28T12:12:03.447+02:00</t>
  </si>
  <si>
    <t>2024-08-28T12:11:01.778+02:00</t>
  </si>
  <si>
    <t>2024-08-28T12:17:51.065+02:00</t>
  </si>
  <si>
    <t>2024-08-28T12:01:37.048+02:00</t>
  </si>
  <si>
    <t>2024-08-28T12:08:25.103+02:00</t>
  </si>
  <si>
    <t>2024-08-28T12:00:02.269+02:00</t>
  </si>
  <si>
    <t>2024-08-28T12:11:20.785+02:00</t>
  </si>
  <si>
    <t>2024-08-28T11:51:01.642+02:00</t>
  </si>
  <si>
    <t>2024-08-28T12:03:10.803+02:00</t>
  </si>
  <si>
    <t>2024-08-28T12:15:05.012+02:00</t>
  </si>
  <si>
    <t>2024-08-28T11:51:02.320+02:00</t>
  </si>
  <si>
    <t>2024-08-28T11:45:12.984+02:00</t>
  </si>
  <si>
    <t>2024-08-28T11:52:05.023+02:00</t>
  </si>
  <si>
    <t>2024-08-28T11:40:15.440+02:00</t>
  </si>
  <si>
    <t>2024-08-28T11:45:01.739+02:00</t>
  </si>
  <si>
    <t>2024-08-28T11:40:08.101+02:00</t>
  </si>
  <si>
    <t>2024-08-28T11:51:43.007+02:00</t>
  </si>
  <si>
    <t>2024-08-28T11:33:59.203+02:00</t>
  </si>
  <si>
    <t>2024-08-28T11:45:00.945+02:00</t>
  </si>
  <si>
    <t>2024-08-28T11:30:02.446+02:00</t>
  </si>
  <si>
    <t>2024-08-28T11:55:28.744+02:00</t>
  </si>
  <si>
    <t>2024-08-28T11:29:01.843+02:00</t>
  </si>
  <si>
    <t>2024-08-28T11:38:31.702+02:00</t>
  </si>
  <si>
    <t>2024-08-28T11:28:09.258+02:00</t>
  </si>
  <si>
    <t>2024-08-28T11:36:32.202+02:00</t>
  </si>
  <si>
    <t>2024-08-28T11:19:01.344+02:00</t>
  </si>
  <si>
    <t>2024-08-28T11:35:03.815+02:00</t>
  </si>
  <si>
    <t>2024-08-28T11:15:22.302+02:00</t>
  </si>
  <si>
    <t>2024-08-28T11:29:36.907+02:00</t>
  </si>
  <si>
    <t>2024-08-28T11:12:01.376+02:00</t>
  </si>
  <si>
    <t>2024-08-28T11:25:50.062+02:00</t>
  </si>
  <si>
    <t>Prasanth</t>
  </si>
  <si>
    <t>2024-08-28T11:06:44.529+02:00</t>
  </si>
  <si>
    <t>2024-08-28T11:22:04.854+02:00</t>
  </si>
  <si>
    <t>2024-08-28T11:04:59.868+02:00</t>
  </si>
  <si>
    <t>2024-08-28T11:19:16.106+02:00</t>
  </si>
  <si>
    <t>2024-08-28T09:42:01.285+02:00</t>
  </si>
  <si>
    <t>2024-08-28T11:12:18.065+02:00</t>
  </si>
  <si>
    <t>2024-08-28T11:32:28.837+02:00</t>
  </si>
  <si>
    <t>2024-08-28T09:42:02.134+02:00</t>
  </si>
  <si>
    <t>2024-08-28T09:03:23.657+02:00</t>
  </si>
  <si>
    <t>2024-08-28T14:20:22.003+02:00</t>
  </si>
  <si>
    <t>Nazar</t>
  </si>
  <si>
    <t>2024-08-29T23:05:09.497+02:00</t>
  </si>
  <si>
    <t>2024-08-29T23:13:59.270+02:00</t>
  </si>
  <si>
    <t>2024-08-29T22:57:11.599+02:00</t>
  </si>
  <si>
    <t>2024-08-29T23:08:14.267+02:00</t>
  </si>
  <si>
    <t>2024-08-29T22:56:40.661+02:00</t>
  </si>
  <si>
    <t>2024-08-29T23:03:54.279+02:00</t>
  </si>
  <si>
    <t>2024-08-29T22:55:40.023+02:00</t>
  </si>
  <si>
    <t>2024-08-29T23:02:49.262+02:00</t>
  </si>
  <si>
    <t>2024-08-29T22:43:03.236+02:00</t>
  </si>
  <si>
    <t>2024-08-29T22:50:52.392+02:00</t>
  </si>
  <si>
    <t>2024-08-29T22:42:04.629+02:00</t>
  </si>
  <si>
    <t>2024-08-29T22:51:10.072+02:00</t>
  </si>
  <si>
    <t>2024-08-29T22:19:56.677+02:00</t>
  </si>
  <si>
    <t>2024-08-29T22:28:25.289+02:00</t>
  </si>
  <si>
    <t>2024-08-29T22:19:30.982+02:00</t>
  </si>
  <si>
    <t>2024-08-29T22:28:03.359+02:00</t>
  </si>
  <si>
    <t>2024-08-29T22:09:30.105+02:00</t>
  </si>
  <si>
    <t>2024-08-29T22:19:43.297+02:00</t>
  </si>
  <si>
    <t>2024-08-29T22:09:30.086+02:00</t>
  </si>
  <si>
    <t>2024-08-29T22:20:36.438+02:00</t>
  </si>
  <si>
    <t>2024-08-29T22:05:49.370+02:00</t>
  </si>
  <si>
    <t>2024-08-29T22:12:57.396+02:00</t>
  </si>
  <si>
    <t>2024-08-29T21:49:01.883+02:00</t>
  </si>
  <si>
    <t>2024-08-29T22:09:42.665+02:00</t>
  </si>
  <si>
    <t>2024-08-29T21:49:02.698+02:00</t>
  </si>
  <si>
    <t>Anton</t>
  </si>
  <si>
    <t>2024-08-29T21:11:57.145+02:00</t>
  </si>
  <si>
    <t>2024-08-29T21:21:04.380+02:00</t>
  </si>
  <si>
    <t>2024-08-29T21:02:04.723+02:00</t>
  </si>
  <si>
    <t>2024-08-29T21:11:44.626+02:00</t>
  </si>
  <si>
    <t>2024-08-29T20:50:02.246+02:00</t>
  </si>
  <si>
    <t>2024-08-29T20:59:47.038+02:00</t>
  </si>
  <si>
    <t>2024-08-29T20:47:30.951+02:00</t>
  </si>
  <si>
    <t>2024-08-29T20:55:20.484+02:00</t>
  </si>
  <si>
    <t>2024-08-29T20:46:53.000+02:00</t>
  </si>
  <si>
    <t>2024-08-29T20:53:07.255+02:00</t>
  </si>
  <si>
    <t>2024-08-29T20:36:52.069+02:00</t>
  </si>
  <si>
    <t>2024-08-29T20:50:56.230+02:00</t>
  </si>
  <si>
    <t>2024-08-29T20:31:18.876+02:00</t>
  </si>
  <si>
    <t>2024-08-29T20:39:24.335+02:00</t>
  </si>
  <si>
    <t>2024-08-29T20:30:31.449+02:00</t>
  </si>
  <si>
    <t>2024-08-29T20:37:29.808+02:00</t>
  </si>
  <si>
    <t>2024-08-29T20:30:02.234+02:00</t>
  </si>
  <si>
    <t>2024-08-29T20:39:52.049+02:00</t>
  </si>
  <si>
    <t>2024-08-29T20:26:33.495+02:00</t>
  </si>
  <si>
    <t>2024-08-29T20:38:23.340+02:00</t>
  </si>
  <si>
    <t>2024-08-29T20:23:02.238+02:00</t>
  </si>
  <si>
    <t>2024-08-29T20:30:25.076+02:00</t>
  </si>
  <si>
    <t>2024-08-29T20:17:30.804+02:00</t>
  </si>
  <si>
    <t>2024-08-29T20:26:40.330+02:00</t>
  </si>
  <si>
    <t>2024-08-29T20:07:45.389+02:00</t>
  </si>
  <si>
    <t>2024-08-29T20:16:06.099+02:00</t>
  </si>
  <si>
    <t>2024-08-29T20:06:02.276+02:00</t>
  </si>
  <si>
    <t>2024-08-29T20:26:11.069+02:00</t>
  </si>
  <si>
    <t>2024-08-29T20:05:12.967+02:00</t>
  </si>
  <si>
    <t>2024-08-29T20:12:24.321+02:00</t>
  </si>
  <si>
    <t>2024-08-29T20:04:02.580+02:00</t>
  </si>
  <si>
    <t>2024-08-29T20:14:40.039+02:00</t>
  </si>
  <si>
    <t>Fatehdeep Singh</t>
  </si>
  <si>
    <t>2024-08-29T19:59:52.864+02:00</t>
  </si>
  <si>
    <t>2024-08-29T20:08:08.246+02:00</t>
  </si>
  <si>
    <t>2024-08-29T19:52:01.700+02:00</t>
  </si>
  <si>
    <t>2024-08-29T20:02:38.036+02:00</t>
  </si>
  <si>
    <t>2024-08-29T20:13:32.055+02:00</t>
  </si>
  <si>
    <t>2024-08-29T19:52:02.331+02:00</t>
  </si>
  <si>
    <t>2024-08-29T19:49:02.031+02:00</t>
  </si>
  <si>
    <t>2024-08-29T20:02:34.106+02:00</t>
  </si>
  <si>
    <t>2024-08-29T20:25:26.782+02:00</t>
  </si>
  <si>
    <t>2024-08-29T19:49:02.842+02:00</t>
  </si>
  <si>
    <t>2024-08-29T19:47:02.130+02:00</t>
  </si>
  <si>
    <t>2024-08-29T20:02:30.106+02:00</t>
  </si>
  <si>
    <t>2024-08-29T20:33:23.173+02:00</t>
  </si>
  <si>
    <t>2024-08-29T19:47:02.747+02:00</t>
  </si>
  <si>
    <t>2024-08-29T19:44:09.341+02:00</t>
  </si>
  <si>
    <t>2024-08-29T19:54:52.262+02:00</t>
  </si>
  <si>
    <t>2024-08-29T19:43:06.975+02:00</t>
  </si>
  <si>
    <t>2024-08-29T19:52:31.344+02:00</t>
  </si>
  <si>
    <t>2024-08-29T19:42:02.155+02:00</t>
  </si>
  <si>
    <t>2024-08-29T19:49:11.078+02:00</t>
  </si>
  <si>
    <t>2024-08-29T19:59:47.403+02:00</t>
  </si>
  <si>
    <t>2024-08-29T19:42:02.793+02:00</t>
  </si>
  <si>
    <t>2024-08-29T19:29:01.667+02:00</t>
  </si>
  <si>
    <t>2024-08-29T19:41:52.046+02:00</t>
  </si>
  <si>
    <t>2024-08-29T19:28:36.875+02:00</t>
  </si>
  <si>
    <t>2024-08-29T19:36:04.372+02:00</t>
  </si>
  <si>
    <t>2024-08-29T19:28:35.734+02:00</t>
  </si>
  <si>
    <t>2024-08-29T19:34:53.361+02:00</t>
  </si>
  <si>
    <t>2024-08-29T19:28:01.383+02:00</t>
  </si>
  <si>
    <t>2024-08-29T19:34:41.337+02:00</t>
  </si>
  <si>
    <t>2024-08-29T19:15:02.219+02:00</t>
  </si>
  <si>
    <t>2024-08-29T19:27:36.080+02:00</t>
  </si>
  <si>
    <t>2024-08-29T19:48:54.616+02:00</t>
  </si>
  <si>
    <t>2024-08-29T19:15:02.984+02:00</t>
  </si>
  <si>
    <t>2024-08-29T19:10:32.550+02:00</t>
  </si>
  <si>
    <t>2024-08-29T19:21:11.429+02:00</t>
  </si>
  <si>
    <t>2024-08-29T19:07:31.797+02:00</t>
  </si>
  <si>
    <t>2024-08-29T19:12:34.768+02:00</t>
  </si>
  <si>
    <t>2024-08-29T19:05:02.143+02:00</t>
  </si>
  <si>
    <t>2024-08-29T19:22:54.089+02:00</t>
  </si>
  <si>
    <t>2024-08-29T20:03:38.213+02:00</t>
  </si>
  <si>
    <t>2024-08-29T19:24:11.349+02:00</t>
  </si>
  <si>
    <t>2024-08-29T19:03:01.596+02:00</t>
  </si>
  <si>
    <t>2024-08-29T19:16:26.646+02:00</t>
  </si>
  <si>
    <t>2024-08-29T19:35:45.381+02:00</t>
  </si>
  <si>
    <t>2024-08-29T19:07:56.848+02:00</t>
  </si>
  <si>
    <t>2024-08-29T18:59:02.132+02:00</t>
  </si>
  <si>
    <t>2024-08-29T19:25:52.113+02:00</t>
  </si>
  <si>
    <t>2024-08-29T19:35:59.820+02:00</t>
  </si>
  <si>
    <t>2024-08-29T18:59:02.948+02:00</t>
  </si>
  <si>
    <t>2024-08-29T18:59:02.117+02:00</t>
  </si>
  <si>
    <t>2024-08-29T19:11:25.651+02:00</t>
  </si>
  <si>
    <t>2024-08-29T19:27:55.281+02:00</t>
  </si>
  <si>
    <t>2024-08-29T18:59:03.201+02:00</t>
  </si>
  <si>
    <t>2024-08-29T18:58:25.571+02:00</t>
  </si>
  <si>
    <t>2024-08-29T19:04:39.967+02:00</t>
  </si>
  <si>
    <t>2024-08-29T18:58:01.877+02:00</t>
  </si>
  <si>
    <t>2024-08-29T19:08:24.597+02:00</t>
  </si>
  <si>
    <t>2024-08-29T19:37:25.815+02:00</t>
  </si>
  <si>
    <t>2024-08-29T18:58:02.464+02:00</t>
  </si>
  <si>
    <t>2024-08-29T18:56:53.867+02:00</t>
  </si>
  <si>
    <t>2024-08-29T19:03:30.792+02:00</t>
  </si>
  <si>
    <t>2024-08-29T18:51:33.361+02:00</t>
  </si>
  <si>
    <t>2024-08-29T18:57:55.798+02:00</t>
  </si>
  <si>
    <t>2024-08-29T18:51:21.251+02:00</t>
  </si>
  <si>
    <t>2024-08-29T18:57:52.337+02:00</t>
  </si>
  <si>
    <t>2024-08-29T18:34:32.192+02:00</t>
  </si>
  <si>
    <t>2024-08-29T18:41:35.873+02:00</t>
  </si>
  <si>
    <t>2024-08-29T18:27:01.914+02:00</t>
  </si>
  <si>
    <t>2024-08-29T18:36:20.568+02:00</t>
  </si>
  <si>
    <t>2024-08-29T18:24:32.967+02:00</t>
  </si>
  <si>
    <t>2024-08-29T18:33:01.094+02:00</t>
  </si>
  <si>
    <t>2024-08-29T18:17:46.217+02:00</t>
  </si>
  <si>
    <t>2024-08-29T18:30:40.815+02:00</t>
  </si>
  <si>
    <t>2024-08-29T18:16:19.591+02:00</t>
  </si>
  <si>
    <t>2024-08-29T18:26:33.869+02:00</t>
  </si>
  <si>
    <t>2024-08-29T18:15:01.885+02:00</t>
  </si>
  <si>
    <t>2024-08-29T18:29:34.597+02:00</t>
  </si>
  <si>
    <t>2024-08-29T18:13:31.571+02:00</t>
  </si>
  <si>
    <t>2024-08-29T18:26:26.816+02:00</t>
  </si>
  <si>
    <t>2024-08-29T18:07:30.015+02:00</t>
  </si>
  <si>
    <t>2024-08-29T18:12:35.820+02:00</t>
  </si>
  <si>
    <t>2024-08-29T18:05:01.385+02:00</t>
  </si>
  <si>
    <t>2024-08-29T18:17:31.604+02:00</t>
  </si>
  <si>
    <t>2024-08-29T18:21:24.363+02:00</t>
  </si>
  <si>
    <t>2024-08-29T18:05:02.023+02:00</t>
  </si>
  <si>
    <t>2024-08-29T18:02:30.351+02:00</t>
  </si>
  <si>
    <t>2024-08-29T18:10:29.778+02:00</t>
  </si>
  <si>
    <t>2024-08-29T18:02:08.586+02:00</t>
  </si>
  <si>
    <t>2024-08-29T18:12:12.745+02:00</t>
  </si>
  <si>
    <t>2024-08-29T18:01:30.851+02:00</t>
  </si>
  <si>
    <t>2024-08-29T18:07:22.788+02:00</t>
  </si>
  <si>
    <t>2024-08-29T18:01:10.458+02:00</t>
  </si>
  <si>
    <t>2024-08-29T18:06:45.810+02:00</t>
  </si>
  <si>
    <t>2024-08-29T17:40:28.107+02:00</t>
  </si>
  <si>
    <t>2024-08-29T17:45:08.218+02:00</t>
  </si>
  <si>
    <t>2024-08-29T17:36:11.938+02:00</t>
  </si>
  <si>
    <t>2024-08-29T17:43:40.812+02:00</t>
  </si>
  <si>
    <t>2024-08-29T17:25:25.442+02:00</t>
  </si>
  <si>
    <t>2024-08-29T17:31:14.766+02:00</t>
  </si>
  <si>
    <t>2024-08-29T17:22:52.727+02:00</t>
  </si>
  <si>
    <t>2024-08-29T17:30:59.009+02:00</t>
  </si>
  <si>
    <t>2024-08-29T17:12:02.438+02:00</t>
  </si>
  <si>
    <t>2024-08-29T17:19:28.496+02:00</t>
  </si>
  <si>
    <t>2024-08-29T17:06:02.502+02:00</t>
  </si>
  <si>
    <t>2024-08-29T17:17:12.519+02:00</t>
  </si>
  <si>
    <t>2024-08-29T16:53:27.310+02:00</t>
  </si>
  <si>
    <t>2024-08-29T17:04:01.801+02:00</t>
  </si>
  <si>
    <t>2024-08-29T16:45:01.956+02:00</t>
  </si>
  <si>
    <t>2024-08-29T16:57:42.467+02:00</t>
  </si>
  <si>
    <t>2024-08-29T16:43:01.551+02:00</t>
  </si>
  <si>
    <t>2024-08-29T16:50:44.522+02:00</t>
  </si>
  <si>
    <t>2024-08-29T16:59:44.803+02:00</t>
  </si>
  <si>
    <t>2024-08-29T16:43:02.046+02:00</t>
  </si>
  <si>
    <t>2024-08-29T16:28:23.565+02:00</t>
  </si>
  <si>
    <t>2024-08-29T16:35:20.734+02:00</t>
  </si>
  <si>
    <t>2024-08-29T16:13:58.955+02:00</t>
  </si>
  <si>
    <t>2024-08-29T16:20:23.008+02:00</t>
  </si>
  <si>
    <t>2024-08-29T15:50:22.855+02:00</t>
  </si>
  <si>
    <t>2024-08-29T15:58:06.741+02:00</t>
  </si>
  <si>
    <t>2024-08-29T15:11:20.523+02:00</t>
  </si>
  <si>
    <t>2024-08-29T15:20:22.349+02:00</t>
  </si>
  <si>
    <t>2024-08-29T15:06:23.230+02:00</t>
  </si>
  <si>
    <t>2024-08-29T15:17:24.581+02:00</t>
  </si>
  <si>
    <t>2024-08-29T14:51:01.849+02:00</t>
  </si>
  <si>
    <t>2024-08-29T14:59:27.311+02:00</t>
  </si>
  <si>
    <t>2024-08-29T14:46:02.524+02:00</t>
  </si>
  <si>
    <t>2024-08-29T14:53:34.399+02:00</t>
  </si>
  <si>
    <t>2024-08-29T15:11:51.804+02:00</t>
  </si>
  <si>
    <t>2024-08-29T14:46:03.109+02:00</t>
  </si>
  <si>
    <t>2024-08-29T14:29:21.511+02:00</t>
  </si>
  <si>
    <t>2024-08-29T14:40:15.666+02:00</t>
  </si>
  <si>
    <t>2024-08-29T14:27:31.235+02:00</t>
  </si>
  <si>
    <t>2024-08-29T14:36:58.603+02:00</t>
  </si>
  <si>
    <t>2024-08-29T13:59:22.441+02:00</t>
  </si>
  <si>
    <t>2024-08-29T14:11:47.466+02:00</t>
  </si>
  <si>
    <t>2024-08-29T13:57:45.696+02:00</t>
  </si>
  <si>
    <t>2024-08-29T14:10:23.707+02:00</t>
  </si>
  <si>
    <t>2024-08-29T13:47:24.060+02:00</t>
  </si>
  <si>
    <t>2024-08-29T13:58:56.540+02:00</t>
  </si>
  <si>
    <t>2024-08-29T13:42:27.664+02:00</t>
  </si>
  <si>
    <t>2024-08-29T13:49:42.494+02:00</t>
  </si>
  <si>
    <t>2024-08-29T13:26:02.691+02:00</t>
  </si>
  <si>
    <t>2024-08-29T13:42:54.217+02:00</t>
  </si>
  <si>
    <t>2024-08-29T13:06:02.108+02:00</t>
  </si>
  <si>
    <t>2024-08-29T13:17:25.257+02:00</t>
  </si>
  <si>
    <t>2024-08-29T13:35:40.848+02:00</t>
  </si>
  <si>
    <t>2024-08-29T13:06:02.907+02:00</t>
  </si>
  <si>
    <t>2024-08-29T13:06:02.093+02:00</t>
  </si>
  <si>
    <t>2024-08-29T13:38:39.288+02:00</t>
  </si>
  <si>
    <t>2024-08-29T13:59:42.929+02:00</t>
  </si>
  <si>
    <t>2024-08-29T13:06:02.888+02:00</t>
  </si>
  <si>
    <t>2024-08-29T12:59:59.128+02:00</t>
  </si>
  <si>
    <t>2024-08-29T13:07:48.446+02:00</t>
  </si>
  <si>
    <t>2024-08-29T12:47:01.350+02:00</t>
  </si>
  <si>
    <t>2024-08-29T13:03:15.238+02:00</t>
  </si>
  <si>
    <t>2024-08-29T13:16:23.659+02:00</t>
  </si>
  <si>
    <t>2024-08-29T12:47:01.537+02:00</t>
  </si>
  <si>
    <t>2024-08-29T12:41:58.353+02:00</t>
  </si>
  <si>
    <t>2024-08-29T12:48:22.439+02:00</t>
  </si>
  <si>
    <t>2024-08-29T12:28:22.229+02:00</t>
  </si>
  <si>
    <t>2024-08-29T12:34:25.498+02:00</t>
  </si>
  <si>
    <t>2024-08-29T12:26:42.334+02:00</t>
  </si>
  <si>
    <t>2024-08-29T12:33:10.333+02:00</t>
  </si>
  <si>
    <t>2024-08-29T12:25:53.082+02:00</t>
  </si>
  <si>
    <t>2024-08-29T12:31:30.489+02:00</t>
  </si>
  <si>
    <t>2024-08-29T12:19:30.878+02:00</t>
  </si>
  <si>
    <t>2024-08-29T12:26:47.346+02:00</t>
  </si>
  <si>
    <t>2024-08-29T12:19:23.884+02:00</t>
  </si>
  <si>
    <t>2024-08-29T12:27:36.477+02:00</t>
  </si>
  <si>
    <t>2024-08-29T12:17:02.263+02:00</t>
  </si>
  <si>
    <t>2024-08-29T12:38:22.239+02:00</t>
  </si>
  <si>
    <t>2024-08-29T12:06:02.209+02:00</t>
  </si>
  <si>
    <t>2024-08-29T12:18:26.190+02:00</t>
  </si>
  <si>
    <t>2024-08-29T12:04:47.889+02:00</t>
  </si>
  <si>
    <t>2024-08-29T12:16:17.514+02:00</t>
  </si>
  <si>
    <t>2024-08-29T11:59:33.371+02:00</t>
  </si>
  <si>
    <t>2024-08-29T12:13:57.559+02:00</t>
  </si>
  <si>
    <t>2024-08-29T11:36:04.988+02:00</t>
  </si>
  <si>
    <t>2024-08-29T12:10:13.187+02:00</t>
  </si>
  <si>
    <t>2024-08-29T11:35:01.470+02:00</t>
  </si>
  <si>
    <t>2024-08-29T11:56:01.198+02:00</t>
  </si>
  <si>
    <t>2024-08-29T11:34:03.714+02:00</t>
  </si>
  <si>
    <t>2024-08-29T11:44:36.378+02:00</t>
  </si>
  <si>
    <t>2024-08-29T11:33:02.451+02:00</t>
  </si>
  <si>
    <t>2024-08-29T12:12:34.242+02:00</t>
  </si>
  <si>
    <t>2024-08-29T12:20:30.950+02:00</t>
  </si>
  <si>
    <t>2024-08-29T11:46:38.478+02:00</t>
  </si>
  <si>
    <t>2024-08-29T11:33:02.437+02:00</t>
  </si>
  <si>
    <t>2024-08-29T11:54:55.203+02:00</t>
  </si>
  <si>
    <t>2024-08-29T11:21:02.890+02:00</t>
  </si>
  <si>
    <t>2024-08-29T12:00:06.255+02:00</t>
  </si>
  <si>
    <t>2024-08-29T12:33:15.701+02:00</t>
  </si>
  <si>
    <t>2024-08-29T11:46:45.450+02:00</t>
  </si>
  <si>
    <t>2024-08-29T11:18:01.731+02:00</t>
  </si>
  <si>
    <t>2024-08-29T11:28:22.315+02:00</t>
  </si>
  <si>
    <t>2024-08-29T11:39:28.080+02:00</t>
  </si>
  <si>
    <t>2024-08-29T11:18:02.014+02:00</t>
  </si>
  <si>
    <t>2024-08-29T11:16:02.047+02:00</t>
  </si>
  <si>
    <t>2024-08-29T11:49:49.306+02:00</t>
  </si>
  <si>
    <t>2024-08-29T12:15:33.480+02:00</t>
  </si>
  <si>
    <t>2024-08-29T11:46:51.782+02:00</t>
  </si>
  <si>
    <t>2024-08-29T11:15:34.601+02:00</t>
  </si>
  <si>
    <t>2024-08-29T12:05:54.741+02:00</t>
  </si>
  <si>
    <t>2024-08-29T11:13:30.344+02:00</t>
  </si>
  <si>
    <t>2024-08-29T11:25:59.221+02:00</t>
  </si>
  <si>
    <t>2024-08-29T11:09:33.260+02:00</t>
  </si>
  <si>
    <t>2024-08-29T11:24:35.433+02:00</t>
  </si>
  <si>
    <t>2024-08-29T10:52:01.713+02:00</t>
  </si>
  <si>
    <t>2024-08-29T12:16:05.287+02:00</t>
  </si>
  <si>
    <t>2024-08-29T07:37:01.502+02:00</t>
  </si>
  <si>
    <t>2024-08-29T12:15:14.186+02:00</t>
  </si>
  <si>
    <t>2024-08-30T23:54:55.406+02:00</t>
  </si>
  <si>
    <t>2024-08-31T00:03:39.708+02:00</t>
  </si>
  <si>
    <t>2024-08-30T23:54:02.883+02:00</t>
  </si>
  <si>
    <t>2024-08-31T00:02:26.518+02:00</t>
  </si>
  <si>
    <t>2024-08-31T00:44:48.471+02:00</t>
  </si>
  <si>
    <t>2024-08-31T00:08:14.581+02:00</t>
  </si>
  <si>
    <t>2024-08-30T23:51:01.295+02:00</t>
  </si>
  <si>
    <t>2024-08-31T00:20:42.405+02:00</t>
  </si>
  <si>
    <t>2024-08-30T23:42:01.028+02:00</t>
  </si>
  <si>
    <t>2024-08-30T23:49:39.691+02:00</t>
  </si>
  <si>
    <t>2024-08-30T23:41:01.555+02:00</t>
  </si>
  <si>
    <t>2024-08-30T23:50:55.433+02:00</t>
  </si>
  <si>
    <t>2024-08-30T23:30:02.210+02:00</t>
  </si>
  <si>
    <t>2024-08-30T23:39:55.444+02:00</t>
  </si>
  <si>
    <t>2024-08-30T23:52:26.596+02:00</t>
  </si>
  <si>
    <t>2024-08-30T23:30:02.972+02:00</t>
  </si>
  <si>
    <t>2024-08-30T23:24:11.175+02:00</t>
  </si>
  <si>
    <t>2024-08-30T23:35:37.529+02:00</t>
  </si>
  <si>
    <t>2024-08-30T23:17:02.047+02:00</t>
  </si>
  <si>
    <t>2024-08-30T23:59:32.461+02:00</t>
  </si>
  <si>
    <t>2024-08-30T23:14:00.247+02:00</t>
  </si>
  <si>
    <t>2024-08-30T23:22:29.656+02:00</t>
  </si>
  <si>
    <t>2024-08-30T23:11:57.332+02:00</t>
  </si>
  <si>
    <t>2024-08-30T23:21:26.133+02:00</t>
  </si>
  <si>
    <t>2024-08-30T23:08:59.569+02:00</t>
  </si>
  <si>
    <t>2024-08-30T23:23:24.787+02:00</t>
  </si>
  <si>
    <t>Ivan</t>
  </si>
  <si>
    <t>2024-08-30T22:59:59.064+02:00</t>
  </si>
  <si>
    <t>2024-08-30T23:06:47.573+02:00</t>
  </si>
  <si>
    <t>2024-08-30T22:56:00.313+02:00</t>
  </si>
  <si>
    <t>2024-08-30T23:01:35.700+02:00</t>
  </si>
  <si>
    <t>2024-08-30T22:50:50.335+02:00</t>
  </si>
  <si>
    <t>2024-08-30T23:05:37.584+02:00</t>
  </si>
  <si>
    <t>2024-08-30T22:47:00.816+02:00</t>
  </si>
  <si>
    <t>2024-08-30T22:53:14.703+02:00</t>
  </si>
  <si>
    <t>2024-08-30T22:45:59.567+02:00</t>
  </si>
  <si>
    <t>2024-08-30T22:51:57.689+02:00</t>
  </si>
  <si>
    <t>2024-08-30T22:45:45.291+02:00</t>
  </si>
  <si>
    <t>2024-08-30T23:03:40.724+02:00</t>
  </si>
  <si>
    <t>2024-08-30T22:44:14.128+02:00</t>
  </si>
  <si>
    <t>2024-08-30T22:50:01.635+02:00</t>
  </si>
  <si>
    <t>2024-08-30T22:41:45.759+02:00</t>
  </si>
  <si>
    <t>2024-08-30T22:50:24.122+02:00</t>
  </si>
  <si>
    <t>2024-08-30T22:34:00.371+02:00</t>
  </si>
  <si>
    <t>2024-08-30T22:45:16.653+02:00</t>
  </si>
  <si>
    <t>2024-08-30T22:32:08.887+02:00</t>
  </si>
  <si>
    <t>2024-08-30T22:44:06.652+02:00</t>
  </si>
  <si>
    <t>2024-08-30T22:30:01.703+02:00</t>
  </si>
  <si>
    <t>2024-08-30T22:37:50.444+02:00</t>
  </si>
  <si>
    <t>2024-08-30T22:54:59.742+02:00</t>
  </si>
  <si>
    <t>2024-08-30T22:30:02.513+02:00</t>
  </si>
  <si>
    <t>2024-08-30T22:26:00.114+02:00</t>
  </si>
  <si>
    <t>2024-08-30T22:36:05.787+02:00</t>
  </si>
  <si>
    <t>2024-08-30T22:21:35.923+02:00</t>
  </si>
  <si>
    <t>2024-08-30T22:29:54.682+02:00</t>
  </si>
  <si>
    <t>Sterling</t>
  </si>
  <si>
    <t>2024-08-30T22:20:39.197+02:00</t>
  </si>
  <si>
    <t>2024-08-30T22:29:02.529+02:00</t>
  </si>
  <si>
    <t>2024-08-30T22:00:59.157+02:00</t>
  </si>
  <si>
    <t>2024-08-30T22:19:48.870+02:00</t>
  </si>
  <si>
    <t>2024-08-30T22:00:14.871+02:00</t>
  </si>
  <si>
    <t>2024-08-30T22:07:40.563+02:00</t>
  </si>
  <si>
    <t>2024-08-30T21:39:07.285+02:00</t>
  </si>
  <si>
    <t>2024-08-30T21:46:23.379+02:00</t>
  </si>
  <si>
    <t>2024-08-30T21:25:02.081+02:00</t>
  </si>
  <si>
    <t>2024-08-30T23:10:07.426+02:00</t>
  </si>
  <si>
    <t>2024-08-30T21:21:02.106+02:00</t>
  </si>
  <si>
    <t>2024-08-30T21:28:09.356+02:00</t>
  </si>
  <si>
    <t>2024-08-30T21:04:31.419+02:00</t>
  </si>
  <si>
    <t>2024-08-30T21:12:45.899+02:00</t>
  </si>
  <si>
    <t>2024-08-30T21:01:03.320+02:00</t>
  </si>
  <si>
    <t>2024-08-30T21:06:41.631+02:00</t>
  </si>
  <si>
    <t>2024-08-30T20:51:59.768+02:00</t>
  </si>
  <si>
    <t>2024-08-30T20:57:49.660+02:00</t>
  </si>
  <si>
    <t>2024-08-30T20:45:59.571+02:00</t>
  </si>
  <si>
    <t>2024-08-30T20:53:23.672+02:00</t>
  </si>
  <si>
    <t>2024-08-30T20:44:01.396+02:00</t>
  </si>
  <si>
    <t>2024-08-30T20:49:49.624+02:00</t>
  </si>
  <si>
    <t>2024-08-30T20:35:03.472+02:00</t>
  </si>
  <si>
    <t>2024-08-30T20:47:26.558+02:00</t>
  </si>
  <si>
    <t>2024-08-30T20:32:37.148+02:00</t>
  </si>
  <si>
    <t>2024-08-30T20:39:00.564+02:00</t>
  </si>
  <si>
    <t>2024-08-30T20:24:03.180+02:00</t>
  </si>
  <si>
    <t>2024-08-30T20:31:27.578+02:00</t>
  </si>
  <si>
    <t>2024-08-30T20:09:39.289+02:00</t>
  </si>
  <si>
    <t>2024-08-30T20:20:12.536+02:00</t>
  </si>
  <si>
    <t>2024-08-30T20:05:01.381+02:00</t>
  </si>
  <si>
    <t>2024-08-30T20:19:04.349+02:00</t>
  </si>
  <si>
    <t>2024-08-30T20:03:02.019+02:00</t>
  </si>
  <si>
    <t>2024-08-30T20:21:25.395+02:00</t>
  </si>
  <si>
    <t>2024-08-30T20:31:20.282+02:00</t>
  </si>
  <si>
    <t>2024-08-30T20:03:02.687+02:00</t>
  </si>
  <si>
    <t>2024-08-30T20:01:02.074+02:00</t>
  </si>
  <si>
    <t>2024-08-30T20:10:45.688+02:00</t>
  </si>
  <si>
    <t>2024-08-30T20:00:31.734+02:00</t>
  </si>
  <si>
    <t>2024-08-30T20:07:53.323+02:00</t>
  </si>
  <si>
    <t>2024-08-30T20:00:24.465+02:00</t>
  </si>
  <si>
    <t>2024-08-30T20:12:41.791+02:00</t>
  </si>
  <si>
    <t>2024-08-30T20:00:01.909+02:00</t>
  </si>
  <si>
    <t>2024-08-30T20:16:35.340+02:00</t>
  </si>
  <si>
    <t>2024-08-30T19:57:02.286+02:00</t>
  </si>
  <si>
    <t>2024-08-30T20:04:02.668+02:00</t>
  </si>
  <si>
    <t>2024-08-30T19:46:51.848+02:00</t>
  </si>
  <si>
    <t>2024-08-30T19:54:07.317+02:00</t>
  </si>
  <si>
    <t>2024-08-30T19:45:44.284+02:00</t>
  </si>
  <si>
    <t>2024-08-30T19:58:03.557+02:00</t>
  </si>
  <si>
    <t>2024-08-30T19:44:15.915+02:00</t>
  </si>
  <si>
    <t>2024-08-30T19:55:34.508+02:00</t>
  </si>
  <si>
    <t>2024-08-30T19:44:02.275+02:00</t>
  </si>
  <si>
    <t>2024-08-30T19:52:10.315+02:00</t>
  </si>
  <si>
    <t>2024-08-30T19:42:02.074+02:00</t>
  </si>
  <si>
    <t>2024-08-30T19:49:08.349+02:00</t>
  </si>
  <si>
    <t>2024-08-30T19:39:01.849+02:00</t>
  </si>
  <si>
    <t>2024-08-30T19:47:02.353+02:00</t>
  </si>
  <si>
    <t>2024-08-30T20:06:24.302+02:00</t>
  </si>
  <si>
    <t>2024-08-30T19:39:02.432+02:00</t>
  </si>
  <si>
    <t>2024-08-30T19:14:09.979+02:00</t>
  </si>
  <si>
    <t>2024-08-30T19:22:54.507+02:00</t>
  </si>
  <si>
    <t>2024-08-30T19:13:59.755+02:00</t>
  </si>
  <si>
    <t>2024-08-30T19:20:35.622+02:00</t>
  </si>
  <si>
    <t>2024-08-30T19:09:14.806+02:00</t>
  </si>
  <si>
    <t>2024-08-30T19:16:13.521+02:00</t>
  </si>
  <si>
    <t>2024-08-30T18:59:01.987+02:00</t>
  </si>
  <si>
    <t>2024-08-30T19:06:13.299+02:00</t>
  </si>
  <si>
    <t>2024-08-30T18:52:02.094+02:00</t>
  </si>
  <si>
    <t>2024-08-30T19:01:29.298+02:00</t>
  </si>
  <si>
    <t>2024-08-30T19:28:28.989+02:00</t>
  </si>
  <si>
    <t>2024-08-30T18:52:02.732+02:00</t>
  </si>
  <si>
    <t>2024-08-30T18:51:01.870+02:00</t>
  </si>
  <si>
    <t>2024-08-30T18:59:04.377+02:00</t>
  </si>
  <si>
    <t>2024-08-30T19:35:36.398+02:00</t>
  </si>
  <si>
    <t>2024-08-30T18:51:02.372+02:00</t>
  </si>
  <si>
    <t>2024-08-30T18:50:01.471+02:00</t>
  </si>
  <si>
    <t>2024-08-30T19:00:29.328+02:00</t>
  </si>
  <si>
    <t>2024-08-30T18:48:02.414+02:00</t>
  </si>
  <si>
    <t>2024-08-30T18:56:16.365+02:00</t>
  </si>
  <si>
    <t>2024-08-30T19:04:02.696+02:00</t>
  </si>
  <si>
    <t>2024-08-30T18:48:03.187+02:00</t>
  </si>
  <si>
    <t>2024-08-30T18:47:31.957+02:00</t>
  </si>
  <si>
    <t>2024-08-30T18:55:12.561+02:00</t>
  </si>
  <si>
    <t>2024-08-30T18:44:47.895+02:00</t>
  </si>
  <si>
    <t>2024-08-30T18:52:30.400+02:00</t>
  </si>
  <si>
    <t>2024-08-30T18:34:01.547+02:00</t>
  </si>
  <si>
    <t>2024-08-30T18:40:36.668+02:00</t>
  </si>
  <si>
    <t>2024-08-30T18:33:25.948+02:00</t>
  </si>
  <si>
    <t>2024-08-30T18:38:55.775+02:00</t>
  </si>
  <si>
    <t>2024-08-30T18:32:57.275+02:00</t>
  </si>
  <si>
    <t>2024-08-30T18:42:54.520+02:00</t>
  </si>
  <si>
    <t>2024-08-30T18:32:51.921+02:00</t>
  </si>
  <si>
    <t>2024-08-30T18:40:58.449+02:00</t>
  </si>
  <si>
    <t>2024-08-30T18:29:59.555+02:00</t>
  </si>
  <si>
    <t>2024-08-30T18:37:17.549+02:00</t>
  </si>
  <si>
    <t>2024-08-30T18:26:32.727+02:00</t>
  </si>
  <si>
    <t>2024-08-30T18:33:11.448+02:00</t>
  </si>
  <si>
    <t>2024-08-30T18:25:02.158+02:00</t>
  </si>
  <si>
    <t>2024-08-30T18:36:30.401+02:00</t>
  </si>
  <si>
    <t>2024-08-30T18:59:16.034+02:00</t>
  </si>
  <si>
    <t>2024-08-30T18:25:02.770+02:00</t>
  </si>
  <si>
    <t>2024-08-30T18:25:01.294+02:00</t>
  </si>
  <si>
    <t>2024-08-30T18:32:06.528+02:00</t>
  </si>
  <si>
    <t>2024-08-30T18:18:01.598+02:00</t>
  </si>
  <si>
    <t>2024-08-30T18:25:26.533+02:00</t>
  </si>
  <si>
    <t>2024-08-30T18:17:56.103+02:00</t>
  </si>
  <si>
    <t>2024-08-30T18:25:22.602+02:00</t>
  </si>
  <si>
    <t>2024-08-30T18:06:59.008+02:00</t>
  </si>
  <si>
    <t>2024-08-30T18:14:41.623+02:00</t>
  </si>
  <si>
    <t>2024-08-30T18:06:01.334+02:00</t>
  </si>
  <si>
    <t>2024-08-30T18:18:24.301+02:00</t>
  </si>
  <si>
    <t>2024-08-30T18:05:03.746+02:00</t>
  </si>
  <si>
    <t>2024-08-30T18:15:38.447+02:00</t>
  </si>
  <si>
    <t>2024-08-30T18:05:01.533+02:00</t>
  </si>
  <si>
    <t>2024-08-30T18:21:03.342+02:00</t>
  </si>
  <si>
    <t>2024-08-30T18:31:44.253+02:00</t>
  </si>
  <si>
    <t>2024-08-30T18:05:02.225+02:00</t>
  </si>
  <si>
    <t>2024-08-30T18:04:39.793+02:00</t>
  </si>
  <si>
    <t>2024-08-30T18:13:27.411+02:00</t>
  </si>
  <si>
    <t>2024-08-30T18:04:02.378+02:00</t>
  </si>
  <si>
    <t>2024-08-30T18:20:57.290+02:00</t>
  </si>
  <si>
    <t>2024-08-30T18:01:56.926+02:00</t>
  </si>
  <si>
    <t>2024-08-30T18:15:45.664+02:00</t>
  </si>
  <si>
    <t>2024-08-30T17:59:45.010+02:00</t>
  </si>
  <si>
    <t>2024-08-30T18:08:17.595+02:00</t>
  </si>
  <si>
    <t>2024-08-30T17:58:02.379+02:00</t>
  </si>
  <si>
    <t>2024-08-30T18:25:29.268+02:00</t>
  </si>
  <si>
    <t>2024-08-30T17:54:58.659+02:00</t>
  </si>
  <si>
    <t>2024-08-30T18:09:55.828+02:00</t>
  </si>
  <si>
    <t>2024-08-30T17:53:58.750+02:00</t>
  </si>
  <si>
    <t>2024-08-30T18:03:36.676+02:00</t>
  </si>
  <si>
    <t>2024-08-30T17:42:02.068+02:00</t>
  </si>
  <si>
    <t>2024-08-30T17:57:40.268+02:00</t>
  </si>
  <si>
    <t>2024-08-30T17:39:01.851+02:00</t>
  </si>
  <si>
    <t>2024-08-30T17:53:36.293+02:00</t>
  </si>
  <si>
    <t>2024-08-30T17:37:55.211+02:00</t>
  </si>
  <si>
    <t>2024-08-30T17:46:55.539+02:00</t>
  </si>
  <si>
    <t>2024-08-30T17:36:56.433+02:00</t>
  </si>
  <si>
    <t>2024-08-30T17:47:42.547+02:00</t>
  </si>
  <si>
    <t>2024-08-30T17:34:55.627+02:00</t>
  </si>
  <si>
    <t>2024-08-30T17:53:59.567+02:00</t>
  </si>
  <si>
    <t>2024-08-30T17:29:55.185+02:00</t>
  </si>
  <si>
    <t>2024-08-30T17:38:58.553+02:00</t>
  </si>
  <si>
    <t>2024-08-30T17:21:01.337+02:00</t>
  </si>
  <si>
    <t>2024-08-30T17:30:28.352+02:00</t>
  </si>
  <si>
    <t>2024-08-30T17:44:53.896+02:00</t>
  </si>
  <si>
    <t>2024-08-30T17:21:01.936+02:00</t>
  </si>
  <si>
    <t>2024-08-30T17:13:53.773+02:00</t>
  </si>
  <si>
    <t>2024-08-30T17:23:38.679+02:00</t>
  </si>
  <si>
    <t>2024-08-30T17:10:53.429+02:00</t>
  </si>
  <si>
    <t>2024-08-30T17:18:04.679+02:00</t>
  </si>
  <si>
    <t>2024-08-30T17:10:11.569+02:00</t>
  </si>
  <si>
    <t>2024-08-30T17:21:21.580+02:00</t>
  </si>
  <si>
    <t>2024-08-30T17:08:02.215+02:00</t>
  </si>
  <si>
    <t>2024-08-30T17:25:35.438+02:00</t>
  </si>
  <si>
    <t>2024-08-30T17:47:25.041+02:00</t>
  </si>
  <si>
    <t>2024-08-30T17:18:48.134+02:00</t>
  </si>
  <si>
    <t>2024-08-30T17:05:31.527+02:00</t>
  </si>
  <si>
    <t>2024-08-30T17:14:20.427+02:00</t>
  </si>
  <si>
    <t>2024-08-30T17:03:05.478+02:00</t>
  </si>
  <si>
    <t>2024-08-30T17:11:02.421+02:00</t>
  </si>
  <si>
    <t>2024-08-30T16:52:54.029+02:00</t>
  </si>
  <si>
    <t>2024-08-30T17:08:54.854+02:00</t>
  </si>
  <si>
    <t>2024-08-30T16:50:55.455+02:00</t>
  </si>
  <si>
    <t>2024-08-30T17:00:43.684+02:00</t>
  </si>
  <si>
    <t>2024-08-30T16:46:53.937+02:00</t>
  </si>
  <si>
    <t>2024-08-30T16:57:26.589+02:00</t>
  </si>
  <si>
    <t>2024-08-30T16:42:53.859+02:00</t>
  </si>
  <si>
    <t>2024-08-30T16:57:20.539+02:00</t>
  </si>
  <si>
    <t>2024-08-30T16:13:54.227+02:00</t>
  </si>
  <si>
    <t>2024-08-30T16:23:34.629+02:00</t>
  </si>
  <si>
    <t>2024-08-30T15:59:01.398+02:00</t>
  </si>
  <si>
    <t>2024-08-30T16:08:42.572+02:00</t>
  </si>
  <si>
    <t>2024-08-30T16:41:19.454+02:00</t>
  </si>
  <si>
    <t>2024-08-30T16:09:50.873+02:00</t>
  </si>
  <si>
    <t>2024-08-30T15:52:52.075+02:00</t>
  </si>
  <si>
    <t>2024-08-30T16:01:54.576+02:00</t>
  </si>
  <si>
    <t>2024-08-30T15:45:53.941+02:00</t>
  </si>
  <si>
    <t>2024-08-30T15:58:59.661+02:00</t>
  </si>
  <si>
    <t>2024-08-30T15:25:53.627+02:00</t>
  </si>
  <si>
    <t>2024-08-30T15:36:41.510+02:00</t>
  </si>
  <si>
    <t>2024-08-30T15:18:02.215+02:00</t>
  </si>
  <si>
    <t>2024-08-30T15:27:55.240+02:00</t>
  </si>
  <si>
    <t>2024-08-30T15:44:06.433+02:00</t>
  </si>
  <si>
    <t>2024-08-30T15:18:02.720+02:00</t>
  </si>
  <si>
    <t>2024-08-30T15:04:02.238+02:00</t>
  </si>
  <si>
    <t>2024-08-30T15:27:53.230+02:00</t>
  </si>
  <si>
    <t>2024-08-30T15:02:01.973+02:00</t>
  </si>
  <si>
    <t>2024-08-30T15:12:56.271+02:00</t>
  </si>
  <si>
    <t>2024-08-30T15:22:32.737+02:00</t>
  </si>
  <si>
    <t>2024-08-30T15:02:02.850+02:00</t>
  </si>
  <si>
    <t>2024-08-30T14:36:12.180+02:00</t>
  </si>
  <si>
    <t>2024-08-30T14:49:14.533+02:00</t>
  </si>
  <si>
    <t>2024-08-30T14:18:52.990+02:00</t>
  </si>
  <si>
    <t>2024-08-30T14:28:53.475+02:00</t>
  </si>
  <si>
    <t>2024-08-30T13:54:01.866+02:00</t>
  </si>
  <si>
    <t>2024-08-30T14:03:10.311+02:00</t>
  </si>
  <si>
    <t>2024-08-30T14:10:22.646+02:00</t>
  </si>
  <si>
    <t>2024-08-30T13:54:02.808+02:00</t>
  </si>
  <si>
    <t>2024-08-30T13:50:01.828+02:00</t>
  </si>
  <si>
    <t>2024-08-30T13:58:54.241+02:00</t>
  </si>
  <si>
    <t>2024-08-30T14:06:38.568+02:00</t>
  </si>
  <si>
    <t>2024-08-30T13:50:02.320+02:00</t>
  </si>
  <si>
    <t>2024-08-30T13:42:56.096+02:00</t>
  </si>
  <si>
    <t>2024-08-30T13:50:29.483+02:00</t>
  </si>
  <si>
    <t>2024-08-30T13:38:56.127+02:00</t>
  </si>
  <si>
    <t>2024-08-30T13:47:44.624+02:00</t>
  </si>
  <si>
    <t>2024-08-30T13:34:10.786+02:00</t>
  </si>
  <si>
    <t>2024-08-30T13:43:19.545+02:00</t>
  </si>
  <si>
    <t>2024-08-30T13:33:25.813+02:00</t>
  </si>
  <si>
    <t>2024-08-30T13:40:47.539+02:00</t>
  </si>
  <si>
    <t>2024-08-30T13:30:04.450+02:00</t>
  </si>
  <si>
    <t>2024-08-30T13:37:15.388+02:00</t>
  </si>
  <si>
    <t>2024-08-30T13:27:22.631+02:00</t>
  </si>
  <si>
    <t>2024-08-30T13:35:29.404+02:00</t>
  </si>
  <si>
    <t>2024-08-30T13:08:46.566+02:00</t>
  </si>
  <si>
    <t>2024-08-30T13:16:29.393+02:00</t>
  </si>
  <si>
    <t>2024-08-30T12:41:01.600+02:00</t>
  </si>
  <si>
    <t>2024-08-30T12:50:40.507+02:00</t>
  </si>
  <si>
    <t>2024-08-30T12:35:01.538+02:00</t>
  </si>
  <si>
    <t>2024-08-30T12:46:09.203+02:00</t>
  </si>
  <si>
    <t>2024-08-30T12:34:58.058+02:00</t>
  </si>
  <si>
    <t>2024-08-30T12:46:43.550+02:00</t>
  </si>
  <si>
    <t>2024-08-30T12:26:56.321+02:00</t>
  </si>
  <si>
    <t>2024-08-30T12:43:28.545+02:00</t>
  </si>
  <si>
    <t>2024-08-30T12:24:07.788+02:00</t>
  </si>
  <si>
    <t>2024-08-30T12:39:52.442+02:00</t>
  </si>
  <si>
    <t>2024-08-30T12:16:58.750+02:00</t>
  </si>
  <si>
    <t>2024-08-30T12:32:38.595+02:00</t>
  </si>
  <si>
    <t>2024-08-30T12:16:33.816+02:00</t>
  </si>
  <si>
    <t>2024-08-30T12:35:57.504+02:00</t>
  </si>
  <si>
    <t>2024-08-30T12:13:01.433+02:00</t>
  </si>
  <si>
    <t>2024-08-30T12:26:32.241+02:00</t>
  </si>
  <si>
    <t>2024-08-30T12:56:46.184+02:00</t>
  </si>
  <si>
    <t>2024-08-30T12:17:11.993+02:00</t>
  </si>
  <si>
    <t>2024-08-30T12:11:54.998+02:00</t>
  </si>
  <si>
    <t>2024-08-30T12:24:33.615+02:00</t>
  </si>
  <si>
    <t>2024-08-30T12:11:19.125+02:00</t>
  </si>
  <si>
    <t>2024-08-30T12:25:00.570+02:00</t>
  </si>
  <si>
    <t>2024-08-30T12:02:31.764+02:00</t>
  </si>
  <si>
    <t>2024-08-30T12:19:35.368+02:00</t>
  </si>
  <si>
    <t>2024-08-30T11:53:01.912+02:00</t>
  </si>
  <si>
    <t>2024-08-30T12:16:13.238+02:00</t>
  </si>
  <si>
    <t>2024-08-30T12:22:43.459+02:00</t>
  </si>
  <si>
    <t>2024-08-30T11:53:02.537+02:00</t>
  </si>
  <si>
    <t>2024-08-30T11:52:57.857+02:00</t>
  </si>
  <si>
    <t>2024-08-30T12:05:24.406+02:00</t>
  </si>
  <si>
    <t>2024-08-30T11:49:46.029+02:00</t>
  </si>
  <si>
    <t>2024-08-30T11:56:36.514+02:00</t>
  </si>
  <si>
    <t>2024-08-30T11:47:45.122+02:00</t>
  </si>
  <si>
    <t>2024-08-30T12:02:49.632+02:00</t>
  </si>
  <si>
    <t>2024-08-30T11:44:19.050+02:00</t>
  </si>
  <si>
    <t>2024-08-30T11:58:06.459+02:00</t>
  </si>
  <si>
    <t>2024-08-30T11:38:01.966+02:00</t>
  </si>
  <si>
    <t>2024-08-30T11:53:58.206+02:00</t>
  </si>
  <si>
    <t>2024-08-30T12:01:05.124+02:00</t>
  </si>
  <si>
    <t>2024-08-30T11:38:02.618+02:00</t>
  </si>
  <si>
    <t>2024-08-30T11:36:28.261+02:00</t>
  </si>
  <si>
    <t>2024-08-30T11:47:58.836+02:00</t>
  </si>
  <si>
    <t>2024-08-30T11:16:02.196+02:00</t>
  </si>
  <si>
    <t>2024-08-30T11:33:56.337+02:00</t>
  </si>
  <si>
    <t>2024-08-30T11:52:06.157+02:00</t>
  </si>
  <si>
    <t>2024-08-30T11:25:04.526+02:00</t>
  </si>
  <si>
    <t>2024-08-30T11:10:15.488+02:00</t>
  </si>
  <si>
    <t>2024-08-30T11:26:57.542+02:00</t>
  </si>
  <si>
    <t>2024-08-30T11:02:02.244+02:00</t>
  </si>
  <si>
    <t>2024-08-30T11:33:19.657+02:00</t>
  </si>
  <si>
    <t>2024-08-30T11:02:02.811+02:00</t>
  </si>
  <si>
    <t>2024-08-30T08:38:02.051+02:00</t>
  </si>
  <si>
    <t>2024-08-30T11:29:37.186+02:00</t>
  </si>
  <si>
    <t>2024-09-01T00:40:02.265+02:00</t>
  </si>
  <si>
    <t>2024-09-01T00:51:34.160+02:00</t>
  </si>
  <si>
    <t>2024-09-01T01:20:50.362+02:00</t>
  </si>
  <si>
    <t>2024-09-01T00:49:03.434+02:00</t>
  </si>
  <si>
    <t>2024-09-01T00:19:20.896+02:00</t>
  </si>
  <si>
    <t>2024-09-01T00:26:26.040+02:00</t>
  </si>
  <si>
    <t>2024-08-31T23:43:29.479+02:00</t>
  </si>
  <si>
    <t>2024-08-31T23:56:17.342+02:00</t>
  </si>
  <si>
    <t>2024-08-31T23:42:33.391+02:00</t>
  </si>
  <si>
    <t>2024-08-31T23:56:48.333+02:00</t>
  </si>
  <si>
    <t>2024-08-31T23:41:02.079+02:00</t>
  </si>
  <si>
    <t>2024-08-31T23:54:06.059+02:00</t>
  </si>
  <si>
    <t>2024-09-01T00:26:26.626+02:00</t>
  </si>
  <si>
    <t>2024-08-31T23:55:36.474+02:00</t>
  </si>
  <si>
    <t>2024-08-31T23:36:39.756+02:00</t>
  </si>
  <si>
    <t>2024-08-31T23:41:03.216+02:00</t>
  </si>
  <si>
    <t>2024-08-31T23:32:37.850+02:00</t>
  </si>
  <si>
    <t>2024-08-31T23:40:31.223+02:00</t>
  </si>
  <si>
    <t>Mykola</t>
  </si>
  <si>
    <t>2024-08-31T23:31:18.284+02:00</t>
  </si>
  <si>
    <t>2024-08-31T23:39:51.192+02:00</t>
  </si>
  <si>
    <t>2024-08-31T23:27:50.269+02:00</t>
  </si>
  <si>
    <t>2024-08-31T23:38:20.146+02:00</t>
  </si>
  <si>
    <t>2024-08-31T23:19:02.329+02:00</t>
  </si>
  <si>
    <t>2024-08-31T23:30:49.272+02:00</t>
  </si>
  <si>
    <t>2024-08-31T23:17:02.164+02:00</t>
  </si>
  <si>
    <t>2024-08-31T23:27:36.279+02:00</t>
  </si>
  <si>
    <t>2024-08-31T23:10:04.776+02:00</t>
  </si>
  <si>
    <t>2024-08-31T23:18:23.306+02:00</t>
  </si>
  <si>
    <t>2024-08-31T23:01:28.521+02:00</t>
  </si>
  <si>
    <t>2024-08-31T23:07:56.388+02:00</t>
  </si>
  <si>
    <t>2024-08-31T22:53:52.575+02:00</t>
  </si>
  <si>
    <t>2024-08-31T23:06:15.543+02:00</t>
  </si>
  <si>
    <t>2024-08-31T22:52:23.901+02:00</t>
  </si>
  <si>
    <t>2024-08-31T23:08:04.229+02:00</t>
  </si>
  <si>
    <t>2024-08-31T22:27:01.938+02:00</t>
  </si>
  <si>
    <t>2024-08-31T22:37:06.017+02:00</t>
  </si>
  <si>
    <t>Vakhtang</t>
  </si>
  <si>
    <t>2024-08-31T22:09:10.204+02:00</t>
  </si>
  <si>
    <t>2024-08-31T22:15:55.159+02:00</t>
  </si>
  <si>
    <t>2024-08-31T21:58:27.871+02:00</t>
  </si>
  <si>
    <t>2024-08-31T22:05:38.711+02:00</t>
  </si>
  <si>
    <t>2024-08-31T21:57:01.480+02:00</t>
  </si>
  <si>
    <t>2024-08-31T22:06:33.007+02:00</t>
  </si>
  <si>
    <t>2024-08-31T21:36:30.221+02:00</t>
  </si>
  <si>
    <t>2024-08-31T21:46:09.411+02:00</t>
  </si>
  <si>
    <t>2024-08-31T21:36:02.030+02:00</t>
  </si>
  <si>
    <t>2024-08-31T21:46:51.998+02:00</t>
  </si>
  <si>
    <t>2024-08-31T21:29:31.528+02:00</t>
  </si>
  <si>
    <t>2024-08-31T21:37:21.288+02:00</t>
  </si>
  <si>
    <t>2024-08-31T21:21:01.634+02:00</t>
  </si>
  <si>
    <t>2024-08-31T21:29:13.131+02:00</t>
  </si>
  <si>
    <t>2024-08-31T21:51:15.060+02:00</t>
  </si>
  <si>
    <t>2024-08-31T21:27:14.529+02:00</t>
  </si>
  <si>
    <t>2024-08-31T21:18:02.093+02:00</t>
  </si>
  <si>
    <t>2024-08-31T21:26:31.008+02:00</t>
  </si>
  <si>
    <t>2024-08-31T21:44:04.880+02:00</t>
  </si>
  <si>
    <t>2024-08-31T21:18:02.699+02:00</t>
  </si>
  <si>
    <t>2024-08-31T21:11:55.940+02:00</t>
  </si>
  <si>
    <t>2024-08-31T21:20:01.257+02:00</t>
  </si>
  <si>
    <t>2024-08-31T21:10:54.124+02:00</t>
  </si>
  <si>
    <t>2024-08-31T21:17:53.177+02:00</t>
  </si>
  <si>
    <t>Kavin</t>
  </si>
  <si>
    <t>2024-08-31T21:08:41.844+02:00</t>
  </si>
  <si>
    <t>2024-08-31T21:17:03.268+02:00</t>
  </si>
  <si>
    <t>2024-08-31T21:07:23.790+02:00</t>
  </si>
  <si>
    <t>2024-08-31T21:14:45.260+02:00</t>
  </si>
  <si>
    <t>2024-08-31T21:04:20.709+02:00</t>
  </si>
  <si>
    <t>2024-08-31T21:14:04.289+02:00</t>
  </si>
  <si>
    <t>2024-08-31T21:01:48.535+02:00</t>
  </si>
  <si>
    <t>2024-08-31T21:13:10.153+02:00</t>
  </si>
  <si>
    <t>2024-08-31T20:59:01.837+02:00</t>
  </si>
  <si>
    <t>2024-08-31T21:04:58.992+02:00</t>
  </si>
  <si>
    <t>2024-08-31T20:56:34.179+02:00</t>
  </si>
  <si>
    <t>2024-08-31T21:02:58.752+02:00</t>
  </si>
  <si>
    <t>2024-08-31T20:52:01.776+02:00</t>
  </si>
  <si>
    <t>2024-08-31T21:00:00.043+02:00</t>
  </si>
  <si>
    <t>2024-08-31T20:49:12.409+02:00</t>
  </si>
  <si>
    <t>2024-08-31T20:57:43.500+02:00</t>
  </si>
  <si>
    <t>2024-08-31T20:43:36.152+02:00</t>
  </si>
  <si>
    <t>2024-08-31T20:50:34.332+02:00</t>
  </si>
  <si>
    <t>2024-08-31T20:41:01.902+02:00</t>
  </si>
  <si>
    <t>2024-08-31T20:50:18.987+02:00</t>
  </si>
  <si>
    <t>2024-08-31T20:39:10.672+02:00</t>
  </si>
  <si>
    <t>2024-08-31T20:47:10.181+02:00</t>
  </si>
  <si>
    <t>2024-08-31T20:36:31.355+02:00</t>
  </si>
  <si>
    <t>2024-08-31T20:47:39.301+02:00</t>
  </si>
  <si>
    <t>2024-08-31T20:35:41.869+02:00</t>
  </si>
  <si>
    <t>2024-08-31T20:49:13.321+02:00</t>
  </si>
  <si>
    <t>2024-08-31T20:34:01.666+02:00</t>
  </si>
  <si>
    <t>2024-08-31T20:43:26.973+02:00</t>
  </si>
  <si>
    <t>2024-08-31T20:26:16.266+02:00</t>
  </si>
  <si>
    <t>2024-08-31T20:33:39.044+02:00</t>
  </si>
  <si>
    <t>2024-08-31T20:19:02.152+02:00</t>
  </si>
  <si>
    <t>2024-08-31T20:26:08.026+02:00</t>
  </si>
  <si>
    <t>2024-08-31T20:43:17.269+02:00</t>
  </si>
  <si>
    <t>2024-08-31T20:19:02.889+02:00</t>
  </si>
  <si>
    <t>2024-08-31T20:17:38.696+02:00</t>
  </si>
  <si>
    <t>2024-08-31T20:26:28.243+02:00</t>
  </si>
  <si>
    <t>2024-08-31T20:15:01.332+02:00</t>
  </si>
  <si>
    <t>2024-08-31T20:25:01.090+02:00</t>
  </si>
  <si>
    <t>2024-08-31T20:27:56.409+02:00</t>
  </si>
  <si>
    <t>2024-08-31T20:15:01.904+02:00</t>
  </si>
  <si>
    <t>2024-08-31T20:13:02.159+02:00</t>
  </si>
  <si>
    <t>2024-08-31T20:22:00.995+02:00</t>
  </si>
  <si>
    <t>2024-08-31T20:11:02.210+02:00</t>
  </si>
  <si>
    <t>2024-08-31T20:20:44.984+02:00</t>
  </si>
  <si>
    <t>2024-08-31T20:10:03.569+02:00</t>
  </si>
  <si>
    <t>2024-08-31T20:19:00.170+02:00</t>
  </si>
  <si>
    <t>2024-08-31T20:10:02.250+02:00</t>
  </si>
  <si>
    <t>2024-08-31T20:25:10.017+02:00</t>
  </si>
  <si>
    <t>2024-08-31T20:33:47.647+02:00</t>
  </si>
  <si>
    <t>2024-08-31T20:10:02.837+02:00</t>
  </si>
  <si>
    <t>2024-08-31T20:09:32.633+02:00</t>
  </si>
  <si>
    <t>2024-08-31T20:16:25.152+02:00</t>
  </si>
  <si>
    <t>2024-08-31T20:01:10.131+02:00</t>
  </si>
  <si>
    <t>2024-08-31T20:07:29.169+02:00</t>
  </si>
  <si>
    <t>2024-08-31T19:59:29.980+02:00</t>
  </si>
  <si>
    <t>2024-08-31T20:07:26.139+02:00</t>
  </si>
  <si>
    <t>2024-08-31T19:56:28.229+02:00</t>
  </si>
  <si>
    <t>2024-08-31T20:04:52.157+02:00</t>
  </si>
  <si>
    <t>2024-08-31T19:54:26.238+02:00</t>
  </si>
  <si>
    <t>2024-08-31T20:03:59.145+02:00</t>
  </si>
  <si>
    <t>2024-08-31T19:46:57.979+02:00</t>
  </si>
  <si>
    <t>2024-08-31T19:57:18.518+02:00</t>
  </si>
  <si>
    <t>2024-08-31T19:44:02.413+02:00</t>
  </si>
  <si>
    <t>2024-08-31T19:50:33.970+02:00</t>
  </si>
  <si>
    <t>2024-08-31T19:43:01.529+02:00</t>
  </si>
  <si>
    <t>2024-08-31T19:53:11.031+02:00</t>
  </si>
  <si>
    <t>2024-08-31T20:27:38.498+02:00</t>
  </si>
  <si>
    <t>2024-08-31T19:59:20.123+02:00</t>
  </si>
  <si>
    <t>2024-08-31T19:35:02.149+02:00</t>
  </si>
  <si>
    <t>2024-08-31T19:40:33.028+02:00</t>
  </si>
  <si>
    <t>2024-08-31T20:07:58.740+02:00</t>
  </si>
  <si>
    <t>2024-08-31T19:35:02.585+02:00</t>
  </si>
  <si>
    <t>2024-08-31T19:31:01.921+02:00</t>
  </si>
  <si>
    <t>2024-08-31T19:41:01.039+02:00</t>
  </si>
  <si>
    <t>2024-08-31T20:04:36.143+02:00</t>
  </si>
  <si>
    <t>2024-08-31T19:31:02.459+02:00</t>
  </si>
  <si>
    <t>2024-08-31T19:30:02.741+02:00</t>
  </si>
  <si>
    <t>2024-08-31T19:34:50.942+02:00</t>
  </si>
  <si>
    <t>2024-08-31T19:25:02.279+02:00</t>
  </si>
  <si>
    <t>2024-08-31T19:34:03.946+02:00</t>
  </si>
  <si>
    <t>2024-08-31T19:24:01.700+02:00</t>
  </si>
  <si>
    <t>2024-08-31T19:31:45.944+02:00</t>
  </si>
  <si>
    <t>2024-08-31T19:23:48.805+02:00</t>
  </si>
  <si>
    <t>2024-08-31T19:30:18.179+02:00</t>
  </si>
  <si>
    <t>2024-08-31T19:20:01.594+02:00</t>
  </si>
  <si>
    <t>2024-08-31T19:25:46.976+02:00</t>
  </si>
  <si>
    <t>2024-08-31T19:41:58.290+02:00</t>
  </si>
  <si>
    <t>2024-08-31T19:20:02.155+02:00</t>
  </si>
  <si>
    <t>2024-08-31T19:17:47.958+02:00</t>
  </si>
  <si>
    <t>2024-08-31T19:24:23.222+02:00</t>
  </si>
  <si>
    <t>2024-08-31T19:17:29.902+02:00</t>
  </si>
  <si>
    <t>2024-08-31T19:23:53.284+02:00</t>
  </si>
  <si>
    <t>2024-08-31T19:11:29.139+02:00</t>
  </si>
  <si>
    <t>2024-08-31T19:22:35.394+02:00</t>
  </si>
  <si>
    <t>2024-08-31T19:05:15.505+02:00</t>
  </si>
  <si>
    <t>2024-08-31T19:14:06.018+02:00</t>
  </si>
  <si>
    <t>2024-08-31T19:03:39.682+02:00</t>
  </si>
  <si>
    <t>2024-08-31T19:11:07.964+02:00</t>
  </si>
  <si>
    <t>2024-08-31T18:49:01.607+02:00</t>
  </si>
  <si>
    <t>2024-08-31T18:55:43.078+02:00</t>
  </si>
  <si>
    <t>2024-08-31T19:19:05.760+02:00</t>
  </si>
  <si>
    <t>2024-08-31T18:49:02.349+02:00</t>
  </si>
  <si>
    <t>2024-08-31T18:45:31.008+02:00</t>
  </si>
  <si>
    <t>2024-08-31T18:52:56.747+02:00</t>
  </si>
  <si>
    <t>2024-08-31T18:28:27.259+02:00</t>
  </si>
  <si>
    <t>2024-08-31T18:35:33.020+02:00</t>
  </si>
  <si>
    <t>2024-08-31T18:26:02.611+02:00</t>
  </si>
  <si>
    <t>2024-08-31T18:48:53.761+02:00</t>
  </si>
  <si>
    <t>2024-08-31T18:23:27.679+02:00</t>
  </si>
  <si>
    <t>2024-08-31T18:32:16.003+02:00</t>
  </si>
  <si>
    <t>2024-08-31T18:17:01.935+02:00</t>
  </si>
  <si>
    <t>2024-08-31T18:34:43.841+02:00</t>
  </si>
  <si>
    <t>2024-08-31T18:52:38.719+02:00</t>
  </si>
  <si>
    <t>2024-08-31T18:17:02.548+02:00</t>
  </si>
  <si>
    <t>2024-08-31T18:13:01.394+02:00</t>
  </si>
  <si>
    <t>2024-08-31T18:28:13.804+02:00</t>
  </si>
  <si>
    <t>2024-08-31T19:01:51.295+02:00</t>
  </si>
  <si>
    <t>2024-08-31T18:13:01.949+02:00</t>
  </si>
  <si>
    <t>2024-08-31T18:08:50.068+02:00</t>
  </si>
  <si>
    <t>2024-08-31T18:13:49.911+02:00</t>
  </si>
  <si>
    <t>2024-08-31T18:07:01.789+02:00</t>
  </si>
  <si>
    <t>2024-08-31T18:15:16.755+02:00</t>
  </si>
  <si>
    <t>2024-08-31T18:06:01.451+02:00</t>
  </si>
  <si>
    <t>2024-08-31T18:12:51.773+02:00</t>
  </si>
  <si>
    <t>2024-08-31T18:02:30.492+02:00</t>
  </si>
  <si>
    <t>2024-08-31T18:12:38.223+02:00</t>
  </si>
  <si>
    <t>2024-08-31T17:57:29.743+02:00</t>
  </si>
  <si>
    <t>2024-08-31T18:08:22.184+02:00</t>
  </si>
  <si>
    <t>2024-08-31T17:56:02.008+02:00</t>
  </si>
  <si>
    <t>2024-08-31T18:09:35.823+02:00</t>
  </si>
  <si>
    <t>2024-08-31T18:23:12.601+02:00</t>
  </si>
  <si>
    <t>2024-08-31T17:56:02.793+02:00</t>
  </si>
  <si>
    <t>2024-08-31T17:47:27.666+02:00</t>
  </si>
  <si>
    <t>2024-08-31T17:55:43.078+02:00</t>
  </si>
  <si>
    <t>2024-08-31T17:47:27.652+02:00</t>
  </si>
  <si>
    <t>2024-08-31T17:54:20.101+02:00</t>
  </si>
  <si>
    <t>2024-08-31T17:45:01.675+02:00</t>
  </si>
  <si>
    <t>2024-08-31T17:53:19.089+02:00</t>
  </si>
  <si>
    <t>2024-08-31T17:30:01.777+02:00</t>
  </si>
  <si>
    <t>2024-08-31T17:40:59.761+02:00</t>
  </si>
  <si>
    <t>2024-08-31T17:27:24.675+02:00</t>
  </si>
  <si>
    <t>2024-08-31T17:37:51.054+02:00</t>
  </si>
  <si>
    <t>2024-08-31T17:26:32.285+02:00</t>
  </si>
  <si>
    <t>2024-08-31T17:33:47.003+02:00</t>
  </si>
  <si>
    <t>2024-08-31T17:23:24.081+02:00</t>
  </si>
  <si>
    <t>2024-08-31T17:31:13.152+02:00</t>
  </si>
  <si>
    <t>2024-08-31T17:20:02.583+02:00</t>
  </si>
  <si>
    <t>2024-08-31T17:29:14.952+02:00</t>
  </si>
  <si>
    <t>2024-08-31T17:09:26.972+02:00</t>
  </si>
  <si>
    <t>2024-08-31T17:17:37.929+02:00</t>
  </si>
  <si>
    <t>2024-08-31T16:57:02.206+02:00</t>
  </si>
  <si>
    <t>2024-08-31T17:23:52.762+02:00</t>
  </si>
  <si>
    <t>2024-08-31T16:54:02.600+02:00</t>
  </si>
  <si>
    <t>2024-08-31T17:30:52.758+02:00</t>
  </si>
  <si>
    <t>2024-08-31T17:42:31.102+02:00</t>
  </si>
  <si>
    <t>2024-08-31T16:54:03.150+02:00</t>
  </si>
  <si>
    <t>2024-08-31T16:49:22.151+02:00</t>
  </si>
  <si>
    <t>2024-08-31T16:56:56.063+02:00</t>
  </si>
  <si>
    <t>2024-08-31T16:39:16.197+02:00</t>
  </si>
  <si>
    <t>2024-08-31T16:52:19.974+02:00</t>
  </si>
  <si>
    <t>2024-08-31T16:38:22.443+02:00</t>
  </si>
  <si>
    <t>2024-08-31T16:50:20.026+02:00</t>
  </si>
  <si>
    <t>2024-08-31T16:38:01.890+02:00</t>
  </si>
  <si>
    <t>2024-08-31T16:51:24.057+02:00</t>
  </si>
  <si>
    <t>2024-08-31T17:04:25.167+02:00</t>
  </si>
  <si>
    <t>2024-08-31T16:38:02.653+02:00</t>
  </si>
  <si>
    <t>2024-08-31T16:37:14.004+02:00</t>
  </si>
  <si>
    <t>2024-08-31T16:54:50.962+02:00</t>
  </si>
  <si>
    <t>2024-08-31T16:02:57.017+02:00</t>
  </si>
  <si>
    <t>2024-08-31T16:08:55.748+02:00</t>
  </si>
  <si>
    <t>2024-08-31T16:00:01.694+02:00</t>
  </si>
  <si>
    <t>2024-08-31T16:11:12.790+02:00</t>
  </si>
  <si>
    <t>2024-08-31T15:52:22.122+02:00</t>
  </si>
  <si>
    <t>2024-08-31T15:59:19.991+02:00</t>
  </si>
  <si>
    <t>2024-08-31T15:50:40.774+02:00</t>
  </si>
  <si>
    <t>2024-08-31T15:59:22.719+02:00</t>
  </si>
  <si>
    <t>2024-08-31T15:47:55.940+02:00</t>
  </si>
  <si>
    <t>2024-08-31T15:56:22.100+02:00</t>
  </si>
  <si>
    <t>2024-08-31T15:44:24.484+02:00</t>
  </si>
  <si>
    <t>2024-08-31T15:55:50.995+02:00</t>
  </si>
  <si>
    <t>2024-08-31T15:30:19.417+02:00</t>
  </si>
  <si>
    <t>2024-08-31T15:36:26.020+02:00</t>
  </si>
  <si>
    <t>2024-08-31T15:24:21.779+02:00</t>
  </si>
  <si>
    <t>2024-08-31T15:31:24.023+02:00</t>
  </si>
  <si>
    <t>2024-08-31T15:23:37.198+02:00</t>
  </si>
  <si>
    <t>2024-08-31T15:31:38.101+02:00</t>
  </si>
  <si>
    <t>2024-08-31T15:09:23.354+02:00</t>
  </si>
  <si>
    <t>2024-08-31T15:14:21.033+02:00</t>
  </si>
  <si>
    <t>2024-08-31T15:05:22.192+02:00</t>
  </si>
  <si>
    <t>2024-08-31T15:12:06.081+02:00</t>
  </si>
  <si>
    <t>2024-08-31T14:51:01.723+02:00</t>
  </si>
  <si>
    <t>2024-08-31T14:59:47.755+02:00</t>
  </si>
  <si>
    <t>2024-08-31T14:49:21.291+02:00</t>
  </si>
  <si>
    <t>2024-08-31T14:59:30.092+02:00</t>
  </si>
  <si>
    <t>2024-08-31T14:32:21.091+02:00</t>
  </si>
  <si>
    <t>2024-08-31T14:42:27.965+02:00</t>
  </si>
  <si>
    <t>2024-08-31T14:30:03.898+02:00</t>
  </si>
  <si>
    <t>2024-08-31T14:42:25.349+02:00</t>
  </si>
  <si>
    <t>2024-08-31T14:15:36.234+02:00</t>
  </si>
  <si>
    <t>2024-08-31T14:20:27.274+02:00</t>
  </si>
  <si>
    <t>2024-08-31T14:01:01.666+02:00</t>
  </si>
  <si>
    <t>2024-08-31T14:08:40.781+02:00</t>
  </si>
  <si>
    <t>2024-08-31T14:33:05.850+02:00</t>
  </si>
  <si>
    <t>2024-08-31T14:01:02.150+02:00</t>
  </si>
  <si>
    <t>2024-08-31T13:54:02.525+02:00</t>
  </si>
  <si>
    <t>2024-08-31T14:04:21.813+02:00</t>
  </si>
  <si>
    <t>2024-08-31T14:19:43.238+02:00</t>
  </si>
  <si>
    <t>2024-08-31T13:54:03.103+02:00</t>
  </si>
  <si>
    <t>2024-08-31T13:48:19.120+02:00</t>
  </si>
  <si>
    <t>2024-08-31T13:57:02.109+02:00</t>
  </si>
  <si>
    <t>2024-08-31T13:46:49.104+02:00</t>
  </si>
  <si>
    <t>2024-08-31T13:56:25.920+02:00</t>
  </si>
  <si>
    <t>2024-08-31T13:43:01.811+02:00</t>
  </si>
  <si>
    <t>2024-08-31T13:53:19.714+02:00</t>
  </si>
  <si>
    <t>2024-08-31T13:39:23.743+02:00</t>
  </si>
  <si>
    <t>2024-08-31T13:46:04.992+02:00</t>
  </si>
  <si>
    <t>2024-08-31T13:30:02.346+02:00</t>
  </si>
  <si>
    <t>2024-08-31T13:41:04.830+02:00</t>
  </si>
  <si>
    <t>2024-08-31T13:48:00.613+02:00</t>
  </si>
  <si>
    <t>2024-08-31T13:30:02.911+02:00</t>
  </si>
  <si>
    <t>2024-08-31T13:25:16.093+02:00</t>
  </si>
  <si>
    <t>2024-08-31T13:34:58.007+02:00</t>
  </si>
  <si>
    <t>2024-08-31T13:19:22.891+02:00</t>
  </si>
  <si>
    <t>2024-08-31T13:26:45.122+02:00</t>
  </si>
  <si>
    <t>2024-08-31T12:58:20.086+02:00</t>
  </si>
  <si>
    <t>2024-08-31T13:04:31.995+02:00</t>
  </si>
  <si>
    <t>2024-08-31T12:57:20.112+02:00</t>
  </si>
  <si>
    <t>2024-08-31T13:03:55.117+02:00</t>
  </si>
  <si>
    <t>2024-08-31T12:51:05.779+02:00</t>
  </si>
  <si>
    <t>2024-08-31T13:01:54.983+02:00</t>
  </si>
  <si>
    <t>Ruslan</t>
  </si>
  <si>
    <t>2024-08-31T12:51:01.825+02:00</t>
  </si>
  <si>
    <t>2024-08-31T12:58:07.835+02:00</t>
  </si>
  <si>
    <t>2024-08-31T12:44:37.762+02:00</t>
  </si>
  <si>
    <t>2024-08-31T12:50:58.914+02:00</t>
  </si>
  <si>
    <t>2024-08-31T12:44:04.316+02:00</t>
  </si>
  <si>
    <t>2024-08-31T12:53:08.820+02:00</t>
  </si>
  <si>
    <t>2024-08-31T12:26:00.446+02:00</t>
  </si>
  <si>
    <t>2024-08-31T12:30:59.134+02:00</t>
  </si>
  <si>
    <t>2024-08-31T12:16:30.164+02:00</t>
  </si>
  <si>
    <t>2024-08-31T12:23:08.960+02:00</t>
  </si>
  <si>
    <t>2024-08-31T12:14:39.698+02:00</t>
  </si>
  <si>
    <t>2024-08-31T12:19:34.177+02:00</t>
  </si>
  <si>
    <t>2024-08-31T12:09:19.984+02:00</t>
  </si>
  <si>
    <t>2024-08-31T12:20:00.121+02:00</t>
  </si>
  <si>
    <t>2024-08-31T12:02:02.440+02:00</t>
  </si>
  <si>
    <t>2024-08-31T12:12:55.737+02:00</t>
  </si>
  <si>
    <t>2024-08-31T12:21:24.271+02:00</t>
  </si>
  <si>
    <t>2024-08-31T12:02:03.306+02:00</t>
  </si>
  <si>
    <t>2024-08-31T12:02:02.415+02:00</t>
  </si>
  <si>
    <t>2024-08-31T12:12:35.736+02:00</t>
  </si>
  <si>
    <t>2024-08-31T12:30:24.281+02:00</t>
  </si>
  <si>
    <t>2024-08-31T12:02:03.466+02:00</t>
  </si>
  <si>
    <t>2024-08-31T11:59:20.254+02:00</t>
  </si>
  <si>
    <t>2024-08-31T12:07:52.022+02:00</t>
  </si>
  <si>
    <t>2024-08-31T11:45:19.061+02:00</t>
  </si>
  <si>
    <t>2024-08-31T11:53:24.850+02:00</t>
  </si>
  <si>
    <t>2024-08-31T11:28:02.303+02:00</t>
  </si>
  <si>
    <t>2024-08-31T11:47:30.651+02:00</t>
  </si>
  <si>
    <t>František</t>
  </si>
  <si>
    <t>2024-08-31T11:25:45.538+02:00</t>
  </si>
  <si>
    <t>2024-08-31T11:32:20.784+02:00</t>
  </si>
  <si>
    <t>2024-08-31T11:18:22.043+02:00</t>
  </si>
  <si>
    <t>2024-08-31T11:25:01.001+02:00</t>
  </si>
  <si>
    <t>2024-08-31T11:16:16.980+02:00</t>
  </si>
  <si>
    <t>2024-08-31T11:26:40.092+02:00</t>
  </si>
  <si>
    <t>2024-08-31T11:15:01.386+02:00</t>
  </si>
  <si>
    <t>2024-08-31T11:51:56.723+02:00</t>
  </si>
  <si>
    <t>2024-08-31T12:05:41.474+02:00</t>
  </si>
  <si>
    <t>2024-08-31T11:15:02.262+02:00</t>
  </si>
  <si>
    <t>2024-08-31T11:14:19.025+02:00</t>
  </si>
  <si>
    <t>2024-08-31T11:23:57.921+02:00</t>
  </si>
  <si>
    <t>Vlastní vůz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</si>
  <si>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</si>
  <si>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</si>
  <si>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</si>
  <si>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</si>
  <si>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</si>
  <si>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</si>
  <si>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</si>
  <si>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</si>
  <si>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Čtvrtek</t>
  </si>
  <si>
    <t>12 min 15 s</t>
  </si>
  <si>
    <t>01:00</t>
  </si>
  <si>
    <t>Gomez Antonio</t>
  </si>
  <si>
    <t>15:00</t>
  </si>
  <si>
    <t>11 min 50 s</t>
  </si>
  <si>
    <t>Sobota</t>
  </si>
  <si>
    <t>14:00</t>
  </si>
  <si>
    <t>9 min 59 s</t>
  </si>
  <si>
    <t>07:30</t>
  </si>
  <si>
    <t xml:space="preserve">Pechová Barbora </t>
  </si>
  <si>
    <t>11 min 28 s</t>
  </si>
  <si>
    <t>14:30</t>
  </si>
  <si>
    <t>16 min 33 s</t>
  </si>
  <si>
    <t>24:30</t>
  </si>
  <si>
    <t>12 min 16 s</t>
  </si>
  <si>
    <t>11 min 13 s</t>
  </si>
  <si>
    <t>11 min 59 s</t>
  </si>
  <si>
    <t>9 min 13 s</t>
  </si>
  <si>
    <t>19:00</t>
  </si>
  <si>
    <t>01:30</t>
  </si>
  <si>
    <t>08:30</t>
  </si>
  <si>
    <t>9 min 24 s</t>
  </si>
  <si>
    <t>16:00</t>
  </si>
  <si>
    <t>9 min 15 s</t>
  </si>
  <si>
    <t>17:30</t>
  </si>
  <si>
    <t>11 min 22 s</t>
  </si>
  <si>
    <t>15 min 28 s</t>
  </si>
  <si>
    <t>05:00</t>
  </si>
  <si>
    <t>10 min 52 s</t>
  </si>
  <si>
    <t>18:30</t>
  </si>
  <si>
    <t>9 min 36 s</t>
  </si>
  <si>
    <t>12 min 21 s</t>
  </si>
  <si>
    <t>21:00</t>
  </si>
  <si>
    <t>02:00</t>
  </si>
  <si>
    <t>9 min 42 s</t>
  </si>
  <si>
    <t>12 min 06 s</t>
  </si>
  <si>
    <t>10 min 43 s</t>
  </si>
  <si>
    <t>09:00</t>
  </si>
  <si>
    <t>04:00</t>
  </si>
  <si>
    <t>03:00</t>
  </si>
  <si>
    <t>9 min 29 s</t>
  </si>
  <si>
    <t>12 min 08 s</t>
  </si>
  <si>
    <t>12 min 20 s</t>
  </si>
  <si>
    <t>12 min 50 s</t>
  </si>
  <si>
    <t>20:30</t>
  </si>
  <si>
    <t>09:30</t>
  </si>
  <si>
    <t>14 min 36 s</t>
  </si>
  <si>
    <t>Zličín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</si>
  <si>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</si>
  <si>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</si>
  <si>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</si>
  <si>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</si>
  <si>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</si>
  <si>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</si>
  <si>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</si>
  <si>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</si>
  <si>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</si>
  <si>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</si>
  <si>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</si>
  <si>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</si>
  <si>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</si>
  <si>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</si>
  <si>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</si>
  <si>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Výdaje</t>
  </si>
  <si>
    <t>Počet zpožděných našich rozvozů +5 min</t>
  </si>
  <si>
    <t>Počet rozvozů</t>
  </si>
  <si>
    <t xml:space="preserve">Vlastní vůz </t>
  </si>
  <si>
    <t>počet výdajových dokadů</t>
  </si>
  <si>
    <t>Lowe Jana</t>
  </si>
  <si>
    <t>Woltrdive zpožděný kvůli našemu pozdnímu přiřazení</t>
  </si>
  <si>
    <t>Vyber datum    &lt;----------&gt;</t>
  </si>
  <si>
    <t>Celkem hodin Instor</t>
  </si>
  <si>
    <t>Celkem hodin Kurýr</t>
  </si>
  <si>
    <t>Počet dní</t>
  </si>
  <si>
    <t>116:00</t>
  </si>
  <si>
    <t>29:00</t>
  </si>
  <si>
    <t>88:30</t>
  </si>
  <si>
    <t>Pechová Barbora</t>
  </si>
  <si>
    <t>27:00</t>
  </si>
  <si>
    <t>32:30</t>
  </si>
  <si>
    <t>Nedbal Michal</t>
  </si>
  <si>
    <t>120:30</t>
  </si>
  <si>
    <t>54:30</t>
  </si>
  <si>
    <t>85:00</t>
  </si>
  <si>
    <t>Vaníková Anna</t>
  </si>
  <si>
    <t>25:00</t>
  </si>
  <si>
    <t>Zimmer Jakub</t>
  </si>
  <si>
    <t>7:00</t>
  </si>
  <si>
    <t>Pánková Vendula</t>
  </si>
  <si>
    <t>72:30</t>
  </si>
  <si>
    <t>Němec Filip</t>
  </si>
  <si>
    <t>50:00</t>
  </si>
  <si>
    <t>Putna Jaroslav</t>
  </si>
  <si>
    <t>88:00</t>
  </si>
  <si>
    <t>Kuzníková Nicol</t>
  </si>
  <si>
    <t>10 min 50 s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</si>
  <si>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</si>
  <si>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</si>
  <si>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</si>
  <si>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</si>
  <si>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Ayuna Hanakova</t>
  </si>
  <si>
    <t>10:00 - 15:00 (Instor)</t>
  </si>
  <si>
    <t>10:00 - 17:00 (Instor)</t>
  </si>
  <si>
    <t xml:space="preserve">Ondřej Veselý </t>
  </si>
  <si>
    <t>15:00 - 18:00 (Instor)</t>
  </si>
  <si>
    <t>17:00 - 0:00 (Instor)</t>
  </si>
  <si>
    <t>17:00 - 1:00 (Instor)</t>
  </si>
  <si>
    <t>Karel Kučera</t>
  </si>
  <si>
    <t>18:00 - 0:00 (Instor)</t>
  </si>
  <si>
    <t>17:00 - 0:00 (Kurýr)</t>
  </si>
  <si>
    <t>17:00 - 1:00 (Kurýr)</t>
  </si>
  <si>
    <t>11:00 - 17:00 (Kurýr)</t>
  </si>
  <si>
    <t>Liubov Kormash</t>
  </si>
  <si>
    <t>11:00 - 18:00 (Kurýr)</t>
  </si>
  <si>
    <t>18:00 - 0:00 (Kurýr)</t>
  </si>
  <si>
    <t>Bára Pechová</t>
  </si>
  <si>
    <t>18:00 - 22:00 (Instor)</t>
  </si>
  <si>
    <t>Jakub Novák</t>
  </si>
  <si>
    <t>Otakar Černohorský</t>
  </si>
  <si>
    <t>Antonio Gomez</t>
  </si>
  <si>
    <t>10:00 - 18:00 (Instor)</t>
  </si>
  <si>
    <t>11:00 - 18:00 (Instor)</t>
  </si>
  <si>
    <t>17:00 - 22:00 (Instor)</t>
  </si>
  <si>
    <t>Michal Čerešňák</t>
  </si>
  <si>
    <t>11:00 - 1:00 (Kurýr)</t>
  </si>
  <si>
    <t>11:00 - 0:00 (Kurýr)</t>
  </si>
  <si>
    <t>Vendula Pánková</t>
  </si>
  <si>
    <t>2024-08-09T22:19:02.895+02:00</t>
  </si>
  <si>
    <t>2024-08-09T20:59:02.480+02:00</t>
  </si>
  <si>
    <t>2024-08-09T20:46:02.837+02:00</t>
  </si>
  <si>
    <t>2024-08-09T20:34:02.891+02:00</t>
  </si>
  <si>
    <t>2024-08-09T20:47:12.087+02:00</t>
  </si>
  <si>
    <t>2024-08-09T20:23:02.590+02:00</t>
  </si>
  <si>
    <t>2024-08-09T20:03:02.507+02:00</t>
  </si>
  <si>
    <t>2024-08-09T19:56:02.899+02:00</t>
  </si>
  <si>
    <t>2024-08-09T19:38:02.296+02:00</t>
  </si>
  <si>
    <t>2024-08-09T19:24:02.984+02:00</t>
  </si>
  <si>
    <t>2024-08-09T19:01:02.783+02:00</t>
  </si>
  <si>
    <t>2024-08-09T17:51:02.506+02:00</t>
  </si>
  <si>
    <t>2024-08-09T17:46:03.097+02:00</t>
  </si>
  <si>
    <t>2024-08-09T17:39:01.978+02:00</t>
  </si>
  <si>
    <t>2024-08-09T17:17:02.097+02:00</t>
  </si>
  <si>
    <t>2024-08-09T17:00:02.267+02:00</t>
  </si>
  <si>
    <t>2024-08-09T15:56:10.646+02:00</t>
  </si>
  <si>
    <t>2024-08-09T15:42:02.038+02:00</t>
  </si>
  <si>
    <t>2024-08-09T15:26:53.898+02:00</t>
  </si>
  <si>
    <t>2024-08-09T14:45:02.906+02:00</t>
  </si>
  <si>
    <t>2024-08-09T14:28:20.232+02:00</t>
  </si>
  <si>
    <t>2024-08-09T14:10:02.851+02:00</t>
  </si>
  <si>
    <t>2024-08-09T14:08:02.430+02:00</t>
  </si>
  <si>
    <t>2024-08-09T14:12:06.958+02:00</t>
  </si>
  <si>
    <t>2024-08-09T13:44:03.241+02:00</t>
  </si>
  <si>
    <t>2024-08-09T13:36:02.419+02:00</t>
  </si>
  <si>
    <t>2024-08-09T13:20:03.247+02:00</t>
  </si>
  <si>
    <t>2024-08-09T12:25:02.690+02:00</t>
  </si>
  <si>
    <t>2024-08-09T09:59:03.260+02:00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</si>
</sst>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.m.yyyy"/>
    <numFmt numFmtId="169" formatCode="H:mm:ss"/>
  </numFmts>
  <fonts count="25">
    <font>
      <sz val="10.0"/>
      <color rgb="FF000000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Google Sans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theme="1"/>
      <name val="Google Sans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theme="1"/>
      <name val="Google Sans"/>
    </font>
    <font>
      <sz val="12.0"/>
      <color rgb="FF000000"/>
      <name val="Arial"/>
    </font>
    <font>
      <sz val="11.0"/>
      <color theme="1"/>
      <name val="Arial"/>
    </font>
    <font>
      <b/>
      <sz val="11.0"/>
      <color rgb="FFEFEFEF"/>
      <name val="Arial"/>
    </font>
    <font>
      <color rgb="FFCCCCCC"/>
      <name val="Arial"/>
    </font>
    <font>
      <b/>
      <sz val="13.0"/>
      <color theme="1"/>
      <name val="Arial"/>
    </font>
    <font>
      <b/>
      <i/>
      <sz val="13.0"/>
      <color theme="1"/>
      <name val="Google Sans"/>
    </font>
    <font>
      <b/>
      <sz val="25.0"/>
      <color rgb="FF000000"/>
      <name val="Google Sans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</fills>
  <borders count="58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quotePrefix="1"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vertical="bottom"/>
    </xf>
    <xf borderId="1" fillId="2" fontId="1" numFmtId="2" xfId="0" applyAlignment="1" applyBorder="1" applyFill="1" applyFont="1" applyNumberFormat="1">
      <alignment horizontal="center" vertical="center"/>
    </xf>
    <xf borderId="2" fillId="3" fontId="2" numFmtId="2" xfId="0" applyAlignment="1" applyBorder="1" applyFill="1" applyFont="1" applyNumberFormat="1">
      <alignment horizontal="center" vertical="center"/>
    </xf>
    <xf borderId="2" fillId="3" fontId="3" numFmtId="0" xfId="0" applyAlignment="1" applyBorder="1" applyFont="1">
      <alignment horizontal="center" vertical="center"/>
    </xf>
    <xf borderId="3" fillId="3" fontId="4" numFmtId="165" xfId="0" applyAlignment="1" applyBorder="1" applyFont="1" applyNumberFormat="1">
      <alignment horizontal="center" vertical="center"/>
    </xf>
    <xf borderId="4" fillId="0" fontId="5" numFmtId="0" xfId="0" applyBorder="1" applyFont="1"/>
    <xf borderId="5" fillId="4" fontId="6" numFmtId="0" xfId="0" applyAlignment="1" applyBorder="1" applyFill="1" applyFont="1">
      <alignment horizontal="center" vertical="center"/>
    </xf>
    <xf borderId="5" fillId="0" fontId="5" numFmtId="0" xfId="0" applyBorder="1" applyFont="1"/>
    <xf borderId="6" fillId="0" fontId="5" numFmtId="0" xfId="0" applyBorder="1" applyFont="1"/>
    <xf borderId="7" fillId="4" fontId="7" numFmtId="0" xfId="0" applyAlignment="1" applyBorder="1" applyFont="1">
      <alignment horizontal="center" vertical="center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0" fillId="5" fontId="8" numFmtId="10" xfId="0" applyAlignment="1" applyFill="1" applyFont="1" applyNumberFormat="1">
      <alignment horizontal="center" vertical="center"/>
    </xf>
    <xf borderId="1" fillId="0" fontId="5" numFmtId="0" xfId="0" applyBorder="1" applyFont="1"/>
    <xf borderId="0" fillId="6" fontId="6" numFmtId="166" xfId="0" applyAlignment="1" applyFill="1" applyFont="1" applyNumberFormat="1">
      <alignment horizontal="center" vertical="center"/>
    </xf>
    <xf borderId="12" fillId="7" fontId="9" numFmtId="0" xfId="0" applyAlignment="1" applyBorder="1" applyFill="1" applyFont="1">
      <alignment horizontal="center" vertical="center"/>
    </xf>
    <xf borderId="13" fillId="6" fontId="10" numFmtId="166" xfId="0" applyAlignment="1" applyBorder="1" applyFont="1" applyNumberFormat="1">
      <alignment horizontal="center" vertical="center"/>
    </xf>
    <xf borderId="3" fillId="3" fontId="11" numFmtId="167" xfId="0" applyAlignment="1" applyBorder="1" applyFont="1" applyNumberFormat="1">
      <alignment horizontal="center" vertical="center"/>
    </xf>
    <xf borderId="14" fillId="0" fontId="5" numFmtId="0" xfId="0" applyBorder="1" applyFont="1"/>
    <xf borderId="15" fillId="0" fontId="5" numFmtId="0" xfId="0" applyBorder="1" applyFont="1"/>
    <xf borderId="3" fillId="8" fontId="6" numFmtId="0" xfId="0" applyAlignment="1" applyBorder="1" applyFill="1" applyFont="1">
      <alignment horizontal="left" vertical="center"/>
    </xf>
    <xf borderId="16" fillId="7" fontId="9" numFmtId="0" xfId="0" applyAlignment="1" applyBorder="1" applyFont="1">
      <alignment horizontal="center" vertical="center"/>
    </xf>
    <xf borderId="3" fillId="9" fontId="1" numFmtId="0" xfId="0" applyAlignment="1" applyBorder="1" applyFill="1" applyFont="1">
      <alignment horizontal="center" vertical="center"/>
    </xf>
    <xf borderId="0" fillId="9" fontId="1" numFmtId="0" xfId="0" applyAlignment="1" applyFont="1">
      <alignment horizontal="center" vertical="center"/>
    </xf>
    <xf borderId="3" fillId="10" fontId="1" numFmtId="0" xfId="0" applyBorder="1" applyFill="1" applyFont="1"/>
    <xf borderId="17" fillId="7" fontId="9" numFmtId="0" xfId="0" applyAlignment="1" applyBorder="1" applyFont="1">
      <alignment horizontal="center" vertical="center"/>
    </xf>
    <xf borderId="1" fillId="6" fontId="10" numFmtId="166" xfId="0" applyAlignment="1" applyBorder="1" applyFont="1" applyNumberFormat="1">
      <alignment horizontal="center" vertical="center"/>
    </xf>
    <xf borderId="18" fillId="0" fontId="5" numFmtId="0" xfId="0" applyBorder="1" applyFont="1"/>
    <xf borderId="14" fillId="4" fontId="7" numFmtId="0" xfId="0" applyAlignment="1" applyBorder="1" applyFont="1">
      <alignment horizontal="center" vertical="center"/>
    </xf>
    <xf borderId="19" fillId="7" fontId="9" numFmtId="0" xfId="0" applyAlignment="1" applyBorder="1" applyFont="1">
      <alignment horizontal="center" vertical="center"/>
    </xf>
    <xf borderId="20" fillId="9" fontId="10" numFmtId="166" xfId="0" applyAlignment="1" applyBorder="1" applyFont="1" applyNumberFormat="1">
      <alignment horizontal="center" vertical="center"/>
    </xf>
    <xf borderId="10" fillId="4" fontId="12" numFmtId="0" xfId="0" applyAlignment="1" applyBorder="1" applyFont="1">
      <alignment horizontal="center" vertical="center"/>
    </xf>
    <xf borderId="15" fillId="4" fontId="7" numFmtId="0" xfId="0" applyAlignment="1" applyBorder="1" applyFont="1">
      <alignment horizontal="center" vertical="center"/>
    </xf>
    <xf borderId="21" fillId="7" fontId="9" numFmtId="0" xfId="0" applyAlignment="1" applyBorder="1" applyFont="1">
      <alignment horizontal="center" vertical="center"/>
    </xf>
    <xf borderId="22" fillId="9" fontId="10" numFmtId="0" xfId="0" applyAlignment="1" applyBorder="1" applyFont="1">
      <alignment horizontal="center" vertical="center"/>
    </xf>
    <xf borderId="16" fillId="0" fontId="13" numFmtId="0" xfId="0" applyAlignment="1" applyBorder="1" applyFont="1">
      <alignment horizontal="center" vertical="center"/>
    </xf>
    <xf borderId="12" fillId="0" fontId="13" numFmtId="20" xfId="0" applyAlignment="1" applyBorder="1" applyFont="1" applyNumberFormat="1">
      <alignment horizontal="center" vertical="center"/>
    </xf>
    <xf borderId="13" fillId="0" fontId="13" numFmtId="0" xfId="0" applyAlignment="1" applyBorder="1" applyFont="1">
      <alignment horizontal="center" vertical="center"/>
    </xf>
    <xf borderId="0" fillId="9" fontId="14" numFmtId="0" xfId="0" applyAlignment="1" applyFont="1">
      <alignment horizontal="center" vertical="center"/>
    </xf>
    <xf borderId="3" fillId="11" fontId="15" numFmtId="166" xfId="0" applyAlignment="1" applyBorder="1" applyFill="1" applyFont="1" applyNumberFormat="1">
      <alignment horizontal="center" vertical="center"/>
    </xf>
    <xf borderId="23" fillId="7" fontId="9" numFmtId="0" xfId="0" applyAlignment="1" applyBorder="1" applyFont="1">
      <alignment horizontal="center" vertical="center"/>
    </xf>
    <xf borderId="24" fillId="9" fontId="10" numFmtId="166" xfId="0" applyAlignment="1" applyBorder="1" applyFont="1" applyNumberFormat="1">
      <alignment horizontal="center" vertical="center"/>
    </xf>
    <xf borderId="0" fillId="5" fontId="16" numFmtId="2" xfId="0" applyAlignment="1" applyFont="1" applyNumberFormat="1">
      <alignment horizontal="center" vertical="bottom"/>
    </xf>
    <xf borderId="16" fillId="9" fontId="1" numFmtId="0" xfId="0" applyAlignment="1" applyBorder="1" applyFont="1">
      <alignment horizontal="center" vertical="center"/>
    </xf>
    <xf borderId="12" fillId="9" fontId="1" numFmtId="49" xfId="0" applyAlignment="1" applyBorder="1" applyFont="1" applyNumberFormat="1">
      <alignment horizontal="center" vertical="center"/>
    </xf>
    <xf borderId="25" fillId="9" fontId="1" numFmtId="49" xfId="0" applyAlignment="1" applyBorder="1" applyFont="1" applyNumberFormat="1">
      <alignment horizontal="center" vertical="center"/>
    </xf>
    <xf borderId="26" fillId="12" fontId="17" numFmtId="0" xfId="0" applyAlignment="1" applyBorder="1" applyFill="1" applyFont="1">
      <alignment horizontal="center" vertical="center"/>
    </xf>
    <xf borderId="27" fillId="4" fontId="7" numFmtId="0" xfId="0" applyAlignment="1" applyBorder="1" applyFont="1">
      <alignment horizontal="center" vertical="center"/>
    </xf>
    <xf borderId="28" fillId="0" fontId="5" numFmtId="0" xfId="0" applyBorder="1" applyFont="1"/>
    <xf borderId="13" fillId="9" fontId="10" numFmtId="166" xfId="0" applyAlignment="1" applyBorder="1" applyFont="1" applyNumberFormat="1">
      <alignment horizontal="center" vertical="center"/>
    </xf>
    <xf borderId="0" fillId="8" fontId="1" numFmtId="0" xfId="0" applyAlignment="1" applyFont="1">
      <alignment horizontal="center" vertical="center"/>
    </xf>
    <xf borderId="12" fillId="7" fontId="13" numFmtId="0" xfId="0" applyAlignment="1" applyBorder="1" applyFont="1">
      <alignment horizontal="center" vertical="center"/>
    </xf>
    <xf borderId="25" fillId="9" fontId="1" numFmtId="20" xfId="0" applyAlignment="1" applyBorder="1" applyFont="1" applyNumberFormat="1">
      <alignment horizontal="center" vertical="center"/>
    </xf>
    <xf borderId="29" fillId="7" fontId="13" numFmtId="0" xfId="0" applyAlignment="1" applyBorder="1" applyFont="1">
      <alignment horizontal="center" vertical="center"/>
    </xf>
    <xf borderId="11" fillId="12" fontId="10" numFmtId="166" xfId="0" applyAlignment="1" applyBorder="1" applyFont="1" applyNumberFormat="1">
      <alignment horizontal="center" vertical="center"/>
    </xf>
    <xf borderId="0" fillId="10" fontId="18" numFmtId="0" xfId="0" applyAlignment="1" applyFont="1">
      <alignment horizontal="center" shrinkToFit="0" vertical="center" wrapText="1"/>
    </xf>
    <xf borderId="17" fillId="0" fontId="5" numFmtId="0" xfId="0" applyBorder="1" applyFont="1"/>
    <xf borderId="30" fillId="9" fontId="1" numFmtId="0" xfId="0" applyAlignment="1" applyBorder="1" applyFont="1">
      <alignment horizontal="center" vertical="center"/>
    </xf>
    <xf borderId="29" fillId="9" fontId="1" numFmtId="20" xfId="0" applyAlignment="1" applyBorder="1" applyFont="1" applyNumberFormat="1">
      <alignment horizontal="center" vertical="center"/>
    </xf>
    <xf borderId="15" fillId="9" fontId="1" numFmtId="20" xfId="0" applyAlignment="1" applyBorder="1" applyFont="1" applyNumberFormat="1">
      <alignment horizontal="center" vertical="center"/>
    </xf>
    <xf borderId="31" fillId="12" fontId="17" numFmtId="0" xfId="0" applyAlignment="1" applyBorder="1" applyFont="1">
      <alignment horizontal="center" vertical="center"/>
    </xf>
    <xf borderId="1" fillId="5" fontId="1" numFmtId="2" xfId="0" applyAlignment="1" applyBorder="1" applyFont="1" applyNumberFormat="1">
      <alignment vertical="bottom"/>
    </xf>
    <xf borderId="10" fillId="10" fontId="1" numFmtId="0" xfId="0" applyAlignment="1" applyBorder="1" applyFont="1">
      <alignment horizontal="center" vertical="center"/>
    </xf>
    <xf borderId="26" fillId="10" fontId="18" numFmtId="0" xfId="0" applyAlignment="1" applyBorder="1" applyFont="1">
      <alignment horizontal="center" shrinkToFit="0" wrapText="1"/>
    </xf>
    <xf borderId="26" fillId="10" fontId="13" numFmtId="0" xfId="0" applyAlignment="1" applyBorder="1" applyFont="1">
      <alignment horizontal="center" shrinkToFit="0" wrapText="1"/>
    </xf>
    <xf borderId="18" fillId="4" fontId="12" numFmtId="0" xfId="0" applyAlignment="1" applyBorder="1" applyFont="1">
      <alignment horizontal="center" vertical="center"/>
    </xf>
    <xf borderId="26" fillId="13" fontId="18" numFmtId="0" xfId="0" applyAlignment="1" applyBorder="1" applyFill="1" applyFont="1">
      <alignment horizontal="center" shrinkToFit="0" wrapText="1"/>
    </xf>
    <xf borderId="26" fillId="13" fontId="18" numFmtId="166" xfId="0" applyAlignment="1" applyBorder="1" applyFont="1" applyNumberFormat="1">
      <alignment horizontal="center" shrinkToFit="0" wrapText="1"/>
    </xf>
    <xf borderId="26" fillId="13" fontId="1" numFmtId="0" xfId="0" applyAlignment="1" applyBorder="1" applyFont="1">
      <alignment horizontal="center"/>
    </xf>
    <xf borderId="32" fillId="0" fontId="13" numFmtId="0" xfId="0" applyAlignment="1" applyBorder="1" applyFont="1">
      <alignment horizontal="center" vertical="center"/>
    </xf>
    <xf borderId="33" fillId="0" fontId="13" numFmtId="20" xfId="0" applyAlignment="1" applyBorder="1" applyFont="1" applyNumberFormat="1">
      <alignment horizontal="center" vertical="center"/>
    </xf>
    <xf borderId="33" fillId="0" fontId="13" numFmtId="0" xfId="0" applyAlignment="1" applyBorder="1" applyFont="1">
      <alignment horizontal="center" vertical="center"/>
    </xf>
    <xf borderId="34" fillId="0" fontId="13" numFmtId="0" xfId="0" applyAlignment="1" applyBorder="1" applyFont="1">
      <alignment horizontal="center" vertical="center"/>
    </xf>
    <xf borderId="35" fillId="10" fontId="13" numFmtId="0" xfId="0" applyAlignment="1" applyBorder="1" applyFont="1">
      <alignment horizontal="center" shrinkToFit="0" wrapText="1"/>
    </xf>
    <xf borderId="35" fillId="10" fontId="18" numFmtId="0" xfId="0" applyAlignment="1" applyBorder="1" applyFont="1">
      <alignment horizontal="center" shrinkToFit="0" wrapText="1"/>
    </xf>
    <xf borderId="26" fillId="9" fontId="1" numFmtId="49" xfId="0" applyAlignment="1" applyBorder="1" applyFont="1" applyNumberFormat="1">
      <alignment horizontal="center" vertical="center"/>
    </xf>
    <xf borderId="12" fillId="6" fontId="1" numFmtId="0" xfId="0" applyAlignment="1" applyBorder="1" applyFont="1">
      <alignment horizontal="center" vertical="center"/>
    </xf>
    <xf borderId="12" fillId="14" fontId="19" numFmtId="0" xfId="0" applyAlignment="1" applyBorder="1" applyFill="1" applyFont="1">
      <alignment horizontal="center" vertical="center"/>
    </xf>
    <xf borderId="25" fillId="12" fontId="13" numFmtId="0" xfId="0" applyAlignment="1" applyBorder="1" applyFont="1">
      <alignment horizontal="center" vertical="center"/>
    </xf>
    <xf borderId="36" fillId="0" fontId="5" numFmtId="0" xfId="0" applyBorder="1" applyFont="1"/>
    <xf borderId="26" fillId="9" fontId="1" numFmtId="20" xfId="0" applyAlignment="1" applyBorder="1" applyFont="1" applyNumberFormat="1">
      <alignment horizontal="center" vertical="center"/>
    </xf>
    <xf borderId="13" fillId="12" fontId="13" numFmtId="0" xfId="0" applyAlignment="1" applyBorder="1" applyFont="1">
      <alignment horizontal="center" vertical="center"/>
    </xf>
    <xf borderId="26" fillId="15" fontId="18" numFmtId="0" xfId="0" applyAlignment="1" applyBorder="1" applyFill="1" applyFont="1">
      <alignment horizontal="center" shrinkToFit="0" wrapText="1"/>
    </xf>
    <xf borderId="26" fillId="16" fontId="1" numFmtId="0" xfId="0" applyAlignment="1" applyBorder="1" applyFill="1" applyFont="1">
      <alignment horizontal="center"/>
    </xf>
    <xf borderId="37" fillId="10" fontId="13" numFmtId="0" xfId="0" applyAlignment="1" applyBorder="1" applyFont="1">
      <alignment horizontal="center" shrinkToFit="0" wrapText="1"/>
    </xf>
    <xf borderId="38" fillId="0" fontId="5" numFmtId="0" xfId="0" applyBorder="1" applyFont="1"/>
    <xf borderId="39" fillId="0" fontId="5" numFmtId="0" xfId="0" applyBorder="1" applyFont="1"/>
    <xf borderId="12" fillId="0" fontId="5" numFmtId="0" xfId="0" applyBorder="1" applyFont="1"/>
    <xf borderId="40" fillId="16" fontId="1" numFmtId="0" xfId="0" applyAlignment="1" applyBorder="1" applyFont="1">
      <alignment horizontal="center"/>
    </xf>
    <xf borderId="41" fillId="0" fontId="5" numFmtId="0" xfId="0" applyBorder="1" applyFont="1"/>
    <xf borderId="26" fillId="13" fontId="1" numFmtId="10" xfId="0" applyAlignment="1" applyBorder="1" applyFont="1" applyNumberFormat="1">
      <alignment horizontal="center"/>
    </xf>
    <xf borderId="0" fillId="17" fontId="1" numFmtId="0" xfId="0" applyFill="1" applyFont="1"/>
    <xf borderId="0" fillId="2" fontId="20" numFmtId="2" xfId="0" applyAlignment="1" applyFont="1" applyNumberFormat="1">
      <alignment horizontal="center" vertical="center"/>
    </xf>
    <xf borderId="30" fillId="18" fontId="13" numFmtId="0" xfId="0" applyAlignment="1" applyBorder="1" applyFill="1" applyFont="1">
      <alignment horizontal="center" vertical="center"/>
    </xf>
    <xf borderId="10" fillId="18" fontId="13" numFmtId="0" xfId="0" applyAlignment="1" applyBorder="1" applyFont="1">
      <alignment horizontal="center" vertical="center"/>
    </xf>
    <xf borderId="29" fillId="0" fontId="5" numFmtId="0" xfId="0" applyBorder="1" applyFont="1"/>
    <xf borderId="29" fillId="6" fontId="13" numFmtId="0" xfId="0" applyAlignment="1" applyBorder="1" applyFont="1">
      <alignment horizontal="center" vertical="center"/>
    </xf>
    <xf borderId="29" fillId="18" fontId="13" numFmtId="0" xfId="0" applyAlignment="1" applyBorder="1" applyFont="1">
      <alignment horizontal="center" vertical="center"/>
    </xf>
    <xf borderId="11" fillId="18" fontId="13" numFmtId="0" xfId="0" applyAlignment="1" applyBorder="1" applyFont="1">
      <alignment horizontal="center" vertical="center"/>
    </xf>
    <xf borderId="25" fillId="17" fontId="1" numFmtId="0" xfId="0" applyBorder="1" applyFont="1"/>
    <xf borderId="0" fillId="12" fontId="2" numFmtId="2" xfId="0" applyAlignment="1" applyFont="1" applyNumberFormat="1">
      <alignment horizontal="center" vertical="center"/>
    </xf>
    <xf borderId="2" fillId="12" fontId="2" numFmtId="2" xfId="0" applyAlignment="1" applyBorder="1" applyFont="1" applyNumberFormat="1">
      <alignment horizontal="center" vertical="center"/>
    </xf>
    <xf borderId="3" fillId="5" fontId="21" numFmtId="168" xfId="0" applyAlignment="1" applyBorder="1" applyFont="1" applyNumberFormat="1">
      <alignment horizontal="center" shrinkToFit="0" vertical="center" wrapText="0"/>
    </xf>
    <xf borderId="2" fillId="19" fontId="7" numFmtId="0" xfId="0" applyAlignment="1" applyBorder="1" applyFill="1" applyFont="1">
      <alignment horizontal="center" shrinkToFit="0" vertical="center" wrapText="1"/>
    </xf>
    <xf borderId="4" fillId="5" fontId="22" numFmtId="168" xfId="0" applyAlignment="1" applyBorder="1" applyFont="1" applyNumberFormat="1">
      <alignment horizontal="center" shrinkToFit="0" vertical="center" wrapText="0"/>
    </xf>
    <xf borderId="5" fillId="5" fontId="6" numFmtId="0" xfId="0" applyAlignment="1" applyBorder="1" applyFont="1">
      <alignment horizontal="center" vertical="center"/>
    </xf>
    <xf borderId="0" fillId="5" fontId="7" numFmtId="0" xfId="0" applyAlignment="1" applyFont="1">
      <alignment horizontal="center" vertical="center"/>
    </xf>
    <xf borderId="0" fillId="5" fontId="23" numFmtId="10" xfId="0" applyAlignment="1" applyFont="1" applyNumberFormat="1">
      <alignment horizontal="center" vertical="center"/>
    </xf>
    <xf borderId="0" fillId="5" fontId="6" numFmtId="166" xfId="0" applyAlignment="1" applyFont="1" applyNumberFormat="1">
      <alignment horizontal="center" vertical="center"/>
    </xf>
    <xf borderId="32" fillId="5" fontId="9" numFmtId="0" xfId="0" applyAlignment="1" applyBorder="1" applyFont="1">
      <alignment horizontal="center" vertical="center"/>
    </xf>
    <xf borderId="42" fillId="5" fontId="10" numFmtId="166" xfId="0" applyAlignment="1" applyBorder="1" applyFont="1" applyNumberFormat="1">
      <alignment horizontal="center" vertical="center"/>
    </xf>
    <xf borderId="0" fillId="5" fontId="10" numFmtId="166" xfId="0" applyAlignment="1" applyFont="1" applyNumberFormat="1">
      <alignment horizontal="center" vertical="center"/>
    </xf>
    <xf borderId="0" fillId="5" fontId="11" numFmtId="167" xfId="0" applyAlignment="1" applyFont="1" applyNumberFormat="1">
      <alignment horizontal="center" vertical="center"/>
    </xf>
    <xf borderId="3" fillId="5" fontId="11" numFmtId="167" xfId="0" applyAlignment="1" applyBorder="1" applyFont="1" applyNumberFormat="1">
      <alignment horizontal="center" vertical="center"/>
    </xf>
    <xf borderId="3" fillId="5" fontId="11" numFmtId="0" xfId="0" applyAlignment="1" applyBorder="1" applyFont="1">
      <alignment horizontal="center" vertical="center"/>
    </xf>
    <xf borderId="16" fillId="5" fontId="9" numFmtId="0" xfId="0" applyAlignment="1" applyBorder="1" applyFont="1">
      <alignment horizontal="center" vertical="center"/>
    </xf>
    <xf borderId="13" fillId="5" fontId="10" numFmtId="166" xfId="0" applyAlignment="1" applyBorder="1" applyFont="1" applyNumberFormat="1">
      <alignment horizontal="center" vertical="center"/>
    </xf>
    <xf borderId="0" fillId="5" fontId="6" numFmtId="0" xfId="0" applyAlignment="1" applyFont="1">
      <alignment horizontal="left" vertical="center"/>
    </xf>
    <xf borderId="3" fillId="5" fontId="6" numFmtId="0" xfId="0" applyAlignment="1" applyBorder="1" applyFont="1">
      <alignment horizontal="left" vertical="center"/>
    </xf>
    <xf borderId="14" fillId="5" fontId="6" numFmtId="0" xfId="0" applyAlignment="1" applyBorder="1" applyFont="1">
      <alignment horizontal="left" vertical="center"/>
    </xf>
    <xf borderId="10" fillId="5" fontId="7" numFmtId="0" xfId="0" applyAlignment="1" applyBorder="1" applyFont="1">
      <alignment horizontal="center" vertical="center"/>
    </xf>
    <xf borderId="43" fillId="5" fontId="7" numFmtId="0" xfId="0" applyAlignment="1" applyBorder="1" applyFont="1">
      <alignment horizontal="center" vertical="center"/>
    </xf>
    <xf borderId="0" fillId="14" fontId="1" numFmtId="0" xfId="0" applyFont="1"/>
    <xf borderId="44" fillId="5" fontId="9" numFmtId="0" xfId="0" applyAlignment="1" applyBorder="1" applyFont="1">
      <alignment horizontal="center" vertical="center"/>
    </xf>
    <xf borderId="45" fillId="5" fontId="10" numFmtId="166" xfId="0" applyAlignment="1" applyBorder="1" applyFont="1" applyNumberFormat="1">
      <alignment horizontal="center" vertical="center"/>
    </xf>
    <xf borderId="0" fillId="5" fontId="12" numFmtId="0" xfId="0" applyAlignment="1" applyFont="1">
      <alignment horizontal="center" vertical="center"/>
    </xf>
    <xf borderId="43" fillId="5" fontId="12" numFmtId="0" xfId="0" applyAlignment="1" applyBorder="1" applyFont="1">
      <alignment horizontal="center" vertical="center"/>
    </xf>
    <xf borderId="5" fillId="5" fontId="13" numFmtId="0" xfId="0" applyAlignment="1" applyBorder="1" applyFont="1">
      <alignment horizontal="center" vertical="center"/>
    </xf>
    <xf borderId="3" fillId="5" fontId="12" numFmtId="0" xfId="0" applyAlignment="1" applyBorder="1" applyFont="1">
      <alignment horizontal="center" vertical="center"/>
    </xf>
    <xf borderId="0" fillId="5" fontId="13" numFmtId="0" xfId="0" applyAlignment="1" applyFont="1">
      <alignment horizontal="center" vertical="center"/>
    </xf>
    <xf borderId="16" fillId="5" fontId="13" numFmtId="0" xfId="0" applyAlignment="1" applyBorder="1" applyFont="1">
      <alignment horizontal="center" vertical="center"/>
    </xf>
    <xf borderId="12" fillId="5" fontId="13" numFmtId="0" xfId="0" applyAlignment="1" applyBorder="1" applyFont="1">
      <alignment horizontal="center" vertical="center"/>
    </xf>
    <xf borderId="12" fillId="14" fontId="13" numFmtId="20" xfId="0" applyAlignment="1" applyBorder="1" applyFont="1" applyNumberFormat="1">
      <alignment horizontal="center" vertical="center"/>
    </xf>
    <xf borderId="46" fillId="5" fontId="13" numFmtId="0" xfId="0" applyAlignment="1" applyBorder="1" applyFont="1">
      <alignment horizontal="center" vertical="center"/>
    </xf>
    <xf borderId="3" fillId="5" fontId="15" numFmtId="0" xfId="0" applyAlignment="1" applyBorder="1" applyFont="1">
      <alignment horizontal="center" vertical="center"/>
    </xf>
    <xf borderId="12" fillId="5" fontId="9" numFmtId="0" xfId="0" applyAlignment="1" applyBorder="1" applyFont="1">
      <alignment horizontal="center" vertical="center"/>
    </xf>
    <xf borderId="0" fillId="5" fontId="1" numFmtId="0" xfId="0" applyAlignment="1" applyFont="1">
      <alignment horizontal="center" vertical="center"/>
    </xf>
    <xf borderId="16" fillId="5" fontId="1" numFmtId="49" xfId="0" applyAlignment="1" applyBorder="1" applyFont="1" applyNumberFormat="1">
      <alignment horizontal="center" vertical="center"/>
    </xf>
    <xf borderId="12" fillId="5" fontId="1" numFmtId="49" xfId="0" applyAlignment="1" applyBorder="1" applyFont="1" applyNumberFormat="1">
      <alignment horizontal="center" vertical="center"/>
    </xf>
    <xf quotePrefix="1" borderId="25" fillId="14" fontId="1" numFmtId="49" xfId="0" applyAlignment="1" applyBorder="1" applyFont="1" applyNumberFormat="1">
      <alignment horizontal="center" vertical="center"/>
    </xf>
    <xf borderId="46" fillId="5" fontId="13" numFmtId="49" xfId="0" applyAlignment="1" applyBorder="1" applyFont="1" applyNumberFormat="1">
      <alignment horizontal="center" vertical="center"/>
    </xf>
    <xf borderId="29" fillId="5" fontId="9" numFmtId="0" xfId="0" applyAlignment="1" applyBorder="1" applyFont="1">
      <alignment horizontal="center" vertical="center"/>
    </xf>
    <xf borderId="11" fillId="5" fontId="10" numFmtId="166" xfId="0" applyAlignment="1" applyBorder="1" applyFont="1" applyNumberFormat="1">
      <alignment horizontal="center" vertical="center"/>
    </xf>
    <xf borderId="15" fillId="5" fontId="7" numFmtId="0" xfId="0" applyAlignment="1" applyBorder="1" applyFont="1">
      <alignment horizontal="center" vertical="center"/>
    </xf>
    <xf borderId="25" fillId="14" fontId="1" numFmtId="49" xfId="0" applyAlignment="1" applyBorder="1" applyFont="1" applyNumberFormat="1">
      <alignment horizontal="center" vertical="center"/>
    </xf>
    <xf borderId="29" fillId="5" fontId="13" numFmtId="0" xfId="0" applyAlignment="1" applyBorder="1" applyFont="1">
      <alignment horizontal="center" vertical="center"/>
    </xf>
    <xf borderId="1" fillId="5" fontId="10" numFmtId="166" xfId="0" applyAlignment="1" applyBorder="1" applyFont="1" applyNumberFormat="1">
      <alignment horizontal="center" vertical="center"/>
    </xf>
    <xf borderId="43" fillId="5" fontId="1" numFmtId="0" xfId="0" applyBorder="1" applyFont="1"/>
    <xf borderId="0" fillId="5" fontId="18" numFmtId="0" xfId="0" applyAlignment="1" applyFont="1">
      <alignment horizontal="center" shrinkToFit="0" vertical="top" wrapText="1"/>
    </xf>
    <xf borderId="47" fillId="10" fontId="18" numFmtId="0" xfId="0" applyAlignment="1" applyBorder="1" applyFont="1">
      <alignment horizontal="center" shrinkToFit="0" wrapText="1"/>
    </xf>
    <xf borderId="48" fillId="10" fontId="18" numFmtId="0" xfId="0" applyAlignment="1" applyBorder="1" applyFont="1">
      <alignment horizontal="center" shrinkToFit="0" wrapText="1"/>
    </xf>
    <xf borderId="48" fillId="10" fontId="13" numFmtId="0" xfId="0" applyAlignment="1" applyBorder="1" applyFont="1">
      <alignment horizontal="center" shrinkToFit="0" wrapText="1"/>
    </xf>
    <xf borderId="49" fillId="10" fontId="13" numFmtId="0" xfId="0" applyAlignment="1" applyBorder="1" applyFont="1">
      <alignment horizontal="center" shrinkToFit="0" wrapText="1"/>
    </xf>
    <xf borderId="16" fillId="0" fontId="5" numFmtId="0" xfId="0" applyBorder="1" applyFont="1"/>
    <xf borderId="50" fillId="0" fontId="5" numFmtId="0" xfId="0" applyBorder="1" applyFont="1"/>
    <xf borderId="51" fillId="13" fontId="18" numFmtId="0" xfId="0" applyAlignment="1" applyBorder="1" applyFont="1">
      <alignment horizontal="center" shrinkToFit="0" wrapText="1"/>
    </xf>
    <xf borderId="52" fillId="13" fontId="18" numFmtId="0" xfId="0" applyAlignment="1" applyBorder="1" applyFont="1">
      <alignment horizontal="center" shrinkToFit="0" wrapText="1"/>
    </xf>
    <xf borderId="53" fillId="10" fontId="13" numFmtId="0" xfId="0" applyAlignment="1" applyBorder="1" applyFont="1">
      <alignment horizontal="center" shrinkToFit="0" wrapText="1"/>
    </xf>
    <xf borderId="54" fillId="10" fontId="18" numFmtId="0" xfId="0" applyAlignment="1" applyBorder="1" applyFont="1">
      <alignment horizontal="center" shrinkToFit="0" wrapText="1"/>
    </xf>
    <xf borderId="51" fillId="15" fontId="18" numFmtId="0" xfId="0" applyAlignment="1" applyBorder="1" applyFont="1">
      <alignment horizontal="center" shrinkToFit="0" wrapText="1"/>
    </xf>
    <xf borderId="52" fillId="20" fontId="1" numFmtId="0" xfId="0" applyAlignment="1" applyBorder="1" applyFill="1" applyFont="1">
      <alignment horizontal="center"/>
    </xf>
    <xf borderId="55" fillId="10" fontId="13" numFmtId="0" xfId="0" applyAlignment="1" applyBorder="1" applyFont="1">
      <alignment horizontal="center" shrinkToFit="0" wrapText="1"/>
    </xf>
    <xf borderId="35" fillId="10" fontId="13" numFmtId="169" xfId="0" applyAlignment="1" applyBorder="1" applyFont="1" applyNumberFormat="1">
      <alignment horizontal="center" shrinkToFit="0" wrapText="1"/>
    </xf>
    <xf borderId="54" fillId="10" fontId="18" numFmtId="169" xfId="0" applyAlignment="1" applyBorder="1" applyFont="1" applyNumberFormat="1">
      <alignment horizontal="center" shrinkToFit="0" wrapText="1"/>
    </xf>
    <xf borderId="56" fillId="0" fontId="5" numFmtId="0" xfId="0" applyBorder="1" applyFont="1"/>
    <xf borderId="57" fillId="20" fontId="1" numFmtId="0" xfId="0" applyAlignment="1" applyBorder="1" applyFont="1">
      <alignment horizontal="center"/>
    </xf>
    <xf borderId="52" fillId="13" fontId="1" numFmtId="0" xfId="0" applyAlignment="1" applyBorder="1" applyFont="1">
      <alignment horizontal="center"/>
    </xf>
    <xf borderId="18" fillId="17" fontId="1" numFmtId="169" xfId="0" applyBorder="1" applyFont="1" applyNumberFormat="1"/>
    <xf borderId="35" fillId="10" fontId="18" numFmtId="169" xfId="0" applyAlignment="1" applyBorder="1" applyFont="1" applyNumberFormat="1">
      <alignment horizontal="center" shrinkToFit="0" wrapText="1"/>
    </xf>
    <xf borderId="31" fillId="13" fontId="1" numFmtId="10" xfId="0" applyAlignment="1" applyBorder="1" applyFont="1" applyNumberFormat="1">
      <alignment horizontal="center"/>
    </xf>
    <xf borderId="45" fillId="13" fontId="1" numFmtId="10" xfId="0" applyAlignment="1" applyBorder="1" applyFont="1" applyNumberFormat="1">
      <alignment horizontal="center"/>
    </xf>
    <xf borderId="0" fillId="0" fontId="1" numFmtId="11" xfId="0" applyFont="1" applyNumberFormat="1"/>
    <xf borderId="0" fillId="21" fontId="1" numFmtId="0" xfId="0" applyAlignment="1" applyFill="1" applyFont="1">
      <alignment vertical="bottom"/>
    </xf>
    <xf borderId="0" fillId="21" fontId="1" numFmtId="0" xfId="0" applyAlignment="1" applyFont="1">
      <alignment horizontal="right" vertical="bottom"/>
    </xf>
    <xf borderId="0" fillId="0" fontId="1" numFmtId="166" xfId="0" applyAlignment="1" applyFont="1" applyNumberFormat="1">
      <alignment vertical="bottom"/>
    </xf>
    <xf borderId="0" fillId="16" fontId="1" numFmtId="0" xfId="0" applyAlignment="1" applyFont="1">
      <alignment vertical="bottom"/>
    </xf>
    <xf borderId="0" fillId="5" fontId="16" numFmtId="0" xfId="0" applyAlignment="1" applyFont="1">
      <alignment vertical="bottom"/>
    </xf>
    <xf borderId="0" fillId="5" fontId="1" numFmtId="0" xfId="0" applyAlignment="1" applyFont="1">
      <alignment vertical="bottom"/>
    </xf>
    <xf borderId="43" fillId="22" fontId="24" numFmtId="0" xfId="0" applyAlignment="1" applyBorder="1" applyFill="1" applyFont="1">
      <alignment shrinkToFit="0" vertical="bottom" wrapText="1"/>
    </xf>
    <xf borderId="0" fillId="22" fontId="24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638175</xdr:colOff>
      <xdr:row>16</xdr:row>
      <xdr:rowOff>209550</xdr:rowOff>
    </xdr:from>
    <xdr:ext cx="1552575" cy="1047750"/>
    <xdr:sp>
      <xdr:nvSpPr>
        <xdr:cNvPr id="3" name="Shape 3"/>
        <xdr:cNvSpPr/>
      </xdr:nvSpPr>
      <xdr:spPr>
        <a:xfrm>
          <a:off x="4588763" y="3275175"/>
          <a:ext cx="1514475" cy="100965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-38100</xdr:colOff>
      <xdr:row>20</xdr:row>
      <xdr:rowOff>238125</xdr:rowOff>
    </xdr:from>
    <xdr:ext cx="2524125" cy="638175"/>
    <xdr:sp>
      <xdr:nvSpPr>
        <xdr:cNvPr id="4" name="Shape 4"/>
        <xdr:cNvSpPr/>
      </xdr:nvSpPr>
      <xdr:spPr>
        <a:xfrm>
          <a:off x="4122038" y="3499013"/>
          <a:ext cx="2447925" cy="561975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300"/>
            <a:buFont typeface="Arial"/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323850</xdr:colOff>
      <xdr:row>20</xdr:row>
      <xdr:rowOff>247650</xdr:rowOff>
    </xdr:from>
    <xdr:ext cx="1609725" cy="619125"/>
    <xdr:sp>
      <xdr:nvSpPr>
        <xdr:cNvPr id="5" name="Shape 5"/>
        <xdr:cNvSpPr/>
      </xdr:nvSpPr>
      <xdr:spPr>
        <a:xfrm>
          <a:off x="4560188" y="3489488"/>
          <a:ext cx="1571625" cy="581025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1019175</xdr:colOff>
      <xdr:row>0</xdr:row>
      <xdr:rowOff>0</xdr:rowOff>
    </xdr:from>
    <xdr:ext cx="990600" cy="676275"/>
    <xdr:sp>
      <xdr:nvSpPr>
        <xdr:cNvPr id="6" name="Shape 6"/>
        <xdr:cNvSpPr/>
      </xdr:nvSpPr>
      <xdr:spPr>
        <a:xfrm>
          <a:off x="4855463" y="3446625"/>
          <a:ext cx="981075" cy="66675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2400"/>
            <a:buFont typeface="Arial"/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ht="15.75" customHeight="1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 ht="15.75" customHeight="1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 ht="15.75" customHeight="1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 ht="15.75" customHeight="1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 ht="15.75" customHeight="1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 ht="15.75" customHeight="1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1">
        <v>10.0</v>
      </c>
      <c r="N7" s="1" t="b">
        <v>1</v>
      </c>
      <c r="O7" s="1">
        <v>400.0</v>
      </c>
    </row>
    <row r="8" ht="15.75" customHeight="1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1">
        <v>1.0</v>
      </c>
    </row>
    <row r="9" ht="15.75" customHeight="1">
      <c r="A9" s="2">
        <v>45499.0</v>
      </c>
      <c r="B9" s="1" t="s">
        <v>39</v>
      </c>
      <c r="S9" s="1">
        <v>10.0</v>
      </c>
      <c r="T9" s="1">
        <v>20.0</v>
      </c>
      <c r="U9" s="1">
        <v>30.0</v>
      </c>
      <c r="V9" s="1">
        <v>4.0</v>
      </c>
      <c r="W9" s="1">
        <v>5.0</v>
      </c>
      <c r="X9" s="1">
        <v>6.0</v>
      </c>
      <c r="Y9" s="1">
        <v>7.0</v>
      </c>
      <c r="Z9" s="1">
        <v>8.0</v>
      </c>
      <c r="AA9" s="1">
        <v>9.0</v>
      </c>
      <c r="AB9" s="1">
        <v>50000.0</v>
      </c>
      <c r="AC9" s="1">
        <v>-37157.0</v>
      </c>
      <c r="AD9" s="1">
        <v>0.4927615702709678</v>
      </c>
      <c r="AE9" s="1">
        <v>11.0</v>
      </c>
      <c r="AF9" s="1">
        <v>111.0</v>
      </c>
      <c r="AG9" s="1">
        <v>1111.0</v>
      </c>
      <c r="AH9" s="1">
        <v>11111.0</v>
      </c>
      <c r="AI9" s="1">
        <v>400.0</v>
      </c>
      <c r="AL9" s="1">
        <v>5.0</v>
      </c>
      <c r="AM9" s="1" t="s">
        <v>59</v>
      </c>
      <c r="AN9" s="1">
        <v>1.0</v>
      </c>
    </row>
    <row r="10" ht="15.75" customHeight="1">
      <c r="A10" s="2">
        <v>45499.0</v>
      </c>
      <c r="B10" s="1" t="s">
        <v>39</v>
      </c>
      <c r="AC10" s="1">
        <v>0.0</v>
      </c>
      <c r="AD10" s="1" t="s">
        <v>60</v>
      </c>
      <c r="AI10" s="1">
        <v>0.0</v>
      </c>
      <c r="AN10" s="1">
        <v>1.0</v>
      </c>
    </row>
    <row r="11" ht="15.75" customHeight="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 ht="15.75" customHeight="1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 ht="15.75" customHeight="1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 ht="15.75" customHeight="1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 ht="15.75" customHeight="1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 ht="15.75" customHeight="1">
      <c r="A16" s="2">
        <v>45496.0</v>
      </c>
      <c r="B16" s="1" t="s">
        <v>61</v>
      </c>
      <c r="S16" s="1">
        <v>9060.0</v>
      </c>
      <c r="T16" s="1">
        <v>3651.0</v>
      </c>
      <c r="U16" s="1">
        <v>14729.0</v>
      </c>
      <c r="V16" s="1">
        <v>10695.0</v>
      </c>
      <c r="W16" s="1">
        <v>374.0</v>
      </c>
      <c r="X16" s="1">
        <v>368.0</v>
      </c>
      <c r="AB16" s="1">
        <v>41872.0</v>
      </c>
      <c r="AC16" s="1">
        <v>-2995.0</v>
      </c>
      <c r="AD16" s="1">
        <v>0.2383436710343043</v>
      </c>
      <c r="AI16" s="1">
        <v>0.0</v>
      </c>
      <c r="AN16" s="1">
        <v>0.0</v>
      </c>
    </row>
    <row r="17" ht="15.75" customHeight="1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 ht="15.75" customHeight="1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 ht="15.75" customHeight="1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 ht="15.75" customHeight="1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 ht="15.75" customHeight="1">
      <c r="A21" s="2">
        <v>45501.0</v>
      </c>
      <c r="B21" s="1" t="s">
        <v>67</v>
      </c>
      <c r="AC21" s="1">
        <v>0.0</v>
      </c>
      <c r="AD21" s="1" t="s">
        <v>60</v>
      </c>
      <c r="AI21" s="1">
        <v>0.0</v>
      </c>
    </row>
    <row r="22" ht="15.75" customHeight="1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 ht="15.75" customHeight="1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 ht="15.75" customHeight="1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 ht="15.75" customHeight="1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 ht="15.75" customHeight="1">
      <c r="A26" s="2">
        <v>45502.0</v>
      </c>
      <c r="B26" s="1" t="s">
        <v>69</v>
      </c>
      <c r="AC26" s="1">
        <v>0.0</v>
      </c>
      <c r="AD26" s="1" t="s">
        <v>60</v>
      </c>
      <c r="AI26" s="1">
        <v>0.0</v>
      </c>
    </row>
    <row r="27" ht="15.75" customHeight="1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 ht="15.75" customHeight="1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 ht="15.75" customHeight="1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 ht="15.75" customHeight="1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 ht="15.75" customHeight="1">
      <c r="A31" s="2">
        <v>45503.0</v>
      </c>
      <c r="B31" s="1" t="s">
        <v>61</v>
      </c>
      <c r="AC31" s="1">
        <v>0.0</v>
      </c>
      <c r="AD31" s="1" t="s">
        <v>60</v>
      </c>
      <c r="AI31" s="1">
        <v>0.0</v>
      </c>
    </row>
    <row r="32" ht="15.75" customHeight="1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 ht="15.75" customHeight="1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 ht="15.75" customHeight="1">
      <c r="A34" s="2">
        <v>45504.0</v>
      </c>
      <c r="B34" s="1" t="s">
        <v>73</v>
      </c>
      <c r="H34" s="1" t="s">
        <v>71</v>
      </c>
      <c r="L34" s="3" t="s">
        <v>68</v>
      </c>
      <c r="M34" s="1">
        <v>4.0</v>
      </c>
    </row>
    <row r="35" ht="15.75" customHeight="1">
      <c r="A35" s="2">
        <v>45504.0</v>
      </c>
      <c r="B35" s="1" t="s">
        <v>73</v>
      </c>
      <c r="P35" s="1">
        <v>3.0</v>
      </c>
      <c r="S35" s="1">
        <v>9414.0</v>
      </c>
      <c r="T35" s="1">
        <v>3907.0</v>
      </c>
      <c r="U35" s="1">
        <v>9081.0</v>
      </c>
      <c r="V35" s="1">
        <v>4024.0</v>
      </c>
      <c r="W35" s="1">
        <v>1310.0</v>
      </c>
      <c r="X35" s="1">
        <v>2052.0</v>
      </c>
      <c r="AB35" s="1">
        <v>38044.0</v>
      </c>
      <c r="AC35" s="1">
        <v>-8256.0</v>
      </c>
      <c r="AD35" s="1">
        <v>0.2549108220362839</v>
      </c>
      <c r="AI35" s="1">
        <v>0.0</v>
      </c>
      <c r="AN35" s="1">
        <v>0.0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9" max="9" width="30.25"/>
  </cols>
  <sheetData>
    <row r="1" ht="15.75" customHeight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</row>
    <row r="2" ht="15.75" hidden="1" customHeight="1">
      <c r="A2" s="4">
        <v>45527.0</v>
      </c>
      <c r="B2" s="1" t="s">
        <v>88</v>
      </c>
      <c r="C2" s="1" t="s">
        <v>89</v>
      </c>
      <c r="D2" s="1">
        <v>364.0</v>
      </c>
      <c r="E2" s="1">
        <v>0.0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94</v>
      </c>
      <c r="M2" s="1">
        <v>-9.0</v>
      </c>
      <c r="O2" s="1">
        <v>5.966583333333333</v>
      </c>
    </row>
    <row r="3" ht="15.75" hidden="1" customHeight="1">
      <c r="A3" s="4">
        <v>45527.0</v>
      </c>
      <c r="B3" s="1" t="s">
        <v>95</v>
      </c>
      <c r="C3" s="1" t="s">
        <v>89</v>
      </c>
      <c r="D3" s="1">
        <v>355.0</v>
      </c>
      <c r="E3" s="1">
        <v>0.0</v>
      </c>
      <c r="F3" s="1" t="s">
        <v>96</v>
      </c>
      <c r="G3" s="1" t="s">
        <v>97</v>
      </c>
      <c r="H3" s="1" t="s">
        <v>98</v>
      </c>
      <c r="I3" s="1" t="s">
        <v>99</v>
      </c>
      <c r="J3" s="1" t="s">
        <v>100</v>
      </c>
      <c r="K3" s="1" t="s">
        <v>101</v>
      </c>
      <c r="L3" s="1" t="s">
        <v>102</v>
      </c>
      <c r="M3" s="1">
        <v>-12.0</v>
      </c>
      <c r="N3" s="1">
        <v>0.014033333333333333</v>
      </c>
      <c r="O3" s="1">
        <v>6.5450333333333335</v>
      </c>
    </row>
    <row r="4" ht="15.75" hidden="1" customHeight="1">
      <c r="A4" s="4">
        <v>45527.0</v>
      </c>
      <c r="B4" s="1" t="s">
        <v>103</v>
      </c>
      <c r="C4" s="1" t="s">
        <v>104</v>
      </c>
      <c r="D4" s="1">
        <v>329.0</v>
      </c>
      <c r="E4" s="1">
        <v>0.0</v>
      </c>
      <c r="G4" s="1" t="s">
        <v>91</v>
      </c>
      <c r="H4" s="1" t="s">
        <v>92</v>
      </c>
      <c r="I4" s="1" t="s">
        <v>105</v>
      </c>
      <c r="J4" s="1" t="s">
        <v>106</v>
      </c>
      <c r="K4" s="1" t="s">
        <v>106</v>
      </c>
      <c r="M4" s="1">
        <v>0.0</v>
      </c>
      <c r="O4" s="1">
        <v>7.393416666666667</v>
      </c>
    </row>
    <row r="5" ht="15.75" hidden="1" customHeight="1">
      <c r="A5" s="4">
        <v>45527.0</v>
      </c>
      <c r="B5" s="1" t="s">
        <v>107</v>
      </c>
      <c r="C5" s="1" t="s">
        <v>104</v>
      </c>
      <c r="D5" s="1">
        <v>513.0</v>
      </c>
      <c r="E5" s="1">
        <v>0.0</v>
      </c>
      <c r="F5" s="1" t="s">
        <v>108</v>
      </c>
      <c r="G5" s="1" t="s">
        <v>91</v>
      </c>
      <c r="H5" s="1" t="s">
        <v>92</v>
      </c>
      <c r="I5" s="1" t="s">
        <v>109</v>
      </c>
      <c r="J5" s="1" t="s">
        <v>110</v>
      </c>
      <c r="K5" s="1" t="s">
        <v>110</v>
      </c>
      <c r="M5" s="1">
        <v>-12.0</v>
      </c>
      <c r="O5" s="1">
        <v>7.132583333333334</v>
      </c>
    </row>
    <row r="6" ht="15.75" hidden="1" customHeight="1">
      <c r="A6" s="4">
        <v>45527.0</v>
      </c>
      <c r="B6" s="1" t="s">
        <v>107</v>
      </c>
      <c r="C6" s="1" t="s">
        <v>104</v>
      </c>
      <c r="D6" s="1">
        <v>404.0</v>
      </c>
      <c r="E6" s="1">
        <v>0.0</v>
      </c>
      <c r="F6" s="1" t="s">
        <v>108</v>
      </c>
      <c r="G6" s="1" t="s">
        <v>91</v>
      </c>
      <c r="H6" s="1" t="s">
        <v>92</v>
      </c>
      <c r="I6" s="1" t="s">
        <v>111</v>
      </c>
      <c r="J6" s="1" t="s">
        <v>112</v>
      </c>
      <c r="K6" s="1" t="s">
        <v>112</v>
      </c>
      <c r="M6" s="1">
        <v>-8.0</v>
      </c>
      <c r="O6" s="1">
        <v>6.096666666666667</v>
      </c>
    </row>
    <row r="7" ht="15.75" hidden="1" customHeight="1">
      <c r="A7" s="4">
        <v>45527.0</v>
      </c>
      <c r="B7" s="1" t="s">
        <v>88</v>
      </c>
      <c r="C7" s="1" t="s">
        <v>89</v>
      </c>
      <c r="D7" s="1">
        <v>129.0</v>
      </c>
      <c r="E7" s="1">
        <v>0.0</v>
      </c>
      <c r="F7" s="1" t="s">
        <v>90</v>
      </c>
      <c r="G7" s="1" t="s">
        <v>91</v>
      </c>
      <c r="H7" s="1" t="s">
        <v>92</v>
      </c>
      <c r="I7" s="1" t="s">
        <v>113</v>
      </c>
      <c r="J7" s="1" t="s">
        <v>114</v>
      </c>
      <c r="K7" s="1" t="s">
        <v>114</v>
      </c>
      <c r="M7" s="1">
        <v>-12.0</v>
      </c>
      <c r="O7" s="1">
        <v>4.43375</v>
      </c>
    </row>
    <row r="8" ht="15.75" hidden="1" customHeight="1">
      <c r="A8" s="4">
        <v>45527.0</v>
      </c>
      <c r="B8" s="1" t="s">
        <v>103</v>
      </c>
      <c r="C8" s="1" t="s">
        <v>104</v>
      </c>
      <c r="D8" s="1">
        <v>621.0</v>
      </c>
      <c r="E8" s="1">
        <v>0.0</v>
      </c>
      <c r="G8" s="1" t="s">
        <v>91</v>
      </c>
      <c r="H8" s="1" t="s">
        <v>92</v>
      </c>
      <c r="I8" s="1" t="s">
        <v>115</v>
      </c>
      <c r="J8" s="1" t="s">
        <v>116</v>
      </c>
      <c r="K8" s="1" t="s">
        <v>116</v>
      </c>
      <c r="M8" s="1">
        <v>-2.0</v>
      </c>
      <c r="O8" s="1">
        <v>6.168866666666666</v>
      </c>
    </row>
    <row r="9" ht="15.75" hidden="1" customHeight="1">
      <c r="A9" s="4">
        <v>45527.0</v>
      </c>
      <c r="B9" s="1" t="s">
        <v>88</v>
      </c>
      <c r="C9" s="1" t="s">
        <v>89</v>
      </c>
      <c r="D9" s="1">
        <v>294.0</v>
      </c>
      <c r="E9" s="1">
        <v>0.0</v>
      </c>
      <c r="F9" s="1" t="s">
        <v>90</v>
      </c>
      <c r="G9" s="1" t="s">
        <v>91</v>
      </c>
      <c r="H9" s="1" t="s">
        <v>92</v>
      </c>
      <c r="I9" s="1" t="s">
        <v>117</v>
      </c>
      <c r="J9" s="1" t="s">
        <v>118</v>
      </c>
      <c r="K9" s="1" t="s">
        <v>118</v>
      </c>
      <c r="M9" s="1">
        <v>-9.0</v>
      </c>
      <c r="O9" s="1">
        <v>5.342316666666667</v>
      </c>
    </row>
    <row r="10" ht="15.75" hidden="1" customHeight="1">
      <c r="A10" s="4">
        <v>45527.0</v>
      </c>
      <c r="B10" s="1" t="s">
        <v>95</v>
      </c>
      <c r="C10" s="1" t="s">
        <v>104</v>
      </c>
      <c r="D10" s="1">
        <v>159.0</v>
      </c>
      <c r="E10" s="1">
        <v>0.0</v>
      </c>
      <c r="G10" s="1" t="s">
        <v>119</v>
      </c>
      <c r="H10" s="1" t="s">
        <v>98</v>
      </c>
      <c r="I10" s="1" t="s">
        <v>120</v>
      </c>
      <c r="J10" s="1" t="s">
        <v>121</v>
      </c>
      <c r="K10" s="1" t="s">
        <v>121</v>
      </c>
      <c r="M10" s="1">
        <v>-13.0</v>
      </c>
      <c r="O10" s="1">
        <v>6.258783333333334</v>
      </c>
    </row>
    <row r="11" ht="15.75" hidden="1" customHeight="1">
      <c r="A11" s="4">
        <v>45527.0</v>
      </c>
      <c r="B11" s="1" t="s">
        <v>103</v>
      </c>
      <c r="C11" s="1" t="s">
        <v>104</v>
      </c>
      <c r="D11" s="1">
        <v>336.0</v>
      </c>
      <c r="E11" s="1">
        <v>0.0</v>
      </c>
      <c r="G11" s="1" t="s">
        <v>91</v>
      </c>
      <c r="H11" s="1" t="s">
        <v>92</v>
      </c>
      <c r="I11" s="1" t="s">
        <v>122</v>
      </c>
      <c r="J11" s="1" t="s">
        <v>123</v>
      </c>
      <c r="K11" s="1" t="s">
        <v>123</v>
      </c>
      <c r="M11" s="1">
        <v>-1.0</v>
      </c>
      <c r="O11" s="1">
        <v>5.953083333333334</v>
      </c>
    </row>
    <row r="12" ht="15.75" hidden="1" customHeight="1">
      <c r="A12" s="4">
        <v>45527.0</v>
      </c>
      <c r="B12" s="1" t="s">
        <v>88</v>
      </c>
      <c r="C12" s="1" t="s">
        <v>89</v>
      </c>
      <c r="D12" s="1">
        <v>329.0</v>
      </c>
      <c r="E12" s="1">
        <v>0.0</v>
      </c>
      <c r="F12" s="1" t="s">
        <v>90</v>
      </c>
      <c r="G12" s="1" t="s">
        <v>91</v>
      </c>
      <c r="H12" s="1" t="s">
        <v>92</v>
      </c>
      <c r="I12" s="1" t="s">
        <v>124</v>
      </c>
      <c r="J12" s="1" t="s">
        <v>125</v>
      </c>
      <c r="K12" s="1" t="s">
        <v>125</v>
      </c>
      <c r="M12" s="1">
        <v>-9.0</v>
      </c>
      <c r="O12" s="1">
        <v>5.828416666666667</v>
      </c>
    </row>
    <row r="13" ht="15.75" hidden="1" customHeight="1">
      <c r="A13" s="4">
        <v>45527.0</v>
      </c>
      <c r="B13" s="1" t="s">
        <v>95</v>
      </c>
      <c r="C13" s="1" t="s">
        <v>89</v>
      </c>
      <c r="D13" s="1">
        <v>652.0</v>
      </c>
      <c r="E13" s="1">
        <v>0.0</v>
      </c>
      <c r="F13" s="1" t="s">
        <v>96</v>
      </c>
      <c r="G13" s="1" t="s">
        <v>97</v>
      </c>
      <c r="H13" s="1" t="s">
        <v>98</v>
      </c>
      <c r="I13" s="1" t="s">
        <v>126</v>
      </c>
      <c r="J13" s="1" t="s">
        <v>127</v>
      </c>
      <c r="K13" s="1" t="s">
        <v>128</v>
      </c>
      <c r="L13" s="1" t="s">
        <v>129</v>
      </c>
      <c r="M13" s="1">
        <v>-12.0</v>
      </c>
      <c r="N13" s="1">
        <v>0.012583333333333334</v>
      </c>
      <c r="O13" s="1">
        <v>7.510683333333334</v>
      </c>
    </row>
    <row r="14" ht="15.75" hidden="1" customHeight="1">
      <c r="A14" s="4">
        <v>45527.0</v>
      </c>
      <c r="B14" s="1" t="s">
        <v>103</v>
      </c>
      <c r="C14" s="1" t="s">
        <v>104</v>
      </c>
      <c r="D14" s="1">
        <v>174.0</v>
      </c>
      <c r="E14" s="1">
        <v>0.0</v>
      </c>
      <c r="G14" s="1" t="s">
        <v>91</v>
      </c>
      <c r="H14" s="1" t="s">
        <v>92</v>
      </c>
      <c r="I14" s="1" t="s">
        <v>130</v>
      </c>
      <c r="J14" s="1" t="s">
        <v>131</v>
      </c>
      <c r="K14" s="1" t="s">
        <v>131</v>
      </c>
      <c r="M14" s="1">
        <v>0.0</v>
      </c>
      <c r="O14" s="1">
        <v>5.931583333333333</v>
      </c>
    </row>
    <row r="15" ht="15.75" hidden="1" customHeight="1">
      <c r="A15" s="4">
        <v>45527.0</v>
      </c>
      <c r="B15" s="1" t="s">
        <v>103</v>
      </c>
      <c r="C15" s="1" t="s">
        <v>104</v>
      </c>
      <c r="D15" s="1">
        <v>264.0</v>
      </c>
      <c r="E15" s="1">
        <v>0.0</v>
      </c>
      <c r="G15" s="1" t="s">
        <v>91</v>
      </c>
      <c r="H15" s="1" t="s">
        <v>92</v>
      </c>
      <c r="I15" s="1" t="s">
        <v>132</v>
      </c>
      <c r="J15" s="1" t="s">
        <v>133</v>
      </c>
      <c r="K15" s="1" t="s">
        <v>133</v>
      </c>
      <c r="M15" s="1">
        <v>-1.0</v>
      </c>
      <c r="O15" s="1">
        <v>5.346683333333333</v>
      </c>
    </row>
    <row r="16" ht="15.75" hidden="1" customHeight="1">
      <c r="A16" s="4">
        <v>45527.0</v>
      </c>
      <c r="B16" s="1" t="s">
        <v>103</v>
      </c>
      <c r="C16" s="1" t="s">
        <v>104</v>
      </c>
      <c r="D16" s="1">
        <v>364.0</v>
      </c>
      <c r="E16" s="1">
        <v>0.0</v>
      </c>
      <c r="G16" s="1" t="s">
        <v>91</v>
      </c>
      <c r="H16" s="1" t="s">
        <v>92</v>
      </c>
      <c r="I16" s="1" t="s">
        <v>134</v>
      </c>
      <c r="J16" s="1" t="s">
        <v>135</v>
      </c>
      <c r="K16" s="1" t="s">
        <v>135</v>
      </c>
      <c r="M16" s="1">
        <v>0.0</v>
      </c>
      <c r="O16" s="1">
        <v>6.893083333333333</v>
      </c>
    </row>
    <row r="17" ht="15.75" hidden="1" customHeight="1">
      <c r="A17" s="4">
        <v>45527.0</v>
      </c>
      <c r="B17" s="1" t="s">
        <v>88</v>
      </c>
      <c r="C17" s="1" t="s">
        <v>89</v>
      </c>
      <c r="D17" s="1">
        <v>343.0</v>
      </c>
      <c r="E17" s="1">
        <v>0.0</v>
      </c>
      <c r="F17" s="1" t="s">
        <v>90</v>
      </c>
      <c r="G17" s="1" t="s">
        <v>91</v>
      </c>
      <c r="H17" s="1" t="s">
        <v>92</v>
      </c>
      <c r="I17" s="1" t="s">
        <v>136</v>
      </c>
      <c r="J17" s="1" t="s">
        <v>137</v>
      </c>
      <c r="K17" s="1" t="s">
        <v>137</v>
      </c>
      <c r="M17" s="1">
        <v>-8.0</v>
      </c>
      <c r="O17" s="1">
        <v>6.310583333333334</v>
      </c>
    </row>
    <row r="18" ht="15.75" hidden="1" customHeight="1">
      <c r="A18" s="4">
        <v>45527.0</v>
      </c>
      <c r="B18" s="1" t="s">
        <v>103</v>
      </c>
      <c r="C18" s="1" t="s">
        <v>104</v>
      </c>
      <c r="D18" s="1">
        <v>578.0</v>
      </c>
      <c r="E18" s="1">
        <v>0.0</v>
      </c>
      <c r="G18" s="1" t="s">
        <v>91</v>
      </c>
      <c r="H18" s="1" t="s">
        <v>98</v>
      </c>
      <c r="I18" s="1" t="s">
        <v>138</v>
      </c>
      <c r="J18" s="1" t="s">
        <v>139</v>
      </c>
      <c r="K18" s="1" t="s">
        <v>139</v>
      </c>
      <c r="M18" s="1">
        <v>-2.0</v>
      </c>
      <c r="O18" s="1">
        <v>6.282383333333334</v>
      </c>
    </row>
    <row r="19" ht="15.75" hidden="1" customHeight="1">
      <c r="A19" s="4">
        <v>45527.0</v>
      </c>
      <c r="B19" s="1" t="s">
        <v>95</v>
      </c>
      <c r="C19" s="1" t="s">
        <v>104</v>
      </c>
      <c r="D19" s="1">
        <v>199.0</v>
      </c>
      <c r="E19" s="1">
        <v>50.0</v>
      </c>
      <c r="G19" s="1" t="s">
        <v>119</v>
      </c>
      <c r="H19" s="1" t="s">
        <v>98</v>
      </c>
      <c r="I19" s="1" t="s">
        <v>140</v>
      </c>
      <c r="J19" s="1" t="s">
        <v>141</v>
      </c>
      <c r="K19" s="1" t="s">
        <v>141</v>
      </c>
      <c r="M19" s="1">
        <v>-12.0</v>
      </c>
      <c r="O19" s="1">
        <v>6.472933333333334</v>
      </c>
    </row>
    <row r="20" ht="15.75" hidden="1" customHeight="1">
      <c r="A20" s="4">
        <v>45527.0</v>
      </c>
      <c r="B20" s="1" t="s">
        <v>88</v>
      </c>
      <c r="C20" s="1" t="s">
        <v>89</v>
      </c>
      <c r="D20" s="1">
        <v>264.0</v>
      </c>
      <c r="E20" s="1">
        <v>0.0</v>
      </c>
      <c r="F20" s="1" t="s">
        <v>90</v>
      </c>
      <c r="G20" s="1" t="s">
        <v>91</v>
      </c>
      <c r="H20" s="1" t="s">
        <v>92</v>
      </c>
      <c r="I20" s="1" t="s">
        <v>142</v>
      </c>
      <c r="J20" s="1" t="s">
        <v>143</v>
      </c>
      <c r="K20" s="1" t="s">
        <v>143</v>
      </c>
      <c r="M20" s="1">
        <v>-10.0</v>
      </c>
      <c r="O20" s="1">
        <v>4.58785</v>
      </c>
    </row>
    <row r="21" ht="15.75" hidden="1" customHeight="1">
      <c r="A21" s="4">
        <v>45527.0</v>
      </c>
      <c r="B21" s="1" t="s">
        <v>103</v>
      </c>
      <c r="C21" s="1" t="s">
        <v>104</v>
      </c>
      <c r="D21" s="1">
        <v>346.0</v>
      </c>
      <c r="E21" s="1">
        <v>0.0</v>
      </c>
      <c r="G21" s="1" t="s">
        <v>91</v>
      </c>
      <c r="H21" s="1" t="s">
        <v>92</v>
      </c>
      <c r="I21" s="1" t="s">
        <v>144</v>
      </c>
      <c r="J21" s="1" t="s">
        <v>145</v>
      </c>
      <c r="K21" s="1" t="s">
        <v>145</v>
      </c>
      <c r="M21" s="1">
        <v>-1.0</v>
      </c>
      <c r="O21" s="1">
        <v>5.88045</v>
      </c>
    </row>
    <row r="22" ht="15.75" hidden="1" customHeight="1">
      <c r="A22" s="4">
        <v>45527.0</v>
      </c>
      <c r="B22" s="1" t="s">
        <v>88</v>
      </c>
      <c r="C22" s="1" t="s">
        <v>89</v>
      </c>
      <c r="D22" s="1">
        <v>329.0</v>
      </c>
      <c r="E22" s="1">
        <v>0.0</v>
      </c>
      <c r="F22" s="1" t="s">
        <v>90</v>
      </c>
      <c r="G22" s="1" t="s">
        <v>91</v>
      </c>
      <c r="H22" s="1" t="s">
        <v>92</v>
      </c>
      <c r="I22" s="1" t="s">
        <v>146</v>
      </c>
      <c r="J22" s="1" t="s">
        <v>147</v>
      </c>
      <c r="K22" s="1" t="s">
        <v>147</v>
      </c>
      <c r="M22" s="1">
        <v>-5.0</v>
      </c>
      <c r="O22" s="1">
        <v>9.28175</v>
      </c>
    </row>
    <row r="23" ht="15.75" hidden="1" customHeight="1">
      <c r="A23" s="4">
        <v>45527.0</v>
      </c>
      <c r="B23" s="1" t="s">
        <v>88</v>
      </c>
      <c r="C23" s="1" t="s">
        <v>89</v>
      </c>
      <c r="D23" s="1">
        <v>313.0</v>
      </c>
      <c r="E23" s="1">
        <v>0.0</v>
      </c>
      <c r="F23" s="1" t="s">
        <v>90</v>
      </c>
      <c r="G23" s="1" t="s">
        <v>91</v>
      </c>
      <c r="H23" s="1" t="s">
        <v>92</v>
      </c>
      <c r="I23" s="1" t="s">
        <v>148</v>
      </c>
      <c r="J23" s="1" t="s">
        <v>149</v>
      </c>
      <c r="K23" s="1" t="s">
        <v>149</v>
      </c>
      <c r="M23" s="1">
        <v>-8.0</v>
      </c>
      <c r="O23" s="1">
        <v>6.70395</v>
      </c>
    </row>
    <row r="24" ht="15.75" hidden="1" customHeight="1">
      <c r="A24" s="4">
        <v>45527.0</v>
      </c>
      <c r="B24" s="1" t="s">
        <v>103</v>
      </c>
      <c r="C24" s="1" t="s">
        <v>104</v>
      </c>
      <c r="D24" s="1">
        <v>394.0</v>
      </c>
      <c r="E24" s="1">
        <v>0.0</v>
      </c>
      <c r="G24" s="1" t="s">
        <v>91</v>
      </c>
      <c r="H24" s="1" t="s">
        <v>92</v>
      </c>
      <c r="I24" s="1" t="s">
        <v>150</v>
      </c>
      <c r="J24" s="1" t="s">
        <v>151</v>
      </c>
      <c r="K24" s="1" t="s">
        <v>151</v>
      </c>
      <c r="M24" s="1">
        <v>0.0</v>
      </c>
      <c r="O24" s="1">
        <v>8.802233333333334</v>
      </c>
    </row>
    <row r="25" ht="15.75" hidden="1" customHeight="1">
      <c r="A25" s="4">
        <v>45527.0</v>
      </c>
      <c r="B25" s="1" t="s">
        <v>103</v>
      </c>
      <c r="C25" s="1" t="s">
        <v>104</v>
      </c>
      <c r="D25" s="1">
        <v>816.0</v>
      </c>
      <c r="E25" s="1">
        <v>0.0</v>
      </c>
      <c r="G25" s="1" t="s">
        <v>91</v>
      </c>
      <c r="H25" s="1" t="s">
        <v>92</v>
      </c>
      <c r="I25" s="1" t="s">
        <v>152</v>
      </c>
      <c r="J25" s="1" t="s">
        <v>153</v>
      </c>
      <c r="K25" s="1" t="s">
        <v>153</v>
      </c>
      <c r="M25" s="1">
        <v>0.0</v>
      </c>
      <c r="O25" s="1">
        <v>10.02735</v>
      </c>
    </row>
    <row r="26" ht="15.75" hidden="1" customHeight="1">
      <c r="A26" s="4">
        <v>45527.0</v>
      </c>
      <c r="B26" s="1" t="s">
        <v>95</v>
      </c>
      <c r="C26" s="1" t="s">
        <v>89</v>
      </c>
      <c r="D26" s="1">
        <v>597.0</v>
      </c>
      <c r="E26" s="1">
        <v>35.0</v>
      </c>
      <c r="F26" s="1" t="s">
        <v>90</v>
      </c>
      <c r="G26" s="1" t="s">
        <v>97</v>
      </c>
      <c r="H26" s="1" t="s">
        <v>92</v>
      </c>
      <c r="I26" s="1" t="s">
        <v>154</v>
      </c>
      <c r="J26" s="1" t="s">
        <v>155</v>
      </c>
      <c r="K26" s="1" t="s">
        <v>156</v>
      </c>
      <c r="L26" s="1" t="s">
        <v>157</v>
      </c>
      <c r="M26" s="1">
        <v>-6.0</v>
      </c>
      <c r="N26" s="1">
        <v>4.37065</v>
      </c>
      <c r="O26" s="1">
        <v>9.608866666666666</v>
      </c>
    </row>
    <row r="27" ht="15.75" hidden="1" customHeight="1">
      <c r="A27" s="4">
        <v>45527.0</v>
      </c>
      <c r="B27" s="1" t="s">
        <v>88</v>
      </c>
      <c r="C27" s="1" t="s">
        <v>89</v>
      </c>
      <c r="D27" s="1">
        <v>413.0</v>
      </c>
      <c r="E27" s="1">
        <v>0.0</v>
      </c>
      <c r="F27" s="1" t="s">
        <v>90</v>
      </c>
      <c r="G27" s="1" t="s">
        <v>91</v>
      </c>
      <c r="H27" s="1" t="s">
        <v>92</v>
      </c>
      <c r="I27" s="1" t="s">
        <v>158</v>
      </c>
      <c r="J27" s="1" t="s">
        <v>159</v>
      </c>
      <c r="K27" s="1" t="s">
        <v>159</v>
      </c>
      <c r="M27" s="1">
        <v>-10.0</v>
      </c>
      <c r="O27" s="1">
        <v>6.363183333333334</v>
      </c>
    </row>
    <row r="28" ht="15.75" hidden="1" customHeight="1">
      <c r="A28" s="4">
        <v>45527.0</v>
      </c>
      <c r="B28" s="1" t="s">
        <v>103</v>
      </c>
      <c r="C28" s="1" t="s">
        <v>104</v>
      </c>
      <c r="D28" s="1">
        <v>264.0</v>
      </c>
      <c r="E28" s="1">
        <v>0.0</v>
      </c>
      <c r="G28" s="1" t="s">
        <v>91</v>
      </c>
      <c r="H28" s="1" t="s">
        <v>98</v>
      </c>
      <c r="I28" s="1" t="s">
        <v>160</v>
      </c>
      <c r="J28" s="1" t="s">
        <v>161</v>
      </c>
      <c r="K28" s="1" t="s">
        <v>161</v>
      </c>
      <c r="M28" s="1">
        <v>0.0</v>
      </c>
      <c r="O28" s="1">
        <v>5.297766666666667</v>
      </c>
    </row>
    <row r="29" ht="15.75" hidden="1" customHeight="1">
      <c r="A29" s="4">
        <v>45527.0</v>
      </c>
      <c r="B29" s="1" t="s">
        <v>107</v>
      </c>
      <c r="C29" s="1" t="s">
        <v>104</v>
      </c>
      <c r="D29" s="1">
        <v>319.0</v>
      </c>
      <c r="E29" s="1">
        <v>0.0</v>
      </c>
      <c r="F29" s="1" t="s">
        <v>162</v>
      </c>
      <c r="G29" s="1" t="s">
        <v>91</v>
      </c>
      <c r="H29" s="1" t="s">
        <v>92</v>
      </c>
      <c r="I29" s="1" t="s">
        <v>163</v>
      </c>
      <c r="J29" s="1" t="s">
        <v>164</v>
      </c>
      <c r="K29" s="1" t="s">
        <v>164</v>
      </c>
      <c r="M29" s="1">
        <v>-7.0</v>
      </c>
      <c r="O29" s="1">
        <v>7.147316666666667</v>
      </c>
    </row>
    <row r="30" ht="15.75" hidden="1" customHeight="1">
      <c r="A30" s="4">
        <v>45527.0</v>
      </c>
      <c r="B30" s="1" t="s">
        <v>95</v>
      </c>
      <c r="C30" s="1" t="s">
        <v>89</v>
      </c>
      <c r="D30" s="1">
        <v>475.0</v>
      </c>
      <c r="E30" s="1">
        <v>23.0</v>
      </c>
      <c r="F30" s="1" t="s">
        <v>96</v>
      </c>
      <c r="G30" s="1" t="s">
        <v>97</v>
      </c>
      <c r="H30" s="1" t="s">
        <v>92</v>
      </c>
      <c r="I30" s="1" t="s">
        <v>165</v>
      </c>
      <c r="J30" s="1" t="s">
        <v>166</v>
      </c>
      <c r="K30" s="1" t="s">
        <v>167</v>
      </c>
      <c r="L30" s="1" t="s">
        <v>168</v>
      </c>
      <c r="M30" s="1">
        <v>1.0</v>
      </c>
      <c r="N30" s="1">
        <v>0.010466666666666668</v>
      </c>
      <c r="O30" s="1">
        <v>6.094416666666667</v>
      </c>
    </row>
    <row r="31" ht="15.75" hidden="1" customHeight="1">
      <c r="A31" s="4">
        <v>45527.0</v>
      </c>
      <c r="B31" s="1" t="s">
        <v>88</v>
      </c>
      <c r="C31" s="1" t="s">
        <v>89</v>
      </c>
      <c r="D31" s="1">
        <v>224.0</v>
      </c>
      <c r="E31" s="1">
        <v>0.0</v>
      </c>
      <c r="F31" s="1" t="s">
        <v>90</v>
      </c>
      <c r="G31" s="1" t="s">
        <v>91</v>
      </c>
      <c r="H31" s="1" t="s">
        <v>92</v>
      </c>
      <c r="I31" s="1" t="s">
        <v>169</v>
      </c>
      <c r="J31" s="1" t="s">
        <v>170</v>
      </c>
      <c r="K31" s="1" t="s">
        <v>170</v>
      </c>
      <c r="M31" s="1">
        <v>-10.0</v>
      </c>
      <c r="O31" s="1">
        <v>5.573416666666667</v>
      </c>
    </row>
    <row r="32" ht="15.75" hidden="1" customHeight="1">
      <c r="A32" s="4">
        <v>45527.0</v>
      </c>
      <c r="B32" s="1" t="s">
        <v>88</v>
      </c>
      <c r="C32" s="1" t="s">
        <v>89</v>
      </c>
      <c r="D32" s="1">
        <v>394.0</v>
      </c>
      <c r="E32" s="1">
        <v>0.0</v>
      </c>
      <c r="F32" s="1" t="s">
        <v>90</v>
      </c>
      <c r="G32" s="1" t="s">
        <v>91</v>
      </c>
      <c r="H32" s="1" t="s">
        <v>92</v>
      </c>
      <c r="I32" s="1" t="s">
        <v>171</v>
      </c>
      <c r="J32" s="1" t="s">
        <v>172</v>
      </c>
      <c r="K32" s="1" t="s">
        <v>172</v>
      </c>
      <c r="M32" s="1">
        <v>-7.0</v>
      </c>
      <c r="O32" s="1">
        <v>7.869783333333333</v>
      </c>
    </row>
    <row r="33" ht="15.75" hidden="1" customHeight="1">
      <c r="A33" s="4">
        <v>45527.0</v>
      </c>
      <c r="B33" s="1" t="s">
        <v>107</v>
      </c>
      <c r="C33" s="1" t="s">
        <v>104</v>
      </c>
      <c r="D33" s="1">
        <v>264.0</v>
      </c>
      <c r="E33" s="1">
        <v>0.0</v>
      </c>
      <c r="F33" s="1" t="s">
        <v>173</v>
      </c>
      <c r="G33" s="1" t="s">
        <v>91</v>
      </c>
      <c r="H33" s="1" t="s">
        <v>92</v>
      </c>
      <c r="I33" s="1" t="s">
        <v>174</v>
      </c>
      <c r="J33" s="1" t="s">
        <v>175</v>
      </c>
      <c r="K33" s="1" t="s">
        <v>175</v>
      </c>
      <c r="M33" s="1">
        <v>-8.0</v>
      </c>
      <c r="O33" s="1">
        <v>6.911583333333334</v>
      </c>
    </row>
    <row r="34" ht="15.75" hidden="1" customHeight="1">
      <c r="A34" s="4">
        <v>45527.0</v>
      </c>
      <c r="B34" s="1" t="s">
        <v>88</v>
      </c>
      <c r="C34" s="1" t="s">
        <v>89</v>
      </c>
      <c r="D34" s="1">
        <v>882.0</v>
      </c>
      <c r="E34" s="1">
        <v>0.0</v>
      </c>
      <c r="F34" s="1" t="s">
        <v>90</v>
      </c>
      <c r="G34" s="1" t="s">
        <v>91</v>
      </c>
      <c r="H34" s="1" t="s">
        <v>92</v>
      </c>
      <c r="I34" s="1" t="s">
        <v>176</v>
      </c>
      <c r="J34" s="1" t="s">
        <v>177</v>
      </c>
      <c r="K34" s="1" t="s">
        <v>177</v>
      </c>
      <c r="M34" s="1">
        <v>-11.0</v>
      </c>
      <c r="O34" s="1">
        <v>8.057233333333333</v>
      </c>
    </row>
    <row r="35" ht="15.75" hidden="1" customHeight="1">
      <c r="A35" s="4">
        <v>45527.0</v>
      </c>
      <c r="B35" s="1" t="s">
        <v>88</v>
      </c>
      <c r="C35" s="1" t="s">
        <v>89</v>
      </c>
      <c r="D35" s="1">
        <v>715.0</v>
      </c>
      <c r="E35" s="1">
        <v>0.0</v>
      </c>
      <c r="F35" s="1" t="s">
        <v>90</v>
      </c>
      <c r="G35" s="1" t="s">
        <v>91</v>
      </c>
      <c r="H35" s="1" t="s">
        <v>92</v>
      </c>
      <c r="I35" s="1" t="s">
        <v>178</v>
      </c>
      <c r="J35" s="1" t="s">
        <v>179</v>
      </c>
      <c r="K35" s="1" t="s">
        <v>179</v>
      </c>
      <c r="M35" s="1">
        <v>-7.0</v>
      </c>
      <c r="O35" s="1">
        <v>12.466433333333333</v>
      </c>
    </row>
    <row r="36" ht="15.75" hidden="1" customHeight="1">
      <c r="A36" s="4">
        <v>45527.0</v>
      </c>
      <c r="B36" s="1" t="s">
        <v>103</v>
      </c>
      <c r="C36" s="1" t="s">
        <v>104</v>
      </c>
      <c r="D36" s="1">
        <v>1006.0</v>
      </c>
      <c r="E36" s="1">
        <v>0.0</v>
      </c>
      <c r="G36" s="1" t="s">
        <v>91</v>
      </c>
      <c r="H36" s="1" t="s">
        <v>92</v>
      </c>
      <c r="I36" s="1" t="s">
        <v>180</v>
      </c>
      <c r="J36" s="1" t="s">
        <v>181</v>
      </c>
      <c r="K36" s="1" t="s">
        <v>181</v>
      </c>
      <c r="M36" s="1">
        <v>-1.0</v>
      </c>
      <c r="O36" s="1">
        <v>9.606966666666667</v>
      </c>
    </row>
    <row r="37" ht="15.75" hidden="1" customHeight="1">
      <c r="A37" s="4">
        <v>45527.0</v>
      </c>
      <c r="B37" s="1" t="s">
        <v>95</v>
      </c>
      <c r="C37" s="1" t="s">
        <v>89</v>
      </c>
      <c r="D37" s="1">
        <v>309.0</v>
      </c>
      <c r="E37" s="1">
        <v>0.0</v>
      </c>
      <c r="F37" s="1" t="s">
        <v>90</v>
      </c>
      <c r="G37" s="1" t="s">
        <v>97</v>
      </c>
      <c r="H37" s="1" t="s">
        <v>92</v>
      </c>
      <c r="I37" s="1" t="s">
        <v>182</v>
      </c>
      <c r="J37" s="1" t="s">
        <v>183</v>
      </c>
      <c r="K37" s="1" t="s">
        <v>184</v>
      </c>
      <c r="L37" s="1" t="s">
        <v>185</v>
      </c>
      <c r="M37" s="1">
        <v>-10.0</v>
      </c>
      <c r="N37" s="1">
        <v>2.10235</v>
      </c>
      <c r="O37" s="1">
        <v>7.2892166666666665</v>
      </c>
    </row>
    <row r="38" ht="15.75" hidden="1" customHeight="1">
      <c r="A38" s="4">
        <v>45527.0</v>
      </c>
      <c r="B38" s="1" t="s">
        <v>95</v>
      </c>
      <c r="C38" s="1" t="s">
        <v>104</v>
      </c>
      <c r="D38" s="1">
        <v>520.0</v>
      </c>
      <c r="E38" s="1">
        <v>124.0</v>
      </c>
      <c r="G38" s="1" t="s">
        <v>119</v>
      </c>
      <c r="H38" s="1" t="s">
        <v>92</v>
      </c>
      <c r="I38" s="1" t="s">
        <v>186</v>
      </c>
      <c r="J38" s="1" t="s">
        <v>187</v>
      </c>
      <c r="K38" s="1" t="s">
        <v>187</v>
      </c>
      <c r="M38" s="1">
        <v>-6.0</v>
      </c>
      <c r="O38" s="1">
        <v>17.191666666666666</v>
      </c>
    </row>
    <row r="39" ht="15.75" hidden="1" customHeight="1">
      <c r="A39" s="4">
        <v>45527.0</v>
      </c>
      <c r="B39" s="1" t="s">
        <v>95</v>
      </c>
      <c r="C39" s="1" t="s">
        <v>89</v>
      </c>
      <c r="D39" s="1">
        <v>358.0</v>
      </c>
      <c r="E39" s="1">
        <v>0.0</v>
      </c>
      <c r="F39" s="1" t="s">
        <v>96</v>
      </c>
      <c r="G39" s="1" t="s">
        <v>97</v>
      </c>
      <c r="H39" s="1" t="s">
        <v>92</v>
      </c>
      <c r="I39" s="1" t="s">
        <v>188</v>
      </c>
      <c r="J39" s="1" t="s">
        <v>189</v>
      </c>
      <c r="K39" s="1" t="s">
        <v>190</v>
      </c>
      <c r="L39" s="1" t="s">
        <v>191</v>
      </c>
      <c r="M39" s="1">
        <v>-2.0</v>
      </c>
      <c r="N39" s="1">
        <v>0.008683333333333333</v>
      </c>
      <c r="O39" s="1">
        <v>4.38375</v>
      </c>
    </row>
    <row r="40" ht="15.75" hidden="1" customHeight="1">
      <c r="A40" s="4">
        <v>45527.0</v>
      </c>
      <c r="B40" s="1" t="s">
        <v>95</v>
      </c>
      <c r="C40" s="1" t="s">
        <v>89</v>
      </c>
      <c r="D40" s="1">
        <v>338.0</v>
      </c>
      <c r="E40" s="1">
        <v>0.0</v>
      </c>
      <c r="F40" s="1" t="s">
        <v>96</v>
      </c>
      <c r="G40" s="1" t="s">
        <v>97</v>
      </c>
      <c r="H40" s="1" t="s">
        <v>92</v>
      </c>
      <c r="I40" s="1" t="s">
        <v>192</v>
      </c>
      <c r="J40" s="1" t="s">
        <v>193</v>
      </c>
      <c r="K40" s="1" t="s">
        <v>194</v>
      </c>
      <c r="L40" s="1" t="s">
        <v>195</v>
      </c>
      <c r="M40" s="1">
        <v>-10.0</v>
      </c>
      <c r="N40" s="1">
        <v>0.009266666666666666</v>
      </c>
      <c r="O40" s="1">
        <v>7.757933333333333</v>
      </c>
    </row>
    <row r="41" ht="15.75" hidden="1" customHeight="1">
      <c r="A41" s="4">
        <v>45527.0</v>
      </c>
      <c r="B41" s="1" t="s">
        <v>95</v>
      </c>
      <c r="C41" s="1" t="s">
        <v>89</v>
      </c>
      <c r="D41" s="1">
        <v>558.0</v>
      </c>
      <c r="E41" s="1">
        <v>0.0</v>
      </c>
      <c r="F41" s="1" t="s">
        <v>96</v>
      </c>
      <c r="G41" s="1" t="s">
        <v>97</v>
      </c>
      <c r="H41" s="1" t="s">
        <v>92</v>
      </c>
      <c r="I41" s="1" t="s">
        <v>196</v>
      </c>
      <c r="J41" s="1" t="s">
        <v>197</v>
      </c>
      <c r="K41" s="1" t="s">
        <v>198</v>
      </c>
      <c r="L41" s="1" t="s">
        <v>199</v>
      </c>
      <c r="M41" s="1">
        <v>9.0</v>
      </c>
      <c r="N41" s="1">
        <v>0.008133333333333333</v>
      </c>
      <c r="O41" s="1">
        <v>8.4024</v>
      </c>
    </row>
    <row r="42" ht="15.75" hidden="1" customHeight="1">
      <c r="A42" s="4">
        <v>45527.0</v>
      </c>
      <c r="B42" s="1" t="s">
        <v>103</v>
      </c>
      <c r="C42" s="1" t="s">
        <v>104</v>
      </c>
      <c r="D42" s="1">
        <v>667.0</v>
      </c>
      <c r="E42" s="1">
        <v>0.0</v>
      </c>
      <c r="G42" s="1" t="s">
        <v>91</v>
      </c>
      <c r="H42" s="1" t="s">
        <v>92</v>
      </c>
      <c r="I42" s="1" t="s">
        <v>200</v>
      </c>
      <c r="J42" s="1" t="s">
        <v>201</v>
      </c>
      <c r="K42" s="1" t="s">
        <v>201</v>
      </c>
      <c r="M42" s="1">
        <v>0.0</v>
      </c>
      <c r="O42" s="1">
        <v>9.47405</v>
      </c>
    </row>
    <row r="43" ht="15.75" hidden="1" customHeight="1">
      <c r="A43" s="4">
        <v>45527.0</v>
      </c>
      <c r="B43" s="1" t="s">
        <v>107</v>
      </c>
      <c r="C43" s="1" t="s">
        <v>104</v>
      </c>
      <c r="D43" s="1">
        <v>394.0</v>
      </c>
      <c r="E43" s="1">
        <v>0.0</v>
      </c>
      <c r="F43" s="1" t="s">
        <v>202</v>
      </c>
      <c r="G43" s="1" t="s">
        <v>91</v>
      </c>
      <c r="H43" s="1" t="s">
        <v>92</v>
      </c>
      <c r="I43" s="1" t="s">
        <v>203</v>
      </c>
      <c r="J43" s="1" t="s">
        <v>204</v>
      </c>
      <c r="K43" s="1" t="s">
        <v>204</v>
      </c>
      <c r="M43" s="1">
        <v>-5.0</v>
      </c>
      <c r="O43" s="1">
        <v>9.1932</v>
      </c>
    </row>
    <row r="44" ht="15.75" hidden="1" customHeight="1">
      <c r="A44" s="4">
        <v>45527.0</v>
      </c>
      <c r="B44" s="1" t="s">
        <v>95</v>
      </c>
      <c r="C44" s="1" t="s">
        <v>89</v>
      </c>
      <c r="D44" s="1">
        <v>887.0</v>
      </c>
      <c r="E44" s="1">
        <v>0.0</v>
      </c>
      <c r="F44" s="1" t="s">
        <v>96</v>
      </c>
      <c r="G44" s="1" t="s">
        <v>97</v>
      </c>
      <c r="H44" s="1" t="s">
        <v>92</v>
      </c>
      <c r="I44" s="1" t="s">
        <v>205</v>
      </c>
      <c r="J44" s="1" t="s">
        <v>206</v>
      </c>
      <c r="K44" s="1" t="s">
        <v>207</v>
      </c>
      <c r="L44" s="1" t="s">
        <v>208</v>
      </c>
      <c r="M44" s="1">
        <v>5.0</v>
      </c>
      <c r="N44" s="1">
        <v>0.012233333333333334</v>
      </c>
      <c r="O44" s="1">
        <v>9.478766666666667</v>
      </c>
    </row>
    <row r="45" ht="15.75" hidden="1" customHeight="1">
      <c r="A45" s="4">
        <v>45527.0</v>
      </c>
      <c r="B45" s="1" t="s">
        <v>107</v>
      </c>
      <c r="C45" s="1" t="s">
        <v>104</v>
      </c>
      <c r="D45" s="1">
        <v>293.0</v>
      </c>
      <c r="E45" s="1">
        <v>0.0</v>
      </c>
      <c r="F45" s="1" t="s">
        <v>162</v>
      </c>
      <c r="G45" s="1" t="s">
        <v>91</v>
      </c>
      <c r="H45" s="1" t="s">
        <v>92</v>
      </c>
      <c r="I45" s="1" t="s">
        <v>209</v>
      </c>
      <c r="J45" s="1" t="s">
        <v>210</v>
      </c>
      <c r="K45" s="1" t="s">
        <v>210</v>
      </c>
      <c r="M45" s="1">
        <v>-8.0</v>
      </c>
      <c r="O45" s="1">
        <v>6.60745</v>
      </c>
    </row>
    <row r="46" ht="15.75" hidden="1" customHeight="1">
      <c r="A46" s="4">
        <v>45527.0</v>
      </c>
      <c r="B46" s="1" t="s">
        <v>95</v>
      </c>
      <c r="C46" s="1" t="s">
        <v>104</v>
      </c>
      <c r="D46" s="1">
        <v>494.0</v>
      </c>
      <c r="E46" s="1">
        <v>124.0</v>
      </c>
      <c r="G46" s="1" t="s">
        <v>119</v>
      </c>
      <c r="H46" s="1" t="s">
        <v>98</v>
      </c>
      <c r="I46" s="1" t="s">
        <v>211</v>
      </c>
      <c r="J46" s="1" t="s">
        <v>212</v>
      </c>
      <c r="K46" s="1" t="s">
        <v>212</v>
      </c>
      <c r="M46" s="1">
        <v>-11.0</v>
      </c>
      <c r="O46" s="1">
        <v>7.925416666666667</v>
      </c>
    </row>
    <row r="47" ht="15.75" hidden="1" customHeight="1">
      <c r="A47" s="4">
        <v>45527.0</v>
      </c>
      <c r="B47" s="1" t="s">
        <v>95</v>
      </c>
      <c r="C47" s="1" t="s">
        <v>104</v>
      </c>
      <c r="D47" s="1">
        <v>199.0</v>
      </c>
      <c r="E47" s="1">
        <v>50.0</v>
      </c>
      <c r="G47" s="1" t="s">
        <v>119</v>
      </c>
      <c r="H47" s="1" t="s">
        <v>213</v>
      </c>
      <c r="I47" s="1" t="s">
        <v>214</v>
      </c>
      <c r="J47" s="1" t="s">
        <v>215</v>
      </c>
      <c r="K47" s="1" t="s">
        <v>215</v>
      </c>
      <c r="M47" s="1">
        <v>-10.0</v>
      </c>
      <c r="O47" s="1">
        <v>41.05805</v>
      </c>
    </row>
    <row r="48" ht="15.75" hidden="1" customHeight="1">
      <c r="A48" s="4">
        <v>45527.0</v>
      </c>
      <c r="B48" s="1" t="s">
        <v>95</v>
      </c>
      <c r="C48" s="1" t="s">
        <v>104</v>
      </c>
      <c r="D48" s="1">
        <v>339.0</v>
      </c>
      <c r="E48" s="1">
        <v>75.0</v>
      </c>
      <c r="G48" s="1" t="s">
        <v>119</v>
      </c>
      <c r="H48" s="1" t="s">
        <v>92</v>
      </c>
      <c r="I48" s="1" t="s">
        <v>216</v>
      </c>
      <c r="J48" s="1" t="s">
        <v>217</v>
      </c>
      <c r="K48" s="1" t="s">
        <v>217</v>
      </c>
      <c r="M48" s="1">
        <v>-10.0</v>
      </c>
      <c r="O48" s="1">
        <v>8.02555</v>
      </c>
    </row>
    <row r="49" ht="15.75" hidden="1" customHeight="1">
      <c r="A49" s="4">
        <v>45527.0</v>
      </c>
      <c r="B49" s="1" t="s">
        <v>95</v>
      </c>
      <c r="C49" s="1" t="s">
        <v>89</v>
      </c>
      <c r="D49" s="1">
        <v>309.0</v>
      </c>
      <c r="E49" s="1">
        <v>0.0</v>
      </c>
      <c r="F49" s="1" t="s">
        <v>96</v>
      </c>
      <c r="G49" s="1" t="s">
        <v>97</v>
      </c>
      <c r="H49" s="1" t="s">
        <v>92</v>
      </c>
      <c r="I49" s="1" t="s">
        <v>218</v>
      </c>
      <c r="J49" s="1" t="s">
        <v>219</v>
      </c>
      <c r="K49" s="1" t="s">
        <v>220</v>
      </c>
      <c r="L49" s="1" t="s">
        <v>221</v>
      </c>
      <c r="M49" s="1">
        <v>-15.0</v>
      </c>
      <c r="N49" s="1">
        <v>0.0151</v>
      </c>
      <c r="O49" s="1">
        <v>8.41365</v>
      </c>
    </row>
    <row r="50" ht="15.75" hidden="1" customHeight="1">
      <c r="A50" s="4">
        <v>45527.0</v>
      </c>
      <c r="B50" s="1" t="s">
        <v>103</v>
      </c>
      <c r="C50" s="1" t="s">
        <v>104</v>
      </c>
      <c r="D50" s="1">
        <v>394.0</v>
      </c>
      <c r="E50" s="1">
        <v>0.0</v>
      </c>
      <c r="G50" s="1" t="s">
        <v>91</v>
      </c>
      <c r="H50" s="1" t="s">
        <v>92</v>
      </c>
      <c r="I50" s="1" t="s">
        <v>222</v>
      </c>
      <c r="J50" s="1" t="s">
        <v>223</v>
      </c>
      <c r="K50" s="1" t="s">
        <v>223</v>
      </c>
      <c r="M50" s="1">
        <v>0.0</v>
      </c>
      <c r="O50" s="1">
        <v>7.804116666666666</v>
      </c>
    </row>
    <row r="51" ht="15.75" hidden="1" customHeight="1">
      <c r="A51" s="4">
        <v>45527.0</v>
      </c>
      <c r="B51" s="1" t="s">
        <v>88</v>
      </c>
      <c r="C51" s="1" t="s">
        <v>89</v>
      </c>
      <c r="D51" s="1">
        <v>441.0</v>
      </c>
      <c r="E51" s="1">
        <v>0.0</v>
      </c>
      <c r="F51" s="1" t="s">
        <v>90</v>
      </c>
      <c r="G51" s="1" t="s">
        <v>91</v>
      </c>
      <c r="H51" s="1" t="s">
        <v>92</v>
      </c>
      <c r="I51" s="1" t="s">
        <v>224</v>
      </c>
      <c r="J51" s="1" t="s">
        <v>225</v>
      </c>
      <c r="K51" s="1" t="s">
        <v>225</v>
      </c>
      <c r="M51" s="1">
        <v>-9.0</v>
      </c>
      <c r="O51" s="1">
        <v>5.5026</v>
      </c>
    </row>
    <row r="52" ht="15.75" hidden="1" customHeight="1">
      <c r="A52" s="4">
        <v>45527.0</v>
      </c>
      <c r="B52" s="1" t="s">
        <v>88</v>
      </c>
      <c r="C52" s="1" t="s">
        <v>89</v>
      </c>
      <c r="D52" s="1">
        <v>264.0</v>
      </c>
      <c r="E52" s="1">
        <v>0.0</v>
      </c>
      <c r="F52" s="1" t="s">
        <v>90</v>
      </c>
      <c r="G52" s="1" t="s">
        <v>91</v>
      </c>
      <c r="H52" s="1" t="s">
        <v>92</v>
      </c>
      <c r="I52" s="1" t="s">
        <v>226</v>
      </c>
      <c r="J52" s="1" t="s">
        <v>227</v>
      </c>
      <c r="K52" s="1" t="s">
        <v>227</v>
      </c>
      <c r="M52" s="1">
        <v>-10.0</v>
      </c>
      <c r="O52" s="1">
        <v>4.782733333333334</v>
      </c>
    </row>
    <row r="53" ht="15.75" hidden="1" customHeight="1">
      <c r="A53" s="4">
        <v>45527.0</v>
      </c>
      <c r="B53" s="1" t="s">
        <v>228</v>
      </c>
      <c r="C53" s="1" t="s">
        <v>104</v>
      </c>
      <c r="D53" s="1">
        <v>238.0</v>
      </c>
      <c r="E53" s="1">
        <v>0.0</v>
      </c>
      <c r="G53" s="1" t="s">
        <v>119</v>
      </c>
      <c r="H53" s="1" t="s">
        <v>98</v>
      </c>
      <c r="I53" s="1" t="s">
        <v>229</v>
      </c>
      <c r="J53" s="1" t="s">
        <v>230</v>
      </c>
      <c r="K53" s="1" t="s">
        <v>230</v>
      </c>
      <c r="M53" s="1">
        <v>1.0</v>
      </c>
      <c r="O53" s="1">
        <v>6.632616666666666</v>
      </c>
    </row>
    <row r="54" ht="15.75" hidden="1" customHeight="1">
      <c r="A54" s="4">
        <v>45527.0</v>
      </c>
      <c r="B54" s="1" t="s">
        <v>103</v>
      </c>
      <c r="C54" s="1" t="s">
        <v>104</v>
      </c>
      <c r="D54" s="1">
        <v>987.0</v>
      </c>
      <c r="E54" s="1">
        <v>0.0</v>
      </c>
      <c r="G54" s="1" t="s">
        <v>91</v>
      </c>
      <c r="H54" s="1" t="s">
        <v>92</v>
      </c>
      <c r="I54" s="1" t="s">
        <v>231</v>
      </c>
      <c r="J54" s="1" t="s">
        <v>232</v>
      </c>
      <c r="K54" s="1" t="s">
        <v>232</v>
      </c>
      <c r="M54" s="1">
        <v>-3.0</v>
      </c>
      <c r="O54" s="1">
        <v>8.459366666666666</v>
      </c>
    </row>
    <row r="55" ht="15.75" hidden="1" customHeight="1">
      <c r="A55" s="4">
        <v>45527.0</v>
      </c>
      <c r="B55" s="1" t="s">
        <v>95</v>
      </c>
      <c r="C55" s="1" t="s">
        <v>104</v>
      </c>
      <c r="D55" s="1">
        <v>326.0</v>
      </c>
      <c r="E55" s="1">
        <v>62.0</v>
      </c>
      <c r="G55" s="1" t="s">
        <v>119</v>
      </c>
      <c r="H55" s="1" t="s">
        <v>98</v>
      </c>
      <c r="I55" s="1" t="s">
        <v>233</v>
      </c>
      <c r="J55" s="1" t="s">
        <v>234</v>
      </c>
      <c r="K55" s="1" t="s">
        <v>234</v>
      </c>
      <c r="M55" s="1">
        <v>-9.0</v>
      </c>
      <c r="O55" s="1">
        <v>10.215566666666666</v>
      </c>
    </row>
    <row r="56" ht="15.75" hidden="1" customHeight="1">
      <c r="A56" s="4">
        <v>45527.0</v>
      </c>
      <c r="B56" s="1" t="s">
        <v>103</v>
      </c>
      <c r="C56" s="1" t="s">
        <v>104</v>
      </c>
      <c r="D56" s="1">
        <v>394.0</v>
      </c>
      <c r="E56" s="1">
        <v>0.0</v>
      </c>
      <c r="G56" s="1" t="s">
        <v>91</v>
      </c>
      <c r="H56" s="1" t="s">
        <v>92</v>
      </c>
      <c r="I56" s="1" t="s">
        <v>235</v>
      </c>
      <c r="J56" s="1" t="s">
        <v>236</v>
      </c>
      <c r="K56" s="1" t="s">
        <v>236</v>
      </c>
      <c r="M56" s="1">
        <v>4.0</v>
      </c>
      <c r="O56" s="1">
        <v>12.064383333333334</v>
      </c>
    </row>
    <row r="57" ht="15.75" hidden="1" customHeight="1">
      <c r="A57" s="4">
        <v>45527.0</v>
      </c>
      <c r="B57" s="1" t="s">
        <v>103</v>
      </c>
      <c r="C57" s="1" t="s">
        <v>104</v>
      </c>
      <c r="D57" s="1">
        <v>404.0</v>
      </c>
      <c r="E57" s="1">
        <v>0.0</v>
      </c>
      <c r="G57" s="1" t="s">
        <v>91</v>
      </c>
      <c r="H57" s="1" t="s">
        <v>92</v>
      </c>
      <c r="I57" s="1" t="s">
        <v>237</v>
      </c>
      <c r="J57" s="1" t="s">
        <v>238</v>
      </c>
      <c r="K57" s="1" t="s">
        <v>238</v>
      </c>
      <c r="M57" s="1">
        <v>0.0</v>
      </c>
      <c r="O57" s="1">
        <v>7.856883333333333</v>
      </c>
    </row>
    <row r="58" ht="15.75" hidden="1" customHeight="1">
      <c r="A58" s="4">
        <v>45527.0</v>
      </c>
      <c r="B58" s="1" t="s">
        <v>103</v>
      </c>
      <c r="C58" s="1" t="s">
        <v>104</v>
      </c>
      <c r="D58" s="1">
        <v>394.0</v>
      </c>
      <c r="E58" s="1">
        <v>0.0</v>
      </c>
      <c r="G58" s="1" t="s">
        <v>91</v>
      </c>
      <c r="H58" s="1" t="s">
        <v>92</v>
      </c>
      <c r="I58" s="1" t="s">
        <v>239</v>
      </c>
      <c r="J58" s="1" t="s">
        <v>240</v>
      </c>
      <c r="K58" s="1" t="s">
        <v>240</v>
      </c>
      <c r="M58" s="1">
        <v>-3.0</v>
      </c>
      <c r="O58" s="1">
        <v>4.836616666666667</v>
      </c>
    </row>
    <row r="59" ht="15.75" hidden="1" customHeight="1">
      <c r="A59" s="4">
        <v>45527.0</v>
      </c>
      <c r="B59" s="1" t="s">
        <v>95</v>
      </c>
      <c r="C59" s="1" t="s">
        <v>104</v>
      </c>
      <c r="D59" s="1">
        <v>424.0</v>
      </c>
      <c r="E59" s="1">
        <v>104.0</v>
      </c>
      <c r="G59" s="1" t="s">
        <v>119</v>
      </c>
      <c r="H59" s="1" t="s">
        <v>92</v>
      </c>
      <c r="I59" s="1" t="s">
        <v>241</v>
      </c>
      <c r="J59" s="1" t="s">
        <v>242</v>
      </c>
      <c r="K59" s="1" t="s">
        <v>242</v>
      </c>
      <c r="M59" s="1">
        <v>-8.0</v>
      </c>
      <c r="O59" s="1">
        <v>9.703416666666667</v>
      </c>
    </row>
    <row r="60" ht="15.75" hidden="1" customHeight="1">
      <c r="A60" s="4">
        <v>45527.0</v>
      </c>
      <c r="B60" s="1" t="s">
        <v>95</v>
      </c>
      <c r="C60" s="1" t="s">
        <v>89</v>
      </c>
      <c r="D60" s="1">
        <v>531.0</v>
      </c>
      <c r="E60" s="1">
        <v>24.0</v>
      </c>
      <c r="F60" s="1" t="s">
        <v>90</v>
      </c>
      <c r="G60" s="1" t="s">
        <v>97</v>
      </c>
      <c r="H60" s="1" t="s">
        <v>92</v>
      </c>
      <c r="I60" s="1" t="s">
        <v>243</v>
      </c>
      <c r="J60" s="1" t="s">
        <v>244</v>
      </c>
      <c r="K60" s="1" t="s">
        <v>245</v>
      </c>
      <c r="L60" s="1" t="s">
        <v>246</v>
      </c>
      <c r="M60" s="1">
        <v>0.0</v>
      </c>
      <c r="N60" s="1">
        <v>2.6546833333333333</v>
      </c>
      <c r="O60" s="1">
        <v>22.69085</v>
      </c>
    </row>
    <row r="61" ht="15.75" hidden="1" customHeight="1">
      <c r="A61" s="4">
        <v>45527.0</v>
      </c>
      <c r="B61" s="1" t="s">
        <v>103</v>
      </c>
      <c r="C61" s="1" t="s">
        <v>104</v>
      </c>
      <c r="D61" s="1">
        <v>264.0</v>
      </c>
      <c r="E61" s="1">
        <v>0.0</v>
      </c>
      <c r="G61" s="1" t="s">
        <v>91</v>
      </c>
      <c r="H61" s="1" t="s">
        <v>98</v>
      </c>
      <c r="I61" s="1" t="s">
        <v>247</v>
      </c>
      <c r="J61" s="1" t="s">
        <v>248</v>
      </c>
      <c r="K61" s="1" t="s">
        <v>248</v>
      </c>
      <c r="M61" s="1">
        <v>1.0</v>
      </c>
      <c r="O61" s="1">
        <v>8.457266666666667</v>
      </c>
    </row>
    <row r="62" ht="15.75" hidden="1" customHeight="1">
      <c r="A62" s="4">
        <v>45527.0</v>
      </c>
      <c r="B62" s="1" t="s">
        <v>95</v>
      </c>
      <c r="C62" s="1" t="s">
        <v>89</v>
      </c>
      <c r="D62" s="1">
        <v>358.0</v>
      </c>
      <c r="E62" s="1">
        <v>0.0</v>
      </c>
      <c r="F62" s="1" t="s">
        <v>96</v>
      </c>
      <c r="G62" s="1" t="s">
        <v>97</v>
      </c>
      <c r="H62" s="1" t="s">
        <v>92</v>
      </c>
      <c r="I62" s="1" t="s">
        <v>249</v>
      </c>
      <c r="J62" s="1" t="s">
        <v>250</v>
      </c>
      <c r="K62" s="1" t="s">
        <v>251</v>
      </c>
      <c r="L62" s="1" t="s">
        <v>252</v>
      </c>
      <c r="M62" s="1">
        <v>-3.0</v>
      </c>
      <c r="N62" s="1">
        <v>0.010383333333333333</v>
      </c>
      <c r="O62" s="1">
        <v>8.439883333333333</v>
      </c>
    </row>
    <row r="63" ht="15.75" hidden="1" customHeight="1">
      <c r="A63" s="4">
        <v>45527.0</v>
      </c>
      <c r="B63" s="1" t="s">
        <v>95</v>
      </c>
      <c r="C63" s="1" t="s">
        <v>89</v>
      </c>
      <c r="D63" s="1">
        <v>967.0</v>
      </c>
      <c r="E63" s="1">
        <v>0.0</v>
      </c>
      <c r="F63" s="1" t="s">
        <v>96</v>
      </c>
      <c r="G63" s="1" t="s">
        <v>97</v>
      </c>
      <c r="H63" s="1" t="s">
        <v>98</v>
      </c>
      <c r="I63" s="1" t="s">
        <v>253</v>
      </c>
      <c r="J63" s="1" t="s">
        <v>254</v>
      </c>
      <c r="K63" s="1" t="s">
        <v>255</v>
      </c>
      <c r="L63" s="1" t="s">
        <v>256</v>
      </c>
      <c r="M63" s="1">
        <v>-2.0</v>
      </c>
      <c r="N63" s="1">
        <v>0.009533333333333333</v>
      </c>
      <c r="O63" s="1">
        <v>9.747466666666666</v>
      </c>
    </row>
    <row r="64" ht="15.75" hidden="1" customHeight="1">
      <c r="A64" s="4">
        <v>45527.0</v>
      </c>
      <c r="B64" s="1" t="s">
        <v>95</v>
      </c>
      <c r="C64" s="1" t="s">
        <v>104</v>
      </c>
      <c r="D64" s="1">
        <v>372.0</v>
      </c>
      <c r="E64" s="1">
        <v>116.0</v>
      </c>
      <c r="G64" s="1" t="s">
        <v>119</v>
      </c>
      <c r="H64" s="1" t="s">
        <v>213</v>
      </c>
      <c r="I64" s="1" t="s">
        <v>257</v>
      </c>
      <c r="J64" s="1" t="s">
        <v>258</v>
      </c>
      <c r="K64" s="1" t="s">
        <v>258</v>
      </c>
      <c r="M64" s="1">
        <v>-11.0</v>
      </c>
      <c r="O64" s="1">
        <v>7.68075</v>
      </c>
    </row>
    <row r="65" ht="15.75" hidden="1" customHeight="1">
      <c r="A65" s="4">
        <v>45527.0</v>
      </c>
      <c r="B65" s="1" t="s">
        <v>103</v>
      </c>
      <c r="C65" s="1" t="s">
        <v>104</v>
      </c>
      <c r="D65" s="1">
        <v>378.0</v>
      </c>
      <c r="E65" s="1">
        <v>0.0</v>
      </c>
      <c r="G65" s="1" t="s">
        <v>91</v>
      </c>
      <c r="H65" s="1" t="s">
        <v>92</v>
      </c>
      <c r="I65" s="1" t="s">
        <v>259</v>
      </c>
      <c r="J65" s="1" t="s">
        <v>260</v>
      </c>
      <c r="K65" s="1" t="s">
        <v>260</v>
      </c>
      <c r="M65" s="1">
        <v>0.0</v>
      </c>
      <c r="O65" s="1">
        <v>6.842433333333333</v>
      </c>
    </row>
    <row r="66" ht="15.75" hidden="1" customHeight="1">
      <c r="A66" s="4">
        <v>45527.0</v>
      </c>
      <c r="B66" s="1" t="s">
        <v>95</v>
      </c>
      <c r="C66" s="1" t="s">
        <v>89</v>
      </c>
      <c r="D66" s="1">
        <v>456.0</v>
      </c>
      <c r="E66" s="1">
        <v>0.0</v>
      </c>
      <c r="F66" s="1" t="s">
        <v>96</v>
      </c>
      <c r="G66" s="1" t="s">
        <v>97</v>
      </c>
      <c r="H66" s="1" t="s">
        <v>92</v>
      </c>
      <c r="I66" s="1" t="s">
        <v>261</v>
      </c>
      <c r="J66" s="1" t="s">
        <v>262</v>
      </c>
      <c r="K66" s="1" t="s">
        <v>263</v>
      </c>
      <c r="L66" s="1" t="s">
        <v>264</v>
      </c>
      <c r="M66" s="1">
        <v>0.0</v>
      </c>
      <c r="N66" s="1">
        <v>0.009933333333333334</v>
      </c>
      <c r="O66" s="1">
        <v>6.119816666666667</v>
      </c>
    </row>
    <row r="67" ht="15.75" hidden="1" customHeight="1">
      <c r="A67" s="4">
        <v>45527.0</v>
      </c>
      <c r="B67" s="1" t="s">
        <v>228</v>
      </c>
      <c r="C67" s="1" t="s">
        <v>104</v>
      </c>
      <c r="D67" s="1">
        <v>309.0</v>
      </c>
      <c r="E67" s="1">
        <v>0.0</v>
      </c>
      <c r="G67" s="1" t="s">
        <v>119</v>
      </c>
      <c r="H67" s="1" t="s">
        <v>213</v>
      </c>
      <c r="I67" s="1" t="s">
        <v>265</v>
      </c>
      <c r="J67" s="1" t="s">
        <v>266</v>
      </c>
      <c r="K67" s="1" t="s">
        <v>266</v>
      </c>
      <c r="M67" s="1">
        <v>1.0</v>
      </c>
      <c r="O67" s="1">
        <v>6.57285</v>
      </c>
    </row>
    <row r="68" ht="15.75" hidden="1" customHeight="1">
      <c r="A68" s="4">
        <v>45527.0</v>
      </c>
      <c r="B68" s="1" t="s">
        <v>107</v>
      </c>
      <c r="C68" s="1" t="s">
        <v>104</v>
      </c>
      <c r="D68" s="1">
        <v>329.0</v>
      </c>
      <c r="E68" s="1">
        <v>0.0</v>
      </c>
      <c r="F68" s="1" t="s">
        <v>267</v>
      </c>
      <c r="G68" s="1" t="s">
        <v>91</v>
      </c>
      <c r="H68" s="1" t="s">
        <v>92</v>
      </c>
      <c r="I68" s="1" t="s">
        <v>268</v>
      </c>
      <c r="J68" s="1" t="s">
        <v>269</v>
      </c>
      <c r="K68" s="1" t="s">
        <v>269</v>
      </c>
      <c r="M68" s="1">
        <v>-10.0</v>
      </c>
      <c r="O68" s="1">
        <v>4.7494</v>
      </c>
    </row>
    <row r="69" ht="15.75" hidden="1" customHeight="1">
      <c r="A69" s="4">
        <v>45527.0</v>
      </c>
      <c r="B69" s="1" t="s">
        <v>88</v>
      </c>
      <c r="C69" s="1" t="s">
        <v>89</v>
      </c>
      <c r="D69" s="1">
        <v>658.0</v>
      </c>
      <c r="E69" s="1">
        <v>0.0</v>
      </c>
      <c r="F69" s="1" t="s">
        <v>90</v>
      </c>
      <c r="G69" s="1" t="s">
        <v>91</v>
      </c>
      <c r="H69" s="1" t="s">
        <v>92</v>
      </c>
      <c r="I69" s="1" t="s">
        <v>270</v>
      </c>
      <c r="J69" s="1" t="s">
        <v>271</v>
      </c>
      <c r="K69" s="1" t="s">
        <v>271</v>
      </c>
      <c r="M69" s="1">
        <v>-9.0</v>
      </c>
      <c r="O69" s="1">
        <v>10.783333333333333</v>
      </c>
    </row>
    <row r="70" ht="15.75" hidden="1" customHeight="1">
      <c r="A70" s="4">
        <v>45527.0</v>
      </c>
      <c r="B70" s="1" t="s">
        <v>228</v>
      </c>
      <c r="C70" s="1" t="s">
        <v>104</v>
      </c>
      <c r="D70" s="1">
        <v>617.0</v>
      </c>
      <c r="E70" s="1">
        <v>0.0</v>
      </c>
      <c r="G70" s="1" t="s">
        <v>119</v>
      </c>
      <c r="H70" s="1" t="s">
        <v>98</v>
      </c>
      <c r="I70" s="1" t="s">
        <v>272</v>
      </c>
      <c r="J70" s="1" t="s">
        <v>273</v>
      </c>
      <c r="K70" s="1" t="s">
        <v>273</v>
      </c>
      <c r="M70" s="1">
        <v>-2.0</v>
      </c>
      <c r="O70" s="1">
        <v>7.473033333333333</v>
      </c>
    </row>
    <row r="71" ht="15.75" hidden="1" customHeight="1">
      <c r="A71" s="4">
        <v>45527.0</v>
      </c>
      <c r="B71" s="1" t="s">
        <v>103</v>
      </c>
      <c r="C71" s="1" t="s">
        <v>104</v>
      </c>
      <c r="D71" s="1">
        <v>348.0</v>
      </c>
      <c r="E71" s="1">
        <v>0.0</v>
      </c>
      <c r="G71" s="1" t="s">
        <v>91</v>
      </c>
      <c r="H71" s="1" t="s">
        <v>92</v>
      </c>
      <c r="I71" s="1" t="s">
        <v>274</v>
      </c>
      <c r="J71" s="1" t="s">
        <v>275</v>
      </c>
      <c r="K71" s="1" t="s">
        <v>275</v>
      </c>
      <c r="M71" s="1">
        <v>-1.0</v>
      </c>
      <c r="O71" s="1">
        <v>5.21585</v>
      </c>
    </row>
    <row r="72" ht="15.75" hidden="1" customHeight="1">
      <c r="A72" s="4">
        <v>45527.0</v>
      </c>
      <c r="B72" s="1" t="s">
        <v>88</v>
      </c>
      <c r="C72" s="1" t="s">
        <v>89</v>
      </c>
      <c r="D72" s="1">
        <v>528.0</v>
      </c>
      <c r="E72" s="1">
        <v>0.0</v>
      </c>
      <c r="F72" s="1" t="s">
        <v>90</v>
      </c>
      <c r="G72" s="1" t="s">
        <v>91</v>
      </c>
      <c r="H72" s="1" t="s">
        <v>92</v>
      </c>
      <c r="I72" s="1" t="s">
        <v>276</v>
      </c>
      <c r="J72" s="1" t="s">
        <v>277</v>
      </c>
      <c r="K72" s="1" t="s">
        <v>277</v>
      </c>
      <c r="M72" s="1">
        <v>-7.0</v>
      </c>
      <c r="O72" s="1">
        <v>12.862533333333333</v>
      </c>
    </row>
    <row r="73" ht="15.75" hidden="1" customHeight="1">
      <c r="A73" s="4">
        <v>45527.0</v>
      </c>
      <c r="B73" s="1" t="s">
        <v>95</v>
      </c>
      <c r="C73" s="1" t="s">
        <v>89</v>
      </c>
      <c r="D73" s="1">
        <v>498.0</v>
      </c>
      <c r="E73" s="1">
        <v>0.0</v>
      </c>
      <c r="F73" s="1" t="s">
        <v>96</v>
      </c>
      <c r="G73" s="1" t="s">
        <v>97</v>
      </c>
      <c r="H73" s="1" t="s">
        <v>92</v>
      </c>
      <c r="I73" s="1" t="s">
        <v>278</v>
      </c>
      <c r="J73" s="1" t="s">
        <v>279</v>
      </c>
      <c r="K73" s="1" t="s">
        <v>280</v>
      </c>
      <c r="L73" s="1" t="s">
        <v>281</v>
      </c>
      <c r="M73" s="1">
        <v>-12.0</v>
      </c>
      <c r="N73" s="1">
        <v>0.010916666666666667</v>
      </c>
      <c r="O73" s="1">
        <v>10.334366666666666</v>
      </c>
    </row>
    <row r="74" ht="15.75" hidden="1" customHeight="1">
      <c r="A74" s="4">
        <v>45527.0</v>
      </c>
      <c r="B74" s="1" t="s">
        <v>107</v>
      </c>
      <c r="C74" s="1" t="s">
        <v>104</v>
      </c>
      <c r="D74" s="1">
        <v>657.0</v>
      </c>
      <c r="E74" s="1">
        <v>0.0</v>
      </c>
      <c r="F74" s="1" t="s">
        <v>282</v>
      </c>
      <c r="G74" s="1" t="s">
        <v>91</v>
      </c>
      <c r="H74" s="1" t="s">
        <v>92</v>
      </c>
      <c r="I74" s="1" t="s">
        <v>283</v>
      </c>
      <c r="J74" s="1" t="s">
        <v>284</v>
      </c>
      <c r="K74" s="1" t="s">
        <v>284</v>
      </c>
      <c r="M74" s="1">
        <v>-6.0</v>
      </c>
      <c r="O74" s="1">
        <v>13.937316666666666</v>
      </c>
    </row>
    <row r="75" ht="15.75" hidden="1" customHeight="1">
      <c r="A75" s="4">
        <v>45527.0</v>
      </c>
      <c r="B75" s="1" t="s">
        <v>95</v>
      </c>
      <c r="C75" s="1" t="s">
        <v>104</v>
      </c>
      <c r="D75" s="1">
        <v>247.0</v>
      </c>
      <c r="E75" s="1">
        <v>62.0</v>
      </c>
      <c r="G75" s="1" t="s">
        <v>119</v>
      </c>
      <c r="H75" s="1" t="s">
        <v>213</v>
      </c>
      <c r="I75" s="1" t="s">
        <v>285</v>
      </c>
      <c r="J75" s="1" t="s">
        <v>286</v>
      </c>
      <c r="K75" s="1" t="s">
        <v>286</v>
      </c>
      <c r="M75" s="1">
        <v>-11.0</v>
      </c>
      <c r="O75" s="1">
        <v>7.9866</v>
      </c>
    </row>
    <row r="76" ht="15.75" hidden="1" customHeight="1">
      <c r="A76" s="4">
        <v>45527.0</v>
      </c>
      <c r="B76" s="1" t="s">
        <v>107</v>
      </c>
      <c r="C76" s="1" t="s">
        <v>104</v>
      </c>
      <c r="D76" s="1">
        <v>788.0</v>
      </c>
      <c r="E76" s="1">
        <v>0.0</v>
      </c>
      <c r="F76" s="1" t="s">
        <v>287</v>
      </c>
      <c r="G76" s="1" t="s">
        <v>91</v>
      </c>
      <c r="H76" s="1" t="s">
        <v>92</v>
      </c>
      <c r="I76" s="1" t="s">
        <v>288</v>
      </c>
      <c r="J76" s="1" t="s">
        <v>289</v>
      </c>
      <c r="K76" s="1" t="s">
        <v>289</v>
      </c>
      <c r="M76" s="1">
        <v>-8.0</v>
      </c>
      <c r="O76" s="1">
        <v>11.422866666666666</v>
      </c>
    </row>
    <row r="77" ht="15.75" hidden="1" customHeight="1">
      <c r="A77" s="4">
        <v>45527.0</v>
      </c>
      <c r="B77" s="1" t="s">
        <v>88</v>
      </c>
      <c r="C77" s="1" t="s">
        <v>89</v>
      </c>
      <c r="D77" s="1">
        <v>289.0</v>
      </c>
      <c r="E77" s="1">
        <v>0.0</v>
      </c>
      <c r="F77" s="1" t="s">
        <v>90</v>
      </c>
      <c r="G77" s="1" t="s">
        <v>91</v>
      </c>
      <c r="H77" s="1" t="s">
        <v>92</v>
      </c>
      <c r="I77" s="1" t="s">
        <v>290</v>
      </c>
      <c r="J77" s="1" t="s">
        <v>291</v>
      </c>
      <c r="K77" s="1" t="s">
        <v>291</v>
      </c>
      <c r="M77" s="1">
        <v>-6.0</v>
      </c>
      <c r="O77" s="1">
        <v>8.499866666666666</v>
      </c>
    </row>
    <row r="78" ht="15.75" hidden="1" customHeight="1">
      <c r="A78" s="4">
        <v>45527.0</v>
      </c>
      <c r="B78" s="1" t="s">
        <v>103</v>
      </c>
      <c r="C78" s="1" t="s">
        <v>104</v>
      </c>
      <c r="D78" s="1">
        <v>311.0</v>
      </c>
      <c r="E78" s="1">
        <v>0.0</v>
      </c>
      <c r="G78" s="1" t="s">
        <v>91</v>
      </c>
      <c r="H78" s="1" t="s">
        <v>92</v>
      </c>
      <c r="I78" s="1" t="s">
        <v>292</v>
      </c>
      <c r="J78" s="1" t="s">
        <v>293</v>
      </c>
      <c r="K78" s="1" t="s">
        <v>293</v>
      </c>
      <c r="M78" s="1">
        <v>-2.0</v>
      </c>
      <c r="O78" s="1">
        <v>5.751933333333334</v>
      </c>
    </row>
    <row r="79" ht="15.75" hidden="1" customHeight="1">
      <c r="A79" s="4">
        <v>45527.0</v>
      </c>
      <c r="B79" s="1" t="s">
        <v>103</v>
      </c>
      <c r="C79" s="1" t="s">
        <v>104</v>
      </c>
      <c r="D79" s="1">
        <v>342.0</v>
      </c>
      <c r="E79" s="1">
        <v>100.0</v>
      </c>
      <c r="G79" s="1" t="s">
        <v>91</v>
      </c>
      <c r="H79" s="1" t="s">
        <v>92</v>
      </c>
      <c r="I79" s="1" t="s">
        <v>294</v>
      </c>
      <c r="J79" s="1" t="s">
        <v>295</v>
      </c>
      <c r="K79" s="1" t="s">
        <v>295</v>
      </c>
      <c r="M79" s="1">
        <v>-3.0</v>
      </c>
      <c r="O79" s="1">
        <v>5.480816666666667</v>
      </c>
    </row>
    <row r="80" ht="15.75" hidden="1" customHeight="1">
      <c r="A80" s="4">
        <v>45527.0</v>
      </c>
      <c r="B80" s="1" t="s">
        <v>103</v>
      </c>
      <c r="C80" s="1" t="s">
        <v>104</v>
      </c>
      <c r="D80" s="1">
        <v>239.0</v>
      </c>
      <c r="E80" s="1">
        <v>50.0</v>
      </c>
      <c r="G80" s="1" t="s">
        <v>91</v>
      </c>
      <c r="H80" s="1" t="s">
        <v>92</v>
      </c>
      <c r="I80" s="1" t="s">
        <v>296</v>
      </c>
      <c r="J80" s="1" t="s">
        <v>297</v>
      </c>
      <c r="K80" s="1" t="s">
        <v>297</v>
      </c>
      <c r="M80" s="1">
        <v>-1.0</v>
      </c>
      <c r="O80" s="1">
        <v>5.468216666666667</v>
      </c>
    </row>
    <row r="81" ht="15.75" hidden="1" customHeight="1">
      <c r="A81" s="4">
        <v>45527.0</v>
      </c>
      <c r="B81" s="1" t="s">
        <v>95</v>
      </c>
      <c r="C81" s="1" t="s">
        <v>104</v>
      </c>
      <c r="D81" s="1">
        <v>298.0</v>
      </c>
      <c r="E81" s="1">
        <v>50.0</v>
      </c>
      <c r="G81" s="1" t="s">
        <v>119</v>
      </c>
      <c r="H81" s="1" t="s">
        <v>98</v>
      </c>
      <c r="I81" s="1" t="s">
        <v>298</v>
      </c>
      <c r="J81" s="1" t="s">
        <v>299</v>
      </c>
      <c r="K81" s="1" t="s">
        <v>299</v>
      </c>
      <c r="M81" s="1">
        <v>-8.0</v>
      </c>
      <c r="O81" s="1">
        <v>10.95335</v>
      </c>
    </row>
    <row r="82" ht="15.75" hidden="1" customHeight="1">
      <c r="A82" s="4">
        <v>45527.0</v>
      </c>
      <c r="B82" s="1" t="s">
        <v>103</v>
      </c>
      <c r="C82" s="1" t="s">
        <v>104</v>
      </c>
      <c r="D82" s="1">
        <v>394.0</v>
      </c>
      <c r="E82" s="1">
        <v>0.0</v>
      </c>
      <c r="G82" s="1" t="s">
        <v>91</v>
      </c>
      <c r="H82" s="1" t="s">
        <v>92</v>
      </c>
      <c r="I82" s="1" t="s">
        <v>300</v>
      </c>
      <c r="J82" s="1" t="s">
        <v>301</v>
      </c>
      <c r="K82" s="1" t="s">
        <v>301</v>
      </c>
      <c r="M82" s="1">
        <v>2.0</v>
      </c>
      <c r="O82" s="1">
        <v>9.072166666666666</v>
      </c>
    </row>
    <row r="83" ht="15.75" hidden="1" customHeight="1">
      <c r="A83" s="4">
        <v>45527.0</v>
      </c>
      <c r="B83" s="1" t="s">
        <v>107</v>
      </c>
      <c r="C83" s="1" t="s">
        <v>104</v>
      </c>
      <c r="D83" s="1">
        <v>548.0</v>
      </c>
      <c r="E83" s="1">
        <v>0.0</v>
      </c>
      <c r="F83" s="1" t="s">
        <v>282</v>
      </c>
      <c r="G83" s="1" t="s">
        <v>91</v>
      </c>
      <c r="H83" s="1" t="s">
        <v>92</v>
      </c>
      <c r="I83" s="1" t="s">
        <v>302</v>
      </c>
      <c r="J83" s="1" t="s">
        <v>303</v>
      </c>
      <c r="K83" s="1" t="s">
        <v>303</v>
      </c>
      <c r="M83" s="1">
        <v>-12.0</v>
      </c>
      <c r="O83" s="1">
        <v>7.840866666666667</v>
      </c>
    </row>
    <row r="84" ht="15.75" hidden="1" customHeight="1">
      <c r="A84" s="4">
        <v>45527.0</v>
      </c>
      <c r="B84" s="1" t="s">
        <v>95</v>
      </c>
      <c r="C84" s="1" t="s">
        <v>104</v>
      </c>
      <c r="D84" s="1">
        <v>554.0</v>
      </c>
      <c r="E84" s="1">
        <v>124.0</v>
      </c>
      <c r="G84" s="1" t="s">
        <v>119</v>
      </c>
      <c r="H84" s="1" t="s">
        <v>92</v>
      </c>
      <c r="I84" s="1" t="s">
        <v>304</v>
      </c>
      <c r="J84" s="1" t="s">
        <v>305</v>
      </c>
      <c r="K84" s="1" t="s">
        <v>305</v>
      </c>
      <c r="M84" s="1">
        <v>-6.0</v>
      </c>
      <c r="O84" s="1">
        <v>24.334966666666666</v>
      </c>
    </row>
    <row r="85" ht="15.75" hidden="1" customHeight="1">
      <c r="A85" s="4">
        <v>45527.0</v>
      </c>
      <c r="B85" s="1" t="s">
        <v>88</v>
      </c>
      <c r="C85" s="1" t="s">
        <v>89</v>
      </c>
      <c r="D85" s="1">
        <v>169.0</v>
      </c>
      <c r="E85" s="1">
        <v>0.0</v>
      </c>
      <c r="F85" s="1" t="s">
        <v>90</v>
      </c>
      <c r="G85" s="1" t="s">
        <v>91</v>
      </c>
      <c r="H85" s="1" t="s">
        <v>92</v>
      </c>
      <c r="I85" s="1" t="s">
        <v>306</v>
      </c>
      <c r="J85" s="1" t="s">
        <v>307</v>
      </c>
      <c r="K85" s="1" t="s">
        <v>307</v>
      </c>
      <c r="M85" s="1">
        <v>-9.0</v>
      </c>
      <c r="O85" s="1">
        <v>5.3007</v>
      </c>
    </row>
    <row r="86" ht="15.75" hidden="1" customHeight="1">
      <c r="A86" s="4">
        <v>45527.0</v>
      </c>
      <c r="B86" s="1" t="s">
        <v>103</v>
      </c>
      <c r="C86" s="1" t="s">
        <v>104</v>
      </c>
      <c r="D86" s="1">
        <v>602.0</v>
      </c>
      <c r="E86" s="1">
        <v>0.0</v>
      </c>
      <c r="G86" s="1" t="s">
        <v>91</v>
      </c>
      <c r="H86" s="1" t="s">
        <v>92</v>
      </c>
      <c r="I86" s="1" t="s">
        <v>308</v>
      </c>
      <c r="J86" s="1" t="s">
        <v>309</v>
      </c>
      <c r="K86" s="1" t="s">
        <v>309</v>
      </c>
      <c r="M86" s="1">
        <v>-1.0</v>
      </c>
      <c r="O86" s="1">
        <v>7.4276</v>
      </c>
    </row>
    <row r="87" ht="15.75" hidden="1" customHeight="1">
      <c r="A87" s="4">
        <v>45527.0</v>
      </c>
      <c r="B87" s="1" t="s">
        <v>95</v>
      </c>
      <c r="C87" s="1" t="s">
        <v>89</v>
      </c>
      <c r="D87" s="1">
        <v>620.0</v>
      </c>
      <c r="E87" s="1">
        <v>92.0</v>
      </c>
      <c r="F87" s="1" t="s">
        <v>96</v>
      </c>
      <c r="G87" s="1" t="s">
        <v>97</v>
      </c>
      <c r="H87" s="1" t="s">
        <v>92</v>
      </c>
      <c r="I87" s="1" t="s">
        <v>310</v>
      </c>
      <c r="J87" s="1" t="s">
        <v>311</v>
      </c>
      <c r="K87" s="1" t="s">
        <v>312</v>
      </c>
      <c r="L87" s="1" t="s">
        <v>313</v>
      </c>
      <c r="M87" s="1">
        <v>-19.0</v>
      </c>
      <c r="N87" s="1">
        <v>0.013683333333333334</v>
      </c>
      <c r="O87" s="1">
        <v>7.1668</v>
      </c>
    </row>
    <row r="88" ht="15.75" hidden="1" customHeight="1">
      <c r="A88" s="4">
        <v>45527.0</v>
      </c>
      <c r="B88" s="1" t="s">
        <v>95</v>
      </c>
      <c r="C88" s="1" t="s">
        <v>104</v>
      </c>
      <c r="D88" s="1">
        <v>563.0</v>
      </c>
      <c r="E88" s="1">
        <v>111.0</v>
      </c>
      <c r="G88" s="1" t="s">
        <v>119</v>
      </c>
      <c r="H88" s="1" t="s">
        <v>92</v>
      </c>
      <c r="I88" s="1" t="s">
        <v>314</v>
      </c>
      <c r="J88" s="1" t="s">
        <v>315</v>
      </c>
      <c r="K88" s="1" t="s">
        <v>315</v>
      </c>
      <c r="M88" s="1">
        <v>-9.0</v>
      </c>
      <c r="O88" s="1">
        <v>14.524083333333333</v>
      </c>
    </row>
    <row r="89" ht="15.75" hidden="1" customHeight="1">
      <c r="A89" s="4">
        <v>45527.0</v>
      </c>
      <c r="B89" s="1" t="s">
        <v>103</v>
      </c>
      <c r="C89" s="1" t="s">
        <v>104</v>
      </c>
      <c r="D89" s="1">
        <v>264.0</v>
      </c>
      <c r="E89" s="1">
        <v>0.0</v>
      </c>
      <c r="G89" s="1" t="s">
        <v>91</v>
      </c>
      <c r="H89" s="1" t="s">
        <v>92</v>
      </c>
      <c r="I89" s="1" t="s">
        <v>316</v>
      </c>
      <c r="J89" s="1" t="s">
        <v>317</v>
      </c>
      <c r="K89" s="1" t="s">
        <v>317</v>
      </c>
      <c r="M89" s="1">
        <v>1.0</v>
      </c>
      <c r="O89" s="1">
        <v>7.222583333333334</v>
      </c>
    </row>
    <row r="90" ht="15.75" hidden="1" customHeight="1">
      <c r="A90" s="4">
        <v>45527.0</v>
      </c>
      <c r="B90" s="1" t="s">
        <v>88</v>
      </c>
      <c r="C90" s="1" t="s">
        <v>89</v>
      </c>
      <c r="D90" s="1">
        <v>264.0</v>
      </c>
      <c r="E90" s="1">
        <v>0.0</v>
      </c>
      <c r="F90" s="1" t="s">
        <v>90</v>
      </c>
      <c r="G90" s="1" t="s">
        <v>91</v>
      </c>
      <c r="H90" s="1" t="s">
        <v>92</v>
      </c>
      <c r="I90" s="1" t="s">
        <v>318</v>
      </c>
      <c r="J90" s="1" t="s">
        <v>319</v>
      </c>
      <c r="K90" s="1" t="s">
        <v>319</v>
      </c>
      <c r="M90" s="1">
        <v>-9.0</v>
      </c>
      <c r="O90" s="1">
        <v>5.1853</v>
      </c>
    </row>
    <row r="91" ht="15.75" hidden="1" customHeight="1">
      <c r="A91" s="4">
        <v>45527.0</v>
      </c>
      <c r="B91" s="1" t="s">
        <v>95</v>
      </c>
      <c r="C91" s="1" t="s">
        <v>104</v>
      </c>
      <c r="D91" s="1">
        <v>333.0</v>
      </c>
      <c r="E91" s="1">
        <v>50.0</v>
      </c>
      <c r="G91" s="1" t="s">
        <v>119</v>
      </c>
      <c r="H91" s="1" t="s">
        <v>213</v>
      </c>
      <c r="I91" s="1" t="s">
        <v>320</v>
      </c>
      <c r="J91" s="1" t="s">
        <v>321</v>
      </c>
      <c r="K91" s="1" t="s">
        <v>321</v>
      </c>
      <c r="M91" s="1">
        <v>-12.0</v>
      </c>
      <c r="O91" s="1">
        <v>6.894</v>
      </c>
    </row>
    <row r="92" ht="15.75" hidden="1" customHeight="1">
      <c r="A92" s="4">
        <v>45527.0</v>
      </c>
      <c r="B92" s="1" t="s">
        <v>103</v>
      </c>
      <c r="C92" s="1" t="s">
        <v>104</v>
      </c>
      <c r="D92" s="1">
        <v>449.0</v>
      </c>
      <c r="E92" s="1">
        <v>0.0</v>
      </c>
      <c r="G92" s="1" t="s">
        <v>91</v>
      </c>
      <c r="H92" s="1" t="s">
        <v>92</v>
      </c>
      <c r="I92" s="1" t="s">
        <v>322</v>
      </c>
      <c r="J92" s="1" t="s">
        <v>323</v>
      </c>
      <c r="K92" s="1" t="s">
        <v>323</v>
      </c>
      <c r="M92" s="1">
        <v>0.0</v>
      </c>
      <c r="O92" s="1">
        <v>7.831816666666667</v>
      </c>
    </row>
    <row r="93" ht="15.75" hidden="1" customHeight="1">
      <c r="A93" s="4">
        <v>45527.0</v>
      </c>
      <c r="B93" s="1" t="s">
        <v>103</v>
      </c>
      <c r="C93" s="1" t="s">
        <v>104</v>
      </c>
      <c r="D93" s="1">
        <v>258.0</v>
      </c>
      <c r="E93" s="1">
        <v>0.0</v>
      </c>
      <c r="G93" s="1" t="s">
        <v>91</v>
      </c>
      <c r="H93" s="1" t="s">
        <v>92</v>
      </c>
      <c r="I93" s="1" t="s">
        <v>324</v>
      </c>
      <c r="J93" s="1" t="s">
        <v>325</v>
      </c>
      <c r="K93" s="1" t="s">
        <v>325</v>
      </c>
      <c r="M93" s="1">
        <v>0.0</v>
      </c>
      <c r="O93" s="1">
        <v>6.5733</v>
      </c>
    </row>
    <row r="94" ht="15.75" hidden="1" customHeight="1">
      <c r="A94" s="4">
        <v>45527.0</v>
      </c>
      <c r="B94" s="1" t="s">
        <v>88</v>
      </c>
      <c r="C94" s="1" t="s">
        <v>89</v>
      </c>
      <c r="D94" s="1">
        <v>522.0</v>
      </c>
      <c r="E94" s="1">
        <v>0.0</v>
      </c>
      <c r="F94" s="1" t="s">
        <v>90</v>
      </c>
      <c r="G94" s="1" t="s">
        <v>91</v>
      </c>
      <c r="H94" s="1" t="s">
        <v>92</v>
      </c>
      <c r="I94" s="1" t="s">
        <v>326</v>
      </c>
      <c r="J94" s="1" t="s">
        <v>327</v>
      </c>
      <c r="K94" s="1" t="s">
        <v>327</v>
      </c>
      <c r="M94" s="1">
        <v>-13.0</v>
      </c>
      <c r="O94" s="1">
        <v>6.7959</v>
      </c>
    </row>
    <row r="95" ht="15.75" hidden="1" customHeight="1">
      <c r="A95" s="4">
        <v>45527.0</v>
      </c>
      <c r="B95" s="1" t="s">
        <v>95</v>
      </c>
      <c r="C95" s="1" t="s">
        <v>89</v>
      </c>
      <c r="D95" s="1">
        <v>318.0</v>
      </c>
      <c r="E95" s="1">
        <v>0.0</v>
      </c>
      <c r="F95" s="1" t="s">
        <v>96</v>
      </c>
      <c r="G95" s="1" t="s">
        <v>97</v>
      </c>
      <c r="H95" s="1" t="s">
        <v>92</v>
      </c>
      <c r="I95" s="1" t="s">
        <v>328</v>
      </c>
      <c r="J95" s="1" t="s">
        <v>329</v>
      </c>
      <c r="K95" s="1" t="s">
        <v>330</v>
      </c>
      <c r="L95" s="1" t="s">
        <v>331</v>
      </c>
      <c r="M95" s="1">
        <v>-11.0</v>
      </c>
      <c r="N95" s="1">
        <v>0.016483333333333332</v>
      </c>
      <c r="O95" s="1">
        <v>7.975783333333333</v>
      </c>
    </row>
    <row r="96" ht="15.75" hidden="1" customHeight="1">
      <c r="A96" s="4">
        <v>45527.0</v>
      </c>
      <c r="B96" s="1" t="s">
        <v>95</v>
      </c>
      <c r="C96" s="1" t="s">
        <v>104</v>
      </c>
      <c r="D96" s="1">
        <v>494.0</v>
      </c>
      <c r="E96" s="1">
        <v>124.0</v>
      </c>
      <c r="G96" s="1" t="s">
        <v>119</v>
      </c>
      <c r="H96" s="1" t="s">
        <v>213</v>
      </c>
      <c r="I96" s="1" t="s">
        <v>332</v>
      </c>
      <c r="J96" s="1" t="s">
        <v>333</v>
      </c>
      <c r="K96" s="1" t="s">
        <v>333</v>
      </c>
      <c r="M96" s="1">
        <v>-14.0</v>
      </c>
      <c r="O96" s="1">
        <v>20.0415</v>
      </c>
    </row>
    <row r="97" ht="15.75" hidden="1" customHeight="1">
      <c r="A97" s="4">
        <v>45527.0</v>
      </c>
      <c r="B97" s="1" t="s">
        <v>107</v>
      </c>
      <c r="C97" s="1" t="s">
        <v>104</v>
      </c>
      <c r="D97" s="1">
        <v>723.0</v>
      </c>
      <c r="E97" s="1">
        <v>0.0</v>
      </c>
      <c r="F97" s="1" t="s">
        <v>334</v>
      </c>
      <c r="G97" s="1" t="s">
        <v>91</v>
      </c>
      <c r="H97" s="1" t="s">
        <v>92</v>
      </c>
      <c r="I97" s="1" t="s">
        <v>335</v>
      </c>
      <c r="J97" s="1" t="s">
        <v>336</v>
      </c>
      <c r="K97" s="1" t="s">
        <v>336</v>
      </c>
      <c r="M97" s="1">
        <v>-10.0</v>
      </c>
      <c r="O97" s="1">
        <v>9.726983333333333</v>
      </c>
    </row>
    <row r="98" ht="15.75" hidden="1" customHeight="1">
      <c r="A98" s="4">
        <v>45527.0</v>
      </c>
      <c r="B98" s="1" t="s">
        <v>88</v>
      </c>
      <c r="C98" s="1" t="s">
        <v>89</v>
      </c>
      <c r="D98" s="1">
        <v>602.0</v>
      </c>
      <c r="E98" s="1">
        <v>0.0</v>
      </c>
      <c r="F98" s="1" t="s">
        <v>90</v>
      </c>
      <c r="G98" s="1" t="s">
        <v>91</v>
      </c>
      <c r="H98" s="1" t="s">
        <v>92</v>
      </c>
      <c r="I98" s="1" t="s">
        <v>337</v>
      </c>
      <c r="J98" s="1" t="s">
        <v>338</v>
      </c>
      <c r="K98" s="1" t="s">
        <v>338</v>
      </c>
      <c r="M98" s="1">
        <v>-11.0</v>
      </c>
      <c r="O98" s="1">
        <v>8.46075</v>
      </c>
    </row>
    <row r="99" ht="15.75" hidden="1" customHeight="1">
      <c r="A99" s="4">
        <v>45527.0</v>
      </c>
      <c r="B99" s="1" t="s">
        <v>88</v>
      </c>
      <c r="C99" s="1" t="s">
        <v>89</v>
      </c>
      <c r="D99" s="1">
        <v>474.0</v>
      </c>
      <c r="E99" s="1">
        <v>0.0</v>
      </c>
      <c r="F99" s="1" t="s">
        <v>90</v>
      </c>
      <c r="G99" s="1" t="s">
        <v>91</v>
      </c>
      <c r="H99" s="1" t="s">
        <v>92</v>
      </c>
      <c r="I99" s="1" t="s">
        <v>339</v>
      </c>
      <c r="J99" s="1" t="s">
        <v>340</v>
      </c>
      <c r="K99" s="1" t="s">
        <v>340</v>
      </c>
      <c r="M99" s="1">
        <v>-8.0</v>
      </c>
      <c r="O99" s="1">
        <v>6.646466666666667</v>
      </c>
    </row>
    <row r="100" ht="15.75" hidden="1" customHeight="1">
      <c r="A100" s="4">
        <v>45527.0</v>
      </c>
      <c r="B100" s="1" t="s">
        <v>107</v>
      </c>
      <c r="C100" s="1" t="s">
        <v>104</v>
      </c>
      <c r="D100" s="1">
        <v>329.0</v>
      </c>
      <c r="E100" s="1">
        <v>0.0</v>
      </c>
      <c r="F100" s="1" t="s">
        <v>341</v>
      </c>
      <c r="G100" s="1" t="s">
        <v>91</v>
      </c>
      <c r="H100" s="1" t="s">
        <v>92</v>
      </c>
      <c r="I100" s="1" t="s">
        <v>342</v>
      </c>
      <c r="J100" s="1" t="s">
        <v>343</v>
      </c>
      <c r="K100" s="1" t="s">
        <v>343</v>
      </c>
      <c r="M100" s="1">
        <v>-6.0</v>
      </c>
      <c r="O100" s="1">
        <v>8.869133333333334</v>
      </c>
    </row>
    <row r="101" ht="15.75" hidden="1" customHeight="1">
      <c r="A101" s="4">
        <v>45527.0</v>
      </c>
      <c r="B101" s="1" t="s">
        <v>103</v>
      </c>
      <c r="C101" s="1" t="s">
        <v>104</v>
      </c>
      <c r="D101" s="1">
        <v>487.0</v>
      </c>
      <c r="E101" s="1">
        <v>0.0</v>
      </c>
      <c r="G101" s="1" t="s">
        <v>91</v>
      </c>
      <c r="H101" s="1" t="s">
        <v>92</v>
      </c>
      <c r="I101" s="1" t="s">
        <v>344</v>
      </c>
      <c r="J101" s="1" t="s">
        <v>345</v>
      </c>
      <c r="K101" s="1" t="s">
        <v>345</v>
      </c>
      <c r="M101" s="1">
        <v>-1.0</v>
      </c>
      <c r="O101" s="1">
        <v>6.617583333333333</v>
      </c>
    </row>
    <row r="102" ht="15.75" hidden="1" customHeight="1">
      <c r="A102" s="4">
        <v>45527.0</v>
      </c>
      <c r="B102" s="1" t="s">
        <v>88</v>
      </c>
      <c r="C102" s="1" t="s">
        <v>89</v>
      </c>
      <c r="D102" s="1">
        <v>633.0</v>
      </c>
      <c r="E102" s="1">
        <v>0.0</v>
      </c>
      <c r="F102" s="1" t="s">
        <v>90</v>
      </c>
      <c r="G102" s="1" t="s">
        <v>91</v>
      </c>
      <c r="H102" s="1" t="s">
        <v>92</v>
      </c>
      <c r="I102" s="1" t="s">
        <v>346</v>
      </c>
      <c r="J102" s="1" t="s">
        <v>347</v>
      </c>
      <c r="K102" s="1" t="s">
        <v>347</v>
      </c>
      <c r="M102" s="1">
        <v>-12.0</v>
      </c>
      <c r="O102" s="1">
        <v>7.981083333333333</v>
      </c>
    </row>
    <row r="103" ht="15.75" hidden="1" customHeight="1">
      <c r="A103" s="4">
        <v>45527.0</v>
      </c>
      <c r="B103" s="1" t="s">
        <v>107</v>
      </c>
      <c r="C103" s="1" t="s">
        <v>104</v>
      </c>
      <c r="D103" s="1">
        <v>329.0</v>
      </c>
      <c r="E103" s="1">
        <v>0.0</v>
      </c>
      <c r="F103" s="1" t="s">
        <v>348</v>
      </c>
      <c r="G103" s="1" t="s">
        <v>91</v>
      </c>
      <c r="H103" s="1" t="s">
        <v>92</v>
      </c>
      <c r="I103" s="1" t="s">
        <v>349</v>
      </c>
      <c r="J103" s="1" t="s">
        <v>350</v>
      </c>
      <c r="K103" s="1" t="s">
        <v>350</v>
      </c>
      <c r="M103" s="1">
        <v>-7.0</v>
      </c>
      <c r="O103" s="1">
        <v>7.948383333333333</v>
      </c>
    </row>
    <row r="104" ht="15.75" hidden="1" customHeight="1">
      <c r="A104" s="4">
        <v>45527.0</v>
      </c>
      <c r="B104" s="1" t="s">
        <v>103</v>
      </c>
      <c r="C104" s="1" t="s">
        <v>104</v>
      </c>
      <c r="D104" s="1">
        <v>394.0</v>
      </c>
      <c r="E104" s="1">
        <v>0.0</v>
      </c>
      <c r="G104" s="1" t="s">
        <v>91</v>
      </c>
      <c r="H104" s="1" t="s">
        <v>92</v>
      </c>
      <c r="I104" s="1" t="s">
        <v>351</v>
      </c>
      <c r="J104" s="1" t="s">
        <v>352</v>
      </c>
      <c r="K104" s="1" t="s">
        <v>352</v>
      </c>
      <c r="M104" s="1">
        <v>0.0</v>
      </c>
      <c r="O104" s="1">
        <v>8.31215</v>
      </c>
    </row>
    <row r="105" ht="15.75" hidden="1" customHeight="1">
      <c r="A105" s="4">
        <v>45527.0</v>
      </c>
      <c r="B105" s="1" t="s">
        <v>107</v>
      </c>
      <c r="C105" s="1" t="s">
        <v>104</v>
      </c>
      <c r="D105" s="1">
        <v>817.0</v>
      </c>
      <c r="E105" s="1">
        <v>0.0</v>
      </c>
      <c r="F105" s="1" t="s">
        <v>348</v>
      </c>
      <c r="G105" s="1" t="s">
        <v>91</v>
      </c>
      <c r="H105" s="1" t="s">
        <v>92</v>
      </c>
      <c r="I105" s="1" t="s">
        <v>353</v>
      </c>
      <c r="J105" s="1" t="s">
        <v>354</v>
      </c>
      <c r="K105" s="1" t="s">
        <v>354</v>
      </c>
      <c r="M105" s="1">
        <v>-9.0</v>
      </c>
      <c r="O105" s="1">
        <v>10.688233333333333</v>
      </c>
    </row>
    <row r="106" ht="15.75" hidden="1" customHeight="1">
      <c r="A106" s="4">
        <v>45527.0</v>
      </c>
      <c r="B106" s="1" t="s">
        <v>88</v>
      </c>
      <c r="C106" s="1" t="s">
        <v>89</v>
      </c>
      <c r="D106" s="1">
        <v>264.0</v>
      </c>
      <c r="E106" s="1">
        <v>0.0</v>
      </c>
      <c r="F106" s="1" t="s">
        <v>90</v>
      </c>
      <c r="G106" s="1" t="s">
        <v>91</v>
      </c>
      <c r="H106" s="1" t="s">
        <v>92</v>
      </c>
      <c r="I106" s="1" t="s">
        <v>355</v>
      </c>
      <c r="J106" s="1" t="s">
        <v>356</v>
      </c>
      <c r="K106" s="1" t="s">
        <v>356</v>
      </c>
      <c r="M106" s="1">
        <v>-2.0</v>
      </c>
      <c r="O106" s="1">
        <v>12.453233333333333</v>
      </c>
    </row>
    <row r="107" ht="15.75" hidden="1" customHeight="1">
      <c r="A107" s="4">
        <v>45527.0</v>
      </c>
      <c r="B107" s="1" t="s">
        <v>88</v>
      </c>
      <c r="C107" s="1" t="s">
        <v>89</v>
      </c>
      <c r="D107" s="1">
        <v>554.0</v>
      </c>
      <c r="E107" s="1">
        <v>0.0</v>
      </c>
      <c r="F107" s="1" t="s">
        <v>90</v>
      </c>
      <c r="G107" s="1" t="s">
        <v>91</v>
      </c>
      <c r="H107" s="1" t="s">
        <v>92</v>
      </c>
      <c r="I107" s="1" t="s">
        <v>357</v>
      </c>
      <c r="J107" s="1" t="s">
        <v>358</v>
      </c>
      <c r="K107" s="1" t="s">
        <v>358</v>
      </c>
      <c r="M107" s="1">
        <v>-6.0</v>
      </c>
      <c r="O107" s="1">
        <v>13.46285</v>
      </c>
    </row>
    <row r="108" ht="15.75" hidden="1" customHeight="1">
      <c r="A108" s="4">
        <v>45527.0</v>
      </c>
      <c r="B108" s="1" t="s">
        <v>103</v>
      </c>
      <c r="C108" s="1" t="s">
        <v>104</v>
      </c>
      <c r="D108" s="1">
        <v>910.0</v>
      </c>
      <c r="E108" s="1">
        <v>0.0</v>
      </c>
      <c r="G108" s="1" t="s">
        <v>91</v>
      </c>
      <c r="H108" s="1" t="s">
        <v>98</v>
      </c>
      <c r="I108" s="1" t="s">
        <v>359</v>
      </c>
      <c r="J108" s="1" t="s">
        <v>360</v>
      </c>
      <c r="K108" s="1" t="s">
        <v>360</v>
      </c>
      <c r="M108" s="1">
        <v>-1.0</v>
      </c>
      <c r="O108" s="1">
        <v>9.446733333333333</v>
      </c>
    </row>
    <row r="109" ht="15.75" hidden="1" customHeight="1">
      <c r="A109" s="4">
        <v>45527.0</v>
      </c>
      <c r="B109" s="1" t="s">
        <v>103</v>
      </c>
      <c r="C109" s="1" t="s">
        <v>104</v>
      </c>
      <c r="D109" s="1">
        <v>390.0</v>
      </c>
      <c r="E109" s="1">
        <v>0.0</v>
      </c>
      <c r="G109" s="1" t="s">
        <v>91</v>
      </c>
      <c r="H109" s="1" t="s">
        <v>92</v>
      </c>
      <c r="I109" s="1" t="s">
        <v>361</v>
      </c>
      <c r="J109" s="1" t="s">
        <v>362</v>
      </c>
      <c r="K109" s="1" t="s">
        <v>362</v>
      </c>
      <c r="M109" s="1">
        <v>2.0</v>
      </c>
      <c r="O109" s="1">
        <v>9.343316666666666</v>
      </c>
    </row>
    <row r="110" ht="15.75" hidden="1" customHeight="1">
      <c r="A110" s="4">
        <v>45527.0</v>
      </c>
      <c r="B110" s="1" t="s">
        <v>103</v>
      </c>
      <c r="C110" s="1" t="s">
        <v>104</v>
      </c>
      <c r="D110" s="1">
        <v>368.0</v>
      </c>
      <c r="E110" s="1">
        <v>150.0</v>
      </c>
      <c r="G110" s="1" t="s">
        <v>91</v>
      </c>
      <c r="H110" s="1" t="s">
        <v>92</v>
      </c>
      <c r="I110" s="1" t="s">
        <v>363</v>
      </c>
      <c r="J110" s="1" t="s">
        <v>364</v>
      </c>
      <c r="K110" s="1" t="s">
        <v>364</v>
      </c>
      <c r="M110" s="1">
        <v>2.0</v>
      </c>
      <c r="O110" s="1">
        <v>10.249066666666666</v>
      </c>
    </row>
    <row r="111" ht="15.75" hidden="1" customHeight="1">
      <c r="A111" s="4">
        <v>45527.0</v>
      </c>
      <c r="B111" s="1" t="s">
        <v>103</v>
      </c>
      <c r="C111" s="1" t="s">
        <v>104</v>
      </c>
      <c r="D111" s="1">
        <v>371.0</v>
      </c>
      <c r="E111" s="1">
        <v>0.0</v>
      </c>
      <c r="G111" s="1" t="s">
        <v>91</v>
      </c>
      <c r="H111" s="1" t="s">
        <v>92</v>
      </c>
      <c r="I111" s="1" t="s">
        <v>365</v>
      </c>
      <c r="J111" s="1" t="s">
        <v>366</v>
      </c>
      <c r="K111" s="1" t="s">
        <v>366</v>
      </c>
      <c r="M111" s="1">
        <v>0.0</v>
      </c>
      <c r="O111" s="1">
        <v>7.849283333333333</v>
      </c>
    </row>
    <row r="112" ht="15.75" hidden="1" customHeight="1">
      <c r="A112" s="4">
        <v>45527.0</v>
      </c>
      <c r="B112" s="1" t="s">
        <v>88</v>
      </c>
      <c r="C112" s="1" t="s">
        <v>89</v>
      </c>
      <c r="D112" s="1">
        <v>329.0</v>
      </c>
      <c r="E112" s="1">
        <v>0.0</v>
      </c>
      <c r="F112" s="1" t="s">
        <v>90</v>
      </c>
      <c r="G112" s="1" t="s">
        <v>91</v>
      </c>
      <c r="H112" s="1" t="s">
        <v>92</v>
      </c>
      <c r="I112" s="1" t="s">
        <v>367</v>
      </c>
      <c r="J112" s="1" t="s">
        <v>368</v>
      </c>
      <c r="K112" s="1" t="s">
        <v>368</v>
      </c>
      <c r="M112" s="1">
        <v>-8.0</v>
      </c>
      <c r="O112" s="1">
        <v>6.90845</v>
      </c>
    </row>
    <row r="113" ht="15.75" hidden="1" customHeight="1">
      <c r="A113" s="4">
        <v>45527.0</v>
      </c>
      <c r="B113" s="1" t="s">
        <v>103</v>
      </c>
      <c r="C113" s="1" t="s">
        <v>104</v>
      </c>
      <c r="D113" s="1">
        <v>264.0</v>
      </c>
      <c r="E113" s="1">
        <v>0.0</v>
      </c>
      <c r="G113" s="1" t="s">
        <v>91</v>
      </c>
      <c r="H113" s="1" t="s">
        <v>98</v>
      </c>
      <c r="I113" s="1" t="s">
        <v>369</v>
      </c>
      <c r="J113" s="1" t="s">
        <v>370</v>
      </c>
      <c r="K113" s="1" t="s">
        <v>370</v>
      </c>
      <c r="M113" s="1">
        <v>1.0</v>
      </c>
      <c r="O113" s="1">
        <v>7.923416666666666</v>
      </c>
    </row>
    <row r="114" ht="15.75" hidden="1" customHeight="1">
      <c r="A114" s="4">
        <v>45527.0</v>
      </c>
      <c r="B114" s="1" t="s">
        <v>88</v>
      </c>
      <c r="C114" s="1" t="s">
        <v>89</v>
      </c>
      <c r="D114" s="1">
        <v>707.0</v>
      </c>
      <c r="E114" s="1">
        <v>0.0</v>
      </c>
      <c r="F114" s="1" t="s">
        <v>90</v>
      </c>
      <c r="G114" s="1" t="s">
        <v>91</v>
      </c>
      <c r="H114" s="1" t="s">
        <v>92</v>
      </c>
      <c r="I114" s="1" t="s">
        <v>371</v>
      </c>
      <c r="J114" s="1" t="s">
        <v>372</v>
      </c>
      <c r="K114" s="1" t="s">
        <v>372</v>
      </c>
      <c r="M114" s="1">
        <v>-9.0</v>
      </c>
      <c r="O114" s="1">
        <v>10.46435</v>
      </c>
    </row>
    <row r="115" ht="15.75" hidden="1" customHeight="1">
      <c r="A115" s="4">
        <v>45527.0</v>
      </c>
      <c r="B115" s="1" t="s">
        <v>95</v>
      </c>
      <c r="C115" s="1" t="s">
        <v>89</v>
      </c>
      <c r="D115" s="1">
        <v>952.0</v>
      </c>
      <c r="E115" s="1">
        <v>0.0</v>
      </c>
      <c r="F115" s="1" t="s">
        <v>373</v>
      </c>
      <c r="G115" s="1" t="s">
        <v>97</v>
      </c>
      <c r="H115" s="1" t="s">
        <v>92</v>
      </c>
      <c r="I115" s="1" t="s">
        <v>374</v>
      </c>
      <c r="J115" s="1" t="s">
        <v>375</v>
      </c>
      <c r="K115" s="1" t="s">
        <v>376</v>
      </c>
      <c r="L115" s="1" t="s">
        <v>377</v>
      </c>
      <c r="M115" s="1">
        <v>-7.0</v>
      </c>
      <c r="N115" s="1">
        <v>0.014416666666666666</v>
      </c>
      <c r="O115" s="1">
        <v>9.109016666666667</v>
      </c>
    </row>
    <row r="116" ht="15.75" hidden="1" customHeight="1">
      <c r="A116" s="4">
        <v>45527.0</v>
      </c>
      <c r="B116" s="1" t="s">
        <v>95</v>
      </c>
      <c r="C116" s="1" t="s">
        <v>89</v>
      </c>
      <c r="D116" s="1">
        <v>803.0</v>
      </c>
      <c r="E116" s="1">
        <v>0.0</v>
      </c>
      <c r="F116" s="1" t="s">
        <v>373</v>
      </c>
      <c r="G116" s="1" t="s">
        <v>97</v>
      </c>
      <c r="H116" s="1" t="s">
        <v>92</v>
      </c>
      <c r="I116" s="1" t="s">
        <v>378</v>
      </c>
      <c r="J116" s="1" t="s">
        <v>379</v>
      </c>
      <c r="K116" s="1" t="s">
        <v>380</v>
      </c>
      <c r="L116" s="1" t="s">
        <v>381</v>
      </c>
      <c r="M116" s="1">
        <v>-5.0</v>
      </c>
      <c r="N116" s="1">
        <v>0.010783333333333334</v>
      </c>
      <c r="O116" s="1">
        <v>12.18665</v>
      </c>
    </row>
    <row r="117" ht="15.75" hidden="1" customHeight="1">
      <c r="A117" s="4">
        <v>45527.0</v>
      </c>
      <c r="B117" s="1" t="s">
        <v>107</v>
      </c>
      <c r="C117" s="1" t="s">
        <v>89</v>
      </c>
      <c r="D117" s="1">
        <v>439.0</v>
      </c>
      <c r="E117" s="1">
        <v>0.0</v>
      </c>
      <c r="F117" s="1" t="s">
        <v>382</v>
      </c>
      <c r="G117" s="1" t="s">
        <v>91</v>
      </c>
      <c r="H117" s="1" t="s">
        <v>92</v>
      </c>
      <c r="I117" s="1" t="s">
        <v>383</v>
      </c>
      <c r="J117" s="1" t="s">
        <v>384</v>
      </c>
      <c r="K117" s="1" t="s">
        <v>384</v>
      </c>
      <c r="M117" s="1">
        <v>-6.0</v>
      </c>
      <c r="O117" s="1">
        <v>8.632183333333334</v>
      </c>
    </row>
    <row r="118" ht="15.75" hidden="1" customHeight="1">
      <c r="A118" s="4">
        <v>45527.0</v>
      </c>
      <c r="B118" s="1" t="s">
        <v>88</v>
      </c>
      <c r="C118" s="1" t="s">
        <v>89</v>
      </c>
      <c r="D118" s="1">
        <v>492.0</v>
      </c>
      <c r="E118" s="1">
        <v>0.0</v>
      </c>
      <c r="F118" s="1" t="s">
        <v>90</v>
      </c>
      <c r="G118" s="1" t="s">
        <v>91</v>
      </c>
      <c r="H118" s="1" t="s">
        <v>92</v>
      </c>
      <c r="I118" s="1" t="s">
        <v>385</v>
      </c>
      <c r="J118" s="1" t="s">
        <v>386</v>
      </c>
      <c r="K118" s="1" t="s">
        <v>386</v>
      </c>
      <c r="M118" s="1">
        <v>-9.0</v>
      </c>
      <c r="O118" s="1">
        <v>5.875466666666667</v>
      </c>
    </row>
    <row r="119" ht="15.75" hidden="1" customHeight="1">
      <c r="A119" s="4">
        <v>45527.0</v>
      </c>
      <c r="B119" s="1" t="s">
        <v>88</v>
      </c>
      <c r="C119" s="1" t="s">
        <v>89</v>
      </c>
      <c r="D119" s="1">
        <v>393.0</v>
      </c>
      <c r="E119" s="1">
        <v>0.0</v>
      </c>
      <c r="F119" s="1" t="s">
        <v>90</v>
      </c>
      <c r="G119" s="1" t="s">
        <v>91</v>
      </c>
      <c r="H119" s="1" t="s">
        <v>92</v>
      </c>
      <c r="I119" s="1" t="s">
        <v>387</v>
      </c>
      <c r="J119" s="1" t="s">
        <v>388</v>
      </c>
      <c r="K119" s="1" t="s">
        <v>388</v>
      </c>
      <c r="M119" s="1">
        <v>-7.0</v>
      </c>
      <c r="O119" s="1">
        <v>7.597083333333333</v>
      </c>
    </row>
    <row r="120" ht="15.75" hidden="1" customHeight="1">
      <c r="A120" s="4">
        <v>45527.0</v>
      </c>
      <c r="B120" s="1" t="s">
        <v>95</v>
      </c>
      <c r="C120" s="1" t="s">
        <v>89</v>
      </c>
      <c r="D120" s="1">
        <v>298.0</v>
      </c>
      <c r="E120" s="1">
        <v>0.0</v>
      </c>
      <c r="F120" s="1" t="s">
        <v>373</v>
      </c>
      <c r="G120" s="1" t="s">
        <v>97</v>
      </c>
      <c r="H120" s="1" t="s">
        <v>92</v>
      </c>
      <c r="I120" s="1" t="s">
        <v>389</v>
      </c>
      <c r="J120" s="1" t="s">
        <v>390</v>
      </c>
      <c r="K120" s="1" t="s">
        <v>391</v>
      </c>
      <c r="L120" s="1" t="s">
        <v>392</v>
      </c>
      <c r="M120" s="1">
        <v>-9.0</v>
      </c>
      <c r="N120" s="1">
        <v>0.013616666666666666</v>
      </c>
      <c r="O120" s="1">
        <v>9.517683333333334</v>
      </c>
    </row>
    <row r="121" ht="15.75" hidden="1" customHeight="1">
      <c r="A121" s="4">
        <v>45527.0</v>
      </c>
      <c r="B121" s="1" t="s">
        <v>103</v>
      </c>
      <c r="C121" s="1" t="s">
        <v>104</v>
      </c>
      <c r="D121" s="1">
        <v>383.0</v>
      </c>
      <c r="E121" s="1">
        <v>150.0</v>
      </c>
      <c r="G121" s="1" t="s">
        <v>91</v>
      </c>
      <c r="H121" s="1" t="s">
        <v>92</v>
      </c>
      <c r="I121" s="1" t="s">
        <v>393</v>
      </c>
      <c r="J121" s="1" t="s">
        <v>394</v>
      </c>
      <c r="K121" s="1" t="s">
        <v>394</v>
      </c>
      <c r="M121" s="1">
        <v>2.0</v>
      </c>
      <c r="O121" s="1">
        <v>10.347733333333334</v>
      </c>
    </row>
    <row r="122" ht="15.75" hidden="1" customHeight="1">
      <c r="A122" s="4">
        <v>45527.0</v>
      </c>
      <c r="B122" s="1" t="s">
        <v>88</v>
      </c>
      <c r="C122" s="1" t="s">
        <v>89</v>
      </c>
      <c r="D122" s="1">
        <v>313.0</v>
      </c>
      <c r="E122" s="1">
        <v>0.0</v>
      </c>
      <c r="F122" s="1" t="s">
        <v>90</v>
      </c>
      <c r="G122" s="1" t="s">
        <v>91</v>
      </c>
      <c r="H122" s="1" t="s">
        <v>92</v>
      </c>
      <c r="I122" s="1" t="s">
        <v>395</v>
      </c>
      <c r="J122" s="1" t="s">
        <v>396</v>
      </c>
      <c r="K122" s="1" t="s">
        <v>396</v>
      </c>
      <c r="M122" s="1">
        <v>-7.0</v>
      </c>
      <c r="O122" s="1">
        <v>7.235666666666667</v>
      </c>
    </row>
    <row r="123" ht="15.75" hidden="1" customHeight="1">
      <c r="A123" s="4">
        <v>45527.0</v>
      </c>
      <c r="B123" s="1" t="s">
        <v>95</v>
      </c>
      <c r="C123" s="1" t="s">
        <v>89</v>
      </c>
      <c r="D123" s="1">
        <v>274.0</v>
      </c>
      <c r="E123" s="1">
        <v>0.0</v>
      </c>
      <c r="F123" s="1" t="s">
        <v>373</v>
      </c>
      <c r="G123" s="1" t="s">
        <v>97</v>
      </c>
      <c r="H123" s="1" t="s">
        <v>92</v>
      </c>
      <c r="I123" s="1" t="s">
        <v>397</v>
      </c>
      <c r="J123" s="1" t="s">
        <v>398</v>
      </c>
      <c r="K123" s="1" t="s">
        <v>399</v>
      </c>
      <c r="L123" s="1" t="s">
        <v>400</v>
      </c>
      <c r="M123" s="1">
        <v>-10.0</v>
      </c>
      <c r="N123" s="1">
        <v>0.009716666666666667</v>
      </c>
      <c r="O123" s="1">
        <v>10.97145</v>
      </c>
    </row>
    <row r="124" ht="15.75" hidden="1" customHeight="1">
      <c r="A124" s="4">
        <v>45527.0</v>
      </c>
      <c r="B124" s="1" t="s">
        <v>95</v>
      </c>
      <c r="C124" s="1" t="s">
        <v>89</v>
      </c>
      <c r="D124" s="1">
        <v>682.0</v>
      </c>
      <c r="E124" s="1">
        <v>166.0</v>
      </c>
      <c r="G124" s="1" t="s">
        <v>119</v>
      </c>
      <c r="H124" s="1" t="s">
        <v>92</v>
      </c>
      <c r="I124" s="1" t="s">
        <v>401</v>
      </c>
      <c r="J124" s="1" t="s">
        <v>402</v>
      </c>
      <c r="K124" s="1" t="s">
        <v>402</v>
      </c>
      <c r="M124" s="1">
        <v>-11.0</v>
      </c>
      <c r="O124" s="1">
        <v>11.95095</v>
      </c>
    </row>
    <row r="125" ht="15.75" hidden="1" customHeight="1">
      <c r="A125" s="4">
        <v>45527.0</v>
      </c>
      <c r="B125" s="1" t="s">
        <v>88</v>
      </c>
      <c r="C125" s="1" t="s">
        <v>89</v>
      </c>
      <c r="D125" s="1">
        <v>393.0</v>
      </c>
      <c r="E125" s="1">
        <v>0.0</v>
      </c>
      <c r="F125" s="1" t="s">
        <v>90</v>
      </c>
      <c r="G125" s="1" t="s">
        <v>91</v>
      </c>
      <c r="H125" s="1" t="s">
        <v>92</v>
      </c>
      <c r="I125" s="1" t="s">
        <v>403</v>
      </c>
      <c r="J125" s="1" t="s">
        <v>404</v>
      </c>
      <c r="K125" s="1" t="s">
        <v>404</v>
      </c>
      <c r="M125" s="1">
        <v>-8.0</v>
      </c>
      <c r="O125" s="1">
        <v>6.884133333333334</v>
      </c>
    </row>
    <row r="126" ht="15.75" hidden="1" customHeight="1">
      <c r="A126" s="4">
        <v>45527.0</v>
      </c>
      <c r="B126" s="1" t="s">
        <v>107</v>
      </c>
      <c r="C126" s="1" t="s">
        <v>104</v>
      </c>
      <c r="D126" s="1">
        <v>676.0</v>
      </c>
      <c r="E126" s="1">
        <v>0.0</v>
      </c>
      <c r="F126" s="1" t="s">
        <v>287</v>
      </c>
      <c r="G126" s="1" t="s">
        <v>91</v>
      </c>
      <c r="H126" s="1" t="s">
        <v>92</v>
      </c>
      <c r="I126" s="1" t="s">
        <v>405</v>
      </c>
      <c r="J126" s="1" t="s">
        <v>406</v>
      </c>
      <c r="K126" s="1" t="s">
        <v>406</v>
      </c>
      <c r="M126" s="1">
        <v>-13.0</v>
      </c>
      <c r="O126" s="1">
        <v>6.362583333333333</v>
      </c>
    </row>
    <row r="127" ht="15.75" hidden="1" customHeight="1">
      <c r="A127" s="4">
        <v>45527.0</v>
      </c>
      <c r="B127" s="1" t="s">
        <v>228</v>
      </c>
      <c r="C127" s="1" t="s">
        <v>89</v>
      </c>
      <c r="D127" s="1">
        <v>249.0</v>
      </c>
      <c r="E127" s="1">
        <v>0.0</v>
      </c>
      <c r="G127" s="1" t="s">
        <v>119</v>
      </c>
      <c r="H127" s="1" t="s">
        <v>98</v>
      </c>
      <c r="I127" s="1" t="s">
        <v>407</v>
      </c>
      <c r="J127" s="1" t="s">
        <v>408</v>
      </c>
      <c r="K127" s="1" t="s">
        <v>408</v>
      </c>
      <c r="M127" s="1">
        <v>2.0</v>
      </c>
      <c r="O127" s="1">
        <v>7.069866666666667</v>
      </c>
    </row>
    <row r="128" ht="15.75" hidden="1" customHeight="1">
      <c r="A128" s="4">
        <v>45527.0</v>
      </c>
      <c r="B128" s="1" t="s">
        <v>95</v>
      </c>
      <c r="C128" s="1" t="s">
        <v>89</v>
      </c>
      <c r="D128" s="1">
        <v>255.0</v>
      </c>
      <c r="E128" s="1">
        <v>61.0</v>
      </c>
      <c r="G128" s="1" t="s">
        <v>119</v>
      </c>
      <c r="H128" s="1" t="s">
        <v>92</v>
      </c>
      <c r="I128" s="1" t="s">
        <v>409</v>
      </c>
      <c r="J128" s="1" t="s">
        <v>410</v>
      </c>
      <c r="K128" s="1" t="s">
        <v>410</v>
      </c>
      <c r="M128" s="1">
        <v>-7.0</v>
      </c>
      <c r="O128" s="1">
        <v>11.49235</v>
      </c>
    </row>
    <row r="129" ht="15.75" hidden="1" customHeight="1">
      <c r="A129" s="4">
        <v>45527.0</v>
      </c>
      <c r="B129" s="1" t="s">
        <v>103</v>
      </c>
      <c r="C129" s="1" t="s">
        <v>104</v>
      </c>
      <c r="D129" s="1">
        <v>443.0</v>
      </c>
      <c r="E129" s="1">
        <v>150.0</v>
      </c>
      <c r="G129" s="1" t="s">
        <v>91</v>
      </c>
      <c r="H129" s="1" t="s">
        <v>92</v>
      </c>
      <c r="I129" s="1" t="s">
        <v>411</v>
      </c>
      <c r="J129" s="1" t="s">
        <v>412</v>
      </c>
      <c r="K129" s="1" t="s">
        <v>412</v>
      </c>
      <c r="M129" s="1">
        <v>0.0</v>
      </c>
      <c r="O129" s="1">
        <v>8.6664</v>
      </c>
    </row>
    <row r="130" ht="15.75" hidden="1" customHeight="1">
      <c r="A130" s="4">
        <v>45527.0</v>
      </c>
      <c r="B130" s="1" t="s">
        <v>103</v>
      </c>
      <c r="C130" s="1" t="s">
        <v>104</v>
      </c>
      <c r="D130" s="1">
        <v>370.0</v>
      </c>
      <c r="E130" s="1">
        <v>0.0</v>
      </c>
      <c r="G130" s="1" t="s">
        <v>91</v>
      </c>
      <c r="H130" s="1" t="s">
        <v>92</v>
      </c>
      <c r="I130" s="1" t="s">
        <v>413</v>
      </c>
      <c r="J130" s="1" t="s">
        <v>414</v>
      </c>
      <c r="K130" s="1" t="s">
        <v>414</v>
      </c>
      <c r="M130" s="1">
        <v>1.0</v>
      </c>
      <c r="O130" s="1">
        <v>8.689666666666668</v>
      </c>
    </row>
    <row r="131" ht="15.75" hidden="1" customHeight="1">
      <c r="A131" s="4">
        <v>45527.0</v>
      </c>
      <c r="B131" s="1" t="s">
        <v>107</v>
      </c>
      <c r="C131" s="1" t="s">
        <v>104</v>
      </c>
      <c r="D131" s="1">
        <v>262.0</v>
      </c>
      <c r="E131" s="1">
        <v>0.0</v>
      </c>
      <c r="F131" s="1" t="s">
        <v>341</v>
      </c>
      <c r="G131" s="1" t="s">
        <v>91</v>
      </c>
      <c r="H131" s="1" t="s">
        <v>92</v>
      </c>
      <c r="I131" s="1" t="s">
        <v>415</v>
      </c>
      <c r="J131" s="1" t="s">
        <v>416</v>
      </c>
      <c r="K131" s="1" t="s">
        <v>416</v>
      </c>
      <c r="M131" s="1">
        <v>-5.0</v>
      </c>
      <c r="O131" s="1">
        <v>9.66355</v>
      </c>
    </row>
    <row r="132" ht="15.75" hidden="1" customHeight="1">
      <c r="A132" s="4">
        <v>45527.0</v>
      </c>
      <c r="B132" s="1" t="s">
        <v>88</v>
      </c>
      <c r="C132" s="1" t="s">
        <v>89</v>
      </c>
      <c r="D132" s="1">
        <v>437.0</v>
      </c>
      <c r="E132" s="1">
        <v>0.0</v>
      </c>
      <c r="F132" s="1" t="s">
        <v>90</v>
      </c>
      <c r="G132" s="1" t="s">
        <v>91</v>
      </c>
      <c r="H132" s="1" t="s">
        <v>92</v>
      </c>
      <c r="I132" s="1" t="s">
        <v>417</v>
      </c>
      <c r="J132" s="1" t="s">
        <v>418</v>
      </c>
      <c r="K132" s="1" t="s">
        <v>418</v>
      </c>
      <c r="M132" s="1">
        <v>-6.0</v>
      </c>
      <c r="O132" s="1">
        <v>8.9802</v>
      </c>
    </row>
    <row r="133" ht="15.75" hidden="1" customHeight="1">
      <c r="A133" s="4">
        <v>45527.0</v>
      </c>
      <c r="B133" s="1" t="s">
        <v>95</v>
      </c>
      <c r="C133" s="1" t="s">
        <v>89</v>
      </c>
      <c r="D133" s="1">
        <v>617.0</v>
      </c>
      <c r="E133" s="1">
        <v>0.0</v>
      </c>
      <c r="F133" s="1" t="s">
        <v>373</v>
      </c>
      <c r="G133" s="1" t="s">
        <v>97</v>
      </c>
      <c r="H133" s="1" t="s">
        <v>98</v>
      </c>
      <c r="I133" s="1" t="s">
        <v>419</v>
      </c>
      <c r="J133" s="1" t="s">
        <v>420</v>
      </c>
      <c r="K133" s="1" t="s">
        <v>421</v>
      </c>
      <c r="L133" s="1" t="s">
        <v>422</v>
      </c>
      <c r="M133" s="1">
        <v>-10.0</v>
      </c>
      <c r="N133" s="1">
        <v>0.018216666666666666</v>
      </c>
      <c r="O133" s="1">
        <v>15.574516666666666</v>
      </c>
    </row>
    <row r="134" ht="15.75" hidden="1" customHeight="1">
      <c r="A134" s="4">
        <v>45527.0</v>
      </c>
      <c r="B134" s="1" t="s">
        <v>95</v>
      </c>
      <c r="C134" s="1" t="s">
        <v>89</v>
      </c>
      <c r="D134" s="1">
        <v>598.0</v>
      </c>
      <c r="E134" s="1">
        <v>149.0</v>
      </c>
      <c r="G134" s="1" t="s">
        <v>119</v>
      </c>
      <c r="H134" s="1" t="s">
        <v>213</v>
      </c>
      <c r="I134" s="1" t="s">
        <v>423</v>
      </c>
      <c r="J134" s="1" t="s">
        <v>424</v>
      </c>
      <c r="K134" s="1" t="s">
        <v>424</v>
      </c>
      <c r="M134" s="1">
        <v>-6.0</v>
      </c>
      <c r="O134" s="1">
        <v>18.173466666666666</v>
      </c>
    </row>
    <row r="135" ht="15.75" hidden="1" customHeight="1">
      <c r="A135" s="4">
        <v>45527.0</v>
      </c>
      <c r="B135" s="1" t="s">
        <v>228</v>
      </c>
      <c r="C135" s="1" t="s">
        <v>89</v>
      </c>
      <c r="D135" s="1">
        <v>119.0</v>
      </c>
      <c r="E135" s="1">
        <v>0.0</v>
      </c>
      <c r="G135" s="1" t="s">
        <v>119</v>
      </c>
      <c r="H135" s="1" t="s">
        <v>98</v>
      </c>
      <c r="I135" s="1" t="s">
        <v>425</v>
      </c>
      <c r="J135" s="1" t="s">
        <v>426</v>
      </c>
      <c r="K135" s="1" t="s">
        <v>426</v>
      </c>
      <c r="M135" s="1">
        <v>4.0</v>
      </c>
      <c r="O135" s="1">
        <v>9.550783333333333</v>
      </c>
    </row>
    <row r="136" ht="15.75" hidden="1" customHeight="1">
      <c r="A136" s="4">
        <v>45527.0</v>
      </c>
      <c r="B136" s="1" t="s">
        <v>88</v>
      </c>
      <c r="C136" s="1" t="s">
        <v>89</v>
      </c>
      <c r="D136" s="1">
        <v>264.0</v>
      </c>
      <c r="E136" s="1">
        <v>0.0</v>
      </c>
      <c r="F136" s="1" t="s">
        <v>90</v>
      </c>
      <c r="G136" s="1" t="s">
        <v>91</v>
      </c>
      <c r="H136" s="1" t="s">
        <v>92</v>
      </c>
      <c r="I136" s="1" t="s">
        <v>427</v>
      </c>
      <c r="J136" s="1" t="s">
        <v>428</v>
      </c>
      <c r="K136" s="1" t="s">
        <v>428</v>
      </c>
      <c r="M136" s="1">
        <v>-7.0</v>
      </c>
      <c r="O136" s="1">
        <v>8.479166666666666</v>
      </c>
    </row>
    <row r="137" ht="15.75" hidden="1" customHeight="1">
      <c r="A137" s="4">
        <v>45527.0</v>
      </c>
      <c r="B137" s="1" t="s">
        <v>88</v>
      </c>
      <c r="C137" s="1" t="s">
        <v>89</v>
      </c>
      <c r="D137" s="1">
        <v>475.0</v>
      </c>
      <c r="E137" s="1">
        <v>0.0</v>
      </c>
      <c r="F137" s="1" t="s">
        <v>90</v>
      </c>
      <c r="G137" s="1" t="s">
        <v>91</v>
      </c>
      <c r="H137" s="1" t="s">
        <v>92</v>
      </c>
      <c r="I137" s="1" t="s">
        <v>429</v>
      </c>
      <c r="J137" s="1" t="s">
        <v>430</v>
      </c>
      <c r="K137" s="1" t="s">
        <v>430</v>
      </c>
      <c r="M137" s="1">
        <v>-8.0</v>
      </c>
      <c r="O137" s="1">
        <v>6.03165</v>
      </c>
    </row>
    <row r="138" ht="15.75" hidden="1" customHeight="1">
      <c r="A138" s="4">
        <v>45527.0</v>
      </c>
      <c r="B138" s="1" t="s">
        <v>103</v>
      </c>
      <c r="C138" s="1" t="s">
        <v>104</v>
      </c>
      <c r="D138" s="1">
        <v>567.0</v>
      </c>
      <c r="E138" s="1">
        <v>0.0</v>
      </c>
      <c r="G138" s="1" t="s">
        <v>91</v>
      </c>
      <c r="H138" s="1" t="s">
        <v>92</v>
      </c>
      <c r="I138" s="1" t="s">
        <v>431</v>
      </c>
      <c r="J138" s="1" t="s">
        <v>432</v>
      </c>
      <c r="K138" s="1" t="s">
        <v>432</v>
      </c>
      <c r="M138" s="1">
        <v>-2.0</v>
      </c>
      <c r="O138" s="1">
        <v>6.578233333333333</v>
      </c>
    </row>
    <row r="139" ht="15.75" hidden="1" customHeight="1">
      <c r="A139" s="4">
        <v>45527.0</v>
      </c>
      <c r="B139" s="1" t="s">
        <v>103</v>
      </c>
      <c r="C139" s="1" t="s">
        <v>104</v>
      </c>
      <c r="D139" s="1">
        <v>378.0</v>
      </c>
      <c r="E139" s="1">
        <v>150.0</v>
      </c>
      <c r="G139" s="1" t="s">
        <v>91</v>
      </c>
      <c r="H139" s="1" t="s">
        <v>92</v>
      </c>
      <c r="I139" s="1" t="s">
        <v>433</v>
      </c>
      <c r="J139" s="1" t="s">
        <v>434</v>
      </c>
      <c r="K139" s="1" t="s">
        <v>434</v>
      </c>
      <c r="M139" s="1">
        <v>0.0</v>
      </c>
      <c r="O139" s="1">
        <v>7.78415</v>
      </c>
    </row>
    <row r="140" ht="15.75" hidden="1" customHeight="1">
      <c r="A140" s="4">
        <v>45527.0</v>
      </c>
      <c r="B140" s="1" t="s">
        <v>95</v>
      </c>
      <c r="C140" s="1" t="s">
        <v>89</v>
      </c>
      <c r="D140" s="1">
        <v>339.0</v>
      </c>
      <c r="E140" s="1">
        <v>0.0</v>
      </c>
      <c r="F140" s="1" t="s">
        <v>373</v>
      </c>
      <c r="G140" s="1" t="s">
        <v>97</v>
      </c>
      <c r="H140" s="1" t="s">
        <v>92</v>
      </c>
      <c r="I140" s="1" t="s">
        <v>435</v>
      </c>
      <c r="K140" s="1" t="s">
        <v>436</v>
      </c>
      <c r="L140" s="1" t="s">
        <v>437</v>
      </c>
      <c r="M140" s="1">
        <v>-1.0</v>
      </c>
      <c r="N140" s="1">
        <v>0.010116666666666666</v>
      </c>
    </row>
    <row r="141" ht="15.75" hidden="1" customHeight="1">
      <c r="A141" s="4">
        <v>45527.0</v>
      </c>
      <c r="B141" s="1" t="s">
        <v>107</v>
      </c>
      <c r="C141" s="1" t="s">
        <v>104</v>
      </c>
      <c r="D141" s="1">
        <v>488.0</v>
      </c>
      <c r="E141" s="1">
        <v>0.0</v>
      </c>
      <c r="F141" s="1" t="s">
        <v>287</v>
      </c>
      <c r="G141" s="1" t="s">
        <v>91</v>
      </c>
      <c r="H141" s="1" t="s">
        <v>92</v>
      </c>
      <c r="I141" s="1" t="s">
        <v>438</v>
      </c>
      <c r="J141" s="1" t="s">
        <v>439</v>
      </c>
      <c r="K141" s="1" t="s">
        <v>439</v>
      </c>
      <c r="M141" s="1">
        <v>-7.0</v>
      </c>
      <c r="O141" s="1">
        <v>7.637783333333333</v>
      </c>
    </row>
    <row r="142" ht="15.75" hidden="1" customHeight="1">
      <c r="A142" s="4">
        <v>45527.0</v>
      </c>
      <c r="B142" s="1" t="s">
        <v>95</v>
      </c>
      <c r="C142" s="1" t="s">
        <v>89</v>
      </c>
      <c r="D142" s="1">
        <v>309.0</v>
      </c>
      <c r="E142" s="1">
        <v>0.0</v>
      </c>
      <c r="F142" s="1" t="s">
        <v>373</v>
      </c>
      <c r="G142" s="1" t="s">
        <v>97</v>
      </c>
      <c r="H142" s="1" t="s">
        <v>92</v>
      </c>
      <c r="I142" s="1" t="s">
        <v>440</v>
      </c>
      <c r="J142" s="1" t="s">
        <v>441</v>
      </c>
      <c r="K142" s="1" t="s">
        <v>442</v>
      </c>
      <c r="L142" s="1" t="s">
        <v>443</v>
      </c>
      <c r="M142" s="1">
        <v>-13.0</v>
      </c>
      <c r="N142" s="1">
        <v>0.00755</v>
      </c>
      <c r="O142" s="1">
        <v>7.7812166666666664</v>
      </c>
    </row>
    <row r="143" ht="15.75" hidden="1" customHeight="1">
      <c r="A143" s="4">
        <v>45527.0</v>
      </c>
      <c r="B143" s="1" t="s">
        <v>103</v>
      </c>
      <c r="C143" s="1" t="s">
        <v>104</v>
      </c>
      <c r="D143" s="1">
        <v>321.0</v>
      </c>
      <c r="E143" s="1">
        <v>0.0</v>
      </c>
      <c r="G143" s="1" t="s">
        <v>91</v>
      </c>
      <c r="H143" s="1" t="s">
        <v>92</v>
      </c>
      <c r="I143" s="1" t="s">
        <v>444</v>
      </c>
      <c r="J143" s="1" t="s">
        <v>445</v>
      </c>
      <c r="K143" s="1" t="s">
        <v>445</v>
      </c>
      <c r="M143" s="1">
        <v>0.0</v>
      </c>
      <c r="O143" s="1">
        <v>8.152183333333333</v>
      </c>
    </row>
    <row r="144" ht="15.75" hidden="1" customHeight="1">
      <c r="A144" s="4">
        <v>45527.0</v>
      </c>
      <c r="B144" s="1" t="s">
        <v>103</v>
      </c>
      <c r="C144" s="1" t="s">
        <v>104</v>
      </c>
      <c r="D144" s="1">
        <v>429.0</v>
      </c>
      <c r="E144" s="1">
        <v>0.0</v>
      </c>
      <c r="G144" s="1" t="s">
        <v>91</v>
      </c>
      <c r="H144" s="1" t="s">
        <v>92</v>
      </c>
      <c r="I144" s="1" t="s">
        <v>446</v>
      </c>
      <c r="J144" s="1" t="s">
        <v>447</v>
      </c>
      <c r="K144" s="1" t="s">
        <v>447</v>
      </c>
      <c r="M144" s="1">
        <v>1.0</v>
      </c>
      <c r="O144" s="1">
        <v>9.3031</v>
      </c>
    </row>
    <row r="145" ht="15.75" hidden="1" customHeight="1">
      <c r="A145" s="4">
        <v>45527.0</v>
      </c>
      <c r="B145" s="1" t="s">
        <v>103</v>
      </c>
      <c r="C145" s="1" t="s">
        <v>104</v>
      </c>
      <c r="D145" s="1">
        <v>642.0</v>
      </c>
      <c r="E145" s="1">
        <v>0.0</v>
      </c>
      <c r="G145" s="1" t="s">
        <v>91</v>
      </c>
      <c r="H145" s="1" t="s">
        <v>92</v>
      </c>
      <c r="I145" s="1" t="s">
        <v>448</v>
      </c>
      <c r="J145" s="1" t="s">
        <v>449</v>
      </c>
      <c r="K145" s="1" t="s">
        <v>449</v>
      </c>
      <c r="M145" s="1">
        <v>4.0</v>
      </c>
      <c r="O145" s="1">
        <v>14.29</v>
      </c>
    </row>
    <row r="146" ht="15.75" hidden="1" customHeight="1">
      <c r="A146" s="4">
        <v>45527.0</v>
      </c>
      <c r="B146" s="1" t="s">
        <v>103</v>
      </c>
      <c r="C146" s="1" t="s">
        <v>104</v>
      </c>
      <c r="D146" s="1">
        <v>264.0</v>
      </c>
      <c r="E146" s="1">
        <v>0.0</v>
      </c>
      <c r="G146" s="1" t="s">
        <v>91</v>
      </c>
      <c r="H146" s="1" t="s">
        <v>92</v>
      </c>
      <c r="I146" s="1" t="s">
        <v>450</v>
      </c>
      <c r="J146" s="1" t="s">
        <v>451</v>
      </c>
      <c r="K146" s="1" t="s">
        <v>451</v>
      </c>
      <c r="M146" s="1">
        <v>0.0</v>
      </c>
      <c r="O146" s="1">
        <v>7.693416666666667</v>
      </c>
    </row>
    <row r="147" ht="15.75" hidden="1" customHeight="1">
      <c r="A147" s="4">
        <v>45527.0</v>
      </c>
      <c r="B147" s="1" t="s">
        <v>88</v>
      </c>
      <c r="C147" s="1" t="s">
        <v>89</v>
      </c>
      <c r="D147" s="1">
        <v>369.0</v>
      </c>
      <c r="E147" s="1">
        <v>0.0</v>
      </c>
      <c r="F147" s="1" t="s">
        <v>90</v>
      </c>
      <c r="G147" s="1" t="s">
        <v>91</v>
      </c>
      <c r="H147" s="1" t="s">
        <v>92</v>
      </c>
      <c r="I147" s="1" t="s">
        <v>452</v>
      </c>
      <c r="J147" s="1" t="s">
        <v>453</v>
      </c>
      <c r="K147" s="1" t="s">
        <v>453</v>
      </c>
      <c r="M147" s="1">
        <v>-5.0</v>
      </c>
      <c r="O147" s="1">
        <v>9.97425</v>
      </c>
    </row>
    <row r="148" ht="15.75" hidden="1" customHeight="1">
      <c r="A148" s="4">
        <v>45527.0</v>
      </c>
      <c r="B148" s="1" t="s">
        <v>103</v>
      </c>
      <c r="C148" s="1" t="s">
        <v>104</v>
      </c>
      <c r="D148" s="1">
        <v>394.0</v>
      </c>
      <c r="E148" s="1">
        <v>0.0</v>
      </c>
      <c r="G148" s="1" t="s">
        <v>91</v>
      </c>
      <c r="H148" s="1" t="s">
        <v>92</v>
      </c>
      <c r="I148" s="1" t="s">
        <v>454</v>
      </c>
      <c r="J148" s="1" t="s">
        <v>455</v>
      </c>
      <c r="K148" s="1" t="s">
        <v>455</v>
      </c>
      <c r="M148" s="1">
        <v>1.0</v>
      </c>
      <c r="O148" s="1">
        <v>8.849066666666667</v>
      </c>
    </row>
    <row r="149" ht="15.75" hidden="1" customHeight="1">
      <c r="A149" s="4">
        <v>45527.0</v>
      </c>
      <c r="B149" s="1" t="s">
        <v>107</v>
      </c>
      <c r="C149" s="1" t="s">
        <v>104</v>
      </c>
      <c r="D149" s="1">
        <v>299.0</v>
      </c>
      <c r="E149" s="1">
        <v>0.0</v>
      </c>
      <c r="F149" s="1" t="s">
        <v>456</v>
      </c>
      <c r="G149" s="1" t="s">
        <v>91</v>
      </c>
      <c r="H149" s="1" t="s">
        <v>92</v>
      </c>
      <c r="I149" s="1" t="s">
        <v>457</v>
      </c>
      <c r="J149" s="1" t="s">
        <v>458</v>
      </c>
      <c r="K149" s="1" t="s">
        <v>458</v>
      </c>
      <c r="M149" s="1">
        <v>-9.0</v>
      </c>
      <c r="O149" s="1">
        <v>5.7755</v>
      </c>
    </row>
    <row r="150" ht="15.75" hidden="1" customHeight="1">
      <c r="A150" s="4">
        <v>45527.0</v>
      </c>
      <c r="B150" s="1" t="s">
        <v>88</v>
      </c>
      <c r="C150" s="1" t="s">
        <v>459</v>
      </c>
      <c r="D150" s="1">
        <v>149.0</v>
      </c>
      <c r="E150" s="1">
        <v>0.0</v>
      </c>
      <c r="G150" s="1" t="s">
        <v>91</v>
      </c>
      <c r="H150" s="1" t="s">
        <v>92</v>
      </c>
      <c r="I150" s="1" t="s">
        <v>460</v>
      </c>
      <c r="M150" s="1">
        <v>0.0</v>
      </c>
    </row>
    <row r="151" ht="15.75" hidden="1" customHeight="1">
      <c r="A151" s="4">
        <v>45527.0</v>
      </c>
      <c r="B151" s="1" t="s">
        <v>95</v>
      </c>
      <c r="C151" s="1" t="s">
        <v>89</v>
      </c>
      <c r="D151" s="1">
        <v>973.0</v>
      </c>
      <c r="E151" s="1">
        <v>0.0</v>
      </c>
      <c r="F151" s="1" t="s">
        <v>373</v>
      </c>
      <c r="G151" s="1" t="s">
        <v>97</v>
      </c>
      <c r="H151" s="1" t="s">
        <v>98</v>
      </c>
      <c r="I151" s="1" t="s">
        <v>461</v>
      </c>
      <c r="J151" s="1" t="s">
        <v>462</v>
      </c>
      <c r="K151" s="1" t="s">
        <v>463</v>
      </c>
      <c r="L151" s="1" t="s">
        <v>464</v>
      </c>
      <c r="M151" s="1">
        <v>-6.0</v>
      </c>
      <c r="N151" s="1">
        <v>0.01665</v>
      </c>
      <c r="O151" s="1">
        <v>19.044866666666667</v>
      </c>
    </row>
    <row r="152" ht="15.75" hidden="1" customHeight="1">
      <c r="A152" s="4">
        <v>45527.0</v>
      </c>
      <c r="B152" s="1" t="s">
        <v>95</v>
      </c>
      <c r="C152" s="1" t="s">
        <v>89</v>
      </c>
      <c r="D152" s="1">
        <v>448.0</v>
      </c>
      <c r="E152" s="1">
        <v>0.0</v>
      </c>
      <c r="F152" s="1" t="s">
        <v>373</v>
      </c>
      <c r="G152" s="1" t="s">
        <v>97</v>
      </c>
      <c r="H152" s="1" t="s">
        <v>92</v>
      </c>
      <c r="I152" s="1" t="s">
        <v>465</v>
      </c>
      <c r="J152" s="1" t="s">
        <v>466</v>
      </c>
      <c r="K152" s="1" t="s">
        <v>467</v>
      </c>
      <c r="L152" s="1" t="s">
        <v>468</v>
      </c>
      <c r="M152" s="1">
        <v>-14.0</v>
      </c>
      <c r="N152" s="1">
        <v>0.01895</v>
      </c>
      <c r="O152" s="1">
        <v>51.2423</v>
      </c>
    </row>
    <row r="153" ht="15.75" hidden="1" customHeight="1">
      <c r="A153" s="4">
        <v>45527.0</v>
      </c>
      <c r="B153" s="1" t="s">
        <v>95</v>
      </c>
      <c r="C153" s="1" t="s">
        <v>89</v>
      </c>
      <c r="D153" s="1">
        <v>853.0</v>
      </c>
      <c r="E153" s="1">
        <v>174.0</v>
      </c>
      <c r="G153" s="1" t="s">
        <v>119</v>
      </c>
      <c r="H153" s="1" t="s">
        <v>98</v>
      </c>
      <c r="I153" s="1" t="s">
        <v>469</v>
      </c>
      <c r="J153" s="1" t="s">
        <v>470</v>
      </c>
      <c r="K153" s="1" t="s">
        <v>470</v>
      </c>
      <c r="M153" s="1">
        <v>-25.0</v>
      </c>
      <c r="O153" s="1">
        <v>55.8958</v>
      </c>
    </row>
    <row r="154" ht="15.75" hidden="1" customHeight="1">
      <c r="A154" s="4">
        <v>45529.0</v>
      </c>
      <c r="B154" s="1" t="s">
        <v>103</v>
      </c>
      <c r="C154" s="1" t="s">
        <v>104</v>
      </c>
      <c r="D154" s="1">
        <v>278.0</v>
      </c>
      <c r="E154" s="1">
        <v>100.0</v>
      </c>
      <c r="G154" s="1" t="s">
        <v>91</v>
      </c>
      <c r="H154" s="1" t="s">
        <v>92</v>
      </c>
      <c r="I154" s="1" t="s">
        <v>471</v>
      </c>
      <c r="J154" s="1" t="s">
        <v>472</v>
      </c>
      <c r="K154" s="1" t="s">
        <v>472</v>
      </c>
      <c r="M154" s="1">
        <v>11.0</v>
      </c>
      <c r="O154" s="1">
        <v>19.6344</v>
      </c>
    </row>
    <row r="155" ht="15.75" hidden="1" customHeight="1">
      <c r="A155" s="4">
        <v>45529.0</v>
      </c>
      <c r="B155" s="1" t="s">
        <v>103</v>
      </c>
      <c r="C155" s="1" t="s">
        <v>104</v>
      </c>
      <c r="D155" s="1">
        <v>394.0</v>
      </c>
      <c r="E155" s="1">
        <v>0.0</v>
      </c>
      <c r="G155" s="1" t="s">
        <v>91</v>
      </c>
      <c r="H155" s="1" t="s">
        <v>92</v>
      </c>
      <c r="I155" s="1" t="s">
        <v>473</v>
      </c>
      <c r="J155" s="1" t="s">
        <v>474</v>
      </c>
      <c r="K155" s="1" t="s">
        <v>474</v>
      </c>
      <c r="M155" s="1">
        <v>18.0</v>
      </c>
      <c r="O155" s="1">
        <v>26.045533333333335</v>
      </c>
    </row>
    <row r="156" ht="15.75" hidden="1" customHeight="1">
      <c r="A156" s="4">
        <v>45529.0</v>
      </c>
      <c r="B156" s="1" t="s">
        <v>103</v>
      </c>
      <c r="C156" s="1" t="s">
        <v>104</v>
      </c>
      <c r="D156" s="1">
        <v>429.0</v>
      </c>
      <c r="E156" s="1">
        <v>0.0</v>
      </c>
      <c r="G156" s="1" t="s">
        <v>91</v>
      </c>
      <c r="H156" s="1" t="s">
        <v>92</v>
      </c>
      <c r="I156" s="1" t="s">
        <v>475</v>
      </c>
      <c r="J156" s="1" t="s">
        <v>476</v>
      </c>
      <c r="K156" s="1" t="s">
        <v>476</v>
      </c>
      <c r="M156" s="1">
        <v>4.0</v>
      </c>
      <c r="O156" s="1">
        <v>12.445583333333333</v>
      </c>
    </row>
    <row r="157" ht="15.75" hidden="1" customHeight="1">
      <c r="A157" s="4">
        <v>45529.0</v>
      </c>
      <c r="B157" s="1" t="s">
        <v>103</v>
      </c>
      <c r="C157" s="1" t="s">
        <v>104</v>
      </c>
      <c r="D157" s="1">
        <v>264.0</v>
      </c>
      <c r="E157" s="1">
        <v>0.0</v>
      </c>
      <c r="G157" s="1" t="s">
        <v>91</v>
      </c>
      <c r="H157" s="1" t="s">
        <v>92</v>
      </c>
      <c r="I157" s="1" t="s">
        <v>477</v>
      </c>
      <c r="J157" s="1" t="s">
        <v>478</v>
      </c>
      <c r="K157" s="1" t="s">
        <v>478</v>
      </c>
      <c r="M157" s="1">
        <v>1.0</v>
      </c>
      <c r="O157" s="1">
        <v>8.528066666666666</v>
      </c>
    </row>
    <row r="158" ht="15.75" hidden="1" customHeight="1">
      <c r="A158" s="4">
        <v>45529.0</v>
      </c>
      <c r="B158" s="1" t="s">
        <v>107</v>
      </c>
      <c r="C158" s="1" t="s">
        <v>104</v>
      </c>
      <c r="D158" s="1">
        <v>364.0</v>
      </c>
      <c r="E158" s="1">
        <v>0.0</v>
      </c>
      <c r="F158" s="1" t="s">
        <v>479</v>
      </c>
      <c r="G158" s="1" t="s">
        <v>91</v>
      </c>
      <c r="H158" s="1" t="s">
        <v>92</v>
      </c>
      <c r="I158" s="1" t="s">
        <v>480</v>
      </c>
      <c r="J158" s="1" t="s">
        <v>481</v>
      </c>
      <c r="K158" s="1" t="s">
        <v>481</v>
      </c>
      <c r="M158" s="1">
        <v>-7.0</v>
      </c>
      <c r="O158" s="1">
        <v>7.9052</v>
      </c>
    </row>
    <row r="159" ht="15.75" hidden="1" customHeight="1">
      <c r="A159" s="4">
        <v>45529.0</v>
      </c>
      <c r="B159" s="1" t="s">
        <v>103</v>
      </c>
      <c r="C159" s="1" t="s">
        <v>104</v>
      </c>
      <c r="D159" s="1">
        <v>313.0</v>
      </c>
      <c r="E159" s="1">
        <v>0.0</v>
      </c>
      <c r="G159" s="1" t="s">
        <v>91</v>
      </c>
      <c r="H159" s="1" t="s">
        <v>92</v>
      </c>
      <c r="I159" s="1" t="s">
        <v>482</v>
      </c>
      <c r="J159" s="1" t="s">
        <v>483</v>
      </c>
      <c r="K159" s="1" t="s">
        <v>483</v>
      </c>
      <c r="M159" s="1">
        <v>-1.0</v>
      </c>
      <c r="O159" s="1">
        <v>5.818516666666667</v>
      </c>
    </row>
    <row r="160" ht="15.75" hidden="1" customHeight="1">
      <c r="A160" s="4">
        <v>45529.0</v>
      </c>
      <c r="B160" s="1" t="s">
        <v>107</v>
      </c>
      <c r="C160" s="1" t="s">
        <v>104</v>
      </c>
      <c r="D160" s="1">
        <v>329.0</v>
      </c>
      <c r="E160" s="1">
        <v>0.0</v>
      </c>
      <c r="F160" s="1" t="s">
        <v>484</v>
      </c>
      <c r="G160" s="1" t="s">
        <v>91</v>
      </c>
      <c r="H160" s="1" t="s">
        <v>92</v>
      </c>
      <c r="I160" s="1" t="s">
        <v>485</v>
      </c>
      <c r="J160" s="1" t="s">
        <v>486</v>
      </c>
      <c r="K160" s="1" t="s">
        <v>486</v>
      </c>
      <c r="M160" s="1">
        <v>-7.0</v>
      </c>
      <c r="O160" s="1">
        <v>7.1699166666666665</v>
      </c>
    </row>
    <row r="161" ht="15.75" hidden="1" customHeight="1">
      <c r="A161" s="4">
        <v>45529.0</v>
      </c>
      <c r="B161" s="1" t="s">
        <v>107</v>
      </c>
      <c r="C161" s="1" t="s">
        <v>104</v>
      </c>
      <c r="D161" s="1">
        <v>548.0</v>
      </c>
      <c r="E161" s="1">
        <v>0.0</v>
      </c>
      <c r="F161" s="1" t="s">
        <v>479</v>
      </c>
      <c r="G161" s="1" t="s">
        <v>91</v>
      </c>
      <c r="H161" s="1" t="s">
        <v>92</v>
      </c>
      <c r="I161" s="1" t="s">
        <v>487</v>
      </c>
      <c r="J161" s="1" t="s">
        <v>488</v>
      </c>
      <c r="K161" s="1" t="s">
        <v>488</v>
      </c>
      <c r="M161" s="1">
        <v>-4.0</v>
      </c>
      <c r="O161" s="1">
        <v>15.724516666666666</v>
      </c>
    </row>
    <row r="162" ht="15.75" hidden="1" customHeight="1">
      <c r="A162" s="4">
        <v>45529.0</v>
      </c>
      <c r="B162" s="1" t="s">
        <v>95</v>
      </c>
      <c r="C162" s="1" t="s">
        <v>89</v>
      </c>
      <c r="D162" s="1">
        <v>194.0</v>
      </c>
      <c r="E162" s="1">
        <v>0.0</v>
      </c>
      <c r="G162" s="1" t="s">
        <v>119</v>
      </c>
      <c r="H162" s="1" t="s">
        <v>98</v>
      </c>
      <c r="I162" s="1" t="s">
        <v>489</v>
      </c>
      <c r="J162" s="1" t="s">
        <v>490</v>
      </c>
      <c r="K162" s="1" t="s">
        <v>490</v>
      </c>
      <c r="M162" s="1">
        <v>-11.0</v>
      </c>
      <c r="O162" s="1">
        <v>7.700916666666667</v>
      </c>
    </row>
    <row r="163" ht="15.75" hidden="1" customHeight="1">
      <c r="A163" s="4">
        <v>45529.0</v>
      </c>
      <c r="B163" s="1" t="s">
        <v>88</v>
      </c>
      <c r="C163" s="1" t="s">
        <v>89</v>
      </c>
      <c r="D163" s="1">
        <v>294.0</v>
      </c>
      <c r="E163" s="1">
        <v>0.0</v>
      </c>
      <c r="F163" s="1" t="s">
        <v>90</v>
      </c>
      <c r="G163" s="1" t="s">
        <v>91</v>
      </c>
      <c r="H163" s="1" t="s">
        <v>92</v>
      </c>
      <c r="I163" s="1" t="s">
        <v>491</v>
      </c>
      <c r="J163" s="1" t="s">
        <v>492</v>
      </c>
      <c r="K163" s="1" t="s">
        <v>492</v>
      </c>
      <c r="M163" s="1">
        <v>-7.0</v>
      </c>
      <c r="O163" s="1">
        <v>7.435783333333333</v>
      </c>
    </row>
    <row r="164" ht="15.75" hidden="1" customHeight="1">
      <c r="A164" s="4">
        <v>45529.0</v>
      </c>
      <c r="B164" s="1" t="s">
        <v>95</v>
      </c>
      <c r="C164" s="1" t="s">
        <v>89</v>
      </c>
      <c r="D164" s="1">
        <v>494.0</v>
      </c>
      <c r="E164" s="1">
        <v>124.0</v>
      </c>
      <c r="G164" s="1" t="s">
        <v>119</v>
      </c>
      <c r="H164" s="1" t="s">
        <v>92</v>
      </c>
      <c r="I164" s="1" t="s">
        <v>493</v>
      </c>
      <c r="J164" s="1" t="s">
        <v>494</v>
      </c>
      <c r="K164" s="1" t="s">
        <v>494</v>
      </c>
      <c r="M164" s="1">
        <v>-13.0</v>
      </c>
      <c r="O164" s="1">
        <v>14.962166666666667</v>
      </c>
    </row>
    <row r="165" ht="15.75" hidden="1" customHeight="1">
      <c r="A165" s="4">
        <v>45529.0</v>
      </c>
      <c r="B165" s="1" t="s">
        <v>103</v>
      </c>
      <c r="C165" s="1" t="s">
        <v>104</v>
      </c>
      <c r="D165" s="1">
        <v>658.0</v>
      </c>
      <c r="E165" s="1">
        <v>0.0</v>
      </c>
      <c r="G165" s="1" t="s">
        <v>91</v>
      </c>
      <c r="H165" s="1" t="s">
        <v>92</v>
      </c>
      <c r="I165" s="1" t="s">
        <v>495</v>
      </c>
      <c r="J165" s="1" t="s">
        <v>496</v>
      </c>
      <c r="K165" s="1" t="s">
        <v>496</v>
      </c>
      <c r="M165" s="1">
        <v>0.0</v>
      </c>
      <c r="O165" s="1">
        <v>9.9678</v>
      </c>
    </row>
    <row r="166" ht="15.75" hidden="1" customHeight="1">
      <c r="A166" s="4">
        <v>45529.0</v>
      </c>
      <c r="B166" s="1" t="s">
        <v>103</v>
      </c>
      <c r="C166" s="1" t="s">
        <v>104</v>
      </c>
      <c r="D166" s="1">
        <v>314.0</v>
      </c>
      <c r="E166" s="1">
        <v>0.0</v>
      </c>
      <c r="G166" s="1" t="s">
        <v>91</v>
      </c>
      <c r="H166" s="1" t="s">
        <v>92</v>
      </c>
      <c r="I166" s="1" t="s">
        <v>497</v>
      </c>
      <c r="J166" s="1" t="s">
        <v>498</v>
      </c>
      <c r="K166" s="1" t="s">
        <v>498</v>
      </c>
      <c r="M166" s="1">
        <v>0.0</v>
      </c>
      <c r="O166" s="1">
        <v>7.423916666666667</v>
      </c>
    </row>
    <row r="167" ht="15.75" hidden="1" customHeight="1">
      <c r="A167" s="4">
        <v>45529.0</v>
      </c>
      <c r="B167" s="1" t="s">
        <v>95</v>
      </c>
      <c r="C167" s="1" t="s">
        <v>89</v>
      </c>
      <c r="D167" s="1">
        <v>643.0</v>
      </c>
      <c r="E167" s="1">
        <v>30.0</v>
      </c>
      <c r="F167" s="1" t="s">
        <v>90</v>
      </c>
      <c r="G167" s="1" t="s">
        <v>97</v>
      </c>
      <c r="H167" s="1" t="s">
        <v>92</v>
      </c>
      <c r="I167" s="1" t="s">
        <v>499</v>
      </c>
      <c r="J167" s="1" t="s">
        <v>500</v>
      </c>
      <c r="K167" s="1" t="s">
        <v>501</v>
      </c>
      <c r="L167" s="1" t="s">
        <v>502</v>
      </c>
      <c r="M167" s="1">
        <v>-10.0</v>
      </c>
      <c r="N167" s="1">
        <v>7.2167666666666666</v>
      </c>
      <c r="O167" s="1">
        <v>9.10335</v>
      </c>
    </row>
    <row r="168" ht="15.75" hidden="1" customHeight="1">
      <c r="A168" s="4">
        <v>45529.0</v>
      </c>
      <c r="B168" s="1" t="s">
        <v>103</v>
      </c>
      <c r="C168" s="1" t="s">
        <v>104</v>
      </c>
      <c r="D168" s="1">
        <v>313.0</v>
      </c>
      <c r="E168" s="1">
        <v>0.0</v>
      </c>
      <c r="G168" s="1" t="s">
        <v>91</v>
      </c>
      <c r="H168" s="1" t="s">
        <v>92</v>
      </c>
      <c r="I168" s="1" t="s">
        <v>503</v>
      </c>
      <c r="J168" s="1" t="s">
        <v>504</v>
      </c>
      <c r="K168" s="1" t="s">
        <v>504</v>
      </c>
      <c r="M168" s="1">
        <v>0.0</v>
      </c>
      <c r="O168" s="1">
        <v>8.77175</v>
      </c>
    </row>
    <row r="169" ht="15.75" hidden="1" customHeight="1">
      <c r="A169" s="4">
        <v>45529.0</v>
      </c>
      <c r="B169" s="1" t="s">
        <v>103</v>
      </c>
      <c r="C169" s="1" t="s">
        <v>104</v>
      </c>
      <c r="D169" s="1">
        <v>690.0</v>
      </c>
      <c r="E169" s="1">
        <v>0.0</v>
      </c>
      <c r="G169" s="1" t="s">
        <v>91</v>
      </c>
      <c r="H169" s="1" t="s">
        <v>92</v>
      </c>
      <c r="I169" s="1" t="s">
        <v>505</v>
      </c>
      <c r="J169" s="1" t="s">
        <v>506</v>
      </c>
      <c r="K169" s="1" t="s">
        <v>506</v>
      </c>
      <c r="M169" s="1">
        <v>0.0</v>
      </c>
      <c r="O169" s="1">
        <v>9.0191</v>
      </c>
    </row>
    <row r="170" ht="15.75" hidden="1" customHeight="1">
      <c r="A170" s="4">
        <v>45529.0</v>
      </c>
      <c r="B170" s="1" t="s">
        <v>103</v>
      </c>
      <c r="C170" s="1" t="s">
        <v>104</v>
      </c>
      <c r="D170" s="1">
        <v>289.0</v>
      </c>
      <c r="E170" s="1">
        <v>0.0</v>
      </c>
      <c r="G170" s="1" t="s">
        <v>91</v>
      </c>
      <c r="H170" s="1" t="s">
        <v>92</v>
      </c>
      <c r="I170" s="1" t="s">
        <v>507</v>
      </c>
      <c r="J170" s="1" t="s">
        <v>508</v>
      </c>
      <c r="K170" s="1" t="s">
        <v>508</v>
      </c>
      <c r="M170" s="1">
        <v>9.0</v>
      </c>
      <c r="O170" s="1">
        <v>15.5641</v>
      </c>
    </row>
    <row r="171" ht="15.75" hidden="1" customHeight="1">
      <c r="A171" s="4">
        <v>45529.0</v>
      </c>
      <c r="B171" s="1" t="s">
        <v>103</v>
      </c>
      <c r="C171" s="1" t="s">
        <v>104</v>
      </c>
      <c r="D171" s="1">
        <v>1136.0</v>
      </c>
      <c r="E171" s="1">
        <v>0.0</v>
      </c>
      <c r="G171" s="1" t="s">
        <v>91</v>
      </c>
      <c r="H171" s="1" t="s">
        <v>92</v>
      </c>
      <c r="I171" s="1" t="s">
        <v>509</v>
      </c>
      <c r="J171" s="1" t="s">
        <v>510</v>
      </c>
      <c r="K171" s="1" t="s">
        <v>510</v>
      </c>
      <c r="M171" s="1">
        <v>5.0</v>
      </c>
      <c r="O171" s="1">
        <v>16.360116666666666</v>
      </c>
    </row>
    <row r="172" ht="15.75" hidden="1" customHeight="1">
      <c r="A172" s="4">
        <v>45529.0</v>
      </c>
      <c r="B172" s="1" t="s">
        <v>88</v>
      </c>
      <c r="C172" s="1" t="s">
        <v>89</v>
      </c>
      <c r="D172" s="1">
        <v>329.0</v>
      </c>
      <c r="E172" s="1">
        <v>0.0</v>
      </c>
      <c r="F172" s="1" t="s">
        <v>90</v>
      </c>
      <c r="G172" s="1" t="s">
        <v>91</v>
      </c>
      <c r="H172" s="1" t="s">
        <v>92</v>
      </c>
      <c r="I172" s="1" t="s">
        <v>511</v>
      </c>
      <c r="J172" s="1" t="s">
        <v>512</v>
      </c>
      <c r="K172" s="1" t="s">
        <v>512</v>
      </c>
      <c r="M172" s="1">
        <v>-7.0</v>
      </c>
      <c r="O172" s="1">
        <v>7.9191666666666665</v>
      </c>
    </row>
    <row r="173" ht="15.75" hidden="1" customHeight="1">
      <c r="A173" s="4">
        <v>45529.0</v>
      </c>
      <c r="B173" s="1" t="s">
        <v>88</v>
      </c>
      <c r="C173" s="1" t="s">
        <v>89</v>
      </c>
      <c r="D173" s="1">
        <v>658.0</v>
      </c>
      <c r="E173" s="1">
        <v>0.0</v>
      </c>
      <c r="F173" s="1" t="s">
        <v>90</v>
      </c>
      <c r="G173" s="1" t="s">
        <v>91</v>
      </c>
      <c r="H173" s="1" t="s">
        <v>92</v>
      </c>
      <c r="I173" s="1" t="s">
        <v>513</v>
      </c>
      <c r="J173" s="1" t="s">
        <v>514</v>
      </c>
      <c r="K173" s="1" t="s">
        <v>514</v>
      </c>
      <c r="M173" s="1">
        <v>-7.0</v>
      </c>
      <c r="O173" s="1">
        <v>12.036783333333334</v>
      </c>
    </row>
    <row r="174" ht="15.75" hidden="1" customHeight="1">
      <c r="A174" s="4">
        <v>45529.0</v>
      </c>
      <c r="B174" s="1" t="s">
        <v>103</v>
      </c>
      <c r="C174" s="1" t="s">
        <v>104</v>
      </c>
      <c r="D174" s="1">
        <v>404.0</v>
      </c>
      <c r="E174" s="1">
        <v>0.0</v>
      </c>
      <c r="G174" s="1" t="s">
        <v>91</v>
      </c>
      <c r="H174" s="1" t="s">
        <v>92</v>
      </c>
      <c r="I174" s="1" t="s">
        <v>515</v>
      </c>
      <c r="J174" s="1" t="s">
        <v>516</v>
      </c>
      <c r="K174" s="1" t="s">
        <v>516</v>
      </c>
      <c r="M174" s="1">
        <v>0.0</v>
      </c>
      <c r="O174" s="1">
        <v>7.0974</v>
      </c>
    </row>
    <row r="175" ht="15.75" hidden="1" customHeight="1">
      <c r="A175" s="4">
        <v>45529.0</v>
      </c>
      <c r="B175" s="1" t="s">
        <v>103</v>
      </c>
      <c r="C175" s="1" t="s">
        <v>104</v>
      </c>
      <c r="D175" s="1">
        <v>467.0</v>
      </c>
      <c r="E175" s="1">
        <v>0.0</v>
      </c>
      <c r="G175" s="1" t="s">
        <v>91</v>
      </c>
      <c r="H175" s="1" t="s">
        <v>92</v>
      </c>
      <c r="I175" s="1" t="s">
        <v>517</v>
      </c>
      <c r="J175" s="1" t="s">
        <v>518</v>
      </c>
      <c r="K175" s="1" t="s">
        <v>518</v>
      </c>
      <c r="M175" s="1">
        <v>0.0</v>
      </c>
      <c r="O175" s="1">
        <v>8.815516666666667</v>
      </c>
    </row>
    <row r="176" ht="15.75" hidden="1" customHeight="1">
      <c r="A176" s="4">
        <v>45529.0</v>
      </c>
      <c r="B176" s="1" t="s">
        <v>103</v>
      </c>
      <c r="C176" s="1" t="s">
        <v>104</v>
      </c>
      <c r="D176" s="1">
        <v>528.0</v>
      </c>
      <c r="E176" s="1">
        <v>0.0</v>
      </c>
      <c r="G176" s="1" t="s">
        <v>91</v>
      </c>
      <c r="H176" s="1" t="s">
        <v>92</v>
      </c>
      <c r="I176" s="1" t="s">
        <v>519</v>
      </c>
      <c r="J176" s="1" t="s">
        <v>520</v>
      </c>
      <c r="K176" s="1" t="s">
        <v>520</v>
      </c>
      <c r="M176" s="1">
        <v>3.0</v>
      </c>
      <c r="O176" s="1">
        <v>11.697</v>
      </c>
    </row>
    <row r="177" ht="15.75" hidden="1" customHeight="1">
      <c r="A177" s="4">
        <v>45529.0</v>
      </c>
      <c r="B177" s="1" t="s">
        <v>103</v>
      </c>
      <c r="C177" s="1" t="s">
        <v>104</v>
      </c>
      <c r="D177" s="1">
        <v>338.0</v>
      </c>
      <c r="E177" s="1">
        <v>0.0</v>
      </c>
      <c r="G177" s="1" t="s">
        <v>91</v>
      </c>
      <c r="H177" s="1" t="s">
        <v>92</v>
      </c>
      <c r="I177" s="1" t="s">
        <v>521</v>
      </c>
      <c r="J177" s="1" t="s">
        <v>522</v>
      </c>
      <c r="K177" s="1" t="s">
        <v>522</v>
      </c>
      <c r="M177" s="1">
        <v>0.0</v>
      </c>
      <c r="O177" s="1">
        <v>7.196483333333333</v>
      </c>
    </row>
    <row r="178" ht="15.75" hidden="1" customHeight="1">
      <c r="A178" s="4">
        <v>45529.0</v>
      </c>
      <c r="B178" s="1" t="s">
        <v>103</v>
      </c>
      <c r="C178" s="1" t="s">
        <v>104</v>
      </c>
      <c r="D178" s="1">
        <v>329.0</v>
      </c>
      <c r="E178" s="1">
        <v>0.0</v>
      </c>
      <c r="G178" s="1" t="s">
        <v>91</v>
      </c>
      <c r="H178" s="1" t="s">
        <v>92</v>
      </c>
      <c r="I178" s="1" t="s">
        <v>523</v>
      </c>
      <c r="J178" s="1" t="s">
        <v>524</v>
      </c>
      <c r="K178" s="1" t="s">
        <v>524</v>
      </c>
      <c r="M178" s="1">
        <v>3.0</v>
      </c>
      <c r="O178" s="1">
        <v>10.134016666666666</v>
      </c>
    </row>
    <row r="179" ht="15.75" hidden="1" customHeight="1">
      <c r="A179" s="4">
        <v>45529.0</v>
      </c>
      <c r="B179" s="1" t="s">
        <v>228</v>
      </c>
      <c r="C179" s="1" t="s">
        <v>89</v>
      </c>
      <c r="D179" s="1">
        <v>158.0</v>
      </c>
      <c r="E179" s="1">
        <v>0.0</v>
      </c>
      <c r="G179" s="1" t="s">
        <v>119</v>
      </c>
      <c r="H179" s="1" t="s">
        <v>98</v>
      </c>
      <c r="I179" s="1" t="s">
        <v>525</v>
      </c>
      <c r="J179" s="1" t="s">
        <v>526</v>
      </c>
      <c r="K179" s="1" t="s">
        <v>526</v>
      </c>
      <c r="M179" s="1">
        <v>-2.0</v>
      </c>
      <c r="O179" s="1">
        <v>2.90425</v>
      </c>
    </row>
    <row r="180" ht="15.75" hidden="1" customHeight="1">
      <c r="A180" s="4">
        <v>45529.0</v>
      </c>
      <c r="B180" s="1" t="s">
        <v>95</v>
      </c>
      <c r="C180" s="1" t="s">
        <v>89</v>
      </c>
      <c r="D180" s="1">
        <v>447.0</v>
      </c>
      <c r="E180" s="1">
        <v>0.0</v>
      </c>
      <c r="F180" s="1" t="s">
        <v>55</v>
      </c>
      <c r="G180" s="1" t="s">
        <v>97</v>
      </c>
      <c r="H180" s="1" t="s">
        <v>98</v>
      </c>
      <c r="I180" s="1" t="s">
        <v>527</v>
      </c>
      <c r="J180" s="1" t="s">
        <v>528</v>
      </c>
      <c r="K180" s="1" t="s">
        <v>529</v>
      </c>
      <c r="L180" s="1" t="s">
        <v>530</v>
      </c>
      <c r="M180" s="1">
        <v>-9.0</v>
      </c>
      <c r="N180" s="1">
        <v>0.011216666666666666</v>
      </c>
      <c r="O180" s="1">
        <v>5.53465</v>
      </c>
    </row>
    <row r="181" ht="15.75" hidden="1" customHeight="1">
      <c r="A181" s="4">
        <v>45529.0</v>
      </c>
      <c r="B181" s="1" t="s">
        <v>95</v>
      </c>
      <c r="C181" s="1" t="s">
        <v>89</v>
      </c>
      <c r="D181" s="1">
        <v>498.0</v>
      </c>
      <c r="E181" s="1">
        <v>0.0</v>
      </c>
      <c r="F181" s="1" t="s">
        <v>55</v>
      </c>
      <c r="G181" s="1" t="s">
        <v>97</v>
      </c>
      <c r="H181" s="1" t="s">
        <v>92</v>
      </c>
      <c r="I181" s="1" t="s">
        <v>531</v>
      </c>
      <c r="J181" s="1" t="s">
        <v>532</v>
      </c>
      <c r="K181" s="1" t="s">
        <v>533</v>
      </c>
      <c r="L181" s="1" t="s">
        <v>534</v>
      </c>
      <c r="M181" s="1">
        <v>-8.0</v>
      </c>
      <c r="N181" s="1">
        <v>0.008533333333333334</v>
      </c>
      <c r="O181" s="1">
        <v>10.666283333333332</v>
      </c>
    </row>
    <row r="182" ht="15.75" hidden="1" customHeight="1">
      <c r="A182" s="4">
        <v>45529.0</v>
      </c>
      <c r="B182" s="1" t="s">
        <v>88</v>
      </c>
      <c r="C182" s="1" t="s">
        <v>89</v>
      </c>
      <c r="D182" s="1">
        <v>836.0</v>
      </c>
      <c r="E182" s="1">
        <v>0.0</v>
      </c>
      <c r="F182" s="1" t="s">
        <v>90</v>
      </c>
      <c r="G182" s="1" t="s">
        <v>91</v>
      </c>
      <c r="H182" s="1" t="s">
        <v>92</v>
      </c>
      <c r="I182" s="1" t="s">
        <v>535</v>
      </c>
      <c r="J182" s="1" t="s">
        <v>536</v>
      </c>
      <c r="K182" s="1" t="s">
        <v>536</v>
      </c>
      <c r="M182" s="1">
        <v>-13.0</v>
      </c>
      <c r="O182" s="1">
        <v>6.1754</v>
      </c>
    </row>
    <row r="183" ht="15.75" hidden="1" customHeight="1">
      <c r="A183" s="4">
        <v>45529.0</v>
      </c>
      <c r="B183" s="1" t="s">
        <v>95</v>
      </c>
      <c r="C183" s="1" t="s">
        <v>89</v>
      </c>
      <c r="D183" s="1">
        <v>247.0</v>
      </c>
      <c r="E183" s="1">
        <v>62.0</v>
      </c>
      <c r="G183" s="1" t="s">
        <v>119</v>
      </c>
      <c r="H183" s="1" t="s">
        <v>213</v>
      </c>
      <c r="I183" s="1" t="s">
        <v>537</v>
      </c>
      <c r="J183" s="1" t="s">
        <v>538</v>
      </c>
      <c r="K183" s="1" t="s">
        <v>538</v>
      </c>
      <c r="M183" s="1">
        <v>-17.0</v>
      </c>
      <c r="O183" s="1">
        <v>18.969183333333334</v>
      </c>
    </row>
    <row r="184" ht="15.75" hidden="1" customHeight="1">
      <c r="A184" s="4">
        <v>45529.0</v>
      </c>
      <c r="B184" s="1" t="s">
        <v>95</v>
      </c>
      <c r="C184" s="1" t="s">
        <v>89</v>
      </c>
      <c r="D184" s="1">
        <v>457.0</v>
      </c>
      <c r="E184" s="1">
        <v>105.0</v>
      </c>
      <c r="G184" s="1" t="s">
        <v>119</v>
      </c>
      <c r="H184" s="1" t="s">
        <v>98</v>
      </c>
      <c r="I184" s="1" t="s">
        <v>539</v>
      </c>
      <c r="J184" s="1" t="s">
        <v>540</v>
      </c>
      <c r="K184" s="1" t="s">
        <v>540</v>
      </c>
      <c r="M184" s="1">
        <v>-14.0</v>
      </c>
      <c r="O184" s="1">
        <v>5.184366666666667</v>
      </c>
    </row>
    <row r="185" ht="15.75" hidden="1" customHeight="1">
      <c r="A185" s="4">
        <v>45529.0</v>
      </c>
      <c r="B185" s="1" t="s">
        <v>95</v>
      </c>
      <c r="C185" s="1" t="s">
        <v>89</v>
      </c>
      <c r="D185" s="1">
        <v>199.0</v>
      </c>
      <c r="E185" s="1">
        <v>50.0</v>
      </c>
      <c r="G185" s="1" t="s">
        <v>119</v>
      </c>
      <c r="H185" s="1" t="s">
        <v>213</v>
      </c>
      <c r="I185" s="1" t="s">
        <v>541</v>
      </c>
      <c r="J185" s="1" t="s">
        <v>542</v>
      </c>
      <c r="K185" s="1" t="s">
        <v>542</v>
      </c>
      <c r="M185" s="1">
        <v>-13.0</v>
      </c>
      <c r="O185" s="1">
        <v>6.393483333333333</v>
      </c>
    </row>
    <row r="186" ht="15.75" hidden="1" customHeight="1">
      <c r="A186" s="4">
        <v>45529.0</v>
      </c>
      <c r="B186" s="1" t="s">
        <v>103</v>
      </c>
      <c r="C186" s="1" t="s">
        <v>104</v>
      </c>
      <c r="D186" s="1">
        <v>313.0</v>
      </c>
      <c r="E186" s="1">
        <v>0.0</v>
      </c>
      <c r="G186" s="1" t="s">
        <v>91</v>
      </c>
      <c r="H186" s="1" t="s">
        <v>92</v>
      </c>
      <c r="I186" s="1" t="s">
        <v>543</v>
      </c>
      <c r="J186" s="1" t="s">
        <v>544</v>
      </c>
      <c r="K186" s="1" t="s">
        <v>544</v>
      </c>
      <c r="M186" s="1">
        <v>-1.0</v>
      </c>
      <c r="O186" s="1">
        <v>6.770983333333334</v>
      </c>
    </row>
    <row r="187" ht="15.75" hidden="1" customHeight="1">
      <c r="A187" s="4">
        <v>45529.0</v>
      </c>
      <c r="B187" s="1" t="s">
        <v>103</v>
      </c>
      <c r="C187" s="1" t="s">
        <v>104</v>
      </c>
      <c r="D187" s="1">
        <v>443.0</v>
      </c>
      <c r="E187" s="1">
        <v>0.0</v>
      </c>
      <c r="G187" s="1" t="s">
        <v>91</v>
      </c>
      <c r="H187" s="1" t="s">
        <v>92</v>
      </c>
      <c r="I187" s="1" t="s">
        <v>545</v>
      </c>
      <c r="J187" s="1" t="s">
        <v>546</v>
      </c>
      <c r="K187" s="1" t="s">
        <v>546</v>
      </c>
      <c r="M187" s="1">
        <v>0.0</v>
      </c>
      <c r="O187" s="1">
        <v>8.850783333333334</v>
      </c>
    </row>
    <row r="188" ht="15.75" hidden="1" customHeight="1">
      <c r="A188" s="4">
        <v>45529.0</v>
      </c>
      <c r="B188" s="1" t="s">
        <v>88</v>
      </c>
      <c r="C188" s="1" t="s">
        <v>89</v>
      </c>
      <c r="D188" s="1">
        <v>602.0</v>
      </c>
      <c r="E188" s="1">
        <v>0.0</v>
      </c>
      <c r="F188" s="1" t="s">
        <v>90</v>
      </c>
      <c r="G188" s="1" t="s">
        <v>91</v>
      </c>
      <c r="H188" s="1" t="s">
        <v>92</v>
      </c>
      <c r="I188" s="1" t="s">
        <v>547</v>
      </c>
      <c r="J188" s="1" t="s">
        <v>548</v>
      </c>
      <c r="K188" s="1" t="s">
        <v>548</v>
      </c>
      <c r="M188" s="1">
        <v>-10.0</v>
      </c>
      <c r="O188" s="1">
        <v>9.3245</v>
      </c>
    </row>
    <row r="189" ht="15.75" hidden="1" customHeight="1">
      <c r="A189" s="4">
        <v>45529.0</v>
      </c>
      <c r="B189" s="1" t="s">
        <v>107</v>
      </c>
      <c r="C189" s="1" t="s">
        <v>104</v>
      </c>
      <c r="D189" s="1">
        <v>264.0</v>
      </c>
      <c r="E189" s="1">
        <v>0.0</v>
      </c>
      <c r="F189" s="1" t="s">
        <v>44</v>
      </c>
      <c r="G189" s="1" t="s">
        <v>91</v>
      </c>
      <c r="H189" s="1" t="s">
        <v>92</v>
      </c>
      <c r="I189" s="1" t="s">
        <v>549</v>
      </c>
      <c r="J189" s="1" t="s">
        <v>550</v>
      </c>
      <c r="K189" s="1" t="s">
        <v>550</v>
      </c>
      <c r="M189" s="1">
        <v>-7.0</v>
      </c>
      <c r="O189" s="1">
        <v>7.7932</v>
      </c>
    </row>
    <row r="190" ht="15.75" hidden="1" customHeight="1">
      <c r="A190" s="4">
        <v>45529.0</v>
      </c>
      <c r="B190" s="1" t="s">
        <v>95</v>
      </c>
      <c r="C190" s="1" t="s">
        <v>89</v>
      </c>
      <c r="D190" s="1">
        <v>309.0</v>
      </c>
      <c r="E190" s="1">
        <v>0.0</v>
      </c>
      <c r="F190" s="1" t="s">
        <v>55</v>
      </c>
      <c r="G190" s="1" t="s">
        <v>97</v>
      </c>
      <c r="H190" s="1" t="s">
        <v>92</v>
      </c>
      <c r="I190" s="1" t="s">
        <v>551</v>
      </c>
      <c r="J190" s="1" t="s">
        <v>552</v>
      </c>
      <c r="K190" s="1" t="s">
        <v>553</v>
      </c>
      <c r="L190" s="1" t="s">
        <v>554</v>
      </c>
      <c r="M190" s="1">
        <v>-4.0</v>
      </c>
      <c r="N190" s="1">
        <v>0.007933333333333334</v>
      </c>
      <c r="O190" s="1">
        <v>14.477516666666666</v>
      </c>
    </row>
    <row r="191" ht="15.75" hidden="1" customHeight="1">
      <c r="A191" s="4">
        <v>45529.0</v>
      </c>
      <c r="B191" s="1" t="s">
        <v>103</v>
      </c>
      <c r="C191" s="1" t="s">
        <v>104</v>
      </c>
      <c r="D191" s="1">
        <v>364.0</v>
      </c>
      <c r="E191" s="1">
        <v>0.0</v>
      </c>
      <c r="G191" s="1" t="s">
        <v>91</v>
      </c>
      <c r="H191" s="1" t="s">
        <v>92</v>
      </c>
      <c r="I191" s="1" t="s">
        <v>555</v>
      </c>
      <c r="J191" s="1" t="s">
        <v>556</v>
      </c>
      <c r="K191" s="1" t="s">
        <v>556</v>
      </c>
      <c r="M191" s="1">
        <v>2.0</v>
      </c>
      <c r="O191" s="1">
        <v>9.1587</v>
      </c>
    </row>
    <row r="192" ht="15.75" hidden="1" customHeight="1">
      <c r="A192" s="4">
        <v>45529.0</v>
      </c>
      <c r="B192" s="1" t="s">
        <v>103</v>
      </c>
      <c r="C192" s="1" t="s">
        <v>104</v>
      </c>
      <c r="D192" s="1">
        <v>488.0</v>
      </c>
      <c r="E192" s="1">
        <v>0.0</v>
      </c>
      <c r="G192" s="1" t="s">
        <v>91</v>
      </c>
      <c r="H192" s="1" t="s">
        <v>92</v>
      </c>
      <c r="I192" s="1" t="s">
        <v>557</v>
      </c>
      <c r="J192" s="1" t="s">
        <v>558</v>
      </c>
      <c r="K192" s="1" t="s">
        <v>558</v>
      </c>
      <c r="M192" s="1">
        <v>-1.0</v>
      </c>
      <c r="O192" s="1">
        <v>6.2142333333333335</v>
      </c>
    </row>
    <row r="193" ht="15.75" hidden="1" customHeight="1">
      <c r="A193" s="4">
        <v>45529.0</v>
      </c>
      <c r="B193" s="1" t="s">
        <v>88</v>
      </c>
      <c r="C193" s="1" t="s">
        <v>89</v>
      </c>
      <c r="D193" s="1">
        <v>469.0</v>
      </c>
      <c r="E193" s="1">
        <v>0.0</v>
      </c>
      <c r="F193" s="1" t="s">
        <v>90</v>
      </c>
      <c r="G193" s="1" t="s">
        <v>91</v>
      </c>
      <c r="H193" s="1" t="s">
        <v>92</v>
      </c>
      <c r="I193" s="1" t="s">
        <v>559</v>
      </c>
      <c r="J193" s="1" t="s">
        <v>560</v>
      </c>
      <c r="K193" s="1" t="s">
        <v>560</v>
      </c>
      <c r="M193" s="1">
        <v>-8.0</v>
      </c>
      <c r="O193" s="1">
        <v>8.603416666666666</v>
      </c>
    </row>
    <row r="194" ht="15.75" hidden="1" customHeight="1">
      <c r="A194" s="4">
        <v>45529.0</v>
      </c>
      <c r="B194" s="1" t="s">
        <v>95</v>
      </c>
      <c r="C194" s="1" t="s">
        <v>89</v>
      </c>
      <c r="D194" s="1">
        <v>247.0</v>
      </c>
      <c r="E194" s="1">
        <v>62.0</v>
      </c>
      <c r="G194" s="1" t="s">
        <v>119</v>
      </c>
      <c r="H194" s="1" t="s">
        <v>92</v>
      </c>
      <c r="I194" s="1" t="s">
        <v>561</v>
      </c>
      <c r="J194" s="1" t="s">
        <v>562</v>
      </c>
      <c r="K194" s="1" t="s">
        <v>562</v>
      </c>
      <c r="M194" s="1">
        <v>-13.0</v>
      </c>
      <c r="O194" s="1">
        <v>5.859333333333334</v>
      </c>
    </row>
    <row r="195" ht="15.75" hidden="1" customHeight="1">
      <c r="A195" s="4">
        <v>45529.0</v>
      </c>
      <c r="B195" s="1" t="s">
        <v>103</v>
      </c>
      <c r="C195" s="1" t="s">
        <v>104</v>
      </c>
      <c r="D195" s="1">
        <v>437.0</v>
      </c>
      <c r="E195" s="1">
        <v>0.0</v>
      </c>
      <c r="G195" s="1" t="s">
        <v>91</v>
      </c>
      <c r="H195" s="1" t="s">
        <v>92</v>
      </c>
      <c r="I195" s="1" t="s">
        <v>563</v>
      </c>
      <c r="J195" s="1" t="s">
        <v>564</v>
      </c>
      <c r="K195" s="1" t="s">
        <v>564</v>
      </c>
      <c r="M195" s="1">
        <v>-2.0</v>
      </c>
      <c r="O195" s="1">
        <v>6.2782333333333336</v>
      </c>
    </row>
    <row r="196" ht="15.75" hidden="1" customHeight="1">
      <c r="A196" s="4">
        <v>45529.0</v>
      </c>
      <c r="B196" s="1" t="s">
        <v>107</v>
      </c>
      <c r="C196" s="1" t="s">
        <v>104</v>
      </c>
      <c r="D196" s="1">
        <v>434.0</v>
      </c>
      <c r="E196" s="1">
        <v>0.0</v>
      </c>
      <c r="F196" s="1" t="s">
        <v>565</v>
      </c>
      <c r="G196" s="1" t="s">
        <v>91</v>
      </c>
      <c r="H196" s="1" t="s">
        <v>92</v>
      </c>
      <c r="I196" s="1" t="s">
        <v>566</v>
      </c>
      <c r="J196" s="1" t="s">
        <v>567</v>
      </c>
      <c r="K196" s="1" t="s">
        <v>567</v>
      </c>
      <c r="M196" s="1">
        <v>-5.0</v>
      </c>
      <c r="O196" s="1">
        <v>9.418616666666667</v>
      </c>
    </row>
    <row r="197" ht="15.75" hidden="1" customHeight="1">
      <c r="A197" s="4">
        <v>45529.0</v>
      </c>
      <c r="B197" s="1" t="s">
        <v>95</v>
      </c>
      <c r="C197" s="1" t="s">
        <v>89</v>
      </c>
      <c r="D197" s="1">
        <v>472.0</v>
      </c>
      <c r="E197" s="1">
        <v>0.0</v>
      </c>
      <c r="F197" s="1" t="s">
        <v>55</v>
      </c>
      <c r="G197" s="1" t="s">
        <v>97</v>
      </c>
      <c r="H197" s="1" t="s">
        <v>92</v>
      </c>
      <c r="I197" s="1" t="s">
        <v>568</v>
      </c>
      <c r="J197" s="1" t="s">
        <v>569</v>
      </c>
      <c r="K197" s="1" t="s">
        <v>570</v>
      </c>
      <c r="L197" s="1" t="s">
        <v>571</v>
      </c>
      <c r="M197" s="1">
        <v>3.0</v>
      </c>
      <c r="N197" s="1">
        <v>0.009766666666666667</v>
      </c>
      <c r="O197" s="1">
        <v>8.576116666666667</v>
      </c>
    </row>
    <row r="198" ht="15.75" hidden="1" customHeight="1">
      <c r="A198" s="4">
        <v>45529.0</v>
      </c>
      <c r="B198" s="1" t="s">
        <v>103</v>
      </c>
      <c r="C198" s="1" t="s">
        <v>104</v>
      </c>
      <c r="D198" s="1">
        <v>364.0</v>
      </c>
      <c r="E198" s="1">
        <v>0.0</v>
      </c>
      <c r="G198" s="1" t="s">
        <v>91</v>
      </c>
      <c r="H198" s="1" t="s">
        <v>92</v>
      </c>
      <c r="I198" s="1" t="s">
        <v>572</v>
      </c>
      <c r="J198" s="1" t="s">
        <v>573</v>
      </c>
      <c r="K198" s="1" t="s">
        <v>573</v>
      </c>
      <c r="M198" s="1">
        <v>0.0</v>
      </c>
      <c r="O198" s="1">
        <v>8.987283333333334</v>
      </c>
    </row>
    <row r="199" ht="15.75" hidden="1" customHeight="1">
      <c r="A199" s="4">
        <v>45529.0</v>
      </c>
      <c r="B199" s="1" t="s">
        <v>228</v>
      </c>
      <c r="C199" s="1" t="s">
        <v>89</v>
      </c>
      <c r="D199" s="1">
        <v>249.0</v>
      </c>
      <c r="E199" s="1">
        <v>249.0</v>
      </c>
      <c r="G199" s="1" t="s">
        <v>119</v>
      </c>
      <c r="H199" s="1" t="s">
        <v>98</v>
      </c>
      <c r="I199" s="1" t="s">
        <v>574</v>
      </c>
      <c r="J199" s="1" t="s">
        <v>575</v>
      </c>
      <c r="K199" s="1" t="s">
        <v>575</v>
      </c>
      <c r="M199" s="1">
        <v>7.0</v>
      </c>
      <c r="O199" s="1">
        <v>12.617716666666666</v>
      </c>
    </row>
    <row r="200" ht="15.75" hidden="1" customHeight="1">
      <c r="A200" s="4">
        <v>45529.0</v>
      </c>
      <c r="B200" s="1" t="s">
        <v>103</v>
      </c>
      <c r="C200" s="1" t="s">
        <v>104</v>
      </c>
      <c r="D200" s="1">
        <v>264.0</v>
      </c>
      <c r="E200" s="1">
        <v>0.0</v>
      </c>
      <c r="G200" s="1" t="s">
        <v>91</v>
      </c>
      <c r="H200" s="1" t="s">
        <v>92</v>
      </c>
      <c r="I200" s="1" t="s">
        <v>576</v>
      </c>
      <c r="J200" s="1" t="s">
        <v>577</v>
      </c>
      <c r="K200" s="1" t="s">
        <v>577</v>
      </c>
      <c r="M200" s="1">
        <v>3.0</v>
      </c>
      <c r="O200" s="1">
        <v>10.337033333333334</v>
      </c>
    </row>
    <row r="201" ht="15.75" hidden="1" customHeight="1">
      <c r="A201" s="4">
        <v>45529.0</v>
      </c>
      <c r="B201" s="1" t="s">
        <v>103</v>
      </c>
      <c r="C201" s="1" t="s">
        <v>104</v>
      </c>
      <c r="D201" s="1">
        <v>685.0</v>
      </c>
      <c r="E201" s="1">
        <v>0.0</v>
      </c>
      <c r="G201" s="1" t="s">
        <v>91</v>
      </c>
      <c r="H201" s="1" t="s">
        <v>92</v>
      </c>
      <c r="I201" s="1" t="s">
        <v>578</v>
      </c>
      <c r="J201" s="1" t="s">
        <v>579</v>
      </c>
      <c r="K201" s="1" t="s">
        <v>579</v>
      </c>
      <c r="M201" s="1">
        <v>1.0</v>
      </c>
      <c r="O201" s="1">
        <v>11.90215</v>
      </c>
    </row>
    <row r="202" ht="15.75" hidden="1" customHeight="1">
      <c r="A202" s="4">
        <v>45529.0</v>
      </c>
      <c r="B202" s="1" t="s">
        <v>103</v>
      </c>
      <c r="C202" s="1" t="s">
        <v>104</v>
      </c>
      <c r="D202" s="1">
        <v>702.0</v>
      </c>
      <c r="E202" s="1">
        <v>0.0</v>
      </c>
      <c r="G202" s="1" t="s">
        <v>91</v>
      </c>
      <c r="H202" s="1" t="s">
        <v>98</v>
      </c>
      <c r="I202" s="1" t="s">
        <v>580</v>
      </c>
      <c r="J202" s="1" t="s">
        <v>581</v>
      </c>
      <c r="K202" s="1" t="s">
        <v>581</v>
      </c>
      <c r="M202" s="1">
        <v>3.0</v>
      </c>
      <c r="O202" s="1">
        <v>12.696033333333334</v>
      </c>
    </row>
    <row r="203" ht="15.75" hidden="1" customHeight="1">
      <c r="A203" s="4">
        <v>45529.0</v>
      </c>
      <c r="B203" s="1" t="s">
        <v>95</v>
      </c>
      <c r="C203" s="1" t="s">
        <v>89</v>
      </c>
      <c r="D203" s="1">
        <v>414.0</v>
      </c>
      <c r="E203" s="1">
        <v>104.0</v>
      </c>
      <c r="G203" s="1" t="s">
        <v>119</v>
      </c>
      <c r="H203" s="1" t="s">
        <v>92</v>
      </c>
      <c r="I203" s="1" t="s">
        <v>582</v>
      </c>
      <c r="J203" s="1" t="s">
        <v>583</v>
      </c>
      <c r="K203" s="1" t="s">
        <v>583</v>
      </c>
      <c r="M203" s="1">
        <v>-16.0</v>
      </c>
      <c r="O203" s="1">
        <v>36.98205</v>
      </c>
    </row>
    <row r="204" ht="15.75" hidden="1" customHeight="1">
      <c r="A204" s="4">
        <v>45529.0</v>
      </c>
      <c r="B204" s="1" t="s">
        <v>95</v>
      </c>
      <c r="C204" s="1" t="s">
        <v>89</v>
      </c>
      <c r="D204" s="1">
        <v>479.0</v>
      </c>
      <c r="E204" s="1">
        <v>0.0</v>
      </c>
      <c r="F204" s="1" t="s">
        <v>55</v>
      </c>
      <c r="G204" s="1" t="s">
        <v>97</v>
      </c>
      <c r="H204" s="1" t="s">
        <v>92</v>
      </c>
      <c r="I204" s="1" t="s">
        <v>584</v>
      </c>
      <c r="J204" s="1" t="s">
        <v>585</v>
      </c>
      <c r="K204" s="1" t="s">
        <v>586</v>
      </c>
      <c r="L204" s="1" t="s">
        <v>587</v>
      </c>
      <c r="M204" s="1">
        <v>-1.0</v>
      </c>
      <c r="N204" s="1">
        <v>0.010333333333333333</v>
      </c>
      <c r="O204" s="1">
        <v>8.92065</v>
      </c>
    </row>
    <row r="205" ht="15.75" hidden="1" customHeight="1">
      <c r="A205" s="4">
        <v>45529.0</v>
      </c>
      <c r="B205" s="1" t="s">
        <v>95</v>
      </c>
      <c r="C205" s="1" t="s">
        <v>89</v>
      </c>
      <c r="D205" s="1">
        <v>394.0</v>
      </c>
      <c r="E205" s="1">
        <v>0.0</v>
      </c>
      <c r="F205" s="1" t="s">
        <v>55</v>
      </c>
      <c r="G205" s="1" t="s">
        <v>97</v>
      </c>
      <c r="H205" s="1" t="s">
        <v>98</v>
      </c>
      <c r="I205" s="1" t="s">
        <v>588</v>
      </c>
      <c r="J205" s="1" t="s">
        <v>589</v>
      </c>
      <c r="K205" s="1" t="s">
        <v>590</v>
      </c>
      <c r="L205" s="1" t="s">
        <v>591</v>
      </c>
      <c r="M205" s="1">
        <v>-7.0</v>
      </c>
      <c r="N205" s="1">
        <v>0.0095</v>
      </c>
      <c r="O205" s="1">
        <v>9.9006</v>
      </c>
    </row>
    <row r="206" ht="15.75" hidden="1" customHeight="1">
      <c r="A206" s="4">
        <v>45529.0</v>
      </c>
      <c r="B206" s="1" t="s">
        <v>88</v>
      </c>
      <c r="C206" s="1" t="s">
        <v>89</v>
      </c>
      <c r="D206" s="1">
        <v>364.0</v>
      </c>
      <c r="E206" s="1">
        <v>0.0</v>
      </c>
      <c r="F206" s="1" t="s">
        <v>90</v>
      </c>
      <c r="G206" s="1" t="s">
        <v>91</v>
      </c>
      <c r="H206" s="1" t="s">
        <v>92</v>
      </c>
      <c r="I206" s="1" t="s">
        <v>592</v>
      </c>
      <c r="J206" s="1" t="s">
        <v>593</v>
      </c>
      <c r="K206" s="1" t="s">
        <v>593</v>
      </c>
      <c r="M206" s="1">
        <v>-7.0</v>
      </c>
      <c r="O206" s="1">
        <v>7.74665</v>
      </c>
    </row>
    <row r="207" ht="15.75" hidden="1" customHeight="1">
      <c r="A207" s="4">
        <v>45529.0</v>
      </c>
      <c r="B207" s="1" t="s">
        <v>88</v>
      </c>
      <c r="C207" s="1" t="s">
        <v>89</v>
      </c>
      <c r="D207" s="1">
        <v>1057.0</v>
      </c>
      <c r="E207" s="1">
        <v>0.0</v>
      </c>
      <c r="F207" s="1" t="s">
        <v>90</v>
      </c>
      <c r="G207" s="1" t="s">
        <v>91</v>
      </c>
      <c r="H207" s="1" t="s">
        <v>92</v>
      </c>
      <c r="I207" s="1" t="s">
        <v>594</v>
      </c>
      <c r="J207" s="1" t="s">
        <v>595</v>
      </c>
      <c r="K207" s="1" t="s">
        <v>595</v>
      </c>
      <c r="M207" s="1">
        <v>-11.0</v>
      </c>
      <c r="O207" s="1">
        <v>8.430583333333333</v>
      </c>
    </row>
    <row r="208" ht="15.75" hidden="1" customHeight="1">
      <c r="A208" s="4">
        <v>45529.0</v>
      </c>
      <c r="B208" s="1" t="s">
        <v>95</v>
      </c>
      <c r="C208" s="1" t="s">
        <v>89</v>
      </c>
      <c r="D208" s="1">
        <v>588.0</v>
      </c>
      <c r="E208" s="1">
        <v>0.0</v>
      </c>
      <c r="F208" s="1" t="s">
        <v>55</v>
      </c>
      <c r="G208" s="1" t="s">
        <v>97</v>
      </c>
      <c r="H208" s="1" t="s">
        <v>98</v>
      </c>
      <c r="I208" s="1" t="s">
        <v>596</v>
      </c>
      <c r="J208" s="1" t="s">
        <v>597</v>
      </c>
      <c r="K208" s="1" t="s">
        <v>598</v>
      </c>
      <c r="L208" s="1" t="s">
        <v>599</v>
      </c>
      <c r="M208" s="1">
        <v>-6.0</v>
      </c>
      <c r="N208" s="1">
        <v>0.00955</v>
      </c>
      <c r="O208" s="1">
        <v>8.17705</v>
      </c>
    </row>
    <row r="209" ht="15.75" hidden="1" customHeight="1">
      <c r="A209" s="4">
        <v>45529.0</v>
      </c>
      <c r="B209" s="1" t="s">
        <v>103</v>
      </c>
      <c r="C209" s="1" t="s">
        <v>104</v>
      </c>
      <c r="D209" s="1">
        <v>383.0</v>
      </c>
      <c r="E209" s="1">
        <v>0.0</v>
      </c>
      <c r="G209" s="1" t="s">
        <v>91</v>
      </c>
      <c r="H209" s="1" t="s">
        <v>92</v>
      </c>
      <c r="I209" s="1" t="s">
        <v>600</v>
      </c>
      <c r="J209" s="1" t="s">
        <v>601</v>
      </c>
      <c r="K209" s="1" t="s">
        <v>601</v>
      </c>
      <c r="M209" s="1">
        <v>-1.0</v>
      </c>
      <c r="O209" s="1">
        <v>6.390033333333333</v>
      </c>
    </row>
    <row r="210" ht="15.75" hidden="1" customHeight="1">
      <c r="A210" s="4">
        <v>45529.0</v>
      </c>
      <c r="B210" s="1" t="s">
        <v>95</v>
      </c>
      <c r="C210" s="1" t="s">
        <v>89</v>
      </c>
      <c r="D210" s="1">
        <v>753.0</v>
      </c>
      <c r="E210" s="1">
        <v>0.0</v>
      </c>
      <c r="F210" s="1" t="s">
        <v>55</v>
      </c>
      <c r="G210" s="1" t="s">
        <v>97</v>
      </c>
      <c r="H210" s="1" t="s">
        <v>92</v>
      </c>
      <c r="I210" s="1" t="s">
        <v>602</v>
      </c>
      <c r="J210" s="1" t="s">
        <v>603</v>
      </c>
      <c r="K210" s="1" t="s">
        <v>604</v>
      </c>
      <c r="L210" s="1" t="s">
        <v>605</v>
      </c>
      <c r="M210" s="1">
        <v>-21.0</v>
      </c>
      <c r="N210" s="1">
        <v>0.011933333333333334</v>
      </c>
      <c r="O210" s="1">
        <v>7.9619333333333335</v>
      </c>
    </row>
    <row r="211" ht="15.75" hidden="1" customHeight="1">
      <c r="A211" s="4">
        <v>45529.0</v>
      </c>
      <c r="B211" s="1" t="s">
        <v>107</v>
      </c>
      <c r="C211" s="1" t="s">
        <v>104</v>
      </c>
      <c r="D211" s="1">
        <v>321.0</v>
      </c>
      <c r="E211" s="1">
        <v>0.0</v>
      </c>
      <c r="F211" s="1" t="s">
        <v>484</v>
      </c>
      <c r="G211" s="1" t="s">
        <v>91</v>
      </c>
      <c r="H211" s="1" t="s">
        <v>92</v>
      </c>
      <c r="I211" s="1" t="s">
        <v>606</v>
      </c>
      <c r="J211" s="1" t="s">
        <v>607</v>
      </c>
      <c r="K211" s="1" t="s">
        <v>607</v>
      </c>
      <c r="M211" s="1">
        <v>-8.0</v>
      </c>
      <c r="O211" s="1">
        <v>6.999433333333333</v>
      </c>
    </row>
    <row r="212" ht="15.75" hidden="1" customHeight="1">
      <c r="A212" s="4">
        <v>45529.0</v>
      </c>
      <c r="B212" s="1" t="s">
        <v>103</v>
      </c>
      <c r="C212" s="1" t="s">
        <v>104</v>
      </c>
      <c r="D212" s="1">
        <v>394.0</v>
      </c>
      <c r="E212" s="1">
        <v>0.0</v>
      </c>
      <c r="G212" s="1" t="s">
        <v>91</v>
      </c>
      <c r="H212" s="1" t="s">
        <v>92</v>
      </c>
      <c r="I212" s="1" t="s">
        <v>608</v>
      </c>
      <c r="J212" s="1" t="s">
        <v>609</v>
      </c>
      <c r="K212" s="1" t="s">
        <v>609</v>
      </c>
      <c r="M212" s="1">
        <v>4.0</v>
      </c>
      <c r="O212" s="1">
        <v>11.0933</v>
      </c>
    </row>
    <row r="213" ht="15.75" hidden="1" customHeight="1">
      <c r="A213" s="4">
        <v>45529.0</v>
      </c>
      <c r="B213" s="1" t="s">
        <v>88</v>
      </c>
      <c r="C213" s="1" t="s">
        <v>89</v>
      </c>
      <c r="D213" s="1">
        <v>329.0</v>
      </c>
      <c r="E213" s="1">
        <v>0.0</v>
      </c>
      <c r="F213" s="1" t="s">
        <v>90</v>
      </c>
      <c r="G213" s="1" t="s">
        <v>91</v>
      </c>
      <c r="H213" s="1" t="s">
        <v>92</v>
      </c>
      <c r="I213" s="1" t="s">
        <v>610</v>
      </c>
      <c r="J213" s="1" t="s">
        <v>611</v>
      </c>
      <c r="K213" s="1" t="s">
        <v>611</v>
      </c>
      <c r="M213" s="1">
        <v>-8.0</v>
      </c>
      <c r="O213" s="1">
        <v>6.6026</v>
      </c>
    </row>
    <row r="214" ht="15.75" hidden="1" customHeight="1">
      <c r="A214" s="4">
        <v>45529.0</v>
      </c>
      <c r="B214" s="1" t="s">
        <v>95</v>
      </c>
      <c r="C214" s="1" t="s">
        <v>89</v>
      </c>
      <c r="D214" s="1">
        <v>354.0</v>
      </c>
      <c r="E214" s="1">
        <v>84.0</v>
      </c>
      <c r="G214" s="1" t="s">
        <v>119</v>
      </c>
      <c r="H214" s="1" t="s">
        <v>92</v>
      </c>
      <c r="I214" s="1" t="s">
        <v>612</v>
      </c>
      <c r="J214" s="1" t="s">
        <v>613</v>
      </c>
      <c r="K214" s="1" t="s">
        <v>613</v>
      </c>
      <c r="M214" s="1">
        <v>-13.0</v>
      </c>
      <c r="O214" s="1">
        <v>5.354833333333334</v>
      </c>
    </row>
    <row r="215" ht="15.75" hidden="1" customHeight="1">
      <c r="A215" s="4">
        <v>45529.0</v>
      </c>
      <c r="B215" s="1" t="s">
        <v>88</v>
      </c>
      <c r="C215" s="1" t="s">
        <v>89</v>
      </c>
      <c r="D215" s="1">
        <v>716.0</v>
      </c>
      <c r="E215" s="1">
        <v>0.0</v>
      </c>
      <c r="F215" s="1" t="s">
        <v>90</v>
      </c>
      <c r="G215" s="1" t="s">
        <v>91</v>
      </c>
      <c r="H215" s="1" t="s">
        <v>92</v>
      </c>
      <c r="I215" s="1" t="s">
        <v>614</v>
      </c>
      <c r="J215" s="1" t="s">
        <v>615</v>
      </c>
      <c r="K215" s="1" t="s">
        <v>615</v>
      </c>
      <c r="M215" s="1">
        <v>-12.0</v>
      </c>
      <c r="O215" s="1">
        <v>7.605016666666667</v>
      </c>
    </row>
    <row r="216" ht="15.75" hidden="1" customHeight="1">
      <c r="A216" s="4">
        <v>45529.0</v>
      </c>
      <c r="B216" s="1" t="s">
        <v>95</v>
      </c>
      <c r="C216" s="1" t="s">
        <v>89</v>
      </c>
      <c r="D216" s="1">
        <v>223.0</v>
      </c>
      <c r="E216" s="1">
        <v>86.0</v>
      </c>
      <c r="G216" s="1" t="s">
        <v>119</v>
      </c>
      <c r="H216" s="1" t="s">
        <v>92</v>
      </c>
      <c r="I216" s="1" t="s">
        <v>616</v>
      </c>
      <c r="J216" s="1" t="s">
        <v>617</v>
      </c>
      <c r="K216" s="1" t="s">
        <v>617</v>
      </c>
      <c r="M216" s="1">
        <v>-11.0</v>
      </c>
      <c r="O216" s="1">
        <v>6.7835833333333335</v>
      </c>
    </row>
    <row r="217" ht="15.75" hidden="1" customHeight="1">
      <c r="A217" s="4">
        <v>45529.0</v>
      </c>
      <c r="B217" s="1" t="s">
        <v>95</v>
      </c>
      <c r="C217" s="1" t="s">
        <v>89</v>
      </c>
      <c r="D217" s="1">
        <v>507.0</v>
      </c>
      <c r="E217" s="1">
        <v>0.0</v>
      </c>
      <c r="F217" s="1" t="s">
        <v>55</v>
      </c>
      <c r="G217" s="1" t="s">
        <v>97</v>
      </c>
      <c r="H217" s="1" t="s">
        <v>92</v>
      </c>
      <c r="I217" s="1" t="s">
        <v>618</v>
      </c>
      <c r="J217" s="1" t="s">
        <v>619</v>
      </c>
      <c r="K217" s="1" t="s">
        <v>620</v>
      </c>
      <c r="L217" s="1" t="s">
        <v>621</v>
      </c>
      <c r="M217" s="1">
        <v>-19.0</v>
      </c>
      <c r="N217" s="1">
        <v>0.012716666666666666</v>
      </c>
      <c r="O217" s="1">
        <v>6.6817</v>
      </c>
    </row>
    <row r="218" ht="15.75" hidden="1" customHeight="1">
      <c r="A218" s="4">
        <v>45529.0</v>
      </c>
      <c r="B218" s="1" t="s">
        <v>107</v>
      </c>
      <c r="C218" s="1" t="s">
        <v>104</v>
      </c>
      <c r="D218" s="1">
        <v>499.0</v>
      </c>
      <c r="E218" s="1">
        <v>0.0</v>
      </c>
      <c r="F218" s="1" t="s">
        <v>202</v>
      </c>
      <c r="G218" s="1" t="s">
        <v>91</v>
      </c>
      <c r="H218" s="1" t="s">
        <v>92</v>
      </c>
      <c r="I218" s="1" t="s">
        <v>622</v>
      </c>
      <c r="J218" s="1" t="s">
        <v>623</v>
      </c>
      <c r="K218" s="1" t="s">
        <v>623</v>
      </c>
      <c r="M218" s="1">
        <v>-6.0</v>
      </c>
      <c r="O218" s="1">
        <v>8.443916666666667</v>
      </c>
    </row>
    <row r="219" ht="15.75" hidden="1" customHeight="1">
      <c r="A219" s="4">
        <v>45529.0</v>
      </c>
      <c r="B219" s="1" t="s">
        <v>88</v>
      </c>
      <c r="C219" s="1" t="s">
        <v>89</v>
      </c>
      <c r="D219" s="1">
        <v>553.0</v>
      </c>
      <c r="E219" s="1">
        <v>0.0</v>
      </c>
      <c r="F219" s="1" t="s">
        <v>90</v>
      </c>
      <c r="G219" s="1" t="s">
        <v>91</v>
      </c>
      <c r="H219" s="1" t="s">
        <v>92</v>
      </c>
      <c r="I219" s="1" t="s">
        <v>624</v>
      </c>
      <c r="J219" s="1" t="s">
        <v>625</v>
      </c>
      <c r="K219" s="1" t="s">
        <v>625</v>
      </c>
      <c r="M219" s="1">
        <v>-13.0</v>
      </c>
      <c r="O219" s="1">
        <v>6.243733333333333</v>
      </c>
    </row>
    <row r="220" ht="15.75" hidden="1" customHeight="1">
      <c r="A220" s="4">
        <v>45529.0</v>
      </c>
      <c r="B220" s="1" t="s">
        <v>107</v>
      </c>
      <c r="C220" s="1" t="s">
        <v>104</v>
      </c>
      <c r="D220" s="1">
        <v>348.0</v>
      </c>
      <c r="E220" s="1">
        <v>0.0</v>
      </c>
      <c r="F220" s="1" t="s">
        <v>626</v>
      </c>
      <c r="G220" s="1" t="s">
        <v>91</v>
      </c>
      <c r="H220" s="1" t="s">
        <v>92</v>
      </c>
      <c r="I220" s="1" t="s">
        <v>627</v>
      </c>
      <c r="J220" s="1" t="s">
        <v>628</v>
      </c>
      <c r="K220" s="1" t="s">
        <v>628</v>
      </c>
      <c r="M220" s="1">
        <v>-7.0</v>
      </c>
      <c r="O220" s="1">
        <v>7.2093</v>
      </c>
    </row>
    <row r="221" ht="15.75" hidden="1" customHeight="1">
      <c r="A221" s="4">
        <v>45529.0</v>
      </c>
      <c r="B221" s="1" t="s">
        <v>107</v>
      </c>
      <c r="C221" s="1" t="s">
        <v>104</v>
      </c>
      <c r="D221" s="1">
        <v>427.0</v>
      </c>
      <c r="E221" s="1">
        <v>0.0</v>
      </c>
      <c r="F221" s="1" t="s">
        <v>348</v>
      </c>
      <c r="G221" s="1" t="s">
        <v>91</v>
      </c>
      <c r="H221" s="1" t="s">
        <v>92</v>
      </c>
      <c r="I221" s="1" t="s">
        <v>629</v>
      </c>
      <c r="J221" s="1" t="s">
        <v>630</v>
      </c>
      <c r="K221" s="1" t="s">
        <v>630</v>
      </c>
      <c r="M221" s="1">
        <v>-10.0</v>
      </c>
      <c r="O221" s="1">
        <v>4.89385</v>
      </c>
    </row>
    <row r="222" ht="15.75" hidden="1" customHeight="1">
      <c r="A222" s="4">
        <v>45529.0</v>
      </c>
      <c r="B222" s="1" t="s">
        <v>88</v>
      </c>
      <c r="C222" s="1" t="s">
        <v>89</v>
      </c>
      <c r="D222" s="1">
        <v>224.0</v>
      </c>
      <c r="E222" s="1">
        <v>0.0</v>
      </c>
      <c r="F222" s="1" t="s">
        <v>90</v>
      </c>
      <c r="G222" s="1" t="s">
        <v>91</v>
      </c>
      <c r="H222" s="1" t="s">
        <v>92</v>
      </c>
      <c r="I222" s="1" t="s">
        <v>631</v>
      </c>
      <c r="J222" s="1" t="s">
        <v>632</v>
      </c>
      <c r="K222" s="1" t="s">
        <v>632</v>
      </c>
      <c r="M222" s="1">
        <v>-11.0</v>
      </c>
      <c r="O222" s="1">
        <v>3.7498666666666667</v>
      </c>
    </row>
    <row r="223" ht="15.75" hidden="1" customHeight="1">
      <c r="A223" s="4">
        <v>45529.0</v>
      </c>
      <c r="B223" s="1" t="s">
        <v>88</v>
      </c>
      <c r="C223" s="1" t="s">
        <v>89</v>
      </c>
      <c r="D223" s="1">
        <v>423.0</v>
      </c>
      <c r="E223" s="1">
        <v>0.0</v>
      </c>
      <c r="F223" s="1" t="s">
        <v>90</v>
      </c>
      <c r="G223" s="1" t="s">
        <v>91</v>
      </c>
      <c r="H223" s="1" t="s">
        <v>92</v>
      </c>
      <c r="I223" s="1" t="s">
        <v>633</v>
      </c>
      <c r="J223" s="1" t="s">
        <v>634</v>
      </c>
      <c r="K223" s="1" t="s">
        <v>634</v>
      </c>
      <c r="M223" s="1">
        <v>-11.0</v>
      </c>
      <c r="O223" s="1">
        <v>5.783333333333333</v>
      </c>
    </row>
    <row r="224" ht="15.75" hidden="1" customHeight="1">
      <c r="A224" s="4">
        <v>45529.0</v>
      </c>
      <c r="B224" s="1" t="s">
        <v>95</v>
      </c>
      <c r="C224" s="1" t="s">
        <v>89</v>
      </c>
      <c r="D224" s="1">
        <v>316.0</v>
      </c>
      <c r="E224" s="1">
        <v>62.0</v>
      </c>
      <c r="G224" s="1" t="s">
        <v>119</v>
      </c>
      <c r="H224" s="1" t="s">
        <v>92</v>
      </c>
      <c r="I224" s="1" t="s">
        <v>635</v>
      </c>
      <c r="J224" s="1" t="s">
        <v>636</v>
      </c>
      <c r="K224" s="1" t="s">
        <v>636</v>
      </c>
      <c r="M224" s="1">
        <v>-11.0</v>
      </c>
      <c r="O224" s="1">
        <v>7.325916666666667</v>
      </c>
    </row>
    <row r="225" ht="15.75" hidden="1" customHeight="1">
      <c r="A225" s="4">
        <v>45529.0</v>
      </c>
      <c r="B225" s="1" t="s">
        <v>103</v>
      </c>
      <c r="C225" s="1" t="s">
        <v>104</v>
      </c>
      <c r="D225" s="1">
        <v>499.0</v>
      </c>
      <c r="E225" s="1">
        <v>0.0</v>
      </c>
      <c r="G225" s="1" t="s">
        <v>91</v>
      </c>
      <c r="H225" s="1" t="s">
        <v>92</v>
      </c>
      <c r="I225" s="1" t="s">
        <v>637</v>
      </c>
      <c r="J225" s="1" t="s">
        <v>638</v>
      </c>
      <c r="K225" s="1" t="s">
        <v>638</v>
      </c>
      <c r="M225" s="1">
        <v>-1.0</v>
      </c>
      <c r="O225" s="1">
        <v>6.804733333333333</v>
      </c>
    </row>
    <row r="226" ht="15.75" hidden="1" customHeight="1">
      <c r="A226" s="4">
        <v>45529.0</v>
      </c>
      <c r="B226" s="1" t="s">
        <v>103</v>
      </c>
      <c r="C226" s="1" t="s">
        <v>104</v>
      </c>
      <c r="D226" s="1">
        <v>378.0</v>
      </c>
      <c r="E226" s="1">
        <v>0.0</v>
      </c>
      <c r="G226" s="1" t="s">
        <v>91</v>
      </c>
      <c r="H226" s="1" t="s">
        <v>92</v>
      </c>
      <c r="I226" s="1" t="s">
        <v>639</v>
      </c>
      <c r="J226" s="1" t="s">
        <v>640</v>
      </c>
      <c r="K226" s="1" t="s">
        <v>640</v>
      </c>
      <c r="M226" s="1">
        <v>0.0</v>
      </c>
      <c r="O226" s="1">
        <v>7.433416666666667</v>
      </c>
    </row>
    <row r="227" ht="15.75" hidden="1" customHeight="1">
      <c r="A227" s="4">
        <v>45529.0</v>
      </c>
      <c r="B227" s="1" t="s">
        <v>95</v>
      </c>
      <c r="C227" s="1" t="s">
        <v>89</v>
      </c>
      <c r="D227" s="1">
        <v>513.0</v>
      </c>
      <c r="E227" s="1">
        <v>0.0</v>
      </c>
      <c r="F227" s="1" t="s">
        <v>55</v>
      </c>
      <c r="G227" s="1" t="s">
        <v>97</v>
      </c>
      <c r="H227" s="1" t="s">
        <v>92</v>
      </c>
      <c r="I227" s="1" t="s">
        <v>641</v>
      </c>
      <c r="J227" s="1" t="s">
        <v>642</v>
      </c>
      <c r="K227" s="1" t="s">
        <v>643</v>
      </c>
      <c r="L227" s="1" t="s">
        <v>644</v>
      </c>
      <c r="M227" s="1">
        <v>-20.0</v>
      </c>
      <c r="N227" s="1">
        <v>0.010183333333333334</v>
      </c>
      <c r="O227" s="1">
        <v>6.8354333333333335</v>
      </c>
    </row>
    <row r="228" ht="15.75" hidden="1" customHeight="1">
      <c r="A228" s="4">
        <v>45529.0</v>
      </c>
      <c r="B228" s="1" t="s">
        <v>95</v>
      </c>
      <c r="C228" s="1" t="s">
        <v>89</v>
      </c>
      <c r="D228" s="1">
        <v>598.0</v>
      </c>
      <c r="E228" s="1">
        <v>149.0</v>
      </c>
      <c r="G228" s="1" t="s">
        <v>119</v>
      </c>
      <c r="H228" s="1" t="s">
        <v>213</v>
      </c>
      <c r="I228" s="1" t="s">
        <v>645</v>
      </c>
      <c r="J228" s="1" t="s">
        <v>646</v>
      </c>
      <c r="K228" s="1" t="s">
        <v>646</v>
      </c>
      <c r="M228" s="1">
        <v>-17.0</v>
      </c>
      <c r="O228" s="1">
        <v>7.0849</v>
      </c>
    </row>
    <row r="229" ht="15.75" hidden="1" customHeight="1">
      <c r="A229" s="4">
        <v>45529.0</v>
      </c>
      <c r="B229" s="1" t="s">
        <v>95</v>
      </c>
      <c r="C229" s="1" t="s">
        <v>89</v>
      </c>
      <c r="D229" s="1">
        <v>638.0</v>
      </c>
      <c r="E229" s="1">
        <v>0.0</v>
      </c>
      <c r="F229" s="1" t="s">
        <v>55</v>
      </c>
      <c r="G229" s="1" t="s">
        <v>97</v>
      </c>
      <c r="H229" s="1" t="s">
        <v>92</v>
      </c>
      <c r="I229" s="1" t="s">
        <v>647</v>
      </c>
      <c r="J229" s="1" t="s">
        <v>648</v>
      </c>
      <c r="K229" s="1" t="s">
        <v>649</v>
      </c>
      <c r="L229" s="1" t="s">
        <v>650</v>
      </c>
      <c r="M229" s="1">
        <v>-19.0</v>
      </c>
      <c r="N229" s="1">
        <v>0.01145</v>
      </c>
      <c r="O229" s="1">
        <v>6.89525</v>
      </c>
    </row>
    <row r="230" ht="15.75" hidden="1" customHeight="1">
      <c r="A230" s="4">
        <v>45529.0</v>
      </c>
      <c r="B230" s="1" t="s">
        <v>88</v>
      </c>
      <c r="C230" s="1" t="s">
        <v>89</v>
      </c>
      <c r="D230" s="1">
        <v>307.0</v>
      </c>
      <c r="E230" s="1">
        <v>0.0</v>
      </c>
      <c r="F230" s="1" t="s">
        <v>90</v>
      </c>
      <c r="G230" s="1" t="s">
        <v>91</v>
      </c>
      <c r="H230" s="1" t="s">
        <v>92</v>
      </c>
      <c r="I230" s="1" t="s">
        <v>651</v>
      </c>
      <c r="J230" s="1" t="s">
        <v>652</v>
      </c>
      <c r="K230" s="1" t="s">
        <v>652</v>
      </c>
      <c r="M230" s="1">
        <v>-7.0</v>
      </c>
      <c r="O230" s="1">
        <v>7.440633333333333</v>
      </c>
    </row>
    <row r="231" ht="15.75" hidden="1" customHeight="1">
      <c r="A231" s="4">
        <v>45529.0</v>
      </c>
      <c r="B231" s="1" t="s">
        <v>95</v>
      </c>
      <c r="C231" s="1" t="s">
        <v>89</v>
      </c>
      <c r="D231" s="1">
        <v>309.0</v>
      </c>
      <c r="E231" s="1">
        <v>0.0</v>
      </c>
      <c r="F231" s="1" t="s">
        <v>55</v>
      </c>
      <c r="G231" s="1" t="s">
        <v>97</v>
      </c>
      <c r="H231" s="1" t="s">
        <v>92</v>
      </c>
      <c r="I231" s="1" t="s">
        <v>653</v>
      </c>
      <c r="J231" s="1" t="s">
        <v>654</v>
      </c>
      <c r="K231" s="1" t="s">
        <v>655</v>
      </c>
      <c r="L231" s="1" t="s">
        <v>656</v>
      </c>
      <c r="M231" s="1">
        <v>-9.0</v>
      </c>
      <c r="N231" s="1">
        <v>0.007833333333333333</v>
      </c>
      <c r="O231" s="1">
        <v>12.561933333333334</v>
      </c>
    </row>
    <row r="232" ht="15.75" hidden="1" customHeight="1">
      <c r="A232" s="4">
        <v>45529.0</v>
      </c>
      <c r="B232" s="1" t="s">
        <v>107</v>
      </c>
      <c r="C232" s="1" t="s">
        <v>104</v>
      </c>
      <c r="D232" s="1">
        <v>294.0</v>
      </c>
      <c r="E232" s="1">
        <v>0.0</v>
      </c>
      <c r="F232" s="1" t="s">
        <v>44</v>
      </c>
      <c r="G232" s="1" t="s">
        <v>91</v>
      </c>
      <c r="H232" s="1" t="s">
        <v>92</v>
      </c>
      <c r="I232" s="1" t="s">
        <v>657</v>
      </c>
      <c r="J232" s="1" t="s">
        <v>658</v>
      </c>
      <c r="K232" s="1" t="s">
        <v>658</v>
      </c>
      <c r="M232" s="1">
        <v>0.0</v>
      </c>
      <c r="O232" s="1">
        <v>14.882583333333333</v>
      </c>
    </row>
    <row r="233" ht="15.75" hidden="1" customHeight="1">
      <c r="A233" s="4">
        <v>45529.0</v>
      </c>
      <c r="B233" s="1" t="s">
        <v>95</v>
      </c>
      <c r="C233" s="1" t="s">
        <v>89</v>
      </c>
      <c r="D233" s="1">
        <v>393.0</v>
      </c>
      <c r="E233" s="1">
        <v>0.0</v>
      </c>
      <c r="F233" s="1" t="s">
        <v>55</v>
      </c>
      <c r="G233" s="1" t="s">
        <v>97</v>
      </c>
      <c r="H233" s="1" t="s">
        <v>92</v>
      </c>
      <c r="I233" s="1" t="s">
        <v>659</v>
      </c>
      <c r="J233" s="1" t="s">
        <v>660</v>
      </c>
      <c r="K233" s="1" t="s">
        <v>661</v>
      </c>
      <c r="L233" s="1" t="s">
        <v>662</v>
      </c>
      <c r="M233" s="1">
        <v>-16.0</v>
      </c>
      <c r="N233" s="1">
        <v>0.014083333333333333</v>
      </c>
      <c r="O233" s="1">
        <v>5.887966666666666</v>
      </c>
    </row>
    <row r="234" ht="15.75" hidden="1" customHeight="1">
      <c r="A234" s="4">
        <v>45529.0</v>
      </c>
      <c r="B234" s="1" t="s">
        <v>88</v>
      </c>
      <c r="C234" s="1" t="s">
        <v>89</v>
      </c>
      <c r="D234" s="1">
        <v>264.0</v>
      </c>
      <c r="E234" s="1">
        <v>0.0</v>
      </c>
      <c r="F234" s="1" t="s">
        <v>90</v>
      </c>
      <c r="G234" s="1" t="s">
        <v>91</v>
      </c>
      <c r="H234" s="1" t="s">
        <v>92</v>
      </c>
      <c r="I234" s="1" t="s">
        <v>663</v>
      </c>
      <c r="J234" s="1" t="s">
        <v>664</v>
      </c>
      <c r="K234" s="1" t="s">
        <v>664</v>
      </c>
      <c r="M234" s="1">
        <v>-10.0</v>
      </c>
      <c r="O234" s="1">
        <v>4.808683333333334</v>
      </c>
    </row>
    <row r="235" ht="15.75" hidden="1" customHeight="1">
      <c r="A235" s="4">
        <v>45529.0</v>
      </c>
      <c r="B235" s="1" t="s">
        <v>107</v>
      </c>
      <c r="C235" s="1" t="s">
        <v>104</v>
      </c>
      <c r="D235" s="1">
        <v>321.0</v>
      </c>
      <c r="E235" s="1">
        <v>0.0</v>
      </c>
      <c r="F235" s="1" t="s">
        <v>202</v>
      </c>
      <c r="G235" s="1" t="s">
        <v>91</v>
      </c>
      <c r="H235" s="1" t="s">
        <v>92</v>
      </c>
      <c r="I235" s="1" t="s">
        <v>665</v>
      </c>
      <c r="J235" s="1" t="s">
        <v>666</v>
      </c>
      <c r="K235" s="1" t="s">
        <v>666</v>
      </c>
      <c r="M235" s="1">
        <v>-5.0</v>
      </c>
      <c r="O235" s="1">
        <v>9.69875</v>
      </c>
    </row>
    <row r="236" ht="15.75" hidden="1" customHeight="1">
      <c r="A236" s="4">
        <v>45529.0</v>
      </c>
      <c r="B236" s="1" t="s">
        <v>95</v>
      </c>
      <c r="C236" s="1" t="s">
        <v>89</v>
      </c>
      <c r="D236" s="1">
        <v>494.0</v>
      </c>
      <c r="E236" s="1">
        <v>124.0</v>
      </c>
      <c r="G236" s="1" t="s">
        <v>119</v>
      </c>
      <c r="H236" s="1" t="s">
        <v>213</v>
      </c>
      <c r="I236" s="1" t="s">
        <v>667</v>
      </c>
      <c r="J236" s="1" t="s">
        <v>668</v>
      </c>
      <c r="K236" s="1" t="s">
        <v>668</v>
      </c>
      <c r="M236" s="1">
        <v>-25.0</v>
      </c>
      <c r="O236" s="1">
        <v>6.8313</v>
      </c>
    </row>
    <row r="237" ht="15.75" hidden="1" customHeight="1">
      <c r="A237" s="4">
        <v>45529.0</v>
      </c>
      <c r="B237" s="1" t="s">
        <v>103</v>
      </c>
      <c r="C237" s="1" t="s">
        <v>104</v>
      </c>
      <c r="D237" s="1">
        <v>429.0</v>
      </c>
      <c r="E237" s="1">
        <v>0.0</v>
      </c>
      <c r="G237" s="1" t="s">
        <v>91</v>
      </c>
      <c r="H237" s="1" t="s">
        <v>98</v>
      </c>
      <c r="I237" s="1" t="s">
        <v>669</v>
      </c>
      <c r="J237" s="1" t="s">
        <v>670</v>
      </c>
      <c r="K237" s="1" t="s">
        <v>670</v>
      </c>
      <c r="M237" s="1">
        <v>0.0</v>
      </c>
      <c r="O237" s="1">
        <v>7.308883333333333</v>
      </c>
    </row>
    <row r="238" ht="15.75" hidden="1" customHeight="1">
      <c r="A238" s="4">
        <v>45529.0</v>
      </c>
      <c r="B238" s="1" t="s">
        <v>107</v>
      </c>
      <c r="C238" s="1" t="s">
        <v>104</v>
      </c>
      <c r="D238" s="1">
        <v>329.0</v>
      </c>
      <c r="E238" s="1">
        <v>0.0</v>
      </c>
      <c r="F238" s="1" t="s">
        <v>202</v>
      </c>
      <c r="G238" s="1" t="s">
        <v>91</v>
      </c>
      <c r="H238" s="1" t="s">
        <v>92</v>
      </c>
      <c r="I238" s="1" t="s">
        <v>671</v>
      </c>
      <c r="J238" s="1" t="s">
        <v>672</v>
      </c>
      <c r="K238" s="1" t="s">
        <v>672</v>
      </c>
      <c r="M238" s="1">
        <v>-7.0</v>
      </c>
      <c r="O238" s="1">
        <v>7.23195</v>
      </c>
    </row>
    <row r="239" ht="15.75" hidden="1" customHeight="1">
      <c r="A239" s="4">
        <v>45529.0</v>
      </c>
      <c r="B239" s="1" t="s">
        <v>88</v>
      </c>
      <c r="C239" s="1" t="s">
        <v>89</v>
      </c>
      <c r="D239" s="1">
        <v>698.0</v>
      </c>
      <c r="E239" s="1">
        <v>0.0</v>
      </c>
      <c r="F239" s="1" t="s">
        <v>90</v>
      </c>
      <c r="G239" s="1" t="s">
        <v>91</v>
      </c>
      <c r="H239" s="1" t="s">
        <v>92</v>
      </c>
      <c r="I239" s="1" t="s">
        <v>673</v>
      </c>
      <c r="J239" s="1" t="s">
        <v>674</v>
      </c>
      <c r="K239" s="1" t="s">
        <v>674</v>
      </c>
      <c r="M239" s="1">
        <v>-7.0</v>
      </c>
      <c r="O239" s="1">
        <v>12.31975</v>
      </c>
    </row>
    <row r="240" ht="15.75" hidden="1" customHeight="1">
      <c r="A240" s="4">
        <v>45529.0</v>
      </c>
      <c r="B240" s="1" t="s">
        <v>95</v>
      </c>
      <c r="C240" s="1" t="s">
        <v>89</v>
      </c>
      <c r="D240" s="1">
        <v>400.0</v>
      </c>
      <c r="E240" s="1">
        <v>87.0</v>
      </c>
      <c r="G240" s="1" t="s">
        <v>119</v>
      </c>
      <c r="H240" s="1" t="s">
        <v>98</v>
      </c>
      <c r="I240" s="1" t="s">
        <v>675</v>
      </c>
      <c r="J240" s="1" t="s">
        <v>676</v>
      </c>
      <c r="K240" s="1" t="s">
        <v>676</v>
      </c>
      <c r="M240" s="1">
        <v>-13.0</v>
      </c>
      <c r="O240" s="1">
        <v>15.421033333333334</v>
      </c>
    </row>
    <row r="241" ht="15.75" hidden="1" customHeight="1">
      <c r="A241" s="4">
        <v>45529.0</v>
      </c>
      <c r="B241" s="1" t="s">
        <v>95</v>
      </c>
      <c r="C241" s="1" t="s">
        <v>89</v>
      </c>
      <c r="D241" s="1">
        <v>547.0</v>
      </c>
      <c r="E241" s="1">
        <v>0.0</v>
      </c>
      <c r="F241" s="1" t="s">
        <v>55</v>
      </c>
      <c r="G241" s="1" t="s">
        <v>97</v>
      </c>
      <c r="H241" s="1" t="s">
        <v>92</v>
      </c>
      <c r="I241" s="1" t="s">
        <v>677</v>
      </c>
      <c r="J241" s="1" t="s">
        <v>678</v>
      </c>
      <c r="K241" s="1" t="s">
        <v>679</v>
      </c>
      <c r="L241" s="1" t="s">
        <v>680</v>
      </c>
      <c r="M241" s="1">
        <v>-16.0</v>
      </c>
      <c r="N241" s="1">
        <v>0.015333333333333332</v>
      </c>
      <c r="O241" s="1">
        <v>7.7781666666666665</v>
      </c>
    </row>
    <row r="242" ht="15.75" hidden="1" customHeight="1">
      <c r="A242" s="4">
        <v>45529.0</v>
      </c>
      <c r="B242" s="1" t="s">
        <v>107</v>
      </c>
      <c r="C242" s="1" t="s">
        <v>104</v>
      </c>
      <c r="D242" s="1">
        <v>429.0</v>
      </c>
      <c r="E242" s="1">
        <v>0.0</v>
      </c>
      <c r="F242" s="1" t="s">
        <v>681</v>
      </c>
      <c r="G242" s="1" t="s">
        <v>91</v>
      </c>
      <c r="H242" s="1" t="s">
        <v>92</v>
      </c>
      <c r="I242" s="1" t="s">
        <v>682</v>
      </c>
      <c r="J242" s="1" t="s">
        <v>683</v>
      </c>
      <c r="K242" s="1" t="s">
        <v>683</v>
      </c>
      <c r="M242" s="1">
        <v>-4.0</v>
      </c>
      <c r="O242" s="1">
        <v>10.4264</v>
      </c>
    </row>
    <row r="243" ht="15.75" hidden="1" customHeight="1">
      <c r="A243" s="4">
        <v>45529.0</v>
      </c>
      <c r="B243" s="1" t="s">
        <v>107</v>
      </c>
      <c r="C243" s="1" t="s">
        <v>104</v>
      </c>
      <c r="D243" s="1">
        <v>264.0</v>
      </c>
      <c r="E243" s="1">
        <v>0.0</v>
      </c>
      <c r="F243" s="1" t="s">
        <v>681</v>
      </c>
      <c r="G243" s="1" t="s">
        <v>91</v>
      </c>
      <c r="H243" s="1" t="s">
        <v>92</v>
      </c>
      <c r="I243" s="1" t="s">
        <v>684</v>
      </c>
      <c r="J243" s="1" t="s">
        <v>685</v>
      </c>
      <c r="K243" s="1" t="s">
        <v>685</v>
      </c>
      <c r="M243" s="1">
        <v>-8.0</v>
      </c>
      <c r="O243" s="1">
        <v>6.2398</v>
      </c>
    </row>
    <row r="244" ht="15.75" hidden="1" customHeight="1">
      <c r="A244" s="4">
        <v>45529.0</v>
      </c>
      <c r="B244" s="1" t="s">
        <v>95</v>
      </c>
      <c r="C244" s="1" t="s">
        <v>89</v>
      </c>
      <c r="D244" s="1">
        <v>309.0</v>
      </c>
      <c r="E244" s="1">
        <v>0.0</v>
      </c>
      <c r="F244" s="1" t="s">
        <v>55</v>
      </c>
      <c r="G244" s="1" t="s">
        <v>97</v>
      </c>
      <c r="H244" s="1" t="s">
        <v>92</v>
      </c>
      <c r="I244" s="1" t="s">
        <v>686</v>
      </c>
      <c r="J244" s="1" t="s">
        <v>687</v>
      </c>
      <c r="K244" s="1" t="s">
        <v>688</v>
      </c>
      <c r="L244" s="1" t="s">
        <v>689</v>
      </c>
      <c r="M244" s="1">
        <v>-10.0</v>
      </c>
      <c r="N244" s="1">
        <v>0.007216666666666666</v>
      </c>
      <c r="O244" s="1">
        <v>11.320066666666667</v>
      </c>
    </row>
    <row r="245" ht="15.75" hidden="1" customHeight="1">
      <c r="A245" s="4">
        <v>45529.0</v>
      </c>
      <c r="B245" s="1" t="s">
        <v>103</v>
      </c>
      <c r="C245" s="1" t="s">
        <v>104</v>
      </c>
      <c r="D245" s="1">
        <v>419.0</v>
      </c>
      <c r="E245" s="1">
        <v>0.0</v>
      </c>
      <c r="G245" s="1" t="s">
        <v>91</v>
      </c>
      <c r="H245" s="1" t="s">
        <v>92</v>
      </c>
      <c r="I245" s="1" t="s">
        <v>690</v>
      </c>
      <c r="J245" s="1" t="s">
        <v>691</v>
      </c>
      <c r="K245" s="1" t="s">
        <v>691</v>
      </c>
      <c r="M245" s="1">
        <v>5.0</v>
      </c>
      <c r="O245" s="1">
        <v>12.390166666666667</v>
      </c>
    </row>
    <row r="246" ht="15.75" hidden="1" customHeight="1">
      <c r="A246" s="4">
        <v>45529.0</v>
      </c>
      <c r="B246" s="1" t="s">
        <v>107</v>
      </c>
      <c r="C246" s="1" t="s">
        <v>104</v>
      </c>
      <c r="D246" s="1">
        <v>528.0</v>
      </c>
      <c r="E246" s="1">
        <v>0.0</v>
      </c>
      <c r="F246" s="1" t="s">
        <v>681</v>
      </c>
      <c r="G246" s="1" t="s">
        <v>91</v>
      </c>
      <c r="H246" s="1" t="s">
        <v>92</v>
      </c>
      <c r="I246" s="1" t="s">
        <v>692</v>
      </c>
      <c r="J246" s="1" t="s">
        <v>693</v>
      </c>
      <c r="K246" s="1" t="s">
        <v>693</v>
      </c>
      <c r="M246" s="1">
        <v>-6.0</v>
      </c>
      <c r="O246" s="1">
        <v>13.7343</v>
      </c>
    </row>
    <row r="247" ht="15.75" hidden="1" customHeight="1">
      <c r="A247" s="4">
        <v>45529.0</v>
      </c>
      <c r="B247" s="1" t="s">
        <v>103</v>
      </c>
      <c r="C247" s="1" t="s">
        <v>104</v>
      </c>
      <c r="D247" s="1">
        <v>379.0</v>
      </c>
      <c r="E247" s="1">
        <v>0.0</v>
      </c>
      <c r="G247" s="1" t="s">
        <v>91</v>
      </c>
      <c r="H247" s="1" t="s">
        <v>92</v>
      </c>
      <c r="I247" s="1" t="s">
        <v>694</v>
      </c>
      <c r="J247" s="1" t="s">
        <v>695</v>
      </c>
      <c r="K247" s="1" t="s">
        <v>695</v>
      </c>
      <c r="M247" s="1">
        <v>0.0</v>
      </c>
      <c r="O247" s="1">
        <v>7.3336</v>
      </c>
    </row>
    <row r="248" ht="15.75" hidden="1" customHeight="1">
      <c r="A248" s="4">
        <v>45529.0</v>
      </c>
      <c r="B248" s="1" t="s">
        <v>103</v>
      </c>
      <c r="C248" s="1" t="s">
        <v>104</v>
      </c>
      <c r="D248" s="1">
        <v>329.0</v>
      </c>
      <c r="E248" s="1">
        <v>100.0</v>
      </c>
      <c r="G248" s="1" t="s">
        <v>91</v>
      </c>
      <c r="H248" s="1" t="s">
        <v>92</v>
      </c>
      <c r="I248" s="1" t="s">
        <v>696</v>
      </c>
      <c r="J248" s="1" t="s">
        <v>697</v>
      </c>
      <c r="K248" s="1" t="s">
        <v>697</v>
      </c>
      <c r="M248" s="1">
        <v>0.0</v>
      </c>
      <c r="O248" s="1">
        <v>7.932733333333333</v>
      </c>
    </row>
    <row r="249" ht="15.75" hidden="1" customHeight="1">
      <c r="A249" s="4">
        <v>45529.0</v>
      </c>
      <c r="B249" s="1" t="s">
        <v>103</v>
      </c>
      <c r="C249" s="1" t="s">
        <v>104</v>
      </c>
      <c r="D249" s="1">
        <v>713.0</v>
      </c>
      <c r="E249" s="1">
        <v>150.0</v>
      </c>
      <c r="G249" s="1" t="s">
        <v>91</v>
      </c>
      <c r="H249" s="1" t="s">
        <v>92</v>
      </c>
      <c r="I249" s="1" t="s">
        <v>698</v>
      </c>
      <c r="J249" s="1" t="s">
        <v>699</v>
      </c>
      <c r="K249" s="1" t="s">
        <v>699</v>
      </c>
      <c r="M249" s="1">
        <v>-1.0</v>
      </c>
      <c r="O249" s="1">
        <v>8.69495</v>
      </c>
    </row>
    <row r="250" ht="15.75" hidden="1" customHeight="1">
      <c r="A250" s="4">
        <v>45529.0</v>
      </c>
      <c r="B250" s="1" t="s">
        <v>103</v>
      </c>
      <c r="C250" s="1" t="s">
        <v>104</v>
      </c>
      <c r="D250" s="1">
        <v>947.0</v>
      </c>
      <c r="E250" s="1">
        <v>0.0</v>
      </c>
      <c r="G250" s="1" t="s">
        <v>91</v>
      </c>
      <c r="H250" s="1" t="s">
        <v>92</v>
      </c>
      <c r="I250" s="1" t="s">
        <v>700</v>
      </c>
      <c r="J250" s="1" t="s">
        <v>701</v>
      </c>
      <c r="K250" s="1" t="s">
        <v>701</v>
      </c>
      <c r="M250" s="1">
        <v>-1.0</v>
      </c>
      <c r="O250" s="1">
        <v>8.212633333333333</v>
      </c>
    </row>
    <row r="251" ht="15.75" hidden="1" customHeight="1">
      <c r="A251" s="4">
        <v>45529.0</v>
      </c>
      <c r="B251" s="1" t="s">
        <v>107</v>
      </c>
      <c r="C251" s="1" t="s">
        <v>104</v>
      </c>
      <c r="D251" s="1">
        <v>394.0</v>
      </c>
      <c r="E251" s="1">
        <v>0.0</v>
      </c>
      <c r="F251" s="1" t="s">
        <v>702</v>
      </c>
      <c r="G251" s="1" t="s">
        <v>91</v>
      </c>
      <c r="H251" s="1" t="s">
        <v>92</v>
      </c>
      <c r="I251" s="1" t="s">
        <v>703</v>
      </c>
      <c r="J251" s="1" t="s">
        <v>704</v>
      </c>
      <c r="K251" s="1" t="s">
        <v>704</v>
      </c>
      <c r="M251" s="1">
        <v>-5.0</v>
      </c>
      <c r="O251" s="1">
        <v>9.678333333333333</v>
      </c>
    </row>
    <row r="252" ht="15.75" hidden="1" customHeight="1">
      <c r="A252" s="4">
        <v>45529.0</v>
      </c>
      <c r="B252" s="1" t="s">
        <v>103</v>
      </c>
      <c r="C252" s="1" t="s">
        <v>104</v>
      </c>
      <c r="D252" s="1">
        <v>528.0</v>
      </c>
      <c r="E252" s="1">
        <v>0.0</v>
      </c>
      <c r="G252" s="1" t="s">
        <v>91</v>
      </c>
      <c r="H252" s="1" t="s">
        <v>92</v>
      </c>
      <c r="I252" s="1" t="s">
        <v>705</v>
      </c>
      <c r="J252" s="1" t="s">
        <v>706</v>
      </c>
      <c r="K252" s="1" t="s">
        <v>706</v>
      </c>
      <c r="M252" s="1">
        <v>-1.0</v>
      </c>
      <c r="O252" s="1">
        <v>6.06435</v>
      </c>
    </row>
    <row r="253" ht="15.75" hidden="1" customHeight="1">
      <c r="A253" s="4">
        <v>45529.0</v>
      </c>
      <c r="B253" s="1" t="s">
        <v>103</v>
      </c>
      <c r="C253" s="1" t="s">
        <v>104</v>
      </c>
      <c r="D253" s="1">
        <v>676.0</v>
      </c>
      <c r="E253" s="1">
        <v>0.0</v>
      </c>
      <c r="G253" s="1" t="s">
        <v>91</v>
      </c>
      <c r="H253" s="1" t="s">
        <v>92</v>
      </c>
      <c r="I253" s="1" t="s">
        <v>707</v>
      </c>
      <c r="J253" s="1" t="s">
        <v>708</v>
      </c>
      <c r="K253" s="1" t="s">
        <v>708</v>
      </c>
      <c r="M253" s="1">
        <v>0.0</v>
      </c>
      <c r="O253" s="1">
        <v>9.1631</v>
      </c>
    </row>
    <row r="254" ht="15.75" hidden="1" customHeight="1">
      <c r="A254" s="4">
        <v>45529.0</v>
      </c>
      <c r="B254" s="1" t="s">
        <v>107</v>
      </c>
      <c r="C254" s="1" t="s">
        <v>104</v>
      </c>
      <c r="D254" s="1">
        <v>129.0</v>
      </c>
      <c r="E254" s="1">
        <v>0.0</v>
      </c>
      <c r="F254" s="1" t="s">
        <v>202</v>
      </c>
      <c r="G254" s="1" t="s">
        <v>91</v>
      </c>
      <c r="H254" s="1" t="s">
        <v>92</v>
      </c>
      <c r="I254" s="1" t="s">
        <v>709</v>
      </c>
      <c r="J254" s="1" t="s">
        <v>710</v>
      </c>
      <c r="K254" s="1" t="s">
        <v>710</v>
      </c>
      <c r="M254" s="1">
        <v>-8.0</v>
      </c>
      <c r="O254" s="1">
        <v>6.99845</v>
      </c>
    </row>
    <row r="255" ht="15.75" hidden="1" customHeight="1">
      <c r="A255" s="4">
        <v>45529.0</v>
      </c>
      <c r="B255" s="1" t="s">
        <v>95</v>
      </c>
      <c r="C255" s="1" t="s">
        <v>89</v>
      </c>
      <c r="D255" s="1">
        <v>550.0</v>
      </c>
      <c r="E255" s="1">
        <v>17.0</v>
      </c>
      <c r="F255" s="1" t="s">
        <v>55</v>
      </c>
      <c r="G255" s="1" t="s">
        <v>97</v>
      </c>
      <c r="H255" s="1" t="s">
        <v>92</v>
      </c>
      <c r="I255" s="1" t="s">
        <v>711</v>
      </c>
      <c r="J255" s="1" t="s">
        <v>712</v>
      </c>
      <c r="K255" s="1" t="s">
        <v>713</v>
      </c>
      <c r="L255" s="1" t="s">
        <v>714</v>
      </c>
      <c r="M255" s="1">
        <v>-12.0</v>
      </c>
      <c r="N255" s="1">
        <v>0.011116666666666667</v>
      </c>
      <c r="O255" s="1">
        <v>10.3567</v>
      </c>
    </row>
    <row r="256" ht="15.75" hidden="1" customHeight="1">
      <c r="A256" s="4">
        <v>45529.0</v>
      </c>
      <c r="B256" s="1" t="s">
        <v>103</v>
      </c>
      <c r="C256" s="1" t="s">
        <v>104</v>
      </c>
      <c r="D256" s="1">
        <v>364.0</v>
      </c>
      <c r="E256" s="1">
        <v>0.0</v>
      </c>
      <c r="G256" s="1" t="s">
        <v>91</v>
      </c>
      <c r="H256" s="1" t="s">
        <v>92</v>
      </c>
      <c r="I256" s="1" t="s">
        <v>715</v>
      </c>
      <c r="J256" s="1" t="s">
        <v>716</v>
      </c>
      <c r="K256" s="1" t="s">
        <v>716</v>
      </c>
      <c r="M256" s="1">
        <v>0.0</v>
      </c>
      <c r="O256" s="1">
        <v>7.2854833333333335</v>
      </c>
    </row>
    <row r="257" ht="15.75" hidden="1" customHeight="1">
      <c r="A257" s="4">
        <v>45529.0</v>
      </c>
      <c r="B257" s="1" t="s">
        <v>107</v>
      </c>
      <c r="C257" s="1" t="s">
        <v>104</v>
      </c>
      <c r="D257" s="1">
        <v>693.0</v>
      </c>
      <c r="E257" s="1">
        <v>0.0</v>
      </c>
      <c r="F257" s="1" t="s">
        <v>202</v>
      </c>
      <c r="G257" s="1" t="s">
        <v>91</v>
      </c>
      <c r="H257" s="1" t="s">
        <v>92</v>
      </c>
      <c r="I257" s="1" t="s">
        <v>717</v>
      </c>
      <c r="J257" s="1" t="s">
        <v>718</v>
      </c>
      <c r="K257" s="1" t="s">
        <v>718</v>
      </c>
      <c r="M257" s="1">
        <v>-6.0</v>
      </c>
      <c r="O257" s="1">
        <v>13.590483333333333</v>
      </c>
    </row>
    <row r="258" ht="15.75" hidden="1" customHeight="1">
      <c r="A258" s="4">
        <v>45529.0</v>
      </c>
      <c r="B258" s="1" t="s">
        <v>95</v>
      </c>
      <c r="C258" s="1" t="s">
        <v>89</v>
      </c>
      <c r="D258" s="1">
        <v>199.0</v>
      </c>
      <c r="E258" s="1">
        <v>50.0</v>
      </c>
      <c r="G258" s="1" t="s">
        <v>119</v>
      </c>
      <c r="H258" s="1" t="s">
        <v>213</v>
      </c>
      <c r="I258" s="1" t="s">
        <v>719</v>
      </c>
      <c r="J258" s="1" t="s">
        <v>720</v>
      </c>
      <c r="K258" s="1" t="s">
        <v>720</v>
      </c>
      <c r="M258" s="1">
        <v>-11.0</v>
      </c>
      <c r="O258" s="1">
        <v>8.397933333333333</v>
      </c>
    </row>
    <row r="259" ht="15.75" hidden="1" customHeight="1">
      <c r="A259" s="4">
        <v>45529.0</v>
      </c>
      <c r="B259" s="1" t="s">
        <v>95</v>
      </c>
      <c r="C259" s="1" t="s">
        <v>89</v>
      </c>
      <c r="D259" s="1">
        <v>309.0</v>
      </c>
      <c r="E259" s="1">
        <v>0.0</v>
      </c>
      <c r="F259" s="1" t="s">
        <v>54</v>
      </c>
      <c r="G259" s="1" t="s">
        <v>97</v>
      </c>
      <c r="H259" s="1" t="s">
        <v>92</v>
      </c>
      <c r="I259" s="1" t="s">
        <v>721</v>
      </c>
      <c r="J259" s="1" t="s">
        <v>722</v>
      </c>
      <c r="K259" s="1" t="s">
        <v>723</v>
      </c>
      <c r="L259" s="1" t="s">
        <v>724</v>
      </c>
      <c r="M259" s="1">
        <v>-10.0</v>
      </c>
      <c r="N259" s="1">
        <v>0.0111</v>
      </c>
      <c r="O259" s="1">
        <v>7.196183333333333</v>
      </c>
    </row>
    <row r="260" ht="15.75" hidden="1" customHeight="1">
      <c r="A260" s="4">
        <v>45529.0</v>
      </c>
      <c r="B260" s="1" t="s">
        <v>95</v>
      </c>
      <c r="C260" s="1" t="s">
        <v>89</v>
      </c>
      <c r="D260" s="1">
        <v>215.0</v>
      </c>
      <c r="E260" s="1">
        <v>54.0</v>
      </c>
      <c r="G260" s="1" t="s">
        <v>119</v>
      </c>
      <c r="H260" s="1" t="s">
        <v>92</v>
      </c>
      <c r="I260" s="1" t="s">
        <v>725</v>
      </c>
      <c r="J260" s="1" t="s">
        <v>726</v>
      </c>
      <c r="K260" s="1" t="s">
        <v>726</v>
      </c>
      <c r="M260" s="1">
        <v>-11.0</v>
      </c>
      <c r="O260" s="1">
        <v>7.3835</v>
      </c>
    </row>
    <row r="261" ht="15.75" hidden="1" customHeight="1">
      <c r="A261" s="4">
        <v>45529.0</v>
      </c>
      <c r="B261" s="1" t="s">
        <v>95</v>
      </c>
      <c r="C261" s="1" t="s">
        <v>89</v>
      </c>
      <c r="D261" s="1">
        <v>375.0</v>
      </c>
      <c r="E261" s="1">
        <v>0.0</v>
      </c>
      <c r="F261" s="1" t="s">
        <v>90</v>
      </c>
      <c r="G261" s="1" t="s">
        <v>97</v>
      </c>
      <c r="H261" s="1" t="s">
        <v>92</v>
      </c>
      <c r="I261" s="1" t="s">
        <v>727</v>
      </c>
      <c r="J261" s="1" t="s">
        <v>728</v>
      </c>
      <c r="K261" s="1" t="s">
        <v>729</v>
      </c>
      <c r="L261" s="1" t="s">
        <v>730</v>
      </c>
      <c r="M261" s="1">
        <v>3.0</v>
      </c>
      <c r="N261" s="1">
        <v>5.699866666666667</v>
      </c>
      <c r="O261" s="1">
        <v>6.887483333333333</v>
      </c>
    </row>
    <row r="262" ht="15.75" hidden="1" customHeight="1">
      <c r="A262" s="4">
        <v>45529.0</v>
      </c>
      <c r="B262" s="1" t="s">
        <v>228</v>
      </c>
      <c r="C262" s="1" t="s">
        <v>89</v>
      </c>
      <c r="D262" s="1">
        <v>498.0</v>
      </c>
      <c r="E262" s="1">
        <v>0.0</v>
      </c>
      <c r="G262" s="1" t="s">
        <v>119</v>
      </c>
      <c r="H262" s="1" t="s">
        <v>98</v>
      </c>
      <c r="I262" s="1" t="s">
        <v>731</v>
      </c>
      <c r="J262" s="1" t="s">
        <v>732</v>
      </c>
      <c r="K262" s="1" t="s">
        <v>732</v>
      </c>
      <c r="M262" s="1">
        <v>1.0</v>
      </c>
      <c r="O262" s="1">
        <v>6.621033333333333</v>
      </c>
    </row>
    <row r="263" ht="15.75" hidden="1" customHeight="1">
      <c r="A263" s="4">
        <v>45529.0</v>
      </c>
      <c r="B263" s="1" t="s">
        <v>103</v>
      </c>
      <c r="C263" s="1" t="s">
        <v>104</v>
      </c>
      <c r="D263" s="1">
        <v>351.0</v>
      </c>
      <c r="E263" s="1">
        <v>0.0</v>
      </c>
      <c r="G263" s="1" t="s">
        <v>91</v>
      </c>
      <c r="H263" s="1" t="s">
        <v>92</v>
      </c>
      <c r="I263" s="1" t="s">
        <v>733</v>
      </c>
      <c r="J263" s="1" t="s">
        <v>734</v>
      </c>
      <c r="K263" s="1" t="s">
        <v>734</v>
      </c>
      <c r="M263" s="1">
        <v>3.0</v>
      </c>
      <c r="O263" s="1">
        <v>10.094733333333334</v>
      </c>
    </row>
    <row r="264" ht="15.75" hidden="1" customHeight="1">
      <c r="A264" s="4">
        <v>45529.0</v>
      </c>
      <c r="B264" s="1" t="s">
        <v>103</v>
      </c>
      <c r="C264" s="1" t="s">
        <v>104</v>
      </c>
      <c r="D264" s="1">
        <v>319.0</v>
      </c>
      <c r="E264" s="1">
        <v>0.0</v>
      </c>
      <c r="G264" s="1" t="s">
        <v>91</v>
      </c>
      <c r="H264" s="1" t="s">
        <v>92</v>
      </c>
      <c r="I264" s="1" t="s">
        <v>735</v>
      </c>
      <c r="J264" s="1" t="s">
        <v>736</v>
      </c>
      <c r="K264" s="1" t="s">
        <v>736</v>
      </c>
      <c r="M264" s="1">
        <v>1.0</v>
      </c>
      <c r="O264" s="1">
        <v>8.834916666666667</v>
      </c>
    </row>
    <row r="265" ht="15.75" hidden="1" customHeight="1">
      <c r="A265" s="4">
        <v>45529.0</v>
      </c>
      <c r="B265" s="1" t="s">
        <v>103</v>
      </c>
      <c r="C265" s="1" t="s">
        <v>104</v>
      </c>
      <c r="D265" s="1">
        <v>364.0</v>
      </c>
      <c r="E265" s="1">
        <v>0.0</v>
      </c>
      <c r="G265" s="1" t="s">
        <v>91</v>
      </c>
      <c r="H265" s="1" t="s">
        <v>92</v>
      </c>
      <c r="I265" s="1" t="s">
        <v>737</v>
      </c>
      <c r="J265" s="1" t="s">
        <v>738</v>
      </c>
      <c r="K265" s="1" t="s">
        <v>738</v>
      </c>
      <c r="M265" s="1">
        <v>1.0</v>
      </c>
      <c r="O265" s="1">
        <v>8.103933333333334</v>
      </c>
    </row>
    <row r="266" ht="15.75" hidden="1" customHeight="1">
      <c r="A266" s="4">
        <v>45529.0</v>
      </c>
      <c r="B266" s="1" t="s">
        <v>88</v>
      </c>
      <c r="C266" s="1" t="s">
        <v>89</v>
      </c>
      <c r="D266" s="1">
        <v>418.0</v>
      </c>
      <c r="E266" s="1">
        <v>0.0</v>
      </c>
      <c r="F266" s="1" t="s">
        <v>90</v>
      </c>
      <c r="G266" s="1" t="s">
        <v>91</v>
      </c>
      <c r="H266" s="1" t="s">
        <v>92</v>
      </c>
      <c r="I266" s="1" t="s">
        <v>739</v>
      </c>
      <c r="J266" s="1" t="s">
        <v>740</v>
      </c>
      <c r="K266" s="1" t="s">
        <v>740</v>
      </c>
      <c r="M266" s="1">
        <v>-7.0</v>
      </c>
      <c r="O266" s="1">
        <v>7.1531666666666665</v>
      </c>
    </row>
    <row r="267" ht="15.75" hidden="1" customHeight="1">
      <c r="A267" s="4">
        <v>45529.0</v>
      </c>
      <c r="B267" s="1" t="s">
        <v>103</v>
      </c>
      <c r="C267" s="1" t="s">
        <v>104</v>
      </c>
      <c r="D267" s="1">
        <v>268.0</v>
      </c>
      <c r="E267" s="1">
        <v>100.0</v>
      </c>
      <c r="G267" s="1" t="s">
        <v>91</v>
      </c>
      <c r="H267" s="1" t="s">
        <v>92</v>
      </c>
      <c r="I267" s="1" t="s">
        <v>741</v>
      </c>
      <c r="J267" s="1" t="s">
        <v>742</v>
      </c>
      <c r="K267" s="1" t="s">
        <v>742</v>
      </c>
      <c r="M267" s="1">
        <v>1.0</v>
      </c>
      <c r="O267" s="1">
        <v>8.195916666666667</v>
      </c>
    </row>
    <row r="268" ht="15.75" hidden="1" customHeight="1">
      <c r="A268" s="4">
        <v>45529.0</v>
      </c>
      <c r="B268" s="1" t="s">
        <v>103</v>
      </c>
      <c r="C268" s="1" t="s">
        <v>104</v>
      </c>
      <c r="D268" s="1">
        <v>264.0</v>
      </c>
      <c r="E268" s="1">
        <v>0.0</v>
      </c>
      <c r="G268" s="1" t="s">
        <v>91</v>
      </c>
      <c r="H268" s="1" t="s">
        <v>92</v>
      </c>
      <c r="I268" s="1" t="s">
        <v>743</v>
      </c>
      <c r="J268" s="1" t="s">
        <v>744</v>
      </c>
      <c r="K268" s="1" t="s">
        <v>744</v>
      </c>
      <c r="M268" s="1">
        <v>0.0</v>
      </c>
      <c r="O268" s="1">
        <v>7.167883333333333</v>
      </c>
    </row>
    <row r="269" ht="15.75" hidden="1" customHeight="1">
      <c r="A269" s="4">
        <v>45529.0</v>
      </c>
      <c r="B269" s="1" t="s">
        <v>103</v>
      </c>
      <c r="C269" s="1" t="s">
        <v>104</v>
      </c>
      <c r="D269" s="1">
        <v>408.0</v>
      </c>
      <c r="E269" s="1">
        <v>150.0</v>
      </c>
      <c r="G269" s="1" t="s">
        <v>91</v>
      </c>
      <c r="H269" s="1" t="s">
        <v>92</v>
      </c>
      <c r="I269" s="1" t="s">
        <v>745</v>
      </c>
      <c r="J269" s="1" t="s">
        <v>746</v>
      </c>
      <c r="K269" s="1" t="s">
        <v>746</v>
      </c>
      <c r="M269" s="1">
        <v>-1.0</v>
      </c>
      <c r="O269" s="1">
        <v>7.694016666666666</v>
      </c>
    </row>
    <row r="270" ht="15.75" hidden="1" customHeight="1">
      <c r="A270" s="4">
        <v>45529.0</v>
      </c>
      <c r="B270" s="1" t="s">
        <v>95</v>
      </c>
      <c r="C270" s="1" t="s">
        <v>89</v>
      </c>
      <c r="D270" s="1">
        <v>245.0</v>
      </c>
      <c r="E270" s="1">
        <v>61.0</v>
      </c>
      <c r="G270" s="1" t="s">
        <v>119</v>
      </c>
      <c r="H270" s="1" t="s">
        <v>92</v>
      </c>
      <c r="I270" s="1" t="s">
        <v>747</v>
      </c>
      <c r="J270" s="1" t="s">
        <v>748</v>
      </c>
      <c r="K270" s="1" t="s">
        <v>748</v>
      </c>
      <c r="M270" s="1">
        <v>-8.0</v>
      </c>
      <c r="O270" s="1">
        <v>10.495133333333333</v>
      </c>
    </row>
    <row r="271" ht="15.75" hidden="1" customHeight="1">
      <c r="A271" s="4">
        <v>45529.0</v>
      </c>
      <c r="B271" s="1" t="s">
        <v>95</v>
      </c>
      <c r="C271" s="1" t="s">
        <v>89</v>
      </c>
      <c r="D271" s="1">
        <v>547.0</v>
      </c>
      <c r="E271" s="1">
        <v>0.0</v>
      </c>
      <c r="F271" s="1" t="s">
        <v>54</v>
      </c>
      <c r="G271" s="1" t="s">
        <v>97</v>
      </c>
      <c r="H271" s="1" t="s">
        <v>98</v>
      </c>
      <c r="I271" s="1" t="s">
        <v>749</v>
      </c>
      <c r="J271" s="1" t="s">
        <v>750</v>
      </c>
      <c r="K271" s="1" t="s">
        <v>751</v>
      </c>
      <c r="L271" s="1" t="s">
        <v>752</v>
      </c>
      <c r="M271" s="1">
        <v>-11.0</v>
      </c>
      <c r="N271" s="1">
        <v>0.0113</v>
      </c>
      <c r="O271" s="1">
        <v>7.8432</v>
      </c>
    </row>
    <row r="272" ht="15.75" hidden="1" customHeight="1">
      <c r="A272" s="4">
        <v>45529.0</v>
      </c>
      <c r="B272" s="1" t="s">
        <v>88</v>
      </c>
      <c r="C272" s="1" t="s">
        <v>89</v>
      </c>
      <c r="D272" s="1">
        <v>303.0</v>
      </c>
      <c r="E272" s="1">
        <v>0.0</v>
      </c>
      <c r="F272" s="1" t="s">
        <v>90</v>
      </c>
      <c r="G272" s="1" t="s">
        <v>91</v>
      </c>
      <c r="H272" s="1" t="s">
        <v>92</v>
      </c>
      <c r="I272" s="1" t="s">
        <v>753</v>
      </c>
      <c r="J272" s="1" t="s">
        <v>754</v>
      </c>
      <c r="K272" s="1" t="s">
        <v>754</v>
      </c>
      <c r="M272" s="1">
        <v>-9.0</v>
      </c>
      <c r="O272" s="1">
        <v>5.666</v>
      </c>
    </row>
    <row r="273" ht="15.75" hidden="1" customHeight="1">
      <c r="A273" s="4">
        <v>45529.0</v>
      </c>
      <c r="B273" s="1" t="s">
        <v>103</v>
      </c>
      <c r="C273" s="1" t="s">
        <v>104</v>
      </c>
      <c r="D273" s="1">
        <v>922.0</v>
      </c>
      <c r="E273" s="1">
        <v>0.0</v>
      </c>
      <c r="G273" s="1" t="s">
        <v>91</v>
      </c>
      <c r="H273" s="1" t="s">
        <v>92</v>
      </c>
      <c r="I273" s="1" t="s">
        <v>755</v>
      </c>
      <c r="J273" s="1" t="s">
        <v>756</v>
      </c>
      <c r="K273" s="1" t="s">
        <v>756</v>
      </c>
      <c r="M273" s="1">
        <v>-1.0</v>
      </c>
      <c r="O273" s="1">
        <v>8.224833333333333</v>
      </c>
    </row>
    <row r="274" ht="15.75" hidden="1" customHeight="1">
      <c r="A274" s="4">
        <v>45529.0</v>
      </c>
      <c r="B274" s="1" t="s">
        <v>95</v>
      </c>
      <c r="C274" s="1" t="s">
        <v>89</v>
      </c>
      <c r="D274" s="1">
        <v>354.0</v>
      </c>
      <c r="E274" s="1">
        <v>0.0</v>
      </c>
      <c r="F274" s="1" t="s">
        <v>54</v>
      </c>
      <c r="G274" s="1" t="s">
        <v>97</v>
      </c>
      <c r="H274" s="1" t="s">
        <v>92</v>
      </c>
      <c r="I274" s="1" t="s">
        <v>757</v>
      </c>
      <c r="J274" s="1" t="s">
        <v>758</v>
      </c>
      <c r="K274" s="1" t="s">
        <v>759</v>
      </c>
      <c r="L274" s="1" t="s">
        <v>760</v>
      </c>
      <c r="M274" s="1">
        <v>-16.0</v>
      </c>
      <c r="N274" s="1">
        <v>0.0119</v>
      </c>
      <c r="O274" s="1">
        <v>6.897316666666667</v>
      </c>
    </row>
    <row r="275" ht="15.75" hidden="1" customHeight="1">
      <c r="A275" s="4">
        <v>45529.0</v>
      </c>
      <c r="B275" s="1" t="s">
        <v>95</v>
      </c>
      <c r="C275" s="1" t="s">
        <v>89</v>
      </c>
      <c r="D275" s="1">
        <v>522.0</v>
      </c>
      <c r="E275" s="1">
        <v>0.0</v>
      </c>
      <c r="F275" s="1" t="s">
        <v>54</v>
      </c>
      <c r="G275" s="1" t="s">
        <v>97</v>
      </c>
      <c r="H275" s="1" t="s">
        <v>92</v>
      </c>
      <c r="I275" s="1" t="s">
        <v>761</v>
      </c>
      <c r="J275" s="1" t="s">
        <v>762</v>
      </c>
      <c r="K275" s="1" t="s">
        <v>763</v>
      </c>
      <c r="L275" s="1" t="s">
        <v>764</v>
      </c>
      <c r="M275" s="1">
        <v>-7.0</v>
      </c>
      <c r="N275" s="1">
        <v>0.013366666666666667</v>
      </c>
      <c r="O275" s="1">
        <v>10.712966666666667</v>
      </c>
    </row>
    <row r="276" ht="15.75" hidden="1" customHeight="1">
      <c r="A276" s="4">
        <v>45529.0</v>
      </c>
      <c r="B276" s="1" t="s">
        <v>95</v>
      </c>
      <c r="C276" s="1" t="s">
        <v>89</v>
      </c>
      <c r="D276" s="1">
        <v>533.0</v>
      </c>
      <c r="E276" s="1">
        <v>0.0</v>
      </c>
      <c r="F276" s="1" t="s">
        <v>90</v>
      </c>
      <c r="G276" s="1" t="s">
        <v>97</v>
      </c>
      <c r="H276" s="1" t="s">
        <v>98</v>
      </c>
      <c r="I276" s="1" t="s">
        <v>765</v>
      </c>
      <c r="J276" s="1" t="s">
        <v>766</v>
      </c>
      <c r="K276" s="1" t="s">
        <v>767</v>
      </c>
      <c r="L276" s="1" t="s">
        <v>768</v>
      </c>
      <c r="M276" s="1">
        <v>-7.0</v>
      </c>
      <c r="N276" s="1">
        <v>5.688666666666666</v>
      </c>
      <c r="O276" s="1">
        <v>11.8608</v>
      </c>
    </row>
    <row r="277" ht="15.75" hidden="1" customHeight="1">
      <c r="A277" s="4">
        <v>45529.0</v>
      </c>
      <c r="B277" s="1" t="s">
        <v>103</v>
      </c>
      <c r="C277" s="1" t="s">
        <v>104</v>
      </c>
      <c r="D277" s="1">
        <v>387.0</v>
      </c>
      <c r="E277" s="1">
        <v>0.0</v>
      </c>
      <c r="G277" s="1" t="s">
        <v>91</v>
      </c>
      <c r="H277" s="1" t="s">
        <v>92</v>
      </c>
      <c r="I277" s="1" t="s">
        <v>769</v>
      </c>
      <c r="J277" s="1" t="s">
        <v>770</v>
      </c>
      <c r="K277" s="1" t="s">
        <v>770</v>
      </c>
      <c r="M277" s="1">
        <v>0.0</v>
      </c>
      <c r="O277" s="1">
        <v>7.42385</v>
      </c>
    </row>
    <row r="278" ht="15.75" hidden="1" customHeight="1">
      <c r="A278" s="4">
        <v>45529.0</v>
      </c>
      <c r="B278" s="1" t="s">
        <v>88</v>
      </c>
      <c r="C278" s="1" t="s">
        <v>89</v>
      </c>
      <c r="D278" s="1">
        <v>657.0</v>
      </c>
      <c r="E278" s="1">
        <v>0.0</v>
      </c>
      <c r="F278" s="1" t="s">
        <v>90</v>
      </c>
      <c r="G278" s="1" t="s">
        <v>91</v>
      </c>
      <c r="H278" s="1" t="s">
        <v>92</v>
      </c>
      <c r="I278" s="1" t="s">
        <v>771</v>
      </c>
      <c r="J278" s="1" t="s">
        <v>772</v>
      </c>
      <c r="K278" s="1" t="s">
        <v>772</v>
      </c>
      <c r="M278" s="1">
        <v>-12.0</v>
      </c>
      <c r="O278" s="1">
        <v>7.0929</v>
      </c>
    </row>
    <row r="279" ht="15.75" hidden="1" customHeight="1">
      <c r="A279" s="4">
        <v>45529.0</v>
      </c>
      <c r="B279" s="1" t="s">
        <v>103</v>
      </c>
      <c r="C279" s="1" t="s">
        <v>104</v>
      </c>
      <c r="D279" s="1">
        <v>214.0</v>
      </c>
      <c r="E279" s="1">
        <v>50.0</v>
      </c>
      <c r="G279" s="1" t="s">
        <v>91</v>
      </c>
      <c r="H279" s="1" t="s">
        <v>92</v>
      </c>
      <c r="I279" s="1" t="s">
        <v>773</v>
      </c>
      <c r="J279" s="1" t="s">
        <v>774</v>
      </c>
      <c r="K279" s="1" t="s">
        <v>774</v>
      </c>
      <c r="M279" s="1">
        <v>0.0</v>
      </c>
      <c r="O279" s="1">
        <v>6.16905</v>
      </c>
    </row>
    <row r="280" ht="15.75" hidden="1" customHeight="1">
      <c r="A280" s="4">
        <v>45529.0</v>
      </c>
      <c r="B280" s="1" t="s">
        <v>107</v>
      </c>
      <c r="C280" s="1" t="s">
        <v>104</v>
      </c>
      <c r="D280" s="1">
        <v>313.0</v>
      </c>
      <c r="E280" s="1">
        <v>0.0</v>
      </c>
      <c r="F280" s="1" t="s">
        <v>775</v>
      </c>
      <c r="G280" s="1" t="s">
        <v>91</v>
      </c>
      <c r="H280" s="1" t="s">
        <v>92</v>
      </c>
      <c r="I280" s="1" t="s">
        <v>776</v>
      </c>
      <c r="J280" s="1" t="s">
        <v>777</v>
      </c>
      <c r="K280" s="1" t="s">
        <v>777</v>
      </c>
      <c r="M280" s="1">
        <v>-6.0</v>
      </c>
      <c r="O280" s="1">
        <v>8.674433333333333</v>
      </c>
    </row>
    <row r="281" ht="15.75" hidden="1" customHeight="1">
      <c r="A281" s="4">
        <v>45529.0</v>
      </c>
      <c r="B281" s="1" t="s">
        <v>103</v>
      </c>
      <c r="C281" s="1" t="s">
        <v>104</v>
      </c>
      <c r="D281" s="1">
        <v>786.0</v>
      </c>
      <c r="E281" s="1">
        <v>0.0</v>
      </c>
      <c r="G281" s="1" t="s">
        <v>91</v>
      </c>
      <c r="H281" s="1" t="s">
        <v>98</v>
      </c>
      <c r="I281" s="1" t="s">
        <v>778</v>
      </c>
      <c r="J281" s="1" t="s">
        <v>779</v>
      </c>
      <c r="K281" s="1" t="s">
        <v>779</v>
      </c>
      <c r="M281" s="1">
        <v>-1.0</v>
      </c>
      <c r="O281" s="1">
        <v>8.618233333333333</v>
      </c>
    </row>
    <row r="282" ht="15.75" hidden="1" customHeight="1">
      <c r="A282" s="4">
        <v>45529.0</v>
      </c>
      <c r="B282" s="1" t="s">
        <v>95</v>
      </c>
      <c r="C282" s="1" t="s">
        <v>89</v>
      </c>
      <c r="D282" s="1">
        <v>329.0</v>
      </c>
      <c r="E282" s="1">
        <v>0.0</v>
      </c>
      <c r="F282" s="1" t="s">
        <v>54</v>
      </c>
      <c r="G282" s="1" t="s">
        <v>97</v>
      </c>
      <c r="H282" s="1" t="s">
        <v>92</v>
      </c>
      <c r="I282" s="1" t="s">
        <v>780</v>
      </c>
      <c r="J282" s="1" t="s">
        <v>781</v>
      </c>
      <c r="K282" s="1" t="s">
        <v>782</v>
      </c>
      <c r="L282" s="1" t="s">
        <v>783</v>
      </c>
      <c r="M282" s="1">
        <v>-7.0</v>
      </c>
      <c r="N282" s="1">
        <v>0.011333333333333334</v>
      </c>
      <c r="O282" s="1">
        <v>11.64095</v>
      </c>
    </row>
    <row r="283" ht="15.75" hidden="1" customHeight="1">
      <c r="A283" s="4">
        <v>45529.0</v>
      </c>
      <c r="B283" s="1" t="s">
        <v>103</v>
      </c>
      <c r="C283" s="1" t="s">
        <v>104</v>
      </c>
      <c r="D283" s="1">
        <v>443.0</v>
      </c>
      <c r="E283" s="1">
        <v>0.0</v>
      </c>
      <c r="G283" s="1" t="s">
        <v>91</v>
      </c>
      <c r="H283" s="1" t="s">
        <v>92</v>
      </c>
      <c r="I283" s="1" t="s">
        <v>784</v>
      </c>
      <c r="J283" s="1" t="s">
        <v>785</v>
      </c>
      <c r="K283" s="1" t="s">
        <v>785</v>
      </c>
      <c r="M283" s="1">
        <v>3.0</v>
      </c>
      <c r="O283" s="1">
        <v>11.762483333333334</v>
      </c>
    </row>
    <row r="284" ht="15.75" hidden="1" customHeight="1">
      <c r="A284" s="4">
        <v>45529.0</v>
      </c>
      <c r="B284" s="1" t="s">
        <v>103</v>
      </c>
      <c r="C284" s="1" t="s">
        <v>104</v>
      </c>
      <c r="D284" s="1">
        <v>507.0</v>
      </c>
      <c r="E284" s="1">
        <v>0.0</v>
      </c>
      <c r="G284" s="1" t="s">
        <v>91</v>
      </c>
      <c r="H284" s="1" t="s">
        <v>92</v>
      </c>
      <c r="I284" s="1" t="s">
        <v>786</v>
      </c>
      <c r="J284" s="1" t="s">
        <v>787</v>
      </c>
      <c r="K284" s="1" t="s">
        <v>787</v>
      </c>
      <c r="M284" s="1">
        <v>0.0</v>
      </c>
      <c r="O284" s="1">
        <v>8.8061</v>
      </c>
    </row>
    <row r="285" ht="15.75" hidden="1" customHeight="1">
      <c r="A285" s="4">
        <v>45529.0</v>
      </c>
      <c r="B285" s="1" t="s">
        <v>88</v>
      </c>
      <c r="C285" s="1" t="s">
        <v>89</v>
      </c>
      <c r="D285" s="1">
        <v>321.0</v>
      </c>
      <c r="E285" s="1">
        <v>0.0</v>
      </c>
      <c r="F285" s="1" t="s">
        <v>90</v>
      </c>
      <c r="G285" s="1" t="s">
        <v>91</v>
      </c>
      <c r="H285" s="1" t="s">
        <v>92</v>
      </c>
      <c r="I285" s="1" t="s">
        <v>788</v>
      </c>
      <c r="J285" s="1" t="s">
        <v>789</v>
      </c>
      <c r="K285" s="1" t="s">
        <v>789</v>
      </c>
      <c r="M285" s="1">
        <v>-7.0</v>
      </c>
      <c r="O285" s="1">
        <v>7.129783333333333</v>
      </c>
    </row>
    <row r="286" ht="15.75" hidden="1" customHeight="1">
      <c r="A286" s="4">
        <v>45529.0</v>
      </c>
      <c r="B286" s="1" t="s">
        <v>95</v>
      </c>
      <c r="C286" s="1" t="s">
        <v>89</v>
      </c>
      <c r="D286" s="1">
        <v>239.0</v>
      </c>
      <c r="E286" s="1">
        <v>11.0</v>
      </c>
      <c r="F286" s="1" t="s">
        <v>54</v>
      </c>
      <c r="G286" s="1" t="s">
        <v>97</v>
      </c>
      <c r="H286" s="1" t="s">
        <v>92</v>
      </c>
      <c r="I286" s="1" t="s">
        <v>790</v>
      </c>
      <c r="J286" s="1" t="s">
        <v>791</v>
      </c>
      <c r="K286" s="1" t="s">
        <v>792</v>
      </c>
      <c r="L286" s="1" t="s">
        <v>793</v>
      </c>
      <c r="M286" s="1">
        <v>-12.0</v>
      </c>
      <c r="N286" s="1">
        <v>0.010933333333333333</v>
      </c>
      <c r="O286" s="1">
        <v>54.25051666666667</v>
      </c>
    </row>
    <row r="287" ht="15.75" hidden="1" customHeight="1">
      <c r="A287" s="4">
        <v>45530.0</v>
      </c>
      <c r="B287" s="1" t="s">
        <v>95</v>
      </c>
      <c r="C287" s="1" t="s">
        <v>89</v>
      </c>
      <c r="D287" s="1">
        <v>397.0</v>
      </c>
      <c r="E287" s="1">
        <v>0.0</v>
      </c>
      <c r="F287" s="1" t="s">
        <v>90</v>
      </c>
      <c r="G287" s="1" t="s">
        <v>97</v>
      </c>
      <c r="H287" s="1" t="s">
        <v>92</v>
      </c>
      <c r="I287" s="1" t="s">
        <v>794</v>
      </c>
      <c r="J287" s="1" t="s">
        <v>795</v>
      </c>
      <c r="K287" s="1" t="s">
        <v>796</v>
      </c>
      <c r="L287" s="1" t="s">
        <v>797</v>
      </c>
      <c r="M287" s="1">
        <v>-2.0</v>
      </c>
      <c r="N287" s="1">
        <v>0.9790166666666666</v>
      </c>
      <c r="O287" s="1">
        <v>10.953266666666666</v>
      </c>
    </row>
    <row r="288" ht="15.75" hidden="1" customHeight="1">
      <c r="A288" s="4">
        <v>45530.0</v>
      </c>
      <c r="B288" s="1" t="s">
        <v>88</v>
      </c>
      <c r="C288" s="1" t="s">
        <v>89</v>
      </c>
      <c r="D288" s="1">
        <v>294.0</v>
      </c>
      <c r="E288" s="1">
        <v>0.0</v>
      </c>
      <c r="F288" s="1" t="s">
        <v>90</v>
      </c>
      <c r="G288" s="1" t="s">
        <v>91</v>
      </c>
      <c r="H288" s="1" t="s">
        <v>92</v>
      </c>
      <c r="I288" s="1" t="s">
        <v>798</v>
      </c>
      <c r="J288" s="1" t="s">
        <v>799</v>
      </c>
      <c r="K288" s="1" t="s">
        <v>799</v>
      </c>
      <c r="M288" s="1">
        <v>-6.0</v>
      </c>
      <c r="O288" s="1">
        <v>8.005933333333333</v>
      </c>
    </row>
    <row r="289" ht="15.75" hidden="1" customHeight="1">
      <c r="A289" s="4">
        <v>45530.0</v>
      </c>
      <c r="B289" s="1" t="s">
        <v>103</v>
      </c>
      <c r="C289" s="1" t="s">
        <v>89</v>
      </c>
      <c r="D289" s="1">
        <v>424.0</v>
      </c>
      <c r="E289" s="1">
        <v>0.0</v>
      </c>
      <c r="G289" s="1" t="s">
        <v>91</v>
      </c>
      <c r="H289" s="1" t="s">
        <v>92</v>
      </c>
      <c r="I289" s="1" t="s">
        <v>800</v>
      </c>
      <c r="J289" s="1" t="s">
        <v>801</v>
      </c>
      <c r="K289" s="1" t="s">
        <v>801</v>
      </c>
      <c r="M289" s="1">
        <v>2.0</v>
      </c>
      <c r="O289" s="1">
        <v>10.303833333333333</v>
      </c>
    </row>
    <row r="290" ht="15.75" hidden="1" customHeight="1">
      <c r="A290" s="4">
        <v>45530.0</v>
      </c>
      <c r="B290" s="1" t="s">
        <v>88</v>
      </c>
      <c r="C290" s="1" t="s">
        <v>89</v>
      </c>
      <c r="D290" s="1">
        <v>343.0</v>
      </c>
      <c r="E290" s="1">
        <v>0.0</v>
      </c>
      <c r="F290" s="1" t="s">
        <v>90</v>
      </c>
      <c r="G290" s="1" t="s">
        <v>91</v>
      </c>
      <c r="H290" s="1" t="s">
        <v>92</v>
      </c>
      <c r="I290" s="1" t="s">
        <v>802</v>
      </c>
      <c r="J290" s="1" t="s">
        <v>803</v>
      </c>
      <c r="K290" s="1" t="s">
        <v>803</v>
      </c>
      <c r="M290" s="1">
        <v>-1.0</v>
      </c>
      <c r="O290" s="1">
        <v>13.681033333333334</v>
      </c>
    </row>
    <row r="291" ht="15.75" hidden="1" customHeight="1">
      <c r="A291" s="4">
        <v>45530.0</v>
      </c>
      <c r="B291" s="1" t="s">
        <v>103</v>
      </c>
      <c r="C291" s="1" t="s">
        <v>89</v>
      </c>
      <c r="D291" s="1">
        <v>293.0</v>
      </c>
      <c r="E291" s="1">
        <v>0.0</v>
      </c>
      <c r="G291" s="1" t="s">
        <v>91</v>
      </c>
      <c r="H291" s="1" t="s">
        <v>98</v>
      </c>
      <c r="I291" s="1" t="s">
        <v>804</v>
      </c>
      <c r="J291" s="1" t="s">
        <v>805</v>
      </c>
      <c r="K291" s="1" t="s">
        <v>805</v>
      </c>
      <c r="M291" s="1">
        <v>-6.0</v>
      </c>
      <c r="O291" s="1">
        <v>0.7582666666666666</v>
      </c>
    </row>
    <row r="292" ht="15.75" hidden="1" customHeight="1">
      <c r="A292" s="4">
        <v>45530.0</v>
      </c>
      <c r="B292" s="1" t="s">
        <v>95</v>
      </c>
      <c r="C292" s="1" t="s">
        <v>89</v>
      </c>
      <c r="D292" s="1">
        <v>414.0</v>
      </c>
      <c r="E292" s="1">
        <v>0.0</v>
      </c>
      <c r="F292" s="1" t="s">
        <v>71</v>
      </c>
      <c r="G292" s="1" t="s">
        <v>97</v>
      </c>
      <c r="H292" s="1" t="s">
        <v>98</v>
      </c>
      <c r="I292" s="1" t="s">
        <v>806</v>
      </c>
      <c r="J292" s="1" t="s">
        <v>807</v>
      </c>
      <c r="K292" s="1" t="s">
        <v>808</v>
      </c>
      <c r="L292" s="1" t="s">
        <v>809</v>
      </c>
      <c r="M292" s="1">
        <v>-16.0</v>
      </c>
      <c r="N292" s="1">
        <v>0.010066666666666666</v>
      </c>
      <c r="O292" s="1">
        <v>10.118066666666667</v>
      </c>
    </row>
    <row r="293" ht="15.75" hidden="1" customHeight="1">
      <c r="A293" s="4">
        <v>45530.0</v>
      </c>
      <c r="B293" s="1" t="s">
        <v>103</v>
      </c>
      <c r="C293" s="1" t="s">
        <v>89</v>
      </c>
      <c r="D293" s="1">
        <v>321.0</v>
      </c>
      <c r="E293" s="1">
        <v>0.0</v>
      </c>
      <c r="G293" s="1" t="s">
        <v>91</v>
      </c>
      <c r="H293" s="1" t="s">
        <v>92</v>
      </c>
      <c r="I293" s="1" t="s">
        <v>810</v>
      </c>
      <c r="J293" s="1" t="s">
        <v>811</v>
      </c>
      <c r="K293" s="1" t="s">
        <v>811</v>
      </c>
      <c r="M293" s="1">
        <v>-6.0</v>
      </c>
      <c r="O293" s="1">
        <v>0.4378666666666667</v>
      </c>
    </row>
    <row r="294" ht="15.75" hidden="1" customHeight="1">
      <c r="A294" s="4">
        <v>45530.0</v>
      </c>
      <c r="B294" s="1" t="s">
        <v>228</v>
      </c>
      <c r="C294" s="1" t="s">
        <v>89</v>
      </c>
      <c r="D294" s="1">
        <v>49.0</v>
      </c>
      <c r="E294" s="1">
        <v>0.0</v>
      </c>
      <c r="G294" s="1" t="s">
        <v>119</v>
      </c>
      <c r="H294" s="1" t="s">
        <v>98</v>
      </c>
      <c r="I294" s="1" t="s">
        <v>812</v>
      </c>
      <c r="J294" s="1" t="s">
        <v>813</v>
      </c>
      <c r="K294" s="1" t="s">
        <v>813</v>
      </c>
      <c r="M294" s="1">
        <v>-4.0</v>
      </c>
      <c r="O294" s="1">
        <v>0.3768166666666667</v>
      </c>
    </row>
    <row r="295" ht="15.75" hidden="1" customHeight="1">
      <c r="A295" s="4">
        <v>45530.0</v>
      </c>
      <c r="B295" s="1" t="s">
        <v>107</v>
      </c>
      <c r="C295" s="1" t="s">
        <v>89</v>
      </c>
      <c r="D295" s="1">
        <v>321.0</v>
      </c>
      <c r="E295" s="1">
        <v>0.0</v>
      </c>
      <c r="F295" s="1" t="s">
        <v>814</v>
      </c>
      <c r="G295" s="1" t="s">
        <v>91</v>
      </c>
      <c r="H295" s="1" t="s">
        <v>92</v>
      </c>
      <c r="I295" s="1" t="s">
        <v>815</v>
      </c>
      <c r="J295" s="1" t="s">
        <v>816</v>
      </c>
      <c r="K295" s="1" t="s">
        <v>816</v>
      </c>
      <c r="M295" s="1">
        <v>-6.0</v>
      </c>
      <c r="O295" s="1">
        <v>8.457433333333332</v>
      </c>
    </row>
    <row r="296" ht="15.75" hidden="1" customHeight="1">
      <c r="A296" s="4">
        <v>45530.0</v>
      </c>
      <c r="B296" s="1" t="s">
        <v>107</v>
      </c>
      <c r="C296" s="1" t="s">
        <v>89</v>
      </c>
      <c r="D296" s="1">
        <v>425.0</v>
      </c>
      <c r="E296" s="1">
        <v>0.0</v>
      </c>
      <c r="F296" s="1" t="s">
        <v>817</v>
      </c>
      <c r="G296" s="1" t="s">
        <v>91</v>
      </c>
      <c r="H296" s="1" t="s">
        <v>92</v>
      </c>
      <c r="I296" s="1" t="s">
        <v>818</v>
      </c>
      <c r="J296" s="1" t="s">
        <v>819</v>
      </c>
      <c r="K296" s="1" t="s">
        <v>819</v>
      </c>
      <c r="M296" s="1">
        <v>-4.0</v>
      </c>
      <c r="O296" s="1">
        <v>10.968083333333333</v>
      </c>
    </row>
    <row r="297" ht="15.75" hidden="1" customHeight="1">
      <c r="A297" s="4">
        <v>45530.0</v>
      </c>
      <c r="B297" s="1" t="s">
        <v>95</v>
      </c>
      <c r="C297" s="1" t="s">
        <v>89</v>
      </c>
      <c r="D297" s="1">
        <v>265.0</v>
      </c>
      <c r="E297" s="1">
        <v>66.0</v>
      </c>
      <c r="G297" s="1" t="s">
        <v>119</v>
      </c>
      <c r="H297" s="1" t="s">
        <v>98</v>
      </c>
      <c r="I297" s="1" t="s">
        <v>820</v>
      </c>
      <c r="J297" s="1" t="s">
        <v>821</v>
      </c>
      <c r="K297" s="1" t="s">
        <v>821</v>
      </c>
      <c r="M297" s="1">
        <v>-11.0</v>
      </c>
      <c r="O297" s="1">
        <v>8.716516666666667</v>
      </c>
    </row>
    <row r="298" ht="15.75" hidden="1" customHeight="1">
      <c r="A298" s="4">
        <v>45530.0</v>
      </c>
      <c r="B298" s="1" t="s">
        <v>95</v>
      </c>
      <c r="C298" s="1" t="s">
        <v>89</v>
      </c>
      <c r="D298" s="1">
        <v>498.0</v>
      </c>
      <c r="E298" s="1">
        <v>0.0</v>
      </c>
      <c r="F298" s="1" t="s">
        <v>90</v>
      </c>
      <c r="G298" s="1" t="s">
        <v>97</v>
      </c>
      <c r="H298" s="1" t="s">
        <v>92</v>
      </c>
      <c r="I298" s="1" t="s">
        <v>822</v>
      </c>
      <c r="J298" s="1" t="s">
        <v>823</v>
      </c>
      <c r="K298" s="1" t="s">
        <v>824</v>
      </c>
      <c r="L298" s="1" t="s">
        <v>825</v>
      </c>
      <c r="M298" s="1">
        <v>17.0</v>
      </c>
      <c r="N298" s="1">
        <v>10.729466666666667</v>
      </c>
      <c r="O298" s="1">
        <v>9.444883333333333</v>
      </c>
    </row>
    <row r="299" ht="15.75" hidden="1" customHeight="1">
      <c r="A299" s="4">
        <v>45530.0</v>
      </c>
      <c r="B299" s="1" t="s">
        <v>103</v>
      </c>
      <c r="C299" s="1" t="s">
        <v>89</v>
      </c>
      <c r="D299" s="1">
        <v>264.0</v>
      </c>
      <c r="E299" s="1">
        <v>0.0</v>
      </c>
      <c r="G299" s="1" t="s">
        <v>91</v>
      </c>
      <c r="H299" s="1" t="s">
        <v>92</v>
      </c>
      <c r="I299" s="1" t="s">
        <v>826</v>
      </c>
      <c r="J299" s="1" t="s">
        <v>827</v>
      </c>
      <c r="K299" s="1" t="s">
        <v>827</v>
      </c>
      <c r="M299" s="1">
        <v>1.0</v>
      </c>
      <c r="O299" s="1">
        <v>7.57215</v>
      </c>
    </row>
    <row r="300" ht="15.75" hidden="1" customHeight="1">
      <c r="A300" s="4">
        <v>45530.0</v>
      </c>
      <c r="B300" s="1" t="s">
        <v>88</v>
      </c>
      <c r="C300" s="1" t="s">
        <v>89</v>
      </c>
      <c r="D300" s="1">
        <v>369.0</v>
      </c>
      <c r="E300" s="1">
        <v>0.0</v>
      </c>
      <c r="F300" s="1" t="s">
        <v>90</v>
      </c>
      <c r="G300" s="1" t="s">
        <v>91</v>
      </c>
      <c r="H300" s="1" t="s">
        <v>92</v>
      </c>
      <c r="I300" s="1" t="s">
        <v>828</v>
      </c>
      <c r="J300" s="1" t="s">
        <v>829</v>
      </c>
      <c r="K300" s="1" t="s">
        <v>829</v>
      </c>
      <c r="M300" s="1">
        <v>-8.0</v>
      </c>
      <c r="O300" s="1">
        <v>6.616366666666667</v>
      </c>
    </row>
    <row r="301" ht="15.75" hidden="1" customHeight="1">
      <c r="A301" s="4">
        <v>45530.0</v>
      </c>
      <c r="B301" s="1" t="s">
        <v>103</v>
      </c>
      <c r="C301" s="1" t="s">
        <v>104</v>
      </c>
      <c r="D301" s="1">
        <v>433.0</v>
      </c>
      <c r="E301" s="1">
        <v>0.0</v>
      </c>
      <c r="G301" s="1" t="s">
        <v>91</v>
      </c>
      <c r="H301" s="1" t="s">
        <v>92</v>
      </c>
      <c r="I301" s="1" t="s">
        <v>830</v>
      </c>
      <c r="J301" s="1" t="s">
        <v>831</v>
      </c>
      <c r="K301" s="1" t="s">
        <v>831</v>
      </c>
      <c r="M301" s="1">
        <v>-1.0</v>
      </c>
      <c r="O301" s="1">
        <v>6.666416666666667</v>
      </c>
    </row>
    <row r="302" ht="15.75" hidden="1" customHeight="1">
      <c r="A302" s="4">
        <v>45530.0</v>
      </c>
      <c r="B302" s="1" t="s">
        <v>95</v>
      </c>
      <c r="C302" s="1" t="s">
        <v>89</v>
      </c>
      <c r="D302" s="1">
        <v>299.0</v>
      </c>
      <c r="E302" s="1">
        <v>75.0</v>
      </c>
      <c r="G302" s="1" t="s">
        <v>119</v>
      </c>
      <c r="H302" s="1" t="s">
        <v>213</v>
      </c>
      <c r="I302" s="1" t="s">
        <v>832</v>
      </c>
      <c r="J302" s="1" t="s">
        <v>833</v>
      </c>
      <c r="K302" s="1" t="s">
        <v>833</v>
      </c>
      <c r="M302" s="1">
        <v>-8.0</v>
      </c>
      <c r="O302" s="1">
        <v>11.707716666666666</v>
      </c>
    </row>
    <row r="303" ht="15.75" hidden="1" customHeight="1">
      <c r="A303" s="4">
        <v>45530.0</v>
      </c>
      <c r="B303" s="1" t="s">
        <v>103</v>
      </c>
      <c r="C303" s="1" t="s">
        <v>104</v>
      </c>
      <c r="D303" s="1">
        <v>657.0</v>
      </c>
      <c r="E303" s="1">
        <v>0.0</v>
      </c>
      <c r="G303" s="1" t="s">
        <v>91</v>
      </c>
      <c r="H303" s="1" t="s">
        <v>92</v>
      </c>
      <c r="I303" s="1" t="s">
        <v>834</v>
      </c>
      <c r="J303" s="1" t="s">
        <v>835</v>
      </c>
      <c r="K303" s="1" t="s">
        <v>835</v>
      </c>
      <c r="M303" s="1">
        <v>0.0</v>
      </c>
      <c r="O303" s="1">
        <v>9.607283333333333</v>
      </c>
    </row>
    <row r="304" ht="15.75" hidden="1" customHeight="1">
      <c r="A304" s="4">
        <v>45530.0</v>
      </c>
      <c r="B304" s="1" t="s">
        <v>88</v>
      </c>
      <c r="C304" s="1" t="s">
        <v>89</v>
      </c>
      <c r="D304" s="1">
        <v>378.0</v>
      </c>
      <c r="E304" s="1">
        <v>0.0</v>
      </c>
      <c r="F304" s="1" t="s">
        <v>90</v>
      </c>
      <c r="G304" s="1" t="s">
        <v>91</v>
      </c>
      <c r="H304" s="1" t="s">
        <v>92</v>
      </c>
      <c r="I304" s="1" t="s">
        <v>836</v>
      </c>
      <c r="J304" s="1" t="s">
        <v>837</v>
      </c>
      <c r="K304" s="1" t="s">
        <v>837</v>
      </c>
      <c r="M304" s="1">
        <v>-8.0</v>
      </c>
      <c r="O304" s="1">
        <v>6.5332333333333334</v>
      </c>
    </row>
    <row r="305" ht="15.75" hidden="1" customHeight="1">
      <c r="A305" s="4">
        <v>45530.0</v>
      </c>
      <c r="B305" s="1" t="s">
        <v>107</v>
      </c>
      <c r="C305" s="1" t="s">
        <v>104</v>
      </c>
      <c r="D305" s="1">
        <v>329.0</v>
      </c>
      <c r="E305" s="1">
        <v>0.0</v>
      </c>
      <c r="F305" s="1" t="s">
        <v>348</v>
      </c>
      <c r="G305" s="1" t="s">
        <v>91</v>
      </c>
      <c r="H305" s="1" t="s">
        <v>92</v>
      </c>
      <c r="I305" s="1" t="s">
        <v>838</v>
      </c>
      <c r="J305" s="1" t="s">
        <v>839</v>
      </c>
      <c r="K305" s="1" t="s">
        <v>839</v>
      </c>
      <c r="M305" s="1">
        <v>-8.0</v>
      </c>
      <c r="O305" s="1">
        <v>6.38385</v>
      </c>
    </row>
    <row r="306" ht="15.75" hidden="1" customHeight="1">
      <c r="A306" s="4">
        <v>45530.0</v>
      </c>
      <c r="B306" s="1" t="s">
        <v>88</v>
      </c>
      <c r="C306" s="1" t="s">
        <v>89</v>
      </c>
      <c r="D306" s="1">
        <v>364.0</v>
      </c>
      <c r="E306" s="1">
        <v>0.0</v>
      </c>
      <c r="F306" s="1" t="s">
        <v>90</v>
      </c>
      <c r="G306" s="1" t="s">
        <v>91</v>
      </c>
      <c r="H306" s="1" t="s">
        <v>92</v>
      </c>
      <c r="I306" s="1" t="s">
        <v>840</v>
      </c>
      <c r="J306" s="1" t="s">
        <v>841</v>
      </c>
      <c r="K306" s="1" t="s">
        <v>841</v>
      </c>
      <c r="M306" s="1">
        <v>-9.0</v>
      </c>
      <c r="O306" s="1">
        <v>5.362166666666667</v>
      </c>
    </row>
    <row r="307" ht="15.75" hidden="1" customHeight="1">
      <c r="A307" s="4">
        <v>45530.0</v>
      </c>
      <c r="B307" s="1" t="s">
        <v>95</v>
      </c>
      <c r="C307" s="1" t="s">
        <v>89</v>
      </c>
      <c r="D307" s="1">
        <v>458.0</v>
      </c>
      <c r="E307" s="1">
        <v>0.0</v>
      </c>
      <c r="F307" s="1" t="s">
        <v>71</v>
      </c>
      <c r="G307" s="1" t="s">
        <v>97</v>
      </c>
      <c r="H307" s="1" t="s">
        <v>92</v>
      </c>
      <c r="I307" s="1" t="s">
        <v>842</v>
      </c>
      <c r="J307" s="1" t="s">
        <v>843</v>
      </c>
      <c r="K307" s="1" t="s">
        <v>844</v>
      </c>
      <c r="L307" s="1" t="s">
        <v>845</v>
      </c>
      <c r="M307" s="1">
        <v>-11.0</v>
      </c>
      <c r="N307" s="1">
        <v>0.009016666666666666</v>
      </c>
      <c r="O307" s="1">
        <v>6.974933333333333</v>
      </c>
    </row>
    <row r="308" ht="15.75" hidden="1" customHeight="1">
      <c r="A308" s="4">
        <v>45530.0</v>
      </c>
      <c r="B308" s="1" t="s">
        <v>95</v>
      </c>
      <c r="C308" s="1" t="s">
        <v>89</v>
      </c>
      <c r="D308" s="1">
        <v>468.0</v>
      </c>
      <c r="E308" s="1">
        <v>0.0</v>
      </c>
      <c r="F308" s="1" t="s">
        <v>90</v>
      </c>
      <c r="G308" s="1" t="s">
        <v>97</v>
      </c>
      <c r="H308" s="1" t="s">
        <v>98</v>
      </c>
      <c r="I308" s="1" t="s">
        <v>846</v>
      </c>
      <c r="J308" s="1" t="s">
        <v>847</v>
      </c>
      <c r="K308" s="1" t="s">
        <v>848</v>
      </c>
      <c r="L308" s="1" t="s">
        <v>849</v>
      </c>
      <c r="M308" s="1">
        <v>1.0</v>
      </c>
      <c r="N308" s="1">
        <v>8.65115</v>
      </c>
      <c r="O308" s="1">
        <v>11.0219</v>
      </c>
    </row>
    <row r="309" ht="15.75" hidden="1" customHeight="1">
      <c r="A309" s="4">
        <v>45530.0</v>
      </c>
      <c r="B309" s="1" t="s">
        <v>103</v>
      </c>
      <c r="C309" s="1" t="s">
        <v>104</v>
      </c>
      <c r="D309" s="1">
        <v>464.0</v>
      </c>
      <c r="E309" s="1">
        <v>0.0</v>
      </c>
      <c r="G309" s="1" t="s">
        <v>91</v>
      </c>
      <c r="H309" s="1" t="s">
        <v>92</v>
      </c>
      <c r="I309" s="1" t="s">
        <v>850</v>
      </c>
      <c r="J309" s="1" t="s">
        <v>851</v>
      </c>
      <c r="K309" s="1" t="s">
        <v>851</v>
      </c>
      <c r="M309" s="1">
        <v>2.0</v>
      </c>
      <c r="O309" s="1">
        <v>11.440983333333334</v>
      </c>
    </row>
    <row r="310" ht="15.75" hidden="1" customHeight="1">
      <c r="A310" s="4">
        <v>45530.0</v>
      </c>
      <c r="B310" s="1" t="s">
        <v>103</v>
      </c>
      <c r="C310" s="1" t="s">
        <v>104</v>
      </c>
      <c r="D310" s="1">
        <v>264.0</v>
      </c>
      <c r="E310" s="1">
        <v>0.0</v>
      </c>
      <c r="G310" s="1" t="s">
        <v>91</v>
      </c>
      <c r="H310" s="1" t="s">
        <v>92</v>
      </c>
      <c r="I310" s="1" t="s">
        <v>852</v>
      </c>
      <c r="J310" s="1" t="s">
        <v>853</v>
      </c>
      <c r="K310" s="1" t="s">
        <v>853</v>
      </c>
      <c r="M310" s="1">
        <v>2.0</v>
      </c>
      <c r="O310" s="1">
        <v>9.819283333333333</v>
      </c>
    </row>
    <row r="311" ht="15.75" hidden="1" customHeight="1">
      <c r="A311" s="4">
        <v>45530.0</v>
      </c>
      <c r="B311" s="1" t="s">
        <v>103</v>
      </c>
      <c r="C311" s="1" t="s">
        <v>104</v>
      </c>
      <c r="D311" s="1">
        <v>268.0</v>
      </c>
      <c r="E311" s="1">
        <v>100.0</v>
      </c>
      <c r="G311" s="1" t="s">
        <v>91</v>
      </c>
      <c r="H311" s="1" t="s">
        <v>92</v>
      </c>
      <c r="I311" s="1" t="s">
        <v>854</v>
      </c>
      <c r="J311" s="1" t="s">
        <v>855</v>
      </c>
      <c r="K311" s="1" t="s">
        <v>855</v>
      </c>
      <c r="M311" s="1">
        <v>0.0</v>
      </c>
      <c r="O311" s="1">
        <v>6.950716666666667</v>
      </c>
    </row>
    <row r="312" ht="15.75" hidden="1" customHeight="1">
      <c r="A312" s="4">
        <v>45530.0</v>
      </c>
      <c r="B312" s="1" t="s">
        <v>228</v>
      </c>
      <c r="C312" s="1" t="s">
        <v>89</v>
      </c>
      <c r="D312" s="1">
        <v>309.0</v>
      </c>
      <c r="E312" s="1">
        <v>0.0</v>
      </c>
      <c r="G312" s="1" t="s">
        <v>119</v>
      </c>
      <c r="H312" s="1" t="s">
        <v>98</v>
      </c>
      <c r="I312" s="1" t="s">
        <v>856</v>
      </c>
      <c r="J312" s="1" t="s">
        <v>857</v>
      </c>
      <c r="K312" s="1" t="s">
        <v>857</v>
      </c>
      <c r="M312" s="1">
        <v>2.0</v>
      </c>
      <c r="O312" s="1">
        <v>7.167033333333333</v>
      </c>
    </row>
    <row r="313" ht="15.75" hidden="1" customHeight="1">
      <c r="A313" s="4">
        <v>45530.0</v>
      </c>
      <c r="B313" s="1" t="s">
        <v>95</v>
      </c>
      <c r="C313" s="1" t="s">
        <v>89</v>
      </c>
      <c r="D313" s="1">
        <v>282.0</v>
      </c>
      <c r="E313" s="1">
        <v>27.0</v>
      </c>
      <c r="F313" s="1" t="s">
        <v>71</v>
      </c>
      <c r="G313" s="1" t="s">
        <v>97</v>
      </c>
      <c r="H313" s="1" t="s">
        <v>92</v>
      </c>
      <c r="I313" s="1" t="s">
        <v>858</v>
      </c>
      <c r="J313" s="1" t="s">
        <v>859</v>
      </c>
      <c r="K313" s="1" t="s">
        <v>860</v>
      </c>
      <c r="L313" s="1" t="s">
        <v>861</v>
      </c>
      <c r="M313" s="1">
        <v>-6.0</v>
      </c>
      <c r="N313" s="1">
        <v>0.00995</v>
      </c>
      <c r="O313" s="1">
        <v>9.972083333333334</v>
      </c>
    </row>
    <row r="314" ht="15.75" hidden="1" customHeight="1">
      <c r="A314" s="4">
        <v>45530.0</v>
      </c>
      <c r="B314" s="1" t="s">
        <v>103</v>
      </c>
      <c r="C314" s="1" t="s">
        <v>104</v>
      </c>
      <c r="D314" s="1">
        <v>294.0</v>
      </c>
      <c r="E314" s="1">
        <v>100.0</v>
      </c>
      <c r="G314" s="1" t="s">
        <v>91</v>
      </c>
      <c r="H314" s="1" t="s">
        <v>92</v>
      </c>
      <c r="I314" s="1" t="s">
        <v>862</v>
      </c>
      <c r="J314" s="1" t="s">
        <v>863</v>
      </c>
      <c r="K314" s="1" t="s">
        <v>863</v>
      </c>
      <c r="M314" s="1">
        <v>2.0</v>
      </c>
      <c r="O314" s="1">
        <v>9.9208</v>
      </c>
    </row>
    <row r="315" ht="15.75" hidden="1" customHeight="1">
      <c r="A315" s="4">
        <v>45530.0</v>
      </c>
      <c r="B315" s="1" t="s">
        <v>95</v>
      </c>
      <c r="C315" s="1" t="s">
        <v>89</v>
      </c>
      <c r="D315" s="1">
        <v>596.0</v>
      </c>
      <c r="E315" s="1">
        <v>0.0</v>
      </c>
      <c r="F315" s="1" t="s">
        <v>71</v>
      </c>
      <c r="G315" s="1" t="s">
        <v>97</v>
      </c>
      <c r="H315" s="1" t="s">
        <v>98</v>
      </c>
      <c r="I315" s="1" t="s">
        <v>864</v>
      </c>
      <c r="J315" s="1" t="s">
        <v>865</v>
      </c>
      <c r="K315" s="1" t="s">
        <v>866</v>
      </c>
      <c r="L315" s="1" t="s">
        <v>867</v>
      </c>
      <c r="M315" s="1">
        <v>-6.0</v>
      </c>
      <c r="N315" s="1">
        <v>0.0109</v>
      </c>
      <c r="O315" s="1">
        <v>23.695016666666668</v>
      </c>
    </row>
    <row r="316" ht="15.75" hidden="1" customHeight="1">
      <c r="A316" s="4">
        <v>45530.0</v>
      </c>
      <c r="B316" s="1" t="s">
        <v>95</v>
      </c>
      <c r="C316" s="1" t="s">
        <v>89</v>
      </c>
      <c r="D316" s="1">
        <v>319.0</v>
      </c>
      <c r="E316" s="1">
        <v>75.0</v>
      </c>
      <c r="G316" s="1" t="s">
        <v>119</v>
      </c>
      <c r="H316" s="1" t="s">
        <v>98</v>
      </c>
      <c r="I316" s="1" t="s">
        <v>868</v>
      </c>
      <c r="J316" s="1" t="s">
        <v>869</v>
      </c>
      <c r="K316" s="1" t="s">
        <v>869</v>
      </c>
      <c r="M316" s="1">
        <v>-10.0</v>
      </c>
      <c r="O316" s="1">
        <v>9.151216666666667</v>
      </c>
    </row>
    <row r="317" ht="15.75" hidden="1" customHeight="1">
      <c r="A317" s="4">
        <v>45530.0</v>
      </c>
      <c r="B317" s="1" t="s">
        <v>95</v>
      </c>
      <c r="C317" s="1" t="s">
        <v>89</v>
      </c>
      <c r="D317" s="1">
        <v>342.0</v>
      </c>
      <c r="E317" s="1">
        <v>56.0</v>
      </c>
      <c r="G317" s="1" t="s">
        <v>119</v>
      </c>
      <c r="H317" s="1" t="s">
        <v>213</v>
      </c>
      <c r="I317" s="1" t="s">
        <v>870</v>
      </c>
      <c r="J317" s="1" t="s">
        <v>871</v>
      </c>
      <c r="K317" s="1" t="s">
        <v>871</v>
      </c>
      <c r="M317" s="1">
        <v>-8.0</v>
      </c>
      <c r="O317" s="1">
        <v>10.900716666666666</v>
      </c>
    </row>
    <row r="318" ht="15.75" hidden="1" customHeight="1">
      <c r="A318" s="4">
        <v>45530.0</v>
      </c>
      <c r="B318" s="1" t="s">
        <v>95</v>
      </c>
      <c r="C318" s="1" t="s">
        <v>89</v>
      </c>
      <c r="D318" s="1">
        <v>250.0</v>
      </c>
      <c r="E318" s="1">
        <v>0.0</v>
      </c>
      <c r="F318" s="1" t="s">
        <v>71</v>
      </c>
      <c r="G318" s="1" t="s">
        <v>97</v>
      </c>
      <c r="H318" s="1" t="s">
        <v>98</v>
      </c>
      <c r="I318" s="1" t="s">
        <v>872</v>
      </c>
      <c r="J318" s="1" t="s">
        <v>873</v>
      </c>
      <c r="K318" s="1" t="s">
        <v>874</v>
      </c>
      <c r="L318" s="1" t="s">
        <v>875</v>
      </c>
      <c r="M318" s="1">
        <v>-19.0</v>
      </c>
      <c r="N318" s="1">
        <v>0.008916666666666666</v>
      </c>
      <c r="O318" s="1">
        <v>5.102966666666667</v>
      </c>
    </row>
    <row r="319" ht="15.75" hidden="1" customHeight="1">
      <c r="A319" s="4">
        <v>45530.0</v>
      </c>
      <c r="B319" s="1" t="s">
        <v>103</v>
      </c>
      <c r="C319" s="1" t="s">
        <v>104</v>
      </c>
      <c r="D319" s="1">
        <v>677.0</v>
      </c>
      <c r="E319" s="1">
        <v>0.0</v>
      </c>
      <c r="G319" s="1" t="s">
        <v>91</v>
      </c>
      <c r="H319" s="1" t="s">
        <v>92</v>
      </c>
      <c r="I319" s="1" t="s">
        <v>876</v>
      </c>
      <c r="J319" s="1" t="s">
        <v>877</v>
      </c>
      <c r="K319" s="1" t="s">
        <v>877</v>
      </c>
      <c r="M319" s="1">
        <v>1.0</v>
      </c>
      <c r="O319" s="1">
        <v>10.8082</v>
      </c>
    </row>
    <row r="320" ht="15.75" hidden="1" customHeight="1">
      <c r="A320" s="4">
        <v>45530.0</v>
      </c>
      <c r="B320" s="1" t="s">
        <v>107</v>
      </c>
      <c r="C320" s="1" t="s">
        <v>104</v>
      </c>
      <c r="D320" s="1">
        <v>618.0</v>
      </c>
      <c r="E320" s="1">
        <v>0.0</v>
      </c>
      <c r="F320" s="1" t="s">
        <v>878</v>
      </c>
      <c r="G320" s="1" t="s">
        <v>91</v>
      </c>
      <c r="H320" s="1" t="s">
        <v>92</v>
      </c>
      <c r="I320" s="1" t="s">
        <v>879</v>
      </c>
      <c r="J320" s="1" t="s">
        <v>880</v>
      </c>
      <c r="K320" s="1" t="s">
        <v>880</v>
      </c>
      <c r="M320" s="1">
        <v>-10.0</v>
      </c>
      <c r="O320" s="1">
        <v>9.452733333333333</v>
      </c>
    </row>
    <row r="321" ht="15.75" hidden="1" customHeight="1">
      <c r="A321" s="4">
        <v>45530.0</v>
      </c>
      <c r="B321" s="1" t="s">
        <v>95</v>
      </c>
      <c r="C321" s="1" t="s">
        <v>89</v>
      </c>
      <c r="D321" s="1">
        <v>493.0</v>
      </c>
      <c r="E321" s="1">
        <v>142.0</v>
      </c>
      <c r="G321" s="1" t="s">
        <v>119</v>
      </c>
      <c r="H321" s="1" t="s">
        <v>213</v>
      </c>
      <c r="I321" s="1" t="s">
        <v>881</v>
      </c>
      <c r="J321" s="1" t="s">
        <v>882</v>
      </c>
      <c r="K321" s="1" t="s">
        <v>882</v>
      </c>
      <c r="M321" s="1">
        <v>-7.0</v>
      </c>
      <c r="O321" s="1">
        <v>11.554333333333334</v>
      </c>
    </row>
    <row r="322" ht="15.75" hidden="1" customHeight="1">
      <c r="A322" s="4">
        <v>45530.0</v>
      </c>
      <c r="B322" s="1" t="s">
        <v>103</v>
      </c>
      <c r="C322" s="1" t="s">
        <v>104</v>
      </c>
      <c r="D322" s="1">
        <v>348.0</v>
      </c>
      <c r="E322" s="1">
        <v>0.0</v>
      </c>
      <c r="G322" s="1" t="s">
        <v>91</v>
      </c>
      <c r="H322" s="1" t="s">
        <v>92</v>
      </c>
      <c r="I322" s="1" t="s">
        <v>883</v>
      </c>
      <c r="J322" s="1" t="s">
        <v>884</v>
      </c>
      <c r="K322" s="1" t="s">
        <v>884</v>
      </c>
      <c r="M322" s="1">
        <v>0.0</v>
      </c>
      <c r="O322" s="1">
        <v>6.916766666666667</v>
      </c>
    </row>
    <row r="323" ht="15.75" hidden="1" customHeight="1">
      <c r="A323" s="4">
        <v>45530.0</v>
      </c>
      <c r="B323" s="1" t="s">
        <v>95</v>
      </c>
      <c r="C323" s="1" t="s">
        <v>89</v>
      </c>
      <c r="D323" s="1">
        <v>182.0</v>
      </c>
      <c r="E323" s="1">
        <v>67.0</v>
      </c>
      <c r="G323" s="1" t="s">
        <v>119</v>
      </c>
      <c r="H323" s="1" t="s">
        <v>92</v>
      </c>
      <c r="I323" s="1" t="s">
        <v>885</v>
      </c>
      <c r="J323" s="1" t="s">
        <v>886</v>
      </c>
      <c r="K323" s="1" t="s">
        <v>886</v>
      </c>
      <c r="M323" s="1">
        <v>-8.0</v>
      </c>
      <c r="O323" s="1">
        <v>10.19705</v>
      </c>
    </row>
    <row r="324" ht="15.75" hidden="1" customHeight="1">
      <c r="A324" s="4">
        <v>45530.0</v>
      </c>
      <c r="B324" s="1" t="s">
        <v>88</v>
      </c>
      <c r="C324" s="1" t="s">
        <v>89</v>
      </c>
      <c r="D324" s="1">
        <v>465.0</v>
      </c>
      <c r="E324" s="1">
        <v>0.0</v>
      </c>
      <c r="F324" s="1" t="s">
        <v>90</v>
      </c>
      <c r="G324" s="1" t="s">
        <v>91</v>
      </c>
      <c r="H324" s="1" t="s">
        <v>92</v>
      </c>
      <c r="I324" s="1" t="s">
        <v>887</v>
      </c>
      <c r="J324" s="1" t="s">
        <v>888</v>
      </c>
      <c r="K324" s="1" t="s">
        <v>888</v>
      </c>
      <c r="M324" s="1">
        <v>-4.0</v>
      </c>
      <c r="O324" s="1">
        <v>10.617233333333333</v>
      </c>
    </row>
    <row r="325" ht="15.75" hidden="1" customHeight="1">
      <c r="A325" s="4">
        <v>45530.0</v>
      </c>
      <c r="B325" s="1" t="s">
        <v>88</v>
      </c>
      <c r="C325" s="1" t="s">
        <v>89</v>
      </c>
      <c r="D325" s="1">
        <v>583.0</v>
      </c>
      <c r="E325" s="1">
        <v>0.0</v>
      </c>
      <c r="F325" s="1" t="s">
        <v>90</v>
      </c>
      <c r="G325" s="1" t="s">
        <v>91</v>
      </c>
      <c r="H325" s="1" t="s">
        <v>92</v>
      </c>
      <c r="I325" s="1" t="s">
        <v>889</v>
      </c>
      <c r="J325" s="1" t="s">
        <v>890</v>
      </c>
      <c r="K325" s="1" t="s">
        <v>890</v>
      </c>
      <c r="M325" s="1">
        <v>-10.0</v>
      </c>
      <c r="O325" s="1">
        <v>9.006916666666667</v>
      </c>
    </row>
    <row r="326" ht="15.75" hidden="1" customHeight="1">
      <c r="A326" s="4">
        <v>45530.0</v>
      </c>
      <c r="B326" s="1" t="s">
        <v>107</v>
      </c>
      <c r="C326" s="1" t="s">
        <v>104</v>
      </c>
      <c r="D326" s="1">
        <v>264.0</v>
      </c>
      <c r="E326" s="1">
        <v>0.0</v>
      </c>
      <c r="F326" s="1" t="s">
        <v>173</v>
      </c>
      <c r="G326" s="1" t="s">
        <v>91</v>
      </c>
      <c r="H326" s="1" t="s">
        <v>92</v>
      </c>
      <c r="I326" s="1" t="s">
        <v>891</v>
      </c>
      <c r="J326" s="1" t="s">
        <v>892</v>
      </c>
      <c r="K326" s="1" t="s">
        <v>892</v>
      </c>
      <c r="M326" s="1">
        <v>-6.0</v>
      </c>
      <c r="O326" s="1">
        <v>8.451666666666666</v>
      </c>
    </row>
    <row r="327" ht="15.75" hidden="1" customHeight="1">
      <c r="A327" s="4">
        <v>45530.0</v>
      </c>
      <c r="B327" s="1" t="s">
        <v>95</v>
      </c>
      <c r="C327" s="1" t="s">
        <v>89</v>
      </c>
      <c r="D327" s="1">
        <v>250.0</v>
      </c>
      <c r="E327" s="1">
        <v>0.0</v>
      </c>
      <c r="F327" s="1" t="s">
        <v>71</v>
      </c>
      <c r="G327" s="1" t="s">
        <v>97</v>
      </c>
      <c r="H327" s="1" t="s">
        <v>92</v>
      </c>
      <c r="I327" s="1" t="s">
        <v>893</v>
      </c>
      <c r="J327" s="1" t="s">
        <v>894</v>
      </c>
      <c r="K327" s="1" t="s">
        <v>895</v>
      </c>
      <c r="L327" s="1" t="s">
        <v>896</v>
      </c>
      <c r="M327" s="1">
        <v>-4.0</v>
      </c>
      <c r="N327" s="1">
        <v>0.009033333333333334</v>
      </c>
      <c r="O327" s="1">
        <v>11.249083333333333</v>
      </c>
    </row>
    <row r="328" ht="15.75" hidden="1" customHeight="1">
      <c r="A328" s="4">
        <v>45530.0</v>
      </c>
      <c r="B328" s="1" t="s">
        <v>107</v>
      </c>
      <c r="C328" s="1" t="s">
        <v>104</v>
      </c>
      <c r="D328" s="1">
        <v>313.0</v>
      </c>
      <c r="E328" s="1">
        <v>0.0</v>
      </c>
      <c r="F328" s="1" t="s">
        <v>897</v>
      </c>
      <c r="G328" s="1" t="s">
        <v>91</v>
      </c>
      <c r="H328" s="1" t="s">
        <v>92</v>
      </c>
      <c r="I328" s="1" t="s">
        <v>898</v>
      </c>
      <c r="J328" s="1" t="s">
        <v>899</v>
      </c>
      <c r="K328" s="1" t="s">
        <v>899</v>
      </c>
      <c r="M328" s="1">
        <v>-5.0</v>
      </c>
      <c r="O328" s="1">
        <v>9.2824</v>
      </c>
    </row>
    <row r="329" ht="15.75" hidden="1" customHeight="1">
      <c r="A329" s="4">
        <v>45530.0</v>
      </c>
      <c r="B329" s="1" t="s">
        <v>228</v>
      </c>
      <c r="C329" s="1" t="s">
        <v>89</v>
      </c>
      <c r="D329" s="1">
        <v>558.0</v>
      </c>
      <c r="E329" s="1">
        <v>0.0</v>
      </c>
      <c r="G329" s="1" t="s">
        <v>119</v>
      </c>
      <c r="H329" s="1" t="s">
        <v>98</v>
      </c>
      <c r="I329" s="1" t="s">
        <v>900</v>
      </c>
      <c r="J329" s="1" t="s">
        <v>901</v>
      </c>
      <c r="K329" s="1" t="s">
        <v>901</v>
      </c>
      <c r="M329" s="1">
        <v>-1.0</v>
      </c>
      <c r="O329" s="1">
        <v>8.524633333333334</v>
      </c>
    </row>
    <row r="330" ht="15.75" hidden="1" customHeight="1">
      <c r="A330" s="4">
        <v>45530.0</v>
      </c>
      <c r="B330" s="1" t="s">
        <v>95</v>
      </c>
      <c r="C330" s="1" t="s">
        <v>89</v>
      </c>
      <c r="D330" s="1">
        <v>378.0</v>
      </c>
      <c r="E330" s="1">
        <v>0.0</v>
      </c>
      <c r="F330" s="1" t="s">
        <v>71</v>
      </c>
      <c r="G330" s="1" t="s">
        <v>97</v>
      </c>
      <c r="H330" s="1" t="s">
        <v>92</v>
      </c>
      <c r="I330" s="1" t="s">
        <v>902</v>
      </c>
      <c r="J330" s="1" t="s">
        <v>903</v>
      </c>
      <c r="K330" s="1" t="s">
        <v>904</v>
      </c>
      <c r="L330" s="1" t="s">
        <v>905</v>
      </c>
      <c r="M330" s="1">
        <v>6.0</v>
      </c>
      <c r="N330" s="1">
        <v>0.01335</v>
      </c>
      <c r="O330" s="1">
        <v>9.050366666666667</v>
      </c>
    </row>
    <row r="331" ht="15.75" hidden="1" customHeight="1">
      <c r="A331" s="4">
        <v>45530.0</v>
      </c>
      <c r="B331" s="1" t="s">
        <v>95</v>
      </c>
      <c r="C331" s="1" t="s">
        <v>89</v>
      </c>
      <c r="D331" s="1">
        <v>557.0</v>
      </c>
      <c r="E331" s="1">
        <v>0.0</v>
      </c>
      <c r="F331" s="1" t="s">
        <v>90</v>
      </c>
      <c r="G331" s="1" t="s">
        <v>97</v>
      </c>
      <c r="H331" s="1" t="s">
        <v>92</v>
      </c>
      <c r="I331" s="1" t="s">
        <v>906</v>
      </c>
      <c r="J331" s="1" t="s">
        <v>907</v>
      </c>
      <c r="K331" s="1" t="s">
        <v>908</v>
      </c>
      <c r="L331" s="1" t="s">
        <v>909</v>
      </c>
      <c r="M331" s="1">
        <v>-5.0</v>
      </c>
      <c r="N331" s="1">
        <v>11.785066666666667</v>
      </c>
      <c r="O331" s="1">
        <v>12.719483333333333</v>
      </c>
    </row>
    <row r="332" ht="15.75" hidden="1" customHeight="1">
      <c r="A332" s="4">
        <v>45530.0</v>
      </c>
      <c r="B332" s="1" t="s">
        <v>103</v>
      </c>
      <c r="C332" s="1" t="s">
        <v>89</v>
      </c>
      <c r="D332" s="1">
        <v>364.0</v>
      </c>
      <c r="E332" s="1">
        <v>0.0</v>
      </c>
      <c r="G332" s="1" t="s">
        <v>91</v>
      </c>
      <c r="H332" s="1" t="s">
        <v>92</v>
      </c>
      <c r="I332" s="1" t="s">
        <v>910</v>
      </c>
      <c r="J332" s="1" t="s">
        <v>911</v>
      </c>
      <c r="K332" s="1" t="s">
        <v>911</v>
      </c>
      <c r="M332" s="1">
        <v>0.0</v>
      </c>
      <c r="O332" s="1">
        <v>7.899866666666667</v>
      </c>
    </row>
    <row r="333" ht="15.75" hidden="1" customHeight="1">
      <c r="A333" s="4">
        <v>45530.0</v>
      </c>
      <c r="B333" s="1" t="s">
        <v>228</v>
      </c>
      <c r="C333" s="1" t="s">
        <v>89</v>
      </c>
      <c r="D333" s="1">
        <v>119.0</v>
      </c>
      <c r="E333" s="1">
        <v>0.0</v>
      </c>
      <c r="G333" s="1" t="s">
        <v>119</v>
      </c>
      <c r="H333" s="1" t="s">
        <v>98</v>
      </c>
      <c r="I333" s="1" t="s">
        <v>912</v>
      </c>
      <c r="J333" s="1" t="s">
        <v>913</v>
      </c>
      <c r="K333" s="1" t="s">
        <v>913</v>
      </c>
      <c r="M333" s="1">
        <v>0.0</v>
      </c>
      <c r="O333" s="1">
        <v>5.585066666666667</v>
      </c>
    </row>
    <row r="334" ht="15.75" hidden="1" customHeight="1">
      <c r="A334" s="4">
        <v>45530.0</v>
      </c>
      <c r="B334" s="1" t="s">
        <v>95</v>
      </c>
      <c r="C334" s="1" t="s">
        <v>89</v>
      </c>
      <c r="D334" s="1">
        <v>590.0</v>
      </c>
      <c r="E334" s="1">
        <v>138.0</v>
      </c>
      <c r="G334" s="1" t="s">
        <v>119</v>
      </c>
      <c r="H334" s="1" t="s">
        <v>92</v>
      </c>
      <c r="I334" s="1" t="s">
        <v>914</v>
      </c>
      <c r="J334" s="1" t="s">
        <v>915</v>
      </c>
      <c r="K334" s="1" t="s">
        <v>915</v>
      </c>
      <c r="M334" s="1">
        <v>-12.0</v>
      </c>
      <c r="O334" s="1">
        <v>10.620266666666666</v>
      </c>
    </row>
    <row r="335" ht="15.75" hidden="1" customHeight="1">
      <c r="A335" s="4">
        <v>45530.0</v>
      </c>
      <c r="B335" s="1" t="s">
        <v>103</v>
      </c>
      <c r="C335" s="1" t="s">
        <v>89</v>
      </c>
      <c r="D335" s="1">
        <v>329.0</v>
      </c>
      <c r="E335" s="1">
        <v>0.0</v>
      </c>
      <c r="G335" s="1" t="s">
        <v>91</v>
      </c>
      <c r="H335" s="1" t="s">
        <v>98</v>
      </c>
      <c r="I335" s="1" t="s">
        <v>916</v>
      </c>
      <c r="J335" s="1" t="s">
        <v>917</v>
      </c>
      <c r="K335" s="1" t="s">
        <v>917</v>
      </c>
      <c r="M335" s="1">
        <v>-1.0</v>
      </c>
      <c r="O335" s="1">
        <v>6.34385</v>
      </c>
    </row>
    <row r="336" ht="15.75" hidden="1" customHeight="1">
      <c r="A336" s="4">
        <v>45530.0</v>
      </c>
      <c r="B336" s="1" t="s">
        <v>88</v>
      </c>
      <c r="C336" s="1" t="s">
        <v>89</v>
      </c>
      <c r="D336" s="1">
        <v>575.0</v>
      </c>
      <c r="E336" s="1">
        <v>0.0</v>
      </c>
      <c r="F336" s="1" t="s">
        <v>90</v>
      </c>
      <c r="G336" s="1" t="s">
        <v>91</v>
      </c>
      <c r="H336" s="1" t="s">
        <v>92</v>
      </c>
      <c r="I336" s="1" t="s">
        <v>918</v>
      </c>
      <c r="J336" s="1" t="s">
        <v>919</v>
      </c>
      <c r="K336" s="1" t="s">
        <v>919</v>
      </c>
      <c r="M336" s="1">
        <v>-11.0</v>
      </c>
      <c r="O336" s="1">
        <v>8.577216666666667</v>
      </c>
    </row>
    <row r="337" ht="15.75" hidden="1" customHeight="1">
      <c r="A337" s="4">
        <v>45530.0</v>
      </c>
      <c r="B337" s="1" t="s">
        <v>103</v>
      </c>
      <c r="C337" s="1" t="s">
        <v>89</v>
      </c>
      <c r="D337" s="1">
        <v>528.0</v>
      </c>
      <c r="E337" s="1">
        <v>0.0</v>
      </c>
      <c r="G337" s="1" t="s">
        <v>91</v>
      </c>
      <c r="H337" s="1" t="s">
        <v>92</v>
      </c>
      <c r="I337" s="1" t="s">
        <v>920</v>
      </c>
      <c r="J337" s="1" t="s">
        <v>921</v>
      </c>
      <c r="K337" s="1" t="s">
        <v>921</v>
      </c>
      <c r="M337" s="1">
        <v>-1.0</v>
      </c>
      <c r="O337" s="1">
        <v>7.7546</v>
      </c>
    </row>
    <row r="338" ht="15.75" hidden="1" customHeight="1">
      <c r="A338" s="4">
        <v>45530.0</v>
      </c>
      <c r="B338" s="1" t="s">
        <v>103</v>
      </c>
      <c r="C338" s="1" t="s">
        <v>89</v>
      </c>
      <c r="D338" s="1">
        <v>498.0</v>
      </c>
      <c r="E338" s="1">
        <v>0.0</v>
      </c>
      <c r="G338" s="1" t="s">
        <v>91</v>
      </c>
      <c r="H338" s="1" t="s">
        <v>92</v>
      </c>
      <c r="I338" s="1" t="s">
        <v>922</v>
      </c>
      <c r="J338" s="1" t="s">
        <v>923</v>
      </c>
      <c r="K338" s="1" t="s">
        <v>923</v>
      </c>
      <c r="M338" s="1">
        <v>0.0</v>
      </c>
      <c r="O338" s="1">
        <v>8.222733333333334</v>
      </c>
    </row>
    <row r="339" ht="15.75" hidden="1" customHeight="1">
      <c r="A339" s="4">
        <v>45530.0</v>
      </c>
      <c r="B339" s="1" t="s">
        <v>95</v>
      </c>
      <c r="C339" s="1" t="s">
        <v>89</v>
      </c>
      <c r="D339" s="1">
        <v>119.0</v>
      </c>
      <c r="E339" s="1">
        <v>0.0</v>
      </c>
      <c r="G339" s="1" t="s">
        <v>119</v>
      </c>
      <c r="H339" s="1" t="s">
        <v>213</v>
      </c>
      <c r="I339" s="1" t="s">
        <v>924</v>
      </c>
      <c r="J339" s="1" t="s">
        <v>925</v>
      </c>
      <c r="K339" s="1" t="s">
        <v>925</v>
      </c>
      <c r="M339" s="1">
        <v>-13.0</v>
      </c>
      <c r="O339" s="1">
        <v>6.5167</v>
      </c>
    </row>
    <row r="340" ht="15.75" hidden="1" customHeight="1">
      <c r="A340" s="4">
        <v>45530.0</v>
      </c>
      <c r="B340" s="1" t="s">
        <v>88</v>
      </c>
      <c r="C340" s="1" t="s">
        <v>89</v>
      </c>
      <c r="D340" s="1">
        <v>329.0</v>
      </c>
      <c r="E340" s="1">
        <v>0.0</v>
      </c>
      <c r="F340" s="1" t="s">
        <v>90</v>
      </c>
      <c r="G340" s="1" t="s">
        <v>91</v>
      </c>
      <c r="H340" s="1" t="s">
        <v>92</v>
      </c>
      <c r="I340" s="1" t="s">
        <v>926</v>
      </c>
      <c r="J340" s="1" t="s">
        <v>927</v>
      </c>
      <c r="K340" s="1" t="s">
        <v>927</v>
      </c>
      <c r="M340" s="1">
        <v>-8.0</v>
      </c>
      <c r="O340" s="1">
        <v>6.6084</v>
      </c>
    </row>
    <row r="341" ht="15.75" hidden="1" customHeight="1">
      <c r="A341" s="4">
        <v>45530.0</v>
      </c>
      <c r="B341" s="1" t="s">
        <v>88</v>
      </c>
      <c r="C341" s="1" t="s">
        <v>89</v>
      </c>
      <c r="D341" s="1">
        <v>583.0</v>
      </c>
      <c r="E341" s="1">
        <v>0.0</v>
      </c>
      <c r="F341" s="1" t="s">
        <v>90</v>
      </c>
      <c r="G341" s="1" t="s">
        <v>91</v>
      </c>
      <c r="H341" s="1" t="s">
        <v>92</v>
      </c>
      <c r="I341" s="1" t="s">
        <v>928</v>
      </c>
      <c r="J341" s="1" t="s">
        <v>929</v>
      </c>
      <c r="K341" s="1" t="s">
        <v>929</v>
      </c>
      <c r="M341" s="1">
        <v>-10.0</v>
      </c>
      <c r="O341" s="1">
        <v>9.6585</v>
      </c>
    </row>
    <row r="342" ht="15.75" hidden="1" customHeight="1">
      <c r="A342" s="4">
        <v>45530.0</v>
      </c>
      <c r="B342" s="1" t="s">
        <v>103</v>
      </c>
      <c r="C342" s="1" t="s">
        <v>104</v>
      </c>
      <c r="D342" s="1">
        <v>508.0</v>
      </c>
      <c r="E342" s="1">
        <v>0.0</v>
      </c>
      <c r="G342" s="1" t="s">
        <v>91</v>
      </c>
      <c r="H342" s="1" t="s">
        <v>92</v>
      </c>
      <c r="I342" s="1" t="s">
        <v>930</v>
      </c>
      <c r="J342" s="1" t="s">
        <v>931</v>
      </c>
      <c r="K342" s="1" t="s">
        <v>931</v>
      </c>
      <c r="M342" s="1">
        <v>1.0</v>
      </c>
      <c r="O342" s="1">
        <v>9.013183333333334</v>
      </c>
    </row>
    <row r="343" ht="15.75" hidden="1" customHeight="1">
      <c r="A343" s="4">
        <v>45530.0</v>
      </c>
      <c r="B343" s="1" t="s">
        <v>103</v>
      </c>
      <c r="C343" s="1" t="s">
        <v>104</v>
      </c>
      <c r="D343" s="1">
        <v>264.0</v>
      </c>
      <c r="E343" s="1">
        <v>0.0</v>
      </c>
      <c r="G343" s="1" t="s">
        <v>91</v>
      </c>
      <c r="H343" s="1" t="s">
        <v>92</v>
      </c>
      <c r="I343" s="1" t="s">
        <v>932</v>
      </c>
      <c r="J343" s="1" t="s">
        <v>933</v>
      </c>
      <c r="K343" s="1" t="s">
        <v>933</v>
      </c>
      <c r="M343" s="1">
        <v>1.0</v>
      </c>
      <c r="O343" s="1">
        <v>7.709516666666667</v>
      </c>
    </row>
    <row r="344" ht="15.75" hidden="1" customHeight="1">
      <c r="A344" s="4">
        <v>45530.0</v>
      </c>
      <c r="B344" s="1" t="s">
        <v>95</v>
      </c>
      <c r="C344" s="1" t="s">
        <v>89</v>
      </c>
      <c r="D344" s="1">
        <v>298.0</v>
      </c>
      <c r="E344" s="1">
        <v>0.0</v>
      </c>
      <c r="F344" s="1" t="s">
        <v>54</v>
      </c>
      <c r="G344" s="1" t="s">
        <v>97</v>
      </c>
      <c r="H344" s="1" t="s">
        <v>92</v>
      </c>
      <c r="I344" s="1" t="s">
        <v>934</v>
      </c>
      <c r="J344" s="1" t="s">
        <v>935</v>
      </c>
      <c r="K344" s="1" t="s">
        <v>936</v>
      </c>
      <c r="L344" s="1" t="s">
        <v>937</v>
      </c>
      <c r="M344" s="1">
        <v>-1.0</v>
      </c>
      <c r="N344" s="1">
        <v>0.009666666666666667</v>
      </c>
      <c r="O344" s="1">
        <v>7.085</v>
      </c>
    </row>
    <row r="345" ht="15.75" hidden="1" customHeight="1">
      <c r="A345" s="4">
        <v>45530.0</v>
      </c>
      <c r="B345" s="1" t="s">
        <v>88</v>
      </c>
      <c r="C345" s="1" t="s">
        <v>89</v>
      </c>
      <c r="D345" s="1">
        <v>294.0</v>
      </c>
      <c r="E345" s="1">
        <v>0.0</v>
      </c>
      <c r="F345" s="1" t="s">
        <v>90</v>
      </c>
      <c r="G345" s="1" t="s">
        <v>91</v>
      </c>
      <c r="H345" s="1" t="s">
        <v>92</v>
      </c>
      <c r="I345" s="1" t="s">
        <v>938</v>
      </c>
      <c r="J345" s="1" t="s">
        <v>939</v>
      </c>
      <c r="K345" s="1" t="s">
        <v>940</v>
      </c>
      <c r="M345" s="1">
        <v>-8.0</v>
      </c>
      <c r="O345" s="1">
        <v>6.939866666666667</v>
      </c>
    </row>
    <row r="346" ht="15.75" hidden="1" customHeight="1">
      <c r="A346" s="4">
        <v>45530.0</v>
      </c>
      <c r="B346" s="1" t="s">
        <v>95</v>
      </c>
      <c r="C346" s="1" t="s">
        <v>89</v>
      </c>
      <c r="D346" s="1">
        <v>458.0</v>
      </c>
      <c r="E346" s="1">
        <v>0.0</v>
      </c>
      <c r="F346" s="1" t="s">
        <v>54</v>
      </c>
      <c r="G346" s="1" t="s">
        <v>97</v>
      </c>
      <c r="H346" s="1" t="s">
        <v>98</v>
      </c>
      <c r="I346" s="1" t="s">
        <v>941</v>
      </c>
      <c r="J346" s="1" t="s">
        <v>942</v>
      </c>
      <c r="K346" s="1" t="s">
        <v>943</v>
      </c>
      <c r="L346" s="1" t="s">
        <v>944</v>
      </c>
      <c r="M346" s="1">
        <v>-8.0</v>
      </c>
      <c r="N346" s="1">
        <v>0.00865</v>
      </c>
      <c r="O346" s="1">
        <v>10.857166666666666</v>
      </c>
    </row>
    <row r="347" ht="15.75" hidden="1" customHeight="1">
      <c r="A347" s="4">
        <v>45530.0</v>
      </c>
      <c r="B347" s="1" t="s">
        <v>103</v>
      </c>
      <c r="C347" s="1" t="s">
        <v>104</v>
      </c>
      <c r="D347" s="1">
        <v>627.0</v>
      </c>
      <c r="E347" s="1">
        <v>0.0</v>
      </c>
      <c r="G347" s="1" t="s">
        <v>91</v>
      </c>
      <c r="H347" s="1" t="s">
        <v>92</v>
      </c>
      <c r="I347" s="1" t="s">
        <v>945</v>
      </c>
      <c r="J347" s="1" t="s">
        <v>946</v>
      </c>
      <c r="K347" s="1" t="s">
        <v>946</v>
      </c>
      <c r="M347" s="1">
        <v>1.0</v>
      </c>
      <c r="O347" s="1">
        <v>10.851066666666666</v>
      </c>
    </row>
    <row r="348" ht="15.75" hidden="1" customHeight="1">
      <c r="A348" s="4">
        <v>45530.0</v>
      </c>
      <c r="B348" s="1" t="s">
        <v>103</v>
      </c>
      <c r="C348" s="1" t="s">
        <v>104</v>
      </c>
      <c r="D348" s="1">
        <v>839.0</v>
      </c>
      <c r="E348" s="1">
        <v>0.0</v>
      </c>
      <c r="G348" s="1" t="s">
        <v>91</v>
      </c>
      <c r="H348" s="1" t="s">
        <v>92</v>
      </c>
      <c r="I348" s="1" t="s">
        <v>947</v>
      </c>
      <c r="J348" s="1" t="s">
        <v>948</v>
      </c>
      <c r="K348" s="1" t="s">
        <v>948</v>
      </c>
      <c r="M348" s="1">
        <v>1.0</v>
      </c>
      <c r="O348" s="1">
        <v>11.061283333333334</v>
      </c>
    </row>
    <row r="349" ht="15.75" hidden="1" customHeight="1">
      <c r="A349" s="4">
        <v>45530.0</v>
      </c>
      <c r="B349" s="1" t="s">
        <v>88</v>
      </c>
      <c r="C349" s="1" t="s">
        <v>89</v>
      </c>
      <c r="D349" s="1">
        <v>329.0</v>
      </c>
      <c r="E349" s="1">
        <v>0.0</v>
      </c>
      <c r="F349" s="1" t="s">
        <v>90</v>
      </c>
      <c r="G349" s="1" t="s">
        <v>91</v>
      </c>
      <c r="H349" s="1" t="s">
        <v>92</v>
      </c>
      <c r="I349" s="1" t="s">
        <v>949</v>
      </c>
      <c r="J349" s="1" t="s">
        <v>950</v>
      </c>
      <c r="K349" s="1" t="s">
        <v>950</v>
      </c>
      <c r="M349" s="1">
        <v>-9.0</v>
      </c>
      <c r="O349" s="1">
        <v>5.691416666666667</v>
      </c>
    </row>
    <row r="350" ht="15.75" hidden="1" customHeight="1">
      <c r="A350" s="4">
        <v>45530.0</v>
      </c>
      <c r="B350" s="1" t="s">
        <v>107</v>
      </c>
      <c r="C350" s="1" t="s">
        <v>104</v>
      </c>
      <c r="D350" s="1">
        <v>313.0</v>
      </c>
      <c r="E350" s="1">
        <v>0.0</v>
      </c>
      <c r="F350" s="1" t="s">
        <v>341</v>
      </c>
      <c r="G350" s="1" t="s">
        <v>91</v>
      </c>
      <c r="H350" s="1" t="s">
        <v>92</v>
      </c>
      <c r="I350" s="1" t="s">
        <v>951</v>
      </c>
      <c r="J350" s="1" t="s">
        <v>952</v>
      </c>
      <c r="K350" s="1" t="s">
        <v>952</v>
      </c>
      <c r="M350" s="1">
        <v>-7.0</v>
      </c>
      <c r="O350" s="1">
        <v>7.516783333333334</v>
      </c>
    </row>
    <row r="351" ht="15.75" hidden="1" customHeight="1">
      <c r="A351" s="4">
        <v>45530.0</v>
      </c>
      <c r="B351" s="1" t="s">
        <v>95</v>
      </c>
      <c r="C351" s="1" t="s">
        <v>89</v>
      </c>
      <c r="D351" s="1">
        <v>258.0</v>
      </c>
      <c r="E351" s="1">
        <v>0.0</v>
      </c>
      <c r="G351" s="1" t="s">
        <v>119</v>
      </c>
      <c r="H351" s="1" t="s">
        <v>98</v>
      </c>
      <c r="I351" s="1" t="s">
        <v>953</v>
      </c>
      <c r="J351" s="1" t="s">
        <v>954</v>
      </c>
      <c r="K351" s="1" t="s">
        <v>954</v>
      </c>
      <c r="M351" s="1">
        <v>-9.0</v>
      </c>
      <c r="O351" s="1">
        <v>56.58266666666667</v>
      </c>
    </row>
    <row r="352" ht="15.75" hidden="1" customHeight="1">
      <c r="A352" s="4">
        <v>45530.0</v>
      </c>
      <c r="B352" s="1" t="s">
        <v>95</v>
      </c>
      <c r="C352" s="1" t="s">
        <v>89</v>
      </c>
      <c r="D352" s="1">
        <v>1503.0</v>
      </c>
      <c r="E352" s="1">
        <v>371.0</v>
      </c>
      <c r="G352" s="1" t="s">
        <v>119</v>
      </c>
      <c r="H352" s="1" t="s">
        <v>92</v>
      </c>
      <c r="I352" s="1" t="s">
        <v>955</v>
      </c>
      <c r="J352" s="1" t="s">
        <v>956</v>
      </c>
      <c r="K352" s="1" t="s">
        <v>956</v>
      </c>
      <c r="M352" s="1">
        <v>-22.0</v>
      </c>
      <c r="O352" s="1">
        <v>46.50991666666667</v>
      </c>
    </row>
    <row r="353" ht="15.75" hidden="1" customHeight="1">
      <c r="A353" s="4">
        <v>45530.0</v>
      </c>
      <c r="B353" s="1" t="s">
        <v>95</v>
      </c>
      <c r="C353" s="1" t="s">
        <v>89</v>
      </c>
      <c r="D353" s="1">
        <v>300.0</v>
      </c>
      <c r="E353" s="1">
        <v>69.0</v>
      </c>
      <c r="G353" s="1" t="s">
        <v>119</v>
      </c>
      <c r="H353" s="1" t="s">
        <v>92</v>
      </c>
      <c r="I353" s="1" t="s">
        <v>957</v>
      </c>
      <c r="J353" s="1" t="s">
        <v>958</v>
      </c>
      <c r="K353" s="1" t="s">
        <v>958</v>
      </c>
      <c r="M353" s="1">
        <v>-5.0</v>
      </c>
      <c r="O353" s="1">
        <v>11.482733333333334</v>
      </c>
    </row>
    <row r="354" ht="15.75" hidden="1" customHeight="1">
      <c r="A354" s="4">
        <v>45530.0</v>
      </c>
      <c r="B354" s="1" t="s">
        <v>103</v>
      </c>
      <c r="C354" s="1" t="s">
        <v>104</v>
      </c>
      <c r="D354" s="1">
        <v>565.0</v>
      </c>
      <c r="E354" s="1">
        <v>150.0</v>
      </c>
      <c r="G354" s="1" t="s">
        <v>91</v>
      </c>
      <c r="H354" s="1" t="s">
        <v>92</v>
      </c>
      <c r="I354" s="1" t="s">
        <v>959</v>
      </c>
      <c r="J354" s="1" t="s">
        <v>960</v>
      </c>
      <c r="K354" s="1" t="s">
        <v>960</v>
      </c>
      <c r="M354" s="1">
        <v>8.0</v>
      </c>
      <c r="O354" s="1">
        <v>17.0454</v>
      </c>
    </row>
    <row r="355" ht="15.75" hidden="1" customHeight="1">
      <c r="A355" s="4">
        <v>45530.0</v>
      </c>
      <c r="B355" s="1" t="s">
        <v>103</v>
      </c>
      <c r="C355" s="1" t="s">
        <v>104</v>
      </c>
      <c r="D355" s="1">
        <v>269.0</v>
      </c>
      <c r="E355" s="1">
        <v>100.0</v>
      </c>
      <c r="G355" s="1" t="s">
        <v>91</v>
      </c>
      <c r="H355" s="1" t="s">
        <v>92</v>
      </c>
      <c r="I355" s="1" t="s">
        <v>961</v>
      </c>
      <c r="J355" s="1" t="s">
        <v>962</v>
      </c>
      <c r="K355" s="1" t="s">
        <v>962</v>
      </c>
      <c r="M355" s="1">
        <v>1.0</v>
      </c>
      <c r="O355" s="1">
        <v>8.762433333333334</v>
      </c>
    </row>
    <row r="356" ht="15.75" hidden="1" customHeight="1">
      <c r="A356" s="4">
        <v>45530.0</v>
      </c>
      <c r="B356" s="1" t="s">
        <v>107</v>
      </c>
      <c r="C356" s="1" t="s">
        <v>104</v>
      </c>
      <c r="D356" s="1">
        <v>329.0</v>
      </c>
      <c r="E356" s="1">
        <v>0.0</v>
      </c>
      <c r="F356" s="1" t="s">
        <v>382</v>
      </c>
      <c r="G356" s="1" t="s">
        <v>91</v>
      </c>
      <c r="H356" s="1" t="s">
        <v>92</v>
      </c>
      <c r="I356" s="1" t="s">
        <v>963</v>
      </c>
      <c r="J356" s="1" t="s">
        <v>964</v>
      </c>
      <c r="K356" s="1" t="s">
        <v>964</v>
      </c>
      <c r="M356" s="1">
        <v>-8.0</v>
      </c>
      <c r="O356" s="1">
        <v>6.688</v>
      </c>
    </row>
    <row r="357" ht="15.75" hidden="1" customHeight="1">
      <c r="A357" s="4">
        <v>45530.0</v>
      </c>
      <c r="B357" s="1" t="s">
        <v>95</v>
      </c>
      <c r="C357" s="1" t="s">
        <v>89</v>
      </c>
      <c r="D357" s="1">
        <v>219.0</v>
      </c>
      <c r="E357" s="1">
        <v>50.0</v>
      </c>
      <c r="G357" s="1" t="s">
        <v>119</v>
      </c>
      <c r="H357" s="1" t="s">
        <v>98</v>
      </c>
      <c r="I357" s="1" t="s">
        <v>965</v>
      </c>
      <c r="J357" s="1" t="s">
        <v>966</v>
      </c>
      <c r="K357" s="1" t="s">
        <v>966</v>
      </c>
      <c r="M357" s="1">
        <v>-12.0</v>
      </c>
      <c r="O357" s="1">
        <v>6.834066666666667</v>
      </c>
    </row>
    <row r="358" ht="15.75" hidden="1" customHeight="1">
      <c r="A358" s="4">
        <v>45530.0</v>
      </c>
      <c r="B358" s="1" t="s">
        <v>103</v>
      </c>
      <c r="C358" s="1" t="s">
        <v>104</v>
      </c>
      <c r="D358" s="1">
        <v>394.0</v>
      </c>
      <c r="E358" s="1">
        <v>0.0</v>
      </c>
      <c r="G358" s="1" t="s">
        <v>91</v>
      </c>
      <c r="H358" s="1" t="s">
        <v>92</v>
      </c>
      <c r="I358" s="1" t="s">
        <v>967</v>
      </c>
      <c r="J358" s="1" t="s">
        <v>968</v>
      </c>
      <c r="K358" s="1" t="s">
        <v>968</v>
      </c>
      <c r="M358" s="1">
        <v>1.0</v>
      </c>
      <c r="O358" s="1">
        <v>8.376416666666668</v>
      </c>
    </row>
    <row r="359" ht="15.75" hidden="1" customHeight="1">
      <c r="A359" s="4">
        <v>45530.0</v>
      </c>
      <c r="B359" s="1" t="s">
        <v>88</v>
      </c>
      <c r="C359" s="1" t="s">
        <v>89</v>
      </c>
      <c r="D359" s="1">
        <v>369.0</v>
      </c>
      <c r="E359" s="1">
        <v>0.0</v>
      </c>
      <c r="F359" s="1" t="s">
        <v>90</v>
      </c>
      <c r="G359" s="1" t="s">
        <v>91</v>
      </c>
      <c r="H359" s="1" t="s">
        <v>92</v>
      </c>
      <c r="I359" s="1" t="s">
        <v>969</v>
      </c>
      <c r="J359" s="1" t="s">
        <v>970</v>
      </c>
      <c r="K359" s="1" t="s">
        <v>970</v>
      </c>
      <c r="M359" s="1">
        <v>-8.0</v>
      </c>
      <c r="O359" s="1">
        <v>6.943833333333333</v>
      </c>
    </row>
    <row r="360" ht="15.75" hidden="1" customHeight="1">
      <c r="A360" s="4">
        <v>45530.0</v>
      </c>
      <c r="B360" s="1" t="s">
        <v>95</v>
      </c>
      <c r="C360" s="1" t="s">
        <v>89</v>
      </c>
      <c r="D360" s="1">
        <v>319.0</v>
      </c>
      <c r="E360" s="1">
        <v>75.0</v>
      </c>
      <c r="G360" s="1" t="s">
        <v>119</v>
      </c>
      <c r="H360" s="1" t="s">
        <v>98</v>
      </c>
      <c r="I360" s="1" t="s">
        <v>971</v>
      </c>
      <c r="J360" s="1" t="s">
        <v>972</v>
      </c>
      <c r="K360" s="1" t="s">
        <v>972</v>
      </c>
      <c r="M360" s="1">
        <v>-7.0</v>
      </c>
      <c r="O360" s="1">
        <v>11.317216666666667</v>
      </c>
    </row>
    <row r="361" ht="15.75" hidden="1" customHeight="1">
      <c r="A361" s="4">
        <v>45530.0</v>
      </c>
      <c r="B361" s="1" t="s">
        <v>103</v>
      </c>
      <c r="C361" s="1" t="s">
        <v>104</v>
      </c>
      <c r="D361" s="1">
        <v>658.0</v>
      </c>
      <c r="E361" s="1">
        <v>0.0</v>
      </c>
      <c r="G361" s="1" t="s">
        <v>91</v>
      </c>
      <c r="H361" s="1" t="s">
        <v>92</v>
      </c>
      <c r="I361" s="1" t="s">
        <v>973</v>
      </c>
      <c r="J361" s="1" t="s">
        <v>974</v>
      </c>
      <c r="K361" s="1" t="s">
        <v>974</v>
      </c>
      <c r="M361" s="1">
        <v>2.0</v>
      </c>
      <c r="O361" s="1">
        <v>11.284666666666666</v>
      </c>
    </row>
    <row r="362" ht="15.75" hidden="1" customHeight="1">
      <c r="A362" s="4">
        <v>45530.0</v>
      </c>
      <c r="B362" s="1" t="s">
        <v>103</v>
      </c>
      <c r="C362" s="1" t="s">
        <v>104</v>
      </c>
      <c r="D362" s="1">
        <v>508.0</v>
      </c>
      <c r="E362" s="1">
        <v>150.0</v>
      </c>
      <c r="G362" s="1" t="s">
        <v>91</v>
      </c>
      <c r="H362" s="1" t="s">
        <v>98</v>
      </c>
      <c r="I362" s="1" t="s">
        <v>975</v>
      </c>
      <c r="J362" s="1" t="s">
        <v>976</v>
      </c>
      <c r="K362" s="1" t="s">
        <v>976</v>
      </c>
      <c r="M362" s="1">
        <v>1.0</v>
      </c>
      <c r="O362" s="1">
        <v>10.0412</v>
      </c>
    </row>
    <row r="363" ht="15.75" hidden="1" customHeight="1">
      <c r="A363" s="4">
        <v>45530.0</v>
      </c>
      <c r="B363" s="1" t="s">
        <v>107</v>
      </c>
      <c r="C363" s="1" t="s">
        <v>104</v>
      </c>
      <c r="D363" s="1">
        <v>264.0</v>
      </c>
      <c r="E363" s="1">
        <v>0.0</v>
      </c>
      <c r="F363" s="1" t="s">
        <v>341</v>
      </c>
      <c r="G363" s="1" t="s">
        <v>91</v>
      </c>
      <c r="H363" s="1" t="s">
        <v>92</v>
      </c>
      <c r="I363" s="1" t="s">
        <v>977</v>
      </c>
      <c r="J363" s="1" t="s">
        <v>978</v>
      </c>
      <c r="K363" s="1" t="s">
        <v>978</v>
      </c>
      <c r="M363" s="1">
        <v>-7.0</v>
      </c>
      <c r="O363" s="1">
        <v>7.059816666666666</v>
      </c>
    </row>
    <row r="364" ht="15.75" hidden="1" customHeight="1">
      <c r="A364" s="4">
        <v>45530.0</v>
      </c>
      <c r="B364" s="1" t="s">
        <v>88</v>
      </c>
      <c r="C364" s="1" t="s">
        <v>89</v>
      </c>
      <c r="D364" s="1">
        <v>129.0</v>
      </c>
      <c r="E364" s="1">
        <v>0.0</v>
      </c>
      <c r="F364" s="1" t="s">
        <v>90</v>
      </c>
      <c r="G364" s="1" t="s">
        <v>91</v>
      </c>
      <c r="H364" s="1" t="s">
        <v>92</v>
      </c>
      <c r="I364" s="1" t="s">
        <v>979</v>
      </c>
      <c r="J364" s="1" t="s">
        <v>980</v>
      </c>
      <c r="K364" s="1" t="s">
        <v>980</v>
      </c>
      <c r="M364" s="1">
        <v>-8.0</v>
      </c>
      <c r="O364" s="1">
        <v>6.6911</v>
      </c>
    </row>
    <row r="365" ht="15.75" hidden="1" customHeight="1">
      <c r="A365" s="4">
        <v>45530.0</v>
      </c>
      <c r="B365" s="1" t="s">
        <v>103</v>
      </c>
      <c r="C365" s="1" t="s">
        <v>104</v>
      </c>
      <c r="D365" s="1">
        <v>593.0</v>
      </c>
      <c r="E365" s="1">
        <v>0.0</v>
      </c>
      <c r="G365" s="1" t="s">
        <v>91</v>
      </c>
      <c r="H365" s="1" t="s">
        <v>92</v>
      </c>
      <c r="I365" s="1" t="s">
        <v>981</v>
      </c>
      <c r="J365" s="1" t="s">
        <v>982</v>
      </c>
      <c r="K365" s="1" t="s">
        <v>982</v>
      </c>
      <c r="M365" s="1">
        <v>0.0</v>
      </c>
      <c r="O365" s="1">
        <v>7.968833333333333</v>
      </c>
    </row>
    <row r="366" ht="15.75" hidden="1" customHeight="1">
      <c r="A366" s="4">
        <v>45530.0</v>
      </c>
      <c r="B366" s="1" t="s">
        <v>88</v>
      </c>
      <c r="C366" s="1" t="s">
        <v>89</v>
      </c>
      <c r="D366" s="1">
        <v>264.0</v>
      </c>
      <c r="E366" s="1">
        <v>0.0</v>
      </c>
      <c r="F366" s="1" t="s">
        <v>90</v>
      </c>
      <c r="G366" s="1" t="s">
        <v>91</v>
      </c>
      <c r="H366" s="1" t="s">
        <v>92</v>
      </c>
      <c r="I366" s="1" t="s">
        <v>983</v>
      </c>
      <c r="J366" s="1" t="s">
        <v>984</v>
      </c>
      <c r="K366" s="1" t="s">
        <v>984</v>
      </c>
      <c r="M366" s="1">
        <v>-8.0</v>
      </c>
      <c r="O366" s="1">
        <v>6.217933333333334</v>
      </c>
    </row>
    <row r="367" ht="15.75" hidden="1" customHeight="1">
      <c r="A367" s="4">
        <v>45530.0</v>
      </c>
      <c r="B367" s="1" t="s">
        <v>88</v>
      </c>
      <c r="C367" s="1" t="s">
        <v>89</v>
      </c>
      <c r="D367" s="1">
        <v>264.0</v>
      </c>
      <c r="E367" s="1">
        <v>0.0</v>
      </c>
      <c r="F367" s="1" t="s">
        <v>90</v>
      </c>
      <c r="G367" s="1" t="s">
        <v>91</v>
      </c>
      <c r="H367" s="1" t="s">
        <v>92</v>
      </c>
      <c r="I367" s="1" t="s">
        <v>985</v>
      </c>
      <c r="J367" s="1" t="s">
        <v>986</v>
      </c>
      <c r="K367" s="1" t="s">
        <v>986</v>
      </c>
      <c r="M367" s="1">
        <v>-6.0</v>
      </c>
      <c r="O367" s="1">
        <v>8.2126</v>
      </c>
    </row>
    <row r="368" ht="15.75" hidden="1" customHeight="1">
      <c r="A368" s="4">
        <v>45530.0</v>
      </c>
      <c r="B368" s="1" t="s">
        <v>228</v>
      </c>
      <c r="C368" s="1" t="s">
        <v>89</v>
      </c>
      <c r="D368" s="1">
        <v>309.0</v>
      </c>
      <c r="E368" s="1">
        <v>0.0</v>
      </c>
      <c r="G368" s="1" t="s">
        <v>119</v>
      </c>
      <c r="H368" s="1" t="s">
        <v>98</v>
      </c>
      <c r="I368" s="1" t="s">
        <v>987</v>
      </c>
      <c r="J368" s="1" t="s">
        <v>988</v>
      </c>
      <c r="K368" s="1" t="s">
        <v>988</v>
      </c>
      <c r="M368" s="1">
        <v>0.0</v>
      </c>
      <c r="O368" s="1">
        <v>5.668316666666667</v>
      </c>
    </row>
    <row r="369" ht="15.75" hidden="1" customHeight="1">
      <c r="A369" s="4">
        <v>45530.0</v>
      </c>
      <c r="B369" s="1" t="s">
        <v>107</v>
      </c>
      <c r="C369" s="1" t="s">
        <v>89</v>
      </c>
      <c r="D369" s="1">
        <v>329.0</v>
      </c>
      <c r="E369" s="1">
        <v>0.0</v>
      </c>
      <c r="F369" s="1" t="s">
        <v>334</v>
      </c>
      <c r="G369" s="1" t="s">
        <v>91</v>
      </c>
      <c r="H369" s="1" t="s">
        <v>92</v>
      </c>
      <c r="I369" s="1" t="s">
        <v>989</v>
      </c>
      <c r="J369" s="1" t="s">
        <v>990</v>
      </c>
      <c r="K369" s="1" t="s">
        <v>990</v>
      </c>
      <c r="M369" s="1">
        <v>-6.0</v>
      </c>
      <c r="O369" s="1">
        <v>8.299466666666667</v>
      </c>
    </row>
    <row r="370" ht="15.75" hidden="1" customHeight="1">
      <c r="A370" s="4">
        <v>45530.0</v>
      </c>
      <c r="B370" s="1" t="s">
        <v>95</v>
      </c>
      <c r="C370" s="1" t="s">
        <v>89</v>
      </c>
      <c r="D370" s="1">
        <v>406.0</v>
      </c>
      <c r="E370" s="1">
        <v>0.0</v>
      </c>
      <c r="F370" s="1" t="s">
        <v>90</v>
      </c>
      <c r="G370" s="1" t="s">
        <v>97</v>
      </c>
      <c r="H370" s="1" t="s">
        <v>92</v>
      </c>
      <c r="I370" s="1" t="s">
        <v>991</v>
      </c>
      <c r="J370" s="1" t="s">
        <v>992</v>
      </c>
      <c r="K370" s="1" t="s">
        <v>993</v>
      </c>
      <c r="L370" s="1" t="s">
        <v>994</v>
      </c>
      <c r="M370" s="1">
        <v>8.0</v>
      </c>
      <c r="N370" s="1">
        <v>17.321483333333333</v>
      </c>
      <c r="O370" s="1">
        <v>8.2794</v>
      </c>
    </row>
    <row r="371" ht="15.75" hidden="1" customHeight="1">
      <c r="A371" s="4">
        <v>45530.0</v>
      </c>
      <c r="B371" s="1" t="s">
        <v>95</v>
      </c>
      <c r="C371" s="1" t="s">
        <v>89</v>
      </c>
      <c r="D371" s="1">
        <v>257.0</v>
      </c>
      <c r="E371" s="1">
        <v>12.0</v>
      </c>
      <c r="F371" s="1" t="s">
        <v>54</v>
      </c>
      <c r="G371" s="1" t="s">
        <v>97</v>
      </c>
      <c r="H371" s="1" t="s">
        <v>92</v>
      </c>
      <c r="I371" s="1" t="s">
        <v>995</v>
      </c>
      <c r="J371" s="1" t="s">
        <v>996</v>
      </c>
      <c r="K371" s="1" t="s">
        <v>997</v>
      </c>
      <c r="L371" s="1" t="s">
        <v>998</v>
      </c>
      <c r="M371" s="1">
        <v>-6.0</v>
      </c>
      <c r="N371" s="1">
        <v>0.008266666666666667</v>
      </c>
      <c r="O371" s="1">
        <v>8.3012</v>
      </c>
    </row>
    <row r="372" ht="15.75" hidden="1" customHeight="1">
      <c r="A372" s="4">
        <v>45530.0</v>
      </c>
      <c r="B372" s="1" t="s">
        <v>88</v>
      </c>
      <c r="C372" s="1" t="s">
        <v>89</v>
      </c>
      <c r="D372" s="1">
        <v>347.0</v>
      </c>
      <c r="E372" s="1">
        <v>0.0</v>
      </c>
      <c r="F372" s="1" t="s">
        <v>90</v>
      </c>
      <c r="G372" s="1" t="s">
        <v>91</v>
      </c>
      <c r="H372" s="1" t="s">
        <v>92</v>
      </c>
      <c r="I372" s="1" t="s">
        <v>999</v>
      </c>
      <c r="J372" s="1" t="s">
        <v>1000</v>
      </c>
      <c r="K372" s="1" t="s">
        <v>1000</v>
      </c>
      <c r="M372" s="1">
        <v>-5.0</v>
      </c>
      <c r="O372" s="1">
        <v>9.11665</v>
      </c>
    </row>
    <row r="373" ht="15.75" hidden="1" customHeight="1">
      <c r="A373" s="4">
        <v>45530.0</v>
      </c>
      <c r="B373" s="1" t="s">
        <v>107</v>
      </c>
      <c r="C373" s="1" t="s">
        <v>89</v>
      </c>
      <c r="D373" s="1">
        <v>329.0</v>
      </c>
      <c r="E373" s="1">
        <v>0.0</v>
      </c>
      <c r="F373" s="1" t="s">
        <v>1001</v>
      </c>
      <c r="G373" s="1" t="s">
        <v>91</v>
      </c>
      <c r="H373" s="1" t="s">
        <v>92</v>
      </c>
      <c r="I373" s="1" t="s">
        <v>1002</v>
      </c>
      <c r="J373" s="1" t="s">
        <v>1003</v>
      </c>
      <c r="K373" s="1" t="s">
        <v>1003</v>
      </c>
      <c r="M373" s="1">
        <v>-8.0</v>
      </c>
      <c r="O373" s="1">
        <v>6.585766666666666</v>
      </c>
    </row>
    <row r="374" ht="15.75" hidden="1" customHeight="1">
      <c r="A374" s="4">
        <v>45530.0</v>
      </c>
      <c r="B374" s="1" t="s">
        <v>107</v>
      </c>
      <c r="C374" s="1" t="s">
        <v>89</v>
      </c>
      <c r="D374" s="1">
        <v>658.0</v>
      </c>
      <c r="E374" s="1">
        <v>0.0</v>
      </c>
      <c r="F374" s="1" t="s">
        <v>1004</v>
      </c>
      <c r="G374" s="1" t="s">
        <v>91</v>
      </c>
      <c r="H374" s="1" t="s">
        <v>92</v>
      </c>
      <c r="I374" s="1" t="s">
        <v>1005</v>
      </c>
      <c r="J374" s="1" t="s">
        <v>1006</v>
      </c>
      <c r="K374" s="1" t="s">
        <v>1006</v>
      </c>
      <c r="M374" s="1">
        <v>-5.0</v>
      </c>
      <c r="O374" s="1">
        <v>14.550066666666666</v>
      </c>
    </row>
    <row r="375" ht="15.75" hidden="1" customHeight="1">
      <c r="A375" s="4">
        <v>45530.0</v>
      </c>
      <c r="B375" s="1" t="s">
        <v>88</v>
      </c>
      <c r="C375" s="1" t="s">
        <v>89</v>
      </c>
      <c r="D375" s="1">
        <v>528.0</v>
      </c>
      <c r="E375" s="1">
        <v>0.0</v>
      </c>
      <c r="F375" s="1" t="s">
        <v>90</v>
      </c>
      <c r="G375" s="1" t="s">
        <v>91</v>
      </c>
      <c r="H375" s="1" t="s">
        <v>92</v>
      </c>
      <c r="I375" s="1" t="s">
        <v>1007</v>
      </c>
      <c r="J375" s="1" t="s">
        <v>1008</v>
      </c>
      <c r="K375" s="1" t="s">
        <v>1008</v>
      </c>
      <c r="M375" s="1">
        <v>-6.0</v>
      </c>
      <c r="O375" s="1">
        <v>13.29675</v>
      </c>
    </row>
    <row r="376" ht="15.75" hidden="1" customHeight="1">
      <c r="A376" s="4">
        <v>45530.0</v>
      </c>
      <c r="B376" s="1" t="s">
        <v>95</v>
      </c>
      <c r="C376" s="1" t="s">
        <v>89</v>
      </c>
      <c r="D376" s="1">
        <v>318.0</v>
      </c>
      <c r="E376" s="1">
        <v>50.0</v>
      </c>
      <c r="G376" s="1" t="s">
        <v>119</v>
      </c>
      <c r="H376" s="1" t="s">
        <v>213</v>
      </c>
      <c r="I376" s="1" t="s">
        <v>1009</v>
      </c>
      <c r="J376" s="1" t="s">
        <v>1010</v>
      </c>
      <c r="K376" s="1" t="s">
        <v>1010</v>
      </c>
      <c r="M376" s="1">
        <v>-5.0</v>
      </c>
      <c r="O376" s="1">
        <v>13.6128</v>
      </c>
    </row>
    <row r="377" ht="15.75" hidden="1" customHeight="1">
      <c r="A377" s="4">
        <v>45530.0</v>
      </c>
      <c r="B377" s="1" t="s">
        <v>88</v>
      </c>
      <c r="C377" s="1" t="s">
        <v>89</v>
      </c>
      <c r="D377" s="1">
        <v>329.0</v>
      </c>
      <c r="E377" s="1">
        <v>0.0</v>
      </c>
      <c r="F377" s="1" t="s">
        <v>90</v>
      </c>
      <c r="G377" s="1" t="s">
        <v>91</v>
      </c>
      <c r="H377" s="1" t="s">
        <v>92</v>
      </c>
      <c r="I377" s="1" t="s">
        <v>1011</v>
      </c>
      <c r="J377" s="1" t="s">
        <v>1012</v>
      </c>
      <c r="K377" s="1" t="s">
        <v>1012</v>
      </c>
      <c r="M377" s="1">
        <v>-5.0</v>
      </c>
      <c r="O377" s="1">
        <v>9.004716666666667</v>
      </c>
    </row>
    <row r="378" ht="15.75" hidden="1" customHeight="1">
      <c r="A378" s="4">
        <v>45530.0</v>
      </c>
      <c r="B378" s="1" t="s">
        <v>107</v>
      </c>
      <c r="C378" s="1" t="s">
        <v>89</v>
      </c>
      <c r="D378" s="1">
        <v>329.0</v>
      </c>
      <c r="E378" s="1">
        <v>0.0</v>
      </c>
      <c r="F378" s="1" t="s">
        <v>1013</v>
      </c>
      <c r="G378" s="1" t="s">
        <v>91</v>
      </c>
      <c r="H378" s="1" t="s">
        <v>92</v>
      </c>
      <c r="I378" s="1" t="s">
        <v>1014</v>
      </c>
      <c r="J378" s="1" t="s">
        <v>1015</v>
      </c>
      <c r="K378" s="1" t="s">
        <v>1015</v>
      </c>
      <c r="M378" s="1">
        <v>-4.0</v>
      </c>
      <c r="O378" s="1">
        <v>10.718633333333333</v>
      </c>
    </row>
    <row r="379" ht="15.75" hidden="1" customHeight="1">
      <c r="A379" s="4">
        <v>45530.0</v>
      </c>
      <c r="B379" s="1" t="s">
        <v>88</v>
      </c>
      <c r="C379" s="1" t="s">
        <v>89</v>
      </c>
      <c r="D379" s="1">
        <v>264.0</v>
      </c>
      <c r="E379" s="1">
        <v>0.0</v>
      </c>
      <c r="F379" s="1" t="s">
        <v>90</v>
      </c>
      <c r="G379" s="1" t="s">
        <v>91</v>
      </c>
      <c r="H379" s="1" t="s">
        <v>92</v>
      </c>
      <c r="I379" s="1" t="s">
        <v>1016</v>
      </c>
      <c r="J379" s="1" t="s">
        <v>1017</v>
      </c>
      <c r="K379" s="1" t="s">
        <v>1017</v>
      </c>
      <c r="M379" s="1">
        <v>-4.0</v>
      </c>
      <c r="O379" s="1">
        <v>10.62925</v>
      </c>
    </row>
    <row r="380" ht="15.75" hidden="1" customHeight="1">
      <c r="A380" s="4">
        <v>45530.0</v>
      </c>
      <c r="B380" s="1" t="s">
        <v>95</v>
      </c>
      <c r="C380" s="1" t="s">
        <v>89</v>
      </c>
      <c r="D380" s="1">
        <v>462.0</v>
      </c>
      <c r="E380" s="1">
        <v>116.0</v>
      </c>
      <c r="G380" s="1" t="s">
        <v>119</v>
      </c>
      <c r="H380" s="1" t="s">
        <v>92</v>
      </c>
      <c r="I380" s="1" t="s">
        <v>1018</v>
      </c>
      <c r="J380" s="1" t="s">
        <v>1019</v>
      </c>
      <c r="K380" s="1" t="s">
        <v>1019</v>
      </c>
      <c r="M380" s="1">
        <v>-2.0</v>
      </c>
      <c r="O380" s="1">
        <v>17.51215</v>
      </c>
    </row>
    <row r="381" ht="15.75" hidden="1" customHeight="1">
      <c r="A381" s="4">
        <v>45530.0</v>
      </c>
      <c r="B381" s="1" t="s">
        <v>103</v>
      </c>
      <c r="C381" s="1" t="s">
        <v>89</v>
      </c>
      <c r="D381" s="1">
        <v>788.0</v>
      </c>
      <c r="E381" s="1">
        <v>0.0</v>
      </c>
      <c r="G381" s="1" t="s">
        <v>91</v>
      </c>
      <c r="H381" s="1" t="s">
        <v>92</v>
      </c>
      <c r="I381" s="1" t="s">
        <v>1020</v>
      </c>
      <c r="J381" s="1" t="s">
        <v>1021</v>
      </c>
      <c r="K381" s="1" t="s">
        <v>1021</v>
      </c>
      <c r="M381" s="1">
        <v>2.0</v>
      </c>
      <c r="O381" s="1">
        <v>12.639666666666667</v>
      </c>
    </row>
    <row r="382" ht="15.75" hidden="1" customHeight="1">
      <c r="A382" s="4">
        <v>45530.0</v>
      </c>
      <c r="B382" s="1" t="s">
        <v>228</v>
      </c>
      <c r="C382" s="1" t="s">
        <v>89</v>
      </c>
      <c r="D382" s="1">
        <v>309.0</v>
      </c>
      <c r="E382" s="1">
        <v>0.0</v>
      </c>
      <c r="G382" s="1" t="s">
        <v>119</v>
      </c>
      <c r="H382" s="1" t="s">
        <v>98</v>
      </c>
      <c r="I382" s="1" t="s">
        <v>1022</v>
      </c>
      <c r="J382" s="1" t="s">
        <v>1023</v>
      </c>
      <c r="K382" s="1" t="s">
        <v>1023</v>
      </c>
      <c r="M382" s="1">
        <v>-1.0</v>
      </c>
      <c r="O382" s="1">
        <v>3.7289166666666667</v>
      </c>
    </row>
    <row r="383" ht="15.75" hidden="1" customHeight="1">
      <c r="A383" s="4">
        <v>45530.0</v>
      </c>
      <c r="B383" s="1" t="s">
        <v>95</v>
      </c>
      <c r="C383" s="1" t="s">
        <v>89</v>
      </c>
      <c r="D383" s="1">
        <v>458.0</v>
      </c>
      <c r="E383" s="1">
        <v>114.0</v>
      </c>
      <c r="G383" s="1" t="s">
        <v>119</v>
      </c>
      <c r="H383" s="1" t="s">
        <v>213</v>
      </c>
      <c r="I383" s="1" t="s">
        <v>1024</v>
      </c>
      <c r="J383" s="1" t="s">
        <v>1025</v>
      </c>
      <c r="K383" s="1" t="s">
        <v>1025</v>
      </c>
      <c r="M383" s="1">
        <v>0.0</v>
      </c>
      <c r="O383" s="1">
        <v>28.789583333333333</v>
      </c>
    </row>
    <row r="384" ht="15.75" hidden="1" customHeight="1">
      <c r="A384" s="4">
        <v>45530.0</v>
      </c>
      <c r="B384" s="1" t="s">
        <v>107</v>
      </c>
      <c r="C384" s="1" t="s">
        <v>104</v>
      </c>
      <c r="D384" s="1">
        <v>224.0</v>
      </c>
      <c r="E384" s="1">
        <v>0.0</v>
      </c>
      <c r="F384" s="1" t="s">
        <v>341</v>
      </c>
      <c r="G384" s="1" t="s">
        <v>91</v>
      </c>
      <c r="H384" s="1" t="s">
        <v>92</v>
      </c>
      <c r="I384" s="1" t="s">
        <v>1026</v>
      </c>
      <c r="J384" s="1" t="s">
        <v>1027</v>
      </c>
      <c r="K384" s="1" t="s">
        <v>1027</v>
      </c>
      <c r="M384" s="1">
        <v>-4.0</v>
      </c>
      <c r="O384" s="1">
        <v>10.066316666666667</v>
      </c>
    </row>
    <row r="385" ht="15.75" hidden="1" customHeight="1">
      <c r="A385" s="4">
        <v>45530.0</v>
      </c>
      <c r="B385" s="1" t="s">
        <v>107</v>
      </c>
      <c r="C385" s="1" t="s">
        <v>104</v>
      </c>
      <c r="D385" s="1">
        <v>278.0</v>
      </c>
      <c r="E385" s="1">
        <v>0.0</v>
      </c>
      <c r="F385" s="1" t="s">
        <v>1028</v>
      </c>
      <c r="G385" s="1" t="s">
        <v>91</v>
      </c>
      <c r="H385" s="1" t="s">
        <v>92</v>
      </c>
      <c r="I385" s="1" t="s">
        <v>1029</v>
      </c>
      <c r="J385" s="1" t="s">
        <v>1030</v>
      </c>
      <c r="K385" s="1" t="s">
        <v>1030</v>
      </c>
      <c r="M385" s="1">
        <v>1.0</v>
      </c>
      <c r="O385" s="1">
        <v>16.106016666666665</v>
      </c>
    </row>
    <row r="386" ht="15.75" hidden="1" customHeight="1">
      <c r="A386" s="4">
        <v>45530.0</v>
      </c>
      <c r="B386" s="1" t="s">
        <v>95</v>
      </c>
      <c r="C386" s="1" t="s">
        <v>89</v>
      </c>
      <c r="D386" s="1">
        <v>555.0</v>
      </c>
      <c r="E386" s="1">
        <v>0.0</v>
      </c>
      <c r="F386" s="1" t="s">
        <v>54</v>
      </c>
      <c r="G386" s="1" t="s">
        <v>97</v>
      </c>
      <c r="H386" s="1" t="s">
        <v>92</v>
      </c>
      <c r="I386" s="1" t="s">
        <v>1031</v>
      </c>
      <c r="J386" s="1" t="s">
        <v>1032</v>
      </c>
      <c r="K386" s="1" t="s">
        <v>1033</v>
      </c>
      <c r="L386" s="1" t="s">
        <v>1034</v>
      </c>
      <c r="M386" s="1">
        <v>-4.0</v>
      </c>
      <c r="N386" s="1">
        <v>0.010783333333333334</v>
      </c>
      <c r="O386" s="1">
        <v>22.675583333333332</v>
      </c>
    </row>
    <row r="387" ht="15.75" hidden="1" customHeight="1">
      <c r="A387" s="4">
        <v>45530.0</v>
      </c>
      <c r="B387" s="1" t="s">
        <v>95</v>
      </c>
      <c r="C387" s="1" t="s">
        <v>89</v>
      </c>
      <c r="D387" s="1">
        <v>1305.0</v>
      </c>
      <c r="E387" s="1">
        <v>0.0</v>
      </c>
      <c r="F387" s="1" t="s">
        <v>90</v>
      </c>
      <c r="G387" s="1" t="s">
        <v>97</v>
      </c>
      <c r="H387" s="1" t="s">
        <v>98</v>
      </c>
      <c r="I387" s="1" t="s">
        <v>1035</v>
      </c>
      <c r="J387" s="1" t="s">
        <v>1036</v>
      </c>
      <c r="K387" s="1" t="s">
        <v>1037</v>
      </c>
      <c r="L387" s="1" t="s">
        <v>1038</v>
      </c>
      <c r="M387" s="1">
        <v>-2.0</v>
      </c>
      <c r="N387" s="1">
        <v>13.070983333333333</v>
      </c>
      <c r="O387" s="1">
        <v>18.044933333333333</v>
      </c>
    </row>
    <row r="388" ht="15.75" hidden="1" customHeight="1">
      <c r="A388" s="4">
        <v>45530.0</v>
      </c>
      <c r="B388" s="1" t="s">
        <v>88</v>
      </c>
      <c r="C388" s="1" t="s">
        <v>89</v>
      </c>
      <c r="D388" s="1">
        <v>356.0</v>
      </c>
      <c r="E388" s="1">
        <v>0.0</v>
      </c>
      <c r="F388" s="1" t="s">
        <v>90</v>
      </c>
      <c r="G388" s="1" t="s">
        <v>91</v>
      </c>
      <c r="H388" s="1" t="s">
        <v>92</v>
      </c>
      <c r="I388" s="1" t="s">
        <v>1039</v>
      </c>
      <c r="J388" s="1" t="s">
        <v>1040</v>
      </c>
      <c r="K388" s="1" t="s">
        <v>1040</v>
      </c>
      <c r="M388" s="1">
        <v>-6.0</v>
      </c>
      <c r="O388" s="1">
        <v>8.23695</v>
      </c>
    </row>
    <row r="389" ht="15.75" hidden="1" customHeight="1">
      <c r="A389" s="4">
        <v>45530.0</v>
      </c>
      <c r="B389" s="1" t="s">
        <v>88</v>
      </c>
      <c r="C389" s="1" t="s">
        <v>89</v>
      </c>
      <c r="D389" s="1">
        <v>289.0</v>
      </c>
      <c r="E389" s="1">
        <v>0.0</v>
      </c>
      <c r="F389" s="1" t="s">
        <v>90</v>
      </c>
      <c r="G389" s="1" t="s">
        <v>91</v>
      </c>
      <c r="H389" s="1" t="s">
        <v>92</v>
      </c>
      <c r="I389" s="1" t="s">
        <v>1041</v>
      </c>
      <c r="J389" s="1" t="s">
        <v>1042</v>
      </c>
      <c r="K389" s="1" t="s">
        <v>1042</v>
      </c>
      <c r="M389" s="1">
        <v>-9.0</v>
      </c>
      <c r="O389" s="1">
        <v>5.493666666666667</v>
      </c>
    </row>
    <row r="390" ht="15.75" hidden="1" customHeight="1">
      <c r="A390" s="4">
        <v>45530.0</v>
      </c>
      <c r="B390" s="1" t="s">
        <v>95</v>
      </c>
      <c r="C390" s="1" t="s">
        <v>89</v>
      </c>
      <c r="D390" s="1">
        <v>724.0</v>
      </c>
      <c r="E390" s="1">
        <v>0.0</v>
      </c>
      <c r="F390" s="1" t="s">
        <v>90</v>
      </c>
      <c r="G390" s="1" t="s">
        <v>97</v>
      </c>
      <c r="H390" s="1" t="s">
        <v>92</v>
      </c>
      <c r="I390" s="1" t="s">
        <v>1043</v>
      </c>
      <c r="J390" s="1" t="s">
        <v>1044</v>
      </c>
      <c r="K390" s="1" t="s">
        <v>1045</v>
      </c>
      <c r="L390" s="1" t="s">
        <v>1046</v>
      </c>
      <c r="M390" s="1">
        <v>-9.0</v>
      </c>
      <c r="N390" s="1">
        <v>19.96185</v>
      </c>
      <c r="O390" s="1">
        <v>23.260983333333332</v>
      </c>
    </row>
    <row r="391" ht="15.75" hidden="1" customHeight="1">
      <c r="A391" s="4">
        <v>45530.0</v>
      </c>
      <c r="B391" s="1" t="s">
        <v>95</v>
      </c>
      <c r="C391" s="1" t="s">
        <v>89</v>
      </c>
      <c r="D391" s="1">
        <v>199.0</v>
      </c>
      <c r="E391" s="1">
        <v>50.0</v>
      </c>
      <c r="G391" s="1" t="s">
        <v>119</v>
      </c>
      <c r="H391" s="1" t="s">
        <v>213</v>
      </c>
      <c r="I391" s="1" t="s">
        <v>1047</v>
      </c>
      <c r="J391" s="1" t="s">
        <v>1048</v>
      </c>
      <c r="K391" s="1" t="s">
        <v>1048</v>
      </c>
      <c r="M391" s="1">
        <v>-9.0</v>
      </c>
      <c r="O391" s="1">
        <v>111.92053333333334</v>
      </c>
    </row>
    <row r="392" ht="15.75" hidden="1" customHeight="1">
      <c r="A392" s="4">
        <v>45530.0</v>
      </c>
      <c r="B392" s="1" t="s">
        <v>95</v>
      </c>
      <c r="C392" s="1" t="s">
        <v>89</v>
      </c>
      <c r="D392" s="1">
        <v>250.0</v>
      </c>
      <c r="E392" s="1">
        <v>0.0</v>
      </c>
      <c r="F392" s="1" t="s">
        <v>54</v>
      </c>
      <c r="G392" s="1" t="s">
        <v>97</v>
      </c>
      <c r="H392" s="1" t="s">
        <v>92</v>
      </c>
      <c r="I392" s="1" t="s">
        <v>1049</v>
      </c>
      <c r="J392" s="1" t="s">
        <v>1050</v>
      </c>
      <c r="K392" s="1" t="s">
        <v>1051</v>
      </c>
      <c r="L392" s="1" t="s">
        <v>1052</v>
      </c>
      <c r="M392" s="1">
        <v>-18.0</v>
      </c>
      <c r="N392" s="1">
        <v>0.0156</v>
      </c>
      <c r="O392" s="1">
        <v>94.07465</v>
      </c>
    </row>
    <row r="393" ht="15.75" hidden="1" customHeight="1">
      <c r="A393" s="4">
        <v>45531.0</v>
      </c>
      <c r="B393" s="1" t="s">
        <v>107</v>
      </c>
      <c r="C393" s="1" t="s">
        <v>104</v>
      </c>
      <c r="D393" s="1">
        <v>329.0</v>
      </c>
      <c r="E393" s="1">
        <v>0.0</v>
      </c>
      <c r="F393" s="1" t="s">
        <v>814</v>
      </c>
      <c r="G393" s="1" t="s">
        <v>91</v>
      </c>
      <c r="H393" s="1" t="s">
        <v>92</v>
      </c>
      <c r="I393" s="1" t="s">
        <v>1053</v>
      </c>
      <c r="J393" s="1" t="s">
        <v>1054</v>
      </c>
      <c r="K393" s="1" t="s">
        <v>1054</v>
      </c>
      <c r="M393" s="1">
        <v>-8.0</v>
      </c>
      <c r="O393" s="1">
        <v>6.4455</v>
      </c>
    </row>
    <row r="394" ht="15.75" hidden="1" customHeight="1">
      <c r="A394" s="4">
        <v>45531.0</v>
      </c>
      <c r="B394" s="1" t="s">
        <v>88</v>
      </c>
      <c r="C394" s="1" t="s">
        <v>89</v>
      </c>
      <c r="D394" s="1">
        <v>469.0</v>
      </c>
      <c r="E394" s="1">
        <v>0.0</v>
      </c>
      <c r="F394" s="1" t="s">
        <v>90</v>
      </c>
      <c r="G394" s="1" t="s">
        <v>91</v>
      </c>
      <c r="H394" s="1" t="s">
        <v>92</v>
      </c>
      <c r="I394" s="1" t="s">
        <v>1055</v>
      </c>
      <c r="J394" s="1" t="s">
        <v>1056</v>
      </c>
      <c r="K394" s="1" t="s">
        <v>1056</v>
      </c>
      <c r="M394" s="1">
        <v>3.0</v>
      </c>
      <c r="O394" s="1">
        <v>18.77391666666667</v>
      </c>
    </row>
    <row r="395" ht="15.75" hidden="1" customHeight="1">
      <c r="A395" s="4">
        <v>45531.0</v>
      </c>
      <c r="B395" s="1" t="s">
        <v>88</v>
      </c>
      <c r="C395" s="1" t="s">
        <v>89</v>
      </c>
      <c r="D395" s="1">
        <v>254.0</v>
      </c>
      <c r="E395" s="1">
        <v>0.0</v>
      </c>
      <c r="F395" s="1" t="s">
        <v>90</v>
      </c>
      <c r="G395" s="1" t="s">
        <v>91</v>
      </c>
      <c r="H395" s="1" t="s">
        <v>92</v>
      </c>
      <c r="I395" s="1" t="s">
        <v>1057</v>
      </c>
      <c r="J395" s="1" t="s">
        <v>1058</v>
      </c>
      <c r="K395" s="1" t="s">
        <v>1058</v>
      </c>
      <c r="M395" s="1">
        <v>-9.0</v>
      </c>
      <c r="O395" s="1">
        <v>5.125116666666667</v>
      </c>
    </row>
    <row r="396" ht="15.75" hidden="1" customHeight="1">
      <c r="A396" s="4">
        <v>45531.0</v>
      </c>
      <c r="B396" s="1" t="s">
        <v>103</v>
      </c>
      <c r="C396" s="1" t="s">
        <v>104</v>
      </c>
      <c r="D396" s="1">
        <v>443.0</v>
      </c>
      <c r="E396" s="1">
        <v>150.0</v>
      </c>
      <c r="G396" s="1" t="s">
        <v>91</v>
      </c>
      <c r="H396" s="1" t="s">
        <v>92</v>
      </c>
      <c r="I396" s="1" t="s">
        <v>1059</v>
      </c>
      <c r="J396" s="1" t="s">
        <v>1060</v>
      </c>
      <c r="K396" s="1" t="s">
        <v>1060</v>
      </c>
      <c r="M396" s="1">
        <v>3.0</v>
      </c>
      <c r="O396" s="1">
        <v>12.730616666666666</v>
      </c>
    </row>
    <row r="397" ht="15.75" hidden="1" customHeight="1">
      <c r="A397" s="4">
        <v>45531.0</v>
      </c>
      <c r="B397" s="1" t="s">
        <v>103</v>
      </c>
      <c r="C397" s="1" t="s">
        <v>104</v>
      </c>
      <c r="D397" s="1">
        <v>379.0</v>
      </c>
      <c r="E397" s="1">
        <v>0.0</v>
      </c>
      <c r="G397" s="1" t="s">
        <v>91</v>
      </c>
      <c r="H397" s="1" t="s">
        <v>92</v>
      </c>
      <c r="I397" s="1" t="s">
        <v>1061</v>
      </c>
      <c r="J397" s="1" t="s">
        <v>1062</v>
      </c>
      <c r="K397" s="1" t="s">
        <v>1062</v>
      </c>
      <c r="M397" s="1">
        <v>1.0</v>
      </c>
      <c r="O397" s="1">
        <v>8.420816666666667</v>
      </c>
    </row>
    <row r="398" ht="15.75" hidden="1" customHeight="1">
      <c r="A398" s="4">
        <v>45531.0</v>
      </c>
      <c r="B398" s="1" t="s">
        <v>103</v>
      </c>
      <c r="C398" s="1" t="s">
        <v>104</v>
      </c>
      <c r="D398" s="1">
        <v>214.0</v>
      </c>
      <c r="E398" s="1">
        <v>50.0</v>
      </c>
      <c r="G398" s="1" t="s">
        <v>91</v>
      </c>
      <c r="H398" s="1" t="s">
        <v>92</v>
      </c>
      <c r="I398" s="1" t="s">
        <v>1063</v>
      </c>
      <c r="J398" s="1" t="s">
        <v>1064</v>
      </c>
      <c r="K398" s="1" t="s">
        <v>1064</v>
      </c>
      <c r="M398" s="1">
        <v>1.0</v>
      </c>
      <c r="O398" s="1">
        <v>7.8380833333333335</v>
      </c>
    </row>
    <row r="399" ht="15.75" hidden="1" customHeight="1">
      <c r="A399" s="4">
        <v>45531.0</v>
      </c>
      <c r="B399" s="1" t="s">
        <v>88</v>
      </c>
      <c r="C399" s="1" t="s">
        <v>89</v>
      </c>
      <c r="D399" s="1">
        <v>499.0</v>
      </c>
      <c r="E399" s="1">
        <v>0.0</v>
      </c>
      <c r="F399" s="1" t="s">
        <v>90</v>
      </c>
      <c r="G399" s="1" t="s">
        <v>91</v>
      </c>
      <c r="H399" s="1" t="s">
        <v>92</v>
      </c>
      <c r="I399" s="1" t="s">
        <v>1065</v>
      </c>
      <c r="J399" s="1" t="s">
        <v>1066</v>
      </c>
      <c r="K399" s="1" t="s">
        <v>1066</v>
      </c>
      <c r="M399" s="1">
        <v>-7.0</v>
      </c>
      <c r="O399" s="1">
        <v>7.7122</v>
      </c>
    </row>
    <row r="400" ht="15.75" hidden="1" customHeight="1">
      <c r="A400" s="4">
        <v>45531.0</v>
      </c>
      <c r="B400" s="1" t="s">
        <v>228</v>
      </c>
      <c r="C400" s="1" t="s">
        <v>104</v>
      </c>
      <c r="D400" s="1">
        <v>49.0</v>
      </c>
      <c r="E400" s="1">
        <v>0.0</v>
      </c>
      <c r="G400" s="1" t="s">
        <v>119</v>
      </c>
      <c r="H400" s="1" t="s">
        <v>98</v>
      </c>
      <c r="I400" s="1" t="s">
        <v>1067</v>
      </c>
      <c r="J400" s="1" t="s">
        <v>1068</v>
      </c>
      <c r="K400" s="1" t="s">
        <v>1068</v>
      </c>
      <c r="M400" s="1">
        <v>8.0</v>
      </c>
      <c r="O400" s="1">
        <v>13.639183333333333</v>
      </c>
    </row>
    <row r="401" ht="15.75" hidden="1" customHeight="1">
      <c r="A401" s="4">
        <v>45531.0</v>
      </c>
      <c r="B401" s="1" t="s">
        <v>103</v>
      </c>
      <c r="C401" s="1" t="s">
        <v>104</v>
      </c>
      <c r="D401" s="1">
        <v>313.0</v>
      </c>
      <c r="E401" s="1">
        <v>0.0</v>
      </c>
      <c r="G401" s="1" t="s">
        <v>91</v>
      </c>
      <c r="H401" s="1" t="s">
        <v>92</v>
      </c>
      <c r="I401" s="1" t="s">
        <v>1069</v>
      </c>
      <c r="J401" s="1" t="s">
        <v>1070</v>
      </c>
      <c r="K401" s="1" t="s">
        <v>1070</v>
      </c>
      <c r="M401" s="1">
        <v>0.0</v>
      </c>
      <c r="O401" s="1">
        <v>6.4542</v>
      </c>
    </row>
    <row r="402" ht="15.75" hidden="1" customHeight="1">
      <c r="A402" s="4">
        <v>45531.0</v>
      </c>
      <c r="B402" s="1" t="s">
        <v>107</v>
      </c>
      <c r="C402" s="1" t="s">
        <v>104</v>
      </c>
      <c r="D402" s="1">
        <v>394.0</v>
      </c>
      <c r="E402" s="1">
        <v>0.0</v>
      </c>
      <c r="F402" s="1" t="s">
        <v>1013</v>
      </c>
      <c r="G402" s="1" t="s">
        <v>91</v>
      </c>
      <c r="H402" s="1" t="s">
        <v>92</v>
      </c>
      <c r="I402" s="1" t="s">
        <v>1071</v>
      </c>
      <c r="J402" s="1" t="s">
        <v>1072</v>
      </c>
      <c r="K402" s="1" t="s">
        <v>1072</v>
      </c>
      <c r="M402" s="1">
        <v>-6.0</v>
      </c>
      <c r="O402" s="1">
        <v>8.470816666666666</v>
      </c>
    </row>
    <row r="403" ht="15.75" hidden="1" customHeight="1">
      <c r="A403" s="4">
        <v>45531.0</v>
      </c>
      <c r="B403" s="1" t="s">
        <v>95</v>
      </c>
      <c r="C403" s="1" t="s">
        <v>89</v>
      </c>
      <c r="D403" s="1">
        <v>274.0</v>
      </c>
      <c r="E403" s="1">
        <v>0.0</v>
      </c>
      <c r="F403" s="1" t="s">
        <v>1073</v>
      </c>
      <c r="G403" s="1" t="s">
        <v>97</v>
      </c>
      <c r="H403" s="1" t="s">
        <v>92</v>
      </c>
      <c r="I403" s="1" t="s">
        <v>1074</v>
      </c>
      <c r="J403" s="1" t="s">
        <v>1075</v>
      </c>
      <c r="K403" s="1" t="s">
        <v>1076</v>
      </c>
      <c r="L403" s="1" t="s">
        <v>1077</v>
      </c>
      <c r="M403" s="1">
        <v>-9.0</v>
      </c>
      <c r="N403" s="1">
        <v>0.00955</v>
      </c>
      <c r="O403" s="1">
        <v>8.231466666666666</v>
      </c>
    </row>
    <row r="404" ht="15.75" hidden="1" customHeight="1">
      <c r="A404" s="4">
        <v>45531.0</v>
      </c>
      <c r="B404" s="1" t="s">
        <v>103</v>
      </c>
      <c r="C404" s="1" t="s">
        <v>104</v>
      </c>
      <c r="D404" s="1">
        <v>464.0</v>
      </c>
      <c r="E404" s="1">
        <v>0.0</v>
      </c>
      <c r="G404" s="1" t="s">
        <v>91</v>
      </c>
      <c r="H404" s="1" t="s">
        <v>92</v>
      </c>
      <c r="I404" s="1" t="s">
        <v>1078</v>
      </c>
      <c r="J404" s="1" t="s">
        <v>1079</v>
      </c>
      <c r="K404" s="1" t="s">
        <v>1079</v>
      </c>
      <c r="M404" s="1">
        <v>3.0</v>
      </c>
      <c r="O404" s="1">
        <v>11.530083333333334</v>
      </c>
    </row>
    <row r="405" ht="15.75" hidden="1" customHeight="1">
      <c r="A405" s="4">
        <v>45531.0</v>
      </c>
      <c r="B405" s="1" t="s">
        <v>88</v>
      </c>
      <c r="C405" s="1" t="s">
        <v>89</v>
      </c>
      <c r="D405" s="1">
        <v>321.0</v>
      </c>
      <c r="E405" s="1">
        <v>0.0</v>
      </c>
      <c r="F405" s="1" t="s">
        <v>90</v>
      </c>
      <c r="G405" s="1" t="s">
        <v>91</v>
      </c>
      <c r="H405" s="1" t="s">
        <v>92</v>
      </c>
      <c r="I405" s="1" t="s">
        <v>1080</v>
      </c>
      <c r="J405" s="1" t="s">
        <v>1081</v>
      </c>
      <c r="K405" s="1" t="s">
        <v>1081</v>
      </c>
      <c r="M405" s="1">
        <v>-7.0</v>
      </c>
      <c r="O405" s="1">
        <v>7.994783333333333</v>
      </c>
    </row>
    <row r="406" ht="15.75" hidden="1" customHeight="1">
      <c r="A406" s="4">
        <v>45531.0</v>
      </c>
      <c r="B406" s="1" t="s">
        <v>103</v>
      </c>
      <c r="C406" s="1" t="s">
        <v>104</v>
      </c>
      <c r="D406" s="1">
        <v>963.0</v>
      </c>
      <c r="E406" s="1">
        <v>0.0</v>
      </c>
      <c r="G406" s="1" t="s">
        <v>91</v>
      </c>
      <c r="H406" s="1" t="s">
        <v>92</v>
      </c>
      <c r="I406" s="1" t="s">
        <v>1082</v>
      </c>
      <c r="J406" s="1" t="s">
        <v>1083</v>
      </c>
      <c r="K406" s="1" t="s">
        <v>1083</v>
      </c>
      <c r="M406" s="1">
        <v>5.0</v>
      </c>
      <c r="O406" s="1">
        <v>15.626766666666667</v>
      </c>
    </row>
    <row r="407" ht="15.75" hidden="1" customHeight="1">
      <c r="A407" s="4">
        <v>45531.0</v>
      </c>
      <c r="B407" s="1" t="s">
        <v>88</v>
      </c>
      <c r="C407" s="1" t="s">
        <v>89</v>
      </c>
      <c r="D407" s="1">
        <v>299.0</v>
      </c>
      <c r="E407" s="1">
        <v>0.0</v>
      </c>
      <c r="F407" s="1" t="s">
        <v>90</v>
      </c>
      <c r="G407" s="1" t="s">
        <v>91</v>
      </c>
      <c r="H407" s="1" t="s">
        <v>92</v>
      </c>
      <c r="I407" s="1" t="s">
        <v>1084</v>
      </c>
      <c r="J407" s="1" t="s">
        <v>1085</v>
      </c>
      <c r="K407" s="1" t="s">
        <v>1085</v>
      </c>
      <c r="M407" s="1">
        <v>-8.0</v>
      </c>
      <c r="O407" s="1">
        <v>11.379683333333332</v>
      </c>
    </row>
    <row r="408" ht="15.75" hidden="1" customHeight="1">
      <c r="A408" s="4">
        <v>45531.0</v>
      </c>
      <c r="B408" s="1" t="s">
        <v>88</v>
      </c>
      <c r="C408" s="1" t="s">
        <v>89</v>
      </c>
      <c r="D408" s="1">
        <v>362.0</v>
      </c>
      <c r="E408" s="1">
        <v>0.0</v>
      </c>
      <c r="F408" s="1" t="s">
        <v>90</v>
      </c>
      <c r="G408" s="1" t="s">
        <v>91</v>
      </c>
      <c r="H408" s="1" t="s">
        <v>92</v>
      </c>
      <c r="I408" s="1" t="s">
        <v>1086</v>
      </c>
      <c r="J408" s="1" t="s">
        <v>1087</v>
      </c>
      <c r="K408" s="1" t="s">
        <v>1087</v>
      </c>
      <c r="M408" s="1">
        <v>-8.0</v>
      </c>
      <c r="O408" s="1">
        <v>6.843516666666667</v>
      </c>
    </row>
    <row r="409" ht="15.75" hidden="1" customHeight="1">
      <c r="A409" s="4">
        <v>45531.0</v>
      </c>
      <c r="B409" s="1" t="s">
        <v>95</v>
      </c>
      <c r="C409" s="1" t="s">
        <v>89</v>
      </c>
      <c r="D409" s="1">
        <v>338.0</v>
      </c>
      <c r="E409" s="1">
        <v>0.0</v>
      </c>
      <c r="F409" s="1" t="s">
        <v>1073</v>
      </c>
      <c r="G409" s="1" t="s">
        <v>97</v>
      </c>
      <c r="H409" s="1" t="s">
        <v>92</v>
      </c>
      <c r="I409" s="1" t="s">
        <v>1088</v>
      </c>
      <c r="J409" s="1" t="s">
        <v>1089</v>
      </c>
      <c r="K409" s="1" t="s">
        <v>1090</v>
      </c>
      <c r="L409" s="1" t="s">
        <v>1091</v>
      </c>
      <c r="M409" s="1">
        <v>-11.0</v>
      </c>
      <c r="N409" s="1">
        <v>0.0133</v>
      </c>
      <c r="O409" s="1">
        <v>8.07355</v>
      </c>
    </row>
    <row r="410" ht="15.75" hidden="1" customHeight="1">
      <c r="A410" s="4">
        <v>45531.0</v>
      </c>
      <c r="B410" s="1" t="s">
        <v>95</v>
      </c>
      <c r="C410" s="1" t="s">
        <v>104</v>
      </c>
      <c r="D410" s="1">
        <v>756.0</v>
      </c>
      <c r="E410" s="1">
        <v>145.0</v>
      </c>
      <c r="G410" s="1" t="s">
        <v>119</v>
      </c>
      <c r="H410" s="1" t="s">
        <v>213</v>
      </c>
      <c r="I410" s="1" t="s">
        <v>1092</v>
      </c>
      <c r="J410" s="1" t="s">
        <v>1093</v>
      </c>
      <c r="K410" s="1" t="s">
        <v>1093</v>
      </c>
      <c r="M410" s="1">
        <v>-5.0</v>
      </c>
      <c r="O410" s="1">
        <v>19.670816666666667</v>
      </c>
    </row>
    <row r="411" ht="15.75" hidden="1" customHeight="1">
      <c r="A411" s="4">
        <v>45531.0</v>
      </c>
      <c r="B411" s="1" t="s">
        <v>95</v>
      </c>
      <c r="C411" s="1" t="s">
        <v>104</v>
      </c>
      <c r="D411" s="1">
        <v>1236.0</v>
      </c>
      <c r="E411" s="1">
        <v>309.0</v>
      </c>
      <c r="G411" s="1" t="s">
        <v>119</v>
      </c>
      <c r="H411" s="1" t="s">
        <v>98</v>
      </c>
      <c r="I411" s="1" t="s">
        <v>1094</v>
      </c>
      <c r="J411" s="1" t="s">
        <v>1095</v>
      </c>
      <c r="K411" s="1" t="s">
        <v>1095</v>
      </c>
      <c r="M411" s="1">
        <v>-9.0</v>
      </c>
      <c r="O411" s="1">
        <v>15.7326</v>
      </c>
    </row>
    <row r="412" ht="15.75" hidden="1" customHeight="1">
      <c r="A412" s="4">
        <v>45531.0</v>
      </c>
      <c r="B412" s="1" t="s">
        <v>103</v>
      </c>
      <c r="C412" s="1" t="s">
        <v>104</v>
      </c>
      <c r="D412" s="1">
        <v>378.0</v>
      </c>
      <c r="E412" s="1">
        <v>0.0</v>
      </c>
      <c r="G412" s="1" t="s">
        <v>91</v>
      </c>
      <c r="H412" s="1" t="s">
        <v>92</v>
      </c>
      <c r="I412" s="1" t="s">
        <v>1096</v>
      </c>
      <c r="J412" s="1" t="s">
        <v>1097</v>
      </c>
      <c r="K412" s="1" t="s">
        <v>1097</v>
      </c>
      <c r="M412" s="1">
        <v>2.0</v>
      </c>
      <c r="O412" s="1">
        <v>10.27485</v>
      </c>
    </row>
    <row r="413" ht="15.75" hidden="1" customHeight="1">
      <c r="A413" s="4">
        <v>45531.0</v>
      </c>
      <c r="B413" s="1" t="s">
        <v>95</v>
      </c>
      <c r="C413" s="1" t="s">
        <v>89</v>
      </c>
      <c r="D413" s="1">
        <v>424.0</v>
      </c>
      <c r="E413" s="1">
        <v>0.0</v>
      </c>
      <c r="F413" s="1" t="s">
        <v>1073</v>
      </c>
      <c r="G413" s="1" t="s">
        <v>97</v>
      </c>
      <c r="H413" s="1" t="s">
        <v>92</v>
      </c>
      <c r="I413" s="1" t="s">
        <v>1098</v>
      </c>
      <c r="J413" s="1" t="s">
        <v>1099</v>
      </c>
      <c r="K413" s="1" t="s">
        <v>1100</v>
      </c>
      <c r="L413" s="1" t="s">
        <v>1101</v>
      </c>
      <c r="M413" s="1">
        <v>-7.0</v>
      </c>
      <c r="N413" s="1">
        <v>0.0103</v>
      </c>
      <c r="O413" s="1">
        <v>11.02015</v>
      </c>
    </row>
    <row r="414" ht="15.75" hidden="1" customHeight="1">
      <c r="A414" s="4">
        <v>45531.0</v>
      </c>
      <c r="B414" s="1" t="s">
        <v>228</v>
      </c>
      <c r="C414" s="1" t="s">
        <v>104</v>
      </c>
      <c r="D414" s="1">
        <v>309.0</v>
      </c>
      <c r="E414" s="1">
        <v>0.0</v>
      </c>
      <c r="G414" s="1" t="s">
        <v>119</v>
      </c>
      <c r="H414" s="1" t="s">
        <v>98</v>
      </c>
      <c r="I414" s="1" t="s">
        <v>1102</v>
      </c>
      <c r="J414" s="1" t="s">
        <v>1103</v>
      </c>
      <c r="K414" s="1" t="s">
        <v>1103</v>
      </c>
      <c r="M414" s="1">
        <v>2.0</v>
      </c>
      <c r="O414" s="1">
        <v>7.119766666666667</v>
      </c>
    </row>
    <row r="415" ht="15.75" hidden="1" customHeight="1">
      <c r="A415" s="4">
        <v>45531.0</v>
      </c>
      <c r="B415" s="1" t="s">
        <v>103</v>
      </c>
      <c r="C415" s="1" t="s">
        <v>104</v>
      </c>
      <c r="D415" s="1">
        <v>488.0</v>
      </c>
      <c r="E415" s="1">
        <v>0.0</v>
      </c>
      <c r="G415" s="1" t="s">
        <v>91</v>
      </c>
      <c r="H415" s="1" t="s">
        <v>92</v>
      </c>
      <c r="I415" s="1" t="s">
        <v>1104</v>
      </c>
      <c r="J415" s="1" t="s">
        <v>1105</v>
      </c>
      <c r="K415" s="1" t="s">
        <v>1105</v>
      </c>
      <c r="M415" s="1">
        <v>8.0</v>
      </c>
      <c r="O415" s="1">
        <v>16.502983333333333</v>
      </c>
    </row>
    <row r="416" ht="15.75" hidden="1" customHeight="1">
      <c r="A416" s="4">
        <v>45531.0</v>
      </c>
      <c r="B416" s="1" t="s">
        <v>103</v>
      </c>
      <c r="C416" s="1" t="s">
        <v>104</v>
      </c>
      <c r="D416" s="1">
        <v>728.0</v>
      </c>
      <c r="E416" s="1">
        <v>0.0</v>
      </c>
      <c r="G416" s="1" t="s">
        <v>91</v>
      </c>
      <c r="H416" s="1" t="s">
        <v>98</v>
      </c>
      <c r="I416" s="1" t="s">
        <v>1106</v>
      </c>
      <c r="J416" s="1" t="s">
        <v>1107</v>
      </c>
      <c r="K416" s="1" t="s">
        <v>1107</v>
      </c>
      <c r="M416" s="1">
        <v>8.0</v>
      </c>
      <c r="O416" s="1">
        <v>17.731583333333333</v>
      </c>
    </row>
    <row r="417" ht="15.75" hidden="1" customHeight="1">
      <c r="A417" s="4">
        <v>45531.0</v>
      </c>
      <c r="B417" s="1" t="s">
        <v>107</v>
      </c>
      <c r="C417" s="1" t="s">
        <v>104</v>
      </c>
      <c r="D417" s="1">
        <v>443.0</v>
      </c>
      <c r="E417" s="1">
        <v>0.0</v>
      </c>
      <c r="F417" s="1" t="s">
        <v>162</v>
      </c>
      <c r="G417" s="1" t="s">
        <v>91</v>
      </c>
      <c r="H417" s="1" t="s">
        <v>92</v>
      </c>
      <c r="I417" s="1" t="s">
        <v>1108</v>
      </c>
      <c r="J417" s="1" t="s">
        <v>1109</v>
      </c>
      <c r="K417" s="1" t="s">
        <v>1109</v>
      </c>
      <c r="M417" s="1">
        <v>1.0</v>
      </c>
      <c r="O417" s="1">
        <v>16.386133333333333</v>
      </c>
    </row>
    <row r="418" ht="15.75" hidden="1" customHeight="1">
      <c r="A418" s="4">
        <v>45531.0</v>
      </c>
      <c r="B418" s="1" t="s">
        <v>88</v>
      </c>
      <c r="C418" s="1" t="s">
        <v>89</v>
      </c>
      <c r="D418" s="1">
        <v>822.0</v>
      </c>
      <c r="E418" s="1">
        <v>0.0</v>
      </c>
      <c r="F418" s="1" t="s">
        <v>90</v>
      </c>
      <c r="G418" s="1" t="s">
        <v>91</v>
      </c>
      <c r="H418" s="1" t="s">
        <v>92</v>
      </c>
      <c r="I418" s="1" t="s">
        <v>1110</v>
      </c>
      <c r="J418" s="1" t="s">
        <v>1111</v>
      </c>
      <c r="K418" s="1" t="s">
        <v>1111</v>
      </c>
      <c r="M418" s="1">
        <v>1.0</v>
      </c>
      <c r="O418" s="1">
        <v>21.108866666666668</v>
      </c>
    </row>
    <row r="419" ht="15.75" hidden="1" customHeight="1">
      <c r="A419" s="4">
        <v>45531.0</v>
      </c>
      <c r="B419" s="1" t="s">
        <v>228</v>
      </c>
      <c r="C419" s="1" t="s">
        <v>104</v>
      </c>
      <c r="D419" s="1">
        <v>249.0</v>
      </c>
      <c r="E419" s="1">
        <v>0.0</v>
      </c>
      <c r="G419" s="1" t="s">
        <v>119</v>
      </c>
      <c r="H419" s="1" t="s">
        <v>98</v>
      </c>
      <c r="I419" s="1" t="s">
        <v>1112</v>
      </c>
      <c r="J419" s="1" t="s">
        <v>1113</v>
      </c>
      <c r="K419" s="1" t="s">
        <v>1113</v>
      </c>
      <c r="M419" s="1">
        <v>6.0</v>
      </c>
      <c r="O419" s="1">
        <v>11.434366666666667</v>
      </c>
    </row>
    <row r="420" ht="15.75" hidden="1" customHeight="1">
      <c r="A420" s="4">
        <v>45531.0</v>
      </c>
      <c r="B420" s="1" t="s">
        <v>88</v>
      </c>
      <c r="C420" s="1" t="s">
        <v>89</v>
      </c>
      <c r="D420" s="1">
        <v>658.0</v>
      </c>
      <c r="E420" s="1">
        <v>0.0</v>
      </c>
      <c r="F420" s="1" t="s">
        <v>90</v>
      </c>
      <c r="G420" s="1" t="s">
        <v>91</v>
      </c>
      <c r="H420" s="1" t="s">
        <v>92</v>
      </c>
      <c r="I420" s="1" t="s">
        <v>1114</v>
      </c>
      <c r="J420" s="1" t="s">
        <v>1115</v>
      </c>
      <c r="K420" s="1" t="s">
        <v>1115</v>
      </c>
      <c r="M420" s="1">
        <v>-54.0</v>
      </c>
      <c r="O420" s="1">
        <v>24.68315</v>
      </c>
    </row>
    <row r="421" ht="15.75" hidden="1" customHeight="1">
      <c r="A421" s="4">
        <v>45531.0</v>
      </c>
      <c r="B421" s="1" t="s">
        <v>103</v>
      </c>
      <c r="C421" s="1" t="s">
        <v>104</v>
      </c>
      <c r="D421" s="1">
        <v>430.0</v>
      </c>
      <c r="E421" s="1">
        <v>0.0</v>
      </c>
      <c r="G421" s="1" t="s">
        <v>91</v>
      </c>
      <c r="H421" s="1" t="s">
        <v>98</v>
      </c>
      <c r="I421" s="1" t="s">
        <v>1116</v>
      </c>
      <c r="J421" s="1" t="s">
        <v>1117</v>
      </c>
      <c r="K421" s="1" t="s">
        <v>1117</v>
      </c>
      <c r="M421" s="1">
        <v>0.0</v>
      </c>
      <c r="O421" s="1">
        <v>8.47</v>
      </c>
    </row>
    <row r="422" ht="15.75" hidden="1" customHeight="1">
      <c r="A422" s="4">
        <v>45531.0</v>
      </c>
      <c r="B422" s="1" t="s">
        <v>103</v>
      </c>
      <c r="C422" s="1" t="s">
        <v>104</v>
      </c>
      <c r="D422" s="1">
        <v>329.0</v>
      </c>
      <c r="E422" s="1">
        <v>0.0</v>
      </c>
      <c r="G422" s="1" t="s">
        <v>91</v>
      </c>
      <c r="H422" s="1" t="s">
        <v>92</v>
      </c>
      <c r="I422" s="1" t="s">
        <v>1118</v>
      </c>
      <c r="J422" s="1" t="s">
        <v>1119</v>
      </c>
      <c r="K422" s="1" t="s">
        <v>1119</v>
      </c>
      <c r="M422" s="1">
        <v>2.0</v>
      </c>
      <c r="O422" s="1">
        <v>9.6159</v>
      </c>
    </row>
    <row r="423" ht="15.75" hidden="1" customHeight="1">
      <c r="A423" s="4">
        <v>45531.0</v>
      </c>
      <c r="B423" s="1" t="s">
        <v>107</v>
      </c>
      <c r="C423" s="1" t="s">
        <v>104</v>
      </c>
      <c r="D423" s="1">
        <v>364.0</v>
      </c>
      <c r="E423" s="1">
        <v>0.0</v>
      </c>
      <c r="F423" s="1" t="s">
        <v>702</v>
      </c>
      <c r="G423" s="1" t="s">
        <v>91</v>
      </c>
      <c r="H423" s="1" t="s">
        <v>92</v>
      </c>
      <c r="I423" s="1" t="s">
        <v>1120</v>
      </c>
      <c r="J423" s="1" t="s">
        <v>1121</v>
      </c>
      <c r="K423" s="1" t="s">
        <v>1121</v>
      </c>
      <c r="M423" s="1">
        <v>-8.0</v>
      </c>
      <c r="O423" s="1">
        <v>6.677616666666666</v>
      </c>
    </row>
    <row r="424" ht="15.75" hidden="1" customHeight="1">
      <c r="A424" s="4">
        <v>45531.0</v>
      </c>
      <c r="B424" s="1" t="s">
        <v>95</v>
      </c>
      <c r="C424" s="1" t="s">
        <v>89</v>
      </c>
      <c r="D424" s="1">
        <v>690.0</v>
      </c>
      <c r="E424" s="1">
        <v>0.0</v>
      </c>
      <c r="F424" s="1" t="s">
        <v>1073</v>
      </c>
      <c r="G424" s="1" t="s">
        <v>97</v>
      </c>
      <c r="H424" s="1" t="s">
        <v>92</v>
      </c>
      <c r="I424" s="1" t="s">
        <v>1122</v>
      </c>
      <c r="J424" s="1" t="s">
        <v>1123</v>
      </c>
      <c r="K424" s="1" t="s">
        <v>1124</v>
      </c>
      <c r="L424" s="1" t="s">
        <v>1125</v>
      </c>
      <c r="M424" s="1">
        <v>-2.0</v>
      </c>
      <c r="N424" s="1">
        <v>0.0165</v>
      </c>
      <c r="O424" s="1">
        <v>20.628283333333332</v>
      </c>
    </row>
    <row r="425" ht="15.75" hidden="1" customHeight="1">
      <c r="A425" s="4">
        <v>45531.0</v>
      </c>
      <c r="B425" s="1" t="s">
        <v>95</v>
      </c>
      <c r="C425" s="1" t="s">
        <v>104</v>
      </c>
      <c r="D425" s="1">
        <v>265.0</v>
      </c>
      <c r="E425" s="1">
        <v>61.0</v>
      </c>
      <c r="G425" s="1" t="s">
        <v>119</v>
      </c>
      <c r="H425" s="1" t="s">
        <v>213</v>
      </c>
      <c r="I425" s="1" t="s">
        <v>1126</v>
      </c>
      <c r="J425" s="1" t="s">
        <v>1127</v>
      </c>
      <c r="K425" s="1" t="s">
        <v>1127</v>
      </c>
      <c r="M425" s="1">
        <v>-8.0</v>
      </c>
      <c r="O425" s="1">
        <v>11.66165</v>
      </c>
    </row>
    <row r="426" ht="15.75" hidden="1" customHeight="1">
      <c r="A426" s="4">
        <v>45531.0</v>
      </c>
      <c r="B426" s="1" t="s">
        <v>88</v>
      </c>
      <c r="C426" s="1" t="s">
        <v>89</v>
      </c>
      <c r="D426" s="1">
        <v>394.0</v>
      </c>
      <c r="E426" s="1">
        <v>0.0</v>
      </c>
      <c r="F426" s="1" t="s">
        <v>90</v>
      </c>
      <c r="G426" s="1" t="s">
        <v>91</v>
      </c>
      <c r="H426" s="1" t="s">
        <v>92</v>
      </c>
      <c r="I426" s="1" t="s">
        <v>1128</v>
      </c>
      <c r="J426" s="1" t="s">
        <v>1129</v>
      </c>
      <c r="K426" s="1" t="s">
        <v>1129</v>
      </c>
      <c r="M426" s="1">
        <v>-4.0</v>
      </c>
      <c r="O426" s="1">
        <v>10.784283333333333</v>
      </c>
    </row>
    <row r="427" ht="15.75" hidden="1" customHeight="1">
      <c r="A427" s="4">
        <v>45531.0</v>
      </c>
      <c r="B427" s="1" t="s">
        <v>95</v>
      </c>
      <c r="C427" s="1" t="s">
        <v>89</v>
      </c>
      <c r="D427" s="1">
        <v>548.0</v>
      </c>
      <c r="E427" s="1">
        <v>89.0</v>
      </c>
      <c r="F427" s="1" t="s">
        <v>1073</v>
      </c>
      <c r="G427" s="1" t="s">
        <v>97</v>
      </c>
      <c r="H427" s="1" t="s">
        <v>92</v>
      </c>
      <c r="I427" s="1" t="s">
        <v>1130</v>
      </c>
      <c r="J427" s="1" t="s">
        <v>1131</v>
      </c>
      <c r="K427" s="1" t="s">
        <v>1132</v>
      </c>
      <c r="L427" s="1" t="s">
        <v>1133</v>
      </c>
      <c r="M427" s="1">
        <v>0.0</v>
      </c>
      <c r="N427" s="1">
        <v>0.011083333333333334</v>
      </c>
      <c r="O427" s="1">
        <v>26.038733333333333</v>
      </c>
    </row>
    <row r="428" ht="15.75" hidden="1" customHeight="1">
      <c r="A428" s="4">
        <v>45531.0</v>
      </c>
      <c r="B428" s="1" t="s">
        <v>95</v>
      </c>
      <c r="C428" s="1" t="s">
        <v>104</v>
      </c>
      <c r="D428" s="1">
        <v>299.0</v>
      </c>
      <c r="E428" s="1">
        <v>75.0</v>
      </c>
      <c r="G428" s="1" t="s">
        <v>119</v>
      </c>
      <c r="H428" s="1" t="s">
        <v>213</v>
      </c>
      <c r="I428" s="1" t="s">
        <v>1134</v>
      </c>
      <c r="J428" s="1" t="s">
        <v>1135</v>
      </c>
      <c r="K428" s="1" t="s">
        <v>1135</v>
      </c>
      <c r="M428" s="1">
        <v>-11.0</v>
      </c>
      <c r="O428" s="1">
        <v>9.519983333333334</v>
      </c>
    </row>
    <row r="429" ht="15.75" hidden="1" customHeight="1">
      <c r="A429" s="4">
        <v>45531.0</v>
      </c>
      <c r="B429" s="1" t="s">
        <v>95</v>
      </c>
      <c r="C429" s="1" t="s">
        <v>104</v>
      </c>
      <c r="D429" s="1">
        <v>247.0</v>
      </c>
      <c r="E429" s="1">
        <v>62.0</v>
      </c>
      <c r="G429" s="1" t="s">
        <v>119</v>
      </c>
      <c r="H429" s="1" t="s">
        <v>92</v>
      </c>
      <c r="I429" s="1" t="s">
        <v>1136</v>
      </c>
      <c r="J429" s="1" t="s">
        <v>1137</v>
      </c>
      <c r="K429" s="1" t="s">
        <v>1137</v>
      </c>
      <c r="M429" s="1">
        <v>-6.0</v>
      </c>
      <c r="O429" s="1">
        <v>33.03711666666667</v>
      </c>
    </row>
    <row r="430" ht="15.75" hidden="1" customHeight="1">
      <c r="A430" s="4">
        <v>45531.0</v>
      </c>
      <c r="B430" s="1" t="s">
        <v>88</v>
      </c>
      <c r="C430" s="1" t="s">
        <v>89</v>
      </c>
      <c r="D430" s="1">
        <v>329.0</v>
      </c>
      <c r="E430" s="1">
        <v>0.0</v>
      </c>
      <c r="F430" s="1" t="s">
        <v>90</v>
      </c>
      <c r="G430" s="1" t="s">
        <v>91</v>
      </c>
      <c r="H430" s="1" t="s">
        <v>92</v>
      </c>
      <c r="I430" s="1" t="s">
        <v>1138</v>
      </c>
      <c r="J430" s="1" t="s">
        <v>1139</v>
      </c>
      <c r="K430" s="1" t="s">
        <v>1139</v>
      </c>
      <c r="M430" s="1">
        <v>-6.0</v>
      </c>
      <c r="O430" s="1">
        <v>8.93215</v>
      </c>
    </row>
    <row r="431" ht="15.75" hidden="1" customHeight="1">
      <c r="A431" s="4">
        <v>45531.0</v>
      </c>
      <c r="B431" s="1" t="s">
        <v>95</v>
      </c>
      <c r="C431" s="1" t="s">
        <v>104</v>
      </c>
      <c r="D431" s="1">
        <v>236.0</v>
      </c>
      <c r="E431" s="1">
        <v>73.0</v>
      </c>
      <c r="G431" s="1" t="s">
        <v>119</v>
      </c>
      <c r="H431" s="1" t="s">
        <v>213</v>
      </c>
      <c r="I431" s="1" t="s">
        <v>1140</v>
      </c>
      <c r="J431" s="1" t="s">
        <v>1141</v>
      </c>
      <c r="K431" s="1" t="s">
        <v>1141</v>
      </c>
      <c r="M431" s="1">
        <v>-11.0</v>
      </c>
      <c r="O431" s="1">
        <v>8.115483333333334</v>
      </c>
    </row>
    <row r="432" ht="15.75" hidden="1" customHeight="1">
      <c r="A432" s="4">
        <v>45531.0</v>
      </c>
      <c r="B432" s="1" t="s">
        <v>103</v>
      </c>
      <c r="C432" s="1" t="s">
        <v>104</v>
      </c>
      <c r="D432" s="1">
        <v>214.0</v>
      </c>
      <c r="E432" s="1">
        <v>50.0</v>
      </c>
      <c r="G432" s="1" t="s">
        <v>91</v>
      </c>
      <c r="H432" s="1" t="s">
        <v>92</v>
      </c>
      <c r="I432" s="1" t="s">
        <v>1142</v>
      </c>
      <c r="J432" s="1" t="s">
        <v>1143</v>
      </c>
      <c r="K432" s="1" t="s">
        <v>1143</v>
      </c>
      <c r="M432" s="1">
        <v>1.0</v>
      </c>
      <c r="O432" s="1">
        <v>8.918816666666666</v>
      </c>
    </row>
    <row r="433" ht="15.75" hidden="1" customHeight="1">
      <c r="A433" s="4">
        <v>45531.0</v>
      </c>
      <c r="B433" s="1" t="s">
        <v>103</v>
      </c>
      <c r="C433" s="1" t="s">
        <v>104</v>
      </c>
      <c r="D433" s="1">
        <v>756.0</v>
      </c>
      <c r="E433" s="1">
        <v>0.0</v>
      </c>
      <c r="G433" s="1" t="s">
        <v>91</v>
      </c>
      <c r="H433" s="1" t="s">
        <v>92</v>
      </c>
      <c r="I433" s="1" t="s">
        <v>1144</v>
      </c>
      <c r="J433" s="1" t="s">
        <v>1145</v>
      </c>
      <c r="K433" s="1" t="s">
        <v>1145</v>
      </c>
      <c r="M433" s="1">
        <v>2.0</v>
      </c>
      <c r="O433" s="1">
        <v>12.611833333333333</v>
      </c>
    </row>
    <row r="434" ht="15.75" hidden="1" customHeight="1">
      <c r="A434" s="4">
        <v>45531.0</v>
      </c>
      <c r="B434" s="1" t="s">
        <v>103</v>
      </c>
      <c r="C434" s="1" t="s">
        <v>104</v>
      </c>
      <c r="D434" s="1">
        <v>528.0</v>
      </c>
      <c r="E434" s="1">
        <v>0.0</v>
      </c>
      <c r="G434" s="1" t="s">
        <v>91</v>
      </c>
      <c r="H434" s="1" t="s">
        <v>92</v>
      </c>
      <c r="I434" s="1" t="s">
        <v>1146</v>
      </c>
      <c r="J434" s="1" t="s">
        <v>1147</v>
      </c>
      <c r="K434" s="1" t="s">
        <v>1147</v>
      </c>
      <c r="M434" s="1">
        <v>0.0</v>
      </c>
      <c r="O434" s="1">
        <v>7.8795166666666665</v>
      </c>
    </row>
    <row r="435" ht="15.75" hidden="1" customHeight="1">
      <c r="A435" s="4">
        <v>45531.0</v>
      </c>
      <c r="B435" s="1" t="s">
        <v>95</v>
      </c>
      <c r="C435" s="1" t="s">
        <v>104</v>
      </c>
      <c r="D435" s="1">
        <v>494.0</v>
      </c>
      <c r="E435" s="1">
        <v>124.0</v>
      </c>
      <c r="G435" s="1" t="s">
        <v>119</v>
      </c>
      <c r="H435" s="1" t="s">
        <v>213</v>
      </c>
      <c r="I435" s="1" t="s">
        <v>1148</v>
      </c>
      <c r="J435" s="1" t="s">
        <v>1149</v>
      </c>
      <c r="K435" s="1" t="s">
        <v>1149</v>
      </c>
      <c r="M435" s="1">
        <v>-9.0</v>
      </c>
      <c r="O435" s="1">
        <v>9.810316666666667</v>
      </c>
    </row>
    <row r="436" ht="15.75" hidden="1" customHeight="1">
      <c r="A436" s="4">
        <v>45531.0</v>
      </c>
      <c r="B436" s="1" t="s">
        <v>88</v>
      </c>
      <c r="C436" s="1" t="s">
        <v>89</v>
      </c>
      <c r="D436" s="1">
        <v>378.0</v>
      </c>
      <c r="E436" s="1">
        <v>0.0</v>
      </c>
      <c r="F436" s="1" t="s">
        <v>90</v>
      </c>
      <c r="G436" s="1" t="s">
        <v>91</v>
      </c>
      <c r="H436" s="1" t="s">
        <v>92</v>
      </c>
      <c r="I436" s="1" t="s">
        <v>1150</v>
      </c>
      <c r="J436" s="1" t="s">
        <v>1151</v>
      </c>
      <c r="K436" s="1" t="s">
        <v>1151</v>
      </c>
      <c r="M436" s="1">
        <v>-7.0</v>
      </c>
      <c r="O436" s="1">
        <v>7.686066666666667</v>
      </c>
    </row>
    <row r="437" ht="15.75" hidden="1" customHeight="1">
      <c r="A437" s="4">
        <v>45531.0</v>
      </c>
      <c r="B437" s="1" t="s">
        <v>103</v>
      </c>
      <c r="C437" s="1" t="s">
        <v>104</v>
      </c>
      <c r="D437" s="1">
        <v>288.0</v>
      </c>
      <c r="E437" s="1">
        <v>50.0</v>
      </c>
      <c r="G437" s="1" t="s">
        <v>91</v>
      </c>
      <c r="H437" s="1" t="s">
        <v>98</v>
      </c>
      <c r="I437" s="1" t="s">
        <v>1152</v>
      </c>
      <c r="J437" s="1" t="s">
        <v>1153</v>
      </c>
      <c r="K437" s="1" t="s">
        <v>1153</v>
      </c>
      <c r="M437" s="1">
        <v>0.0</v>
      </c>
      <c r="O437" s="1">
        <v>6.339683333333333</v>
      </c>
    </row>
    <row r="438" ht="15.75" hidden="1" customHeight="1">
      <c r="A438" s="4">
        <v>45531.0</v>
      </c>
      <c r="B438" s="1" t="s">
        <v>103</v>
      </c>
      <c r="C438" s="1" t="s">
        <v>104</v>
      </c>
      <c r="D438" s="1">
        <v>425.0</v>
      </c>
      <c r="E438" s="1">
        <v>0.0</v>
      </c>
      <c r="G438" s="1" t="s">
        <v>91</v>
      </c>
      <c r="H438" s="1" t="s">
        <v>92</v>
      </c>
      <c r="I438" s="1" t="s">
        <v>1154</v>
      </c>
      <c r="J438" s="1" t="s">
        <v>1155</v>
      </c>
      <c r="K438" s="1" t="s">
        <v>1155</v>
      </c>
      <c r="M438" s="1">
        <v>0.0</v>
      </c>
      <c r="O438" s="1">
        <v>7.569066666666667</v>
      </c>
    </row>
    <row r="439" ht="15.75" hidden="1" customHeight="1">
      <c r="A439" s="4">
        <v>45531.0</v>
      </c>
      <c r="B439" s="1" t="s">
        <v>103</v>
      </c>
      <c r="C439" s="1" t="s">
        <v>104</v>
      </c>
      <c r="D439" s="1">
        <v>329.0</v>
      </c>
      <c r="E439" s="1">
        <v>0.0</v>
      </c>
      <c r="G439" s="1" t="s">
        <v>91</v>
      </c>
      <c r="H439" s="1" t="s">
        <v>92</v>
      </c>
      <c r="I439" s="1" t="s">
        <v>1156</v>
      </c>
      <c r="J439" s="1" t="s">
        <v>1157</v>
      </c>
      <c r="K439" s="1" t="s">
        <v>1157</v>
      </c>
      <c r="M439" s="1">
        <v>1.0</v>
      </c>
      <c r="O439" s="1">
        <v>8.254883333333334</v>
      </c>
    </row>
    <row r="440" ht="15.75" hidden="1" customHeight="1">
      <c r="A440" s="4">
        <v>45531.0</v>
      </c>
      <c r="B440" s="1" t="s">
        <v>88</v>
      </c>
      <c r="C440" s="1" t="s">
        <v>89</v>
      </c>
      <c r="D440" s="1">
        <v>329.0</v>
      </c>
      <c r="E440" s="1">
        <v>0.0</v>
      </c>
      <c r="F440" s="1" t="s">
        <v>90</v>
      </c>
      <c r="G440" s="1" t="s">
        <v>91</v>
      </c>
      <c r="H440" s="1" t="s">
        <v>92</v>
      </c>
      <c r="I440" s="1" t="s">
        <v>1158</v>
      </c>
      <c r="J440" s="1" t="s">
        <v>1159</v>
      </c>
      <c r="K440" s="1" t="s">
        <v>1159</v>
      </c>
      <c r="M440" s="1">
        <v>-8.0</v>
      </c>
      <c r="O440" s="1">
        <v>6.702916666666667</v>
      </c>
    </row>
    <row r="441" ht="15.75" hidden="1" customHeight="1">
      <c r="A441" s="4">
        <v>45531.0</v>
      </c>
      <c r="B441" s="1" t="s">
        <v>95</v>
      </c>
      <c r="C441" s="1" t="s">
        <v>104</v>
      </c>
      <c r="D441" s="1">
        <v>247.0</v>
      </c>
      <c r="E441" s="1">
        <v>62.0</v>
      </c>
      <c r="G441" s="1" t="s">
        <v>119</v>
      </c>
      <c r="H441" s="1" t="s">
        <v>213</v>
      </c>
      <c r="I441" s="1" t="s">
        <v>1160</v>
      </c>
      <c r="J441" s="1" t="s">
        <v>1161</v>
      </c>
      <c r="K441" s="1" t="s">
        <v>1161</v>
      </c>
      <c r="M441" s="1">
        <v>-8.0</v>
      </c>
      <c r="O441" s="1">
        <v>11.134683333333333</v>
      </c>
    </row>
    <row r="442" ht="15.75" hidden="1" customHeight="1">
      <c r="A442" s="4">
        <v>45531.0</v>
      </c>
      <c r="B442" s="1" t="s">
        <v>107</v>
      </c>
      <c r="C442" s="1" t="s">
        <v>104</v>
      </c>
      <c r="D442" s="1">
        <v>634.0</v>
      </c>
      <c r="E442" s="1">
        <v>0.0</v>
      </c>
      <c r="F442" s="1" t="s">
        <v>1162</v>
      </c>
      <c r="G442" s="1" t="s">
        <v>91</v>
      </c>
      <c r="H442" s="1" t="s">
        <v>92</v>
      </c>
      <c r="I442" s="1" t="s">
        <v>1163</v>
      </c>
      <c r="J442" s="1" t="s">
        <v>1164</v>
      </c>
      <c r="K442" s="1" t="s">
        <v>1164</v>
      </c>
      <c r="M442" s="1">
        <v>-9.0</v>
      </c>
      <c r="O442" s="1">
        <v>10.408833333333334</v>
      </c>
    </row>
    <row r="443" ht="15.75" hidden="1" customHeight="1">
      <c r="A443" s="4">
        <v>45531.0</v>
      </c>
      <c r="B443" s="1" t="s">
        <v>103</v>
      </c>
      <c r="C443" s="1" t="s">
        <v>104</v>
      </c>
      <c r="D443" s="1">
        <v>321.0</v>
      </c>
      <c r="E443" s="1">
        <v>0.0</v>
      </c>
      <c r="G443" s="1" t="s">
        <v>91</v>
      </c>
      <c r="H443" s="1" t="s">
        <v>92</v>
      </c>
      <c r="I443" s="1" t="s">
        <v>1165</v>
      </c>
      <c r="J443" s="1" t="s">
        <v>1166</v>
      </c>
      <c r="K443" s="1" t="s">
        <v>1166</v>
      </c>
      <c r="M443" s="1">
        <v>2.0</v>
      </c>
      <c r="O443" s="1">
        <v>9.8272</v>
      </c>
    </row>
    <row r="444" ht="15.75" hidden="1" customHeight="1">
      <c r="A444" s="4">
        <v>45531.0</v>
      </c>
      <c r="B444" s="1" t="s">
        <v>88</v>
      </c>
      <c r="C444" s="1" t="s">
        <v>89</v>
      </c>
      <c r="D444" s="1">
        <v>408.0</v>
      </c>
      <c r="E444" s="1">
        <v>0.0</v>
      </c>
      <c r="F444" s="1" t="s">
        <v>90</v>
      </c>
      <c r="G444" s="1" t="s">
        <v>91</v>
      </c>
      <c r="H444" s="1" t="s">
        <v>92</v>
      </c>
      <c r="I444" s="1" t="s">
        <v>1167</v>
      </c>
      <c r="J444" s="1" t="s">
        <v>1168</v>
      </c>
      <c r="K444" s="1" t="s">
        <v>1168</v>
      </c>
      <c r="M444" s="1">
        <v>-8.0</v>
      </c>
      <c r="O444" s="1">
        <v>6.459583333333334</v>
      </c>
    </row>
    <row r="445" ht="15.75" hidden="1" customHeight="1">
      <c r="A445" s="4">
        <v>45531.0</v>
      </c>
      <c r="B445" s="1" t="s">
        <v>88</v>
      </c>
      <c r="C445" s="1" t="s">
        <v>89</v>
      </c>
      <c r="D445" s="1">
        <v>303.0</v>
      </c>
      <c r="E445" s="1">
        <v>0.0</v>
      </c>
      <c r="F445" s="1" t="s">
        <v>90</v>
      </c>
      <c r="G445" s="1" t="s">
        <v>91</v>
      </c>
      <c r="H445" s="1" t="s">
        <v>92</v>
      </c>
      <c r="I445" s="1" t="s">
        <v>1169</v>
      </c>
      <c r="J445" s="1" t="s">
        <v>1170</v>
      </c>
      <c r="K445" s="1" t="s">
        <v>1170</v>
      </c>
      <c r="M445" s="1">
        <v>-8.0</v>
      </c>
      <c r="O445" s="1">
        <v>6.73795</v>
      </c>
    </row>
    <row r="446" ht="15.75" hidden="1" customHeight="1">
      <c r="A446" s="4">
        <v>45531.0</v>
      </c>
      <c r="B446" s="1" t="s">
        <v>88</v>
      </c>
      <c r="C446" s="1" t="s">
        <v>89</v>
      </c>
      <c r="D446" s="1">
        <v>488.0</v>
      </c>
      <c r="E446" s="1">
        <v>0.0</v>
      </c>
      <c r="F446" s="1" t="s">
        <v>90</v>
      </c>
      <c r="G446" s="1" t="s">
        <v>91</v>
      </c>
      <c r="H446" s="1" t="s">
        <v>92</v>
      </c>
      <c r="I446" s="1" t="s">
        <v>1171</v>
      </c>
      <c r="J446" s="1" t="s">
        <v>1172</v>
      </c>
      <c r="K446" s="1" t="s">
        <v>1172</v>
      </c>
      <c r="M446" s="1">
        <v>-6.0</v>
      </c>
      <c r="O446" s="1">
        <v>8.042383333333333</v>
      </c>
    </row>
    <row r="447" ht="15.75" hidden="1" customHeight="1">
      <c r="A447" s="4">
        <v>45531.0</v>
      </c>
      <c r="B447" s="1" t="s">
        <v>103</v>
      </c>
      <c r="C447" s="1" t="s">
        <v>104</v>
      </c>
      <c r="D447" s="1">
        <v>508.0</v>
      </c>
      <c r="E447" s="1">
        <v>0.0</v>
      </c>
      <c r="G447" s="1" t="s">
        <v>91</v>
      </c>
      <c r="H447" s="1" t="s">
        <v>92</v>
      </c>
      <c r="I447" s="1" t="s">
        <v>1173</v>
      </c>
      <c r="J447" s="1" t="s">
        <v>1174</v>
      </c>
      <c r="K447" s="1" t="s">
        <v>1174</v>
      </c>
      <c r="M447" s="1">
        <v>0.0</v>
      </c>
      <c r="O447" s="1">
        <v>8.088066666666666</v>
      </c>
    </row>
    <row r="448" ht="15.75" hidden="1" customHeight="1">
      <c r="A448" s="4">
        <v>45531.0</v>
      </c>
      <c r="B448" s="1" t="s">
        <v>103</v>
      </c>
      <c r="C448" s="1" t="s">
        <v>104</v>
      </c>
      <c r="D448" s="1">
        <v>321.0</v>
      </c>
      <c r="E448" s="1">
        <v>0.0</v>
      </c>
      <c r="G448" s="1" t="s">
        <v>91</v>
      </c>
      <c r="H448" s="1" t="s">
        <v>92</v>
      </c>
      <c r="I448" s="1" t="s">
        <v>1175</v>
      </c>
      <c r="J448" s="1" t="s">
        <v>1176</v>
      </c>
      <c r="K448" s="1" t="s">
        <v>1176</v>
      </c>
      <c r="M448" s="1">
        <v>0.0</v>
      </c>
      <c r="O448" s="1">
        <v>7.54615</v>
      </c>
    </row>
    <row r="449" ht="15.75" hidden="1" customHeight="1">
      <c r="A449" s="4">
        <v>45531.0</v>
      </c>
      <c r="B449" s="1" t="s">
        <v>103</v>
      </c>
      <c r="C449" s="1" t="s">
        <v>104</v>
      </c>
      <c r="D449" s="1">
        <v>468.0</v>
      </c>
      <c r="E449" s="1">
        <v>0.0</v>
      </c>
      <c r="G449" s="1" t="s">
        <v>91</v>
      </c>
      <c r="H449" s="1" t="s">
        <v>92</v>
      </c>
      <c r="I449" s="1" t="s">
        <v>1177</v>
      </c>
      <c r="J449" s="1" t="s">
        <v>1178</v>
      </c>
      <c r="K449" s="1" t="s">
        <v>1178</v>
      </c>
      <c r="M449" s="1">
        <v>1.0</v>
      </c>
      <c r="O449" s="1">
        <v>9.42555</v>
      </c>
    </row>
    <row r="450" ht="15.75" hidden="1" customHeight="1">
      <c r="A450" s="4">
        <v>45531.0</v>
      </c>
      <c r="B450" s="1" t="s">
        <v>88</v>
      </c>
      <c r="C450" s="1" t="s">
        <v>89</v>
      </c>
      <c r="D450" s="1">
        <v>658.0</v>
      </c>
      <c r="E450" s="1">
        <v>0.0</v>
      </c>
      <c r="F450" s="1" t="s">
        <v>90</v>
      </c>
      <c r="G450" s="1" t="s">
        <v>91</v>
      </c>
      <c r="H450" s="1" t="s">
        <v>92</v>
      </c>
      <c r="I450" s="1" t="s">
        <v>1179</v>
      </c>
      <c r="J450" s="1" t="s">
        <v>1180</v>
      </c>
      <c r="K450" s="1" t="s">
        <v>1180</v>
      </c>
      <c r="M450" s="1">
        <v>-10.0</v>
      </c>
      <c r="O450" s="1">
        <v>9.6285</v>
      </c>
    </row>
    <row r="451" ht="15.75" hidden="1" customHeight="1">
      <c r="A451" s="4">
        <v>45531.0</v>
      </c>
      <c r="B451" s="1" t="s">
        <v>88</v>
      </c>
      <c r="C451" s="1" t="s">
        <v>89</v>
      </c>
      <c r="D451" s="1">
        <v>428.0</v>
      </c>
      <c r="E451" s="1">
        <v>0.0</v>
      </c>
      <c r="F451" s="1" t="s">
        <v>90</v>
      </c>
      <c r="G451" s="1" t="s">
        <v>91</v>
      </c>
      <c r="H451" s="1" t="s">
        <v>92</v>
      </c>
      <c r="I451" s="1" t="s">
        <v>1181</v>
      </c>
      <c r="J451" s="1" t="s">
        <v>1182</v>
      </c>
      <c r="K451" s="1" t="s">
        <v>1182</v>
      </c>
      <c r="M451" s="1">
        <v>-6.0</v>
      </c>
      <c r="O451" s="1">
        <v>8.119583333333333</v>
      </c>
    </row>
    <row r="452" ht="15.75" hidden="1" customHeight="1">
      <c r="A452" s="4">
        <v>45531.0</v>
      </c>
      <c r="B452" s="1" t="s">
        <v>95</v>
      </c>
      <c r="C452" s="1" t="s">
        <v>104</v>
      </c>
      <c r="D452" s="1">
        <v>239.0</v>
      </c>
      <c r="E452" s="1">
        <v>55.0</v>
      </c>
      <c r="G452" s="1" t="s">
        <v>119</v>
      </c>
      <c r="H452" s="1" t="s">
        <v>213</v>
      </c>
      <c r="I452" s="1" t="s">
        <v>1183</v>
      </c>
      <c r="J452" s="1" t="s">
        <v>1184</v>
      </c>
      <c r="K452" s="1" t="s">
        <v>1184</v>
      </c>
      <c r="M452" s="1">
        <v>-11.0</v>
      </c>
      <c r="O452" s="1">
        <v>8.149233333333333</v>
      </c>
    </row>
    <row r="453" ht="15.75" hidden="1" customHeight="1">
      <c r="A453" s="4">
        <v>45531.0</v>
      </c>
      <c r="B453" s="1" t="s">
        <v>95</v>
      </c>
      <c r="C453" s="1" t="s">
        <v>89</v>
      </c>
      <c r="D453" s="1">
        <v>767.0</v>
      </c>
      <c r="E453" s="1">
        <v>0.0</v>
      </c>
      <c r="F453" s="1" t="s">
        <v>1073</v>
      </c>
      <c r="G453" s="1" t="s">
        <v>97</v>
      </c>
      <c r="H453" s="1" t="s">
        <v>92</v>
      </c>
      <c r="I453" s="1" t="s">
        <v>1185</v>
      </c>
      <c r="J453" s="1" t="s">
        <v>1186</v>
      </c>
      <c r="K453" s="1" t="s">
        <v>1187</v>
      </c>
      <c r="L453" s="1" t="s">
        <v>1188</v>
      </c>
      <c r="M453" s="1">
        <v>-13.0</v>
      </c>
      <c r="N453" s="1">
        <v>0.0101</v>
      </c>
      <c r="O453" s="1">
        <v>8.82895</v>
      </c>
    </row>
    <row r="454" ht="15.75" hidden="1" customHeight="1">
      <c r="A454" s="4">
        <v>45531.0</v>
      </c>
      <c r="B454" s="1" t="s">
        <v>107</v>
      </c>
      <c r="C454" s="1" t="s">
        <v>104</v>
      </c>
      <c r="D454" s="1">
        <v>321.0</v>
      </c>
      <c r="E454" s="1">
        <v>0.0</v>
      </c>
      <c r="F454" s="1" t="s">
        <v>1189</v>
      </c>
      <c r="G454" s="1" t="s">
        <v>91</v>
      </c>
      <c r="H454" s="1" t="s">
        <v>92</v>
      </c>
      <c r="I454" s="1" t="s">
        <v>1190</v>
      </c>
      <c r="J454" s="1" t="s">
        <v>1191</v>
      </c>
      <c r="K454" s="1" t="s">
        <v>1191</v>
      </c>
      <c r="M454" s="1">
        <v>-4.0</v>
      </c>
      <c r="O454" s="1">
        <v>10.4875</v>
      </c>
    </row>
    <row r="455" ht="15.75" hidden="1" customHeight="1">
      <c r="A455" s="4">
        <v>45531.0</v>
      </c>
      <c r="B455" s="1" t="s">
        <v>95</v>
      </c>
      <c r="C455" s="1" t="s">
        <v>104</v>
      </c>
      <c r="D455" s="1">
        <v>190.0</v>
      </c>
      <c r="E455" s="1">
        <v>59.0</v>
      </c>
      <c r="G455" s="1" t="s">
        <v>119</v>
      </c>
      <c r="H455" s="1" t="s">
        <v>92</v>
      </c>
      <c r="I455" s="1" t="s">
        <v>1192</v>
      </c>
      <c r="J455" s="1" t="s">
        <v>1193</v>
      </c>
      <c r="K455" s="1" t="s">
        <v>1193</v>
      </c>
      <c r="M455" s="1">
        <v>-31.0</v>
      </c>
      <c r="O455" s="1">
        <v>34.5078</v>
      </c>
    </row>
    <row r="456" ht="15.75" hidden="1" customHeight="1">
      <c r="A456" s="4">
        <v>45531.0</v>
      </c>
      <c r="B456" s="1" t="s">
        <v>95</v>
      </c>
      <c r="C456" s="1" t="s">
        <v>89</v>
      </c>
      <c r="D456" s="1">
        <v>732.0</v>
      </c>
      <c r="E456" s="1">
        <v>0.0</v>
      </c>
      <c r="F456" s="1" t="s">
        <v>65</v>
      </c>
      <c r="G456" s="1" t="s">
        <v>97</v>
      </c>
      <c r="H456" s="1" t="s">
        <v>92</v>
      </c>
      <c r="I456" s="1" t="s">
        <v>1194</v>
      </c>
      <c r="J456" s="1" t="s">
        <v>1195</v>
      </c>
      <c r="K456" s="1" t="s">
        <v>1196</v>
      </c>
      <c r="L456" s="1" t="s">
        <v>1197</v>
      </c>
      <c r="M456" s="1">
        <v>-7.0</v>
      </c>
      <c r="N456" s="1">
        <v>0.01255</v>
      </c>
      <c r="O456" s="1">
        <v>15.201816666666666</v>
      </c>
    </row>
    <row r="457" ht="15.75" hidden="1" customHeight="1">
      <c r="A457" s="4">
        <v>45531.0</v>
      </c>
      <c r="B457" s="1" t="s">
        <v>88</v>
      </c>
      <c r="C457" s="1" t="s">
        <v>89</v>
      </c>
      <c r="D457" s="1">
        <v>450.0</v>
      </c>
      <c r="E457" s="1">
        <v>0.0</v>
      </c>
      <c r="F457" s="1" t="s">
        <v>90</v>
      </c>
      <c r="G457" s="1" t="s">
        <v>91</v>
      </c>
      <c r="H457" s="1" t="s">
        <v>92</v>
      </c>
      <c r="I457" s="1" t="s">
        <v>1198</v>
      </c>
      <c r="J457" s="1" t="s">
        <v>1199</v>
      </c>
      <c r="K457" s="1" t="s">
        <v>1199</v>
      </c>
      <c r="M457" s="1">
        <v>3.0</v>
      </c>
      <c r="O457" s="1">
        <v>18.747583333333335</v>
      </c>
    </row>
    <row r="458" ht="15.75" hidden="1" customHeight="1">
      <c r="A458" s="4">
        <v>45531.0</v>
      </c>
      <c r="B458" s="1" t="s">
        <v>95</v>
      </c>
      <c r="C458" s="1" t="s">
        <v>104</v>
      </c>
      <c r="D458" s="1">
        <v>285.0</v>
      </c>
      <c r="E458" s="1">
        <v>89.0</v>
      </c>
      <c r="G458" s="1" t="s">
        <v>119</v>
      </c>
      <c r="H458" s="1" t="s">
        <v>92</v>
      </c>
      <c r="I458" s="1" t="s">
        <v>1200</v>
      </c>
      <c r="J458" s="1" t="s">
        <v>1201</v>
      </c>
      <c r="K458" s="1" t="s">
        <v>1201</v>
      </c>
      <c r="M458" s="1">
        <v>-15.0</v>
      </c>
      <c r="O458" s="1">
        <v>16.598183333333335</v>
      </c>
    </row>
    <row r="459" ht="15.75" hidden="1" customHeight="1">
      <c r="A459" s="4">
        <v>45531.0</v>
      </c>
      <c r="B459" s="1" t="s">
        <v>103</v>
      </c>
      <c r="C459" s="1" t="s">
        <v>104</v>
      </c>
      <c r="D459" s="1">
        <v>281.0</v>
      </c>
      <c r="E459" s="1">
        <v>100.0</v>
      </c>
      <c r="G459" s="1" t="s">
        <v>91</v>
      </c>
      <c r="H459" s="1" t="s">
        <v>92</v>
      </c>
      <c r="I459" s="1" t="s">
        <v>1202</v>
      </c>
      <c r="J459" s="1" t="s">
        <v>1203</v>
      </c>
      <c r="K459" s="1" t="s">
        <v>1203</v>
      </c>
      <c r="M459" s="1">
        <v>7.0</v>
      </c>
      <c r="O459" s="1">
        <v>14.936633333333333</v>
      </c>
    </row>
    <row r="460" ht="15.75" hidden="1" customHeight="1">
      <c r="A460" s="4">
        <v>45531.0</v>
      </c>
      <c r="B460" s="1" t="s">
        <v>95</v>
      </c>
      <c r="C460" s="1" t="s">
        <v>89</v>
      </c>
      <c r="D460" s="1">
        <v>365.0</v>
      </c>
      <c r="E460" s="1">
        <v>30.0</v>
      </c>
      <c r="F460" s="1" t="s">
        <v>65</v>
      </c>
      <c r="G460" s="1" t="s">
        <v>97</v>
      </c>
      <c r="H460" s="1" t="s">
        <v>92</v>
      </c>
      <c r="I460" s="1" t="s">
        <v>1204</v>
      </c>
      <c r="J460" s="1" t="s">
        <v>1205</v>
      </c>
      <c r="K460" s="1" t="s">
        <v>1206</v>
      </c>
      <c r="L460" s="1" t="s">
        <v>1207</v>
      </c>
      <c r="M460" s="1">
        <v>-8.0</v>
      </c>
      <c r="N460" s="1">
        <v>0.010366666666666666</v>
      </c>
      <c r="O460" s="1">
        <v>11.202233333333334</v>
      </c>
    </row>
    <row r="461" ht="15.75" hidden="1" customHeight="1">
      <c r="A461" s="4">
        <v>45531.0</v>
      </c>
      <c r="B461" s="1" t="s">
        <v>103</v>
      </c>
      <c r="C461" s="1" t="s">
        <v>104</v>
      </c>
      <c r="D461" s="1">
        <v>618.0</v>
      </c>
      <c r="E461" s="1">
        <v>0.0</v>
      </c>
      <c r="G461" s="1" t="s">
        <v>91</v>
      </c>
      <c r="H461" s="1" t="s">
        <v>92</v>
      </c>
      <c r="I461" s="1" t="s">
        <v>1208</v>
      </c>
      <c r="J461" s="1" t="s">
        <v>1209</v>
      </c>
      <c r="K461" s="1" t="s">
        <v>1209</v>
      </c>
      <c r="M461" s="1">
        <v>4.0</v>
      </c>
      <c r="O461" s="1">
        <v>13.377416666666667</v>
      </c>
    </row>
    <row r="462" ht="15.75" hidden="1" customHeight="1">
      <c r="A462" s="4">
        <v>45531.0</v>
      </c>
      <c r="B462" s="1" t="s">
        <v>88</v>
      </c>
      <c r="C462" s="1" t="s">
        <v>89</v>
      </c>
      <c r="D462" s="1">
        <v>488.0</v>
      </c>
      <c r="E462" s="1">
        <v>0.0</v>
      </c>
      <c r="F462" s="1" t="s">
        <v>90</v>
      </c>
      <c r="G462" s="1" t="s">
        <v>91</v>
      </c>
      <c r="H462" s="1" t="s">
        <v>92</v>
      </c>
      <c r="I462" s="1" t="s">
        <v>1210</v>
      </c>
      <c r="J462" s="1" t="s">
        <v>1211</v>
      </c>
      <c r="K462" s="1" t="s">
        <v>1211</v>
      </c>
      <c r="M462" s="1">
        <v>-7.0</v>
      </c>
      <c r="O462" s="1">
        <v>7.936933333333333</v>
      </c>
    </row>
    <row r="463" ht="15.75" hidden="1" customHeight="1">
      <c r="A463" s="4">
        <v>45531.0</v>
      </c>
      <c r="B463" s="1" t="s">
        <v>103</v>
      </c>
      <c r="C463" s="1" t="s">
        <v>104</v>
      </c>
      <c r="D463" s="1">
        <v>378.0</v>
      </c>
      <c r="E463" s="1">
        <v>150.0</v>
      </c>
      <c r="G463" s="1" t="s">
        <v>91</v>
      </c>
      <c r="H463" s="1" t="s">
        <v>92</v>
      </c>
      <c r="I463" s="1" t="s">
        <v>1212</v>
      </c>
      <c r="J463" s="1" t="s">
        <v>1213</v>
      </c>
      <c r="K463" s="1" t="s">
        <v>1213</v>
      </c>
      <c r="M463" s="1">
        <v>2.0</v>
      </c>
      <c r="O463" s="1">
        <v>10.09255</v>
      </c>
    </row>
    <row r="464" ht="15.75" hidden="1" customHeight="1">
      <c r="A464" s="4">
        <v>45531.0</v>
      </c>
      <c r="B464" s="1" t="s">
        <v>95</v>
      </c>
      <c r="C464" s="1" t="s">
        <v>104</v>
      </c>
      <c r="D464" s="1">
        <v>199.0</v>
      </c>
      <c r="E464" s="1">
        <v>50.0</v>
      </c>
      <c r="G464" s="1" t="s">
        <v>119</v>
      </c>
      <c r="H464" s="1" t="s">
        <v>213</v>
      </c>
      <c r="I464" s="1" t="s">
        <v>1214</v>
      </c>
      <c r="J464" s="1" t="s">
        <v>1215</v>
      </c>
      <c r="K464" s="1" t="s">
        <v>1215</v>
      </c>
      <c r="M464" s="1">
        <v>-6.0</v>
      </c>
      <c r="O464" s="1">
        <v>12.878183333333334</v>
      </c>
    </row>
    <row r="465" ht="15.75" hidden="1" customHeight="1">
      <c r="A465" s="4">
        <v>45531.0</v>
      </c>
      <c r="B465" s="1" t="s">
        <v>103</v>
      </c>
      <c r="C465" s="1" t="s">
        <v>104</v>
      </c>
      <c r="D465" s="1">
        <v>251.0</v>
      </c>
      <c r="E465" s="1">
        <v>100.0</v>
      </c>
      <c r="G465" s="1" t="s">
        <v>91</v>
      </c>
      <c r="H465" s="1" t="s">
        <v>92</v>
      </c>
      <c r="I465" s="1" t="s">
        <v>1216</v>
      </c>
      <c r="J465" s="1" t="s">
        <v>1217</v>
      </c>
      <c r="K465" s="1" t="s">
        <v>1217</v>
      </c>
      <c r="M465" s="1">
        <v>4.0</v>
      </c>
      <c r="O465" s="1">
        <v>11.27435</v>
      </c>
    </row>
    <row r="466" ht="15.75" hidden="1" customHeight="1">
      <c r="A466" s="4">
        <v>45531.0</v>
      </c>
      <c r="B466" s="1" t="s">
        <v>103</v>
      </c>
      <c r="C466" s="1" t="s">
        <v>104</v>
      </c>
      <c r="D466" s="1">
        <v>1365.0</v>
      </c>
      <c r="E466" s="1">
        <v>0.0</v>
      </c>
      <c r="G466" s="1" t="s">
        <v>91</v>
      </c>
      <c r="H466" s="1" t="s">
        <v>92</v>
      </c>
      <c r="I466" s="1" t="s">
        <v>1218</v>
      </c>
      <c r="J466" s="1" t="s">
        <v>1219</v>
      </c>
      <c r="K466" s="1" t="s">
        <v>1219</v>
      </c>
      <c r="M466" s="1">
        <v>-3.0</v>
      </c>
      <c r="O466" s="1">
        <v>9.816933333333333</v>
      </c>
    </row>
    <row r="467" ht="15.75" hidden="1" customHeight="1">
      <c r="A467" s="4">
        <v>45531.0</v>
      </c>
      <c r="B467" s="1" t="s">
        <v>103</v>
      </c>
      <c r="C467" s="1" t="s">
        <v>104</v>
      </c>
      <c r="D467" s="1">
        <v>558.0</v>
      </c>
      <c r="E467" s="1">
        <v>0.0</v>
      </c>
      <c r="G467" s="1" t="s">
        <v>91</v>
      </c>
      <c r="H467" s="1" t="s">
        <v>92</v>
      </c>
      <c r="I467" s="1" t="s">
        <v>1220</v>
      </c>
      <c r="J467" s="1" t="s">
        <v>1221</v>
      </c>
      <c r="K467" s="1" t="s">
        <v>1221</v>
      </c>
      <c r="M467" s="1">
        <v>2.0</v>
      </c>
      <c r="O467" s="1">
        <v>10.669033333333333</v>
      </c>
    </row>
    <row r="468" ht="15.75" hidden="1" customHeight="1">
      <c r="A468" s="4">
        <v>45531.0</v>
      </c>
      <c r="B468" s="1" t="s">
        <v>103</v>
      </c>
      <c r="C468" s="1" t="s">
        <v>104</v>
      </c>
      <c r="D468" s="1">
        <v>264.0</v>
      </c>
      <c r="E468" s="1">
        <v>0.0</v>
      </c>
      <c r="G468" s="1" t="s">
        <v>91</v>
      </c>
      <c r="H468" s="1" t="s">
        <v>92</v>
      </c>
      <c r="I468" s="1" t="s">
        <v>1222</v>
      </c>
      <c r="J468" s="1" t="s">
        <v>1223</v>
      </c>
      <c r="K468" s="1" t="s">
        <v>1223</v>
      </c>
      <c r="M468" s="1">
        <v>0.0</v>
      </c>
      <c r="O468" s="1">
        <v>5.933</v>
      </c>
    </row>
    <row r="469" ht="15.75" hidden="1" customHeight="1">
      <c r="A469" s="4">
        <v>45531.0</v>
      </c>
      <c r="B469" s="1" t="s">
        <v>103</v>
      </c>
      <c r="C469" s="1" t="s">
        <v>104</v>
      </c>
      <c r="D469" s="1">
        <v>771.0</v>
      </c>
      <c r="E469" s="1">
        <v>0.0</v>
      </c>
      <c r="G469" s="1" t="s">
        <v>91</v>
      </c>
      <c r="H469" s="1" t="s">
        <v>92</v>
      </c>
      <c r="I469" s="1" t="s">
        <v>1224</v>
      </c>
      <c r="J469" s="1" t="s">
        <v>1225</v>
      </c>
      <c r="K469" s="1" t="s">
        <v>1225</v>
      </c>
      <c r="M469" s="1">
        <v>2.0</v>
      </c>
      <c r="O469" s="1">
        <v>11.289716666666667</v>
      </c>
    </row>
    <row r="470" ht="15.75" hidden="1" customHeight="1">
      <c r="A470" s="4">
        <v>45531.0</v>
      </c>
      <c r="B470" s="1" t="s">
        <v>103</v>
      </c>
      <c r="C470" s="1" t="s">
        <v>104</v>
      </c>
      <c r="D470" s="1">
        <v>258.0</v>
      </c>
      <c r="E470" s="1">
        <v>0.0</v>
      </c>
      <c r="G470" s="1" t="s">
        <v>91</v>
      </c>
      <c r="H470" s="1" t="s">
        <v>92</v>
      </c>
      <c r="I470" s="1" t="s">
        <v>1226</v>
      </c>
      <c r="J470" s="1" t="s">
        <v>1227</v>
      </c>
      <c r="K470" s="1" t="s">
        <v>1227</v>
      </c>
      <c r="M470" s="1">
        <v>2.0</v>
      </c>
      <c r="O470" s="1">
        <v>8.24445</v>
      </c>
    </row>
    <row r="471" ht="15.75" hidden="1" customHeight="1">
      <c r="A471" s="4">
        <v>45531.0</v>
      </c>
      <c r="B471" s="1" t="s">
        <v>95</v>
      </c>
      <c r="C471" s="1" t="s">
        <v>89</v>
      </c>
      <c r="D471" s="1">
        <v>374.0</v>
      </c>
      <c r="E471" s="1">
        <v>0.0</v>
      </c>
      <c r="F471" s="1" t="s">
        <v>65</v>
      </c>
      <c r="G471" s="1" t="s">
        <v>97</v>
      </c>
      <c r="H471" s="1" t="s">
        <v>98</v>
      </c>
      <c r="I471" s="1" t="s">
        <v>1228</v>
      </c>
      <c r="J471" s="1" t="s">
        <v>1229</v>
      </c>
      <c r="K471" s="1" t="s">
        <v>1230</v>
      </c>
      <c r="L471" s="1" t="s">
        <v>1231</v>
      </c>
      <c r="M471" s="1">
        <v>-11.0</v>
      </c>
      <c r="N471" s="1">
        <v>0.009433333333333334</v>
      </c>
      <c r="O471" s="1">
        <v>11.553866666666666</v>
      </c>
    </row>
    <row r="472" ht="15.75" hidden="1" customHeight="1">
      <c r="A472" s="4">
        <v>45531.0</v>
      </c>
      <c r="B472" s="1" t="s">
        <v>103</v>
      </c>
      <c r="C472" s="1" t="s">
        <v>104</v>
      </c>
      <c r="D472" s="1">
        <v>394.0</v>
      </c>
      <c r="E472" s="1">
        <v>0.0</v>
      </c>
      <c r="G472" s="1" t="s">
        <v>91</v>
      </c>
      <c r="H472" s="1" t="s">
        <v>92</v>
      </c>
      <c r="I472" s="1" t="s">
        <v>1232</v>
      </c>
      <c r="J472" s="1" t="s">
        <v>1233</v>
      </c>
      <c r="K472" s="1" t="s">
        <v>1233</v>
      </c>
      <c r="M472" s="1">
        <v>5.0</v>
      </c>
      <c r="O472" s="1">
        <v>12.676116666666667</v>
      </c>
    </row>
    <row r="473" ht="15.75" hidden="1" customHeight="1">
      <c r="A473" s="4">
        <v>45531.0</v>
      </c>
      <c r="B473" s="1" t="s">
        <v>95</v>
      </c>
      <c r="C473" s="1" t="s">
        <v>104</v>
      </c>
      <c r="D473" s="1">
        <v>466.0</v>
      </c>
      <c r="E473" s="1">
        <v>112.0</v>
      </c>
      <c r="G473" s="1" t="s">
        <v>119</v>
      </c>
      <c r="H473" s="1" t="s">
        <v>92</v>
      </c>
      <c r="I473" s="1" t="s">
        <v>1234</v>
      </c>
      <c r="J473" s="1" t="s">
        <v>1235</v>
      </c>
      <c r="K473" s="1" t="s">
        <v>1235</v>
      </c>
      <c r="M473" s="1">
        <v>-3.0</v>
      </c>
      <c r="O473" s="1">
        <v>15.464</v>
      </c>
    </row>
    <row r="474" ht="15.75" hidden="1" customHeight="1">
      <c r="A474" s="4">
        <v>45531.0</v>
      </c>
      <c r="B474" s="1" t="s">
        <v>88</v>
      </c>
      <c r="C474" s="1" t="s">
        <v>89</v>
      </c>
      <c r="D474" s="1">
        <v>329.0</v>
      </c>
      <c r="E474" s="1">
        <v>0.0</v>
      </c>
      <c r="F474" s="1" t="s">
        <v>90</v>
      </c>
      <c r="G474" s="1" t="s">
        <v>91</v>
      </c>
      <c r="H474" s="1" t="s">
        <v>92</v>
      </c>
      <c r="I474" s="1" t="s">
        <v>1236</v>
      </c>
      <c r="J474" s="1" t="s">
        <v>1237</v>
      </c>
      <c r="K474" s="1" t="s">
        <v>1237</v>
      </c>
      <c r="M474" s="1">
        <v>-7.0</v>
      </c>
      <c r="O474" s="1">
        <v>7.5903833333333335</v>
      </c>
    </row>
    <row r="475" ht="15.75" hidden="1" customHeight="1">
      <c r="A475" s="4">
        <v>45531.0</v>
      </c>
      <c r="B475" s="1" t="s">
        <v>95</v>
      </c>
      <c r="C475" s="1" t="s">
        <v>104</v>
      </c>
      <c r="D475" s="1">
        <v>733.0</v>
      </c>
      <c r="E475" s="1">
        <v>233.0</v>
      </c>
      <c r="G475" s="1" t="s">
        <v>119</v>
      </c>
      <c r="H475" s="1" t="s">
        <v>213</v>
      </c>
      <c r="I475" s="1" t="s">
        <v>1238</v>
      </c>
      <c r="J475" s="1" t="s">
        <v>1239</v>
      </c>
      <c r="K475" s="1" t="s">
        <v>1239</v>
      </c>
      <c r="M475" s="1">
        <v>-8.0</v>
      </c>
      <c r="O475" s="1">
        <v>15.0712</v>
      </c>
    </row>
    <row r="476" ht="15.75" hidden="1" customHeight="1">
      <c r="A476" s="4">
        <v>45531.0</v>
      </c>
      <c r="B476" s="1" t="s">
        <v>103</v>
      </c>
      <c r="C476" s="1" t="s">
        <v>104</v>
      </c>
      <c r="D476" s="1">
        <v>264.0</v>
      </c>
      <c r="E476" s="1">
        <v>0.0</v>
      </c>
      <c r="G476" s="1" t="s">
        <v>91</v>
      </c>
      <c r="H476" s="1" t="s">
        <v>92</v>
      </c>
      <c r="I476" s="1" t="s">
        <v>1240</v>
      </c>
      <c r="J476" s="1" t="s">
        <v>1241</v>
      </c>
      <c r="K476" s="1" t="s">
        <v>1241</v>
      </c>
      <c r="M476" s="1">
        <v>3.0</v>
      </c>
      <c r="O476" s="1">
        <v>10.550766666666666</v>
      </c>
    </row>
    <row r="477" ht="15.75" hidden="1" customHeight="1">
      <c r="A477" s="4">
        <v>45531.0</v>
      </c>
      <c r="B477" s="1" t="s">
        <v>103</v>
      </c>
      <c r="C477" s="1" t="s">
        <v>104</v>
      </c>
      <c r="D477" s="1">
        <v>658.0</v>
      </c>
      <c r="E477" s="1">
        <v>0.0</v>
      </c>
      <c r="G477" s="1" t="s">
        <v>91</v>
      </c>
      <c r="H477" s="1" t="s">
        <v>98</v>
      </c>
      <c r="I477" s="1" t="s">
        <v>1242</v>
      </c>
      <c r="J477" s="1" t="s">
        <v>1243</v>
      </c>
      <c r="K477" s="1" t="s">
        <v>1243</v>
      </c>
      <c r="M477" s="1">
        <v>2.0</v>
      </c>
      <c r="O477" s="1">
        <v>11.474283333333334</v>
      </c>
    </row>
    <row r="478" ht="15.75" hidden="1" customHeight="1">
      <c r="A478" s="4">
        <v>45531.0</v>
      </c>
      <c r="B478" s="1" t="s">
        <v>103</v>
      </c>
      <c r="C478" s="1" t="s">
        <v>104</v>
      </c>
      <c r="D478" s="1">
        <v>405.0</v>
      </c>
      <c r="E478" s="1">
        <v>0.0</v>
      </c>
      <c r="G478" s="1" t="s">
        <v>91</v>
      </c>
      <c r="H478" s="1" t="s">
        <v>92</v>
      </c>
      <c r="I478" s="1" t="s">
        <v>1244</v>
      </c>
      <c r="J478" s="1" t="s">
        <v>1245</v>
      </c>
      <c r="K478" s="1" t="s">
        <v>1245</v>
      </c>
      <c r="M478" s="1">
        <v>5.0</v>
      </c>
      <c r="O478" s="1">
        <v>12.342916666666667</v>
      </c>
    </row>
    <row r="479" ht="15.75" hidden="1" customHeight="1">
      <c r="A479" s="4">
        <v>45531.0</v>
      </c>
      <c r="B479" s="1" t="s">
        <v>228</v>
      </c>
      <c r="C479" s="1" t="s">
        <v>104</v>
      </c>
      <c r="D479" s="1">
        <v>368.0</v>
      </c>
      <c r="E479" s="1">
        <v>0.0</v>
      </c>
      <c r="G479" s="1" t="s">
        <v>119</v>
      </c>
      <c r="H479" s="1" t="s">
        <v>98</v>
      </c>
      <c r="I479" s="1" t="s">
        <v>1246</v>
      </c>
      <c r="J479" s="1" t="s">
        <v>1247</v>
      </c>
      <c r="K479" s="1" t="s">
        <v>1247</v>
      </c>
      <c r="M479" s="1">
        <v>12.0</v>
      </c>
      <c r="O479" s="1">
        <v>17.619583333333335</v>
      </c>
    </row>
    <row r="480" ht="15.75" hidden="1" customHeight="1">
      <c r="A480" s="4">
        <v>45531.0</v>
      </c>
      <c r="B480" s="1" t="s">
        <v>88</v>
      </c>
      <c r="C480" s="1" t="s">
        <v>89</v>
      </c>
      <c r="D480" s="1">
        <v>324.0</v>
      </c>
      <c r="E480" s="1">
        <v>0.0</v>
      </c>
      <c r="F480" s="1" t="s">
        <v>90</v>
      </c>
      <c r="G480" s="1" t="s">
        <v>91</v>
      </c>
      <c r="H480" s="1" t="s">
        <v>92</v>
      </c>
      <c r="I480" s="1" t="s">
        <v>1248</v>
      </c>
      <c r="J480" s="1" t="s">
        <v>1249</v>
      </c>
      <c r="K480" s="1" t="s">
        <v>1249</v>
      </c>
      <c r="M480" s="1">
        <v>3.0</v>
      </c>
      <c r="O480" s="1">
        <v>18.138933333333334</v>
      </c>
    </row>
    <row r="481" ht="15.75" hidden="1" customHeight="1">
      <c r="A481" s="4">
        <v>45531.0</v>
      </c>
      <c r="B481" s="1" t="s">
        <v>107</v>
      </c>
      <c r="C481" s="1" t="s">
        <v>104</v>
      </c>
      <c r="D481" s="1">
        <v>264.0</v>
      </c>
      <c r="E481" s="1">
        <v>0.0</v>
      </c>
      <c r="F481" s="1" t="s">
        <v>1250</v>
      </c>
      <c r="G481" s="1" t="s">
        <v>91</v>
      </c>
      <c r="H481" s="1" t="s">
        <v>92</v>
      </c>
      <c r="I481" s="1" t="s">
        <v>1251</v>
      </c>
      <c r="J481" s="1" t="s">
        <v>1252</v>
      </c>
      <c r="K481" s="1" t="s">
        <v>1252</v>
      </c>
      <c r="M481" s="1">
        <v>2.0</v>
      </c>
      <c r="O481" s="1">
        <v>17.70645</v>
      </c>
    </row>
    <row r="482" ht="15.75" hidden="1" customHeight="1">
      <c r="A482" s="4">
        <v>45531.0</v>
      </c>
      <c r="B482" s="1" t="s">
        <v>88</v>
      </c>
      <c r="C482" s="1" t="s">
        <v>89</v>
      </c>
      <c r="D482" s="1">
        <v>433.0</v>
      </c>
      <c r="E482" s="1">
        <v>0.0</v>
      </c>
      <c r="F482" s="1" t="s">
        <v>90</v>
      </c>
      <c r="G482" s="1" t="s">
        <v>91</v>
      </c>
      <c r="H482" s="1" t="s">
        <v>92</v>
      </c>
      <c r="I482" s="1" t="s">
        <v>1253</v>
      </c>
      <c r="J482" s="1" t="s">
        <v>1254</v>
      </c>
      <c r="K482" s="1" t="s">
        <v>1254</v>
      </c>
      <c r="M482" s="1">
        <v>5.0</v>
      </c>
      <c r="O482" s="1">
        <v>20.368916666666667</v>
      </c>
    </row>
    <row r="483" ht="15.75" hidden="1" customHeight="1">
      <c r="A483" s="4">
        <v>45531.0</v>
      </c>
      <c r="B483" s="1" t="s">
        <v>88</v>
      </c>
      <c r="C483" s="1" t="s">
        <v>89</v>
      </c>
      <c r="D483" s="1">
        <v>264.0</v>
      </c>
      <c r="E483" s="1">
        <v>0.0</v>
      </c>
      <c r="F483" s="1" t="s">
        <v>90</v>
      </c>
      <c r="G483" s="1" t="s">
        <v>91</v>
      </c>
      <c r="H483" s="1" t="s">
        <v>92</v>
      </c>
      <c r="I483" s="1" t="s">
        <v>1255</v>
      </c>
      <c r="J483" s="1" t="s">
        <v>1256</v>
      </c>
      <c r="K483" s="1" t="s">
        <v>1256</v>
      </c>
      <c r="M483" s="1">
        <v>1.0</v>
      </c>
      <c r="O483" s="1">
        <v>22.675466666666665</v>
      </c>
    </row>
    <row r="484" ht="15.75" hidden="1" customHeight="1">
      <c r="A484" s="4">
        <v>45531.0</v>
      </c>
      <c r="B484" s="1" t="s">
        <v>103</v>
      </c>
      <c r="C484" s="1" t="s">
        <v>104</v>
      </c>
      <c r="D484" s="1">
        <v>642.0</v>
      </c>
      <c r="E484" s="1">
        <v>0.0</v>
      </c>
      <c r="G484" s="1" t="s">
        <v>91</v>
      </c>
      <c r="H484" s="1" t="s">
        <v>92</v>
      </c>
      <c r="I484" s="1" t="s">
        <v>1257</v>
      </c>
      <c r="J484" s="1" t="s">
        <v>1258</v>
      </c>
      <c r="K484" s="1" t="s">
        <v>1258</v>
      </c>
      <c r="M484" s="1">
        <v>6.0</v>
      </c>
      <c r="O484" s="1">
        <v>15.440933333333334</v>
      </c>
    </row>
    <row r="485" ht="15.75" hidden="1" customHeight="1">
      <c r="A485" s="4">
        <v>45531.0</v>
      </c>
      <c r="B485" s="1" t="s">
        <v>103</v>
      </c>
      <c r="C485" s="1" t="s">
        <v>104</v>
      </c>
      <c r="D485" s="1">
        <v>1320.0</v>
      </c>
      <c r="E485" s="1">
        <v>0.0</v>
      </c>
      <c r="G485" s="1" t="s">
        <v>91</v>
      </c>
      <c r="H485" s="1" t="s">
        <v>92</v>
      </c>
      <c r="I485" s="1" t="s">
        <v>1259</v>
      </c>
      <c r="J485" s="1" t="s">
        <v>1260</v>
      </c>
      <c r="K485" s="1" t="s">
        <v>1260</v>
      </c>
      <c r="M485" s="1">
        <v>0.0</v>
      </c>
      <c r="O485" s="1">
        <v>12.82865</v>
      </c>
    </row>
    <row r="486" ht="15.75" hidden="1" customHeight="1">
      <c r="A486" s="4">
        <v>45531.0</v>
      </c>
      <c r="B486" s="1" t="s">
        <v>88</v>
      </c>
      <c r="C486" s="1" t="s">
        <v>89</v>
      </c>
      <c r="D486" s="1">
        <v>658.0</v>
      </c>
      <c r="E486" s="1">
        <v>0.0</v>
      </c>
      <c r="F486" s="1" t="s">
        <v>90</v>
      </c>
      <c r="G486" s="1" t="s">
        <v>91</v>
      </c>
      <c r="H486" s="1" t="s">
        <v>92</v>
      </c>
      <c r="I486" s="1" t="s">
        <v>1261</v>
      </c>
      <c r="J486" s="1" t="s">
        <v>1262</v>
      </c>
      <c r="K486" s="1" t="s">
        <v>1262</v>
      </c>
      <c r="M486" s="1">
        <v>1.0</v>
      </c>
      <c r="O486" s="1">
        <v>21.857966666666666</v>
      </c>
    </row>
    <row r="487" ht="15.75" hidden="1" customHeight="1">
      <c r="A487" s="4">
        <v>45531.0</v>
      </c>
      <c r="B487" s="1" t="s">
        <v>88</v>
      </c>
      <c r="C487" s="1" t="s">
        <v>89</v>
      </c>
      <c r="D487" s="1">
        <v>338.0</v>
      </c>
      <c r="E487" s="1">
        <v>0.0</v>
      </c>
      <c r="F487" s="1" t="s">
        <v>90</v>
      </c>
      <c r="G487" s="1" t="s">
        <v>91</v>
      </c>
      <c r="H487" s="1" t="s">
        <v>92</v>
      </c>
      <c r="I487" s="1" t="s">
        <v>1263</v>
      </c>
      <c r="J487" s="1" t="s">
        <v>1264</v>
      </c>
      <c r="K487" s="1" t="s">
        <v>1264</v>
      </c>
      <c r="M487" s="1">
        <v>-9.0</v>
      </c>
      <c r="O487" s="1">
        <v>5.5033</v>
      </c>
    </row>
    <row r="488" ht="15.75" hidden="1" customHeight="1">
      <c r="A488" s="4">
        <v>45531.0</v>
      </c>
      <c r="B488" s="1" t="s">
        <v>95</v>
      </c>
      <c r="C488" s="1" t="s">
        <v>104</v>
      </c>
      <c r="D488" s="1">
        <v>219.0</v>
      </c>
      <c r="E488" s="1">
        <v>50.0</v>
      </c>
      <c r="G488" s="1" t="s">
        <v>119</v>
      </c>
      <c r="H488" s="1" t="s">
        <v>213</v>
      </c>
      <c r="I488" s="1" t="s">
        <v>1265</v>
      </c>
      <c r="J488" s="1" t="s">
        <v>1266</v>
      </c>
      <c r="K488" s="1" t="s">
        <v>1266</v>
      </c>
      <c r="M488" s="1">
        <v>-6.0</v>
      </c>
      <c r="O488" s="1">
        <v>12.267583333333333</v>
      </c>
    </row>
    <row r="489" ht="15.75" hidden="1" customHeight="1">
      <c r="A489" s="4">
        <v>45531.0</v>
      </c>
      <c r="B489" s="1" t="s">
        <v>103</v>
      </c>
      <c r="C489" s="1" t="s">
        <v>104</v>
      </c>
      <c r="D489" s="1">
        <v>803.0</v>
      </c>
      <c r="E489" s="1">
        <v>0.0</v>
      </c>
      <c r="G489" s="1" t="s">
        <v>91</v>
      </c>
      <c r="H489" s="1" t="s">
        <v>98</v>
      </c>
      <c r="I489" s="1" t="s">
        <v>1267</v>
      </c>
      <c r="J489" s="1" t="s">
        <v>1268</v>
      </c>
      <c r="K489" s="1" t="s">
        <v>1268</v>
      </c>
      <c r="M489" s="1">
        <v>4.0</v>
      </c>
      <c r="O489" s="1">
        <v>14.100116666666667</v>
      </c>
    </row>
    <row r="490" ht="15.75" hidden="1" customHeight="1">
      <c r="A490" s="4">
        <v>45531.0</v>
      </c>
      <c r="B490" s="1" t="s">
        <v>95</v>
      </c>
      <c r="C490" s="1" t="s">
        <v>104</v>
      </c>
      <c r="D490" s="1">
        <v>238.0</v>
      </c>
      <c r="E490" s="1">
        <v>71.0</v>
      </c>
      <c r="G490" s="1" t="s">
        <v>119</v>
      </c>
      <c r="H490" s="1" t="s">
        <v>213</v>
      </c>
      <c r="I490" s="1" t="s">
        <v>1269</v>
      </c>
      <c r="J490" s="1" t="s">
        <v>1270</v>
      </c>
      <c r="K490" s="1" t="s">
        <v>1270</v>
      </c>
      <c r="M490" s="1">
        <v>-8.0</v>
      </c>
      <c r="O490" s="1">
        <v>32.6817</v>
      </c>
    </row>
    <row r="491" ht="15.75" hidden="1" customHeight="1">
      <c r="A491" s="4">
        <v>45531.0</v>
      </c>
      <c r="B491" s="1" t="s">
        <v>103</v>
      </c>
      <c r="C491" s="1" t="s">
        <v>104</v>
      </c>
      <c r="D491" s="1">
        <v>633.0</v>
      </c>
      <c r="E491" s="1">
        <v>0.0</v>
      </c>
      <c r="G491" s="1" t="s">
        <v>91</v>
      </c>
      <c r="H491" s="1" t="s">
        <v>92</v>
      </c>
      <c r="I491" s="1" t="s">
        <v>1271</v>
      </c>
      <c r="J491" s="1" t="s">
        <v>1272</v>
      </c>
      <c r="K491" s="1" t="s">
        <v>1272</v>
      </c>
      <c r="M491" s="1">
        <v>1.0</v>
      </c>
      <c r="O491" s="1">
        <v>9.989016666666666</v>
      </c>
    </row>
    <row r="492" ht="15.75" hidden="1" customHeight="1">
      <c r="A492" s="4">
        <v>45531.0</v>
      </c>
      <c r="B492" s="1" t="s">
        <v>103</v>
      </c>
      <c r="C492" s="1" t="s">
        <v>104</v>
      </c>
      <c r="D492" s="1">
        <v>669.0</v>
      </c>
      <c r="E492" s="1">
        <v>0.0</v>
      </c>
      <c r="G492" s="1" t="s">
        <v>91</v>
      </c>
      <c r="H492" s="1" t="s">
        <v>92</v>
      </c>
      <c r="I492" s="1" t="s">
        <v>1273</v>
      </c>
      <c r="J492" s="1" t="s">
        <v>1274</v>
      </c>
      <c r="K492" s="1" t="s">
        <v>1274</v>
      </c>
      <c r="M492" s="1">
        <v>4.0</v>
      </c>
      <c r="O492" s="1">
        <v>13.851966666666666</v>
      </c>
    </row>
    <row r="493" ht="15.75" hidden="1" customHeight="1">
      <c r="A493" s="4">
        <v>45532.0</v>
      </c>
      <c r="B493" s="1" t="s">
        <v>95</v>
      </c>
      <c r="C493" s="1" t="s">
        <v>104</v>
      </c>
      <c r="D493" s="1">
        <v>219.0</v>
      </c>
      <c r="E493" s="1">
        <v>55.0</v>
      </c>
      <c r="G493" s="1" t="s">
        <v>119</v>
      </c>
      <c r="H493" s="1" t="s">
        <v>98</v>
      </c>
      <c r="I493" s="1" t="s">
        <v>1275</v>
      </c>
      <c r="J493" s="1" t="s">
        <v>1276</v>
      </c>
      <c r="K493" s="1" t="s">
        <v>1276</v>
      </c>
      <c r="M493" s="1">
        <v>13.0</v>
      </c>
      <c r="O493" s="1">
        <v>32.6449</v>
      </c>
    </row>
    <row r="494" ht="15.75" hidden="1" customHeight="1">
      <c r="A494" s="4">
        <v>45532.0</v>
      </c>
      <c r="B494" s="1" t="s">
        <v>103</v>
      </c>
      <c r="C494" s="1" t="s">
        <v>104</v>
      </c>
      <c r="D494" s="1">
        <v>450.0</v>
      </c>
      <c r="E494" s="1">
        <v>0.0</v>
      </c>
      <c r="G494" s="1" t="s">
        <v>91</v>
      </c>
      <c r="H494" s="1" t="s">
        <v>92</v>
      </c>
      <c r="I494" s="1" t="s">
        <v>1277</v>
      </c>
      <c r="J494" s="1" t="s">
        <v>1278</v>
      </c>
      <c r="K494" s="1" t="s">
        <v>1278</v>
      </c>
      <c r="M494" s="1">
        <v>0.0</v>
      </c>
      <c r="O494" s="1">
        <v>7.5291</v>
      </c>
    </row>
    <row r="495" ht="15.75" hidden="1" customHeight="1">
      <c r="A495" s="4">
        <v>45532.0</v>
      </c>
      <c r="B495" s="1" t="s">
        <v>88</v>
      </c>
      <c r="C495" s="1" t="s">
        <v>89</v>
      </c>
      <c r="D495" s="1">
        <v>593.0</v>
      </c>
      <c r="E495" s="1">
        <v>0.0</v>
      </c>
      <c r="F495" s="1" t="s">
        <v>90</v>
      </c>
      <c r="G495" s="1" t="s">
        <v>91</v>
      </c>
      <c r="H495" s="1" t="s">
        <v>92</v>
      </c>
      <c r="I495" s="1" t="s">
        <v>1279</v>
      </c>
      <c r="J495" s="1" t="s">
        <v>1280</v>
      </c>
      <c r="K495" s="1" t="s">
        <v>1280</v>
      </c>
      <c r="M495" s="1">
        <v>2.0</v>
      </c>
      <c r="O495" s="1">
        <v>22.298666666666666</v>
      </c>
    </row>
    <row r="496" ht="15.75" hidden="1" customHeight="1">
      <c r="A496" s="4">
        <v>45532.0</v>
      </c>
      <c r="B496" s="1" t="s">
        <v>103</v>
      </c>
      <c r="C496" s="1" t="s">
        <v>104</v>
      </c>
      <c r="D496" s="1">
        <v>458.0</v>
      </c>
      <c r="E496" s="1">
        <v>0.0</v>
      </c>
      <c r="G496" s="1" t="s">
        <v>91</v>
      </c>
      <c r="H496" s="1" t="s">
        <v>92</v>
      </c>
      <c r="I496" s="1" t="s">
        <v>1281</v>
      </c>
      <c r="J496" s="1" t="s">
        <v>1282</v>
      </c>
      <c r="K496" s="1" t="s">
        <v>1282</v>
      </c>
      <c r="M496" s="1">
        <v>4.0</v>
      </c>
      <c r="O496" s="1">
        <v>12.878616666666666</v>
      </c>
    </row>
    <row r="497" ht="15.75" hidden="1" customHeight="1">
      <c r="A497" s="4">
        <v>45532.0</v>
      </c>
      <c r="B497" s="1" t="s">
        <v>88</v>
      </c>
      <c r="C497" s="1" t="s">
        <v>89</v>
      </c>
      <c r="D497" s="1">
        <v>528.0</v>
      </c>
      <c r="E497" s="1">
        <v>0.0</v>
      </c>
      <c r="F497" s="1" t="s">
        <v>90</v>
      </c>
      <c r="G497" s="1" t="s">
        <v>91</v>
      </c>
      <c r="H497" s="1" t="s">
        <v>92</v>
      </c>
      <c r="I497" s="1" t="s">
        <v>1283</v>
      </c>
      <c r="J497" s="1" t="s">
        <v>1284</v>
      </c>
      <c r="K497" s="1" t="s">
        <v>1284</v>
      </c>
      <c r="M497" s="1">
        <v>-9.0</v>
      </c>
      <c r="O497" s="1">
        <v>10.368266666666667</v>
      </c>
    </row>
    <row r="498" ht="15.75" hidden="1" customHeight="1">
      <c r="A498" s="4">
        <v>45532.0</v>
      </c>
      <c r="B498" s="1" t="s">
        <v>228</v>
      </c>
      <c r="C498" s="1" t="s">
        <v>104</v>
      </c>
      <c r="D498" s="1">
        <v>49.0</v>
      </c>
      <c r="E498" s="1">
        <v>0.0</v>
      </c>
      <c r="G498" s="1" t="s">
        <v>119</v>
      </c>
      <c r="H498" s="1" t="s">
        <v>98</v>
      </c>
      <c r="I498" s="1" t="s">
        <v>1285</v>
      </c>
      <c r="J498" s="1" t="s">
        <v>1286</v>
      </c>
      <c r="K498" s="1" t="s">
        <v>1286</v>
      </c>
      <c r="M498" s="1">
        <v>0.0</v>
      </c>
      <c r="O498" s="1">
        <v>4.5013</v>
      </c>
    </row>
    <row r="499" ht="15.75" hidden="1" customHeight="1">
      <c r="A499" s="4">
        <v>45532.0</v>
      </c>
      <c r="B499" s="1" t="s">
        <v>88</v>
      </c>
      <c r="C499" s="1" t="s">
        <v>89</v>
      </c>
      <c r="D499" s="1">
        <v>258.0</v>
      </c>
      <c r="E499" s="1">
        <v>0.0</v>
      </c>
      <c r="F499" s="1" t="s">
        <v>90</v>
      </c>
      <c r="G499" s="1" t="s">
        <v>91</v>
      </c>
      <c r="H499" s="1" t="s">
        <v>92</v>
      </c>
      <c r="I499" s="1" t="s">
        <v>1287</v>
      </c>
      <c r="J499" s="1" t="s">
        <v>1288</v>
      </c>
      <c r="K499" s="1" t="s">
        <v>1288</v>
      </c>
      <c r="M499" s="1">
        <v>-13.0</v>
      </c>
      <c r="O499" s="1">
        <v>1.0134666666666667</v>
      </c>
    </row>
    <row r="500" ht="15.75" hidden="1" customHeight="1">
      <c r="A500" s="4">
        <v>45532.0</v>
      </c>
      <c r="B500" s="1" t="s">
        <v>88</v>
      </c>
      <c r="C500" s="1" t="s">
        <v>89</v>
      </c>
      <c r="D500" s="1">
        <v>264.0</v>
      </c>
      <c r="E500" s="1">
        <v>0.0</v>
      </c>
      <c r="F500" s="1" t="s">
        <v>90</v>
      </c>
      <c r="G500" s="1" t="s">
        <v>91</v>
      </c>
      <c r="H500" s="1" t="s">
        <v>92</v>
      </c>
      <c r="I500" s="1" t="s">
        <v>1289</v>
      </c>
      <c r="J500" s="1" t="s">
        <v>1290</v>
      </c>
      <c r="K500" s="1" t="s">
        <v>1290</v>
      </c>
      <c r="M500" s="1">
        <v>-7.0</v>
      </c>
      <c r="O500" s="1">
        <v>7.387583333333334</v>
      </c>
    </row>
    <row r="501" ht="15.75" hidden="1" customHeight="1">
      <c r="A501" s="4">
        <v>45532.0</v>
      </c>
      <c r="B501" s="1" t="s">
        <v>107</v>
      </c>
      <c r="C501" s="1" t="s">
        <v>104</v>
      </c>
      <c r="D501" s="1">
        <v>329.0</v>
      </c>
      <c r="E501" s="1">
        <v>0.0</v>
      </c>
      <c r="F501" s="1" t="s">
        <v>348</v>
      </c>
      <c r="G501" s="1" t="s">
        <v>91</v>
      </c>
      <c r="H501" s="1" t="s">
        <v>92</v>
      </c>
      <c r="I501" s="1" t="s">
        <v>1291</v>
      </c>
      <c r="J501" s="1" t="s">
        <v>1292</v>
      </c>
      <c r="K501" s="1" t="s">
        <v>1292</v>
      </c>
      <c r="M501" s="1">
        <v>-7.0</v>
      </c>
      <c r="O501" s="1">
        <v>7.9579</v>
      </c>
    </row>
    <row r="502" ht="15.75" hidden="1" customHeight="1">
      <c r="A502" s="4">
        <v>45532.0</v>
      </c>
      <c r="B502" s="1" t="s">
        <v>103</v>
      </c>
      <c r="C502" s="1" t="s">
        <v>104</v>
      </c>
      <c r="D502" s="1">
        <v>321.0</v>
      </c>
      <c r="E502" s="1">
        <v>0.0</v>
      </c>
      <c r="G502" s="1" t="s">
        <v>91</v>
      </c>
      <c r="H502" s="1" t="s">
        <v>92</v>
      </c>
      <c r="I502" s="1" t="s">
        <v>1293</v>
      </c>
      <c r="J502" s="1" t="s">
        <v>1294</v>
      </c>
      <c r="K502" s="1" t="s">
        <v>1294</v>
      </c>
      <c r="M502" s="1">
        <v>4.0</v>
      </c>
      <c r="O502" s="1">
        <v>11.045566666666666</v>
      </c>
    </row>
    <row r="503" ht="15.75" hidden="1" customHeight="1">
      <c r="A503" s="4">
        <v>45532.0</v>
      </c>
      <c r="B503" s="1" t="s">
        <v>95</v>
      </c>
      <c r="C503" s="1" t="s">
        <v>104</v>
      </c>
      <c r="D503" s="1">
        <v>167.0</v>
      </c>
      <c r="E503" s="1">
        <v>42.0</v>
      </c>
      <c r="G503" s="1" t="s">
        <v>119</v>
      </c>
      <c r="H503" s="1" t="s">
        <v>213</v>
      </c>
      <c r="I503" s="1" t="s">
        <v>1295</v>
      </c>
      <c r="J503" s="1" t="s">
        <v>1296</v>
      </c>
      <c r="K503" s="1" t="s">
        <v>1296</v>
      </c>
      <c r="M503" s="1">
        <v>-22.0</v>
      </c>
      <c r="O503" s="1">
        <v>24.156</v>
      </c>
    </row>
    <row r="504" ht="15.75" hidden="1" customHeight="1">
      <c r="A504" s="4">
        <v>45532.0</v>
      </c>
      <c r="B504" s="1" t="s">
        <v>103</v>
      </c>
      <c r="C504" s="1" t="s">
        <v>104</v>
      </c>
      <c r="D504" s="1">
        <v>319.0</v>
      </c>
      <c r="E504" s="1">
        <v>0.0</v>
      </c>
      <c r="G504" s="1" t="s">
        <v>91</v>
      </c>
      <c r="H504" s="1" t="s">
        <v>92</v>
      </c>
      <c r="I504" s="1" t="s">
        <v>1297</v>
      </c>
      <c r="J504" s="1" t="s">
        <v>1298</v>
      </c>
      <c r="K504" s="1" t="s">
        <v>1298</v>
      </c>
      <c r="M504" s="1">
        <v>0.0</v>
      </c>
      <c r="O504" s="1">
        <v>7.17855</v>
      </c>
    </row>
    <row r="505" ht="15.75" hidden="1" customHeight="1">
      <c r="A505" s="4">
        <v>45532.0</v>
      </c>
      <c r="B505" s="1" t="s">
        <v>88</v>
      </c>
      <c r="C505" s="1" t="s">
        <v>89</v>
      </c>
      <c r="D505" s="1">
        <v>321.0</v>
      </c>
      <c r="E505" s="1">
        <v>0.0</v>
      </c>
      <c r="F505" s="1" t="s">
        <v>90</v>
      </c>
      <c r="G505" s="1" t="s">
        <v>91</v>
      </c>
      <c r="H505" s="1" t="s">
        <v>92</v>
      </c>
      <c r="I505" s="1" t="s">
        <v>1299</v>
      </c>
      <c r="J505" s="1" t="s">
        <v>1300</v>
      </c>
      <c r="K505" s="1" t="s">
        <v>1300</v>
      </c>
      <c r="M505" s="1">
        <v>-5.0</v>
      </c>
      <c r="O505" s="1">
        <v>9.580633333333333</v>
      </c>
    </row>
    <row r="506" ht="15.75" hidden="1" customHeight="1">
      <c r="A506" s="4">
        <v>45532.0</v>
      </c>
      <c r="B506" s="1" t="s">
        <v>95</v>
      </c>
      <c r="C506" s="1" t="s">
        <v>89</v>
      </c>
      <c r="D506" s="1">
        <v>537.0</v>
      </c>
      <c r="E506" s="1">
        <v>0.0</v>
      </c>
      <c r="F506" s="1" t="s">
        <v>71</v>
      </c>
      <c r="G506" s="1" t="s">
        <v>97</v>
      </c>
      <c r="H506" s="1" t="s">
        <v>98</v>
      </c>
      <c r="I506" s="1" t="s">
        <v>1301</v>
      </c>
      <c r="J506" s="1" t="s">
        <v>1302</v>
      </c>
      <c r="K506" s="1" t="s">
        <v>1303</v>
      </c>
      <c r="L506" s="1" t="s">
        <v>1304</v>
      </c>
      <c r="M506" s="1">
        <v>2.0</v>
      </c>
      <c r="N506" s="1">
        <v>0.009283333333333333</v>
      </c>
      <c r="O506" s="1">
        <v>15.068933333333334</v>
      </c>
    </row>
    <row r="507" ht="15.75" hidden="1" customHeight="1">
      <c r="A507" s="4">
        <v>45532.0</v>
      </c>
      <c r="B507" s="1" t="s">
        <v>103</v>
      </c>
      <c r="C507" s="1" t="s">
        <v>104</v>
      </c>
      <c r="D507" s="1">
        <v>324.0</v>
      </c>
      <c r="E507" s="1">
        <v>0.0</v>
      </c>
      <c r="G507" s="1" t="s">
        <v>91</v>
      </c>
      <c r="H507" s="1" t="s">
        <v>92</v>
      </c>
      <c r="I507" s="1" t="s">
        <v>1305</v>
      </c>
      <c r="J507" s="1" t="s">
        <v>1306</v>
      </c>
      <c r="K507" s="1" t="s">
        <v>1306</v>
      </c>
      <c r="M507" s="1">
        <v>1.0</v>
      </c>
      <c r="O507" s="1">
        <v>8.28235</v>
      </c>
    </row>
    <row r="508" ht="15.75" hidden="1" customHeight="1">
      <c r="A508" s="4">
        <v>45532.0</v>
      </c>
      <c r="B508" s="1" t="s">
        <v>95</v>
      </c>
      <c r="C508" s="1" t="s">
        <v>104</v>
      </c>
      <c r="D508" s="1">
        <v>546.0</v>
      </c>
      <c r="E508" s="1">
        <v>137.0</v>
      </c>
      <c r="G508" s="1" t="s">
        <v>119</v>
      </c>
      <c r="H508" s="1" t="s">
        <v>92</v>
      </c>
      <c r="I508" s="1" t="s">
        <v>1307</v>
      </c>
      <c r="J508" s="1" t="s">
        <v>1308</v>
      </c>
      <c r="K508" s="1" t="s">
        <v>1308</v>
      </c>
      <c r="M508" s="1">
        <v>-11.0</v>
      </c>
      <c r="O508" s="1">
        <v>12.371366666666667</v>
      </c>
    </row>
    <row r="509" ht="15.75" hidden="1" customHeight="1">
      <c r="A509" s="4">
        <v>45532.0</v>
      </c>
      <c r="B509" s="1" t="s">
        <v>88</v>
      </c>
      <c r="C509" s="1" t="s">
        <v>89</v>
      </c>
      <c r="D509" s="1">
        <v>321.0</v>
      </c>
      <c r="E509" s="1">
        <v>0.0</v>
      </c>
      <c r="F509" s="1" t="s">
        <v>90</v>
      </c>
      <c r="G509" s="1" t="s">
        <v>91</v>
      </c>
      <c r="H509" s="1" t="s">
        <v>92</v>
      </c>
      <c r="I509" s="1" t="s">
        <v>1309</v>
      </c>
      <c r="J509" s="1" t="s">
        <v>1310</v>
      </c>
      <c r="K509" s="1" t="s">
        <v>1310</v>
      </c>
      <c r="M509" s="1">
        <v>-8.0</v>
      </c>
      <c r="O509" s="1">
        <v>6.5447</v>
      </c>
    </row>
    <row r="510" ht="15.75" hidden="1" customHeight="1">
      <c r="A510" s="4">
        <v>45532.0</v>
      </c>
      <c r="B510" s="1" t="s">
        <v>95</v>
      </c>
      <c r="C510" s="1" t="s">
        <v>89</v>
      </c>
      <c r="D510" s="1">
        <v>269.0</v>
      </c>
      <c r="E510" s="1">
        <v>0.0</v>
      </c>
      <c r="F510" s="1" t="s">
        <v>71</v>
      </c>
      <c r="G510" s="1" t="s">
        <v>97</v>
      </c>
      <c r="H510" s="1" t="s">
        <v>92</v>
      </c>
      <c r="I510" s="1" t="s">
        <v>1311</v>
      </c>
      <c r="J510" s="1" t="s">
        <v>1312</v>
      </c>
      <c r="K510" s="1" t="s">
        <v>1313</v>
      </c>
      <c r="L510" s="1" t="s">
        <v>1314</v>
      </c>
      <c r="M510" s="1">
        <v>-20.0</v>
      </c>
      <c r="N510" s="1">
        <v>0.009133333333333334</v>
      </c>
      <c r="O510" s="1">
        <v>5.74055</v>
      </c>
    </row>
    <row r="511" ht="15.75" hidden="1" customHeight="1">
      <c r="A511" s="4">
        <v>45532.0</v>
      </c>
      <c r="B511" s="1" t="s">
        <v>103</v>
      </c>
      <c r="C511" s="1" t="s">
        <v>104</v>
      </c>
      <c r="D511" s="1">
        <v>378.0</v>
      </c>
      <c r="E511" s="1">
        <v>0.0</v>
      </c>
      <c r="G511" s="1" t="s">
        <v>91</v>
      </c>
      <c r="H511" s="1" t="s">
        <v>92</v>
      </c>
      <c r="I511" s="1" t="s">
        <v>1315</v>
      </c>
      <c r="J511" s="1" t="s">
        <v>1316</v>
      </c>
      <c r="K511" s="1" t="s">
        <v>1316</v>
      </c>
      <c r="M511" s="1">
        <v>2.0</v>
      </c>
      <c r="O511" s="1">
        <v>10.158366666666666</v>
      </c>
    </row>
    <row r="512" ht="15.75" hidden="1" customHeight="1">
      <c r="A512" s="4">
        <v>45532.0</v>
      </c>
      <c r="B512" s="1" t="s">
        <v>95</v>
      </c>
      <c r="C512" s="1" t="s">
        <v>104</v>
      </c>
      <c r="D512" s="1">
        <v>167.0</v>
      </c>
      <c r="E512" s="1">
        <v>42.0</v>
      </c>
      <c r="G512" s="1" t="s">
        <v>119</v>
      </c>
      <c r="H512" s="1" t="s">
        <v>98</v>
      </c>
      <c r="I512" s="1" t="s">
        <v>1317</v>
      </c>
      <c r="J512" s="1" t="s">
        <v>1318</v>
      </c>
      <c r="K512" s="1" t="s">
        <v>1318</v>
      </c>
      <c r="M512" s="1">
        <v>-7.0</v>
      </c>
      <c r="O512" s="1">
        <v>12.300283333333333</v>
      </c>
    </row>
    <row r="513" ht="15.75" hidden="1" customHeight="1">
      <c r="A513" s="4">
        <v>45532.0</v>
      </c>
      <c r="B513" s="1" t="s">
        <v>95</v>
      </c>
      <c r="C513" s="1" t="s">
        <v>89</v>
      </c>
      <c r="D513" s="1">
        <v>309.0</v>
      </c>
      <c r="E513" s="1">
        <v>0.0</v>
      </c>
      <c r="F513" s="1" t="s">
        <v>71</v>
      </c>
      <c r="G513" s="1" t="s">
        <v>97</v>
      </c>
      <c r="H513" s="1" t="s">
        <v>92</v>
      </c>
      <c r="I513" s="1" t="s">
        <v>1319</v>
      </c>
      <c r="J513" s="1" t="s">
        <v>1320</v>
      </c>
      <c r="K513" s="1" t="s">
        <v>1321</v>
      </c>
      <c r="L513" s="1" t="s">
        <v>1322</v>
      </c>
      <c r="M513" s="1">
        <v>-6.0</v>
      </c>
      <c r="N513" s="1">
        <v>0.01235</v>
      </c>
      <c r="O513" s="1">
        <v>7.2319</v>
      </c>
    </row>
    <row r="514" ht="15.75" hidden="1" customHeight="1">
      <c r="A514" s="4">
        <v>45532.0</v>
      </c>
      <c r="B514" s="1" t="s">
        <v>88</v>
      </c>
      <c r="C514" s="1" t="s">
        <v>89</v>
      </c>
      <c r="D514" s="1">
        <v>313.0</v>
      </c>
      <c r="E514" s="1">
        <v>0.0</v>
      </c>
      <c r="F514" s="1" t="s">
        <v>90</v>
      </c>
      <c r="G514" s="1" t="s">
        <v>91</v>
      </c>
      <c r="H514" s="1" t="s">
        <v>92</v>
      </c>
      <c r="I514" s="1" t="s">
        <v>1323</v>
      </c>
      <c r="J514" s="1" t="s">
        <v>1324</v>
      </c>
      <c r="K514" s="1" t="s">
        <v>1324</v>
      </c>
      <c r="M514" s="1">
        <v>-3.0</v>
      </c>
      <c r="O514" s="1">
        <v>11.92215</v>
      </c>
    </row>
    <row r="515" ht="15.75" hidden="1" customHeight="1">
      <c r="A515" s="4">
        <v>45532.0</v>
      </c>
      <c r="B515" s="1" t="s">
        <v>95</v>
      </c>
      <c r="C515" s="1" t="s">
        <v>89</v>
      </c>
      <c r="D515" s="1">
        <v>481.0</v>
      </c>
      <c r="E515" s="1">
        <v>25.0</v>
      </c>
      <c r="F515" s="1" t="s">
        <v>71</v>
      </c>
      <c r="G515" s="1" t="s">
        <v>97</v>
      </c>
      <c r="H515" s="1" t="s">
        <v>92</v>
      </c>
      <c r="I515" s="1" t="s">
        <v>1325</v>
      </c>
      <c r="J515" s="1" t="s">
        <v>1326</v>
      </c>
      <c r="K515" s="1" t="s">
        <v>1327</v>
      </c>
      <c r="L515" s="1" t="s">
        <v>1328</v>
      </c>
      <c r="M515" s="1">
        <v>0.0</v>
      </c>
      <c r="N515" s="1">
        <v>0.016533333333333334</v>
      </c>
      <c r="O515" s="1">
        <v>12.51445</v>
      </c>
    </row>
    <row r="516" ht="15.75" hidden="1" customHeight="1">
      <c r="A516" s="4">
        <v>45532.0</v>
      </c>
      <c r="B516" s="1" t="s">
        <v>95</v>
      </c>
      <c r="C516" s="1" t="s">
        <v>89</v>
      </c>
      <c r="D516" s="1">
        <v>368.0</v>
      </c>
      <c r="E516" s="1">
        <v>0.0</v>
      </c>
      <c r="F516" s="1" t="s">
        <v>90</v>
      </c>
      <c r="G516" s="1" t="s">
        <v>97</v>
      </c>
      <c r="H516" s="1" t="s">
        <v>98</v>
      </c>
      <c r="I516" s="1" t="s">
        <v>1329</v>
      </c>
      <c r="J516" s="1" t="s">
        <v>1330</v>
      </c>
      <c r="K516" s="1" t="s">
        <v>1331</v>
      </c>
      <c r="L516" s="1" t="s">
        <v>1332</v>
      </c>
      <c r="M516" s="1">
        <v>-9.0</v>
      </c>
      <c r="N516" s="1">
        <v>2.4170166666666666</v>
      </c>
      <c r="O516" s="1">
        <v>8.053183333333333</v>
      </c>
    </row>
    <row r="517" ht="15.75" hidden="1" customHeight="1">
      <c r="A517" s="4">
        <v>45532.0</v>
      </c>
      <c r="B517" s="1" t="s">
        <v>103</v>
      </c>
      <c r="C517" s="1" t="s">
        <v>104</v>
      </c>
      <c r="D517" s="1">
        <v>429.0</v>
      </c>
      <c r="E517" s="1">
        <v>0.0</v>
      </c>
      <c r="G517" s="1" t="s">
        <v>91</v>
      </c>
      <c r="H517" s="1" t="s">
        <v>92</v>
      </c>
      <c r="I517" s="1" t="s">
        <v>1333</v>
      </c>
      <c r="J517" s="1" t="s">
        <v>1334</v>
      </c>
      <c r="K517" s="1" t="s">
        <v>1334</v>
      </c>
      <c r="M517" s="1">
        <v>3.0</v>
      </c>
      <c r="O517" s="1">
        <v>11.526866666666667</v>
      </c>
    </row>
    <row r="518" ht="15.75" hidden="1" customHeight="1">
      <c r="A518" s="4">
        <v>45532.0</v>
      </c>
      <c r="B518" s="1" t="s">
        <v>107</v>
      </c>
      <c r="C518" s="1" t="s">
        <v>104</v>
      </c>
      <c r="D518" s="1">
        <v>364.0</v>
      </c>
      <c r="E518" s="1">
        <v>0.0</v>
      </c>
      <c r="F518" s="1" t="s">
        <v>202</v>
      </c>
      <c r="G518" s="1" t="s">
        <v>91</v>
      </c>
      <c r="H518" s="1" t="s">
        <v>92</v>
      </c>
      <c r="I518" s="1" t="s">
        <v>1335</v>
      </c>
      <c r="J518" s="1" t="s">
        <v>1336</v>
      </c>
      <c r="K518" s="1" t="s">
        <v>1336</v>
      </c>
      <c r="M518" s="1">
        <v>-6.0</v>
      </c>
      <c r="O518" s="1">
        <v>8.672866666666666</v>
      </c>
    </row>
    <row r="519" ht="15.75" hidden="1" customHeight="1">
      <c r="A519" s="4">
        <v>45532.0</v>
      </c>
      <c r="B519" s="1" t="s">
        <v>88</v>
      </c>
      <c r="C519" s="1" t="s">
        <v>89</v>
      </c>
      <c r="D519" s="1">
        <v>264.0</v>
      </c>
      <c r="E519" s="1">
        <v>0.0</v>
      </c>
      <c r="F519" s="1" t="s">
        <v>90</v>
      </c>
      <c r="G519" s="1" t="s">
        <v>91</v>
      </c>
      <c r="H519" s="1" t="s">
        <v>92</v>
      </c>
      <c r="I519" s="1" t="s">
        <v>1337</v>
      </c>
      <c r="J519" s="1" t="s">
        <v>1338</v>
      </c>
      <c r="K519" s="1" t="s">
        <v>1338</v>
      </c>
      <c r="M519" s="1">
        <v>-8.0</v>
      </c>
      <c r="O519" s="1">
        <v>6.247733333333334</v>
      </c>
    </row>
    <row r="520" ht="15.75" hidden="1" customHeight="1">
      <c r="A520" s="4">
        <v>45532.0</v>
      </c>
      <c r="B520" s="1" t="s">
        <v>88</v>
      </c>
      <c r="C520" s="1" t="s">
        <v>89</v>
      </c>
      <c r="D520" s="1">
        <v>303.0</v>
      </c>
      <c r="E520" s="1">
        <v>0.0</v>
      </c>
      <c r="F520" s="1" t="s">
        <v>90</v>
      </c>
      <c r="G520" s="1" t="s">
        <v>91</v>
      </c>
      <c r="H520" s="1" t="s">
        <v>92</v>
      </c>
      <c r="I520" s="1" t="s">
        <v>1339</v>
      </c>
      <c r="J520" s="1" t="s">
        <v>1340</v>
      </c>
      <c r="K520" s="1" t="s">
        <v>1340</v>
      </c>
      <c r="M520" s="1">
        <v>-6.0</v>
      </c>
      <c r="O520" s="1">
        <v>8.4795</v>
      </c>
    </row>
    <row r="521" ht="15.75" hidden="1" customHeight="1">
      <c r="A521" s="4">
        <v>45532.0</v>
      </c>
      <c r="B521" s="1" t="s">
        <v>95</v>
      </c>
      <c r="C521" s="1" t="s">
        <v>89</v>
      </c>
      <c r="D521" s="1">
        <v>558.0</v>
      </c>
      <c r="E521" s="1">
        <v>0.0</v>
      </c>
      <c r="F521" s="1" t="s">
        <v>90</v>
      </c>
      <c r="G521" s="1" t="s">
        <v>97</v>
      </c>
      <c r="H521" s="1" t="s">
        <v>98</v>
      </c>
      <c r="I521" s="1" t="s">
        <v>1341</v>
      </c>
      <c r="J521" s="1" t="s">
        <v>1342</v>
      </c>
      <c r="K521" s="1" t="s">
        <v>1343</v>
      </c>
      <c r="L521" s="1" t="s">
        <v>1344</v>
      </c>
      <c r="M521" s="1">
        <v>0.0</v>
      </c>
      <c r="N521" s="1">
        <v>3.6433166666666668</v>
      </c>
      <c r="O521" s="1">
        <v>11.276783333333332</v>
      </c>
    </row>
    <row r="522" ht="15.75" hidden="1" customHeight="1">
      <c r="A522" s="4">
        <v>45532.0</v>
      </c>
      <c r="B522" s="1" t="s">
        <v>107</v>
      </c>
      <c r="C522" s="1" t="s">
        <v>104</v>
      </c>
      <c r="D522" s="1">
        <v>800.0</v>
      </c>
      <c r="E522" s="1">
        <v>0.0</v>
      </c>
      <c r="F522" s="1" t="s">
        <v>1345</v>
      </c>
      <c r="G522" s="1" t="s">
        <v>91</v>
      </c>
      <c r="H522" s="1" t="s">
        <v>92</v>
      </c>
      <c r="I522" s="1" t="s">
        <v>1346</v>
      </c>
      <c r="J522" s="1" t="s">
        <v>1347</v>
      </c>
      <c r="K522" s="1" t="s">
        <v>1347</v>
      </c>
      <c r="M522" s="1">
        <v>-10.0</v>
      </c>
      <c r="O522" s="1">
        <v>9.3686</v>
      </c>
    </row>
    <row r="523" ht="15.75" hidden="1" customHeight="1">
      <c r="A523" s="4">
        <v>45532.0</v>
      </c>
      <c r="B523" s="1" t="s">
        <v>88</v>
      </c>
      <c r="C523" s="1" t="s">
        <v>89</v>
      </c>
      <c r="D523" s="1">
        <v>413.0</v>
      </c>
      <c r="E523" s="1">
        <v>0.0</v>
      </c>
      <c r="F523" s="1" t="s">
        <v>90</v>
      </c>
      <c r="G523" s="1" t="s">
        <v>91</v>
      </c>
      <c r="H523" s="1" t="s">
        <v>92</v>
      </c>
      <c r="I523" s="1" t="s">
        <v>1348</v>
      </c>
      <c r="J523" s="1" t="s">
        <v>1349</v>
      </c>
      <c r="K523" s="1" t="s">
        <v>1349</v>
      </c>
      <c r="M523" s="1">
        <v>-6.0</v>
      </c>
      <c r="O523" s="1">
        <v>8.946333333333333</v>
      </c>
    </row>
    <row r="524" ht="15.75" hidden="1" customHeight="1">
      <c r="A524" s="4">
        <v>45532.0</v>
      </c>
      <c r="B524" s="1" t="s">
        <v>95</v>
      </c>
      <c r="C524" s="1" t="s">
        <v>89</v>
      </c>
      <c r="D524" s="1">
        <v>643.0</v>
      </c>
      <c r="E524" s="1">
        <v>0.0</v>
      </c>
      <c r="F524" s="1" t="s">
        <v>90</v>
      </c>
      <c r="G524" s="1" t="s">
        <v>97</v>
      </c>
      <c r="H524" s="1" t="s">
        <v>92</v>
      </c>
      <c r="I524" s="1" t="s">
        <v>1350</v>
      </c>
      <c r="J524" s="1" t="s">
        <v>1351</v>
      </c>
      <c r="K524" s="1" t="s">
        <v>1352</v>
      </c>
      <c r="L524" s="1" t="s">
        <v>1353</v>
      </c>
      <c r="M524" s="1">
        <v>-5.0</v>
      </c>
      <c r="N524" s="1">
        <v>1.2585166666666667</v>
      </c>
      <c r="O524" s="1">
        <v>7.4519166666666665</v>
      </c>
    </row>
    <row r="525" ht="15.75" hidden="1" customHeight="1">
      <c r="A525" s="4">
        <v>45532.0</v>
      </c>
      <c r="B525" s="1" t="s">
        <v>107</v>
      </c>
      <c r="C525" s="1" t="s">
        <v>104</v>
      </c>
      <c r="D525" s="1">
        <v>585.0</v>
      </c>
      <c r="E525" s="1">
        <v>0.0</v>
      </c>
      <c r="F525" s="1" t="s">
        <v>202</v>
      </c>
      <c r="G525" s="1" t="s">
        <v>91</v>
      </c>
      <c r="H525" s="1" t="s">
        <v>92</v>
      </c>
      <c r="I525" s="1" t="s">
        <v>1354</v>
      </c>
      <c r="J525" s="1" t="s">
        <v>1355</v>
      </c>
      <c r="K525" s="1" t="s">
        <v>1355</v>
      </c>
      <c r="M525" s="1">
        <v>-7.0</v>
      </c>
      <c r="O525" s="1">
        <v>12.031483333333334</v>
      </c>
    </row>
    <row r="526" ht="15.75" hidden="1" customHeight="1">
      <c r="A526" s="4">
        <v>45532.0</v>
      </c>
      <c r="B526" s="1" t="s">
        <v>107</v>
      </c>
      <c r="C526" s="1" t="s">
        <v>104</v>
      </c>
      <c r="D526" s="1">
        <v>129.0</v>
      </c>
      <c r="E526" s="1">
        <v>0.0</v>
      </c>
      <c r="F526" s="1" t="s">
        <v>702</v>
      </c>
      <c r="G526" s="1" t="s">
        <v>91</v>
      </c>
      <c r="H526" s="1" t="s">
        <v>92</v>
      </c>
      <c r="I526" s="1" t="s">
        <v>1356</v>
      </c>
      <c r="J526" s="1" t="s">
        <v>1357</v>
      </c>
      <c r="K526" s="1" t="s">
        <v>1357</v>
      </c>
      <c r="M526" s="1">
        <v>-5.0</v>
      </c>
      <c r="O526" s="1">
        <v>9.532116666666667</v>
      </c>
    </row>
    <row r="527" ht="15.75" hidden="1" customHeight="1">
      <c r="A527" s="4">
        <v>45532.0</v>
      </c>
      <c r="B527" s="1" t="s">
        <v>103</v>
      </c>
      <c r="C527" s="1" t="s">
        <v>104</v>
      </c>
      <c r="D527" s="1">
        <v>264.0</v>
      </c>
      <c r="E527" s="1">
        <v>0.0</v>
      </c>
      <c r="G527" s="1" t="s">
        <v>91</v>
      </c>
      <c r="H527" s="1" t="s">
        <v>92</v>
      </c>
      <c r="I527" s="1" t="s">
        <v>1358</v>
      </c>
      <c r="J527" s="1" t="s">
        <v>1359</v>
      </c>
      <c r="K527" s="1" t="s">
        <v>1359</v>
      </c>
      <c r="M527" s="1">
        <v>0.0</v>
      </c>
      <c r="O527" s="1">
        <v>6.8871166666666666</v>
      </c>
    </row>
    <row r="528" ht="15.75" hidden="1" customHeight="1">
      <c r="A528" s="4">
        <v>45532.0</v>
      </c>
      <c r="B528" s="1" t="s">
        <v>103</v>
      </c>
      <c r="C528" s="1" t="s">
        <v>104</v>
      </c>
      <c r="D528" s="1">
        <v>548.0</v>
      </c>
      <c r="E528" s="1">
        <v>0.0</v>
      </c>
      <c r="G528" s="1" t="s">
        <v>91</v>
      </c>
      <c r="H528" s="1" t="s">
        <v>92</v>
      </c>
      <c r="I528" s="1" t="s">
        <v>1360</v>
      </c>
      <c r="J528" s="1" t="s">
        <v>1361</v>
      </c>
      <c r="K528" s="1" t="s">
        <v>1361</v>
      </c>
      <c r="M528" s="1">
        <v>0.0</v>
      </c>
      <c r="O528" s="1">
        <v>9.1946</v>
      </c>
    </row>
    <row r="529" ht="15.75" hidden="1" customHeight="1">
      <c r="A529" s="4">
        <v>45532.0</v>
      </c>
      <c r="B529" s="1" t="s">
        <v>103</v>
      </c>
      <c r="C529" s="1" t="s">
        <v>104</v>
      </c>
      <c r="D529" s="1">
        <v>319.0</v>
      </c>
      <c r="E529" s="1">
        <v>0.0</v>
      </c>
      <c r="G529" s="1" t="s">
        <v>91</v>
      </c>
      <c r="H529" s="1" t="s">
        <v>92</v>
      </c>
      <c r="I529" s="1" t="s">
        <v>1362</v>
      </c>
      <c r="J529" s="1" t="s">
        <v>1363</v>
      </c>
      <c r="K529" s="1" t="s">
        <v>1363</v>
      </c>
      <c r="M529" s="1">
        <v>0.0</v>
      </c>
      <c r="O529" s="1">
        <v>7.0954</v>
      </c>
    </row>
    <row r="530" ht="15.75" hidden="1" customHeight="1">
      <c r="A530" s="4">
        <v>45532.0</v>
      </c>
      <c r="B530" s="1" t="s">
        <v>95</v>
      </c>
      <c r="C530" s="1" t="s">
        <v>104</v>
      </c>
      <c r="D530" s="1">
        <v>267.0</v>
      </c>
      <c r="E530" s="1">
        <v>67.0</v>
      </c>
      <c r="G530" s="1" t="s">
        <v>119</v>
      </c>
      <c r="H530" s="1" t="s">
        <v>92</v>
      </c>
      <c r="I530" s="1" t="s">
        <v>1364</v>
      </c>
      <c r="J530" s="1" t="s">
        <v>1365</v>
      </c>
      <c r="K530" s="1" t="s">
        <v>1365</v>
      </c>
      <c r="M530" s="1">
        <v>-2.0</v>
      </c>
      <c r="O530" s="1">
        <v>15.94915</v>
      </c>
    </row>
    <row r="531" ht="15.75" hidden="1" customHeight="1">
      <c r="A531" s="4">
        <v>45532.0</v>
      </c>
      <c r="B531" s="1" t="s">
        <v>228</v>
      </c>
      <c r="C531" s="1" t="s">
        <v>104</v>
      </c>
      <c r="D531" s="1">
        <v>249.0</v>
      </c>
      <c r="E531" s="1">
        <v>0.0</v>
      </c>
      <c r="G531" s="1" t="s">
        <v>119</v>
      </c>
      <c r="H531" s="1" t="s">
        <v>98</v>
      </c>
      <c r="I531" s="1" t="s">
        <v>1366</v>
      </c>
      <c r="J531" s="1" t="s">
        <v>1367</v>
      </c>
      <c r="K531" s="1" t="s">
        <v>1367</v>
      </c>
      <c r="M531" s="1">
        <v>3.0</v>
      </c>
      <c r="O531" s="1">
        <v>8.06925</v>
      </c>
    </row>
    <row r="532" ht="15.75" hidden="1" customHeight="1">
      <c r="A532" s="4">
        <v>45532.0</v>
      </c>
      <c r="B532" s="1" t="s">
        <v>95</v>
      </c>
      <c r="C532" s="1" t="s">
        <v>89</v>
      </c>
      <c r="D532" s="1">
        <v>568.0</v>
      </c>
      <c r="E532" s="1">
        <v>0.0</v>
      </c>
      <c r="F532" s="1" t="s">
        <v>71</v>
      </c>
      <c r="G532" s="1" t="s">
        <v>97</v>
      </c>
      <c r="H532" s="1" t="s">
        <v>92</v>
      </c>
      <c r="I532" s="1" t="s">
        <v>1368</v>
      </c>
      <c r="J532" s="1" t="s">
        <v>1369</v>
      </c>
      <c r="K532" s="1" t="s">
        <v>1370</v>
      </c>
      <c r="L532" s="1" t="s">
        <v>1371</v>
      </c>
      <c r="M532" s="1">
        <v>-13.0</v>
      </c>
      <c r="N532" s="1">
        <v>0.19411666666666666</v>
      </c>
      <c r="O532" s="1">
        <v>6.9428833333333335</v>
      </c>
    </row>
    <row r="533" ht="15.75" hidden="1" customHeight="1">
      <c r="A533" s="4">
        <v>45532.0</v>
      </c>
      <c r="B533" s="1" t="s">
        <v>95</v>
      </c>
      <c r="C533" s="1" t="s">
        <v>89</v>
      </c>
      <c r="D533" s="1">
        <v>250.0</v>
      </c>
      <c r="E533" s="1">
        <v>0.0</v>
      </c>
      <c r="F533" s="1" t="s">
        <v>71</v>
      </c>
      <c r="G533" s="1" t="s">
        <v>97</v>
      </c>
      <c r="H533" s="1" t="s">
        <v>92</v>
      </c>
      <c r="I533" s="1" t="s">
        <v>1372</v>
      </c>
      <c r="J533" s="1" t="s">
        <v>1373</v>
      </c>
      <c r="K533" s="1" t="s">
        <v>1374</v>
      </c>
      <c r="L533" s="1" t="s">
        <v>1375</v>
      </c>
      <c r="M533" s="1">
        <v>-6.0</v>
      </c>
      <c r="N533" s="1">
        <v>0.007883333333333332</v>
      </c>
      <c r="O533" s="1">
        <v>8.174383333333333</v>
      </c>
    </row>
    <row r="534" ht="15.75" hidden="1" customHeight="1">
      <c r="A534" s="4">
        <v>45532.0</v>
      </c>
      <c r="B534" s="1" t="s">
        <v>88</v>
      </c>
      <c r="C534" s="1" t="s">
        <v>89</v>
      </c>
      <c r="D534" s="1">
        <v>319.0</v>
      </c>
      <c r="E534" s="1">
        <v>0.0</v>
      </c>
      <c r="F534" s="1" t="s">
        <v>90</v>
      </c>
      <c r="G534" s="1" t="s">
        <v>91</v>
      </c>
      <c r="H534" s="1" t="s">
        <v>92</v>
      </c>
      <c r="I534" s="1" t="s">
        <v>1376</v>
      </c>
      <c r="J534" s="1" t="s">
        <v>1377</v>
      </c>
      <c r="K534" s="1" t="s">
        <v>1377</v>
      </c>
      <c r="M534" s="1">
        <v>-6.0</v>
      </c>
      <c r="O534" s="1">
        <v>8.604083333333334</v>
      </c>
    </row>
    <row r="535" ht="15.75" hidden="1" customHeight="1">
      <c r="A535" s="4">
        <v>45532.0</v>
      </c>
      <c r="B535" s="1" t="s">
        <v>103</v>
      </c>
      <c r="C535" s="1" t="s">
        <v>104</v>
      </c>
      <c r="D535" s="1">
        <v>264.0</v>
      </c>
      <c r="E535" s="1">
        <v>0.0</v>
      </c>
      <c r="G535" s="1" t="s">
        <v>91</v>
      </c>
      <c r="H535" s="1" t="s">
        <v>92</v>
      </c>
      <c r="I535" s="1" t="s">
        <v>1378</v>
      </c>
      <c r="J535" s="1" t="s">
        <v>1379</v>
      </c>
      <c r="K535" s="1" t="s">
        <v>1379</v>
      </c>
      <c r="M535" s="1">
        <v>0.0</v>
      </c>
      <c r="O535" s="1">
        <v>7.098483333333333</v>
      </c>
    </row>
    <row r="536" ht="15.75" hidden="1" customHeight="1">
      <c r="A536" s="4">
        <v>45532.0</v>
      </c>
      <c r="B536" s="1" t="s">
        <v>103</v>
      </c>
      <c r="C536" s="1" t="s">
        <v>104</v>
      </c>
      <c r="D536" s="1">
        <v>289.0</v>
      </c>
      <c r="E536" s="1">
        <v>0.0</v>
      </c>
      <c r="G536" s="1" t="s">
        <v>91</v>
      </c>
      <c r="H536" s="1" t="s">
        <v>92</v>
      </c>
      <c r="I536" s="1" t="s">
        <v>1380</v>
      </c>
      <c r="J536" s="1" t="s">
        <v>1381</v>
      </c>
      <c r="K536" s="1" t="s">
        <v>1381</v>
      </c>
      <c r="M536" s="1">
        <v>-2.0</v>
      </c>
      <c r="O536" s="1">
        <v>4.3845</v>
      </c>
    </row>
    <row r="537" ht="15.75" hidden="1" customHeight="1">
      <c r="A537" s="4">
        <v>45532.0</v>
      </c>
      <c r="B537" s="1" t="s">
        <v>88</v>
      </c>
      <c r="C537" s="1" t="s">
        <v>89</v>
      </c>
      <c r="D537" s="1">
        <v>264.0</v>
      </c>
      <c r="E537" s="1">
        <v>0.0</v>
      </c>
      <c r="F537" s="1" t="s">
        <v>90</v>
      </c>
      <c r="G537" s="1" t="s">
        <v>91</v>
      </c>
      <c r="H537" s="1" t="s">
        <v>92</v>
      </c>
      <c r="I537" s="1" t="s">
        <v>1382</v>
      </c>
      <c r="J537" s="1" t="s">
        <v>1383</v>
      </c>
      <c r="K537" s="1" t="s">
        <v>1383</v>
      </c>
      <c r="M537" s="1">
        <v>-8.0</v>
      </c>
      <c r="O537" s="1">
        <v>6.654966666666667</v>
      </c>
    </row>
    <row r="538" ht="15.75" hidden="1" customHeight="1">
      <c r="A538" s="4">
        <v>45532.0</v>
      </c>
      <c r="B538" s="1" t="s">
        <v>88</v>
      </c>
      <c r="C538" s="1" t="s">
        <v>89</v>
      </c>
      <c r="D538" s="1">
        <v>289.0</v>
      </c>
      <c r="E538" s="1">
        <v>0.0</v>
      </c>
      <c r="F538" s="1" t="s">
        <v>90</v>
      </c>
      <c r="G538" s="1" t="s">
        <v>91</v>
      </c>
      <c r="H538" s="1" t="s">
        <v>92</v>
      </c>
      <c r="I538" s="1" t="s">
        <v>1384</v>
      </c>
      <c r="J538" s="1" t="s">
        <v>1385</v>
      </c>
      <c r="K538" s="1" t="s">
        <v>1385</v>
      </c>
      <c r="M538" s="1">
        <v>-9.0</v>
      </c>
      <c r="O538" s="1">
        <v>5.686216666666667</v>
      </c>
    </row>
    <row r="539" ht="15.75" hidden="1" customHeight="1">
      <c r="A539" s="4">
        <v>45532.0</v>
      </c>
      <c r="B539" s="1" t="s">
        <v>103</v>
      </c>
      <c r="C539" s="1" t="s">
        <v>104</v>
      </c>
      <c r="D539" s="1">
        <v>329.0</v>
      </c>
      <c r="E539" s="1">
        <v>0.0</v>
      </c>
      <c r="G539" s="1" t="s">
        <v>91</v>
      </c>
      <c r="H539" s="1" t="s">
        <v>92</v>
      </c>
      <c r="I539" s="1" t="s">
        <v>1386</v>
      </c>
      <c r="J539" s="1" t="s">
        <v>1387</v>
      </c>
      <c r="K539" s="1" t="s">
        <v>1387</v>
      </c>
      <c r="M539" s="1">
        <v>-1.0</v>
      </c>
      <c r="O539" s="1">
        <v>5.68015</v>
      </c>
    </row>
    <row r="540" ht="15.75" hidden="1" customHeight="1">
      <c r="A540" s="4">
        <v>45532.0</v>
      </c>
      <c r="B540" s="1" t="s">
        <v>88</v>
      </c>
      <c r="C540" s="1" t="s">
        <v>89</v>
      </c>
      <c r="D540" s="1">
        <v>715.0</v>
      </c>
      <c r="E540" s="1">
        <v>0.0</v>
      </c>
      <c r="F540" s="1" t="s">
        <v>90</v>
      </c>
      <c r="G540" s="1" t="s">
        <v>91</v>
      </c>
      <c r="H540" s="1" t="s">
        <v>92</v>
      </c>
      <c r="I540" s="1" t="s">
        <v>1388</v>
      </c>
      <c r="J540" s="1" t="s">
        <v>1389</v>
      </c>
      <c r="K540" s="1" t="s">
        <v>1389</v>
      </c>
      <c r="M540" s="1">
        <v>-10.0</v>
      </c>
      <c r="O540" s="1">
        <v>9.592716666666666</v>
      </c>
    </row>
    <row r="541" ht="15.75" hidden="1" customHeight="1">
      <c r="A541" s="4">
        <v>45532.0</v>
      </c>
      <c r="B541" s="1" t="s">
        <v>95</v>
      </c>
      <c r="C541" s="1" t="s">
        <v>89</v>
      </c>
      <c r="D541" s="1">
        <v>414.0</v>
      </c>
      <c r="E541" s="1">
        <v>0.0</v>
      </c>
      <c r="F541" s="1" t="s">
        <v>71</v>
      </c>
      <c r="G541" s="1" t="s">
        <v>97</v>
      </c>
      <c r="H541" s="1" t="s">
        <v>92</v>
      </c>
      <c r="I541" s="1" t="s">
        <v>1390</v>
      </c>
      <c r="J541" s="1" t="s">
        <v>1391</v>
      </c>
      <c r="K541" s="1" t="s">
        <v>1392</v>
      </c>
      <c r="L541" s="1" t="s">
        <v>1393</v>
      </c>
      <c r="M541" s="1">
        <v>-10.0</v>
      </c>
      <c r="N541" s="1">
        <v>0.009283333333333333</v>
      </c>
      <c r="O541" s="1">
        <v>9.28485</v>
      </c>
    </row>
    <row r="542" ht="15.75" hidden="1" customHeight="1">
      <c r="A542" s="4">
        <v>45532.0</v>
      </c>
      <c r="B542" s="1" t="s">
        <v>103</v>
      </c>
      <c r="C542" s="1" t="s">
        <v>104</v>
      </c>
      <c r="D542" s="1">
        <v>866.0</v>
      </c>
      <c r="E542" s="1">
        <v>0.0</v>
      </c>
      <c r="G542" s="1" t="s">
        <v>91</v>
      </c>
      <c r="H542" s="1" t="s">
        <v>92</v>
      </c>
      <c r="I542" s="1" t="s">
        <v>1394</v>
      </c>
      <c r="J542" s="1" t="s">
        <v>1395</v>
      </c>
      <c r="K542" s="1" t="s">
        <v>1395</v>
      </c>
      <c r="M542" s="1">
        <v>-1.0</v>
      </c>
      <c r="O542" s="1">
        <v>8.888583333333333</v>
      </c>
    </row>
    <row r="543" ht="15.75" hidden="1" customHeight="1">
      <c r="A543" s="4">
        <v>45532.0</v>
      </c>
      <c r="B543" s="1" t="s">
        <v>103</v>
      </c>
      <c r="C543" s="1" t="s">
        <v>104</v>
      </c>
      <c r="D543" s="1">
        <v>378.0</v>
      </c>
      <c r="E543" s="1">
        <v>0.0</v>
      </c>
      <c r="G543" s="1" t="s">
        <v>91</v>
      </c>
      <c r="H543" s="1" t="s">
        <v>92</v>
      </c>
      <c r="I543" s="1" t="s">
        <v>1396</v>
      </c>
      <c r="J543" s="1" t="s">
        <v>1397</v>
      </c>
      <c r="K543" s="1" t="s">
        <v>1397</v>
      </c>
      <c r="M543" s="1">
        <v>1.0</v>
      </c>
      <c r="O543" s="1">
        <v>8.43855</v>
      </c>
    </row>
    <row r="544" ht="15.75" hidden="1" customHeight="1">
      <c r="A544" s="4">
        <v>45532.0</v>
      </c>
      <c r="B544" s="1" t="s">
        <v>107</v>
      </c>
      <c r="C544" s="1" t="s">
        <v>104</v>
      </c>
      <c r="D544" s="1">
        <v>329.0</v>
      </c>
      <c r="E544" s="1">
        <v>0.0</v>
      </c>
      <c r="F544" s="1" t="s">
        <v>348</v>
      </c>
      <c r="G544" s="1" t="s">
        <v>91</v>
      </c>
      <c r="H544" s="1" t="s">
        <v>92</v>
      </c>
      <c r="I544" s="1" t="s">
        <v>1398</v>
      </c>
      <c r="J544" s="1" t="s">
        <v>1399</v>
      </c>
      <c r="K544" s="1" t="s">
        <v>1399</v>
      </c>
      <c r="M544" s="1">
        <v>-8.0</v>
      </c>
      <c r="O544" s="1">
        <v>6.039033333333333</v>
      </c>
    </row>
    <row r="545" ht="15.75" hidden="1" customHeight="1">
      <c r="A545" s="4">
        <v>45532.0</v>
      </c>
      <c r="B545" s="1" t="s">
        <v>95</v>
      </c>
      <c r="C545" s="1" t="s">
        <v>89</v>
      </c>
      <c r="D545" s="1">
        <v>417.0</v>
      </c>
      <c r="E545" s="1">
        <v>0.0</v>
      </c>
      <c r="F545" s="1" t="s">
        <v>90</v>
      </c>
      <c r="G545" s="1" t="s">
        <v>97</v>
      </c>
      <c r="H545" s="1" t="s">
        <v>92</v>
      </c>
      <c r="I545" s="1" t="s">
        <v>1400</v>
      </c>
      <c r="J545" s="1" t="s">
        <v>1401</v>
      </c>
      <c r="K545" s="1" t="s">
        <v>1402</v>
      </c>
      <c r="L545" s="1" t="s">
        <v>1403</v>
      </c>
      <c r="M545" s="1">
        <v>-13.0</v>
      </c>
      <c r="N545" s="1">
        <v>1.79495</v>
      </c>
      <c r="O545" s="1">
        <v>6.911066666666667</v>
      </c>
    </row>
    <row r="546" ht="15.75" hidden="1" customHeight="1">
      <c r="A546" s="4">
        <v>45532.0</v>
      </c>
      <c r="B546" s="1" t="s">
        <v>95</v>
      </c>
      <c r="C546" s="1" t="s">
        <v>89</v>
      </c>
      <c r="D546" s="1">
        <v>444.0</v>
      </c>
      <c r="E546" s="1">
        <v>24.0</v>
      </c>
      <c r="F546" s="1" t="s">
        <v>71</v>
      </c>
      <c r="G546" s="1" t="s">
        <v>97</v>
      </c>
      <c r="H546" s="1" t="s">
        <v>92</v>
      </c>
      <c r="I546" s="1" t="s">
        <v>1404</v>
      </c>
      <c r="K546" s="1" t="s">
        <v>1405</v>
      </c>
      <c r="L546" s="1" t="s">
        <v>1406</v>
      </c>
      <c r="M546" s="1">
        <v>-16.0</v>
      </c>
      <c r="N546" s="1">
        <v>0.010466666666666668</v>
      </c>
    </row>
    <row r="547" ht="15.75" hidden="1" customHeight="1">
      <c r="A547" s="4">
        <v>45532.0</v>
      </c>
      <c r="B547" s="1" t="s">
        <v>103</v>
      </c>
      <c r="C547" s="1" t="s">
        <v>104</v>
      </c>
      <c r="D547" s="1">
        <v>628.0</v>
      </c>
      <c r="E547" s="1">
        <v>0.0</v>
      </c>
      <c r="G547" s="1" t="s">
        <v>91</v>
      </c>
      <c r="H547" s="1" t="s">
        <v>92</v>
      </c>
      <c r="I547" s="1" t="s">
        <v>1407</v>
      </c>
      <c r="J547" s="1" t="s">
        <v>1408</v>
      </c>
      <c r="K547" s="1" t="s">
        <v>1408</v>
      </c>
      <c r="M547" s="1">
        <v>-2.0</v>
      </c>
      <c r="O547" s="1">
        <v>6.455866666666667</v>
      </c>
    </row>
    <row r="548" ht="15.75" hidden="1" customHeight="1">
      <c r="A548" s="4">
        <v>45532.0</v>
      </c>
      <c r="B548" s="1" t="s">
        <v>88</v>
      </c>
      <c r="C548" s="1" t="s">
        <v>89</v>
      </c>
      <c r="D548" s="1">
        <v>321.0</v>
      </c>
      <c r="E548" s="1">
        <v>0.0</v>
      </c>
      <c r="F548" s="1" t="s">
        <v>90</v>
      </c>
      <c r="G548" s="1" t="s">
        <v>91</v>
      </c>
      <c r="H548" s="1" t="s">
        <v>92</v>
      </c>
      <c r="I548" s="1" t="s">
        <v>1409</v>
      </c>
      <c r="J548" s="1" t="s">
        <v>1410</v>
      </c>
      <c r="K548" s="1" t="s">
        <v>1410</v>
      </c>
      <c r="M548" s="1">
        <v>-5.0</v>
      </c>
      <c r="O548" s="1">
        <v>9.159533333333334</v>
      </c>
    </row>
    <row r="549" ht="15.75" hidden="1" customHeight="1">
      <c r="A549" s="4">
        <v>45532.0</v>
      </c>
      <c r="B549" s="1" t="s">
        <v>95</v>
      </c>
      <c r="C549" s="1" t="s">
        <v>89</v>
      </c>
      <c r="D549" s="1">
        <v>782.0</v>
      </c>
      <c r="E549" s="1">
        <v>0.0</v>
      </c>
      <c r="F549" s="1" t="s">
        <v>90</v>
      </c>
      <c r="G549" s="1" t="s">
        <v>97</v>
      </c>
      <c r="H549" s="1" t="s">
        <v>92</v>
      </c>
      <c r="I549" s="1" t="s">
        <v>1411</v>
      </c>
      <c r="J549" s="1" t="s">
        <v>1412</v>
      </c>
      <c r="K549" s="1" t="s">
        <v>1413</v>
      </c>
      <c r="L549" s="1" t="s">
        <v>1414</v>
      </c>
      <c r="M549" s="1">
        <v>3.0</v>
      </c>
      <c r="N549" s="1">
        <v>3.12345</v>
      </c>
      <c r="O549" s="1">
        <v>12.9842</v>
      </c>
    </row>
    <row r="550" ht="15.75" hidden="1" customHeight="1">
      <c r="A550" s="4">
        <v>45532.0</v>
      </c>
      <c r="B550" s="1" t="s">
        <v>88</v>
      </c>
      <c r="C550" s="1" t="s">
        <v>89</v>
      </c>
      <c r="D550" s="1">
        <v>567.0</v>
      </c>
      <c r="E550" s="1">
        <v>0.0</v>
      </c>
      <c r="F550" s="1" t="s">
        <v>90</v>
      </c>
      <c r="G550" s="1" t="s">
        <v>91</v>
      </c>
      <c r="H550" s="1" t="s">
        <v>92</v>
      </c>
      <c r="I550" s="1" t="s">
        <v>1415</v>
      </c>
      <c r="J550" s="1" t="s">
        <v>1416</v>
      </c>
      <c r="K550" s="1" t="s">
        <v>1416</v>
      </c>
      <c r="M550" s="1">
        <v>-10.0</v>
      </c>
      <c r="O550" s="1">
        <v>9.644766666666667</v>
      </c>
    </row>
    <row r="551" ht="15.75" hidden="1" customHeight="1">
      <c r="A551" s="4">
        <v>45532.0</v>
      </c>
      <c r="B551" s="1" t="s">
        <v>103</v>
      </c>
      <c r="C551" s="1" t="s">
        <v>104</v>
      </c>
      <c r="D551" s="1">
        <v>658.0</v>
      </c>
      <c r="E551" s="1">
        <v>0.0</v>
      </c>
      <c r="G551" s="1" t="s">
        <v>91</v>
      </c>
      <c r="H551" s="1" t="s">
        <v>92</v>
      </c>
      <c r="I551" s="1" t="s">
        <v>1417</v>
      </c>
      <c r="J551" s="1" t="s">
        <v>1418</v>
      </c>
      <c r="K551" s="1" t="s">
        <v>1418</v>
      </c>
      <c r="M551" s="1">
        <v>1.0</v>
      </c>
      <c r="O551" s="1">
        <v>10.48665</v>
      </c>
    </row>
    <row r="552" ht="15.75" hidden="1" customHeight="1">
      <c r="A552" s="4">
        <v>45532.0</v>
      </c>
      <c r="B552" s="1" t="s">
        <v>103</v>
      </c>
      <c r="C552" s="1" t="s">
        <v>104</v>
      </c>
      <c r="D552" s="1">
        <v>663.0</v>
      </c>
      <c r="E552" s="1">
        <v>0.0</v>
      </c>
      <c r="G552" s="1" t="s">
        <v>91</v>
      </c>
      <c r="H552" s="1" t="s">
        <v>92</v>
      </c>
      <c r="I552" s="1" t="s">
        <v>1419</v>
      </c>
      <c r="J552" s="1" t="s">
        <v>1420</v>
      </c>
      <c r="K552" s="1" t="s">
        <v>1420</v>
      </c>
      <c r="M552" s="1">
        <v>-3.0</v>
      </c>
      <c r="O552" s="1">
        <v>6.938616666666666</v>
      </c>
    </row>
    <row r="553" ht="15.75" hidden="1" customHeight="1">
      <c r="A553" s="4">
        <v>45532.0</v>
      </c>
      <c r="B553" s="1" t="s">
        <v>88</v>
      </c>
      <c r="C553" s="1" t="s">
        <v>89</v>
      </c>
      <c r="D553" s="1">
        <v>628.0</v>
      </c>
      <c r="E553" s="1">
        <v>0.0</v>
      </c>
      <c r="F553" s="1" t="s">
        <v>90</v>
      </c>
      <c r="G553" s="1" t="s">
        <v>91</v>
      </c>
      <c r="H553" s="1" t="s">
        <v>92</v>
      </c>
      <c r="I553" s="1" t="s">
        <v>1421</v>
      </c>
      <c r="J553" s="1" t="s">
        <v>1422</v>
      </c>
      <c r="K553" s="1" t="s">
        <v>1422</v>
      </c>
      <c r="M553" s="1">
        <v>-7.0</v>
      </c>
      <c r="O553" s="1">
        <v>12.25025</v>
      </c>
    </row>
    <row r="554" ht="15.75" hidden="1" customHeight="1">
      <c r="A554" s="4">
        <v>45532.0</v>
      </c>
      <c r="B554" s="1" t="s">
        <v>103</v>
      </c>
      <c r="C554" s="1" t="s">
        <v>104</v>
      </c>
      <c r="D554" s="1">
        <v>528.0</v>
      </c>
      <c r="E554" s="1">
        <v>0.0</v>
      </c>
      <c r="G554" s="1" t="s">
        <v>91</v>
      </c>
      <c r="H554" s="1" t="s">
        <v>92</v>
      </c>
      <c r="I554" s="1" t="s">
        <v>1423</v>
      </c>
      <c r="J554" s="1" t="s">
        <v>1424</v>
      </c>
      <c r="K554" s="1" t="s">
        <v>1424</v>
      </c>
      <c r="M554" s="1">
        <v>0.0</v>
      </c>
      <c r="O554" s="1">
        <v>9.629866666666667</v>
      </c>
    </row>
    <row r="555" ht="15.75" hidden="1" customHeight="1">
      <c r="A555" s="4">
        <v>45532.0</v>
      </c>
      <c r="B555" s="1" t="s">
        <v>103</v>
      </c>
      <c r="C555" s="1" t="s">
        <v>104</v>
      </c>
      <c r="D555" s="1">
        <v>488.0</v>
      </c>
      <c r="E555" s="1">
        <v>0.0</v>
      </c>
      <c r="G555" s="1" t="s">
        <v>91</v>
      </c>
      <c r="H555" s="1" t="s">
        <v>92</v>
      </c>
      <c r="I555" s="1" t="s">
        <v>1425</v>
      </c>
      <c r="J555" s="1" t="s">
        <v>1426</v>
      </c>
      <c r="K555" s="1" t="s">
        <v>1426</v>
      </c>
      <c r="M555" s="1">
        <v>-1.0</v>
      </c>
      <c r="O555" s="1">
        <v>6.07245</v>
      </c>
    </row>
    <row r="556" ht="15.75" hidden="1" customHeight="1">
      <c r="A556" s="4">
        <v>45532.0</v>
      </c>
      <c r="B556" s="1" t="s">
        <v>88</v>
      </c>
      <c r="C556" s="1" t="s">
        <v>89</v>
      </c>
      <c r="D556" s="1">
        <v>472.0</v>
      </c>
      <c r="E556" s="1">
        <v>0.0</v>
      </c>
      <c r="F556" s="1" t="s">
        <v>90</v>
      </c>
      <c r="G556" s="1" t="s">
        <v>91</v>
      </c>
      <c r="H556" s="1" t="s">
        <v>92</v>
      </c>
      <c r="I556" s="1" t="s">
        <v>1427</v>
      </c>
      <c r="J556" s="1" t="s">
        <v>1428</v>
      </c>
      <c r="K556" s="1" t="s">
        <v>1428</v>
      </c>
      <c r="M556" s="1">
        <v>-7.0</v>
      </c>
      <c r="O556" s="1">
        <v>7.50795</v>
      </c>
    </row>
    <row r="557" ht="15.75" hidden="1" customHeight="1">
      <c r="A557" s="4">
        <v>45532.0</v>
      </c>
      <c r="B557" s="1" t="s">
        <v>103</v>
      </c>
      <c r="C557" s="1" t="s">
        <v>104</v>
      </c>
      <c r="D557" s="1">
        <v>264.0</v>
      </c>
      <c r="E557" s="1">
        <v>0.0</v>
      </c>
      <c r="G557" s="1" t="s">
        <v>91</v>
      </c>
      <c r="H557" s="1" t="s">
        <v>92</v>
      </c>
      <c r="I557" s="1" t="s">
        <v>1429</v>
      </c>
      <c r="J557" s="1" t="s">
        <v>1430</v>
      </c>
      <c r="K557" s="1" t="s">
        <v>1430</v>
      </c>
      <c r="M557" s="1">
        <v>0.0</v>
      </c>
      <c r="O557" s="1">
        <v>7.136983333333333</v>
      </c>
    </row>
    <row r="558" ht="15.75" hidden="1" customHeight="1">
      <c r="A558" s="4">
        <v>45532.0</v>
      </c>
      <c r="B558" s="1" t="s">
        <v>103</v>
      </c>
      <c r="C558" s="1" t="s">
        <v>104</v>
      </c>
      <c r="D558" s="1">
        <v>593.0</v>
      </c>
      <c r="E558" s="1">
        <v>0.0</v>
      </c>
      <c r="G558" s="1" t="s">
        <v>91</v>
      </c>
      <c r="H558" s="1" t="s">
        <v>98</v>
      </c>
      <c r="I558" s="1" t="s">
        <v>1431</v>
      </c>
      <c r="J558" s="1" t="s">
        <v>1432</v>
      </c>
      <c r="K558" s="1" t="s">
        <v>1432</v>
      </c>
      <c r="M558" s="1">
        <v>0.0</v>
      </c>
      <c r="O558" s="1">
        <v>8.800566666666667</v>
      </c>
    </row>
    <row r="559" ht="15.75" hidden="1" customHeight="1">
      <c r="A559" s="4">
        <v>45532.0</v>
      </c>
      <c r="B559" s="1" t="s">
        <v>88</v>
      </c>
      <c r="C559" s="1" t="s">
        <v>89</v>
      </c>
      <c r="D559" s="1">
        <v>1003.0</v>
      </c>
      <c r="E559" s="1">
        <v>0.0</v>
      </c>
      <c r="F559" s="1" t="s">
        <v>90</v>
      </c>
      <c r="G559" s="1" t="s">
        <v>91</v>
      </c>
      <c r="H559" s="1" t="s">
        <v>92</v>
      </c>
      <c r="I559" s="1" t="s">
        <v>1433</v>
      </c>
      <c r="J559" s="1" t="s">
        <v>1434</v>
      </c>
      <c r="K559" s="1" t="s">
        <v>1434</v>
      </c>
      <c r="M559" s="1">
        <v>-8.0</v>
      </c>
      <c r="O559" s="1">
        <v>11.8916</v>
      </c>
    </row>
    <row r="560" ht="15.75" hidden="1" customHeight="1">
      <c r="A560" s="4">
        <v>45532.0</v>
      </c>
      <c r="B560" s="1" t="s">
        <v>88</v>
      </c>
      <c r="C560" s="1" t="s">
        <v>89</v>
      </c>
      <c r="D560" s="1">
        <v>553.0</v>
      </c>
      <c r="E560" s="1">
        <v>0.0</v>
      </c>
      <c r="F560" s="1" t="s">
        <v>90</v>
      </c>
      <c r="G560" s="1" t="s">
        <v>91</v>
      </c>
      <c r="H560" s="1" t="s">
        <v>92</v>
      </c>
      <c r="I560" s="1" t="s">
        <v>1435</v>
      </c>
      <c r="J560" s="1" t="s">
        <v>1436</v>
      </c>
      <c r="K560" s="1" t="s">
        <v>1436</v>
      </c>
      <c r="M560" s="1">
        <v>-14.0</v>
      </c>
      <c r="O560" s="1">
        <v>5.4541</v>
      </c>
    </row>
    <row r="561" ht="15.75" hidden="1" customHeight="1">
      <c r="A561" s="4">
        <v>45532.0</v>
      </c>
      <c r="B561" s="1" t="s">
        <v>88</v>
      </c>
      <c r="C561" s="1" t="s">
        <v>89</v>
      </c>
      <c r="D561" s="1">
        <v>264.0</v>
      </c>
      <c r="E561" s="1">
        <v>0.0</v>
      </c>
      <c r="F561" s="1" t="s">
        <v>90</v>
      </c>
      <c r="G561" s="1" t="s">
        <v>91</v>
      </c>
      <c r="H561" s="1" t="s">
        <v>92</v>
      </c>
      <c r="I561" s="1" t="s">
        <v>1437</v>
      </c>
      <c r="J561" s="1" t="s">
        <v>1438</v>
      </c>
      <c r="K561" s="1" t="s">
        <v>1438</v>
      </c>
      <c r="M561" s="1">
        <v>-9.0</v>
      </c>
      <c r="O561" s="1">
        <v>5.9213</v>
      </c>
    </row>
    <row r="562" ht="15.75" hidden="1" customHeight="1">
      <c r="A562" s="4">
        <v>45532.0</v>
      </c>
      <c r="B562" s="1" t="s">
        <v>88</v>
      </c>
      <c r="C562" s="1" t="s">
        <v>89</v>
      </c>
      <c r="D562" s="1">
        <v>313.0</v>
      </c>
      <c r="E562" s="1">
        <v>0.0</v>
      </c>
      <c r="F562" s="1" t="s">
        <v>90</v>
      </c>
      <c r="G562" s="1" t="s">
        <v>91</v>
      </c>
      <c r="H562" s="1" t="s">
        <v>92</v>
      </c>
      <c r="I562" s="1" t="s">
        <v>1439</v>
      </c>
      <c r="J562" s="1" t="s">
        <v>1440</v>
      </c>
      <c r="K562" s="1" t="s">
        <v>1440</v>
      </c>
      <c r="M562" s="1">
        <v>-6.0</v>
      </c>
      <c r="O562" s="1">
        <v>8.413683333333333</v>
      </c>
    </row>
    <row r="563" ht="15.75" hidden="1" customHeight="1">
      <c r="A563" s="4">
        <v>45532.0</v>
      </c>
      <c r="B563" s="1" t="s">
        <v>95</v>
      </c>
      <c r="C563" s="1" t="s">
        <v>89</v>
      </c>
      <c r="D563" s="1">
        <v>578.0</v>
      </c>
      <c r="E563" s="1">
        <v>0.0</v>
      </c>
      <c r="F563" s="1" t="s">
        <v>90</v>
      </c>
      <c r="G563" s="1" t="s">
        <v>97</v>
      </c>
      <c r="H563" s="1" t="s">
        <v>92</v>
      </c>
      <c r="I563" s="1" t="s">
        <v>1441</v>
      </c>
      <c r="J563" s="1" t="s">
        <v>1442</v>
      </c>
      <c r="K563" s="1" t="s">
        <v>1443</v>
      </c>
      <c r="L563" s="1" t="s">
        <v>1444</v>
      </c>
      <c r="M563" s="1">
        <v>-11.0</v>
      </c>
      <c r="N563" s="1">
        <v>2.7950333333333335</v>
      </c>
      <c r="O563" s="1">
        <v>8.694983333333333</v>
      </c>
    </row>
    <row r="564" ht="15.75" hidden="1" customHeight="1">
      <c r="A564" s="4">
        <v>45532.0</v>
      </c>
      <c r="B564" s="1" t="s">
        <v>88</v>
      </c>
      <c r="C564" s="1" t="s">
        <v>89</v>
      </c>
      <c r="D564" s="1">
        <v>746.0</v>
      </c>
      <c r="E564" s="1">
        <v>0.0</v>
      </c>
      <c r="F564" s="1" t="s">
        <v>90</v>
      </c>
      <c r="G564" s="1" t="s">
        <v>91</v>
      </c>
      <c r="H564" s="1" t="s">
        <v>92</v>
      </c>
      <c r="I564" s="1" t="s">
        <v>1445</v>
      </c>
      <c r="J564" s="1" t="s">
        <v>1446</v>
      </c>
      <c r="K564" s="1" t="s">
        <v>1446</v>
      </c>
      <c r="M564" s="1">
        <v>-12.0</v>
      </c>
      <c r="O564" s="1">
        <v>7.788733333333333</v>
      </c>
    </row>
    <row r="565" ht="15.75" hidden="1" customHeight="1">
      <c r="A565" s="4">
        <v>45532.0</v>
      </c>
      <c r="B565" s="1" t="s">
        <v>88</v>
      </c>
      <c r="C565" s="1" t="s">
        <v>89</v>
      </c>
      <c r="D565" s="1">
        <v>488.0</v>
      </c>
      <c r="E565" s="1">
        <v>0.0</v>
      </c>
      <c r="F565" s="1" t="s">
        <v>90</v>
      </c>
      <c r="G565" s="1" t="s">
        <v>91</v>
      </c>
      <c r="H565" s="1" t="s">
        <v>92</v>
      </c>
      <c r="I565" s="1" t="s">
        <v>1447</v>
      </c>
      <c r="J565" s="1" t="s">
        <v>1448</v>
      </c>
      <c r="K565" s="1" t="s">
        <v>1448</v>
      </c>
      <c r="M565" s="1">
        <v>-7.0</v>
      </c>
      <c r="O565" s="1">
        <v>7.4755</v>
      </c>
    </row>
    <row r="566" ht="15.75" hidden="1" customHeight="1">
      <c r="A566" s="4">
        <v>45532.0</v>
      </c>
      <c r="B566" s="1" t="s">
        <v>103</v>
      </c>
      <c r="C566" s="1" t="s">
        <v>104</v>
      </c>
      <c r="D566" s="1">
        <v>329.0</v>
      </c>
      <c r="E566" s="1">
        <v>0.0</v>
      </c>
      <c r="G566" s="1" t="s">
        <v>91</v>
      </c>
      <c r="H566" s="1" t="s">
        <v>92</v>
      </c>
      <c r="I566" s="1" t="s">
        <v>1449</v>
      </c>
      <c r="J566" s="1" t="s">
        <v>1450</v>
      </c>
      <c r="K566" s="1" t="s">
        <v>1450</v>
      </c>
      <c r="M566" s="1">
        <v>0.0</v>
      </c>
      <c r="O566" s="1">
        <v>6.928716666666666</v>
      </c>
    </row>
    <row r="567" ht="15.75" hidden="1" customHeight="1">
      <c r="A567" s="4">
        <v>45532.0</v>
      </c>
      <c r="B567" s="1" t="s">
        <v>88</v>
      </c>
      <c r="C567" s="1" t="s">
        <v>89</v>
      </c>
      <c r="D567" s="1">
        <v>233.0</v>
      </c>
      <c r="E567" s="1">
        <v>0.0</v>
      </c>
      <c r="F567" s="1" t="s">
        <v>90</v>
      </c>
      <c r="G567" s="1" t="s">
        <v>91</v>
      </c>
      <c r="H567" s="1" t="s">
        <v>92</v>
      </c>
      <c r="I567" s="1" t="s">
        <v>1451</v>
      </c>
      <c r="J567" s="1" t="s">
        <v>1452</v>
      </c>
      <c r="K567" s="1" t="s">
        <v>1452</v>
      </c>
      <c r="M567" s="1">
        <v>-4.0</v>
      </c>
      <c r="O567" s="1">
        <v>10.70275</v>
      </c>
    </row>
    <row r="568" ht="15.75" hidden="1" customHeight="1">
      <c r="A568" s="4">
        <v>45532.0</v>
      </c>
      <c r="B568" s="1" t="s">
        <v>95</v>
      </c>
      <c r="C568" s="1" t="s">
        <v>89</v>
      </c>
      <c r="D568" s="1">
        <v>566.0</v>
      </c>
      <c r="E568" s="1">
        <v>0.0</v>
      </c>
      <c r="F568" s="1" t="s">
        <v>373</v>
      </c>
      <c r="G568" s="1" t="s">
        <v>97</v>
      </c>
      <c r="H568" s="1" t="s">
        <v>98</v>
      </c>
      <c r="I568" s="1" t="s">
        <v>1453</v>
      </c>
      <c r="J568" s="1" t="s">
        <v>1454</v>
      </c>
      <c r="K568" s="1" t="s">
        <v>1455</v>
      </c>
      <c r="L568" s="1" t="s">
        <v>1456</v>
      </c>
      <c r="M568" s="1">
        <v>-8.0</v>
      </c>
      <c r="N568" s="1">
        <v>0.01135</v>
      </c>
      <c r="O568" s="1">
        <v>18.526116666666667</v>
      </c>
    </row>
    <row r="569" ht="15.75" hidden="1" customHeight="1">
      <c r="A569" s="4">
        <v>45532.0</v>
      </c>
      <c r="B569" s="1" t="s">
        <v>103</v>
      </c>
      <c r="C569" s="1" t="s">
        <v>104</v>
      </c>
      <c r="D569" s="1">
        <v>448.0</v>
      </c>
      <c r="E569" s="1">
        <v>0.0</v>
      </c>
      <c r="G569" s="1" t="s">
        <v>91</v>
      </c>
      <c r="H569" s="1" t="s">
        <v>92</v>
      </c>
      <c r="I569" s="1" t="s">
        <v>1457</v>
      </c>
      <c r="J569" s="1" t="s">
        <v>1458</v>
      </c>
      <c r="K569" s="1" t="s">
        <v>1458</v>
      </c>
      <c r="M569" s="1">
        <v>0.0</v>
      </c>
      <c r="O569" s="1">
        <v>6.833633333333333</v>
      </c>
    </row>
    <row r="570" ht="15.75" hidden="1" customHeight="1">
      <c r="A570" s="4">
        <v>45532.0</v>
      </c>
      <c r="B570" s="1" t="s">
        <v>103</v>
      </c>
      <c r="C570" s="1" t="s">
        <v>104</v>
      </c>
      <c r="D570" s="1">
        <v>548.0</v>
      </c>
      <c r="E570" s="1">
        <v>150.0</v>
      </c>
      <c r="G570" s="1" t="s">
        <v>91</v>
      </c>
      <c r="H570" s="1" t="s">
        <v>92</v>
      </c>
      <c r="I570" s="1" t="s">
        <v>1459</v>
      </c>
      <c r="J570" s="1" t="s">
        <v>1460</v>
      </c>
      <c r="K570" s="1" t="s">
        <v>1460</v>
      </c>
      <c r="M570" s="1">
        <v>1.0</v>
      </c>
      <c r="O570" s="1">
        <v>10.51575</v>
      </c>
    </row>
    <row r="571" ht="15.75" hidden="1" customHeight="1">
      <c r="A571" s="4">
        <v>45532.0</v>
      </c>
      <c r="B571" s="1" t="s">
        <v>95</v>
      </c>
      <c r="C571" s="1" t="s">
        <v>104</v>
      </c>
      <c r="D571" s="1">
        <v>378.0</v>
      </c>
      <c r="E571" s="1">
        <v>120.0</v>
      </c>
      <c r="G571" s="1" t="s">
        <v>119</v>
      </c>
      <c r="H571" s="1" t="s">
        <v>92</v>
      </c>
      <c r="I571" s="1" t="s">
        <v>1461</v>
      </c>
      <c r="J571" s="1" t="s">
        <v>1462</v>
      </c>
      <c r="K571" s="1" t="s">
        <v>1462</v>
      </c>
      <c r="M571" s="1">
        <v>-5.0</v>
      </c>
      <c r="O571" s="1">
        <v>13.639383333333333</v>
      </c>
    </row>
    <row r="572" ht="15.75" hidden="1" customHeight="1">
      <c r="A572" s="4">
        <v>45532.0</v>
      </c>
      <c r="B572" s="1" t="s">
        <v>95</v>
      </c>
      <c r="C572" s="1" t="s">
        <v>89</v>
      </c>
      <c r="D572" s="1">
        <v>299.0</v>
      </c>
      <c r="E572" s="1">
        <v>0.0</v>
      </c>
      <c r="F572" s="1" t="s">
        <v>373</v>
      </c>
      <c r="G572" s="1" t="s">
        <v>97</v>
      </c>
      <c r="H572" s="1" t="s">
        <v>92</v>
      </c>
      <c r="I572" s="1" t="s">
        <v>1463</v>
      </c>
      <c r="J572" s="1" t="s">
        <v>1464</v>
      </c>
      <c r="K572" s="1" t="s">
        <v>1465</v>
      </c>
      <c r="L572" s="1" t="s">
        <v>1466</v>
      </c>
      <c r="M572" s="1">
        <v>-16.0</v>
      </c>
      <c r="N572" s="1">
        <v>0.0077666666666666665</v>
      </c>
      <c r="O572" s="1">
        <v>6.402033333333334</v>
      </c>
    </row>
    <row r="573" ht="15.75" hidden="1" customHeight="1">
      <c r="A573" s="4">
        <v>45532.0</v>
      </c>
      <c r="B573" s="1" t="s">
        <v>103</v>
      </c>
      <c r="C573" s="1" t="s">
        <v>104</v>
      </c>
      <c r="D573" s="1">
        <v>264.0</v>
      </c>
      <c r="E573" s="1">
        <v>0.0</v>
      </c>
      <c r="G573" s="1" t="s">
        <v>91</v>
      </c>
      <c r="H573" s="1" t="s">
        <v>92</v>
      </c>
      <c r="I573" s="1" t="s">
        <v>1467</v>
      </c>
      <c r="J573" s="1" t="s">
        <v>1468</v>
      </c>
      <c r="K573" s="1" t="s">
        <v>1468</v>
      </c>
      <c r="M573" s="1">
        <v>1.0</v>
      </c>
      <c r="O573" s="1">
        <v>7.289233333333334</v>
      </c>
    </row>
    <row r="574" ht="15.75" hidden="1" customHeight="1">
      <c r="A574" s="4">
        <v>45532.0</v>
      </c>
      <c r="B574" s="1" t="s">
        <v>95</v>
      </c>
      <c r="C574" s="1" t="s">
        <v>104</v>
      </c>
      <c r="D574" s="1">
        <v>422.0</v>
      </c>
      <c r="E574" s="1">
        <v>106.0</v>
      </c>
      <c r="G574" s="1" t="s">
        <v>119</v>
      </c>
      <c r="H574" s="1" t="s">
        <v>98</v>
      </c>
      <c r="I574" s="1" t="s">
        <v>1469</v>
      </c>
      <c r="J574" s="1" t="s">
        <v>1470</v>
      </c>
      <c r="K574" s="1" t="s">
        <v>1470</v>
      </c>
      <c r="M574" s="1">
        <v>-13.0</v>
      </c>
      <c r="O574" s="1">
        <v>10.003233333333334</v>
      </c>
    </row>
    <row r="575" ht="15.75" hidden="1" customHeight="1">
      <c r="A575" s="4">
        <v>45532.0</v>
      </c>
      <c r="B575" s="1" t="s">
        <v>95</v>
      </c>
      <c r="C575" s="1" t="s">
        <v>104</v>
      </c>
      <c r="D575" s="1">
        <v>199.0</v>
      </c>
      <c r="E575" s="1">
        <v>50.0</v>
      </c>
      <c r="G575" s="1" t="s">
        <v>119</v>
      </c>
      <c r="H575" s="1" t="s">
        <v>92</v>
      </c>
      <c r="I575" s="1" t="s">
        <v>1471</v>
      </c>
      <c r="J575" s="1" t="s">
        <v>1472</v>
      </c>
      <c r="K575" s="1" t="s">
        <v>1472</v>
      </c>
      <c r="M575" s="1">
        <v>-10.0</v>
      </c>
      <c r="O575" s="1">
        <v>7.788116666666666</v>
      </c>
    </row>
    <row r="576" ht="15.75" hidden="1" customHeight="1">
      <c r="A576" s="4">
        <v>45532.0</v>
      </c>
      <c r="B576" s="1" t="s">
        <v>107</v>
      </c>
      <c r="C576" s="1" t="s">
        <v>104</v>
      </c>
      <c r="D576" s="1">
        <v>321.0</v>
      </c>
      <c r="E576" s="1">
        <v>0.0</v>
      </c>
      <c r="F576" s="1" t="s">
        <v>1473</v>
      </c>
      <c r="G576" s="1" t="s">
        <v>91</v>
      </c>
      <c r="H576" s="1" t="s">
        <v>92</v>
      </c>
      <c r="I576" s="1" t="s">
        <v>1474</v>
      </c>
      <c r="J576" s="1" t="s">
        <v>1475</v>
      </c>
      <c r="K576" s="1" t="s">
        <v>1475</v>
      </c>
      <c r="M576" s="1">
        <v>-7.0</v>
      </c>
      <c r="O576" s="1">
        <v>7.6988</v>
      </c>
    </row>
    <row r="577" ht="15.75" hidden="1" customHeight="1">
      <c r="A577" s="4">
        <v>45532.0</v>
      </c>
      <c r="B577" s="1" t="s">
        <v>103</v>
      </c>
      <c r="C577" s="1" t="s">
        <v>104</v>
      </c>
      <c r="D577" s="1">
        <v>433.0</v>
      </c>
      <c r="E577" s="1">
        <v>0.0</v>
      </c>
      <c r="G577" s="1" t="s">
        <v>91</v>
      </c>
      <c r="H577" s="1" t="s">
        <v>92</v>
      </c>
      <c r="I577" s="1" t="s">
        <v>1476</v>
      </c>
      <c r="J577" s="1" t="s">
        <v>1477</v>
      </c>
      <c r="K577" s="1" t="s">
        <v>1477</v>
      </c>
      <c r="M577" s="1">
        <v>1.0</v>
      </c>
      <c r="O577" s="1">
        <v>8.56635</v>
      </c>
    </row>
    <row r="578" ht="15.75" hidden="1" customHeight="1">
      <c r="A578" s="4">
        <v>45532.0</v>
      </c>
      <c r="B578" s="1" t="s">
        <v>88</v>
      </c>
      <c r="C578" s="1" t="s">
        <v>89</v>
      </c>
      <c r="D578" s="1">
        <v>329.0</v>
      </c>
      <c r="E578" s="1">
        <v>0.0</v>
      </c>
      <c r="F578" s="1" t="s">
        <v>90</v>
      </c>
      <c r="G578" s="1" t="s">
        <v>91</v>
      </c>
      <c r="H578" s="1" t="s">
        <v>92</v>
      </c>
      <c r="I578" s="1" t="s">
        <v>1478</v>
      </c>
      <c r="J578" s="1" t="s">
        <v>1479</v>
      </c>
      <c r="K578" s="1" t="s">
        <v>1479</v>
      </c>
      <c r="M578" s="1">
        <v>-5.0</v>
      </c>
      <c r="O578" s="1">
        <v>9.14935</v>
      </c>
    </row>
    <row r="579" ht="15.75" hidden="1" customHeight="1">
      <c r="A579" s="4">
        <v>45532.0</v>
      </c>
      <c r="B579" s="1" t="s">
        <v>103</v>
      </c>
      <c r="C579" s="1" t="s">
        <v>104</v>
      </c>
      <c r="D579" s="1">
        <v>278.0</v>
      </c>
      <c r="E579" s="1">
        <v>100.0</v>
      </c>
      <c r="G579" s="1" t="s">
        <v>91</v>
      </c>
      <c r="H579" s="1" t="s">
        <v>92</v>
      </c>
      <c r="I579" s="1" t="s">
        <v>1480</v>
      </c>
      <c r="J579" s="1" t="s">
        <v>1481</v>
      </c>
      <c r="K579" s="1" t="s">
        <v>1481</v>
      </c>
      <c r="M579" s="1">
        <v>0.0</v>
      </c>
      <c r="O579" s="1">
        <v>6.304033333333333</v>
      </c>
    </row>
    <row r="580" ht="15.75" hidden="1" customHeight="1">
      <c r="A580" s="4">
        <v>45532.0</v>
      </c>
      <c r="B580" s="1" t="s">
        <v>88</v>
      </c>
      <c r="C580" s="1" t="s">
        <v>89</v>
      </c>
      <c r="D580" s="1">
        <v>289.0</v>
      </c>
      <c r="E580" s="1">
        <v>0.0</v>
      </c>
      <c r="F580" s="1" t="s">
        <v>90</v>
      </c>
      <c r="G580" s="1" t="s">
        <v>91</v>
      </c>
      <c r="H580" s="1" t="s">
        <v>92</v>
      </c>
      <c r="I580" s="1" t="s">
        <v>1482</v>
      </c>
      <c r="J580" s="1" t="s">
        <v>1483</v>
      </c>
      <c r="K580" s="1" t="s">
        <v>1483</v>
      </c>
      <c r="M580" s="1">
        <v>-5.0</v>
      </c>
      <c r="O580" s="1">
        <v>9.033966666666666</v>
      </c>
    </row>
    <row r="581" ht="15.75" hidden="1" customHeight="1">
      <c r="A581" s="4">
        <v>45532.0</v>
      </c>
      <c r="B581" s="1" t="s">
        <v>95</v>
      </c>
      <c r="C581" s="1" t="s">
        <v>104</v>
      </c>
      <c r="D581" s="1">
        <v>278.0</v>
      </c>
      <c r="E581" s="1">
        <v>50.0</v>
      </c>
      <c r="G581" s="1" t="s">
        <v>119</v>
      </c>
      <c r="H581" s="1" t="s">
        <v>213</v>
      </c>
      <c r="I581" s="1" t="s">
        <v>1484</v>
      </c>
      <c r="J581" s="1" t="s">
        <v>1485</v>
      </c>
      <c r="K581" s="1" t="s">
        <v>1485</v>
      </c>
      <c r="M581" s="1">
        <v>-23.0</v>
      </c>
      <c r="O581" s="1">
        <v>5.6725666666666665</v>
      </c>
    </row>
    <row r="582" ht="15.75" hidden="1" customHeight="1">
      <c r="A582" s="4">
        <v>45532.0</v>
      </c>
      <c r="B582" s="1" t="s">
        <v>88</v>
      </c>
      <c r="C582" s="1" t="s">
        <v>89</v>
      </c>
      <c r="D582" s="1">
        <v>264.0</v>
      </c>
      <c r="E582" s="1">
        <v>0.0</v>
      </c>
      <c r="F582" s="1" t="s">
        <v>90</v>
      </c>
      <c r="G582" s="1" t="s">
        <v>91</v>
      </c>
      <c r="H582" s="1" t="s">
        <v>92</v>
      </c>
      <c r="I582" s="1" t="s">
        <v>1486</v>
      </c>
      <c r="J582" s="1" t="s">
        <v>1487</v>
      </c>
      <c r="K582" s="1" t="s">
        <v>1487</v>
      </c>
      <c r="M582" s="1">
        <v>-7.0</v>
      </c>
      <c r="O582" s="1">
        <v>7.1250333333333336</v>
      </c>
    </row>
    <row r="583" ht="15.75" hidden="1" customHeight="1">
      <c r="A583" s="4">
        <v>45532.0</v>
      </c>
      <c r="B583" s="1" t="s">
        <v>88</v>
      </c>
      <c r="C583" s="1" t="s">
        <v>89</v>
      </c>
      <c r="D583" s="1">
        <v>264.0</v>
      </c>
      <c r="E583" s="1">
        <v>0.0</v>
      </c>
      <c r="F583" s="1" t="s">
        <v>90</v>
      </c>
      <c r="G583" s="1" t="s">
        <v>91</v>
      </c>
      <c r="H583" s="1" t="s">
        <v>92</v>
      </c>
      <c r="I583" s="1" t="s">
        <v>1488</v>
      </c>
      <c r="J583" s="1" t="s">
        <v>1489</v>
      </c>
      <c r="K583" s="1" t="s">
        <v>1489</v>
      </c>
      <c r="M583" s="1">
        <v>-6.0</v>
      </c>
      <c r="O583" s="1">
        <v>8.880333333333333</v>
      </c>
    </row>
    <row r="584" ht="15.75" hidden="1" customHeight="1">
      <c r="A584" s="4">
        <v>45532.0</v>
      </c>
      <c r="B584" s="1" t="s">
        <v>103</v>
      </c>
      <c r="C584" s="1" t="s">
        <v>104</v>
      </c>
      <c r="D584" s="1">
        <v>857.0</v>
      </c>
      <c r="E584" s="1">
        <v>0.0</v>
      </c>
      <c r="G584" s="1" t="s">
        <v>91</v>
      </c>
      <c r="H584" s="1" t="s">
        <v>98</v>
      </c>
      <c r="I584" s="1" t="s">
        <v>1490</v>
      </c>
      <c r="J584" s="1" t="s">
        <v>1491</v>
      </c>
      <c r="K584" s="1" t="s">
        <v>1491</v>
      </c>
      <c r="M584" s="1">
        <v>0.0</v>
      </c>
      <c r="O584" s="1">
        <v>9.148033333333334</v>
      </c>
    </row>
    <row r="585" ht="15.75" hidden="1" customHeight="1">
      <c r="A585" s="4">
        <v>45532.0</v>
      </c>
      <c r="B585" s="1" t="s">
        <v>88</v>
      </c>
      <c r="C585" s="1" t="s">
        <v>89</v>
      </c>
      <c r="D585" s="1">
        <v>658.0</v>
      </c>
      <c r="E585" s="1">
        <v>0.0</v>
      </c>
      <c r="F585" s="1" t="s">
        <v>90</v>
      </c>
      <c r="G585" s="1" t="s">
        <v>91</v>
      </c>
      <c r="H585" s="1" t="s">
        <v>92</v>
      </c>
      <c r="I585" s="1" t="s">
        <v>1492</v>
      </c>
      <c r="J585" s="1" t="s">
        <v>1493</v>
      </c>
      <c r="K585" s="1" t="s">
        <v>1493</v>
      </c>
      <c r="M585" s="1">
        <v>-13.0</v>
      </c>
      <c r="O585" s="1">
        <v>6.708083333333334</v>
      </c>
    </row>
    <row r="586" ht="15.75" hidden="1" customHeight="1">
      <c r="A586" s="4">
        <v>45532.0</v>
      </c>
      <c r="B586" s="1" t="s">
        <v>103</v>
      </c>
      <c r="C586" s="1" t="s">
        <v>104</v>
      </c>
      <c r="D586" s="1">
        <v>298.0</v>
      </c>
      <c r="E586" s="1">
        <v>0.0</v>
      </c>
      <c r="G586" s="1" t="s">
        <v>91</v>
      </c>
      <c r="H586" s="1" t="s">
        <v>92</v>
      </c>
      <c r="I586" s="1" t="s">
        <v>1494</v>
      </c>
      <c r="J586" s="1" t="s">
        <v>1495</v>
      </c>
      <c r="K586" s="1" t="s">
        <v>1495</v>
      </c>
      <c r="M586" s="1">
        <v>0.0</v>
      </c>
      <c r="O586" s="1">
        <v>6.064433333333334</v>
      </c>
    </row>
    <row r="587" ht="15.75" hidden="1" customHeight="1">
      <c r="A587" s="4">
        <v>45532.0</v>
      </c>
      <c r="B587" s="1" t="s">
        <v>88</v>
      </c>
      <c r="C587" s="1" t="s">
        <v>89</v>
      </c>
      <c r="D587" s="1">
        <v>264.0</v>
      </c>
      <c r="E587" s="1">
        <v>0.0</v>
      </c>
      <c r="F587" s="1" t="s">
        <v>90</v>
      </c>
      <c r="G587" s="1" t="s">
        <v>91</v>
      </c>
      <c r="H587" s="1" t="s">
        <v>92</v>
      </c>
      <c r="I587" s="1" t="s">
        <v>1496</v>
      </c>
      <c r="J587" s="1" t="s">
        <v>1497</v>
      </c>
      <c r="K587" s="1" t="s">
        <v>1497</v>
      </c>
      <c r="M587" s="1">
        <v>-8.0</v>
      </c>
      <c r="O587" s="1">
        <v>6.403083333333333</v>
      </c>
    </row>
    <row r="588" ht="15.75" hidden="1" customHeight="1">
      <c r="A588" s="4">
        <v>45532.0</v>
      </c>
      <c r="B588" s="1" t="s">
        <v>103</v>
      </c>
      <c r="C588" s="1" t="s">
        <v>104</v>
      </c>
      <c r="D588" s="1">
        <v>528.0</v>
      </c>
      <c r="E588" s="1">
        <v>0.0</v>
      </c>
      <c r="G588" s="1" t="s">
        <v>91</v>
      </c>
      <c r="H588" s="1" t="s">
        <v>92</v>
      </c>
      <c r="I588" s="1" t="s">
        <v>1498</v>
      </c>
      <c r="J588" s="1" t="s">
        <v>1499</v>
      </c>
      <c r="K588" s="1" t="s">
        <v>1499</v>
      </c>
      <c r="M588" s="1">
        <v>2.0</v>
      </c>
      <c r="O588" s="1">
        <v>10.383716666666666</v>
      </c>
    </row>
    <row r="589" ht="15.75" hidden="1" customHeight="1">
      <c r="A589" s="4">
        <v>45532.0</v>
      </c>
      <c r="B589" s="1" t="s">
        <v>95</v>
      </c>
      <c r="C589" s="1" t="s">
        <v>104</v>
      </c>
      <c r="D589" s="1">
        <v>238.0</v>
      </c>
      <c r="E589" s="1">
        <v>0.0</v>
      </c>
      <c r="G589" s="1" t="s">
        <v>119</v>
      </c>
      <c r="H589" s="1" t="s">
        <v>213</v>
      </c>
      <c r="I589" s="1" t="s">
        <v>1500</v>
      </c>
      <c r="J589" s="1" t="s">
        <v>1501</v>
      </c>
      <c r="K589" s="1" t="s">
        <v>1501</v>
      </c>
      <c r="M589" s="1">
        <v>-6.0</v>
      </c>
      <c r="O589" s="1">
        <v>12.7115</v>
      </c>
    </row>
    <row r="590" ht="15.75" hidden="1" customHeight="1">
      <c r="A590" s="4">
        <v>45532.0</v>
      </c>
      <c r="B590" s="1" t="s">
        <v>103</v>
      </c>
      <c r="C590" s="1" t="s">
        <v>104</v>
      </c>
      <c r="D590" s="1">
        <v>329.0</v>
      </c>
      <c r="E590" s="1">
        <v>0.0</v>
      </c>
      <c r="G590" s="1" t="s">
        <v>91</v>
      </c>
      <c r="H590" s="1" t="s">
        <v>92</v>
      </c>
      <c r="I590" s="1" t="s">
        <v>1502</v>
      </c>
      <c r="J590" s="1" t="s">
        <v>1503</v>
      </c>
      <c r="K590" s="1" t="s">
        <v>1503</v>
      </c>
      <c r="M590" s="1">
        <v>1.0</v>
      </c>
      <c r="O590" s="1">
        <v>8.4617</v>
      </c>
    </row>
    <row r="591" ht="15.75" hidden="1" customHeight="1">
      <c r="A591" s="4">
        <v>45532.0</v>
      </c>
      <c r="B591" s="1" t="s">
        <v>95</v>
      </c>
      <c r="C591" s="1" t="s">
        <v>89</v>
      </c>
      <c r="D591" s="1">
        <v>792.0</v>
      </c>
      <c r="E591" s="1">
        <v>0.0</v>
      </c>
      <c r="F591" s="1" t="s">
        <v>373</v>
      </c>
      <c r="G591" s="1" t="s">
        <v>97</v>
      </c>
      <c r="H591" s="1" t="s">
        <v>92</v>
      </c>
      <c r="I591" s="1" t="s">
        <v>1504</v>
      </c>
      <c r="J591" s="1" t="s">
        <v>1505</v>
      </c>
      <c r="K591" s="1" t="s">
        <v>1506</v>
      </c>
      <c r="L591" s="1" t="s">
        <v>1507</v>
      </c>
      <c r="M591" s="1">
        <v>-9.0</v>
      </c>
      <c r="N591" s="1">
        <v>0.015566666666666666</v>
      </c>
      <c r="O591" s="1">
        <v>16.267783333333334</v>
      </c>
    </row>
    <row r="592" ht="15.75" hidden="1" customHeight="1">
      <c r="A592" s="4">
        <v>45532.0</v>
      </c>
      <c r="B592" s="1" t="s">
        <v>103</v>
      </c>
      <c r="C592" s="1" t="s">
        <v>104</v>
      </c>
      <c r="D592" s="1">
        <v>278.0</v>
      </c>
      <c r="E592" s="1">
        <v>100.0</v>
      </c>
      <c r="G592" s="1" t="s">
        <v>91</v>
      </c>
      <c r="H592" s="1" t="s">
        <v>92</v>
      </c>
      <c r="I592" s="1" t="s">
        <v>1508</v>
      </c>
      <c r="J592" s="1" t="s">
        <v>1509</v>
      </c>
      <c r="K592" s="1" t="s">
        <v>1509</v>
      </c>
      <c r="M592" s="1">
        <v>0.0</v>
      </c>
      <c r="O592" s="1">
        <v>6.0892333333333335</v>
      </c>
    </row>
    <row r="593" ht="15.75" hidden="1" customHeight="1">
      <c r="A593" s="4">
        <v>45532.0</v>
      </c>
      <c r="B593" s="1" t="s">
        <v>88</v>
      </c>
      <c r="C593" s="1" t="s">
        <v>89</v>
      </c>
      <c r="D593" s="1">
        <v>394.0</v>
      </c>
      <c r="E593" s="1">
        <v>0.0</v>
      </c>
      <c r="F593" s="1" t="s">
        <v>90</v>
      </c>
      <c r="G593" s="1" t="s">
        <v>91</v>
      </c>
      <c r="H593" s="1" t="s">
        <v>92</v>
      </c>
      <c r="I593" s="1" t="s">
        <v>1510</v>
      </c>
      <c r="J593" s="1" t="s">
        <v>1511</v>
      </c>
      <c r="K593" s="1" t="s">
        <v>1511</v>
      </c>
      <c r="M593" s="1">
        <v>-8.0</v>
      </c>
      <c r="O593" s="1">
        <v>10.263433333333333</v>
      </c>
    </row>
    <row r="594" ht="15.75" hidden="1" customHeight="1">
      <c r="A594" s="4">
        <v>45532.0</v>
      </c>
      <c r="B594" s="1" t="s">
        <v>88</v>
      </c>
      <c r="C594" s="1" t="s">
        <v>89</v>
      </c>
      <c r="D594" s="1">
        <v>528.0</v>
      </c>
      <c r="E594" s="1">
        <v>0.0</v>
      </c>
      <c r="F594" s="1" t="s">
        <v>90</v>
      </c>
      <c r="G594" s="1" t="s">
        <v>91</v>
      </c>
      <c r="H594" s="1" t="s">
        <v>92</v>
      </c>
      <c r="I594" s="1" t="s">
        <v>1512</v>
      </c>
      <c r="J594" s="1" t="s">
        <v>1513</v>
      </c>
      <c r="K594" s="1" t="s">
        <v>1513</v>
      </c>
      <c r="M594" s="1">
        <v>-7.0</v>
      </c>
      <c r="O594" s="1">
        <v>12.2985</v>
      </c>
    </row>
    <row r="595" ht="15.75" hidden="1" customHeight="1">
      <c r="A595" s="4">
        <v>45532.0</v>
      </c>
      <c r="B595" s="1" t="s">
        <v>103</v>
      </c>
      <c r="C595" s="1" t="s">
        <v>104</v>
      </c>
      <c r="D595" s="1">
        <v>364.0</v>
      </c>
      <c r="E595" s="1">
        <v>0.0</v>
      </c>
      <c r="G595" s="1" t="s">
        <v>91</v>
      </c>
      <c r="H595" s="1" t="s">
        <v>92</v>
      </c>
      <c r="I595" s="1" t="s">
        <v>1514</v>
      </c>
      <c r="J595" s="1" t="s">
        <v>1515</v>
      </c>
      <c r="K595" s="1" t="s">
        <v>1515</v>
      </c>
      <c r="M595" s="1">
        <v>1.0</v>
      </c>
      <c r="O595" s="1">
        <v>8.700166666666666</v>
      </c>
    </row>
    <row r="596" ht="15.75" hidden="1" customHeight="1">
      <c r="A596" s="4">
        <v>45532.0</v>
      </c>
      <c r="B596" s="1" t="s">
        <v>107</v>
      </c>
      <c r="C596" s="1" t="s">
        <v>104</v>
      </c>
      <c r="D596" s="1">
        <v>346.0</v>
      </c>
      <c r="E596" s="1">
        <v>0.0</v>
      </c>
      <c r="F596" s="1" t="s">
        <v>348</v>
      </c>
      <c r="G596" s="1" t="s">
        <v>91</v>
      </c>
      <c r="H596" s="1" t="s">
        <v>92</v>
      </c>
      <c r="I596" s="1" t="s">
        <v>1516</v>
      </c>
      <c r="J596" s="1" t="s">
        <v>1517</v>
      </c>
      <c r="K596" s="1" t="s">
        <v>1517</v>
      </c>
      <c r="M596" s="1">
        <v>-6.0</v>
      </c>
      <c r="O596" s="1">
        <v>8.9167</v>
      </c>
    </row>
    <row r="597" ht="15.75" hidden="1" customHeight="1">
      <c r="A597" s="4">
        <v>45532.0</v>
      </c>
      <c r="B597" s="1" t="s">
        <v>95</v>
      </c>
      <c r="C597" s="1" t="s">
        <v>89</v>
      </c>
      <c r="D597" s="1">
        <v>393.0</v>
      </c>
      <c r="E597" s="1">
        <v>0.0</v>
      </c>
      <c r="F597" s="1" t="s">
        <v>373</v>
      </c>
      <c r="G597" s="1" t="s">
        <v>97</v>
      </c>
      <c r="H597" s="1" t="s">
        <v>98</v>
      </c>
      <c r="I597" s="1" t="s">
        <v>1518</v>
      </c>
      <c r="J597" s="1" t="s">
        <v>1519</v>
      </c>
      <c r="K597" s="1" t="s">
        <v>1520</v>
      </c>
      <c r="L597" s="1" t="s">
        <v>1521</v>
      </c>
      <c r="M597" s="1">
        <v>-5.0</v>
      </c>
      <c r="N597" s="1">
        <v>0.018833333333333334</v>
      </c>
      <c r="O597" s="1">
        <v>11.2754</v>
      </c>
    </row>
    <row r="598" ht="15.75" hidden="1" customHeight="1">
      <c r="A598" s="4">
        <v>45532.0</v>
      </c>
      <c r="B598" s="1" t="s">
        <v>95</v>
      </c>
      <c r="C598" s="1" t="s">
        <v>104</v>
      </c>
      <c r="D598" s="1">
        <v>493.0</v>
      </c>
      <c r="E598" s="1">
        <v>71.0</v>
      </c>
      <c r="G598" s="1" t="s">
        <v>119</v>
      </c>
      <c r="H598" s="1" t="s">
        <v>92</v>
      </c>
      <c r="I598" s="1" t="s">
        <v>1522</v>
      </c>
      <c r="J598" s="1" t="s">
        <v>1523</v>
      </c>
      <c r="K598" s="1" t="s">
        <v>1523</v>
      </c>
      <c r="M598" s="1">
        <v>-12.0</v>
      </c>
      <c r="O598" s="1">
        <v>6.82145</v>
      </c>
    </row>
    <row r="599" ht="15.75" hidden="1" customHeight="1">
      <c r="A599" s="4">
        <v>45532.0</v>
      </c>
      <c r="B599" s="1" t="s">
        <v>103</v>
      </c>
      <c r="C599" s="1" t="s">
        <v>104</v>
      </c>
      <c r="D599" s="1">
        <v>313.0</v>
      </c>
      <c r="E599" s="1">
        <v>100.0</v>
      </c>
      <c r="G599" s="1" t="s">
        <v>91</v>
      </c>
      <c r="H599" s="1" t="s">
        <v>92</v>
      </c>
      <c r="I599" s="1" t="s">
        <v>1524</v>
      </c>
      <c r="J599" s="1" t="s">
        <v>1525</v>
      </c>
      <c r="K599" s="1" t="s">
        <v>1525</v>
      </c>
      <c r="M599" s="1">
        <v>0.0</v>
      </c>
      <c r="O599" s="1">
        <v>6.800916666666667</v>
      </c>
    </row>
    <row r="600" ht="15.75" hidden="1" customHeight="1">
      <c r="A600" s="4">
        <v>45532.0</v>
      </c>
      <c r="B600" s="1" t="s">
        <v>95</v>
      </c>
      <c r="C600" s="1" t="s">
        <v>104</v>
      </c>
      <c r="D600" s="1">
        <v>247.0</v>
      </c>
      <c r="E600" s="1">
        <v>62.0</v>
      </c>
      <c r="G600" s="1" t="s">
        <v>119</v>
      </c>
      <c r="H600" s="1" t="s">
        <v>213</v>
      </c>
      <c r="I600" s="1" t="s">
        <v>1526</v>
      </c>
      <c r="J600" s="1" t="s">
        <v>1527</v>
      </c>
      <c r="K600" s="1" t="s">
        <v>1527</v>
      </c>
      <c r="M600" s="1">
        <v>-7.0</v>
      </c>
      <c r="O600" s="1">
        <v>11.3086</v>
      </c>
    </row>
    <row r="601" ht="15.75" hidden="1" customHeight="1">
      <c r="A601" s="4">
        <v>45532.0</v>
      </c>
      <c r="B601" s="1" t="s">
        <v>95</v>
      </c>
      <c r="C601" s="1" t="s">
        <v>89</v>
      </c>
      <c r="D601" s="1">
        <v>995.0</v>
      </c>
      <c r="E601" s="1">
        <v>0.0</v>
      </c>
      <c r="F601" s="1" t="s">
        <v>373</v>
      </c>
      <c r="G601" s="1" t="s">
        <v>97</v>
      </c>
      <c r="H601" s="1" t="s">
        <v>92</v>
      </c>
      <c r="I601" s="1" t="s">
        <v>1528</v>
      </c>
      <c r="J601" s="1" t="s">
        <v>1529</v>
      </c>
      <c r="K601" s="1" t="s">
        <v>1530</v>
      </c>
      <c r="L601" s="1" t="s">
        <v>1531</v>
      </c>
      <c r="M601" s="1">
        <v>-14.0</v>
      </c>
      <c r="N601" s="1">
        <v>0.0113</v>
      </c>
      <c r="O601" s="1">
        <v>12.152683333333334</v>
      </c>
    </row>
    <row r="602" ht="15.75" hidden="1" customHeight="1">
      <c r="A602" s="4">
        <v>45532.0</v>
      </c>
      <c r="B602" s="1" t="s">
        <v>103</v>
      </c>
      <c r="C602" s="1" t="s">
        <v>104</v>
      </c>
      <c r="D602" s="1">
        <v>264.0</v>
      </c>
      <c r="E602" s="1">
        <v>0.0</v>
      </c>
      <c r="G602" s="1" t="s">
        <v>91</v>
      </c>
      <c r="H602" s="1" t="s">
        <v>92</v>
      </c>
      <c r="I602" s="1" t="s">
        <v>1532</v>
      </c>
      <c r="J602" s="1" t="s">
        <v>1533</v>
      </c>
      <c r="K602" s="1" t="s">
        <v>1533</v>
      </c>
      <c r="M602" s="1">
        <v>0.0</v>
      </c>
      <c r="O602" s="1">
        <v>6.8673166666666665</v>
      </c>
    </row>
    <row r="603" ht="15.75" hidden="1" customHeight="1">
      <c r="A603" s="4">
        <v>45532.0</v>
      </c>
      <c r="B603" s="1" t="s">
        <v>228</v>
      </c>
      <c r="C603" s="1" t="s">
        <v>104</v>
      </c>
      <c r="D603" s="1">
        <v>39.0</v>
      </c>
      <c r="E603" s="1">
        <v>0.0</v>
      </c>
      <c r="G603" s="1" t="s">
        <v>119</v>
      </c>
      <c r="H603" s="1" t="s">
        <v>98</v>
      </c>
      <c r="I603" s="1" t="s">
        <v>1534</v>
      </c>
      <c r="J603" s="1" t="s">
        <v>1535</v>
      </c>
      <c r="K603" s="1" t="s">
        <v>1535</v>
      </c>
      <c r="M603" s="1">
        <v>0.0</v>
      </c>
      <c r="O603" s="1">
        <v>4.77165</v>
      </c>
    </row>
    <row r="604" ht="15.75" hidden="1" customHeight="1">
      <c r="A604" s="4">
        <v>45532.0</v>
      </c>
      <c r="B604" s="1" t="s">
        <v>103</v>
      </c>
      <c r="C604" s="1" t="s">
        <v>104</v>
      </c>
      <c r="D604" s="1">
        <v>469.0</v>
      </c>
      <c r="E604" s="1">
        <v>0.0</v>
      </c>
      <c r="G604" s="1" t="s">
        <v>91</v>
      </c>
      <c r="H604" s="1" t="s">
        <v>92</v>
      </c>
      <c r="I604" s="1" t="s">
        <v>1536</v>
      </c>
      <c r="J604" s="1" t="s">
        <v>1537</v>
      </c>
      <c r="K604" s="1" t="s">
        <v>1537</v>
      </c>
      <c r="M604" s="1">
        <v>3.0</v>
      </c>
      <c r="O604" s="1">
        <v>11.581766666666667</v>
      </c>
    </row>
    <row r="605" ht="15.75" hidden="1" customHeight="1">
      <c r="A605" s="4">
        <v>45532.0</v>
      </c>
      <c r="B605" s="1" t="s">
        <v>88</v>
      </c>
      <c r="C605" s="1" t="s">
        <v>89</v>
      </c>
      <c r="D605" s="1">
        <v>264.0</v>
      </c>
      <c r="E605" s="1">
        <v>0.0</v>
      </c>
      <c r="F605" s="1" t="s">
        <v>90</v>
      </c>
      <c r="G605" s="1" t="s">
        <v>91</v>
      </c>
      <c r="H605" s="1" t="s">
        <v>92</v>
      </c>
      <c r="I605" s="1" t="s">
        <v>1538</v>
      </c>
      <c r="J605" s="1" t="s">
        <v>1539</v>
      </c>
      <c r="K605" s="1" t="s">
        <v>1539</v>
      </c>
      <c r="M605" s="1">
        <v>-8.0</v>
      </c>
      <c r="O605" s="1">
        <v>11.029033333333333</v>
      </c>
    </row>
    <row r="606" ht="15.75" hidden="1" customHeight="1">
      <c r="A606" s="4">
        <v>45532.0</v>
      </c>
      <c r="B606" s="1" t="s">
        <v>95</v>
      </c>
      <c r="C606" s="1" t="s">
        <v>104</v>
      </c>
      <c r="D606" s="1">
        <v>285.0</v>
      </c>
      <c r="E606" s="1">
        <v>61.0</v>
      </c>
      <c r="G606" s="1" t="s">
        <v>119</v>
      </c>
      <c r="H606" s="1" t="s">
        <v>98</v>
      </c>
      <c r="I606" s="1" t="s">
        <v>1540</v>
      </c>
      <c r="J606" s="1" t="s">
        <v>1541</v>
      </c>
      <c r="K606" s="1" t="s">
        <v>1541</v>
      </c>
      <c r="M606" s="1">
        <v>-4.0</v>
      </c>
      <c r="O606" s="1">
        <v>25.4383</v>
      </c>
    </row>
    <row r="607" ht="15.75" hidden="1" customHeight="1">
      <c r="A607" s="4">
        <v>45532.0</v>
      </c>
      <c r="B607" s="1" t="s">
        <v>95</v>
      </c>
      <c r="C607" s="1" t="s">
        <v>104</v>
      </c>
      <c r="D607" s="1">
        <v>199.0</v>
      </c>
      <c r="E607" s="1">
        <v>50.0</v>
      </c>
      <c r="G607" s="1" t="s">
        <v>119</v>
      </c>
      <c r="H607" s="1" t="s">
        <v>213</v>
      </c>
      <c r="I607" s="1" t="s">
        <v>1542</v>
      </c>
      <c r="J607" s="1" t="s">
        <v>1543</v>
      </c>
      <c r="K607" s="1" t="s">
        <v>1543</v>
      </c>
      <c r="M607" s="1">
        <v>-10.0</v>
      </c>
      <c r="O607" s="1">
        <v>9.49765</v>
      </c>
    </row>
    <row r="608" ht="15.75" hidden="1" customHeight="1">
      <c r="A608" s="4">
        <v>45532.0</v>
      </c>
      <c r="B608" s="1" t="s">
        <v>103</v>
      </c>
      <c r="C608" s="1" t="s">
        <v>104</v>
      </c>
      <c r="D608" s="1">
        <v>657.0</v>
      </c>
      <c r="E608" s="1">
        <v>0.0</v>
      </c>
      <c r="G608" s="1" t="s">
        <v>91</v>
      </c>
      <c r="H608" s="1" t="s">
        <v>98</v>
      </c>
      <c r="I608" s="1" t="s">
        <v>1544</v>
      </c>
      <c r="J608" s="1" t="s">
        <v>1545</v>
      </c>
      <c r="K608" s="1" t="s">
        <v>1545</v>
      </c>
      <c r="M608" s="1">
        <v>0.0</v>
      </c>
      <c r="O608" s="1">
        <v>8.3824</v>
      </c>
    </row>
    <row r="609" ht="15.75" hidden="1" customHeight="1">
      <c r="A609" s="4">
        <v>45532.0</v>
      </c>
      <c r="B609" s="1" t="s">
        <v>95</v>
      </c>
      <c r="C609" s="1" t="s">
        <v>104</v>
      </c>
      <c r="D609" s="1">
        <v>199.0</v>
      </c>
      <c r="E609" s="1">
        <v>50.0</v>
      </c>
      <c r="G609" s="1" t="s">
        <v>119</v>
      </c>
      <c r="H609" s="1" t="s">
        <v>213</v>
      </c>
      <c r="I609" s="1" t="s">
        <v>1546</v>
      </c>
      <c r="J609" s="1" t="s">
        <v>1547</v>
      </c>
      <c r="K609" s="1" t="s">
        <v>1547</v>
      </c>
      <c r="M609" s="1">
        <v>-9.0</v>
      </c>
      <c r="O609" s="1">
        <v>16.041183333333333</v>
      </c>
    </row>
    <row r="610" ht="15.75" hidden="1" customHeight="1">
      <c r="A610" s="4">
        <v>45532.0</v>
      </c>
      <c r="B610" s="1" t="s">
        <v>88</v>
      </c>
      <c r="C610" s="1" t="s">
        <v>89</v>
      </c>
      <c r="D610" s="1">
        <v>294.0</v>
      </c>
      <c r="E610" s="1">
        <v>0.0</v>
      </c>
      <c r="F610" s="1" t="s">
        <v>90</v>
      </c>
      <c r="G610" s="1" t="s">
        <v>91</v>
      </c>
      <c r="H610" s="1" t="s">
        <v>92</v>
      </c>
      <c r="I610" s="1" t="s">
        <v>1548</v>
      </c>
      <c r="J610" s="1" t="s">
        <v>1549</v>
      </c>
      <c r="K610" s="1" t="s">
        <v>1549</v>
      </c>
      <c r="M610" s="1">
        <v>0.0</v>
      </c>
      <c r="O610" s="1">
        <v>14.243416666666667</v>
      </c>
    </row>
    <row r="611" ht="15.75" hidden="1" customHeight="1">
      <c r="A611" s="4">
        <v>45532.0</v>
      </c>
      <c r="B611" s="1" t="s">
        <v>103</v>
      </c>
      <c r="C611" s="1" t="s">
        <v>104</v>
      </c>
      <c r="D611" s="1">
        <v>373.0</v>
      </c>
      <c r="E611" s="1">
        <v>150.0</v>
      </c>
      <c r="G611" s="1" t="s">
        <v>91</v>
      </c>
      <c r="H611" s="1" t="s">
        <v>92</v>
      </c>
      <c r="I611" s="1" t="s">
        <v>1550</v>
      </c>
      <c r="J611" s="1" t="s">
        <v>1551</v>
      </c>
      <c r="K611" s="1" t="s">
        <v>1551</v>
      </c>
      <c r="M611" s="1">
        <v>4.0</v>
      </c>
      <c r="O611" s="1">
        <v>13.811433333333333</v>
      </c>
    </row>
    <row r="612" ht="15.75" hidden="1" customHeight="1">
      <c r="A612" s="4">
        <v>45532.0</v>
      </c>
      <c r="B612" s="1" t="s">
        <v>107</v>
      </c>
      <c r="C612" s="1" t="s">
        <v>104</v>
      </c>
      <c r="D612" s="1">
        <v>351.0</v>
      </c>
      <c r="E612" s="1">
        <v>0.0</v>
      </c>
      <c r="F612" s="1" t="s">
        <v>1552</v>
      </c>
      <c r="G612" s="1" t="s">
        <v>91</v>
      </c>
      <c r="H612" s="1" t="s">
        <v>92</v>
      </c>
      <c r="I612" s="1" t="s">
        <v>1553</v>
      </c>
      <c r="J612" s="1" t="s">
        <v>1554</v>
      </c>
      <c r="K612" s="1" t="s">
        <v>1554</v>
      </c>
      <c r="M612" s="1">
        <v>0.0</v>
      </c>
      <c r="O612" s="1">
        <v>15.33875</v>
      </c>
    </row>
    <row r="613" ht="15.75" hidden="1" customHeight="1">
      <c r="A613" s="4">
        <v>45532.0</v>
      </c>
      <c r="B613" s="1" t="s">
        <v>103</v>
      </c>
      <c r="C613" s="1" t="s">
        <v>104</v>
      </c>
      <c r="D613" s="1">
        <v>1220.0</v>
      </c>
      <c r="E613" s="1">
        <v>0.0</v>
      </c>
      <c r="G613" s="1" t="s">
        <v>91</v>
      </c>
      <c r="H613" s="1" t="s">
        <v>92</v>
      </c>
      <c r="I613" s="1" t="s">
        <v>1555</v>
      </c>
      <c r="J613" s="1" t="s">
        <v>1556</v>
      </c>
      <c r="K613" s="1" t="s">
        <v>1556</v>
      </c>
      <c r="M613" s="1">
        <v>2.0</v>
      </c>
      <c r="O613" s="1">
        <v>14.270633333333333</v>
      </c>
    </row>
    <row r="614" ht="15.75" hidden="1" customHeight="1">
      <c r="A614" s="4">
        <v>45532.0</v>
      </c>
      <c r="B614" s="1" t="s">
        <v>95</v>
      </c>
      <c r="C614" s="1" t="s">
        <v>89</v>
      </c>
      <c r="D614" s="1">
        <v>374.0</v>
      </c>
      <c r="E614" s="1">
        <v>0.0</v>
      </c>
      <c r="F614" s="1" t="s">
        <v>373</v>
      </c>
      <c r="G614" s="1" t="s">
        <v>97</v>
      </c>
      <c r="H614" s="1" t="s">
        <v>92</v>
      </c>
      <c r="I614" s="1" t="s">
        <v>1557</v>
      </c>
      <c r="J614" s="1" t="s">
        <v>1558</v>
      </c>
      <c r="K614" s="1" t="s">
        <v>1559</v>
      </c>
      <c r="L614" s="1" t="s">
        <v>1560</v>
      </c>
      <c r="M614" s="1">
        <v>2.0</v>
      </c>
      <c r="N614" s="1">
        <v>0.01415</v>
      </c>
      <c r="O614" s="1">
        <v>90.27966666666667</v>
      </c>
    </row>
    <row r="615" ht="15.75" hidden="1" customHeight="1">
      <c r="A615" s="4">
        <v>45532.0</v>
      </c>
      <c r="B615" s="1" t="s">
        <v>88</v>
      </c>
      <c r="C615" s="1" t="s">
        <v>89</v>
      </c>
      <c r="D615" s="1">
        <v>674.0</v>
      </c>
      <c r="E615" s="1">
        <v>0.0</v>
      </c>
      <c r="F615" s="1" t="s">
        <v>90</v>
      </c>
      <c r="G615" s="1" t="s">
        <v>91</v>
      </c>
      <c r="H615" s="1" t="s">
        <v>92</v>
      </c>
      <c r="I615" s="1" t="s">
        <v>1561</v>
      </c>
      <c r="J615" s="1" t="s">
        <v>1562</v>
      </c>
      <c r="K615" s="1" t="s">
        <v>1562</v>
      </c>
      <c r="M615" s="1">
        <v>-10.0</v>
      </c>
      <c r="O615" s="1">
        <v>316.97243333333336</v>
      </c>
    </row>
    <row r="616" ht="15.75" hidden="1" customHeight="1">
      <c r="A616" s="4">
        <v>45533.0</v>
      </c>
      <c r="B616" s="1" t="s">
        <v>107</v>
      </c>
      <c r="C616" s="1" t="s">
        <v>104</v>
      </c>
      <c r="D616" s="1">
        <v>378.0</v>
      </c>
      <c r="E616" s="1">
        <v>0.0</v>
      </c>
      <c r="F616" s="1" t="s">
        <v>1563</v>
      </c>
      <c r="G616" s="1" t="s">
        <v>91</v>
      </c>
      <c r="H616" s="1" t="s">
        <v>92</v>
      </c>
      <c r="I616" s="1" t="s">
        <v>1564</v>
      </c>
      <c r="J616" s="1" t="s">
        <v>1565</v>
      </c>
      <c r="K616" s="1" t="s">
        <v>1565</v>
      </c>
      <c r="M616" s="1">
        <v>-6.0</v>
      </c>
      <c r="O616" s="1">
        <v>8.82955</v>
      </c>
    </row>
    <row r="617" ht="15.75" hidden="1" customHeight="1">
      <c r="A617" s="4">
        <v>45533.0</v>
      </c>
      <c r="B617" s="1" t="s">
        <v>88</v>
      </c>
      <c r="C617" s="1" t="s">
        <v>89</v>
      </c>
      <c r="D617" s="1">
        <v>329.0</v>
      </c>
      <c r="E617" s="1">
        <v>0.0</v>
      </c>
      <c r="F617" s="1" t="s">
        <v>90</v>
      </c>
      <c r="G617" s="1" t="s">
        <v>91</v>
      </c>
      <c r="H617" s="1" t="s">
        <v>92</v>
      </c>
      <c r="I617" s="1" t="s">
        <v>1566</v>
      </c>
      <c r="J617" s="1" t="s">
        <v>1567</v>
      </c>
      <c r="K617" s="1" t="s">
        <v>1567</v>
      </c>
      <c r="M617" s="1">
        <v>-3.0</v>
      </c>
      <c r="O617" s="1">
        <v>11.044466666666667</v>
      </c>
    </row>
    <row r="618" ht="15.75" hidden="1" customHeight="1">
      <c r="A618" s="4">
        <v>45533.0</v>
      </c>
      <c r="B618" s="1" t="s">
        <v>88</v>
      </c>
      <c r="C618" s="1" t="s">
        <v>89</v>
      </c>
      <c r="D618" s="1">
        <v>352.0</v>
      </c>
      <c r="E618" s="1">
        <v>0.0</v>
      </c>
      <c r="F618" s="1" t="s">
        <v>90</v>
      </c>
      <c r="G618" s="1" t="s">
        <v>91</v>
      </c>
      <c r="H618" s="1" t="s">
        <v>92</v>
      </c>
      <c r="I618" s="1" t="s">
        <v>1568</v>
      </c>
      <c r="J618" s="1" t="s">
        <v>1569</v>
      </c>
      <c r="K618" s="1" t="s">
        <v>1569</v>
      </c>
      <c r="M618" s="1">
        <v>-7.0</v>
      </c>
      <c r="O618" s="1">
        <v>7.226966666666667</v>
      </c>
    </row>
    <row r="619" ht="15.75" hidden="1" customHeight="1">
      <c r="A619" s="4">
        <v>45533.0</v>
      </c>
      <c r="B619" s="1" t="s">
        <v>88</v>
      </c>
      <c r="C619" s="1" t="s">
        <v>89</v>
      </c>
      <c r="D619" s="1">
        <v>264.0</v>
      </c>
      <c r="E619" s="1">
        <v>0.0</v>
      </c>
      <c r="F619" s="1" t="s">
        <v>90</v>
      </c>
      <c r="G619" s="1" t="s">
        <v>91</v>
      </c>
      <c r="H619" s="1" t="s">
        <v>92</v>
      </c>
      <c r="I619" s="1" t="s">
        <v>1570</v>
      </c>
      <c r="J619" s="1" t="s">
        <v>1571</v>
      </c>
      <c r="K619" s="1" t="s">
        <v>1571</v>
      </c>
      <c r="M619" s="1">
        <v>-7.0</v>
      </c>
      <c r="O619" s="1">
        <v>7.153983333333334</v>
      </c>
    </row>
    <row r="620" ht="15.75" hidden="1" customHeight="1">
      <c r="A620" s="4">
        <v>45533.0</v>
      </c>
      <c r="B620" s="1" t="s">
        <v>228</v>
      </c>
      <c r="C620" s="1" t="s">
        <v>104</v>
      </c>
      <c r="D620" s="1">
        <v>249.0</v>
      </c>
      <c r="E620" s="1">
        <v>0.0</v>
      </c>
      <c r="G620" s="1" t="s">
        <v>119</v>
      </c>
      <c r="H620" s="1" t="s">
        <v>98</v>
      </c>
      <c r="I620" s="1" t="s">
        <v>1572</v>
      </c>
      <c r="J620" s="1" t="s">
        <v>1573</v>
      </c>
      <c r="K620" s="1" t="s">
        <v>1573</v>
      </c>
      <c r="M620" s="1">
        <v>2.0</v>
      </c>
      <c r="O620" s="1">
        <v>7.819266666666667</v>
      </c>
    </row>
    <row r="621" ht="15.75" hidden="1" customHeight="1">
      <c r="A621" s="4">
        <v>45533.0</v>
      </c>
      <c r="B621" s="1" t="s">
        <v>228</v>
      </c>
      <c r="C621" s="1" t="s">
        <v>104</v>
      </c>
      <c r="D621" s="1">
        <v>368.0</v>
      </c>
      <c r="E621" s="1">
        <v>0.0</v>
      </c>
      <c r="G621" s="1" t="s">
        <v>119</v>
      </c>
      <c r="H621" s="1" t="s">
        <v>98</v>
      </c>
      <c r="I621" s="1" t="s">
        <v>1574</v>
      </c>
      <c r="J621" s="1" t="s">
        <v>1575</v>
      </c>
      <c r="K621" s="1" t="s">
        <v>1575</v>
      </c>
      <c r="M621" s="1">
        <v>4.0</v>
      </c>
      <c r="O621" s="1">
        <v>9.090716666666667</v>
      </c>
    </row>
    <row r="622" ht="15.75" hidden="1" customHeight="1">
      <c r="A622" s="4">
        <v>45533.0</v>
      </c>
      <c r="B622" s="1" t="s">
        <v>88</v>
      </c>
      <c r="C622" s="1" t="s">
        <v>89</v>
      </c>
      <c r="D622" s="1">
        <v>368.0</v>
      </c>
      <c r="E622" s="1">
        <v>0.0</v>
      </c>
      <c r="F622" s="1" t="s">
        <v>90</v>
      </c>
      <c r="G622" s="1" t="s">
        <v>91</v>
      </c>
      <c r="H622" s="1" t="s">
        <v>92</v>
      </c>
      <c r="I622" s="1" t="s">
        <v>1576</v>
      </c>
      <c r="J622" s="1" t="s">
        <v>1577</v>
      </c>
      <c r="K622" s="1" t="s">
        <v>1577</v>
      </c>
      <c r="M622" s="1">
        <v>-6.0</v>
      </c>
      <c r="O622" s="1">
        <v>8.476866666666666</v>
      </c>
    </row>
    <row r="623" ht="15.75" hidden="1" customHeight="1">
      <c r="A623" s="4">
        <v>45533.0</v>
      </c>
      <c r="B623" s="1" t="s">
        <v>103</v>
      </c>
      <c r="C623" s="1" t="s">
        <v>104</v>
      </c>
      <c r="D623" s="1">
        <v>500.0</v>
      </c>
      <c r="E623" s="1">
        <v>0.0</v>
      </c>
      <c r="G623" s="1" t="s">
        <v>91</v>
      </c>
      <c r="H623" s="1" t="s">
        <v>92</v>
      </c>
      <c r="I623" s="1" t="s">
        <v>1578</v>
      </c>
      <c r="J623" s="1" t="s">
        <v>1579</v>
      </c>
      <c r="K623" s="1" t="s">
        <v>1579</v>
      </c>
      <c r="M623" s="1">
        <v>0.0</v>
      </c>
      <c r="O623" s="1">
        <v>8.539616666666667</v>
      </c>
    </row>
    <row r="624" ht="15.75" hidden="1" customHeight="1">
      <c r="A624" s="4">
        <v>45533.0</v>
      </c>
      <c r="B624" s="1" t="s">
        <v>103</v>
      </c>
      <c r="C624" s="1" t="s">
        <v>104</v>
      </c>
      <c r="D624" s="1">
        <v>882.0</v>
      </c>
      <c r="E624" s="1">
        <v>0.0</v>
      </c>
      <c r="G624" s="1" t="s">
        <v>91</v>
      </c>
      <c r="H624" s="1" t="s">
        <v>92</v>
      </c>
      <c r="I624" s="1" t="s">
        <v>1580</v>
      </c>
      <c r="J624" s="1" t="s">
        <v>1581</v>
      </c>
      <c r="K624" s="1" t="s">
        <v>1581</v>
      </c>
      <c r="M624" s="1">
        <v>0.0</v>
      </c>
      <c r="O624" s="1">
        <v>10.219866666666666</v>
      </c>
    </row>
    <row r="625" ht="15.75" hidden="1" customHeight="1">
      <c r="A625" s="4">
        <v>45533.0</v>
      </c>
      <c r="B625" s="1" t="s">
        <v>103</v>
      </c>
      <c r="C625" s="1" t="s">
        <v>104</v>
      </c>
      <c r="D625" s="1">
        <v>233.0</v>
      </c>
      <c r="E625" s="1">
        <v>0.0</v>
      </c>
      <c r="G625" s="1" t="s">
        <v>91</v>
      </c>
      <c r="H625" s="1" t="s">
        <v>92</v>
      </c>
      <c r="I625" s="1" t="s">
        <v>1582</v>
      </c>
      <c r="J625" s="1" t="s">
        <v>1583</v>
      </c>
      <c r="K625" s="1" t="s">
        <v>1583</v>
      </c>
      <c r="M625" s="1">
        <v>5.0</v>
      </c>
      <c r="O625" s="1">
        <v>11.105866666666667</v>
      </c>
    </row>
    <row r="626" ht="15.75" hidden="1" customHeight="1">
      <c r="A626" s="4">
        <v>45533.0</v>
      </c>
      <c r="B626" s="1" t="s">
        <v>88</v>
      </c>
      <c r="C626" s="1" t="s">
        <v>89</v>
      </c>
      <c r="D626" s="1">
        <v>378.0</v>
      </c>
      <c r="E626" s="1">
        <v>0.0</v>
      </c>
      <c r="F626" s="1" t="s">
        <v>90</v>
      </c>
      <c r="G626" s="1" t="s">
        <v>91</v>
      </c>
      <c r="H626" s="1" t="s">
        <v>92</v>
      </c>
      <c r="I626" s="1" t="s">
        <v>1584</v>
      </c>
      <c r="J626" s="1" t="s">
        <v>1585</v>
      </c>
      <c r="K626" s="1" t="s">
        <v>1585</v>
      </c>
      <c r="M626" s="1">
        <v>-7.0</v>
      </c>
      <c r="O626" s="1">
        <v>7.133766666666666</v>
      </c>
    </row>
    <row r="627" ht="15.75" hidden="1" customHeight="1">
      <c r="A627" s="4">
        <v>45533.0</v>
      </c>
      <c r="B627" s="1" t="s">
        <v>95</v>
      </c>
      <c r="C627" s="1" t="s">
        <v>89</v>
      </c>
      <c r="D627" s="1">
        <v>395.0</v>
      </c>
      <c r="E627" s="1">
        <v>19.0</v>
      </c>
      <c r="F627" s="1" t="s">
        <v>54</v>
      </c>
      <c r="G627" s="1" t="s">
        <v>97</v>
      </c>
      <c r="H627" s="1" t="s">
        <v>92</v>
      </c>
      <c r="I627" s="1" t="s">
        <v>1586</v>
      </c>
      <c r="K627" s="1" t="s">
        <v>1587</v>
      </c>
      <c r="L627" s="1" t="s">
        <v>1588</v>
      </c>
      <c r="M627" s="1">
        <v>-7.0</v>
      </c>
      <c r="N627" s="1">
        <v>0.013583333333333333</v>
      </c>
    </row>
    <row r="628" ht="15.75" hidden="1" customHeight="1">
      <c r="A628" s="4">
        <v>45533.0</v>
      </c>
      <c r="B628" s="1" t="s">
        <v>107</v>
      </c>
      <c r="C628" s="1" t="s">
        <v>104</v>
      </c>
      <c r="D628" s="1">
        <v>393.0</v>
      </c>
      <c r="E628" s="1">
        <v>0.0</v>
      </c>
      <c r="F628" s="1" t="s">
        <v>1589</v>
      </c>
      <c r="G628" s="1" t="s">
        <v>91</v>
      </c>
      <c r="H628" s="1" t="s">
        <v>92</v>
      </c>
      <c r="I628" s="1" t="s">
        <v>1590</v>
      </c>
      <c r="J628" s="1" t="s">
        <v>1591</v>
      </c>
      <c r="K628" s="1" t="s">
        <v>1591</v>
      </c>
      <c r="M628" s="1">
        <v>-5.0</v>
      </c>
      <c r="O628" s="1">
        <v>9.120583333333334</v>
      </c>
    </row>
    <row r="629" ht="15.75" hidden="1" customHeight="1">
      <c r="A629" s="4">
        <v>45533.0</v>
      </c>
      <c r="B629" s="1" t="s">
        <v>103</v>
      </c>
      <c r="C629" s="1" t="s">
        <v>104</v>
      </c>
      <c r="D629" s="1">
        <v>321.0</v>
      </c>
      <c r="E629" s="1">
        <v>0.0</v>
      </c>
      <c r="G629" s="1" t="s">
        <v>91</v>
      </c>
      <c r="H629" s="1" t="s">
        <v>98</v>
      </c>
      <c r="I629" s="1" t="s">
        <v>1592</v>
      </c>
      <c r="J629" s="1" t="s">
        <v>1593</v>
      </c>
      <c r="K629" s="1" t="s">
        <v>1593</v>
      </c>
      <c r="M629" s="1">
        <v>2.0</v>
      </c>
      <c r="O629" s="1">
        <v>9.66505</v>
      </c>
    </row>
    <row r="630" ht="15.75" hidden="1" customHeight="1">
      <c r="A630" s="4">
        <v>45533.0</v>
      </c>
      <c r="B630" s="1" t="s">
        <v>95</v>
      </c>
      <c r="C630" s="1" t="s">
        <v>104</v>
      </c>
      <c r="D630" s="1">
        <v>199.0</v>
      </c>
      <c r="E630" s="1">
        <v>50.0</v>
      </c>
      <c r="G630" s="1" t="s">
        <v>119</v>
      </c>
      <c r="H630" s="1" t="s">
        <v>92</v>
      </c>
      <c r="I630" s="1" t="s">
        <v>1594</v>
      </c>
      <c r="J630" s="1" t="s">
        <v>1595</v>
      </c>
      <c r="K630" s="1" t="s">
        <v>1595</v>
      </c>
      <c r="M630" s="1">
        <v>-8.0</v>
      </c>
      <c r="O630" s="1">
        <v>9.746533333333334</v>
      </c>
    </row>
    <row r="631" ht="15.75" hidden="1" customHeight="1">
      <c r="A631" s="4">
        <v>45533.0</v>
      </c>
      <c r="B631" s="1" t="s">
        <v>103</v>
      </c>
      <c r="C631" s="1" t="s">
        <v>104</v>
      </c>
      <c r="D631" s="1">
        <v>289.0</v>
      </c>
      <c r="E631" s="1">
        <v>0.0</v>
      </c>
      <c r="G631" s="1" t="s">
        <v>91</v>
      </c>
      <c r="H631" s="1" t="s">
        <v>98</v>
      </c>
      <c r="I631" s="1" t="s">
        <v>1596</v>
      </c>
      <c r="J631" s="1" t="s">
        <v>1597</v>
      </c>
      <c r="K631" s="1" t="s">
        <v>1597</v>
      </c>
      <c r="M631" s="1">
        <v>0.0</v>
      </c>
      <c r="O631" s="1">
        <v>7.82555</v>
      </c>
    </row>
    <row r="632" ht="15.75" hidden="1" customHeight="1">
      <c r="A632" s="4">
        <v>45533.0</v>
      </c>
      <c r="B632" s="1" t="s">
        <v>88</v>
      </c>
      <c r="C632" s="1" t="s">
        <v>89</v>
      </c>
      <c r="D632" s="1">
        <v>329.0</v>
      </c>
      <c r="E632" s="1">
        <v>0.0</v>
      </c>
      <c r="F632" s="1" t="s">
        <v>90</v>
      </c>
      <c r="G632" s="1" t="s">
        <v>91</v>
      </c>
      <c r="H632" s="1" t="s">
        <v>92</v>
      </c>
      <c r="I632" s="1" t="s">
        <v>1598</v>
      </c>
      <c r="J632" s="1" t="s">
        <v>1599</v>
      </c>
      <c r="K632" s="1" t="s">
        <v>1599</v>
      </c>
      <c r="M632" s="1">
        <v>-8.0</v>
      </c>
      <c r="O632" s="1">
        <v>6.237583333333333</v>
      </c>
    </row>
    <row r="633" ht="15.75" hidden="1" customHeight="1">
      <c r="A633" s="4">
        <v>45533.0</v>
      </c>
      <c r="B633" s="1" t="s">
        <v>88</v>
      </c>
      <c r="C633" s="1" t="s">
        <v>89</v>
      </c>
      <c r="D633" s="1">
        <v>289.0</v>
      </c>
      <c r="E633" s="1">
        <v>0.0</v>
      </c>
      <c r="F633" s="1" t="s">
        <v>90</v>
      </c>
      <c r="G633" s="1" t="s">
        <v>91</v>
      </c>
      <c r="H633" s="1" t="s">
        <v>92</v>
      </c>
      <c r="I633" s="1" t="s">
        <v>1600</v>
      </c>
      <c r="J633" s="1" t="s">
        <v>1601</v>
      </c>
      <c r="K633" s="1" t="s">
        <v>1601</v>
      </c>
      <c r="M633" s="1">
        <v>0.0</v>
      </c>
      <c r="O633" s="1">
        <v>14.06935</v>
      </c>
    </row>
    <row r="634" ht="15.75" hidden="1" customHeight="1">
      <c r="A634" s="4">
        <v>45533.0</v>
      </c>
      <c r="B634" s="1" t="s">
        <v>88</v>
      </c>
      <c r="C634" s="1" t="s">
        <v>89</v>
      </c>
      <c r="D634" s="1">
        <v>299.0</v>
      </c>
      <c r="E634" s="1">
        <v>0.0</v>
      </c>
      <c r="F634" s="1" t="s">
        <v>90</v>
      </c>
      <c r="G634" s="1" t="s">
        <v>91</v>
      </c>
      <c r="H634" s="1" t="s">
        <v>92</v>
      </c>
      <c r="I634" s="1" t="s">
        <v>1602</v>
      </c>
      <c r="J634" s="1" t="s">
        <v>1603</v>
      </c>
      <c r="K634" s="1" t="s">
        <v>1603</v>
      </c>
      <c r="M634" s="1">
        <v>-6.0</v>
      </c>
      <c r="O634" s="1">
        <v>8.090983333333334</v>
      </c>
    </row>
    <row r="635" ht="15.75" hidden="1" customHeight="1">
      <c r="A635" s="4">
        <v>45533.0</v>
      </c>
      <c r="B635" s="1" t="s">
        <v>103</v>
      </c>
      <c r="C635" s="1" t="s">
        <v>104</v>
      </c>
      <c r="D635" s="1">
        <v>264.0</v>
      </c>
      <c r="E635" s="1">
        <v>0.0</v>
      </c>
      <c r="G635" s="1" t="s">
        <v>91</v>
      </c>
      <c r="H635" s="1" t="s">
        <v>98</v>
      </c>
      <c r="I635" s="1" t="s">
        <v>1604</v>
      </c>
      <c r="J635" s="1" t="s">
        <v>1605</v>
      </c>
      <c r="K635" s="1" t="s">
        <v>1605</v>
      </c>
      <c r="M635" s="1">
        <v>0.0</v>
      </c>
      <c r="O635" s="1">
        <v>6.97265</v>
      </c>
    </row>
    <row r="636" ht="15.75" hidden="1" customHeight="1">
      <c r="A636" s="4">
        <v>45533.0</v>
      </c>
      <c r="B636" s="1" t="s">
        <v>95</v>
      </c>
      <c r="C636" s="1" t="s">
        <v>104</v>
      </c>
      <c r="D636" s="1">
        <v>199.0</v>
      </c>
      <c r="E636" s="1">
        <v>50.0</v>
      </c>
      <c r="G636" s="1" t="s">
        <v>119</v>
      </c>
      <c r="H636" s="1" t="s">
        <v>98</v>
      </c>
      <c r="I636" s="1" t="s">
        <v>1606</v>
      </c>
      <c r="J636" s="1" t="s">
        <v>1607</v>
      </c>
      <c r="K636" s="1" t="s">
        <v>1607</v>
      </c>
      <c r="M636" s="1">
        <v>-9.0</v>
      </c>
      <c r="O636" s="1">
        <v>9.83025</v>
      </c>
    </row>
    <row r="637" ht="15.75" hidden="1" customHeight="1">
      <c r="A637" s="4">
        <v>45533.0</v>
      </c>
      <c r="B637" s="1" t="s">
        <v>103</v>
      </c>
      <c r="C637" s="1" t="s">
        <v>104</v>
      </c>
      <c r="D637" s="1">
        <v>623.0</v>
      </c>
      <c r="E637" s="1">
        <v>0.0</v>
      </c>
      <c r="G637" s="1" t="s">
        <v>91</v>
      </c>
      <c r="H637" s="1" t="s">
        <v>98</v>
      </c>
      <c r="I637" s="1" t="s">
        <v>1608</v>
      </c>
      <c r="J637" s="1" t="s">
        <v>1609</v>
      </c>
      <c r="K637" s="1" t="s">
        <v>1609</v>
      </c>
      <c r="M637" s="1">
        <v>2.0</v>
      </c>
      <c r="O637" s="1">
        <v>11.83075</v>
      </c>
    </row>
    <row r="638" ht="15.75" hidden="1" customHeight="1">
      <c r="A638" s="4">
        <v>45533.0</v>
      </c>
      <c r="B638" s="1" t="s">
        <v>95</v>
      </c>
      <c r="C638" s="1" t="s">
        <v>104</v>
      </c>
      <c r="D638" s="1">
        <v>327.0</v>
      </c>
      <c r="E638" s="1">
        <v>82.0</v>
      </c>
      <c r="G638" s="1" t="s">
        <v>119</v>
      </c>
      <c r="H638" s="1" t="s">
        <v>92</v>
      </c>
      <c r="I638" s="1" t="s">
        <v>1610</v>
      </c>
      <c r="J638" s="1" t="s">
        <v>1611</v>
      </c>
      <c r="K638" s="1" t="s">
        <v>1611</v>
      </c>
      <c r="M638" s="1">
        <v>-29.0</v>
      </c>
      <c r="O638" s="1">
        <v>7.380633333333333</v>
      </c>
    </row>
    <row r="639" ht="15.75" hidden="1" customHeight="1">
      <c r="A639" s="4">
        <v>45533.0</v>
      </c>
      <c r="B639" s="1" t="s">
        <v>103</v>
      </c>
      <c r="C639" s="1" t="s">
        <v>104</v>
      </c>
      <c r="D639" s="1">
        <v>264.0</v>
      </c>
      <c r="E639" s="1">
        <v>0.0</v>
      </c>
      <c r="G639" s="1" t="s">
        <v>91</v>
      </c>
      <c r="H639" s="1" t="s">
        <v>92</v>
      </c>
      <c r="I639" s="1" t="s">
        <v>1612</v>
      </c>
      <c r="J639" s="1" t="s">
        <v>1613</v>
      </c>
      <c r="K639" s="1" t="s">
        <v>1613</v>
      </c>
      <c r="M639" s="1">
        <v>3.0</v>
      </c>
      <c r="O639" s="1">
        <v>9.158766666666667</v>
      </c>
    </row>
    <row r="640" ht="15.75" hidden="1" customHeight="1">
      <c r="A640" s="4">
        <v>45533.0</v>
      </c>
      <c r="B640" s="1" t="s">
        <v>88</v>
      </c>
      <c r="C640" s="1" t="s">
        <v>89</v>
      </c>
      <c r="D640" s="1">
        <v>329.0</v>
      </c>
      <c r="E640" s="1">
        <v>0.0</v>
      </c>
      <c r="F640" s="1" t="s">
        <v>90</v>
      </c>
      <c r="G640" s="1" t="s">
        <v>91</v>
      </c>
      <c r="H640" s="1" t="s">
        <v>92</v>
      </c>
      <c r="I640" s="1" t="s">
        <v>1614</v>
      </c>
      <c r="J640" s="1" t="s">
        <v>1615</v>
      </c>
      <c r="K640" s="1" t="s">
        <v>1615</v>
      </c>
      <c r="M640" s="1">
        <v>-13.0</v>
      </c>
      <c r="O640" s="1">
        <v>8.345166666666668</v>
      </c>
    </row>
    <row r="641" ht="15.75" hidden="1" customHeight="1">
      <c r="A641" s="4">
        <v>45533.0</v>
      </c>
      <c r="B641" s="1" t="s">
        <v>95</v>
      </c>
      <c r="C641" s="1" t="s">
        <v>104</v>
      </c>
      <c r="D641" s="1">
        <v>1226.0</v>
      </c>
      <c r="E641" s="1">
        <v>297.0</v>
      </c>
      <c r="G641" s="1" t="s">
        <v>119</v>
      </c>
      <c r="H641" s="1" t="s">
        <v>213</v>
      </c>
      <c r="I641" s="1" t="s">
        <v>1616</v>
      </c>
      <c r="J641" s="1" t="s">
        <v>1617</v>
      </c>
      <c r="K641" s="1" t="s">
        <v>1617</v>
      </c>
      <c r="M641" s="1">
        <v>-4.0</v>
      </c>
      <c r="O641" s="1">
        <v>20.14655</v>
      </c>
    </row>
    <row r="642" ht="15.75" hidden="1" customHeight="1">
      <c r="A642" s="4">
        <v>45533.0</v>
      </c>
      <c r="B642" s="1" t="s">
        <v>88</v>
      </c>
      <c r="C642" s="1" t="s">
        <v>89</v>
      </c>
      <c r="D642" s="1">
        <v>394.0</v>
      </c>
      <c r="E642" s="1">
        <v>0.0</v>
      </c>
      <c r="F642" s="1" t="s">
        <v>90</v>
      </c>
      <c r="G642" s="1" t="s">
        <v>91</v>
      </c>
      <c r="H642" s="1" t="s">
        <v>92</v>
      </c>
      <c r="I642" s="1" t="s">
        <v>1618</v>
      </c>
      <c r="J642" s="1" t="s">
        <v>1619</v>
      </c>
      <c r="K642" s="1" t="s">
        <v>1619</v>
      </c>
      <c r="M642" s="1">
        <v>-7.0</v>
      </c>
      <c r="O642" s="1">
        <v>7.189233333333333</v>
      </c>
    </row>
    <row r="643" ht="15.75" hidden="1" customHeight="1">
      <c r="A643" s="4">
        <v>45533.0</v>
      </c>
      <c r="B643" s="1" t="s">
        <v>95</v>
      </c>
      <c r="C643" s="1" t="s">
        <v>104</v>
      </c>
      <c r="D643" s="1">
        <v>418.0</v>
      </c>
      <c r="E643" s="1">
        <v>105.0</v>
      </c>
      <c r="G643" s="1" t="s">
        <v>119</v>
      </c>
      <c r="H643" s="1" t="s">
        <v>92</v>
      </c>
      <c r="I643" s="1" t="s">
        <v>1620</v>
      </c>
      <c r="J643" s="1" t="s">
        <v>1621</v>
      </c>
      <c r="K643" s="1" t="s">
        <v>1621</v>
      </c>
      <c r="M643" s="1">
        <v>-8.0</v>
      </c>
      <c r="O643" s="1">
        <v>10.624316666666667</v>
      </c>
    </row>
    <row r="644" ht="15.75" hidden="1" customHeight="1">
      <c r="A644" s="4">
        <v>45533.0</v>
      </c>
      <c r="B644" s="1" t="s">
        <v>107</v>
      </c>
      <c r="C644" s="1" t="s">
        <v>104</v>
      </c>
      <c r="D644" s="1">
        <v>321.0</v>
      </c>
      <c r="E644" s="1">
        <v>0.0</v>
      </c>
      <c r="F644" s="1" t="s">
        <v>1622</v>
      </c>
      <c r="G644" s="1" t="s">
        <v>91</v>
      </c>
      <c r="H644" s="1" t="s">
        <v>92</v>
      </c>
      <c r="I644" s="1" t="s">
        <v>1623</v>
      </c>
      <c r="J644" s="1" t="s">
        <v>1624</v>
      </c>
      <c r="K644" s="1" t="s">
        <v>1624</v>
      </c>
      <c r="M644" s="1">
        <v>-6.0</v>
      </c>
      <c r="O644" s="1">
        <v>8.256366666666667</v>
      </c>
    </row>
    <row r="645" ht="15.75" hidden="1" customHeight="1">
      <c r="A645" s="4">
        <v>45533.0</v>
      </c>
      <c r="B645" s="1" t="s">
        <v>95</v>
      </c>
      <c r="C645" s="1" t="s">
        <v>89</v>
      </c>
      <c r="D645" s="1">
        <v>250.0</v>
      </c>
      <c r="E645" s="1">
        <v>0.0</v>
      </c>
      <c r="F645" s="1" t="s">
        <v>65</v>
      </c>
      <c r="G645" s="1" t="s">
        <v>97</v>
      </c>
      <c r="H645" s="1" t="s">
        <v>92</v>
      </c>
      <c r="I645" s="1" t="s">
        <v>1625</v>
      </c>
      <c r="J645" s="1" t="s">
        <v>1626</v>
      </c>
      <c r="K645" s="1" t="s">
        <v>1627</v>
      </c>
      <c r="L645" s="1" t="s">
        <v>1628</v>
      </c>
      <c r="M645" s="1">
        <v>-7.0</v>
      </c>
      <c r="N645" s="1">
        <v>0.010516666666666667</v>
      </c>
      <c r="O645" s="1">
        <v>10.6056</v>
      </c>
    </row>
    <row r="646" ht="15.75" hidden="1" customHeight="1">
      <c r="A646" s="4">
        <v>45533.0</v>
      </c>
      <c r="B646" s="1" t="s">
        <v>95</v>
      </c>
      <c r="C646" s="1" t="s">
        <v>89</v>
      </c>
      <c r="D646" s="1">
        <v>536.0</v>
      </c>
      <c r="E646" s="1">
        <v>0.0</v>
      </c>
      <c r="F646" s="1" t="s">
        <v>65</v>
      </c>
      <c r="G646" s="1" t="s">
        <v>97</v>
      </c>
      <c r="H646" s="1" t="s">
        <v>92</v>
      </c>
      <c r="I646" s="1" t="s">
        <v>1629</v>
      </c>
      <c r="J646" s="1" t="s">
        <v>1630</v>
      </c>
      <c r="K646" s="1" t="s">
        <v>1631</v>
      </c>
      <c r="L646" s="1" t="s">
        <v>1632</v>
      </c>
      <c r="M646" s="1">
        <v>-2.0</v>
      </c>
      <c r="N646" s="1">
        <v>0.013516666666666666</v>
      </c>
      <c r="O646" s="1">
        <v>13.534583333333334</v>
      </c>
    </row>
    <row r="647" ht="15.75" hidden="1" customHeight="1">
      <c r="A647" s="4">
        <v>45533.0</v>
      </c>
      <c r="B647" s="1" t="s">
        <v>95</v>
      </c>
      <c r="C647" s="1" t="s">
        <v>89</v>
      </c>
      <c r="D647" s="1">
        <v>557.0</v>
      </c>
      <c r="E647" s="1">
        <v>0.0</v>
      </c>
      <c r="F647" s="1" t="s">
        <v>65</v>
      </c>
      <c r="G647" s="1" t="s">
        <v>97</v>
      </c>
      <c r="H647" s="1" t="s">
        <v>92</v>
      </c>
      <c r="I647" s="1" t="s">
        <v>1633</v>
      </c>
      <c r="J647" s="1" t="s">
        <v>1634</v>
      </c>
      <c r="K647" s="1" t="s">
        <v>1635</v>
      </c>
      <c r="L647" s="1" t="s">
        <v>1636</v>
      </c>
      <c r="M647" s="1">
        <v>8.0</v>
      </c>
      <c r="N647" s="1">
        <v>0.010283333333333334</v>
      </c>
      <c r="O647" s="1">
        <v>15.466266666666666</v>
      </c>
    </row>
    <row r="648" ht="15.75" hidden="1" customHeight="1">
      <c r="A648" s="4">
        <v>45533.0</v>
      </c>
      <c r="B648" s="1" t="s">
        <v>88</v>
      </c>
      <c r="C648" s="1" t="s">
        <v>89</v>
      </c>
      <c r="D648" s="1">
        <v>723.0</v>
      </c>
      <c r="E648" s="1">
        <v>0.0</v>
      </c>
      <c r="F648" s="1" t="s">
        <v>90</v>
      </c>
      <c r="G648" s="1" t="s">
        <v>91</v>
      </c>
      <c r="H648" s="1" t="s">
        <v>92</v>
      </c>
      <c r="I648" s="1" t="s">
        <v>1637</v>
      </c>
      <c r="J648" s="1" t="s">
        <v>1638</v>
      </c>
      <c r="K648" s="1" t="s">
        <v>1638</v>
      </c>
      <c r="M648" s="1">
        <v>-9.0</v>
      </c>
      <c r="O648" s="1">
        <v>10.71535</v>
      </c>
    </row>
    <row r="649" ht="15.75" hidden="1" customHeight="1">
      <c r="A649" s="4">
        <v>45533.0</v>
      </c>
      <c r="B649" s="1" t="s">
        <v>88</v>
      </c>
      <c r="C649" s="1" t="s">
        <v>89</v>
      </c>
      <c r="D649" s="1">
        <v>329.0</v>
      </c>
      <c r="E649" s="1">
        <v>0.0</v>
      </c>
      <c r="F649" s="1" t="s">
        <v>90</v>
      </c>
      <c r="G649" s="1" t="s">
        <v>91</v>
      </c>
      <c r="H649" s="1" t="s">
        <v>92</v>
      </c>
      <c r="I649" s="1" t="s">
        <v>1639</v>
      </c>
      <c r="J649" s="1" t="s">
        <v>1640</v>
      </c>
      <c r="K649" s="1" t="s">
        <v>1640</v>
      </c>
      <c r="M649" s="1">
        <v>-5.0</v>
      </c>
      <c r="O649" s="1">
        <v>9.40615</v>
      </c>
    </row>
    <row r="650" ht="15.75" hidden="1" customHeight="1">
      <c r="A650" s="4">
        <v>45533.0</v>
      </c>
      <c r="B650" s="1" t="s">
        <v>95</v>
      </c>
      <c r="C650" s="1" t="s">
        <v>89</v>
      </c>
      <c r="D650" s="1">
        <v>309.0</v>
      </c>
      <c r="E650" s="1">
        <v>56.0</v>
      </c>
      <c r="F650" s="1" t="s">
        <v>54</v>
      </c>
      <c r="G650" s="1" t="s">
        <v>97</v>
      </c>
      <c r="H650" s="1" t="s">
        <v>92</v>
      </c>
      <c r="I650" s="1" t="s">
        <v>1641</v>
      </c>
      <c r="J650" s="1" t="s">
        <v>1642</v>
      </c>
      <c r="K650" s="1" t="s">
        <v>1643</v>
      </c>
      <c r="L650" s="1" t="s">
        <v>1644</v>
      </c>
      <c r="M650" s="1">
        <v>-16.0</v>
      </c>
      <c r="N650" s="1">
        <v>0.010633333333333333</v>
      </c>
      <c r="O650" s="1">
        <v>7.148716666666667</v>
      </c>
    </row>
    <row r="651" ht="15.75" hidden="1" customHeight="1">
      <c r="A651" s="4">
        <v>45533.0</v>
      </c>
      <c r="B651" s="1" t="s">
        <v>95</v>
      </c>
      <c r="C651" s="1" t="s">
        <v>104</v>
      </c>
      <c r="D651" s="1">
        <v>247.0</v>
      </c>
      <c r="E651" s="1">
        <v>62.0</v>
      </c>
      <c r="G651" s="1" t="s">
        <v>119</v>
      </c>
      <c r="H651" s="1" t="s">
        <v>213</v>
      </c>
      <c r="I651" s="1" t="s">
        <v>1645</v>
      </c>
      <c r="J651" s="1" t="s">
        <v>1646</v>
      </c>
      <c r="K651" s="1" t="s">
        <v>1646</v>
      </c>
      <c r="M651" s="1">
        <v>-6.0</v>
      </c>
      <c r="O651" s="1">
        <v>12.83965</v>
      </c>
    </row>
    <row r="652" ht="15.75" hidden="1" customHeight="1">
      <c r="A652" s="4">
        <v>45533.0</v>
      </c>
      <c r="B652" s="1" t="s">
        <v>103</v>
      </c>
      <c r="C652" s="1" t="s">
        <v>104</v>
      </c>
      <c r="D652" s="1">
        <v>413.0</v>
      </c>
      <c r="E652" s="1">
        <v>0.0</v>
      </c>
      <c r="G652" s="1" t="s">
        <v>91</v>
      </c>
      <c r="H652" s="1" t="s">
        <v>92</v>
      </c>
      <c r="I652" s="1" t="s">
        <v>1647</v>
      </c>
      <c r="J652" s="1" t="s">
        <v>1648</v>
      </c>
      <c r="K652" s="1" t="s">
        <v>1648</v>
      </c>
      <c r="M652" s="1">
        <v>0.0</v>
      </c>
      <c r="O652" s="1">
        <v>7.458283333333333</v>
      </c>
    </row>
    <row r="653" ht="15.75" hidden="1" customHeight="1">
      <c r="A653" s="4">
        <v>45533.0</v>
      </c>
      <c r="B653" s="1" t="s">
        <v>103</v>
      </c>
      <c r="C653" s="1" t="s">
        <v>104</v>
      </c>
      <c r="D653" s="1">
        <v>329.0</v>
      </c>
      <c r="E653" s="1">
        <v>0.0</v>
      </c>
      <c r="G653" s="1" t="s">
        <v>91</v>
      </c>
      <c r="H653" s="1" t="s">
        <v>92</v>
      </c>
      <c r="I653" s="1" t="s">
        <v>1649</v>
      </c>
      <c r="J653" s="1" t="s">
        <v>1650</v>
      </c>
      <c r="K653" s="1" t="s">
        <v>1650</v>
      </c>
      <c r="M653" s="1">
        <v>0.0</v>
      </c>
      <c r="O653" s="1">
        <v>6.293783333333334</v>
      </c>
    </row>
    <row r="654" ht="15.75" hidden="1" customHeight="1">
      <c r="A654" s="4">
        <v>45533.0</v>
      </c>
      <c r="B654" s="1" t="s">
        <v>95</v>
      </c>
      <c r="C654" s="1" t="s">
        <v>104</v>
      </c>
      <c r="D654" s="1">
        <v>283.0</v>
      </c>
      <c r="E654" s="1">
        <v>5.0</v>
      </c>
      <c r="G654" s="1" t="s">
        <v>119</v>
      </c>
      <c r="H654" s="1" t="s">
        <v>213</v>
      </c>
      <c r="I654" s="1" t="s">
        <v>1651</v>
      </c>
      <c r="J654" s="1" t="s">
        <v>1652</v>
      </c>
      <c r="K654" s="1" t="s">
        <v>1652</v>
      </c>
      <c r="M654" s="1">
        <v>-13.0</v>
      </c>
      <c r="O654" s="1">
        <v>6.6659</v>
      </c>
    </row>
    <row r="655" ht="15.75" hidden="1" customHeight="1">
      <c r="A655" s="4">
        <v>45533.0</v>
      </c>
      <c r="B655" s="1" t="s">
        <v>95</v>
      </c>
      <c r="C655" s="1" t="s">
        <v>89</v>
      </c>
      <c r="D655" s="1">
        <v>598.0</v>
      </c>
      <c r="E655" s="1">
        <v>0.0</v>
      </c>
      <c r="F655" s="1" t="s">
        <v>65</v>
      </c>
      <c r="G655" s="1" t="s">
        <v>97</v>
      </c>
      <c r="H655" s="1" t="s">
        <v>98</v>
      </c>
      <c r="I655" s="1" t="s">
        <v>1653</v>
      </c>
      <c r="J655" s="1" t="s">
        <v>1654</v>
      </c>
      <c r="K655" s="1" t="s">
        <v>1655</v>
      </c>
      <c r="L655" s="1" t="s">
        <v>1656</v>
      </c>
      <c r="M655" s="1">
        <v>0.0</v>
      </c>
      <c r="N655" s="1">
        <v>0.01275</v>
      </c>
      <c r="O655" s="1">
        <v>12.56435</v>
      </c>
    </row>
    <row r="656" ht="15.75" hidden="1" customHeight="1">
      <c r="A656" s="4">
        <v>45533.0</v>
      </c>
      <c r="B656" s="1" t="s">
        <v>103</v>
      </c>
      <c r="C656" s="1" t="s">
        <v>104</v>
      </c>
      <c r="D656" s="1">
        <v>1046.0</v>
      </c>
      <c r="E656" s="1">
        <v>0.0</v>
      </c>
      <c r="G656" s="1" t="s">
        <v>91</v>
      </c>
      <c r="H656" s="1" t="s">
        <v>92</v>
      </c>
      <c r="I656" s="1" t="s">
        <v>1657</v>
      </c>
      <c r="J656" s="1" t="s">
        <v>1658</v>
      </c>
      <c r="K656" s="1" t="s">
        <v>1658</v>
      </c>
      <c r="M656" s="1">
        <v>-1.0</v>
      </c>
      <c r="O656" s="1">
        <v>10.647983333333332</v>
      </c>
    </row>
    <row r="657" ht="15.75" hidden="1" customHeight="1">
      <c r="A657" s="4">
        <v>45533.0</v>
      </c>
      <c r="B657" s="1" t="s">
        <v>103</v>
      </c>
      <c r="C657" s="1" t="s">
        <v>104</v>
      </c>
      <c r="D657" s="1">
        <v>294.0</v>
      </c>
      <c r="E657" s="1">
        <v>0.0</v>
      </c>
      <c r="G657" s="1" t="s">
        <v>91</v>
      </c>
      <c r="H657" s="1" t="s">
        <v>92</v>
      </c>
      <c r="I657" s="1" t="s">
        <v>1659</v>
      </c>
      <c r="J657" s="1" t="s">
        <v>1660</v>
      </c>
      <c r="K657" s="1" t="s">
        <v>1660</v>
      </c>
      <c r="M657" s="1">
        <v>-1.0</v>
      </c>
      <c r="O657" s="1">
        <v>5.049516666666666</v>
      </c>
    </row>
    <row r="658" ht="15.75" hidden="1" customHeight="1">
      <c r="A658" s="4">
        <v>45533.0</v>
      </c>
      <c r="B658" s="1" t="s">
        <v>95</v>
      </c>
      <c r="C658" s="1" t="s">
        <v>89</v>
      </c>
      <c r="D658" s="1">
        <v>526.0</v>
      </c>
      <c r="E658" s="1">
        <v>0.0</v>
      </c>
      <c r="F658" s="1" t="s">
        <v>90</v>
      </c>
      <c r="G658" s="1" t="s">
        <v>97</v>
      </c>
      <c r="H658" s="1" t="s">
        <v>98</v>
      </c>
      <c r="I658" s="1" t="s">
        <v>1661</v>
      </c>
      <c r="J658" s="1" t="s">
        <v>1662</v>
      </c>
      <c r="K658" s="1" t="s">
        <v>1663</v>
      </c>
      <c r="L658" s="1" t="s">
        <v>1664</v>
      </c>
      <c r="M658" s="1">
        <v>19.0</v>
      </c>
      <c r="N658" s="1">
        <v>19.153433333333332</v>
      </c>
      <c r="O658" s="1">
        <v>17.865766666666666</v>
      </c>
    </row>
    <row r="659" ht="15.75" hidden="1" customHeight="1">
      <c r="A659" s="4">
        <v>45533.0</v>
      </c>
      <c r="B659" s="1" t="s">
        <v>95</v>
      </c>
      <c r="C659" s="1" t="s">
        <v>89</v>
      </c>
      <c r="D659" s="1">
        <v>612.0</v>
      </c>
      <c r="E659" s="1">
        <v>0.0</v>
      </c>
      <c r="F659" s="1" t="s">
        <v>90</v>
      </c>
      <c r="G659" s="1" t="s">
        <v>97</v>
      </c>
      <c r="H659" s="1" t="s">
        <v>98</v>
      </c>
      <c r="I659" s="1" t="s">
        <v>1665</v>
      </c>
      <c r="J659" s="1" t="s">
        <v>1666</v>
      </c>
      <c r="K659" s="1" t="s">
        <v>1667</v>
      </c>
      <c r="L659" s="1" t="s">
        <v>1668</v>
      </c>
      <c r="M659" s="1">
        <v>-6.0</v>
      </c>
      <c r="N659" s="1">
        <v>4.920866666666667</v>
      </c>
      <c r="O659" s="1">
        <v>13.4175</v>
      </c>
    </row>
    <row r="660" ht="15.75" hidden="1" customHeight="1">
      <c r="A660" s="4">
        <v>45533.0</v>
      </c>
      <c r="B660" s="1" t="s">
        <v>95</v>
      </c>
      <c r="C660" s="1" t="s">
        <v>89</v>
      </c>
      <c r="D660" s="1">
        <v>608.0</v>
      </c>
      <c r="E660" s="1">
        <v>0.0</v>
      </c>
      <c r="F660" s="1" t="s">
        <v>65</v>
      </c>
      <c r="G660" s="1" t="s">
        <v>97</v>
      </c>
      <c r="H660" s="1" t="s">
        <v>92</v>
      </c>
      <c r="I660" s="1" t="s">
        <v>1669</v>
      </c>
      <c r="J660" s="1" t="s">
        <v>1670</v>
      </c>
      <c r="K660" s="1" t="s">
        <v>1671</v>
      </c>
      <c r="L660" s="1" t="s">
        <v>1672</v>
      </c>
      <c r="M660" s="1">
        <v>-9.0</v>
      </c>
      <c r="N660" s="1">
        <v>0.0136</v>
      </c>
      <c r="O660" s="1">
        <v>26.833016666666666</v>
      </c>
    </row>
    <row r="661" ht="15.75" hidden="1" customHeight="1">
      <c r="A661" s="4">
        <v>45533.0</v>
      </c>
      <c r="B661" s="1" t="s">
        <v>95</v>
      </c>
      <c r="C661" s="1" t="s">
        <v>89</v>
      </c>
      <c r="D661" s="1">
        <v>962.0</v>
      </c>
      <c r="E661" s="1">
        <v>0.0</v>
      </c>
      <c r="F661" s="1" t="s">
        <v>54</v>
      </c>
      <c r="G661" s="1" t="s">
        <v>97</v>
      </c>
      <c r="H661" s="1" t="s">
        <v>98</v>
      </c>
      <c r="I661" s="1" t="s">
        <v>1673</v>
      </c>
      <c r="J661" s="1" t="s">
        <v>1674</v>
      </c>
      <c r="K661" s="1" t="s">
        <v>1675</v>
      </c>
      <c r="L661" s="1" t="s">
        <v>1676</v>
      </c>
      <c r="M661" s="1">
        <v>-10.0</v>
      </c>
      <c r="N661" s="1">
        <v>0.01806666666666667</v>
      </c>
      <c r="O661" s="1">
        <v>12.392233333333333</v>
      </c>
    </row>
    <row r="662" ht="15.75" hidden="1" customHeight="1">
      <c r="A662" s="4">
        <v>45533.0</v>
      </c>
      <c r="B662" s="1" t="s">
        <v>88</v>
      </c>
      <c r="C662" s="1" t="s">
        <v>89</v>
      </c>
      <c r="D662" s="1">
        <v>338.0</v>
      </c>
      <c r="E662" s="1">
        <v>0.0</v>
      </c>
      <c r="F662" s="1" t="s">
        <v>90</v>
      </c>
      <c r="G662" s="1" t="s">
        <v>91</v>
      </c>
      <c r="H662" s="1" t="s">
        <v>92</v>
      </c>
      <c r="I662" s="1" t="s">
        <v>1677</v>
      </c>
      <c r="J662" s="1" t="s">
        <v>1678</v>
      </c>
      <c r="K662" s="1" t="s">
        <v>1678</v>
      </c>
      <c r="M662" s="1">
        <v>-8.0</v>
      </c>
      <c r="O662" s="1">
        <v>6.239933333333333</v>
      </c>
    </row>
    <row r="663" ht="15.75" hidden="1" customHeight="1">
      <c r="A663" s="4">
        <v>45533.0</v>
      </c>
      <c r="B663" s="1" t="s">
        <v>95</v>
      </c>
      <c r="C663" s="1" t="s">
        <v>89</v>
      </c>
      <c r="D663" s="1">
        <v>309.0</v>
      </c>
      <c r="E663" s="1">
        <v>0.0</v>
      </c>
      <c r="F663" s="1" t="s">
        <v>54</v>
      </c>
      <c r="G663" s="1" t="s">
        <v>97</v>
      </c>
      <c r="H663" s="1" t="s">
        <v>98</v>
      </c>
      <c r="I663" s="1" t="s">
        <v>1679</v>
      </c>
      <c r="J663" s="1" t="s">
        <v>1680</v>
      </c>
      <c r="K663" s="1" t="s">
        <v>1681</v>
      </c>
      <c r="L663" s="1" t="s">
        <v>1682</v>
      </c>
      <c r="M663" s="1">
        <v>-7.0</v>
      </c>
      <c r="N663" s="1">
        <v>0.009783333333333333</v>
      </c>
      <c r="O663" s="1">
        <v>10.378666666666666</v>
      </c>
    </row>
    <row r="664" ht="15.75" hidden="1" customHeight="1">
      <c r="A664" s="4">
        <v>45533.0</v>
      </c>
      <c r="B664" s="1" t="s">
        <v>88</v>
      </c>
      <c r="C664" s="1" t="s">
        <v>89</v>
      </c>
      <c r="D664" s="1">
        <v>448.0</v>
      </c>
      <c r="E664" s="1">
        <v>0.0</v>
      </c>
      <c r="F664" s="1" t="s">
        <v>90</v>
      </c>
      <c r="G664" s="1" t="s">
        <v>91</v>
      </c>
      <c r="H664" s="1" t="s">
        <v>92</v>
      </c>
      <c r="I664" s="1" t="s">
        <v>1683</v>
      </c>
      <c r="J664" s="1" t="s">
        <v>1684</v>
      </c>
      <c r="K664" s="1" t="s">
        <v>1684</v>
      </c>
      <c r="M664" s="1">
        <v>-8.0</v>
      </c>
      <c r="O664" s="1">
        <v>6.6154166666666665</v>
      </c>
    </row>
    <row r="665" ht="15.75" hidden="1" customHeight="1">
      <c r="A665" s="4">
        <v>45533.0</v>
      </c>
      <c r="B665" s="1" t="s">
        <v>103</v>
      </c>
      <c r="C665" s="1" t="s">
        <v>104</v>
      </c>
      <c r="D665" s="1">
        <v>333.0</v>
      </c>
      <c r="E665" s="1">
        <v>0.0</v>
      </c>
      <c r="G665" s="1" t="s">
        <v>91</v>
      </c>
      <c r="H665" s="1" t="s">
        <v>92</v>
      </c>
      <c r="I665" s="1" t="s">
        <v>1685</v>
      </c>
      <c r="J665" s="1" t="s">
        <v>1686</v>
      </c>
      <c r="K665" s="1" t="s">
        <v>1686</v>
      </c>
      <c r="M665" s="1">
        <v>0.0</v>
      </c>
      <c r="O665" s="1">
        <v>6.37395</v>
      </c>
    </row>
    <row r="666" ht="15.75" hidden="1" customHeight="1">
      <c r="A666" s="4">
        <v>45533.0</v>
      </c>
      <c r="B666" s="1" t="s">
        <v>88</v>
      </c>
      <c r="C666" s="1" t="s">
        <v>89</v>
      </c>
      <c r="D666" s="1">
        <v>299.0</v>
      </c>
      <c r="E666" s="1">
        <v>0.0</v>
      </c>
      <c r="F666" s="1" t="s">
        <v>90</v>
      </c>
      <c r="G666" s="1" t="s">
        <v>91</v>
      </c>
      <c r="H666" s="1" t="s">
        <v>92</v>
      </c>
      <c r="I666" s="1" t="s">
        <v>1687</v>
      </c>
      <c r="J666" s="1" t="s">
        <v>1688</v>
      </c>
      <c r="K666" s="1" t="s">
        <v>1688</v>
      </c>
      <c r="M666" s="1">
        <v>-8.0</v>
      </c>
      <c r="O666" s="1">
        <v>6.5181</v>
      </c>
    </row>
    <row r="667" ht="15.75" hidden="1" customHeight="1">
      <c r="A667" s="4">
        <v>45533.0</v>
      </c>
      <c r="B667" s="1" t="s">
        <v>103</v>
      </c>
      <c r="C667" s="1" t="s">
        <v>104</v>
      </c>
      <c r="D667" s="1">
        <v>528.0</v>
      </c>
      <c r="E667" s="1">
        <v>0.0</v>
      </c>
      <c r="G667" s="1" t="s">
        <v>91</v>
      </c>
      <c r="H667" s="1" t="s">
        <v>92</v>
      </c>
      <c r="I667" s="1" t="s">
        <v>1689</v>
      </c>
      <c r="J667" s="1" t="s">
        <v>1690</v>
      </c>
      <c r="K667" s="1" t="s">
        <v>1690</v>
      </c>
      <c r="M667" s="1">
        <v>-1.0</v>
      </c>
      <c r="O667" s="1">
        <v>7.06135</v>
      </c>
    </row>
    <row r="668" ht="15.75" hidden="1" customHeight="1">
      <c r="A668" s="4">
        <v>45533.0</v>
      </c>
      <c r="B668" s="1" t="s">
        <v>95</v>
      </c>
      <c r="C668" s="1" t="s">
        <v>104</v>
      </c>
      <c r="D668" s="1">
        <v>567.0</v>
      </c>
      <c r="E668" s="1">
        <v>100.0</v>
      </c>
      <c r="G668" s="1" t="s">
        <v>119</v>
      </c>
      <c r="H668" s="1" t="s">
        <v>213</v>
      </c>
      <c r="I668" s="1" t="s">
        <v>1691</v>
      </c>
      <c r="J668" s="1" t="s">
        <v>1692</v>
      </c>
      <c r="K668" s="1" t="s">
        <v>1692</v>
      </c>
      <c r="M668" s="1">
        <v>-14.0</v>
      </c>
      <c r="O668" s="1">
        <v>9.3109</v>
      </c>
    </row>
    <row r="669" ht="15.75" hidden="1" customHeight="1">
      <c r="A669" s="4">
        <v>45533.0</v>
      </c>
      <c r="B669" s="1" t="s">
        <v>103</v>
      </c>
      <c r="C669" s="1" t="s">
        <v>104</v>
      </c>
      <c r="D669" s="1">
        <v>916.0</v>
      </c>
      <c r="E669" s="1">
        <v>0.0</v>
      </c>
      <c r="G669" s="1" t="s">
        <v>91</v>
      </c>
      <c r="H669" s="1" t="s">
        <v>92</v>
      </c>
      <c r="I669" s="1" t="s">
        <v>1693</v>
      </c>
      <c r="J669" s="1" t="s">
        <v>1694</v>
      </c>
      <c r="K669" s="1" t="s">
        <v>1694</v>
      </c>
      <c r="M669" s="1">
        <v>-3.0</v>
      </c>
      <c r="O669" s="1">
        <v>8.468783333333333</v>
      </c>
    </row>
    <row r="670" ht="15.75" hidden="1" customHeight="1">
      <c r="A670" s="4">
        <v>45533.0</v>
      </c>
      <c r="B670" s="1" t="s">
        <v>88</v>
      </c>
      <c r="C670" s="1" t="s">
        <v>89</v>
      </c>
      <c r="D670" s="1">
        <v>593.0</v>
      </c>
      <c r="E670" s="1">
        <v>0.0</v>
      </c>
      <c r="F670" s="1" t="s">
        <v>90</v>
      </c>
      <c r="G670" s="1" t="s">
        <v>91</v>
      </c>
      <c r="H670" s="1" t="s">
        <v>92</v>
      </c>
      <c r="I670" s="1" t="s">
        <v>1695</v>
      </c>
      <c r="J670" s="1" t="s">
        <v>1696</v>
      </c>
      <c r="K670" s="1" t="s">
        <v>1696</v>
      </c>
      <c r="M670" s="1">
        <v>-7.0</v>
      </c>
      <c r="O670" s="1">
        <v>12.909966666666667</v>
      </c>
    </row>
    <row r="671" ht="15.75" hidden="1" customHeight="1">
      <c r="A671" s="4">
        <v>45533.0</v>
      </c>
      <c r="B671" s="1" t="s">
        <v>103</v>
      </c>
      <c r="C671" s="1" t="s">
        <v>104</v>
      </c>
      <c r="D671" s="1">
        <v>553.0</v>
      </c>
      <c r="E671" s="1">
        <v>0.0</v>
      </c>
      <c r="G671" s="1" t="s">
        <v>91</v>
      </c>
      <c r="H671" s="1" t="s">
        <v>92</v>
      </c>
      <c r="I671" s="1" t="s">
        <v>1697</v>
      </c>
      <c r="J671" s="1" t="s">
        <v>1698</v>
      </c>
      <c r="K671" s="1" t="s">
        <v>1698</v>
      </c>
      <c r="M671" s="1">
        <v>2.0</v>
      </c>
      <c r="O671" s="1">
        <v>10.237966666666667</v>
      </c>
    </row>
    <row r="672" ht="15.75" hidden="1" customHeight="1">
      <c r="A672" s="4">
        <v>45533.0</v>
      </c>
      <c r="B672" s="1" t="s">
        <v>95</v>
      </c>
      <c r="C672" s="1" t="s">
        <v>104</v>
      </c>
      <c r="D672" s="1">
        <v>247.0</v>
      </c>
      <c r="E672" s="1">
        <v>62.0</v>
      </c>
      <c r="G672" s="1" t="s">
        <v>119</v>
      </c>
      <c r="H672" s="1" t="s">
        <v>213</v>
      </c>
      <c r="I672" s="1" t="s">
        <v>1699</v>
      </c>
      <c r="J672" s="1" t="s">
        <v>1700</v>
      </c>
      <c r="K672" s="1" t="s">
        <v>1700</v>
      </c>
      <c r="M672" s="1">
        <v>-5.0</v>
      </c>
      <c r="O672" s="1">
        <v>14.5452</v>
      </c>
    </row>
    <row r="673" ht="15.75" hidden="1" customHeight="1">
      <c r="A673" s="4">
        <v>45533.0</v>
      </c>
      <c r="B673" s="1" t="s">
        <v>103</v>
      </c>
      <c r="C673" s="1" t="s">
        <v>104</v>
      </c>
      <c r="D673" s="1">
        <v>837.0</v>
      </c>
      <c r="E673" s="1">
        <v>150.0</v>
      </c>
      <c r="G673" s="1" t="s">
        <v>91</v>
      </c>
      <c r="H673" s="1" t="s">
        <v>98</v>
      </c>
      <c r="I673" s="1" t="s">
        <v>1701</v>
      </c>
      <c r="J673" s="1" t="s">
        <v>1702</v>
      </c>
      <c r="K673" s="1" t="s">
        <v>1702</v>
      </c>
      <c r="M673" s="1">
        <v>0.0</v>
      </c>
      <c r="O673" s="1">
        <v>12.92075</v>
      </c>
    </row>
    <row r="674" ht="15.75" hidden="1" customHeight="1">
      <c r="A674" s="4">
        <v>45533.0</v>
      </c>
      <c r="B674" s="1" t="s">
        <v>103</v>
      </c>
      <c r="C674" s="1" t="s">
        <v>104</v>
      </c>
      <c r="D674" s="1">
        <v>321.0</v>
      </c>
      <c r="E674" s="1">
        <v>0.0</v>
      </c>
      <c r="G674" s="1" t="s">
        <v>91</v>
      </c>
      <c r="H674" s="1" t="s">
        <v>92</v>
      </c>
      <c r="I674" s="1" t="s">
        <v>1703</v>
      </c>
      <c r="J674" s="1" t="s">
        <v>1704</v>
      </c>
      <c r="K674" s="1" t="s">
        <v>1704</v>
      </c>
      <c r="M674" s="1">
        <v>-2.0</v>
      </c>
      <c r="O674" s="1">
        <v>5.09675</v>
      </c>
    </row>
    <row r="675" ht="15.75" hidden="1" customHeight="1">
      <c r="A675" s="4">
        <v>45533.0</v>
      </c>
      <c r="B675" s="1" t="s">
        <v>95</v>
      </c>
      <c r="C675" s="1" t="s">
        <v>89</v>
      </c>
      <c r="D675" s="1">
        <v>389.0</v>
      </c>
      <c r="E675" s="1">
        <v>0.0</v>
      </c>
      <c r="F675" s="1" t="s">
        <v>54</v>
      </c>
      <c r="G675" s="1" t="s">
        <v>97</v>
      </c>
      <c r="H675" s="1" t="s">
        <v>92</v>
      </c>
      <c r="I675" s="1" t="s">
        <v>1705</v>
      </c>
      <c r="J675" s="1" t="s">
        <v>1706</v>
      </c>
      <c r="K675" s="1" t="s">
        <v>1707</v>
      </c>
      <c r="L675" s="1" t="s">
        <v>1708</v>
      </c>
      <c r="M675" s="1">
        <v>-12.0</v>
      </c>
      <c r="N675" s="1">
        <v>0.010633333333333333</v>
      </c>
      <c r="O675" s="1">
        <v>12.50365</v>
      </c>
    </row>
    <row r="676" ht="15.75" hidden="1" customHeight="1">
      <c r="A676" s="4">
        <v>45533.0</v>
      </c>
      <c r="B676" s="1" t="s">
        <v>103</v>
      </c>
      <c r="C676" s="1" t="s">
        <v>104</v>
      </c>
      <c r="D676" s="1">
        <v>602.0</v>
      </c>
      <c r="E676" s="1">
        <v>0.0</v>
      </c>
      <c r="G676" s="1" t="s">
        <v>91</v>
      </c>
      <c r="H676" s="1" t="s">
        <v>92</v>
      </c>
      <c r="I676" s="1" t="s">
        <v>1709</v>
      </c>
      <c r="J676" s="1" t="s">
        <v>1710</v>
      </c>
      <c r="K676" s="1" t="s">
        <v>1710</v>
      </c>
      <c r="M676" s="1">
        <v>0.0</v>
      </c>
      <c r="O676" s="1">
        <v>7.99045</v>
      </c>
    </row>
    <row r="677" ht="15.75" hidden="1" customHeight="1">
      <c r="A677" s="4">
        <v>45533.0</v>
      </c>
      <c r="B677" s="1" t="s">
        <v>88</v>
      </c>
      <c r="C677" s="1" t="s">
        <v>89</v>
      </c>
      <c r="D677" s="1">
        <v>329.0</v>
      </c>
      <c r="E677" s="1">
        <v>0.0</v>
      </c>
      <c r="F677" s="1" t="s">
        <v>90</v>
      </c>
      <c r="G677" s="1" t="s">
        <v>91</v>
      </c>
      <c r="H677" s="1" t="s">
        <v>92</v>
      </c>
      <c r="I677" s="1" t="s">
        <v>1711</v>
      </c>
      <c r="J677" s="1" t="s">
        <v>1712</v>
      </c>
      <c r="K677" s="1" t="s">
        <v>1712</v>
      </c>
      <c r="M677" s="1">
        <v>-4.0</v>
      </c>
      <c r="O677" s="1">
        <v>10.069316666666667</v>
      </c>
    </row>
    <row r="678" ht="15.75" hidden="1" customHeight="1">
      <c r="A678" s="4">
        <v>45533.0</v>
      </c>
      <c r="B678" s="1" t="s">
        <v>103</v>
      </c>
      <c r="C678" s="1" t="s">
        <v>104</v>
      </c>
      <c r="D678" s="1">
        <v>264.0</v>
      </c>
      <c r="E678" s="1">
        <v>0.0</v>
      </c>
      <c r="G678" s="1" t="s">
        <v>91</v>
      </c>
      <c r="H678" s="1" t="s">
        <v>92</v>
      </c>
      <c r="I678" s="1" t="s">
        <v>1713</v>
      </c>
      <c r="J678" s="1" t="s">
        <v>1714</v>
      </c>
      <c r="K678" s="1" t="s">
        <v>1714</v>
      </c>
      <c r="M678" s="1">
        <v>-1.0</v>
      </c>
      <c r="O678" s="1">
        <v>5.865616666666667</v>
      </c>
    </row>
    <row r="679" ht="15.75" hidden="1" customHeight="1">
      <c r="A679" s="4">
        <v>45533.0</v>
      </c>
      <c r="B679" s="1" t="s">
        <v>88</v>
      </c>
      <c r="C679" s="1" t="s">
        <v>89</v>
      </c>
      <c r="D679" s="1">
        <v>329.0</v>
      </c>
      <c r="E679" s="1">
        <v>0.0</v>
      </c>
      <c r="F679" s="1" t="s">
        <v>90</v>
      </c>
      <c r="G679" s="1" t="s">
        <v>91</v>
      </c>
      <c r="H679" s="1" t="s">
        <v>92</v>
      </c>
      <c r="I679" s="1" t="s">
        <v>1715</v>
      </c>
      <c r="J679" s="1" t="s">
        <v>1716</v>
      </c>
      <c r="K679" s="1" t="s">
        <v>1716</v>
      </c>
      <c r="M679" s="1">
        <v>-9.0</v>
      </c>
      <c r="O679" s="1">
        <v>5.5892</v>
      </c>
    </row>
    <row r="680" ht="15.75" hidden="1" customHeight="1">
      <c r="A680" s="4">
        <v>45533.0</v>
      </c>
      <c r="B680" s="1" t="s">
        <v>103</v>
      </c>
      <c r="C680" s="1" t="s">
        <v>104</v>
      </c>
      <c r="D680" s="1">
        <v>264.0</v>
      </c>
      <c r="E680" s="1">
        <v>0.0</v>
      </c>
      <c r="G680" s="1" t="s">
        <v>91</v>
      </c>
      <c r="H680" s="1" t="s">
        <v>92</v>
      </c>
      <c r="I680" s="1" t="s">
        <v>1717</v>
      </c>
      <c r="J680" s="1" t="s">
        <v>1718</v>
      </c>
      <c r="K680" s="1" t="s">
        <v>1718</v>
      </c>
      <c r="M680" s="1">
        <v>-2.0</v>
      </c>
      <c r="O680" s="1">
        <v>4.668516666666667</v>
      </c>
    </row>
    <row r="681" ht="15.75" hidden="1" customHeight="1">
      <c r="A681" s="4">
        <v>45533.0</v>
      </c>
      <c r="B681" s="1" t="s">
        <v>103</v>
      </c>
      <c r="C681" s="1" t="s">
        <v>104</v>
      </c>
      <c r="D681" s="1">
        <v>378.0</v>
      </c>
      <c r="E681" s="1">
        <v>150.0</v>
      </c>
      <c r="G681" s="1" t="s">
        <v>91</v>
      </c>
      <c r="H681" s="1" t="s">
        <v>92</v>
      </c>
      <c r="I681" s="1" t="s">
        <v>1719</v>
      </c>
      <c r="J681" s="1" t="s">
        <v>1720</v>
      </c>
      <c r="K681" s="1" t="s">
        <v>1720</v>
      </c>
      <c r="M681" s="1">
        <v>0.0</v>
      </c>
      <c r="O681" s="1">
        <v>7.481233333333333</v>
      </c>
    </row>
    <row r="682" ht="15.75" hidden="1" customHeight="1">
      <c r="A682" s="4">
        <v>45533.0</v>
      </c>
      <c r="B682" s="1" t="s">
        <v>88</v>
      </c>
      <c r="C682" s="1" t="s">
        <v>89</v>
      </c>
      <c r="D682" s="1">
        <v>352.0</v>
      </c>
      <c r="E682" s="1">
        <v>0.0</v>
      </c>
      <c r="F682" s="1" t="s">
        <v>90</v>
      </c>
      <c r="G682" s="1" t="s">
        <v>91</v>
      </c>
      <c r="H682" s="1" t="s">
        <v>92</v>
      </c>
      <c r="I682" s="1" t="s">
        <v>1721</v>
      </c>
      <c r="J682" s="1" t="s">
        <v>1722</v>
      </c>
      <c r="K682" s="1" t="s">
        <v>1722</v>
      </c>
      <c r="M682" s="1">
        <v>-9.0</v>
      </c>
      <c r="O682" s="1">
        <v>5.822066666666666</v>
      </c>
    </row>
    <row r="683" ht="15.75" hidden="1" customHeight="1">
      <c r="A683" s="4">
        <v>45533.0</v>
      </c>
      <c r="B683" s="1" t="s">
        <v>88</v>
      </c>
      <c r="C683" s="1" t="s">
        <v>89</v>
      </c>
      <c r="D683" s="1">
        <v>429.0</v>
      </c>
      <c r="E683" s="1">
        <v>0.0</v>
      </c>
      <c r="F683" s="1" t="s">
        <v>90</v>
      </c>
      <c r="G683" s="1" t="s">
        <v>91</v>
      </c>
      <c r="H683" s="1" t="s">
        <v>92</v>
      </c>
      <c r="I683" s="1" t="s">
        <v>1723</v>
      </c>
      <c r="J683" s="1" t="s">
        <v>1724</v>
      </c>
      <c r="K683" s="1" t="s">
        <v>1724</v>
      </c>
      <c r="M683" s="1">
        <v>-6.0</v>
      </c>
      <c r="O683" s="1">
        <v>8.1047</v>
      </c>
    </row>
    <row r="684" ht="15.75" hidden="1" customHeight="1">
      <c r="A684" s="4">
        <v>45533.0</v>
      </c>
      <c r="B684" s="1" t="s">
        <v>95</v>
      </c>
      <c r="C684" s="1" t="s">
        <v>104</v>
      </c>
      <c r="D684" s="1">
        <v>199.0</v>
      </c>
      <c r="E684" s="1">
        <v>50.0</v>
      </c>
      <c r="G684" s="1" t="s">
        <v>119</v>
      </c>
      <c r="H684" s="1" t="s">
        <v>213</v>
      </c>
      <c r="I684" s="1" t="s">
        <v>1725</v>
      </c>
      <c r="J684" s="1" t="s">
        <v>1726</v>
      </c>
      <c r="K684" s="1" t="s">
        <v>1726</v>
      </c>
      <c r="M684" s="1">
        <v>-11.0</v>
      </c>
      <c r="O684" s="1">
        <v>7.4343</v>
      </c>
    </row>
    <row r="685" ht="15.75" hidden="1" customHeight="1">
      <c r="A685" s="4">
        <v>45533.0</v>
      </c>
      <c r="B685" s="1" t="s">
        <v>95</v>
      </c>
      <c r="C685" s="1" t="s">
        <v>104</v>
      </c>
      <c r="D685" s="1">
        <v>366.0</v>
      </c>
      <c r="E685" s="1">
        <v>92.0</v>
      </c>
      <c r="G685" s="1" t="s">
        <v>119</v>
      </c>
      <c r="H685" s="1" t="s">
        <v>98</v>
      </c>
      <c r="I685" s="1" t="s">
        <v>1727</v>
      </c>
      <c r="J685" s="1" t="s">
        <v>1728</v>
      </c>
      <c r="K685" s="1" t="s">
        <v>1728</v>
      </c>
      <c r="M685" s="1">
        <v>-12.0</v>
      </c>
      <c r="O685" s="1">
        <v>11.16695</v>
      </c>
    </row>
    <row r="686" ht="15.75" hidden="1" customHeight="1">
      <c r="A686" s="4">
        <v>45533.0</v>
      </c>
      <c r="B686" s="1" t="s">
        <v>103</v>
      </c>
      <c r="C686" s="1" t="s">
        <v>104</v>
      </c>
      <c r="D686" s="1">
        <v>634.0</v>
      </c>
      <c r="E686" s="1">
        <v>0.0</v>
      </c>
      <c r="G686" s="1" t="s">
        <v>91</v>
      </c>
      <c r="H686" s="1" t="s">
        <v>92</v>
      </c>
      <c r="I686" s="1" t="s">
        <v>1729</v>
      </c>
      <c r="J686" s="1" t="s">
        <v>1730</v>
      </c>
      <c r="K686" s="1" t="s">
        <v>1730</v>
      </c>
      <c r="M686" s="1">
        <v>1.0</v>
      </c>
      <c r="O686" s="1">
        <v>10.57485</v>
      </c>
    </row>
    <row r="687" ht="15.75" hidden="1" customHeight="1">
      <c r="A687" s="4">
        <v>45533.0</v>
      </c>
      <c r="B687" s="1" t="s">
        <v>95</v>
      </c>
      <c r="C687" s="1" t="s">
        <v>104</v>
      </c>
      <c r="D687" s="1">
        <v>598.0</v>
      </c>
      <c r="E687" s="1">
        <v>149.0</v>
      </c>
      <c r="G687" s="1" t="s">
        <v>119</v>
      </c>
      <c r="H687" s="1" t="s">
        <v>98</v>
      </c>
      <c r="I687" s="1" t="s">
        <v>1731</v>
      </c>
      <c r="J687" s="1" t="s">
        <v>1732</v>
      </c>
      <c r="K687" s="1" t="s">
        <v>1732</v>
      </c>
      <c r="M687" s="1">
        <v>-11.0</v>
      </c>
      <c r="O687" s="1">
        <v>12.675183333333333</v>
      </c>
    </row>
    <row r="688" ht="15.75" hidden="1" customHeight="1">
      <c r="A688" s="4">
        <v>45533.0</v>
      </c>
      <c r="B688" s="1" t="s">
        <v>95</v>
      </c>
      <c r="C688" s="1" t="s">
        <v>89</v>
      </c>
      <c r="D688" s="1">
        <v>319.0</v>
      </c>
      <c r="E688" s="1">
        <v>0.0</v>
      </c>
      <c r="F688" s="1" t="s">
        <v>65</v>
      </c>
      <c r="G688" s="1" t="s">
        <v>97</v>
      </c>
      <c r="H688" s="1" t="s">
        <v>92</v>
      </c>
      <c r="I688" s="1" t="s">
        <v>1733</v>
      </c>
      <c r="J688" s="1" t="s">
        <v>1734</v>
      </c>
      <c r="K688" s="1" t="s">
        <v>1735</v>
      </c>
      <c r="L688" s="1" t="s">
        <v>1736</v>
      </c>
      <c r="M688" s="1">
        <v>-11.0</v>
      </c>
      <c r="N688" s="1">
        <v>0.00825</v>
      </c>
      <c r="O688" s="1">
        <v>7.716183333333333</v>
      </c>
    </row>
    <row r="689" ht="15.75" hidden="1" customHeight="1">
      <c r="A689" s="4">
        <v>45533.0</v>
      </c>
      <c r="B689" s="1" t="s">
        <v>103</v>
      </c>
      <c r="C689" s="1" t="s">
        <v>104</v>
      </c>
      <c r="D689" s="1">
        <v>273.0</v>
      </c>
      <c r="E689" s="1">
        <v>100.0</v>
      </c>
      <c r="G689" s="1" t="s">
        <v>91</v>
      </c>
      <c r="H689" s="1" t="s">
        <v>92</v>
      </c>
      <c r="I689" s="1" t="s">
        <v>1737</v>
      </c>
      <c r="J689" s="1" t="s">
        <v>1738</v>
      </c>
      <c r="K689" s="1" t="s">
        <v>1738</v>
      </c>
      <c r="M689" s="1">
        <v>0.0</v>
      </c>
      <c r="O689" s="1">
        <v>6.952816666666667</v>
      </c>
    </row>
    <row r="690" ht="15.75" hidden="1" customHeight="1">
      <c r="A690" s="4">
        <v>45533.0</v>
      </c>
      <c r="B690" s="1" t="s">
        <v>88</v>
      </c>
      <c r="C690" s="1" t="s">
        <v>89</v>
      </c>
      <c r="D690" s="1">
        <v>149.0</v>
      </c>
      <c r="E690" s="1">
        <v>0.0</v>
      </c>
      <c r="F690" s="1" t="s">
        <v>90</v>
      </c>
      <c r="G690" s="1" t="s">
        <v>91</v>
      </c>
      <c r="H690" s="1" t="s">
        <v>92</v>
      </c>
      <c r="I690" s="1" t="s">
        <v>1739</v>
      </c>
      <c r="J690" s="1" t="s">
        <v>1740</v>
      </c>
      <c r="K690" s="1" t="s">
        <v>1740</v>
      </c>
      <c r="M690" s="1">
        <v>-8.0</v>
      </c>
      <c r="O690" s="1">
        <v>6.400883333333334</v>
      </c>
    </row>
    <row r="691" ht="15.75" hidden="1" customHeight="1">
      <c r="A691" s="4">
        <v>45533.0</v>
      </c>
      <c r="B691" s="1" t="s">
        <v>103</v>
      </c>
      <c r="C691" s="1" t="s">
        <v>104</v>
      </c>
      <c r="D691" s="1">
        <v>528.0</v>
      </c>
      <c r="E691" s="1">
        <v>0.0</v>
      </c>
      <c r="G691" s="1" t="s">
        <v>91</v>
      </c>
      <c r="H691" s="1" t="s">
        <v>92</v>
      </c>
      <c r="I691" s="1" t="s">
        <v>1741</v>
      </c>
      <c r="J691" s="1" t="s">
        <v>1742</v>
      </c>
      <c r="K691" s="1" t="s">
        <v>1742</v>
      </c>
      <c r="M691" s="1">
        <v>0.0</v>
      </c>
      <c r="O691" s="1">
        <v>7.731433333333333</v>
      </c>
    </row>
    <row r="692" ht="15.75" hidden="1" customHeight="1">
      <c r="A692" s="4">
        <v>45533.0</v>
      </c>
      <c r="B692" s="1" t="s">
        <v>228</v>
      </c>
      <c r="C692" s="1" t="s">
        <v>104</v>
      </c>
      <c r="D692" s="1">
        <v>498.0</v>
      </c>
      <c r="E692" s="1">
        <v>0.0</v>
      </c>
      <c r="G692" s="1" t="s">
        <v>119</v>
      </c>
      <c r="H692" s="1" t="s">
        <v>98</v>
      </c>
      <c r="I692" s="1" t="s">
        <v>1743</v>
      </c>
      <c r="J692" s="1" t="s">
        <v>1744</v>
      </c>
      <c r="K692" s="1" t="s">
        <v>1744</v>
      </c>
      <c r="M692" s="1">
        <v>4.0</v>
      </c>
      <c r="O692" s="1">
        <v>9.030433333333333</v>
      </c>
    </row>
    <row r="693" ht="15.75" hidden="1" customHeight="1">
      <c r="A693" s="4">
        <v>45533.0</v>
      </c>
      <c r="B693" s="1" t="s">
        <v>103</v>
      </c>
      <c r="C693" s="1" t="s">
        <v>104</v>
      </c>
      <c r="D693" s="1">
        <v>577.0</v>
      </c>
      <c r="E693" s="1">
        <v>0.0</v>
      </c>
      <c r="G693" s="1" t="s">
        <v>91</v>
      </c>
      <c r="H693" s="1" t="s">
        <v>92</v>
      </c>
      <c r="I693" s="1" t="s">
        <v>1745</v>
      </c>
      <c r="J693" s="1" t="s">
        <v>1746</v>
      </c>
      <c r="K693" s="1" t="s">
        <v>1746</v>
      </c>
      <c r="M693" s="1">
        <v>2.0</v>
      </c>
      <c r="O693" s="1">
        <v>11.022516666666666</v>
      </c>
    </row>
    <row r="694" ht="15.75" hidden="1" customHeight="1">
      <c r="A694" s="4">
        <v>45533.0</v>
      </c>
      <c r="B694" s="1" t="s">
        <v>95</v>
      </c>
      <c r="C694" s="1" t="s">
        <v>104</v>
      </c>
      <c r="D694" s="1">
        <v>489.0</v>
      </c>
      <c r="E694" s="1">
        <v>149.0</v>
      </c>
      <c r="G694" s="1" t="s">
        <v>119</v>
      </c>
      <c r="H694" s="1" t="s">
        <v>92</v>
      </c>
      <c r="I694" s="1" t="s">
        <v>1747</v>
      </c>
      <c r="J694" s="1" t="s">
        <v>1748</v>
      </c>
      <c r="K694" s="1" t="s">
        <v>1748</v>
      </c>
      <c r="M694" s="1">
        <v>-9.0</v>
      </c>
      <c r="O694" s="1">
        <v>8.424366666666666</v>
      </c>
    </row>
    <row r="695" ht="15.75" hidden="1" customHeight="1">
      <c r="A695" s="4">
        <v>45533.0</v>
      </c>
      <c r="B695" s="1" t="s">
        <v>95</v>
      </c>
      <c r="C695" s="1" t="s">
        <v>89</v>
      </c>
      <c r="D695" s="1">
        <v>239.0</v>
      </c>
      <c r="E695" s="1">
        <v>11.0</v>
      </c>
      <c r="F695" s="1" t="s">
        <v>65</v>
      </c>
      <c r="G695" s="1" t="s">
        <v>97</v>
      </c>
      <c r="H695" s="1" t="s">
        <v>92</v>
      </c>
      <c r="I695" s="1" t="s">
        <v>1749</v>
      </c>
      <c r="J695" s="1" t="s">
        <v>1750</v>
      </c>
      <c r="K695" s="1" t="s">
        <v>1751</v>
      </c>
      <c r="L695" s="1" t="s">
        <v>1752</v>
      </c>
      <c r="M695" s="1">
        <v>-2.0</v>
      </c>
      <c r="N695" s="1">
        <v>0.00975</v>
      </c>
      <c r="O695" s="1">
        <v>7.53125</v>
      </c>
    </row>
    <row r="696" ht="15.75" hidden="1" customHeight="1">
      <c r="A696" s="4">
        <v>45533.0</v>
      </c>
      <c r="B696" s="1" t="s">
        <v>103</v>
      </c>
      <c r="C696" s="1" t="s">
        <v>104</v>
      </c>
      <c r="D696" s="1">
        <v>214.0</v>
      </c>
      <c r="E696" s="1">
        <v>50.0</v>
      </c>
      <c r="G696" s="1" t="s">
        <v>91</v>
      </c>
      <c r="H696" s="1" t="s">
        <v>92</v>
      </c>
      <c r="I696" s="1" t="s">
        <v>1753</v>
      </c>
      <c r="J696" s="1" t="s">
        <v>1754</v>
      </c>
      <c r="K696" s="1" t="s">
        <v>1754</v>
      </c>
      <c r="M696" s="1">
        <v>4.0</v>
      </c>
      <c r="O696" s="1">
        <v>10.902583333333334</v>
      </c>
    </row>
    <row r="697" ht="15.75" hidden="1" customHeight="1">
      <c r="A697" s="4">
        <v>45533.0</v>
      </c>
      <c r="B697" s="1" t="s">
        <v>88</v>
      </c>
      <c r="C697" s="1" t="s">
        <v>89</v>
      </c>
      <c r="D697" s="1">
        <v>642.0</v>
      </c>
      <c r="E697" s="1">
        <v>0.0</v>
      </c>
      <c r="F697" s="1" t="s">
        <v>90</v>
      </c>
      <c r="G697" s="1" t="s">
        <v>91</v>
      </c>
      <c r="H697" s="1" t="s">
        <v>92</v>
      </c>
      <c r="I697" s="1" t="s">
        <v>1755</v>
      </c>
      <c r="J697" s="1" t="s">
        <v>1756</v>
      </c>
      <c r="K697" s="1" t="s">
        <v>1756</v>
      </c>
      <c r="M697" s="1">
        <v>-10.0</v>
      </c>
      <c r="O697" s="1">
        <v>9.456133333333334</v>
      </c>
    </row>
    <row r="698" ht="15.75" hidden="1" customHeight="1">
      <c r="A698" s="4">
        <v>45533.0</v>
      </c>
      <c r="B698" s="1" t="s">
        <v>88</v>
      </c>
      <c r="C698" s="1" t="s">
        <v>89</v>
      </c>
      <c r="D698" s="1">
        <v>264.0</v>
      </c>
      <c r="E698" s="1">
        <v>0.0</v>
      </c>
      <c r="F698" s="1" t="s">
        <v>90</v>
      </c>
      <c r="G698" s="1" t="s">
        <v>91</v>
      </c>
      <c r="H698" s="1" t="s">
        <v>92</v>
      </c>
      <c r="I698" s="1" t="s">
        <v>1757</v>
      </c>
      <c r="J698" s="1" t="s">
        <v>1758</v>
      </c>
      <c r="K698" s="1" t="s">
        <v>1758</v>
      </c>
      <c r="M698" s="1">
        <v>-2.0</v>
      </c>
      <c r="O698" s="1">
        <v>12.417083333333334</v>
      </c>
    </row>
    <row r="699" ht="15.75" hidden="1" customHeight="1">
      <c r="A699" s="4">
        <v>45533.0</v>
      </c>
      <c r="B699" s="1" t="s">
        <v>107</v>
      </c>
      <c r="C699" s="1" t="s">
        <v>89</v>
      </c>
      <c r="D699" s="1">
        <v>321.0</v>
      </c>
      <c r="E699" s="1">
        <v>0.0</v>
      </c>
      <c r="F699" s="1" t="s">
        <v>814</v>
      </c>
      <c r="G699" s="1" t="s">
        <v>91</v>
      </c>
      <c r="H699" s="1" t="s">
        <v>92</v>
      </c>
      <c r="I699" s="1" t="s">
        <v>1759</v>
      </c>
      <c r="J699" s="1" t="s">
        <v>1760</v>
      </c>
      <c r="K699" s="1" t="s">
        <v>1760</v>
      </c>
      <c r="M699" s="1">
        <v>-2.0</v>
      </c>
      <c r="O699" s="1">
        <v>12.633516666666667</v>
      </c>
    </row>
    <row r="700" ht="15.75" hidden="1" customHeight="1">
      <c r="A700" s="4">
        <v>45533.0</v>
      </c>
      <c r="B700" s="1" t="s">
        <v>103</v>
      </c>
      <c r="C700" s="1" t="s">
        <v>89</v>
      </c>
      <c r="D700" s="1">
        <v>553.0</v>
      </c>
      <c r="E700" s="1">
        <v>0.0</v>
      </c>
      <c r="G700" s="1" t="s">
        <v>91</v>
      </c>
      <c r="H700" s="1" t="s">
        <v>98</v>
      </c>
      <c r="I700" s="1" t="s">
        <v>1761</v>
      </c>
      <c r="J700" s="1" t="s">
        <v>1762</v>
      </c>
      <c r="K700" s="1" t="s">
        <v>1762</v>
      </c>
      <c r="M700" s="1">
        <v>2.0</v>
      </c>
      <c r="O700" s="1">
        <v>11.541333333333334</v>
      </c>
    </row>
    <row r="701" ht="15.75" hidden="1" customHeight="1">
      <c r="A701" s="4">
        <v>45533.0</v>
      </c>
      <c r="B701" s="1" t="s">
        <v>103</v>
      </c>
      <c r="C701" s="1" t="s">
        <v>89</v>
      </c>
      <c r="D701" s="1">
        <v>307.0</v>
      </c>
      <c r="E701" s="1">
        <v>0.0</v>
      </c>
      <c r="G701" s="1" t="s">
        <v>91</v>
      </c>
      <c r="H701" s="1" t="s">
        <v>92</v>
      </c>
      <c r="I701" s="1" t="s">
        <v>1763</v>
      </c>
      <c r="J701" s="1" t="s">
        <v>1764</v>
      </c>
      <c r="K701" s="1" t="s">
        <v>1764</v>
      </c>
      <c r="M701" s="1">
        <v>0.0</v>
      </c>
      <c r="O701" s="1">
        <v>7.247166666666667</v>
      </c>
    </row>
    <row r="702" ht="15.75" hidden="1" customHeight="1">
      <c r="A702" s="4">
        <v>45533.0</v>
      </c>
      <c r="B702" s="1" t="s">
        <v>95</v>
      </c>
      <c r="C702" s="1" t="s">
        <v>89</v>
      </c>
      <c r="D702" s="1">
        <v>360.0</v>
      </c>
      <c r="E702" s="1">
        <v>138.0</v>
      </c>
      <c r="G702" s="1" t="s">
        <v>119</v>
      </c>
      <c r="H702" s="1" t="s">
        <v>98</v>
      </c>
      <c r="I702" s="1" t="s">
        <v>1765</v>
      </c>
      <c r="J702" s="1" t="s">
        <v>1766</v>
      </c>
      <c r="K702" s="1" t="s">
        <v>1766</v>
      </c>
      <c r="M702" s="1">
        <v>-17.0</v>
      </c>
      <c r="O702" s="1">
        <v>16.858766666666668</v>
      </c>
    </row>
    <row r="703" ht="15.75" hidden="1" customHeight="1">
      <c r="A703" s="4">
        <v>45533.0</v>
      </c>
      <c r="B703" s="1" t="s">
        <v>95</v>
      </c>
      <c r="C703" s="1" t="s">
        <v>89</v>
      </c>
      <c r="D703" s="1">
        <v>367.0</v>
      </c>
      <c r="E703" s="1">
        <v>46.0</v>
      </c>
      <c r="F703" s="1" t="s">
        <v>65</v>
      </c>
      <c r="G703" s="1" t="s">
        <v>97</v>
      </c>
      <c r="H703" s="1" t="s">
        <v>92</v>
      </c>
      <c r="I703" s="1" t="s">
        <v>1767</v>
      </c>
      <c r="J703" s="1" t="s">
        <v>1768</v>
      </c>
      <c r="K703" s="1" t="s">
        <v>1769</v>
      </c>
      <c r="L703" s="1" t="s">
        <v>1770</v>
      </c>
      <c r="M703" s="1">
        <v>-1.0</v>
      </c>
      <c r="N703" s="1">
        <v>0.013316666666666666</v>
      </c>
      <c r="O703" s="1">
        <v>11.385816666666667</v>
      </c>
    </row>
    <row r="704" ht="15.75" hidden="1" customHeight="1">
      <c r="A704" s="4">
        <v>45533.0</v>
      </c>
      <c r="B704" s="1" t="s">
        <v>95</v>
      </c>
      <c r="C704" s="1" t="s">
        <v>89</v>
      </c>
      <c r="D704" s="1">
        <v>937.0</v>
      </c>
      <c r="E704" s="1">
        <v>0.0</v>
      </c>
      <c r="F704" s="1" t="s">
        <v>65</v>
      </c>
      <c r="G704" s="1" t="s">
        <v>97</v>
      </c>
      <c r="H704" s="1" t="s">
        <v>92</v>
      </c>
      <c r="I704" s="1" t="s">
        <v>1771</v>
      </c>
      <c r="J704" s="1" t="s">
        <v>1772</v>
      </c>
      <c r="K704" s="1" t="s">
        <v>1773</v>
      </c>
      <c r="L704" s="1" t="s">
        <v>1774</v>
      </c>
      <c r="M704" s="1">
        <v>0.0</v>
      </c>
      <c r="N704" s="1">
        <v>0.01325</v>
      </c>
      <c r="O704" s="1">
        <v>32.61991666666667</v>
      </c>
    </row>
    <row r="705" ht="15.75" hidden="1" customHeight="1">
      <c r="A705" s="4">
        <v>45533.0</v>
      </c>
      <c r="B705" s="1" t="s">
        <v>88</v>
      </c>
      <c r="C705" s="1" t="s">
        <v>89</v>
      </c>
      <c r="D705" s="1">
        <v>264.0</v>
      </c>
      <c r="E705" s="1">
        <v>0.0</v>
      </c>
      <c r="F705" s="1" t="s">
        <v>90</v>
      </c>
      <c r="G705" s="1" t="s">
        <v>91</v>
      </c>
      <c r="H705" s="1" t="s">
        <v>92</v>
      </c>
      <c r="I705" s="1" t="s">
        <v>1775</v>
      </c>
      <c r="J705" s="1" t="s">
        <v>1776</v>
      </c>
      <c r="K705" s="1" t="s">
        <v>1776</v>
      </c>
      <c r="M705" s="1">
        <v>-7.0</v>
      </c>
      <c r="O705" s="1">
        <v>7.8219666666666665</v>
      </c>
    </row>
    <row r="706" ht="15.75" hidden="1" customHeight="1">
      <c r="A706" s="4">
        <v>45533.0</v>
      </c>
      <c r="B706" s="1" t="s">
        <v>95</v>
      </c>
      <c r="C706" s="1" t="s">
        <v>89</v>
      </c>
      <c r="D706" s="1">
        <v>1485.0</v>
      </c>
      <c r="E706" s="1">
        <v>0.0</v>
      </c>
      <c r="F706" s="1" t="s">
        <v>65</v>
      </c>
      <c r="G706" s="1" t="s">
        <v>97</v>
      </c>
      <c r="H706" s="1" t="s">
        <v>92</v>
      </c>
      <c r="I706" s="1" t="s">
        <v>1777</v>
      </c>
      <c r="J706" s="1" t="s">
        <v>1778</v>
      </c>
      <c r="K706" s="1" t="s">
        <v>1779</v>
      </c>
      <c r="L706" s="1" t="s">
        <v>1780</v>
      </c>
      <c r="M706" s="1">
        <v>-8.0</v>
      </c>
      <c r="N706" s="1">
        <v>0.0031166666666666665</v>
      </c>
      <c r="O706" s="1">
        <v>16.231466666666666</v>
      </c>
    </row>
    <row r="707" ht="15.75" hidden="1" customHeight="1">
      <c r="A707" s="4">
        <v>45533.0</v>
      </c>
      <c r="B707" s="1" t="s">
        <v>88</v>
      </c>
      <c r="C707" s="1" t="s">
        <v>89</v>
      </c>
      <c r="D707" s="1">
        <v>329.0</v>
      </c>
      <c r="E707" s="1">
        <v>0.0</v>
      </c>
      <c r="F707" s="1" t="s">
        <v>90</v>
      </c>
      <c r="G707" s="1" t="s">
        <v>91</v>
      </c>
      <c r="H707" s="1" t="s">
        <v>92</v>
      </c>
      <c r="I707" s="1" t="s">
        <v>1781</v>
      </c>
      <c r="J707" s="1" t="s">
        <v>1782</v>
      </c>
      <c r="K707" s="1" t="s">
        <v>1782</v>
      </c>
      <c r="M707" s="1">
        <v>-8.0</v>
      </c>
      <c r="O707" s="1">
        <v>6.401433333333333</v>
      </c>
    </row>
    <row r="708" ht="15.75" hidden="1" customHeight="1">
      <c r="A708" s="4">
        <v>45533.0</v>
      </c>
      <c r="B708" s="1" t="s">
        <v>88</v>
      </c>
      <c r="C708" s="1" t="s">
        <v>89</v>
      </c>
      <c r="D708" s="1">
        <v>264.0</v>
      </c>
      <c r="E708" s="1">
        <v>0.0</v>
      </c>
      <c r="F708" s="1" t="s">
        <v>90</v>
      </c>
      <c r="G708" s="1" t="s">
        <v>91</v>
      </c>
      <c r="H708" s="1" t="s">
        <v>92</v>
      </c>
      <c r="I708" s="1" t="s">
        <v>1783</v>
      </c>
      <c r="J708" s="1" t="s">
        <v>1784</v>
      </c>
      <c r="K708" s="1" t="s">
        <v>1784</v>
      </c>
      <c r="M708" s="1">
        <v>-9.0</v>
      </c>
      <c r="O708" s="1">
        <v>6.054483333333334</v>
      </c>
    </row>
    <row r="709" ht="15.75" hidden="1" customHeight="1">
      <c r="A709" s="4">
        <v>45533.0</v>
      </c>
      <c r="B709" s="1" t="s">
        <v>107</v>
      </c>
      <c r="C709" s="1" t="s">
        <v>89</v>
      </c>
      <c r="D709" s="1">
        <v>329.0</v>
      </c>
      <c r="E709" s="1">
        <v>0.0</v>
      </c>
      <c r="F709" s="1" t="s">
        <v>287</v>
      </c>
      <c r="G709" s="1" t="s">
        <v>91</v>
      </c>
      <c r="H709" s="1" t="s">
        <v>92</v>
      </c>
      <c r="I709" s="1" t="s">
        <v>1785</v>
      </c>
      <c r="J709" s="1" t="s">
        <v>1786</v>
      </c>
      <c r="K709" s="1" t="s">
        <v>1786</v>
      </c>
      <c r="M709" s="1">
        <v>-8.0</v>
      </c>
      <c r="O709" s="1">
        <v>6.46665</v>
      </c>
    </row>
    <row r="710" ht="15.75" hidden="1" customHeight="1">
      <c r="A710" s="4">
        <v>45533.0</v>
      </c>
      <c r="B710" s="1" t="s">
        <v>103</v>
      </c>
      <c r="C710" s="1" t="s">
        <v>89</v>
      </c>
      <c r="D710" s="1">
        <v>264.0</v>
      </c>
      <c r="E710" s="1">
        <v>100.0</v>
      </c>
      <c r="G710" s="1" t="s">
        <v>91</v>
      </c>
      <c r="H710" s="1" t="s">
        <v>92</v>
      </c>
      <c r="I710" s="1" t="s">
        <v>1787</v>
      </c>
      <c r="J710" s="1" t="s">
        <v>1788</v>
      </c>
      <c r="K710" s="1" t="s">
        <v>1788</v>
      </c>
      <c r="M710" s="1">
        <v>-1.0</v>
      </c>
      <c r="O710" s="1">
        <v>5.62345</v>
      </c>
    </row>
    <row r="711" ht="15.75" hidden="1" customHeight="1">
      <c r="A711" s="4">
        <v>45533.0</v>
      </c>
      <c r="B711" s="1" t="s">
        <v>107</v>
      </c>
      <c r="C711" s="1" t="s">
        <v>89</v>
      </c>
      <c r="D711" s="1">
        <v>289.0</v>
      </c>
      <c r="E711" s="1">
        <v>0.0</v>
      </c>
      <c r="F711" s="1" t="s">
        <v>173</v>
      </c>
      <c r="G711" s="1" t="s">
        <v>91</v>
      </c>
      <c r="H711" s="1" t="s">
        <v>92</v>
      </c>
      <c r="I711" s="1" t="s">
        <v>1789</v>
      </c>
      <c r="J711" s="1" t="s">
        <v>1790</v>
      </c>
      <c r="K711" s="1" t="s">
        <v>1790</v>
      </c>
      <c r="M711" s="1">
        <v>-7.0</v>
      </c>
      <c r="O711" s="1">
        <v>7.274466666666667</v>
      </c>
    </row>
    <row r="712" ht="15.75" hidden="1" customHeight="1">
      <c r="A712" s="4">
        <v>45533.0</v>
      </c>
      <c r="B712" s="1" t="s">
        <v>88</v>
      </c>
      <c r="C712" s="1" t="s">
        <v>89</v>
      </c>
      <c r="D712" s="1">
        <v>264.0</v>
      </c>
      <c r="E712" s="1">
        <v>0.0</v>
      </c>
      <c r="F712" s="1" t="s">
        <v>90</v>
      </c>
      <c r="G712" s="1" t="s">
        <v>91</v>
      </c>
      <c r="H712" s="1" t="s">
        <v>92</v>
      </c>
      <c r="I712" s="1" t="s">
        <v>1791</v>
      </c>
      <c r="J712" s="1" t="s">
        <v>1792</v>
      </c>
      <c r="K712" s="1" t="s">
        <v>1792</v>
      </c>
      <c r="M712" s="1">
        <v>-11.0</v>
      </c>
      <c r="O712" s="1">
        <v>8.209883333333334</v>
      </c>
    </row>
    <row r="713" ht="15.75" hidden="1" customHeight="1">
      <c r="A713" s="4">
        <v>45533.0</v>
      </c>
      <c r="B713" s="1" t="s">
        <v>95</v>
      </c>
      <c r="C713" s="1" t="s">
        <v>89</v>
      </c>
      <c r="D713" s="1">
        <v>247.0</v>
      </c>
      <c r="E713" s="1">
        <v>62.0</v>
      </c>
      <c r="G713" s="1" t="s">
        <v>119</v>
      </c>
      <c r="H713" s="1" t="s">
        <v>98</v>
      </c>
      <c r="I713" s="1" t="s">
        <v>1793</v>
      </c>
      <c r="J713" s="1" t="s">
        <v>1794</v>
      </c>
      <c r="K713" s="1" t="s">
        <v>1794</v>
      </c>
      <c r="M713" s="1">
        <v>-6.0</v>
      </c>
      <c r="O713" s="1">
        <v>21.332933333333333</v>
      </c>
    </row>
    <row r="714" ht="15.75" hidden="1" customHeight="1">
      <c r="A714" s="4">
        <v>45533.0</v>
      </c>
      <c r="B714" s="1" t="s">
        <v>95</v>
      </c>
      <c r="C714" s="1" t="s">
        <v>89</v>
      </c>
      <c r="D714" s="1">
        <v>239.0</v>
      </c>
      <c r="E714" s="1">
        <v>55.0</v>
      </c>
      <c r="G714" s="1" t="s">
        <v>119</v>
      </c>
      <c r="H714" s="1" t="s">
        <v>92</v>
      </c>
      <c r="I714" s="1" t="s">
        <v>1795</v>
      </c>
      <c r="J714" s="1" t="s">
        <v>1796</v>
      </c>
      <c r="K714" s="1" t="s">
        <v>1796</v>
      </c>
      <c r="M714" s="1">
        <v>-6.0</v>
      </c>
      <c r="O714" s="1">
        <v>12.399683333333334</v>
      </c>
    </row>
    <row r="715" ht="15.75" hidden="1" customHeight="1">
      <c r="A715" s="4">
        <v>45533.0</v>
      </c>
      <c r="B715" s="1" t="s">
        <v>103</v>
      </c>
      <c r="C715" s="1" t="s">
        <v>89</v>
      </c>
      <c r="D715" s="1">
        <v>264.0</v>
      </c>
      <c r="E715" s="1">
        <v>0.0</v>
      </c>
      <c r="G715" s="1" t="s">
        <v>91</v>
      </c>
      <c r="H715" s="1" t="s">
        <v>92</v>
      </c>
      <c r="I715" s="1" t="s">
        <v>1797</v>
      </c>
      <c r="J715" s="1" t="s">
        <v>1798</v>
      </c>
      <c r="K715" s="1" t="s">
        <v>1798</v>
      </c>
      <c r="M715" s="1">
        <v>4.0</v>
      </c>
      <c r="O715" s="1">
        <v>11.49375</v>
      </c>
    </row>
    <row r="716" ht="15.75" hidden="1" customHeight="1">
      <c r="A716" s="4">
        <v>45533.0</v>
      </c>
      <c r="B716" s="1" t="s">
        <v>103</v>
      </c>
      <c r="C716" s="1" t="s">
        <v>89</v>
      </c>
      <c r="D716" s="1">
        <v>264.0</v>
      </c>
      <c r="E716" s="1">
        <v>0.0</v>
      </c>
      <c r="G716" s="1" t="s">
        <v>91</v>
      </c>
      <c r="H716" s="1" t="s">
        <v>92</v>
      </c>
      <c r="I716" s="1" t="s">
        <v>1799</v>
      </c>
      <c r="J716" s="1" t="s">
        <v>1800</v>
      </c>
      <c r="K716" s="1" t="s">
        <v>1800</v>
      </c>
      <c r="M716" s="1">
        <v>7.0</v>
      </c>
      <c r="O716" s="1">
        <v>14.403133333333333</v>
      </c>
    </row>
    <row r="717" ht="15.75" hidden="1" customHeight="1">
      <c r="A717" s="4">
        <v>45533.0</v>
      </c>
      <c r="B717" s="1" t="s">
        <v>95</v>
      </c>
      <c r="C717" s="1" t="s">
        <v>89</v>
      </c>
      <c r="D717" s="1">
        <v>742.0</v>
      </c>
      <c r="E717" s="1">
        <v>185.0</v>
      </c>
      <c r="G717" s="1" t="s">
        <v>119</v>
      </c>
      <c r="H717" s="1" t="s">
        <v>213</v>
      </c>
      <c r="I717" s="1" t="s">
        <v>1801</v>
      </c>
      <c r="J717" s="1" t="s">
        <v>1802</v>
      </c>
      <c r="K717" s="1" t="s">
        <v>1802</v>
      </c>
      <c r="M717" s="1">
        <v>9.0</v>
      </c>
      <c r="O717" s="1">
        <v>34.13665</v>
      </c>
    </row>
    <row r="718" ht="15.75" hidden="1" customHeight="1">
      <c r="A718" s="4">
        <v>45533.0</v>
      </c>
      <c r="B718" s="1" t="s">
        <v>95</v>
      </c>
      <c r="C718" s="1" t="s">
        <v>89</v>
      </c>
      <c r="D718" s="1">
        <v>248.0</v>
      </c>
      <c r="E718" s="1">
        <v>50.0</v>
      </c>
      <c r="G718" s="1" t="s">
        <v>119</v>
      </c>
      <c r="H718" s="1" t="s">
        <v>213</v>
      </c>
      <c r="I718" s="1" t="s">
        <v>1803</v>
      </c>
      <c r="J718" s="1" t="s">
        <v>1804</v>
      </c>
      <c r="K718" s="1" t="s">
        <v>1804</v>
      </c>
      <c r="M718" s="1">
        <v>1.0</v>
      </c>
      <c r="O718" s="1">
        <v>20.995466666666665</v>
      </c>
    </row>
    <row r="719" ht="15.75" hidden="1" customHeight="1">
      <c r="A719" s="4">
        <v>45533.0</v>
      </c>
      <c r="B719" s="1" t="s">
        <v>107</v>
      </c>
      <c r="C719" s="1" t="s">
        <v>89</v>
      </c>
      <c r="D719" s="1">
        <v>593.0</v>
      </c>
      <c r="E719" s="1">
        <v>0.0</v>
      </c>
      <c r="F719" s="1" t="s">
        <v>173</v>
      </c>
      <c r="G719" s="1" t="s">
        <v>91</v>
      </c>
      <c r="H719" s="1" t="s">
        <v>92</v>
      </c>
      <c r="I719" s="1" t="s">
        <v>1805</v>
      </c>
      <c r="J719" s="1" t="s">
        <v>1806</v>
      </c>
      <c r="K719" s="1" t="s">
        <v>1806</v>
      </c>
      <c r="M719" s="1">
        <v>-9.0</v>
      </c>
      <c r="O719" s="1">
        <v>10.5444</v>
      </c>
    </row>
    <row r="720" ht="15.75" hidden="1" customHeight="1">
      <c r="A720" s="4">
        <v>45533.0</v>
      </c>
      <c r="B720" s="1" t="s">
        <v>95</v>
      </c>
      <c r="C720" s="1" t="s">
        <v>89</v>
      </c>
      <c r="D720" s="1">
        <v>642.0</v>
      </c>
      <c r="E720" s="1">
        <v>0.0</v>
      </c>
      <c r="F720" s="1" t="s">
        <v>90</v>
      </c>
      <c r="G720" s="1" t="s">
        <v>97</v>
      </c>
      <c r="H720" s="1" t="s">
        <v>92</v>
      </c>
      <c r="I720" s="1" t="s">
        <v>1807</v>
      </c>
      <c r="J720" s="1" t="s">
        <v>1808</v>
      </c>
      <c r="K720" s="1" t="s">
        <v>1809</v>
      </c>
      <c r="L720" s="1" t="s">
        <v>1810</v>
      </c>
      <c r="M720" s="1">
        <v>13.0</v>
      </c>
      <c r="N720" s="1">
        <v>13.60045</v>
      </c>
      <c r="O720" s="1">
        <v>39.52985</v>
      </c>
    </row>
    <row r="721" ht="15.75" hidden="1" customHeight="1">
      <c r="A721" s="4">
        <v>45533.0</v>
      </c>
      <c r="B721" s="1" t="s">
        <v>95</v>
      </c>
      <c r="C721" s="1" t="s">
        <v>89</v>
      </c>
      <c r="D721" s="1">
        <v>184.0</v>
      </c>
      <c r="E721" s="1">
        <v>65.0</v>
      </c>
      <c r="G721" s="1" t="s">
        <v>119</v>
      </c>
      <c r="H721" s="1" t="s">
        <v>92</v>
      </c>
      <c r="I721" s="1" t="s">
        <v>1811</v>
      </c>
      <c r="J721" s="1" t="s">
        <v>1812</v>
      </c>
      <c r="K721" s="1" t="s">
        <v>1812</v>
      </c>
      <c r="M721" s="1">
        <v>3.0</v>
      </c>
      <c r="O721" s="1">
        <v>21.879433333333335</v>
      </c>
    </row>
    <row r="722" ht="15.75" hidden="1" customHeight="1">
      <c r="A722" s="4">
        <v>45533.0</v>
      </c>
      <c r="B722" s="1" t="s">
        <v>95</v>
      </c>
      <c r="C722" s="1" t="s">
        <v>89</v>
      </c>
      <c r="D722" s="1">
        <v>618.0</v>
      </c>
      <c r="E722" s="1">
        <v>0.0</v>
      </c>
      <c r="F722" s="1" t="s">
        <v>90</v>
      </c>
      <c r="G722" s="1" t="s">
        <v>97</v>
      </c>
      <c r="H722" s="1" t="s">
        <v>92</v>
      </c>
      <c r="I722" s="1" t="s">
        <v>1813</v>
      </c>
      <c r="J722" s="1" t="s">
        <v>1814</v>
      </c>
      <c r="K722" s="1" t="s">
        <v>1815</v>
      </c>
      <c r="L722" s="1" t="s">
        <v>1816</v>
      </c>
      <c r="M722" s="1">
        <v>33.0</v>
      </c>
      <c r="N722" s="1">
        <v>25.709333333333333</v>
      </c>
      <c r="O722" s="1">
        <v>39.05608333333333</v>
      </c>
    </row>
    <row r="723" ht="15.75" hidden="1" customHeight="1">
      <c r="A723" s="4">
        <v>45533.0</v>
      </c>
      <c r="B723" s="1" t="s">
        <v>95</v>
      </c>
      <c r="C723" s="1" t="s">
        <v>89</v>
      </c>
      <c r="D723" s="1">
        <v>299.0</v>
      </c>
      <c r="E723" s="1">
        <v>0.0</v>
      </c>
      <c r="F723" s="1" t="s">
        <v>65</v>
      </c>
      <c r="G723" s="1" t="s">
        <v>97</v>
      </c>
      <c r="H723" s="1" t="s">
        <v>98</v>
      </c>
      <c r="I723" s="1" t="s">
        <v>1817</v>
      </c>
      <c r="J723" s="1" t="s">
        <v>1818</v>
      </c>
      <c r="K723" s="1" t="s">
        <v>1819</v>
      </c>
      <c r="L723" s="1" t="s">
        <v>1820</v>
      </c>
      <c r="M723" s="1">
        <v>-20.0</v>
      </c>
      <c r="N723" s="1">
        <v>0.004716666666666667</v>
      </c>
      <c r="O723" s="1">
        <v>10.343066666666667</v>
      </c>
    </row>
    <row r="724" ht="15.75" hidden="1" customHeight="1">
      <c r="A724" s="4">
        <v>45533.0</v>
      </c>
      <c r="B724" s="1" t="s">
        <v>95</v>
      </c>
      <c r="C724" s="1" t="s">
        <v>89</v>
      </c>
      <c r="D724" s="1">
        <v>2257.0</v>
      </c>
      <c r="E724" s="1">
        <v>0.0</v>
      </c>
      <c r="F724" s="1" t="s">
        <v>90</v>
      </c>
      <c r="G724" s="1" t="s">
        <v>97</v>
      </c>
      <c r="H724" s="1" t="s">
        <v>98</v>
      </c>
      <c r="I724" s="1" t="s">
        <v>1821</v>
      </c>
      <c r="J724" s="1" t="s">
        <v>1822</v>
      </c>
      <c r="K724" s="1" t="s">
        <v>1823</v>
      </c>
      <c r="L724" s="1" t="s">
        <v>1824</v>
      </c>
      <c r="M724" s="1">
        <v>15.0</v>
      </c>
      <c r="N724" s="1">
        <v>30.828916666666668</v>
      </c>
      <c r="O724" s="1">
        <v>33.78765</v>
      </c>
    </row>
    <row r="725" ht="15.75" hidden="1" customHeight="1">
      <c r="A725" s="4">
        <v>45533.0</v>
      </c>
      <c r="B725" s="1" t="s">
        <v>103</v>
      </c>
      <c r="C725" s="1" t="s">
        <v>89</v>
      </c>
      <c r="D725" s="1">
        <v>3960.0</v>
      </c>
      <c r="E725" s="1">
        <v>0.0</v>
      </c>
      <c r="G725" s="1" t="s">
        <v>91</v>
      </c>
      <c r="H725" s="1" t="s">
        <v>92</v>
      </c>
      <c r="I725" s="1" t="s">
        <v>1825</v>
      </c>
      <c r="J725" s="1" t="s">
        <v>1826</v>
      </c>
      <c r="K725" s="1" t="s">
        <v>1826</v>
      </c>
      <c r="M725" s="1">
        <v>29.0</v>
      </c>
      <c r="O725" s="1">
        <v>50.33566666666667</v>
      </c>
    </row>
    <row r="726" ht="15.75" hidden="1" customHeight="1">
      <c r="A726" s="4">
        <v>45533.0</v>
      </c>
      <c r="B726" s="1" t="s">
        <v>228</v>
      </c>
      <c r="C726" s="1" t="s">
        <v>89</v>
      </c>
      <c r="D726" s="1">
        <v>249.0</v>
      </c>
      <c r="E726" s="1">
        <v>0.0</v>
      </c>
      <c r="G726" s="1" t="s">
        <v>119</v>
      </c>
      <c r="H726" s="1" t="s">
        <v>98</v>
      </c>
      <c r="I726" s="1" t="s">
        <v>1827</v>
      </c>
      <c r="J726" s="1" t="s">
        <v>1828</v>
      </c>
      <c r="K726" s="1" t="s">
        <v>1828</v>
      </c>
      <c r="M726" s="1">
        <v>7.0</v>
      </c>
      <c r="O726" s="1">
        <v>12.481283333333334</v>
      </c>
    </row>
    <row r="727" ht="15.75" hidden="1" customHeight="1">
      <c r="A727" s="4">
        <v>45533.0</v>
      </c>
      <c r="B727" s="1" t="s">
        <v>88</v>
      </c>
      <c r="C727" s="1" t="s">
        <v>89</v>
      </c>
      <c r="D727" s="1">
        <v>987.0</v>
      </c>
      <c r="E727" s="1">
        <v>0.0</v>
      </c>
      <c r="F727" s="1" t="s">
        <v>90</v>
      </c>
      <c r="G727" s="1" t="s">
        <v>91</v>
      </c>
      <c r="H727" s="1" t="s">
        <v>92</v>
      </c>
      <c r="I727" s="1" t="s">
        <v>1829</v>
      </c>
      <c r="J727" s="1" t="s">
        <v>1830</v>
      </c>
      <c r="K727" s="1" t="s">
        <v>1830</v>
      </c>
      <c r="M727" s="1">
        <v>-4.0</v>
      </c>
      <c r="O727" s="1">
        <v>15.036216666666666</v>
      </c>
    </row>
    <row r="728" ht="15.75" hidden="1" customHeight="1">
      <c r="A728" s="4">
        <v>45533.0</v>
      </c>
      <c r="B728" s="1" t="s">
        <v>95</v>
      </c>
      <c r="C728" s="1" t="s">
        <v>89</v>
      </c>
      <c r="D728" s="1">
        <v>167.0</v>
      </c>
      <c r="E728" s="1">
        <v>42.0</v>
      </c>
      <c r="G728" s="1" t="s">
        <v>119</v>
      </c>
      <c r="H728" s="1" t="s">
        <v>213</v>
      </c>
      <c r="I728" s="1" t="s">
        <v>1831</v>
      </c>
      <c r="J728" s="1" t="s">
        <v>1832</v>
      </c>
      <c r="K728" s="1" t="s">
        <v>1832</v>
      </c>
      <c r="M728" s="1">
        <v>1.0</v>
      </c>
      <c r="O728" s="1">
        <v>84.05956666666667</v>
      </c>
    </row>
    <row r="729" ht="15.75" hidden="1" customHeight="1">
      <c r="A729" s="4">
        <v>45533.0</v>
      </c>
      <c r="B729" s="1" t="s">
        <v>95</v>
      </c>
      <c r="C729" s="1" t="s">
        <v>89</v>
      </c>
      <c r="D729" s="1">
        <v>275.0</v>
      </c>
      <c r="E729" s="1">
        <v>69.0</v>
      </c>
      <c r="G729" s="1" t="s">
        <v>119</v>
      </c>
      <c r="H729" s="1" t="s">
        <v>213</v>
      </c>
      <c r="I729" s="1" t="s">
        <v>1833</v>
      </c>
      <c r="J729" s="1" t="s">
        <v>1834</v>
      </c>
      <c r="K729" s="1" t="s">
        <v>1834</v>
      </c>
      <c r="M729" s="1">
        <v>0.0</v>
      </c>
      <c r="O729" s="1">
        <v>278.2114</v>
      </c>
    </row>
    <row r="730" ht="15.75" hidden="1" customHeight="1">
      <c r="A730" s="4">
        <v>45534.0</v>
      </c>
      <c r="B730" s="1" t="s">
        <v>88</v>
      </c>
      <c r="C730" s="1" t="s">
        <v>89</v>
      </c>
      <c r="D730" s="1">
        <v>528.0</v>
      </c>
      <c r="E730" s="1">
        <v>0.0</v>
      </c>
      <c r="F730" s="1" t="s">
        <v>90</v>
      </c>
      <c r="G730" s="1" t="s">
        <v>91</v>
      </c>
      <c r="H730" s="1" t="s">
        <v>92</v>
      </c>
      <c r="I730" s="1" t="s">
        <v>1835</v>
      </c>
      <c r="J730" s="1" t="s">
        <v>1836</v>
      </c>
      <c r="K730" s="1" t="s">
        <v>1836</v>
      </c>
      <c r="M730" s="1">
        <v>-11.0</v>
      </c>
      <c r="O730" s="1">
        <v>8.738366666666666</v>
      </c>
    </row>
    <row r="731" ht="15.75" hidden="1" customHeight="1">
      <c r="A731" s="4">
        <v>45534.0</v>
      </c>
      <c r="B731" s="1" t="s">
        <v>95</v>
      </c>
      <c r="C731" s="1" t="s">
        <v>89</v>
      </c>
      <c r="D731" s="1">
        <v>518.0</v>
      </c>
      <c r="E731" s="1">
        <v>0.0</v>
      </c>
      <c r="F731" s="1" t="s">
        <v>90</v>
      </c>
      <c r="G731" s="1" t="s">
        <v>97</v>
      </c>
      <c r="H731" s="1" t="s">
        <v>98</v>
      </c>
      <c r="I731" s="1" t="s">
        <v>1837</v>
      </c>
      <c r="J731" s="1" t="s">
        <v>1838</v>
      </c>
      <c r="K731" s="1" t="s">
        <v>1839</v>
      </c>
      <c r="L731" s="1" t="s">
        <v>1840</v>
      </c>
      <c r="M731" s="1">
        <v>6.0</v>
      </c>
      <c r="N731" s="1">
        <v>14.194966666666666</v>
      </c>
      <c r="O731" s="1">
        <v>8.393916666666666</v>
      </c>
    </row>
    <row r="732" ht="15.75" hidden="1" customHeight="1">
      <c r="A732" s="4">
        <v>45534.0</v>
      </c>
      <c r="B732" s="1" t="s">
        <v>95</v>
      </c>
      <c r="C732" s="1" t="s">
        <v>104</v>
      </c>
      <c r="D732" s="1">
        <v>199.0</v>
      </c>
      <c r="E732" s="1">
        <v>50.0</v>
      </c>
      <c r="G732" s="1" t="s">
        <v>119</v>
      </c>
      <c r="H732" s="1" t="s">
        <v>213</v>
      </c>
      <c r="I732" s="1" t="s">
        <v>1841</v>
      </c>
      <c r="J732" s="1" t="s">
        <v>1842</v>
      </c>
      <c r="K732" s="1" t="s">
        <v>1842</v>
      </c>
      <c r="M732" s="1">
        <v>-9.0</v>
      </c>
      <c r="O732" s="1">
        <v>29.685166666666667</v>
      </c>
    </row>
    <row r="733" ht="15.75" customHeight="1">
      <c r="A733" s="4">
        <v>45534.0</v>
      </c>
      <c r="B733" s="1" t="s">
        <v>103</v>
      </c>
      <c r="C733" s="1" t="s">
        <v>104</v>
      </c>
      <c r="D733" s="1">
        <v>394.0</v>
      </c>
      <c r="E733" s="1">
        <v>0.0</v>
      </c>
      <c r="G733" s="1" t="s">
        <v>91</v>
      </c>
      <c r="H733" s="1" t="s">
        <v>92</v>
      </c>
      <c r="I733" s="1" t="s">
        <v>1843</v>
      </c>
      <c r="J733" s="1" t="s">
        <v>1844</v>
      </c>
      <c r="K733" s="1" t="s">
        <v>1844</v>
      </c>
      <c r="M733" s="1">
        <v>0.0</v>
      </c>
      <c r="O733" s="1">
        <v>7.644383333333334</v>
      </c>
    </row>
    <row r="734" ht="15.75" hidden="1" customHeight="1">
      <c r="A734" s="4">
        <v>45534.0</v>
      </c>
      <c r="B734" s="1" t="s">
        <v>95</v>
      </c>
      <c r="C734" s="1" t="s">
        <v>104</v>
      </c>
      <c r="D734" s="1">
        <v>214.0</v>
      </c>
      <c r="E734" s="1">
        <v>95.0</v>
      </c>
      <c r="G734" s="1" t="s">
        <v>119</v>
      </c>
      <c r="H734" s="1" t="s">
        <v>213</v>
      </c>
      <c r="I734" s="1" t="s">
        <v>1845</v>
      </c>
      <c r="J734" s="1" t="s">
        <v>1846</v>
      </c>
      <c r="K734" s="1" t="s">
        <v>1846</v>
      </c>
      <c r="M734" s="1">
        <v>-9.0</v>
      </c>
      <c r="O734" s="1">
        <v>9.897966666666667</v>
      </c>
    </row>
    <row r="735" ht="15.75" hidden="1" customHeight="1">
      <c r="A735" s="4">
        <v>45534.0</v>
      </c>
      <c r="B735" s="1" t="s">
        <v>95</v>
      </c>
      <c r="C735" s="1" t="s">
        <v>89</v>
      </c>
      <c r="D735" s="1">
        <v>416.0</v>
      </c>
      <c r="E735" s="1">
        <v>0.0</v>
      </c>
      <c r="F735" s="1" t="s">
        <v>54</v>
      </c>
      <c r="G735" s="1" t="s">
        <v>97</v>
      </c>
      <c r="H735" s="1" t="s">
        <v>98</v>
      </c>
      <c r="I735" s="1" t="s">
        <v>1847</v>
      </c>
      <c r="J735" s="1" t="s">
        <v>1848</v>
      </c>
      <c r="K735" s="1" t="s">
        <v>1849</v>
      </c>
      <c r="L735" s="1" t="s">
        <v>1850</v>
      </c>
      <c r="M735" s="1">
        <v>-12.0</v>
      </c>
      <c r="N735" s="1">
        <v>0.0127</v>
      </c>
      <c r="O735" s="1">
        <v>9.887233333333333</v>
      </c>
    </row>
    <row r="736" ht="15.75" hidden="1" customHeight="1">
      <c r="A736" s="4">
        <v>45534.0</v>
      </c>
      <c r="B736" s="1" t="s">
        <v>107</v>
      </c>
      <c r="C736" s="1" t="s">
        <v>104</v>
      </c>
      <c r="D736" s="1">
        <v>394.0</v>
      </c>
      <c r="E736" s="1">
        <v>0.0</v>
      </c>
      <c r="F736" s="1" t="s">
        <v>1552</v>
      </c>
      <c r="G736" s="1" t="s">
        <v>91</v>
      </c>
      <c r="H736" s="1" t="s">
        <v>92</v>
      </c>
      <c r="I736" s="1" t="s">
        <v>1851</v>
      </c>
      <c r="J736" s="1" t="s">
        <v>1852</v>
      </c>
      <c r="K736" s="1" t="s">
        <v>1852</v>
      </c>
      <c r="M736" s="1">
        <v>-3.0</v>
      </c>
      <c r="O736" s="1">
        <v>11.439233333333334</v>
      </c>
    </row>
    <row r="737" ht="15.75" hidden="1" customHeight="1">
      <c r="A737" s="4">
        <v>45534.0</v>
      </c>
      <c r="B737" s="1" t="s">
        <v>95</v>
      </c>
      <c r="C737" s="1" t="s">
        <v>104</v>
      </c>
      <c r="D737" s="1">
        <v>569.0</v>
      </c>
      <c r="E737" s="1">
        <v>163.0</v>
      </c>
      <c r="G737" s="1" t="s">
        <v>119</v>
      </c>
      <c r="H737" s="1" t="s">
        <v>92</v>
      </c>
      <c r="I737" s="1" t="s">
        <v>1853</v>
      </c>
      <c r="J737" s="1" t="s">
        <v>1854</v>
      </c>
      <c r="K737" s="1" t="s">
        <v>1854</v>
      </c>
      <c r="M737" s="1">
        <v>-15.0</v>
      </c>
      <c r="O737" s="1">
        <v>42.5069</v>
      </c>
    </row>
    <row r="738" ht="15.75" customHeight="1">
      <c r="A738" s="4">
        <v>45534.0</v>
      </c>
      <c r="B738" s="1" t="s">
        <v>103</v>
      </c>
      <c r="C738" s="1" t="s">
        <v>104</v>
      </c>
      <c r="D738" s="1">
        <v>313.0</v>
      </c>
      <c r="E738" s="1">
        <v>0.0</v>
      </c>
      <c r="G738" s="1" t="s">
        <v>91</v>
      </c>
      <c r="H738" s="1" t="s">
        <v>92</v>
      </c>
      <c r="I738" s="1" t="s">
        <v>1855</v>
      </c>
      <c r="J738" s="1" t="s">
        <v>1856</v>
      </c>
      <c r="K738" s="1" t="s">
        <v>1856</v>
      </c>
      <c r="M738" s="1">
        <v>1.0</v>
      </c>
      <c r="O738" s="1">
        <v>8.49015</v>
      </c>
    </row>
    <row r="739" ht="15.75" hidden="1" customHeight="1">
      <c r="A739" s="4">
        <v>45534.0</v>
      </c>
      <c r="B739" s="1" t="s">
        <v>88</v>
      </c>
      <c r="C739" s="1" t="s">
        <v>89</v>
      </c>
      <c r="D739" s="1">
        <v>413.0</v>
      </c>
      <c r="E739" s="1">
        <v>0.0</v>
      </c>
      <c r="F739" s="1" t="s">
        <v>90</v>
      </c>
      <c r="G739" s="1" t="s">
        <v>91</v>
      </c>
      <c r="H739" s="1" t="s">
        <v>92</v>
      </c>
      <c r="I739" s="1" t="s">
        <v>1857</v>
      </c>
      <c r="J739" s="1" t="s">
        <v>1858</v>
      </c>
      <c r="K739" s="1" t="s">
        <v>1858</v>
      </c>
      <c r="M739" s="1">
        <v>-5.0</v>
      </c>
      <c r="O739" s="1">
        <v>9.480016666666666</v>
      </c>
    </row>
    <row r="740" ht="15.75" customHeight="1">
      <c r="A740" s="4">
        <v>45534.0</v>
      </c>
      <c r="B740" s="1" t="s">
        <v>103</v>
      </c>
      <c r="C740" s="1" t="s">
        <v>104</v>
      </c>
      <c r="D740" s="1">
        <v>578.0</v>
      </c>
      <c r="E740" s="1">
        <v>0.0</v>
      </c>
      <c r="G740" s="1" t="s">
        <v>91</v>
      </c>
      <c r="H740" s="1" t="s">
        <v>92</v>
      </c>
      <c r="I740" s="1" t="s">
        <v>1859</v>
      </c>
      <c r="J740" s="1" t="s">
        <v>1860</v>
      </c>
      <c r="K740" s="1" t="s">
        <v>1860</v>
      </c>
      <c r="M740" s="1">
        <v>5.0</v>
      </c>
      <c r="O740" s="1">
        <v>14.4203</v>
      </c>
    </row>
    <row r="741" ht="15.75" hidden="1" customHeight="1">
      <c r="A741" s="4">
        <v>45534.0</v>
      </c>
      <c r="B741" s="1" t="s">
        <v>107</v>
      </c>
      <c r="C741" s="1" t="s">
        <v>104</v>
      </c>
      <c r="D741" s="1">
        <v>264.0</v>
      </c>
      <c r="E741" s="1">
        <v>0.0</v>
      </c>
      <c r="F741" s="1" t="s">
        <v>1861</v>
      </c>
      <c r="G741" s="1" t="s">
        <v>91</v>
      </c>
      <c r="H741" s="1" t="s">
        <v>92</v>
      </c>
      <c r="I741" s="1" t="s">
        <v>1862</v>
      </c>
      <c r="J741" s="1" t="s">
        <v>1863</v>
      </c>
      <c r="K741" s="1" t="s">
        <v>1863</v>
      </c>
      <c r="M741" s="1">
        <v>-8.0</v>
      </c>
      <c r="O741" s="1">
        <v>6.808483333333333</v>
      </c>
    </row>
    <row r="742" ht="15.75" customHeight="1">
      <c r="A742" s="4">
        <v>45534.0</v>
      </c>
      <c r="B742" s="1" t="s">
        <v>103</v>
      </c>
      <c r="C742" s="1" t="s">
        <v>104</v>
      </c>
      <c r="D742" s="1">
        <v>346.0</v>
      </c>
      <c r="E742" s="1">
        <v>0.0</v>
      </c>
      <c r="G742" s="1" t="s">
        <v>91</v>
      </c>
      <c r="H742" s="1" t="s">
        <v>92</v>
      </c>
      <c r="I742" s="1" t="s">
        <v>1864</v>
      </c>
      <c r="J742" s="1" t="s">
        <v>1865</v>
      </c>
      <c r="K742" s="1" t="s">
        <v>1865</v>
      </c>
      <c r="M742" s="1">
        <v>-2.0</v>
      </c>
      <c r="O742" s="1">
        <v>5.589783333333333</v>
      </c>
    </row>
    <row r="743" ht="15.75" hidden="1" customHeight="1">
      <c r="A743" s="4">
        <v>45534.0</v>
      </c>
      <c r="B743" s="1" t="s">
        <v>88</v>
      </c>
      <c r="C743" s="1" t="s">
        <v>89</v>
      </c>
      <c r="D743" s="1">
        <v>698.0</v>
      </c>
      <c r="E743" s="1">
        <v>0.0</v>
      </c>
      <c r="F743" s="1" t="s">
        <v>90</v>
      </c>
      <c r="G743" s="1" t="s">
        <v>91</v>
      </c>
      <c r="H743" s="1" t="s">
        <v>92</v>
      </c>
      <c r="I743" s="1" t="s">
        <v>1866</v>
      </c>
      <c r="J743" s="1" t="s">
        <v>1867</v>
      </c>
      <c r="K743" s="1" t="s">
        <v>1867</v>
      </c>
      <c r="M743" s="1">
        <v>-5.0</v>
      </c>
      <c r="O743" s="1">
        <v>14.787483333333334</v>
      </c>
    </row>
    <row r="744" ht="15.75" customHeight="1">
      <c r="A744" s="4">
        <v>45534.0</v>
      </c>
      <c r="B744" s="1" t="s">
        <v>103</v>
      </c>
      <c r="C744" s="1" t="s">
        <v>104</v>
      </c>
      <c r="D744" s="1">
        <v>429.0</v>
      </c>
      <c r="E744" s="1">
        <v>0.0</v>
      </c>
      <c r="G744" s="1" t="s">
        <v>91</v>
      </c>
      <c r="H744" s="1" t="s">
        <v>92</v>
      </c>
      <c r="I744" s="1" t="s">
        <v>1868</v>
      </c>
      <c r="J744" s="1" t="s">
        <v>1869</v>
      </c>
      <c r="K744" s="1" t="s">
        <v>1869</v>
      </c>
      <c r="M744" s="1">
        <v>-1.0</v>
      </c>
      <c r="O744" s="1">
        <v>6.23145</v>
      </c>
    </row>
    <row r="745" ht="15.75" customHeight="1">
      <c r="A745" s="4">
        <v>45534.0</v>
      </c>
      <c r="B745" s="1" t="s">
        <v>103</v>
      </c>
      <c r="C745" s="1" t="s">
        <v>104</v>
      </c>
      <c r="D745" s="1">
        <v>356.0</v>
      </c>
      <c r="E745" s="1">
        <v>0.0</v>
      </c>
      <c r="G745" s="1" t="s">
        <v>91</v>
      </c>
      <c r="H745" s="1" t="s">
        <v>92</v>
      </c>
      <c r="I745" s="1" t="s">
        <v>1870</v>
      </c>
      <c r="J745" s="1" t="s">
        <v>1871</v>
      </c>
      <c r="K745" s="1" t="s">
        <v>1871</v>
      </c>
      <c r="M745" s="1">
        <v>-1.0</v>
      </c>
      <c r="O745" s="1">
        <v>5.9687</v>
      </c>
    </row>
    <row r="746" ht="15.75" hidden="1" customHeight="1">
      <c r="A746" s="4">
        <v>45534.0</v>
      </c>
      <c r="B746" s="1" t="s">
        <v>88</v>
      </c>
      <c r="C746" s="1" t="s">
        <v>89</v>
      </c>
      <c r="D746" s="1">
        <v>1673.0</v>
      </c>
      <c r="E746" s="1">
        <v>0.0</v>
      </c>
      <c r="F746" s="1" t="s">
        <v>90</v>
      </c>
      <c r="G746" s="1" t="s">
        <v>91</v>
      </c>
      <c r="H746" s="1" t="s">
        <v>92</v>
      </c>
      <c r="I746" s="1" t="s">
        <v>1872</v>
      </c>
      <c r="J746" s="1" t="s">
        <v>1873</v>
      </c>
      <c r="K746" s="1" t="s">
        <v>1873</v>
      </c>
      <c r="M746" s="1">
        <v>-2.0</v>
      </c>
      <c r="O746" s="1">
        <v>17.923883333333333</v>
      </c>
    </row>
    <row r="747" ht="15.75" hidden="1" customHeight="1">
      <c r="A747" s="4">
        <v>45534.0</v>
      </c>
      <c r="B747" s="1" t="s">
        <v>88</v>
      </c>
      <c r="C747" s="1" t="s">
        <v>89</v>
      </c>
      <c r="D747" s="1">
        <v>264.0</v>
      </c>
      <c r="E747" s="1">
        <v>0.0</v>
      </c>
      <c r="F747" s="1" t="s">
        <v>90</v>
      </c>
      <c r="G747" s="1" t="s">
        <v>91</v>
      </c>
      <c r="H747" s="1" t="s">
        <v>92</v>
      </c>
      <c r="I747" s="1" t="s">
        <v>1874</v>
      </c>
      <c r="J747" s="1" t="s">
        <v>1875</v>
      </c>
      <c r="K747" s="1" t="s">
        <v>1875</v>
      </c>
      <c r="M747" s="1">
        <v>-9.0</v>
      </c>
      <c r="O747" s="1">
        <v>5.791783333333333</v>
      </c>
    </row>
    <row r="748" ht="15.75" hidden="1" customHeight="1">
      <c r="A748" s="4">
        <v>45534.0</v>
      </c>
      <c r="B748" s="1" t="s">
        <v>88</v>
      </c>
      <c r="C748" s="1" t="s">
        <v>89</v>
      </c>
      <c r="D748" s="1">
        <v>528.0</v>
      </c>
      <c r="E748" s="1">
        <v>0.0</v>
      </c>
      <c r="F748" s="1" t="s">
        <v>90</v>
      </c>
      <c r="G748" s="1" t="s">
        <v>91</v>
      </c>
      <c r="H748" s="1" t="s">
        <v>92</v>
      </c>
      <c r="I748" s="1" t="s">
        <v>1876</v>
      </c>
      <c r="J748" s="1" t="s">
        <v>1877</v>
      </c>
      <c r="K748" s="1" t="s">
        <v>1877</v>
      </c>
      <c r="M748" s="1">
        <v>-11.0</v>
      </c>
      <c r="O748" s="1">
        <v>8.639383333333333</v>
      </c>
    </row>
    <row r="749" ht="15.75" hidden="1" customHeight="1">
      <c r="A749" s="4">
        <v>45534.0</v>
      </c>
      <c r="B749" s="1" t="s">
        <v>103</v>
      </c>
      <c r="C749" s="1" t="s">
        <v>104</v>
      </c>
      <c r="D749" s="1">
        <v>299.0</v>
      </c>
      <c r="E749" s="1">
        <v>0.0</v>
      </c>
      <c r="G749" s="1" t="s">
        <v>91</v>
      </c>
      <c r="H749" s="1" t="s">
        <v>98</v>
      </c>
      <c r="I749" s="1" t="s">
        <v>1878</v>
      </c>
      <c r="J749" s="1" t="s">
        <v>1879</v>
      </c>
      <c r="K749" s="1" t="s">
        <v>1879</v>
      </c>
      <c r="M749" s="1">
        <v>4.0</v>
      </c>
      <c r="O749" s="1">
        <v>11.271366666666667</v>
      </c>
    </row>
    <row r="750" ht="15.75" hidden="1" customHeight="1">
      <c r="A750" s="4">
        <v>45534.0</v>
      </c>
      <c r="B750" s="1" t="s">
        <v>88</v>
      </c>
      <c r="C750" s="1" t="s">
        <v>89</v>
      </c>
      <c r="D750" s="1">
        <v>258.0</v>
      </c>
      <c r="E750" s="1">
        <v>0.0</v>
      </c>
      <c r="F750" s="1" t="s">
        <v>90</v>
      </c>
      <c r="G750" s="1" t="s">
        <v>91</v>
      </c>
      <c r="H750" s="1" t="s">
        <v>92</v>
      </c>
      <c r="I750" s="1" t="s">
        <v>1880</v>
      </c>
      <c r="J750" s="1" t="s">
        <v>1881</v>
      </c>
      <c r="K750" s="1" t="s">
        <v>1881</v>
      </c>
      <c r="M750" s="1">
        <v>-3.0</v>
      </c>
      <c r="O750" s="1">
        <v>11.96275</v>
      </c>
    </row>
    <row r="751" ht="15.75" hidden="1" customHeight="1">
      <c r="A751" s="4">
        <v>45534.0</v>
      </c>
      <c r="B751" s="1" t="s">
        <v>95</v>
      </c>
      <c r="C751" s="1" t="s">
        <v>89</v>
      </c>
      <c r="D751" s="1">
        <v>368.0</v>
      </c>
      <c r="E751" s="1">
        <v>0.0</v>
      </c>
      <c r="F751" s="1" t="s">
        <v>54</v>
      </c>
      <c r="G751" s="1" t="s">
        <v>97</v>
      </c>
      <c r="H751" s="1" t="s">
        <v>98</v>
      </c>
      <c r="I751" s="1" t="s">
        <v>1882</v>
      </c>
      <c r="J751" s="1" t="s">
        <v>1883</v>
      </c>
      <c r="K751" s="1" t="s">
        <v>1884</v>
      </c>
      <c r="L751" s="1" t="s">
        <v>1885</v>
      </c>
      <c r="M751" s="1">
        <v>-9.0</v>
      </c>
      <c r="N751" s="1">
        <v>0.0135</v>
      </c>
      <c r="O751" s="1">
        <v>7.81235</v>
      </c>
    </row>
    <row r="752" ht="15.75" customHeight="1">
      <c r="A752" s="4">
        <v>45534.0</v>
      </c>
      <c r="B752" s="1" t="s">
        <v>103</v>
      </c>
      <c r="C752" s="1" t="s">
        <v>104</v>
      </c>
      <c r="D752" s="1">
        <v>424.0</v>
      </c>
      <c r="E752" s="1">
        <v>0.0</v>
      </c>
      <c r="G752" s="1" t="s">
        <v>91</v>
      </c>
      <c r="H752" s="1" t="s">
        <v>92</v>
      </c>
      <c r="I752" s="1" t="s">
        <v>1886</v>
      </c>
      <c r="J752" s="1" t="s">
        <v>1887</v>
      </c>
      <c r="K752" s="1" t="s">
        <v>1887</v>
      </c>
      <c r="M752" s="1">
        <v>2.0</v>
      </c>
      <c r="O752" s="1">
        <v>10.09455</v>
      </c>
    </row>
    <row r="753" ht="15.75" hidden="1" customHeight="1">
      <c r="A753" s="4">
        <v>45534.0</v>
      </c>
      <c r="B753" s="1" t="s">
        <v>88</v>
      </c>
      <c r="C753" s="1" t="s">
        <v>89</v>
      </c>
      <c r="D753" s="1">
        <v>179.0</v>
      </c>
      <c r="E753" s="1">
        <v>0.0</v>
      </c>
      <c r="F753" s="1" t="s">
        <v>90</v>
      </c>
      <c r="G753" s="1" t="s">
        <v>91</v>
      </c>
      <c r="H753" s="1" t="s">
        <v>92</v>
      </c>
      <c r="I753" s="1" t="s">
        <v>1888</v>
      </c>
      <c r="J753" s="1" t="s">
        <v>1889</v>
      </c>
      <c r="K753" s="1" t="s">
        <v>1889</v>
      </c>
      <c r="M753" s="1">
        <v>-6.0</v>
      </c>
      <c r="O753" s="1">
        <v>8.31265</v>
      </c>
    </row>
    <row r="754" ht="15.75" hidden="1" customHeight="1">
      <c r="A754" s="4">
        <v>45534.0</v>
      </c>
      <c r="B754" s="1" t="s">
        <v>107</v>
      </c>
      <c r="C754" s="1" t="s">
        <v>104</v>
      </c>
      <c r="D754" s="1">
        <v>313.0</v>
      </c>
      <c r="E754" s="1">
        <v>0.0</v>
      </c>
      <c r="F754" s="1" t="s">
        <v>1890</v>
      </c>
      <c r="G754" s="1" t="s">
        <v>91</v>
      </c>
      <c r="H754" s="1" t="s">
        <v>92</v>
      </c>
      <c r="I754" s="1" t="s">
        <v>1891</v>
      </c>
      <c r="J754" s="1" t="s">
        <v>1892</v>
      </c>
      <c r="K754" s="1" t="s">
        <v>1892</v>
      </c>
      <c r="M754" s="1">
        <v>-6.0</v>
      </c>
      <c r="O754" s="1">
        <v>8.388866666666667</v>
      </c>
    </row>
    <row r="755" ht="15.75" hidden="1" customHeight="1">
      <c r="A755" s="4">
        <v>45534.0</v>
      </c>
      <c r="B755" s="1" t="s">
        <v>88</v>
      </c>
      <c r="C755" s="1" t="s">
        <v>89</v>
      </c>
      <c r="D755" s="1">
        <v>264.0</v>
      </c>
      <c r="E755" s="1">
        <v>0.0</v>
      </c>
      <c r="F755" s="1" t="s">
        <v>90</v>
      </c>
      <c r="G755" s="1" t="s">
        <v>91</v>
      </c>
      <c r="H755" s="1" t="s">
        <v>92</v>
      </c>
      <c r="I755" s="1" t="s">
        <v>1893</v>
      </c>
      <c r="J755" s="1" t="s">
        <v>1894</v>
      </c>
      <c r="K755" s="1" t="s">
        <v>1894</v>
      </c>
      <c r="M755" s="1">
        <v>3.0</v>
      </c>
      <c r="O755" s="1">
        <v>18.82855</v>
      </c>
    </row>
    <row r="756" ht="15.75" hidden="1" customHeight="1">
      <c r="A756" s="4">
        <v>45534.0</v>
      </c>
      <c r="B756" s="1" t="s">
        <v>107</v>
      </c>
      <c r="C756" s="1" t="s">
        <v>104</v>
      </c>
      <c r="D756" s="1">
        <v>409.0</v>
      </c>
      <c r="E756" s="1">
        <v>0.0</v>
      </c>
      <c r="F756" s="1" t="s">
        <v>1552</v>
      </c>
      <c r="G756" s="1" t="s">
        <v>91</v>
      </c>
      <c r="H756" s="1" t="s">
        <v>92</v>
      </c>
      <c r="I756" s="1" t="s">
        <v>1895</v>
      </c>
      <c r="J756" s="1" t="s">
        <v>1896</v>
      </c>
      <c r="K756" s="1" t="s">
        <v>1896</v>
      </c>
      <c r="M756" s="1">
        <v>-7.0</v>
      </c>
      <c r="O756" s="1">
        <v>7.4282</v>
      </c>
    </row>
    <row r="757" ht="15.75" hidden="1" customHeight="1">
      <c r="A757" s="4">
        <v>45534.0</v>
      </c>
      <c r="B757" s="1" t="s">
        <v>228</v>
      </c>
      <c r="C757" s="1" t="s">
        <v>89</v>
      </c>
      <c r="D757" s="1">
        <v>498.0</v>
      </c>
      <c r="E757" s="1">
        <v>0.0</v>
      </c>
      <c r="G757" s="1" t="s">
        <v>119</v>
      </c>
      <c r="H757" s="1" t="s">
        <v>98</v>
      </c>
      <c r="I757" s="1" t="s">
        <v>1897</v>
      </c>
      <c r="J757" s="1" t="s">
        <v>1898</v>
      </c>
      <c r="K757" s="1" t="s">
        <v>1898</v>
      </c>
      <c r="M757" s="1">
        <v>2.0</v>
      </c>
      <c r="O757" s="1">
        <v>7.268233333333334</v>
      </c>
    </row>
    <row r="758" ht="15.75" hidden="1" customHeight="1">
      <c r="A758" s="4">
        <v>45534.0</v>
      </c>
      <c r="B758" s="1" t="s">
        <v>95</v>
      </c>
      <c r="C758" s="1" t="s">
        <v>104</v>
      </c>
      <c r="D758" s="1">
        <v>280.0</v>
      </c>
      <c r="E758" s="1">
        <v>104.0</v>
      </c>
      <c r="G758" s="1" t="s">
        <v>119</v>
      </c>
      <c r="H758" s="1" t="s">
        <v>92</v>
      </c>
      <c r="I758" s="1" t="s">
        <v>1899</v>
      </c>
      <c r="J758" s="1" t="s">
        <v>1900</v>
      </c>
      <c r="K758" s="1" t="s">
        <v>1900</v>
      </c>
      <c r="M758" s="1">
        <v>-4.0</v>
      </c>
      <c r="O758" s="1">
        <v>105.08908333333333</v>
      </c>
    </row>
    <row r="759" ht="15.75" hidden="1" customHeight="1">
      <c r="A759" s="4">
        <v>45534.0</v>
      </c>
      <c r="B759" s="1" t="s">
        <v>95</v>
      </c>
      <c r="C759" s="1" t="s">
        <v>89</v>
      </c>
      <c r="D759" s="1">
        <v>215.0</v>
      </c>
      <c r="E759" s="1">
        <v>54.0</v>
      </c>
      <c r="G759" s="1" t="s">
        <v>119</v>
      </c>
      <c r="H759" s="1" t="s">
        <v>213</v>
      </c>
      <c r="I759" s="1" t="s">
        <v>1901</v>
      </c>
      <c r="J759" s="1" t="s">
        <v>1902</v>
      </c>
      <c r="K759" s="1" t="s">
        <v>1902</v>
      </c>
      <c r="M759" s="1">
        <v>-11.0</v>
      </c>
      <c r="O759" s="1">
        <v>7.120833333333334</v>
      </c>
    </row>
    <row r="760" ht="15.75" hidden="1" customHeight="1">
      <c r="A760" s="4">
        <v>45534.0</v>
      </c>
      <c r="B760" s="1" t="s">
        <v>88</v>
      </c>
      <c r="C760" s="1" t="s">
        <v>89</v>
      </c>
      <c r="D760" s="1">
        <v>294.0</v>
      </c>
      <c r="E760" s="1">
        <v>0.0</v>
      </c>
      <c r="F760" s="1" t="s">
        <v>90</v>
      </c>
      <c r="G760" s="1" t="s">
        <v>91</v>
      </c>
      <c r="H760" s="1" t="s">
        <v>92</v>
      </c>
      <c r="I760" s="1" t="s">
        <v>1903</v>
      </c>
      <c r="J760" s="1" t="s">
        <v>1904</v>
      </c>
      <c r="K760" s="1" t="s">
        <v>1904</v>
      </c>
      <c r="M760" s="1">
        <v>-6.0</v>
      </c>
      <c r="O760" s="1">
        <v>8.241333333333333</v>
      </c>
    </row>
    <row r="761" ht="15.75" customHeight="1">
      <c r="A761" s="4">
        <v>45534.0</v>
      </c>
      <c r="B761" s="1" t="s">
        <v>103</v>
      </c>
      <c r="C761" s="1" t="s">
        <v>104</v>
      </c>
      <c r="D761" s="1">
        <v>329.0</v>
      </c>
      <c r="E761" s="1">
        <v>0.0</v>
      </c>
      <c r="G761" s="1" t="s">
        <v>91</v>
      </c>
      <c r="H761" s="1" t="s">
        <v>92</v>
      </c>
      <c r="I761" s="1" t="s">
        <v>1905</v>
      </c>
      <c r="J761" s="1" t="s">
        <v>1906</v>
      </c>
      <c r="K761" s="1" t="s">
        <v>1906</v>
      </c>
      <c r="M761" s="1">
        <v>-1.0</v>
      </c>
      <c r="O761" s="1">
        <v>5.638516666666667</v>
      </c>
    </row>
    <row r="762" ht="15.75" customHeight="1">
      <c r="A762" s="4">
        <v>45534.0</v>
      </c>
      <c r="B762" s="1" t="s">
        <v>103</v>
      </c>
      <c r="C762" s="1" t="s">
        <v>89</v>
      </c>
      <c r="D762" s="1">
        <v>289.0</v>
      </c>
      <c r="E762" s="1">
        <v>0.0</v>
      </c>
      <c r="G762" s="1" t="s">
        <v>91</v>
      </c>
      <c r="H762" s="1" t="s">
        <v>92</v>
      </c>
      <c r="I762" s="1" t="s">
        <v>1907</v>
      </c>
      <c r="J762" s="1" t="s">
        <v>1908</v>
      </c>
      <c r="K762" s="1" t="s">
        <v>1908</v>
      </c>
      <c r="M762" s="1">
        <v>-2.0</v>
      </c>
      <c r="O762" s="1">
        <v>5.831533333333334</v>
      </c>
    </row>
    <row r="763" ht="15.75" customHeight="1">
      <c r="A763" s="4">
        <v>45534.0</v>
      </c>
      <c r="B763" s="1" t="s">
        <v>103</v>
      </c>
      <c r="C763" s="1" t="s">
        <v>89</v>
      </c>
      <c r="D763" s="1">
        <v>329.0</v>
      </c>
      <c r="E763" s="1">
        <v>0.0</v>
      </c>
      <c r="G763" s="1" t="s">
        <v>91</v>
      </c>
      <c r="H763" s="1" t="s">
        <v>92</v>
      </c>
      <c r="I763" s="1" t="s">
        <v>1909</v>
      </c>
      <c r="J763" s="1" t="s">
        <v>1910</v>
      </c>
      <c r="K763" s="1" t="s">
        <v>1910</v>
      </c>
      <c r="M763" s="1">
        <v>0.0</v>
      </c>
      <c r="O763" s="1">
        <v>7.401683333333334</v>
      </c>
    </row>
    <row r="764" ht="15.75" customHeight="1">
      <c r="A764" s="4">
        <v>45534.0</v>
      </c>
      <c r="B764" s="1" t="s">
        <v>103</v>
      </c>
      <c r="C764" s="1" t="s">
        <v>89</v>
      </c>
      <c r="D764" s="1">
        <v>264.0</v>
      </c>
      <c r="E764" s="1">
        <v>0.0</v>
      </c>
      <c r="G764" s="1" t="s">
        <v>91</v>
      </c>
      <c r="H764" s="1" t="s">
        <v>92</v>
      </c>
      <c r="I764" s="1" t="s">
        <v>1911</v>
      </c>
      <c r="J764" s="1" t="s">
        <v>1912</v>
      </c>
      <c r="K764" s="1" t="s">
        <v>1912</v>
      </c>
      <c r="M764" s="1">
        <v>0.0</v>
      </c>
      <c r="O764" s="1">
        <v>5.8038</v>
      </c>
    </row>
    <row r="765" ht="15.75" hidden="1" customHeight="1">
      <c r="A765" s="4">
        <v>45534.0</v>
      </c>
      <c r="B765" s="1" t="s">
        <v>88</v>
      </c>
      <c r="C765" s="1" t="s">
        <v>89</v>
      </c>
      <c r="D765" s="1">
        <v>129.0</v>
      </c>
      <c r="E765" s="1">
        <v>0.0</v>
      </c>
      <c r="F765" s="1" t="s">
        <v>90</v>
      </c>
      <c r="G765" s="1" t="s">
        <v>91</v>
      </c>
      <c r="H765" s="1" t="s">
        <v>92</v>
      </c>
      <c r="I765" s="1" t="s">
        <v>1913</v>
      </c>
      <c r="J765" s="1" t="s">
        <v>1914</v>
      </c>
      <c r="K765" s="1" t="s">
        <v>1914</v>
      </c>
      <c r="M765" s="1">
        <v>-2.0</v>
      </c>
      <c r="O765" s="1">
        <v>12.384766666666666</v>
      </c>
    </row>
    <row r="766" ht="15.75" hidden="1" customHeight="1">
      <c r="A766" s="4">
        <v>45534.0</v>
      </c>
      <c r="B766" s="1" t="s">
        <v>88</v>
      </c>
      <c r="C766" s="1" t="s">
        <v>89</v>
      </c>
      <c r="D766" s="1">
        <v>364.0</v>
      </c>
      <c r="E766" s="1">
        <v>0.0</v>
      </c>
      <c r="F766" s="1" t="s">
        <v>90</v>
      </c>
      <c r="G766" s="1" t="s">
        <v>91</v>
      </c>
      <c r="H766" s="1" t="s">
        <v>92</v>
      </c>
      <c r="I766" s="1" t="s">
        <v>1915</v>
      </c>
      <c r="J766" s="1" t="s">
        <v>1916</v>
      </c>
      <c r="K766" s="1" t="s">
        <v>1916</v>
      </c>
      <c r="M766" s="1">
        <v>-8.0</v>
      </c>
      <c r="O766" s="1">
        <v>6.390266666666666</v>
      </c>
    </row>
    <row r="767" ht="15.75" hidden="1" customHeight="1">
      <c r="A767" s="4">
        <v>45534.0</v>
      </c>
      <c r="B767" s="1" t="s">
        <v>103</v>
      </c>
      <c r="C767" s="1" t="s">
        <v>104</v>
      </c>
      <c r="D767" s="1">
        <v>279.0</v>
      </c>
      <c r="E767" s="1">
        <v>100.0</v>
      </c>
      <c r="G767" s="1" t="s">
        <v>91</v>
      </c>
      <c r="H767" s="1" t="s">
        <v>98</v>
      </c>
      <c r="I767" s="1" t="s">
        <v>1917</v>
      </c>
      <c r="J767" s="1" t="s">
        <v>1918</v>
      </c>
      <c r="K767" s="1" t="s">
        <v>1918</v>
      </c>
      <c r="M767" s="1">
        <v>0.0</v>
      </c>
      <c r="O767" s="1">
        <v>7.406633333333334</v>
      </c>
    </row>
    <row r="768" ht="15.75" hidden="1" customHeight="1">
      <c r="A768" s="4">
        <v>45534.0</v>
      </c>
      <c r="B768" s="1" t="s">
        <v>88</v>
      </c>
      <c r="C768" s="1" t="s">
        <v>89</v>
      </c>
      <c r="D768" s="1">
        <v>329.0</v>
      </c>
      <c r="E768" s="1">
        <v>0.0</v>
      </c>
      <c r="F768" s="1" t="s">
        <v>90</v>
      </c>
      <c r="G768" s="1" t="s">
        <v>91</v>
      </c>
      <c r="H768" s="1" t="s">
        <v>92</v>
      </c>
      <c r="I768" s="1" t="s">
        <v>1919</v>
      </c>
      <c r="J768" s="1" t="s">
        <v>1920</v>
      </c>
      <c r="K768" s="1" t="s">
        <v>1920</v>
      </c>
      <c r="M768" s="1">
        <v>-4.0</v>
      </c>
      <c r="O768" s="1">
        <v>10.554116666666667</v>
      </c>
    </row>
    <row r="769" ht="15.75" hidden="1" customHeight="1">
      <c r="A769" s="4">
        <v>45534.0</v>
      </c>
      <c r="B769" s="1" t="s">
        <v>95</v>
      </c>
      <c r="C769" s="1" t="s">
        <v>89</v>
      </c>
      <c r="D769" s="1">
        <v>213.0</v>
      </c>
      <c r="E769" s="1">
        <v>53.0</v>
      </c>
      <c r="G769" s="1" t="s">
        <v>119</v>
      </c>
      <c r="H769" s="1" t="s">
        <v>213</v>
      </c>
      <c r="I769" s="1" t="s">
        <v>1921</v>
      </c>
      <c r="J769" s="1" t="s">
        <v>1922</v>
      </c>
      <c r="K769" s="1" t="s">
        <v>1922</v>
      </c>
      <c r="M769" s="1">
        <v>-10.0</v>
      </c>
      <c r="O769" s="1">
        <v>14.049466666666667</v>
      </c>
    </row>
    <row r="770" ht="15.75" hidden="1" customHeight="1">
      <c r="A770" s="4">
        <v>45534.0</v>
      </c>
      <c r="B770" s="1" t="s">
        <v>95</v>
      </c>
      <c r="C770" s="1" t="s">
        <v>89</v>
      </c>
      <c r="D770" s="1">
        <v>562.0</v>
      </c>
      <c r="E770" s="1">
        <v>0.0</v>
      </c>
      <c r="F770" s="1" t="s">
        <v>54</v>
      </c>
      <c r="G770" s="1" t="s">
        <v>97</v>
      </c>
      <c r="H770" s="1" t="s">
        <v>92</v>
      </c>
      <c r="I770" s="1" t="s">
        <v>1923</v>
      </c>
      <c r="J770" s="1" t="s">
        <v>1924</v>
      </c>
      <c r="K770" s="1" t="s">
        <v>1925</v>
      </c>
      <c r="L770" s="1" t="s">
        <v>1926</v>
      </c>
      <c r="M770" s="1">
        <v>-10.0</v>
      </c>
      <c r="N770" s="1">
        <v>0.011133333333333334</v>
      </c>
      <c r="O770" s="1">
        <v>18.3896</v>
      </c>
    </row>
    <row r="771" ht="15.75" customHeight="1">
      <c r="A771" s="4">
        <v>45534.0</v>
      </c>
      <c r="B771" s="1" t="s">
        <v>103</v>
      </c>
      <c r="C771" s="1" t="s">
        <v>104</v>
      </c>
      <c r="D771" s="1">
        <v>394.0</v>
      </c>
      <c r="E771" s="1">
        <v>0.0</v>
      </c>
      <c r="G771" s="1" t="s">
        <v>91</v>
      </c>
      <c r="H771" s="1" t="s">
        <v>92</v>
      </c>
      <c r="I771" s="1" t="s">
        <v>1927</v>
      </c>
      <c r="J771" s="1" t="s">
        <v>1928</v>
      </c>
      <c r="K771" s="1" t="s">
        <v>1928</v>
      </c>
      <c r="M771" s="1">
        <v>1.0</v>
      </c>
      <c r="O771" s="1">
        <v>9.7269</v>
      </c>
    </row>
    <row r="772" ht="15.75" hidden="1" customHeight="1">
      <c r="A772" s="4">
        <v>45534.0</v>
      </c>
      <c r="B772" s="1" t="s">
        <v>228</v>
      </c>
      <c r="C772" s="1" t="s">
        <v>89</v>
      </c>
      <c r="D772" s="1">
        <v>309.0</v>
      </c>
      <c r="E772" s="1">
        <v>0.0</v>
      </c>
      <c r="G772" s="1" t="s">
        <v>119</v>
      </c>
      <c r="H772" s="1" t="s">
        <v>98</v>
      </c>
      <c r="I772" s="1" t="s">
        <v>1929</v>
      </c>
      <c r="J772" s="1" t="s">
        <v>1930</v>
      </c>
      <c r="K772" s="1" t="s">
        <v>1930</v>
      </c>
      <c r="M772" s="1">
        <v>2.0</v>
      </c>
      <c r="O772" s="1">
        <v>7.359816666666666</v>
      </c>
    </row>
    <row r="773" ht="15.75" hidden="1" customHeight="1">
      <c r="A773" s="4">
        <v>45534.0</v>
      </c>
      <c r="B773" s="1" t="s">
        <v>107</v>
      </c>
      <c r="C773" s="1" t="s">
        <v>104</v>
      </c>
      <c r="D773" s="1">
        <v>394.0</v>
      </c>
      <c r="E773" s="1">
        <v>0.0</v>
      </c>
      <c r="F773" s="1" t="s">
        <v>1345</v>
      </c>
      <c r="G773" s="1" t="s">
        <v>91</v>
      </c>
      <c r="H773" s="1" t="s">
        <v>92</v>
      </c>
      <c r="I773" s="1" t="s">
        <v>1931</v>
      </c>
      <c r="J773" s="1" t="s">
        <v>1932</v>
      </c>
      <c r="K773" s="1" t="s">
        <v>1932</v>
      </c>
      <c r="M773" s="1">
        <v>-2.0</v>
      </c>
      <c r="O773" s="1">
        <v>12.288766666666668</v>
      </c>
    </row>
    <row r="774" ht="15.75" hidden="1" customHeight="1">
      <c r="A774" s="4">
        <v>45534.0</v>
      </c>
      <c r="B774" s="1" t="s">
        <v>95</v>
      </c>
      <c r="C774" s="1" t="s">
        <v>89</v>
      </c>
      <c r="D774" s="1">
        <v>781.0</v>
      </c>
      <c r="E774" s="1">
        <v>195.0</v>
      </c>
      <c r="G774" s="1" t="s">
        <v>119</v>
      </c>
      <c r="H774" s="1" t="s">
        <v>98</v>
      </c>
      <c r="I774" s="1" t="s">
        <v>1933</v>
      </c>
      <c r="J774" s="1" t="s">
        <v>1934</v>
      </c>
      <c r="K774" s="1" t="s">
        <v>1934</v>
      </c>
      <c r="M774" s="1">
        <v>-7.0</v>
      </c>
      <c r="O774" s="1">
        <v>16.557183333333334</v>
      </c>
    </row>
    <row r="775" ht="15.75" customHeight="1">
      <c r="A775" s="4">
        <v>45534.0</v>
      </c>
      <c r="B775" s="1" t="s">
        <v>103</v>
      </c>
      <c r="C775" s="1" t="s">
        <v>104</v>
      </c>
      <c r="D775" s="1">
        <v>184.0</v>
      </c>
      <c r="E775" s="1">
        <v>0.0</v>
      </c>
      <c r="G775" s="1" t="s">
        <v>91</v>
      </c>
      <c r="H775" s="1" t="s">
        <v>92</v>
      </c>
      <c r="I775" s="1" t="s">
        <v>1935</v>
      </c>
      <c r="J775" s="1" t="s">
        <v>1936</v>
      </c>
      <c r="K775" s="1" t="s">
        <v>1936</v>
      </c>
      <c r="M775" s="1">
        <v>1.0</v>
      </c>
      <c r="O775" s="1">
        <v>7.006366666666667</v>
      </c>
    </row>
    <row r="776" ht="15.75" hidden="1" customHeight="1">
      <c r="A776" s="4">
        <v>45534.0</v>
      </c>
      <c r="B776" s="1" t="s">
        <v>228</v>
      </c>
      <c r="C776" s="1" t="s">
        <v>89</v>
      </c>
      <c r="D776" s="1">
        <v>249.0</v>
      </c>
      <c r="E776" s="1">
        <v>0.0</v>
      </c>
      <c r="G776" s="1" t="s">
        <v>119</v>
      </c>
      <c r="H776" s="1" t="s">
        <v>98</v>
      </c>
      <c r="I776" s="1" t="s">
        <v>1937</v>
      </c>
      <c r="J776" s="1" t="s">
        <v>1938</v>
      </c>
      <c r="K776" s="1" t="s">
        <v>1938</v>
      </c>
      <c r="M776" s="1">
        <v>2.0</v>
      </c>
      <c r="O776" s="1">
        <v>7.257816666666667</v>
      </c>
    </row>
    <row r="777" ht="15.75" hidden="1" customHeight="1">
      <c r="A777" s="4">
        <v>45534.0</v>
      </c>
      <c r="B777" s="1" t="s">
        <v>88</v>
      </c>
      <c r="C777" s="1" t="s">
        <v>89</v>
      </c>
      <c r="D777" s="1">
        <v>618.0</v>
      </c>
      <c r="E777" s="1">
        <v>0.0</v>
      </c>
      <c r="F777" s="1" t="s">
        <v>90</v>
      </c>
      <c r="G777" s="1" t="s">
        <v>91</v>
      </c>
      <c r="H777" s="1" t="s">
        <v>92</v>
      </c>
      <c r="I777" s="1" t="s">
        <v>1939</v>
      </c>
      <c r="J777" s="1" t="s">
        <v>1940</v>
      </c>
      <c r="K777" s="1" t="s">
        <v>1940</v>
      </c>
      <c r="M777" s="1">
        <v>-7.0</v>
      </c>
      <c r="O777" s="1">
        <v>12.321216666666666</v>
      </c>
    </row>
    <row r="778" ht="15.75" hidden="1" customHeight="1">
      <c r="A778" s="4">
        <v>45534.0</v>
      </c>
      <c r="B778" s="1" t="s">
        <v>88</v>
      </c>
      <c r="C778" s="1" t="s">
        <v>89</v>
      </c>
      <c r="D778" s="1">
        <v>329.0</v>
      </c>
      <c r="E778" s="1">
        <v>0.0</v>
      </c>
      <c r="F778" s="1" t="s">
        <v>90</v>
      </c>
      <c r="G778" s="1" t="s">
        <v>91</v>
      </c>
      <c r="H778" s="1" t="s">
        <v>92</v>
      </c>
      <c r="I778" s="1" t="s">
        <v>1941</v>
      </c>
      <c r="J778" s="1" t="s">
        <v>1942</v>
      </c>
      <c r="K778" s="1" t="s">
        <v>1942</v>
      </c>
      <c r="M778" s="1">
        <v>-3.0</v>
      </c>
      <c r="O778" s="1">
        <v>11.309883333333334</v>
      </c>
    </row>
    <row r="779" ht="15.75" hidden="1" customHeight="1">
      <c r="A779" s="4">
        <v>45534.0</v>
      </c>
      <c r="B779" s="1" t="s">
        <v>95</v>
      </c>
      <c r="C779" s="1" t="s">
        <v>89</v>
      </c>
      <c r="D779" s="1">
        <v>398.0</v>
      </c>
      <c r="E779" s="1">
        <v>100.0</v>
      </c>
      <c r="G779" s="1" t="s">
        <v>119</v>
      </c>
      <c r="H779" s="1" t="s">
        <v>92</v>
      </c>
      <c r="I779" s="1" t="s">
        <v>1943</v>
      </c>
      <c r="J779" s="1" t="s">
        <v>1944</v>
      </c>
      <c r="K779" s="1" t="s">
        <v>1944</v>
      </c>
      <c r="M779" s="1">
        <v>-10.0</v>
      </c>
      <c r="O779" s="1">
        <v>8.134</v>
      </c>
    </row>
    <row r="780" ht="15.75" hidden="1" customHeight="1">
      <c r="A780" s="4">
        <v>45534.0</v>
      </c>
      <c r="B780" s="1" t="s">
        <v>95</v>
      </c>
      <c r="C780" s="1" t="s">
        <v>89</v>
      </c>
      <c r="D780" s="1">
        <v>418.0</v>
      </c>
      <c r="E780" s="1">
        <v>100.0</v>
      </c>
      <c r="G780" s="1" t="s">
        <v>119</v>
      </c>
      <c r="H780" s="1" t="s">
        <v>92</v>
      </c>
      <c r="I780" s="1" t="s">
        <v>1945</v>
      </c>
      <c r="J780" s="1" t="s">
        <v>1946</v>
      </c>
      <c r="K780" s="1" t="s">
        <v>1946</v>
      </c>
      <c r="M780" s="1">
        <v>-11.0</v>
      </c>
      <c r="O780" s="1">
        <v>7.104583333333333</v>
      </c>
    </row>
    <row r="781" ht="15.75" hidden="1" customHeight="1">
      <c r="A781" s="4">
        <v>45534.0</v>
      </c>
      <c r="B781" s="1" t="s">
        <v>95</v>
      </c>
      <c r="C781" s="1" t="s">
        <v>89</v>
      </c>
      <c r="D781" s="1">
        <v>547.0</v>
      </c>
      <c r="E781" s="1">
        <v>0.0</v>
      </c>
      <c r="F781" s="1" t="s">
        <v>54</v>
      </c>
      <c r="G781" s="1" t="s">
        <v>97</v>
      </c>
      <c r="H781" s="1" t="s">
        <v>98</v>
      </c>
      <c r="I781" s="1" t="s">
        <v>1947</v>
      </c>
      <c r="J781" s="1" t="s">
        <v>1948</v>
      </c>
      <c r="K781" s="1" t="s">
        <v>1949</v>
      </c>
      <c r="L781" s="1" t="s">
        <v>1950</v>
      </c>
      <c r="M781" s="1">
        <v>-12.0</v>
      </c>
      <c r="N781" s="1">
        <v>0.009716666666666667</v>
      </c>
      <c r="O781" s="1">
        <v>8.0084</v>
      </c>
    </row>
    <row r="782" ht="15.75" hidden="1" customHeight="1">
      <c r="A782" s="4">
        <v>45534.0</v>
      </c>
      <c r="B782" s="1" t="s">
        <v>88</v>
      </c>
      <c r="C782" s="1" t="s">
        <v>89</v>
      </c>
      <c r="D782" s="1">
        <v>264.0</v>
      </c>
      <c r="E782" s="1">
        <v>0.0</v>
      </c>
      <c r="F782" s="1" t="s">
        <v>90</v>
      </c>
      <c r="G782" s="1" t="s">
        <v>91</v>
      </c>
      <c r="H782" s="1" t="s">
        <v>92</v>
      </c>
      <c r="I782" s="1" t="s">
        <v>1951</v>
      </c>
      <c r="J782" s="1" t="s">
        <v>1952</v>
      </c>
      <c r="K782" s="1" t="s">
        <v>1952</v>
      </c>
      <c r="M782" s="1">
        <v>-6.0</v>
      </c>
      <c r="O782" s="1">
        <v>8.742133333333333</v>
      </c>
    </row>
    <row r="783" ht="15.75" customHeight="1">
      <c r="A783" s="4">
        <v>45534.0</v>
      </c>
      <c r="B783" s="1" t="s">
        <v>103</v>
      </c>
      <c r="C783" s="1" t="s">
        <v>104</v>
      </c>
      <c r="D783" s="1">
        <v>728.0</v>
      </c>
      <c r="E783" s="1">
        <v>0.0</v>
      </c>
      <c r="G783" s="1" t="s">
        <v>91</v>
      </c>
      <c r="H783" s="1" t="s">
        <v>92</v>
      </c>
      <c r="I783" s="1" t="s">
        <v>1953</v>
      </c>
      <c r="J783" s="1" t="s">
        <v>1954</v>
      </c>
      <c r="K783" s="1" t="s">
        <v>1954</v>
      </c>
      <c r="M783" s="1">
        <v>-3.0</v>
      </c>
      <c r="O783" s="1">
        <v>6.597783333333333</v>
      </c>
    </row>
    <row r="784" ht="15.75" hidden="1" customHeight="1">
      <c r="A784" s="4">
        <v>45534.0</v>
      </c>
      <c r="B784" s="1" t="s">
        <v>88</v>
      </c>
      <c r="C784" s="1" t="s">
        <v>89</v>
      </c>
      <c r="D784" s="1">
        <v>364.0</v>
      </c>
      <c r="E784" s="1">
        <v>0.0</v>
      </c>
      <c r="F784" s="1" t="s">
        <v>90</v>
      </c>
      <c r="G784" s="1" t="s">
        <v>91</v>
      </c>
      <c r="H784" s="1" t="s">
        <v>92</v>
      </c>
      <c r="I784" s="1" t="s">
        <v>1955</v>
      </c>
      <c r="J784" s="1" t="s">
        <v>1956</v>
      </c>
      <c r="K784" s="1" t="s">
        <v>1956</v>
      </c>
      <c r="M784" s="1">
        <v>-8.0</v>
      </c>
      <c r="O784" s="1">
        <v>6.978583333333333</v>
      </c>
    </row>
    <row r="785" ht="15.75" hidden="1" customHeight="1">
      <c r="A785" s="4">
        <v>45534.0</v>
      </c>
      <c r="B785" s="1" t="s">
        <v>95</v>
      </c>
      <c r="C785" s="1" t="s">
        <v>89</v>
      </c>
      <c r="D785" s="1">
        <v>167.0</v>
      </c>
      <c r="E785" s="1">
        <v>42.0</v>
      </c>
      <c r="G785" s="1" t="s">
        <v>119</v>
      </c>
      <c r="H785" s="1" t="s">
        <v>92</v>
      </c>
      <c r="I785" s="1" t="s">
        <v>1957</v>
      </c>
      <c r="J785" s="1" t="s">
        <v>1958</v>
      </c>
      <c r="K785" s="1" t="s">
        <v>1958</v>
      </c>
      <c r="M785" s="1">
        <v>-11.0</v>
      </c>
      <c r="O785" s="1">
        <v>7.188533333333333</v>
      </c>
    </row>
    <row r="786" ht="15.75" hidden="1" customHeight="1">
      <c r="A786" s="4">
        <v>45534.0</v>
      </c>
      <c r="B786" s="1" t="s">
        <v>95</v>
      </c>
      <c r="C786" s="1" t="s">
        <v>89</v>
      </c>
      <c r="D786" s="1">
        <v>568.0</v>
      </c>
      <c r="E786" s="1">
        <v>0.0</v>
      </c>
      <c r="F786" s="1" t="s">
        <v>54</v>
      </c>
      <c r="G786" s="1" t="s">
        <v>97</v>
      </c>
      <c r="H786" s="1" t="s">
        <v>92</v>
      </c>
      <c r="I786" s="1" t="s">
        <v>1959</v>
      </c>
      <c r="J786" s="1" t="s">
        <v>1960</v>
      </c>
      <c r="K786" s="1" t="s">
        <v>1961</v>
      </c>
      <c r="L786" s="1" t="s">
        <v>1962</v>
      </c>
      <c r="M786" s="1">
        <v>-2.0</v>
      </c>
      <c r="N786" s="1">
        <v>0.010633333333333333</v>
      </c>
      <c r="O786" s="1">
        <v>9.4534</v>
      </c>
    </row>
    <row r="787" ht="15.75" hidden="1" customHeight="1">
      <c r="A787" s="4">
        <v>45534.0</v>
      </c>
      <c r="B787" s="1" t="s">
        <v>95</v>
      </c>
      <c r="C787" s="1" t="s">
        <v>89</v>
      </c>
      <c r="D787" s="1">
        <v>547.0</v>
      </c>
      <c r="E787" s="1">
        <v>0.0</v>
      </c>
      <c r="F787" s="1" t="s">
        <v>54</v>
      </c>
      <c r="G787" s="1" t="s">
        <v>97</v>
      </c>
      <c r="H787" s="1" t="s">
        <v>92</v>
      </c>
      <c r="I787" s="1" t="s">
        <v>1963</v>
      </c>
      <c r="J787" s="1" t="s">
        <v>1964</v>
      </c>
      <c r="K787" s="1" t="s">
        <v>1965</v>
      </c>
      <c r="L787" s="1" t="s">
        <v>1966</v>
      </c>
      <c r="M787" s="1">
        <v>6.0</v>
      </c>
      <c r="N787" s="1">
        <v>0.008366666666666666</v>
      </c>
      <c r="O787" s="1">
        <v>8.041783333333333</v>
      </c>
    </row>
    <row r="788" ht="15.75" hidden="1" customHeight="1">
      <c r="A788" s="4">
        <v>45534.0</v>
      </c>
      <c r="B788" s="1" t="s">
        <v>95</v>
      </c>
      <c r="C788" s="1" t="s">
        <v>89</v>
      </c>
      <c r="D788" s="1">
        <v>387.0</v>
      </c>
      <c r="E788" s="1">
        <v>111.0</v>
      </c>
      <c r="G788" s="1" t="s">
        <v>119</v>
      </c>
      <c r="H788" s="1" t="s">
        <v>92</v>
      </c>
      <c r="I788" s="1" t="s">
        <v>1967</v>
      </c>
      <c r="J788" s="1" t="s">
        <v>1968</v>
      </c>
      <c r="K788" s="1" t="s">
        <v>1968</v>
      </c>
      <c r="M788" s="1">
        <v>-8.0</v>
      </c>
      <c r="O788" s="1">
        <v>10.464283333333332</v>
      </c>
    </row>
    <row r="789" ht="15.75" hidden="1" customHeight="1">
      <c r="A789" s="4">
        <v>45534.0</v>
      </c>
      <c r="B789" s="1" t="s">
        <v>95</v>
      </c>
      <c r="C789" s="1" t="s">
        <v>89</v>
      </c>
      <c r="D789" s="1">
        <v>331.0</v>
      </c>
      <c r="E789" s="1">
        <v>37.0</v>
      </c>
      <c r="F789" s="1" t="s">
        <v>54</v>
      </c>
      <c r="G789" s="1" t="s">
        <v>97</v>
      </c>
      <c r="H789" s="1" t="s">
        <v>92</v>
      </c>
      <c r="I789" s="1" t="s">
        <v>1969</v>
      </c>
      <c r="J789" s="1" t="s">
        <v>1970</v>
      </c>
      <c r="K789" s="1" t="s">
        <v>1971</v>
      </c>
      <c r="L789" s="1" t="s">
        <v>1972</v>
      </c>
      <c r="M789" s="1">
        <v>-12.0</v>
      </c>
      <c r="N789" s="1">
        <v>0.012883333333333333</v>
      </c>
      <c r="O789" s="1">
        <v>8.232516666666667</v>
      </c>
    </row>
    <row r="790" ht="15.75" hidden="1" customHeight="1">
      <c r="A790" s="4">
        <v>45534.0</v>
      </c>
      <c r="B790" s="1" t="s">
        <v>88</v>
      </c>
      <c r="C790" s="1" t="s">
        <v>89</v>
      </c>
      <c r="D790" s="1">
        <v>329.0</v>
      </c>
      <c r="E790" s="1">
        <v>0.0</v>
      </c>
      <c r="F790" s="1" t="s">
        <v>90</v>
      </c>
      <c r="G790" s="1" t="s">
        <v>91</v>
      </c>
      <c r="H790" s="1" t="s">
        <v>92</v>
      </c>
      <c r="I790" s="1" t="s">
        <v>1973</v>
      </c>
      <c r="J790" s="1" t="s">
        <v>1974</v>
      </c>
      <c r="K790" s="1" t="s">
        <v>1974</v>
      </c>
      <c r="M790" s="1">
        <v>-7.0</v>
      </c>
      <c r="O790" s="1">
        <v>7.676733333333333</v>
      </c>
    </row>
    <row r="791" ht="15.75" hidden="1" customHeight="1">
      <c r="A791" s="4">
        <v>45534.0</v>
      </c>
      <c r="B791" s="1" t="s">
        <v>107</v>
      </c>
      <c r="C791" s="1" t="s">
        <v>104</v>
      </c>
      <c r="D791" s="1">
        <v>329.0</v>
      </c>
      <c r="E791" s="1">
        <v>0.0</v>
      </c>
      <c r="F791" s="1" t="s">
        <v>456</v>
      </c>
      <c r="G791" s="1" t="s">
        <v>91</v>
      </c>
      <c r="H791" s="1" t="s">
        <v>92</v>
      </c>
      <c r="I791" s="1" t="s">
        <v>1975</v>
      </c>
      <c r="J791" s="1" t="s">
        <v>1976</v>
      </c>
      <c r="K791" s="1" t="s">
        <v>1976</v>
      </c>
      <c r="M791" s="1">
        <v>-7.0</v>
      </c>
      <c r="O791" s="1">
        <v>7.7084166666666665</v>
      </c>
    </row>
    <row r="792" ht="15.75" customHeight="1">
      <c r="A792" s="4">
        <v>45534.0</v>
      </c>
      <c r="B792" s="1" t="s">
        <v>103</v>
      </c>
      <c r="C792" s="1" t="s">
        <v>104</v>
      </c>
      <c r="D792" s="1">
        <v>264.0</v>
      </c>
      <c r="E792" s="1">
        <v>0.0</v>
      </c>
      <c r="G792" s="1" t="s">
        <v>91</v>
      </c>
      <c r="H792" s="1" t="s">
        <v>92</v>
      </c>
      <c r="I792" s="1" t="s">
        <v>1977</v>
      </c>
      <c r="J792" s="1" t="s">
        <v>1978</v>
      </c>
      <c r="K792" s="1" t="s">
        <v>1978</v>
      </c>
      <c r="M792" s="1">
        <v>-1.0</v>
      </c>
      <c r="O792" s="1">
        <v>6.58535</v>
      </c>
    </row>
    <row r="793" ht="15.75" hidden="1" customHeight="1">
      <c r="A793" s="4">
        <v>45534.0</v>
      </c>
      <c r="B793" s="1" t="s">
        <v>88</v>
      </c>
      <c r="C793" s="1" t="s">
        <v>89</v>
      </c>
      <c r="D793" s="1">
        <v>488.0</v>
      </c>
      <c r="E793" s="1">
        <v>0.0</v>
      </c>
      <c r="F793" s="1" t="s">
        <v>90</v>
      </c>
      <c r="G793" s="1" t="s">
        <v>91</v>
      </c>
      <c r="H793" s="1" t="s">
        <v>92</v>
      </c>
      <c r="I793" s="1" t="s">
        <v>1979</v>
      </c>
      <c r="J793" s="1" t="s">
        <v>1980</v>
      </c>
      <c r="K793" s="1" t="s">
        <v>1980</v>
      </c>
      <c r="M793" s="1">
        <v>-9.0</v>
      </c>
      <c r="O793" s="1">
        <v>5.497116666666667</v>
      </c>
    </row>
    <row r="794" ht="15.75" hidden="1" customHeight="1">
      <c r="A794" s="4">
        <v>45534.0</v>
      </c>
      <c r="B794" s="1" t="s">
        <v>88</v>
      </c>
      <c r="C794" s="1" t="s">
        <v>89</v>
      </c>
      <c r="D794" s="1">
        <v>528.0</v>
      </c>
      <c r="E794" s="1">
        <v>0.0</v>
      </c>
      <c r="F794" s="1" t="s">
        <v>90</v>
      </c>
      <c r="G794" s="1" t="s">
        <v>91</v>
      </c>
      <c r="H794" s="1" t="s">
        <v>92</v>
      </c>
      <c r="I794" s="1" t="s">
        <v>1981</v>
      </c>
      <c r="J794" s="1" t="s">
        <v>1982</v>
      </c>
      <c r="K794" s="1" t="s">
        <v>1982</v>
      </c>
      <c r="M794" s="1">
        <v>-10.0</v>
      </c>
      <c r="O794" s="1">
        <v>9.954083333333333</v>
      </c>
    </row>
    <row r="795" ht="15.75" hidden="1" customHeight="1">
      <c r="A795" s="4">
        <v>45534.0</v>
      </c>
      <c r="B795" s="1" t="s">
        <v>107</v>
      </c>
      <c r="C795" s="1" t="s">
        <v>104</v>
      </c>
      <c r="D795" s="1">
        <v>528.0</v>
      </c>
      <c r="E795" s="1">
        <v>0.0</v>
      </c>
      <c r="F795" s="1" t="s">
        <v>1345</v>
      </c>
      <c r="G795" s="1" t="s">
        <v>91</v>
      </c>
      <c r="H795" s="1" t="s">
        <v>92</v>
      </c>
      <c r="I795" s="1" t="s">
        <v>1983</v>
      </c>
      <c r="J795" s="1" t="s">
        <v>1984</v>
      </c>
      <c r="K795" s="1" t="s">
        <v>1984</v>
      </c>
      <c r="M795" s="1">
        <v>-11.0</v>
      </c>
      <c r="O795" s="1">
        <v>8.1088</v>
      </c>
    </row>
    <row r="796" ht="15.75" hidden="1" customHeight="1">
      <c r="A796" s="4">
        <v>45534.0</v>
      </c>
      <c r="B796" s="1" t="s">
        <v>103</v>
      </c>
      <c r="C796" s="1" t="s">
        <v>459</v>
      </c>
      <c r="D796" s="1">
        <v>264.0</v>
      </c>
      <c r="E796" s="1">
        <v>0.0</v>
      </c>
      <c r="G796" s="1" t="s">
        <v>91</v>
      </c>
      <c r="H796" s="1" t="s">
        <v>92</v>
      </c>
      <c r="I796" s="1" t="s">
        <v>1985</v>
      </c>
      <c r="J796" s="1" t="s">
        <v>1986</v>
      </c>
      <c r="K796" s="1" t="s">
        <v>1986</v>
      </c>
      <c r="M796" s="1">
        <v>0.0</v>
      </c>
      <c r="O796" s="1">
        <v>7.2999</v>
      </c>
    </row>
    <row r="797" ht="15.75" hidden="1" customHeight="1">
      <c r="A797" s="4">
        <v>45534.0</v>
      </c>
      <c r="B797" s="1" t="s">
        <v>228</v>
      </c>
      <c r="C797" s="1" t="s">
        <v>89</v>
      </c>
      <c r="D797" s="1">
        <v>49.0</v>
      </c>
      <c r="E797" s="1">
        <v>0.0</v>
      </c>
      <c r="G797" s="1" t="s">
        <v>119</v>
      </c>
      <c r="H797" s="1" t="s">
        <v>98</v>
      </c>
      <c r="I797" s="1" t="s">
        <v>1987</v>
      </c>
      <c r="J797" s="1" t="s">
        <v>1988</v>
      </c>
      <c r="K797" s="1" t="s">
        <v>1988</v>
      </c>
      <c r="M797" s="1">
        <v>1.0</v>
      </c>
      <c r="O797" s="1">
        <v>6.64535</v>
      </c>
    </row>
    <row r="798" ht="15.75" hidden="1" customHeight="1">
      <c r="A798" s="4">
        <v>45534.0</v>
      </c>
      <c r="B798" s="1" t="s">
        <v>95</v>
      </c>
      <c r="C798" s="1" t="s">
        <v>89</v>
      </c>
      <c r="D798" s="1">
        <v>1231.0</v>
      </c>
      <c r="E798" s="1">
        <v>0.0</v>
      </c>
      <c r="F798" s="1" t="s">
        <v>54</v>
      </c>
      <c r="G798" s="1" t="s">
        <v>97</v>
      </c>
      <c r="H798" s="1" t="s">
        <v>98</v>
      </c>
      <c r="I798" s="1" t="s">
        <v>1989</v>
      </c>
      <c r="J798" s="1" t="s">
        <v>1990</v>
      </c>
      <c r="K798" s="1" t="s">
        <v>1991</v>
      </c>
      <c r="L798" s="1" t="s">
        <v>1992</v>
      </c>
      <c r="M798" s="1">
        <v>0.0</v>
      </c>
      <c r="N798" s="1">
        <v>0.0102</v>
      </c>
      <c r="O798" s="1">
        <v>11.470716666666666</v>
      </c>
    </row>
    <row r="799" ht="15.75" customHeight="1">
      <c r="A799" s="4">
        <v>45534.0</v>
      </c>
      <c r="B799" s="1" t="s">
        <v>103</v>
      </c>
      <c r="C799" s="1" t="s">
        <v>104</v>
      </c>
      <c r="D799" s="1">
        <v>504.0</v>
      </c>
      <c r="E799" s="1">
        <v>0.0</v>
      </c>
      <c r="G799" s="1" t="s">
        <v>91</v>
      </c>
      <c r="H799" s="1" t="s">
        <v>92</v>
      </c>
      <c r="I799" s="1" t="s">
        <v>1993</v>
      </c>
      <c r="J799" s="1" t="s">
        <v>1994</v>
      </c>
      <c r="K799" s="1" t="s">
        <v>1994</v>
      </c>
      <c r="M799" s="1">
        <v>-1.0</v>
      </c>
      <c r="O799" s="1">
        <v>7.087233333333334</v>
      </c>
    </row>
    <row r="800" ht="15.75" customHeight="1">
      <c r="A800" s="4">
        <v>45534.0</v>
      </c>
      <c r="B800" s="1" t="s">
        <v>103</v>
      </c>
      <c r="C800" s="1" t="s">
        <v>104</v>
      </c>
      <c r="D800" s="1">
        <v>289.0</v>
      </c>
      <c r="E800" s="1">
        <v>0.0</v>
      </c>
      <c r="G800" s="1" t="s">
        <v>91</v>
      </c>
      <c r="H800" s="1" t="s">
        <v>92</v>
      </c>
      <c r="I800" s="1" t="s">
        <v>1995</v>
      </c>
      <c r="J800" s="1" t="s">
        <v>1996</v>
      </c>
      <c r="K800" s="1" t="s">
        <v>1996</v>
      </c>
      <c r="M800" s="1">
        <v>0.0</v>
      </c>
      <c r="O800" s="1">
        <v>7.415583333333333</v>
      </c>
    </row>
    <row r="801" ht="15.75" customHeight="1">
      <c r="A801" s="4">
        <v>45534.0</v>
      </c>
      <c r="B801" s="1" t="s">
        <v>103</v>
      </c>
      <c r="C801" s="1" t="s">
        <v>104</v>
      </c>
      <c r="D801" s="1">
        <v>663.0</v>
      </c>
      <c r="E801" s="1">
        <v>0.0</v>
      </c>
      <c r="G801" s="1" t="s">
        <v>91</v>
      </c>
      <c r="H801" s="1" t="s">
        <v>92</v>
      </c>
      <c r="I801" s="1" t="s">
        <v>1997</v>
      </c>
      <c r="J801" s="1" t="s">
        <v>1998</v>
      </c>
      <c r="K801" s="1" t="s">
        <v>1998</v>
      </c>
      <c r="M801" s="1">
        <v>-2.0</v>
      </c>
      <c r="O801" s="1">
        <v>7.44165</v>
      </c>
    </row>
    <row r="802" ht="15.75" customHeight="1">
      <c r="A802" s="4">
        <v>45534.0</v>
      </c>
      <c r="B802" s="1" t="s">
        <v>103</v>
      </c>
      <c r="C802" s="1" t="s">
        <v>104</v>
      </c>
      <c r="D802" s="1">
        <v>488.0</v>
      </c>
      <c r="E802" s="1">
        <v>0.0</v>
      </c>
      <c r="G802" s="1" t="s">
        <v>91</v>
      </c>
      <c r="H802" s="1" t="s">
        <v>92</v>
      </c>
      <c r="I802" s="1" t="s">
        <v>1999</v>
      </c>
      <c r="J802" s="1" t="s">
        <v>2000</v>
      </c>
      <c r="K802" s="1" t="s">
        <v>2000</v>
      </c>
      <c r="M802" s="1">
        <v>-1.0</v>
      </c>
      <c r="O802" s="1">
        <v>7.71025</v>
      </c>
    </row>
    <row r="803" ht="15.75" hidden="1" customHeight="1">
      <c r="A803" s="4">
        <v>45534.0</v>
      </c>
      <c r="B803" s="1" t="s">
        <v>95</v>
      </c>
      <c r="C803" s="1" t="s">
        <v>89</v>
      </c>
      <c r="D803" s="1">
        <v>267.0</v>
      </c>
      <c r="E803" s="1">
        <v>62.0</v>
      </c>
      <c r="G803" s="1" t="s">
        <v>119</v>
      </c>
      <c r="H803" s="1" t="s">
        <v>213</v>
      </c>
      <c r="I803" s="1" t="s">
        <v>2001</v>
      </c>
      <c r="J803" s="1" t="s">
        <v>2002</v>
      </c>
      <c r="K803" s="1" t="s">
        <v>2002</v>
      </c>
      <c r="M803" s="1">
        <v>-7.0</v>
      </c>
      <c r="O803" s="1">
        <v>12.382783333333334</v>
      </c>
    </row>
    <row r="804" ht="15.75" hidden="1" customHeight="1">
      <c r="A804" s="4">
        <v>45534.0</v>
      </c>
      <c r="B804" s="1" t="s">
        <v>107</v>
      </c>
      <c r="C804" s="1" t="s">
        <v>104</v>
      </c>
      <c r="D804" s="1">
        <v>321.0</v>
      </c>
      <c r="E804" s="1">
        <v>0.0</v>
      </c>
      <c r="F804" s="1" t="s">
        <v>1345</v>
      </c>
      <c r="G804" s="1" t="s">
        <v>91</v>
      </c>
      <c r="H804" s="1" t="s">
        <v>92</v>
      </c>
      <c r="I804" s="1" t="s">
        <v>2003</v>
      </c>
      <c r="J804" s="1" t="s">
        <v>2004</v>
      </c>
      <c r="K804" s="1" t="s">
        <v>2004</v>
      </c>
      <c r="M804" s="1">
        <v>-4.0</v>
      </c>
      <c r="O804" s="1">
        <v>10.57835</v>
      </c>
    </row>
    <row r="805" ht="15.75" hidden="1" customHeight="1">
      <c r="A805" s="4">
        <v>45534.0</v>
      </c>
      <c r="B805" s="1" t="s">
        <v>95</v>
      </c>
      <c r="C805" s="1" t="s">
        <v>89</v>
      </c>
      <c r="D805" s="1">
        <v>403.0</v>
      </c>
      <c r="E805" s="1">
        <v>155.0</v>
      </c>
      <c r="F805" s="1" t="s">
        <v>54</v>
      </c>
      <c r="G805" s="1" t="s">
        <v>97</v>
      </c>
      <c r="H805" s="1" t="s">
        <v>92</v>
      </c>
      <c r="I805" s="1" t="s">
        <v>2005</v>
      </c>
      <c r="J805" s="1" t="s">
        <v>2006</v>
      </c>
      <c r="K805" s="1" t="s">
        <v>2007</v>
      </c>
      <c r="L805" s="1" t="s">
        <v>2008</v>
      </c>
      <c r="M805" s="1">
        <v>-7.0</v>
      </c>
      <c r="N805" s="1">
        <v>0.011533333333333333</v>
      </c>
      <c r="O805" s="1">
        <v>16.03015</v>
      </c>
    </row>
    <row r="806" ht="15.75" hidden="1" customHeight="1">
      <c r="A806" s="4">
        <v>45534.0</v>
      </c>
      <c r="B806" s="1" t="s">
        <v>107</v>
      </c>
      <c r="C806" s="1" t="s">
        <v>104</v>
      </c>
      <c r="D806" s="1">
        <v>658.0</v>
      </c>
      <c r="E806" s="1">
        <v>0.0</v>
      </c>
      <c r="F806" s="1" t="s">
        <v>456</v>
      </c>
      <c r="G806" s="1" t="s">
        <v>91</v>
      </c>
      <c r="H806" s="1" t="s">
        <v>92</v>
      </c>
      <c r="I806" s="1" t="s">
        <v>2009</v>
      </c>
      <c r="J806" s="1" t="s">
        <v>2010</v>
      </c>
      <c r="K806" s="1" t="s">
        <v>2010</v>
      </c>
      <c r="M806" s="1">
        <v>-11.0</v>
      </c>
      <c r="O806" s="1">
        <v>8.793633333333334</v>
      </c>
    </row>
    <row r="807" ht="15.75" hidden="1" customHeight="1">
      <c r="A807" s="4">
        <v>45534.0</v>
      </c>
      <c r="B807" s="1" t="s">
        <v>95</v>
      </c>
      <c r="C807" s="1" t="s">
        <v>89</v>
      </c>
      <c r="D807" s="1">
        <v>509.0</v>
      </c>
      <c r="E807" s="1">
        <v>144.0</v>
      </c>
      <c r="G807" s="1" t="s">
        <v>119</v>
      </c>
      <c r="H807" s="1" t="s">
        <v>213</v>
      </c>
      <c r="I807" s="1" t="s">
        <v>2011</v>
      </c>
      <c r="J807" s="1" t="s">
        <v>2012</v>
      </c>
      <c r="K807" s="1" t="s">
        <v>2012</v>
      </c>
      <c r="M807" s="1">
        <v>-7.0</v>
      </c>
      <c r="O807" s="1">
        <v>16.9152</v>
      </c>
    </row>
    <row r="808" ht="15.75" customHeight="1">
      <c r="A808" s="4">
        <v>45534.0</v>
      </c>
      <c r="B808" s="1" t="s">
        <v>103</v>
      </c>
      <c r="C808" s="1" t="s">
        <v>104</v>
      </c>
      <c r="D808" s="1">
        <v>604.0</v>
      </c>
      <c r="E808" s="1">
        <v>0.0</v>
      </c>
      <c r="G808" s="1" t="s">
        <v>91</v>
      </c>
      <c r="H808" s="1" t="s">
        <v>92</v>
      </c>
      <c r="I808" s="1" t="s">
        <v>2013</v>
      </c>
      <c r="J808" s="1" t="s">
        <v>2014</v>
      </c>
      <c r="K808" s="1" t="s">
        <v>2014</v>
      </c>
      <c r="M808" s="1">
        <v>3.0</v>
      </c>
      <c r="O808" s="1">
        <v>13.8123</v>
      </c>
    </row>
    <row r="809" ht="15.75" hidden="1" customHeight="1">
      <c r="A809" s="4">
        <v>45534.0</v>
      </c>
      <c r="B809" s="1" t="s">
        <v>88</v>
      </c>
      <c r="C809" s="1" t="s">
        <v>89</v>
      </c>
      <c r="D809" s="1">
        <v>485.0</v>
      </c>
      <c r="E809" s="1">
        <v>0.0</v>
      </c>
      <c r="F809" s="1" t="s">
        <v>90</v>
      </c>
      <c r="G809" s="1" t="s">
        <v>91</v>
      </c>
      <c r="H809" s="1" t="s">
        <v>92</v>
      </c>
      <c r="I809" s="1" t="s">
        <v>2015</v>
      </c>
      <c r="J809" s="1" t="s">
        <v>2016</v>
      </c>
      <c r="K809" s="1" t="s">
        <v>2016</v>
      </c>
      <c r="M809" s="1">
        <v>-6.0</v>
      </c>
      <c r="O809" s="1">
        <v>8.543083333333334</v>
      </c>
    </row>
    <row r="810" ht="15.75" hidden="1" customHeight="1">
      <c r="A810" s="4">
        <v>45534.0</v>
      </c>
      <c r="B810" s="1" t="s">
        <v>95</v>
      </c>
      <c r="C810" s="1" t="s">
        <v>89</v>
      </c>
      <c r="D810" s="1">
        <v>265.0</v>
      </c>
      <c r="E810" s="1">
        <v>66.0</v>
      </c>
      <c r="G810" s="1" t="s">
        <v>119</v>
      </c>
      <c r="H810" s="1" t="s">
        <v>213</v>
      </c>
      <c r="I810" s="1" t="s">
        <v>2017</v>
      </c>
      <c r="J810" s="1" t="s">
        <v>2018</v>
      </c>
      <c r="K810" s="1" t="s">
        <v>2018</v>
      </c>
      <c r="M810" s="1">
        <v>-19.0</v>
      </c>
      <c r="O810" s="1">
        <v>27.44815</v>
      </c>
    </row>
    <row r="811" ht="15.75" customHeight="1">
      <c r="A811" s="4">
        <v>45534.0</v>
      </c>
      <c r="B811" s="1" t="s">
        <v>103</v>
      </c>
      <c r="C811" s="1" t="s">
        <v>104</v>
      </c>
      <c r="D811" s="1">
        <v>693.0</v>
      </c>
      <c r="E811" s="1">
        <v>0.0</v>
      </c>
      <c r="G811" s="1" t="s">
        <v>91</v>
      </c>
      <c r="H811" s="1" t="s">
        <v>92</v>
      </c>
      <c r="I811" s="1" t="s">
        <v>2019</v>
      </c>
      <c r="J811" s="1" t="s">
        <v>2020</v>
      </c>
      <c r="K811" s="1" t="s">
        <v>2020</v>
      </c>
      <c r="M811" s="1">
        <v>4.0</v>
      </c>
      <c r="O811" s="1">
        <v>14.952816666666667</v>
      </c>
    </row>
    <row r="812" ht="15.75" customHeight="1">
      <c r="A812" s="4">
        <v>45534.0</v>
      </c>
      <c r="B812" s="1" t="s">
        <v>103</v>
      </c>
      <c r="C812" s="1" t="s">
        <v>104</v>
      </c>
      <c r="D812" s="1">
        <v>545.0</v>
      </c>
      <c r="E812" s="1">
        <v>0.0</v>
      </c>
      <c r="G812" s="1" t="s">
        <v>91</v>
      </c>
      <c r="H812" s="1" t="s">
        <v>92</v>
      </c>
      <c r="I812" s="1" t="s">
        <v>2021</v>
      </c>
      <c r="J812" s="1" t="s">
        <v>2022</v>
      </c>
      <c r="K812" s="1" t="s">
        <v>2022</v>
      </c>
      <c r="M812" s="1">
        <v>0.0</v>
      </c>
      <c r="O812" s="1">
        <v>9.6321</v>
      </c>
    </row>
    <row r="813" ht="15.75" hidden="1" customHeight="1">
      <c r="A813" s="4">
        <v>45534.0</v>
      </c>
      <c r="B813" s="1" t="s">
        <v>95</v>
      </c>
      <c r="C813" s="1" t="s">
        <v>89</v>
      </c>
      <c r="D813" s="1">
        <v>762.0</v>
      </c>
      <c r="E813" s="1">
        <v>185.0</v>
      </c>
      <c r="G813" s="1" t="s">
        <v>119</v>
      </c>
      <c r="H813" s="1" t="s">
        <v>92</v>
      </c>
      <c r="I813" s="1" t="s">
        <v>2023</v>
      </c>
      <c r="J813" s="1" t="s">
        <v>2024</v>
      </c>
      <c r="K813" s="1" t="s">
        <v>2024</v>
      </c>
      <c r="M813" s="1">
        <v>-17.0</v>
      </c>
      <c r="O813" s="1">
        <v>15.636666666666667</v>
      </c>
    </row>
    <row r="814" ht="15.75" hidden="1" customHeight="1">
      <c r="A814" s="4">
        <v>45534.0</v>
      </c>
      <c r="B814" s="1" t="s">
        <v>95</v>
      </c>
      <c r="C814" s="1" t="s">
        <v>89</v>
      </c>
      <c r="D814" s="1">
        <v>398.0</v>
      </c>
      <c r="E814" s="1">
        <v>100.0</v>
      </c>
      <c r="G814" s="1" t="s">
        <v>119</v>
      </c>
      <c r="H814" s="1" t="s">
        <v>92</v>
      </c>
      <c r="I814" s="1" t="s">
        <v>2025</v>
      </c>
      <c r="J814" s="1" t="s">
        <v>2026</v>
      </c>
      <c r="K814" s="1" t="s">
        <v>2026</v>
      </c>
      <c r="M814" s="1">
        <v>-21.0</v>
      </c>
      <c r="O814" s="1">
        <v>14.574033333333333</v>
      </c>
    </row>
    <row r="815" ht="15.75" customHeight="1">
      <c r="A815" s="4">
        <v>45534.0</v>
      </c>
      <c r="B815" s="1" t="s">
        <v>103</v>
      </c>
      <c r="C815" s="1" t="s">
        <v>104</v>
      </c>
      <c r="D815" s="1">
        <v>264.0</v>
      </c>
      <c r="E815" s="1">
        <v>0.0</v>
      </c>
      <c r="G815" s="1" t="s">
        <v>91</v>
      </c>
      <c r="H815" s="1" t="s">
        <v>92</v>
      </c>
      <c r="I815" s="1" t="s">
        <v>2027</v>
      </c>
      <c r="J815" s="1" t="s">
        <v>2028</v>
      </c>
      <c r="K815" s="1" t="s">
        <v>2028</v>
      </c>
      <c r="M815" s="1">
        <v>2.0</v>
      </c>
      <c r="O815" s="1">
        <v>9.005466666666667</v>
      </c>
    </row>
    <row r="816" ht="15.75" hidden="1" customHeight="1">
      <c r="A816" s="4">
        <v>45534.0</v>
      </c>
      <c r="B816" s="1" t="s">
        <v>103</v>
      </c>
      <c r="C816" s="1" t="s">
        <v>104</v>
      </c>
      <c r="D816" s="1">
        <v>429.0</v>
      </c>
      <c r="E816" s="1">
        <v>0.0</v>
      </c>
      <c r="G816" s="1" t="s">
        <v>91</v>
      </c>
      <c r="H816" s="1" t="s">
        <v>98</v>
      </c>
      <c r="I816" s="1" t="s">
        <v>2029</v>
      </c>
      <c r="J816" s="1" t="s">
        <v>2030</v>
      </c>
      <c r="K816" s="1" t="s">
        <v>2030</v>
      </c>
      <c r="M816" s="1">
        <v>2.0</v>
      </c>
      <c r="O816" s="1">
        <v>10.768566666666667</v>
      </c>
    </row>
    <row r="817" ht="15.75" customHeight="1">
      <c r="A817" s="4">
        <v>45534.0</v>
      </c>
      <c r="B817" s="1" t="s">
        <v>103</v>
      </c>
      <c r="C817" s="1" t="s">
        <v>104</v>
      </c>
      <c r="D817" s="1">
        <v>459.0</v>
      </c>
      <c r="E817" s="1">
        <v>0.0</v>
      </c>
      <c r="G817" s="1" t="s">
        <v>91</v>
      </c>
      <c r="H817" s="1" t="s">
        <v>92</v>
      </c>
      <c r="I817" s="1" t="s">
        <v>2031</v>
      </c>
      <c r="J817" s="1" t="s">
        <v>2032</v>
      </c>
      <c r="K817" s="1" t="s">
        <v>2032</v>
      </c>
      <c r="M817" s="1">
        <v>11.0</v>
      </c>
      <c r="O817" s="1">
        <v>19.065666666666665</v>
      </c>
    </row>
    <row r="818" ht="15.75" customHeight="1">
      <c r="A818" s="4">
        <v>45534.0</v>
      </c>
      <c r="B818" s="1" t="s">
        <v>103</v>
      </c>
      <c r="C818" s="1" t="s">
        <v>104</v>
      </c>
      <c r="D818" s="1">
        <v>329.0</v>
      </c>
      <c r="E818" s="1">
        <v>0.0</v>
      </c>
      <c r="G818" s="1" t="s">
        <v>91</v>
      </c>
      <c r="H818" s="1" t="s">
        <v>92</v>
      </c>
      <c r="I818" s="1" t="s">
        <v>2033</v>
      </c>
      <c r="J818" s="1" t="s">
        <v>2034</v>
      </c>
      <c r="K818" s="1" t="s">
        <v>2034</v>
      </c>
      <c r="M818" s="1">
        <v>2.0</v>
      </c>
      <c r="O818" s="1">
        <v>9.056133333333333</v>
      </c>
    </row>
    <row r="819" ht="15.75" hidden="1" customHeight="1">
      <c r="A819" s="4">
        <v>45534.0</v>
      </c>
      <c r="B819" s="1" t="s">
        <v>95</v>
      </c>
      <c r="C819" s="1" t="s">
        <v>89</v>
      </c>
      <c r="D819" s="1">
        <v>507.0</v>
      </c>
      <c r="E819" s="1">
        <v>169.0</v>
      </c>
      <c r="F819" s="1" t="s">
        <v>54</v>
      </c>
      <c r="G819" s="1" t="s">
        <v>97</v>
      </c>
      <c r="H819" s="1" t="s">
        <v>92</v>
      </c>
      <c r="I819" s="1" t="s">
        <v>2035</v>
      </c>
      <c r="J819" s="1" t="s">
        <v>2036</v>
      </c>
      <c r="K819" s="1" t="s">
        <v>2037</v>
      </c>
      <c r="L819" s="1" t="s">
        <v>2038</v>
      </c>
      <c r="M819" s="1">
        <v>-14.0</v>
      </c>
      <c r="N819" s="1">
        <v>0.009983333333333334</v>
      </c>
      <c r="O819" s="1">
        <v>9.45025</v>
      </c>
    </row>
    <row r="820" ht="15.75" customHeight="1">
      <c r="A820" s="4">
        <v>45534.0</v>
      </c>
      <c r="B820" s="1" t="s">
        <v>103</v>
      </c>
      <c r="C820" s="1" t="s">
        <v>104</v>
      </c>
      <c r="D820" s="1">
        <v>508.0</v>
      </c>
      <c r="E820" s="1">
        <v>150.0</v>
      </c>
      <c r="G820" s="1" t="s">
        <v>91</v>
      </c>
      <c r="H820" s="1" t="s">
        <v>92</v>
      </c>
      <c r="I820" s="1" t="s">
        <v>2039</v>
      </c>
      <c r="J820" s="1" t="s">
        <v>2040</v>
      </c>
      <c r="K820" s="1" t="s">
        <v>2040</v>
      </c>
      <c r="M820" s="1">
        <v>0.0</v>
      </c>
      <c r="O820" s="1">
        <v>9.748433333333333</v>
      </c>
    </row>
    <row r="821" ht="15.75" customHeight="1">
      <c r="A821" s="4">
        <v>45534.0</v>
      </c>
      <c r="B821" s="1" t="s">
        <v>103</v>
      </c>
      <c r="C821" s="1" t="s">
        <v>104</v>
      </c>
      <c r="D821" s="1">
        <v>498.0</v>
      </c>
      <c r="E821" s="1">
        <v>0.0</v>
      </c>
      <c r="G821" s="1" t="s">
        <v>91</v>
      </c>
      <c r="H821" s="1" t="s">
        <v>92</v>
      </c>
      <c r="I821" s="1" t="s">
        <v>2041</v>
      </c>
      <c r="J821" s="1" t="s">
        <v>2042</v>
      </c>
      <c r="K821" s="1" t="s">
        <v>2042</v>
      </c>
      <c r="M821" s="1">
        <v>0.0</v>
      </c>
      <c r="O821" s="1">
        <v>7.1875</v>
      </c>
    </row>
    <row r="822" ht="15.75" hidden="1" customHeight="1">
      <c r="A822" s="4">
        <v>45534.0</v>
      </c>
      <c r="B822" s="1" t="s">
        <v>107</v>
      </c>
      <c r="C822" s="1" t="s">
        <v>104</v>
      </c>
      <c r="D822" s="1">
        <v>498.0</v>
      </c>
      <c r="E822" s="1">
        <v>0.0</v>
      </c>
      <c r="F822" s="1" t="s">
        <v>1563</v>
      </c>
      <c r="G822" s="1" t="s">
        <v>91</v>
      </c>
      <c r="H822" s="1" t="s">
        <v>92</v>
      </c>
      <c r="I822" s="1" t="s">
        <v>2043</v>
      </c>
      <c r="J822" s="1" t="s">
        <v>2044</v>
      </c>
      <c r="K822" s="1" t="s">
        <v>2044</v>
      </c>
      <c r="M822" s="1">
        <v>-3.0</v>
      </c>
      <c r="O822" s="1">
        <v>11.16685</v>
      </c>
    </row>
    <row r="823" ht="15.75" hidden="1" customHeight="1">
      <c r="A823" s="4">
        <v>45534.0</v>
      </c>
      <c r="B823" s="1" t="s">
        <v>95</v>
      </c>
      <c r="C823" s="1" t="s">
        <v>89</v>
      </c>
      <c r="D823" s="1">
        <v>576.0</v>
      </c>
      <c r="E823" s="1">
        <v>0.0</v>
      </c>
      <c r="F823" s="1" t="s">
        <v>90</v>
      </c>
      <c r="G823" s="1" t="s">
        <v>97</v>
      </c>
      <c r="H823" s="1" t="s">
        <v>92</v>
      </c>
      <c r="I823" s="1" t="s">
        <v>2045</v>
      </c>
      <c r="J823" s="1" t="s">
        <v>2046</v>
      </c>
      <c r="K823" s="1" t="s">
        <v>2047</v>
      </c>
      <c r="L823" s="1" t="s">
        <v>2048</v>
      </c>
      <c r="M823" s="1">
        <v>-4.0</v>
      </c>
      <c r="N823" s="1">
        <v>10.765316666666667</v>
      </c>
      <c r="O823" s="1">
        <v>17.553716666666666</v>
      </c>
    </row>
    <row r="824" ht="15.75" hidden="1" customHeight="1">
      <c r="A824" s="4">
        <v>45534.0</v>
      </c>
      <c r="B824" s="1" t="s">
        <v>107</v>
      </c>
      <c r="C824" s="1" t="s">
        <v>104</v>
      </c>
      <c r="D824" s="1">
        <v>658.0</v>
      </c>
      <c r="E824" s="1">
        <v>0.0</v>
      </c>
      <c r="F824" s="1" t="s">
        <v>1563</v>
      </c>
      <c r="G824" s="1" t="s">
        <v>91</v>
      </c>
      <c r="H824" s="1" t="s">
        <v>92</v>
      </c>
      <c r="I824" s="1" t="s">
        <v>2049</v>
      </c>
      <c r="J824" s="1" t="s">
        <v>2050</v>
      </c>
      <c r="K824" s="1" t="s">
        <v>2050</v>
      </c>
      <c r="M824" s="1">
        <v>-11.0</v>
      </c>
      <c r="O824" s="1">
        <v>8.815</v>
      </c>
    </row>
    <row r="825" ht="15.75" hidden="1" customHeight="1">
      <c r="A825" s="4">
        <v>45534.0</v>
      </c>
      <c r="B825" s="1" t="s">
        <v>107</v>
      </c>
      <c r="C825" s="1" t="s">
        <v>104</v>
      </c>
      <c r="D825" s="1">
        <v>294.0</v>
      </c>
      <c r="E825" s="1">
        <v>0.0</v>
      </c>
      <c r="F825" s="1" t="s">
        <v>456</v>
      </c>
      <c r="G825" s="1" t="s">
        <v>91</v>
      </c>
      <c r="H825" s="1" t="s">
        <v>92</v>
      </c>
      <c r="I825" s="1" t="s">
        <v>2051</v>
      </c>
      <c r="J825" s="1" t="s">
        <v>2052</v>
      </c>
      <c r="K825" s="1" t="s">
        <v>2052</v>
      </c>
      <c r="M825" s="1">
        <v>-7.0</v>
      </c>
      <c r="O825" s="1">
        <v>7.94905</v>
      </c>
    </row>
    <row r="826" ht="15.75" customHeight="1">
      <c r="A826" s="4">
        <v>45534.0</v>
      </c>
      <c r="B826" s="1" t="s">
        <v>103</v>
      </c>
      <c r="C826" s="1" t="s">
        <v>104</v>
      </c>
      <c r="D826" s="1">
        <v>805.0</v>
      </c>
      <c r="E826" s="1">
        <v>0.0</v>
      </c>
      <c r="G826" s="1" t="s">
        <v>91</v>
      </c>
      <c r="H826" s="1" t="s">
        <v>92</v>
      </c>
      <c r="I826" s="1" t="s">
        <v>2053</v>
      </c>
      <c r="J826" s="1" t="s">
        <v>2054</v>
      </c>
      <c r="K826" s="1" t="s">
        <v>2054</v>
      </c>
      <c r="M826" s="1">
        <v>6.0</v>
      </c>
      <c r="O826" s="1">
        <v>16.01375</v>
      </c>
    </row>
    <row r="827" ht="15.75" customHeight="1">
      <c r="A827" s="4">
        <v>45534.0</v>
      </c>
      <c r="B827" s="1" t="s">
        <v>103</v>
      </c>
      <c r="C827" s="1" t="s">
        <v>104</v>
      </c>
      <c r="D827" s="1">
        <v>313.0</v>
      </c>
      <c r="E827" s="1">
        <v>0.0</v>
      </c>
      <c r="G827" s="1" t="s">
        <v>91</v>
      </c>
      <c r="H827" s="1" t="s">
        <v>92</v>
      </c>
      <c r="I827" s="1" t="s">
        <v>2055</v>
      </c>
      <c r="J827" s="1" t="s">
        <v>2056</v>
      </c>
      <c r="K827" s="1" t="s">
        <v>2056</v>
      </c>
      <c r="M827" s="1">
        <v>2.0</v>
      </c>
      <c r="O827" s="1">
        <v>9.803816666666666</v>
      </c>
    </row>
    <row r="828" ht="15.75" hidden="1" customHeight="1">
      <c r="A828" s="4">
        <v>45534.0</v>
      </c>
      <c r="B828" s="1" t="s">
        <v>88</v>
      </c>
      <c r="C828" s="1" t="s">
        <v>89</v>
      </c>
      <c r="D828" s="1">
        <v>405.0</v>
      </c>
      <c r="E828" s="1">
        <v>0.0</v>
      </c>
      <c r="F828" s="1" t="s">
        <v>90</v>
      </c>
      <c r="G828" s="1" t="s">
        <v>91</v>
      </c>
      <c r="H828" s="1" t="s">
        <v>92</v>
      </c>
      <c r="I828" s="1" t="s">
        <v>2057</v>
      </c>
      <c r="J828" s="1" t="s">
        <v>2058</v>
      </c>
      <c r="K828" s="1" t="s">
        <v>2058</v>
      </c>
      <c r="M828" s="1">
        <v>-4.0</v>
      </c>
      <c r="O828" s="1">
        <v>10.5442</v>
      </c>
    </row>
    <row r="829" ht="15.75" hidden="1" customHeight="1">
      <c r="A829" s="4">
        <v>45534.0</v>
      </c>
      <c r="B829" s="1" t="s">
        <v>103</v>
      </c>
      <c r="C829" s="1" t="s">
        <v>104</v>
      </c>
      <c r="D829" s="1">
        <v>898.0</v>
      </c>
      <c r="E829" s="1">
        <v>0.0</v>
      </c>
      <c r="G829" s="1" t="s">
        <v>91</v>
      </c>
      <c r="H829" s="1" t="s">
        <v>98</v>
      </c>
      <c r="I829" s="1" t="s">
        <v>2059</v>
      </c>
      <c r="J829" s="1" t="s">
        <v>2060</v>
      </c>
      <c r="K829" s="1" t="s">
        <v>2060</v>
      </c>
      <c r="M829" s="1">
        <v>4.0</v>
      </c>
      <c r="O829" s="1">
        <v>14.444666666666667</v>
      </c>
    </row>
    <row r="830" ht="15.75" customHeight="1">
      <c r="A830" s="4">
        <v>45534.0</v>
      </c>
      <c r="B830" s="1" t="s">
        <v>103</v>
      </c>
      <c r="C830" s="1" t="s">
        <v>104</v>
      </c>
      <c r="D830" s="1">
        <v>548.0</v>
      </c>
      <c r="E830" s="1">
        <v>0.0</v>
      </c>
      <c r="G830" s="1" t="s">
        <v>91</v>
      </c>
      <c r="H830" s="1" t="s">
        <v>92</v>
      </c>
      <c r="I830" s="1" t="s">
        <v>2061</v>
      </c>
      <c r="J830" s="1" t="s">
        <v>2062</v>
      </c>
      <c r="K830" s="1" t="s">
        <v>2062</v>
      </c>
      <c r="M830" s="1">
        <v>1.0</v>
      </c>
      <c r="O830" s="1">
        <v>9.673366666666666</v>
      </c>
    </row>
    <row r="831" ht="15.75" hidden="1" customHeight="1">
      <c r="A831" s="4">
        <v>45534.0</v>
      </c>
      <c r="B831" s="1" t="s">
        <v>95</v>
      </c>
      <c r="C831" s="1" t="s">
        <v>89</v>
      </c>
      <c r="D831" s="1">
        <v>582.0</v>
      </c>
      <c r="E831" s="1">
        <v>0.0</v>
      </c>
      <c r="F831" s="1" t="s">
        <v>90</v>
      </c>
      <c r="G831" s="1" t="s">
        <v>97</v>
      </c>
      <c r="H831" s="1" t="s">
        <v>92</v>
      </c>
      <c r="I831" s="1" t="s">
        <v>2063</v>
      </c>
      <c r="J831" s="1" t="s">
        <v>2064</v>
      </c>
      <c r="K831" s="1" t="s">
        <v>2065</v>
      </c>
      <c r="L831" s="1" t="s">
        <v>2066</v>
      </c>
      <c r="M831" s="1">
        <v>4.0</v>
      </c>
      <c r="N831" s="1">
        <v>10.824583333333333</v>
      </c>
      <c r="O831" s="1">
        <v>9.686233333333334</v>
      </c>
    </row>
    <row r="832" ht="15.75" customHeight="1">
      <c r="A832" s="4">
        <v>45534.0</v>
      </c>
      <c r="B832" s="1" t="s">
        <v>103</v>
      </c>
      <c r="C832" s="1" t="s">
        <v>89</v>
      </c>
      <c r="D832" s="1">
        <v>279.0</v>
      </c>
      <c r="E832" s="1">
        <v>50.0</v>
      </c>
      <c r="G832" s="1" t="s">
        <v>91</v>
      </c>
      <c r="H832" s="1" t="s">
        <v>92</v>
      </c>
      <c r="I832" s="1" t="s">
        <v>2067</v>
      </c>
      <c r="J832" s="1" t="s">
        <v>2068</v>
      </c>
      <c r="K832" s="1" t="s">
        <v>2068</v>
      </c>
      <c r="M832" s="1">
        <v>2.0</v>
      </c>
      <c r="O832" s="1">
        <v>9.041683333333333</v>
      </c>
    </row>
    <row r="833" ht="15.75" customHeight="1">
      <c r="A833" s="4">
        <v>45534.0</v>
      </c>
      <c r="B833" s="1" t="s">
        <v>103</v>
      </c>
      <c r="C833" s="1" t="s">
        <v>89</v>
      </c>
      <c r="D833" s="1">
        <v>593.0</v>
      </c>
      <c r="E833" s="1">
        <v>0.0</v>
      </c>
      <c r="G833" s="1" t="s">
        <v>91</v>
      </c>
      <c r="H833" s="1" t="s">
        <v>92</v>
      </c>
      <c r="I833" s="1" t="s">
        <v>2069</v>
      </c>
      <c r="J833" s="1" t="s">
        <v>2070</v>
      </c>
      <c r="K833" s="1" t="s">
        <v>2070</v>
      </c>
      <c r="M833" s="1">
        <v>4.0</v>
      </c>
      <c r="O833" s="1">
        <v>13.095333333333333</v>
      </c>
    </row>
    <row r="834" ht="15.75" customHeight="1">
      <c r="A834" s="4">
        <v>45534.0</v>
      </c>
      <c r="B834" s="1" t="s">
        <v>103</v>
      </c>
      <c r="C834" s="1" t="s">
        <v>104</v>
      </c>
      <c r="D834" s="1">
        <v>434.0</v>
      </c>
      <c r="E834" s="1">
        <v>0.0</v>
      </c>
      <c r="G834" s="1" t="s">
        <v>91</v>
      </c>
      <c r="H834" s="1" t="s">
        <v>92</v>
      </c>
      <c r="I834" s="1" t="s">
        <v>2071</v>
      </c>
      <c r="J834" s="1" t="s">
        <v>2072</v>
      </c>
      <c r="K834" s="1" t="s">
        <v>2072</v>
      </c>
      <c r="M834" s="1">
        <v>3.0</v>
      </c>
      <c r="O834" s="1">
        <v>10.79805</v>
      </c>
    </row>
    <row r="835" ht="15.75" hidden="1" customHeight="1">
      <c r="A835" s="4">
        <v>45534.0</v>
      </c>
      <c r="B835" s="1" t="s">
        <v>95</v>
      </c>
      <c r="C835" s="1" t="s">
        <v>89</v>
      </c>
      <c r="D835" s="1">
        <v>279.0</v>
      </c>
      <c r="E835" s="1">
        <v>0.0</v>
      </c>
      <c r="F835" s="1" t="s">
        <v>373</v>
      </c>
      <c r="G835" s="1" t="s">
        <v>97</v>
      </c>
      <c r="H835" s="1" t="s">
        <v>92</v>
      </c>
      <c r="I835" s="1" t="s">
        <v>2073</v>
      </c>
      <c r="J835" s="1" t="s">
        <v>2074</v>
      </c>
      <c r="K835" s="1" t="s">
        <v>2075</v>
      </c>
      <c r="L835" s="1" t="s">
        <v>2076</v>
      </c>
      <c r="M835" s="1">
        <v>-2.0</v>
      </c>
      <c r="N835" s="1">
        <v>0.008416666666666666</v>
      </c>
      <c r="O835" s="1">
        <v>9.88375</v>
      </c>
    </row>
    <row r="836" ht="15.75" hidden="1" customHeight="1">
      <c r="A836" s="4">
        <v>45534.0</v>
      </c>
      <c r="B836" s="1" t="s">
        <v>95</v>
      </c>
      <c r="C836" s="1" t="s">
        <v>89</v>
      </c>
      <c r="D836" s="1">
        <v>199.0</v>
      </c>
      <c r="E836" s="1">
        <v>50.0</v>
      </c>
      <c r="G836" s="1" t="s">
        <v>119</v>
      </c>
      <c r="H836" s="1" t="s">
        <v>98</v>
      </c>
      <c r="I836" s="1" t="s">
        <v>2077</v>
      </c>
      <c r="J836" s="1" t="s">
        <v>2078</v>
      </c>
      <c r="K836" s="1" t="s">
        <v>2078</v>
      </c>
      <c r="M836" s="1">
        <v>4.0</v>
      </c>
      <c r="O836" s="1">
        <v>23.849866666666667</v>
      </c>
    </row>
    <row r="837" ht="15.75" hidden="1" customHeight="1">
      <c r="A837" s="4">
        <v>45534.0</v>
      </c>
      <c r="B837" s="1" t="s">
        <v>95</v>
      </c>
      <c r="C837" s="1" t="s">
        <v>89</v>
      </c>
      <c r="D837" s="1">
        <v>523.0</v>
      </c>
      <c r="E837" s="1">
        <v>0.0</v>
      </c>
      <c r="F837" s="1" t="s">
        <v>373</v>
      </c>
      <c r="G837" s="1" t="s">
        <v>97</v>
      </c>
      <c r="H837" s="1" t="s">
        <v>92</v>
      </c>
      <c r="I837" s="1" t="s">
        <v>2079</v>
      </c>
      <c r="J837" s="1" t="s">
        <v>2080</v>
      </c>
      <c r="K837" s="1" t="s">
        <v>2081</v>
      </c>
      <c r="L837" s="1" t="s">
        <v>2082</v>
      </c>
      <c r="M837" s="1">
        <v>-12.0</v>
      </c>
      <c r="N837" s="1">
        <v>0.014616666666666667</v>
      </c>
      <c r="O837" s="1">
        <v>10.904966666666667</v>
      </c>
    </row>
    <row r="838" ht="15.75" hidden="1" customHeight="1">
      <c r="A838" s="4">
        <v>45534.0</v>
      </c>
      <c r="B838" s="1" t="s">
        <v>88</v>
      </c>
      <c r="C838" s="1" t="s">
        <v>89</v>
      </c>
      <c r="D838" s="1">
        <v>1337.0</v>
      </c>
      <c r="E838" s="1">
        <v>0.0</v>
      </c>
      <c r="F838" s="1" t="s">
        <v>90</v>
      </c>
      <c r="G838" s="1" t="s">
        <v>91</v>
      </c>
      <c r="H838" s="1" t="s">
        <v>92</v>
      </c>
      <c r="I838" s="1" t="s">
        <v>2083</v>
      </c>
      <c r="J838" s="1" t="s">
        <v>2084</v>
      </c>
      <c r="K838" s="1" t="s">
        <v>2084</v>
      </c>
      <c r="M838" s="1">
        <v>-6.0</v>
      </c>
      <c r="O838" s="1">
        <v>13.039216666666666</v>
      </c>
    </row>
    <row r="839" ht="15.75" hidden="1" customHeight="1">
      <c r="A839" s="4">
        <v>45534.0</v>
      </c>
      <c r="B839" s="1" t="s">
        <v>103</v>
      </c>
      <c r="C839" s="1" t="s">
        <v>89</v>
      </c>
      <c r="D839" s="1">
        <v>528.0</v>
      </c>
      <c r="E839" s="1">
        <v>0.0</v>
      </c>
      <c r="G839" s="1" t="s">
        <v>91</v>
      </c>
      <c r="H839" s="1" t="s">
        <v>98</v>
      </c>
      <c r="I839" s="1" t="s">
        <v>2085</v>
      </c>
      <c r="J839" s="1" t="s">
        <v>2086</v>
      </c>
      <c r="K839" s="1" t="s">
        <v>2086</v>
      </c>
      <c r="M839" s="1">
        <v>2.0</v>
      </c>
      <c r="O839" s="1">
        <v>10.008083333333333</v>
      </c>
    </row>
    <row r="840" ht="15.75" hidden="1" customHeight="1">
      <c r="A840" s="4">
        <v>45534.0</v>
      </c>
      <c r="B840" s="1" t="s">
        <v>95</v>
      </c>
      <c r="C840" s="1" t="s">
        <v>89</v>
      </c>
      <c r="D840" s="1">
        <v>410.0</v>
      </c>
      <c r="E840" s="1">
        <v>0.0</v>
      </c>
      <c r="F840" s="1" t="s">
        <v>373</v>
      </c>
      <c r="G840" s="1" t="s">
        <v>97</v>
      </c>
      <c r="H840" s="1" t="s">
        <v>92</v>
      </c>
      <c r="I840" s="1" t="s">
        <v>2087</v>
      </c>
      <c r="J840" s="1" t="s">
        <v>2088</v>
      </c>
      <c r="K840" s="1" t="s">
        <v>2089</v>
      </c>
      <c r="L840" s="1" t="s">
        <v>2090</v>
      </c>
      <c r="M840" s="1">
        <v>-12.0</v>
      </c>
      <c r="N840" s="1">
        <v>0.0157</v>
      </c>
      <c r="O840" s="1">
        <v>9.14075</v>
      </c>
    </row>
    <row r="841" ht="15.75" hidden="1" customHeight="1">
      <c r="A841" s="4">
        <v>45534.0</v>
      </c>
      <c r="B841" s="1" t="s">
        <v>95</v>
      </c>
      <c r="C841" s="1" t="s">
        <v>89</v>
      </c>
      <c r="D841" s="1">
        <v>269.0</v>
      </c>
      <c r="E841" s="1">
        <v>0.0</v>
      </c>
      <c r="F841" s="1" t="s">
        <v>373</v>
      </c>
      <c r="G841" s="1" t="s">
        <v>97</v>
      </c>
      <c r="H841" s="1" t="s">
        <v>92</v>
      </c>
      <c r="I841" s="1" t="s">
        <v>2091</v>
      </c>
      <c r="J841" s="1" t="s">
        <v>2092</v>
      </c>
      <c r="K841" s="1" t="s">
        <v>2093</v>
      </c>
      <c r="L841" s="1" t="s">
        <v>2094</v>
      </c>
      <c r="M841" s="1">
        <v>-11.0</v>
      </c>
      <c r="N841" s="1">
        <v>0.0082</v>
      </c>
      <c r="O841" s="1">
        <v>8.87355</v>
      </c>
    </row>
    <row r="842" ht="15.75" customHeight="1">
      <c r="A842" s="4">
        <v>45534.0</v>
      </c>
      <c r="B842" s="1" t="s">
        <v>103</v>
      </c>
      <c r="C842" s="1" t="s">
        <v>104</v>
      </c>
      <c r="D842" s="1">
        <v>321.0</v>
      </c>
      <c r="E842" s="1">
        <v>0.0</v>
      </c>
      <c r="G842" s="1" t="s">
        <v>91</v>
      </c>
      <c r="H842" s="1" t="s">
        <v>92</v>
      </c>
      <c r="I842" s="1" t="s">
        <v>2095</v>
      </c>
      <c r="J842" s="1" t="s">
        <v>2096</v>
      </c>
      <c r="K842" s="1" t="s">
        <v>2096</v>
      </c>
      <c r="M842" s="1">
        <v>0.0</v>
      </c>
      <c r="O842" s="1">
        <v>7.55645</v>
      </c>
    </row>
    <row r="843" ht="15.75" hidden="1" customHeight="1">
      <c r="A843" s="4">
        <v>45534.0</v>
      </c>
      <c r="B843" s="1" t="s">
        <v>88</v>
      </c>
      <c r="C843" s="1" t="s">
        <v>89</v>
      </c>
      <c r="D843" s="1">
        <v>499.0</v>
      </c>
      <c r="E843" s="1">
        <v>0.0</v>
      </c>
      <c r="F843" s="1" t="s">
        <v>90</v>
      </c>
      <c r="G843" s="1" t="s">
        <v>91</v>
      </c>
      <c r="H843" s="1" t="s">
        <v>92</v>
      </c>
      <c r="I843" s="1" t="s">
        <v>2097</v>
      </c>
      <c r="J843" s="1" t="s">
        <v>2098</v>
      </c>
      <c r="K843" s="1" t="s">
        <v>2098</v>
      </c>
      <c r="M843" s="1">
        <v>-6.0</v>
      </c>
      <c r="O843" s="1">
        <v>8.808283333333334</v>
      </c>
    </row>
    <row r="844" ht="15.75" hidden="1" customHeight="1">
      <c r="A844" s="4">
        <v>45534.0</v>
      </c>
      <c r="B844" s="1" t="s">
        <v>103</v>
      </c>
      <c r="C844" s="1" t="s">
        <v>104</v>
      </c>
      <c r="D844" s="1">
        <v>329.0</v>
      </c>
      <c r="E844" s="1">
        <v>0.0</v>
      </c>
      <c r="G844" s="1" t="s">
        <v>91</v>
      </c>
      <c r="H844" s="1" t="s">
        <v>98</v>
      </c>
      <c r="I844" s="1" t="s">
        <v>2099</v>
      </c>
      <c r="J844" s="1" t="s">
        <v>2100</v>
      </c>
      <c r="K844" s="1" t="s">
        <v>2100</v>
      </c>
      <c r="M844" s="1">
        <v>2.0</v>
      </c>
      <c r="O844" s="1">
        <v>9.145983333333334</v>
      </c>
    </row>
    <row r="845" ht="15.75" hidden="1" customHeight="1">
      <c r="A845" s="4">
        <v>45534.0</v>
      </c>
      <c r="B845" s="1" t="s">
        <v>88</v>
      </c>
      <c r="C845" s="1" t="s">
        <v>89</v>
      </c>
      <c r="D845" s="1">
        <v>313.0</v>
      </c>
      <c r="E845" s="1">
        <v>0.0</v>
      </c>
      <c r="F845" s="1" t="s">
        <v>90</v>
      </c>
      <c r="G845" s="1" t="s">
        <v>91</v>
      </c>
      <c r="H845" s="1" t="s">
        <v>92</v>
      </c>
      <c r="I845" s="1" t="s">
        <v>2101</v>
      </c>
      <c r="J845" s="1" t="s">
        <v>2102</v>
      </c>
      <c r="K845" s="1" t="s">
        <v>2102</v>
      </c>
      <c r="M845" s="1">
        <v>-7.0</v>
      </c>
      <c r="O845" s="1">
        <v>7.3621</v>
      </c>
    </row>
    <row r="846" ht="15.75" hidden="1" customHeight="1">
      <c r="A846" s="4">
        <v>45534.0</v>
      </c>
      <c r="B846" s="1" t="s">
        <v>107</v>
      </c>
      <c r="C846" s="1" t="s">
        <v>104</v>
      </c>
      <c r="D846" s="1">
        <v>129.0</v>
      </c>
      <c r="E846" s="1">
        <v>0.0</v>
      </c>
      <c r="F846" s="1" t="s">
        <v>382</v>
      </c>
      <c r="G846" s="1" t="s">
        <v>91</v>
      </c>
      <c r="H846" s="1" t="s">
        <v>92</v>
      </c>
      <c r="I846" s="1" t="s">
        <v>2103</v>
      </c>
      <c r="J846" s="1" t="s">
        <v>2104</v>
      </c>
      <c r="K846" s="1" t="s">
        <v>2104</v>
      </c>
      <c r="M846" s="1">
        <v>-7.0</v>
      </c>
      <c r="O846" s="1">
        <v>7.1823</v>
      </c>
    </row>
    <row r="847" ht="15.75" hidden="1" customHeight="1">
      <c r="A847" s="4">
        <v>45534.0</v>
      </c>
      <c r="B847" s="1" t="s">
        <v>88</v>
      </c>
      <c r="C847" s="1" t="s">
        <v>89</v>
      </c>
      <c r="D847" s="1">
        <v>415.0</v>
      </c>
      <c r="E847" s="1">
        <v>0.0</v>
      </c>
      <c r="F847" s="1" t="s">
        <v>90</v>
      </c>
      <c r="G847" s="1" t="s">
        <v>91</v>
      </c>
      <c r="H847" s="1" t="s">
        <v>92</v>
      </c>
      <c r="I847" s="1" t="s">
        <v>2105</v>
      </c>
      <c r="J847" s="1" t="s">
        <v>2106</v>
      </c>
      <c r="K847" s="1" t="s">
        <v>2106</v>
      </c>
      <c r="M847" s="1">
        <v>-6.0</v>
      </c>
      <c r="O847" s="1">
        <v>8.112883333333333</v>
      </c>
    </row>
    <row r="848" ht="15.75" hidden="1" customHeight="1">
      <c r="A848" s="4">
        <v>45534.0</v>
      </c>
      <c r="B848" s="1" t="s">
        <v>88</v>
      </c>
      <c r="C848" s="1" t="s">
        <v>89</v>
      </c>
      <c r="D848" s="1">
        <v>448.0</v>
      </c>
      <c r="E848" s="1">
        <v>0.0</v>
      </c>
      <c r="F848" s="1" t="s">
        <v>90</v>
      </c>
      <c r="G848" s="1" t="s">
        <v>91</v>
      </c>
      <c r="H848" s="1" t="s">
        <v>92</v>
      </c>
      <c r="I848" s="1" t="s">
        <v>2107</v>
      </c>
      <c r="J848" s="1" t="s">
        <v>2108</v>
      </c>
      <c r="K848" s="1" t="s">
        <v>2108</v>
      </c>
      <c r="M848" s="1">
        <v>-7.0</v>
      </c>
      <c r="O848" s="1">
        <v>7.713783333333334</v>
      </c>
    </row>
    <row r="849" ht="15.75" hidden="1" customHeight="1">
      <c r="A849" s="4">
        <v>45534.0</v>
      </c>
      <c r="B849" s="1" t="s">
        <v>95</v>
      </c>
      <c r="C849" s="1" t="s">
        <v>89</v>
      </c>
      <c r="D849" s="1">
        <v>484.0</v>
      </c>
      <c r="E849" s="1">
        <v>123.0</v>
      </c>
      <c r="G849" s="1" t="s">
        <v>119</v>
      </c>
      <c r="H849" s="1" t="s">
        <v>213</v>
      </c>
      <c r="I849" s="1" t="s">
        <v>2109</v>
      </c>
      <c r="J849" s="1" t="s">
        <v>2110</v>
      </c>
      <c r="K849" s="1" t="s">
        <v>2110</v>
      </c>
      <c r="M849" s="1">
        <v>-9.0</v>
      </c>
      <c r="O849" s="1">
        <v>9.64845</v>
      </c>
    </row>
    <row r="850" ht="15.75" hidden="1" customHeight="1">
      <c r="A850" s="4">
        <v>45534.0</v>
      </c>
      <c r="B850" s="1" t="s">
        <v>95</v>
      </c>
      <c r="C850" s="1" t="s">
        <v>89</v>
      </c>
      <c r="D850" s="1">
        <v>154.0</v>
      </c>
      <c r="E850" s="1">
        <v>0.0</v>
      </c>
      <c r="G850" s="1" t="s">
        <v>119</v>
      </c>
      <c r="H850" s="1" t="s">
        <v>213</v>
      </c>
      <c r="I850" s="1" t="s">
        <v>2111</v>
      </c>
      <c r="J850" s="1" t="s">
        <v>2112</v>
      </c>
      <c r="K850" s="1" t="s">
        <v>2112</v>
      </c>
      <c r="M850" s="1">
        <v>-8.0</v>
      </c>
      <c r="O850" s="1">
        <v>11.12775</v>
      </c>
    </row>
    <row r="851" ht="15.75" hidden="1" customHeight="1">
      <c r="A851" s="4">
        <v>45534.0</v>
      </c>
      <c r="B851" s="1" t="s">
        <v>107</v>
      </c>
      <c r="C851" s="1" t="s">
        <v>104</v>
      </c>
      <c r="D851" s="1">
        <v>329.0</v>
      </c>
      <c r="E851" s="1">
        <v>0.0</v>
      </c>
      <c r="F851" s="1" t="s">
        <v>173</v>
      </c>
      <c r="G851" s="1" t="s">
        <v>91</v>
      </c>
      <c r="H851" s="1" t="s">
        <v>92</v>
      </c>
      <c r="I851" s="1" t="s">
        <v>2113</v>
      </c>
      <c r="J851" s="1" t="s">
        <v>2114</v>
      </c>
      <c r="K851" s="1" t="s">
        <v>2114</v>
      </c>
      <c r="M851" s="1">
        <v>-3.0</v>
      </c>
      <c r="O851" s="1">
        <v>11.7582</v>
      </c>
    </row>
    <row r="852" ht="15.75" customHeight="1">
      <c r="A852" s="4">
        <v>45534.0</v>
      </c>
      <c r="B852" s="1" t="s">
        <v>103</v>
      </c>
      <c r="C852" s="1" t="s">
        <v>104</v>
      </c>
      <c r="D852" s="1">
        <v>417.0</v>
      </c>
      <c r="E852" s="1">
        <v>0.0</v>
      </c>
      <c r="G852" s="1" t="s">
        <v>91</v>
      </c>
      <c r="H852" s="1" t="s">
        <v>92</v>
      </c>
      <c r="I852" s="1" t="s">
        <v>2115</v>
      </c>
      <c r="J852" s="1" t="s">
        <v>2116</v>
      </c>
      <c r="K852" s="1" t="s">
        <v>2116</v>
      </c>
      <c r="M852" s="1">
        <v>7.0</v>
      </c>
      <c r="O852" s="1">
        <v>16.537066666666668</v>
      </c>
    </row>
    <row r="853" ht="15.75" customHeight="1">
      <c r="A853" s="4">
        <v>45534.0</v>
      </c>
      <c r="B853" s="1" t="s">
        <v>103</v>
      </c>
      <c r="C853" s="1" t="s">
        <v>104</v>
      </c>
      <c r="D853" s="1">
        <v>732.0</v>
      </c>
      <c r="E853" s="1">
        <v>150.0</v>
      </c>
      <c r="G853" s="1" t="s">
        <v>91</v>
      </c>
      <c r="H853" s="1" t="s">
        <v>92</v>
      </c>
      <c r="I853" s="1" t="s">
        <v>2117</v>
      </c>
      <c r="J853" s="1" t="s">
        <v>2118</v>
      </c>
      <c r="K853" s="1" t="s">
        <v>2118</v>
      </c>
      <c r="M853" s="1">
        <v>3.0</v>
      </c>
      <c r="O853" s="1">
        <v>15.744233333333334</v>
      </c>
    </row>
    <row r="854" ht="15.75" customHeight="1">
      <c r="A854" s="4">
        <v>45534.0</v>
      </c>
      <c r="B854" s="1" t="s">
        <v>103</v>
      </c>
      <c r="C854" s="1" t="s">
        <v>104</v>
      </c>
      <c r="D854" s="1">
        <v>1320.0</v>
      </c>
      <c r="E854" s="1">
        <v>0.0</v>
      </c>
      <c r="G854" s="1" t="s">
        <v>91</v>
      </c>
      <c r="H854" s="1" t="s">
        <v>92</v>
      </c>
      <c r="I854" s="1" t="s">
        <v>2119</v>
      </c>
      <c r="J854" s="1" t="s">
        <v>2120</v>
      </c>
      <c r="K854" s="1" t="s">
        <v>2120</v>
      </c>
      <c r="M854" s="1">
        <v>0.0</v>
      </c>
      <c r="O854" s="1">
        <v>15.664083333333334</v>
      </c>
    </row>
    <row r="855" ht="15.75" hidden="1" customHeight="1">
      <c r="A855" s="4">
        <v>45534.0</v>
      </c>
      <c r="B855" s="1" t="s">
        <v>88</v>
      </c>
      <c r="C855" s="1" t="s">
        <v>89</v>
      </c>
      <c r="D855" s="1">
        <v>528.0</v>
      </c>
      <c r="E855" s="1">
        <v>0.0</v>
      </c>
      <c r="F855" s="1" t="s">
        <v>90</v>
      </c>
      <c r="G855" s="1" t="s">
        <v>91</v>
      </c>
      <c r="H855" s="1" t="s">
        <v>92</v>
      </c>
      <c r="I855" s="1" t="s">
        <v>2121</v>
      </c>
      <c r="J855" s="1" t="s">
        <v>2122</v>
      </c>
      <c r="K855" s="1" t="s">
        <v>2122</v>
      </c>
      <c r="M855" s="1">
        <v>0.0</v>
      </c>
      <c r="O855" s="1">
        <v>19.3948</v>
      </c>
    </row>
    <row r="856" ht="15.75" hidden="1" customHeight="1">
      <c r="A856" s="4">
        <v>45534.0</v>
      </c>
      <c r="B856" s="1" t="s">
        <v>95</v>
      </c>
      <c r="C856" s="1" t="s">
        <v>89</v>
      </c>
      <c r="D856" s="1">
        <v>327.0</v>
      </c>
      <c r="E856" s="1">
        <v>0.0</v>
      </c>
      <c r="F856" s="1" t="s">
        <v>90</v>
      </c>
      <c r="G856" s="1" t="s">
        <v>97</v>
      </c>
      <c r="H856" s="1" t="s">
        <v>92</v>
      </c>
      <c r="I856" s="1" t="s">
        <v>2123</v>
      </c>
      <c r="J856" s="1" t="s">
        <v>2124</v>
      </c>
      <c r="K856" s="1" t="s">
        <v>2125</v>
      </c>
      <c r="L856" s="1" t="s">
        <v>2126</v>
      </c>
      <c r="M856" s="1">
        <v>9.0</v>
      </c>
      <c r="N856" s="1">
        <v>4.176</v>
      </c>
      <c r="O856" s="1">
        <v>13.513466666666666</v>
      </c>
    </row>
    <row r="857" ht="15.75" customHeight="1">
      <c r="A857" s="4">
        <v>45534.0</v>
      </c>
      <c r="B857" s="1" t="s">
        <v>103</v>
      </c>
      <c r="C857" s="1" t="s">
        <v>104</v>
      </c>
      <c r="D857" s="1">
        <v>408.0</v>
      </c>
      <c r="E857" s="1">
        <v>0.0</v>
      </c>
      <c r="G857" s="1" t="s">
        <v>91</v>
      </c>
      <c r="H857" s="1" t="s">
        <v>92</v>
      </c>
      <c r="I857" s="1" t="s">
        <v>2127</v>
      </c>
      <c r="J857" s="1" t="s">
        <v>2128</v>
      </c>
      <c r="K857" s="1" t="s">
        <v>2128</v>
      </c>
      <c r="M857" s="1">
        <v>3.0</v>
      </c>
      <c r="O857" s="1">
        <v>12.643616666666667</v>
      </c>
    </row>
    <row r="858" ht="15.75" customHeight="1">
      <c r="A858" s="4">
        <v>45534.0</v>
      </c>
      <c r="B858" s="1" t="s">
        <v>103</v>
      </c>
      <c r="C858" s="1" t="s">
        <v>104</v>
      </c>
      <c r="D858" s="1">
        <v>329.0</v>
      </c>
      <c r="E858" s="1">
        <v>0.0</v>
      </c>
      <c r="G858" s="1" t="s">
        <v>91</v>
      </c>
      <c r="H858" s="1" t="s">
        <v>92</v>
      </c>
      <c r="I858" s="1" t="s">
        <v>2129</v>
      </c>
      <c r="J858" s="1" t="s">
        <v>2130</v>
      </c>
      <c r="K858" s="1" t="s">
        <v>2130</v>
      </c>
      <c r="M858" s="1">
        <v>5.0</v>
      </c>
      <c r="O858" s="1">
        <v>13.69075</v>
      </c>
    </row>
    <row r="859" ht="15.75" hidden="1" customHeight="1">
      <c r="A859" s="4">
        <v>45534.0</v>
      </c>
      <c r="B859" s="1" t="s">
        <v>88</v>
      </c>
      <c r="C859" s="1" t="s">
        <v>89</v>
      </c>
      <c r="D859" s="1">
        <v>504.0</v>
      </c>
      <c r="E859" s="1">
        <v>0.0</v>
      </c>
      <c r="F859" s="1" t="s">
        <v>90</v>
      </c>
      <c r="G859" s="1" t="s">
        <v>91</v>
      </c>
      <c r="H859" s="1" t="s">
        <v>92</v>
      </c>
      <c r="I859" s="1" t="s">
        <v>2131</v>
      </c>
      <c r="J859" s="1" t="s">
        <v>2132</v>
      </c>
      <c r="K859" s="1" t="s">
        <v>2132</v>
      </c>
      <c r="M859" s="1">
        <v>-2.0</v>
      </c>
      <c r="O859" s="1">
        <v>17.060066666666668</v>
      </c>
    </row>
    <row r="860" ht="15.75" hidden="1" customHeight="1">
      <c r="A860" s="4">
        <v>45534.0</v>
      </c>
      <c r="B860" s="1" t="s">
        <v>95</v>
      </c>
      <c r="C860" s="1" t="s">
        <v>89</v>
      </c>
      <c r="D860" s="1">
        <v>1074.0</v>
      </c>
      <c r="E860" s="1">
        <v>0.0</v>
      </c>
      <c r="F860" s="1" t="s">
        <v>373</v>
      </c>
      <c r="G860" s="1" t="s">
        <v>97</v>
      </c>
      <c r="H860" s="1" t="s">
        <v>92</v>
      </c>
      <c r="I860" s="1" t="s">
        <v>2133</v>
      </c>
      <c r="J860" s="1" t="s">
        <v>2134</v>
      </c>
      <c r="K860" s="1" t="s">
        <v>2135</v>
      </c>
      <c r="L860" s="1" t="s">
        <v>2136</v>
      </c>
      <c r="M860" s="1">
        <v>-3.0</v>
      </c>
      <c r="N860" s="1">
        <v>0.010416666666666666</v>
      </c>
      <c r="O860" s="1">
        <v>23.188766666666666</v>
      </c>
    </row>
    <row r="861" ht="15.75" hidden="1" customHeight="1">
      <c r="A861" s="4">
        <v>45534.0</v>
      </c>
      <c r="B861" s="1" t="s">
        <v>88</v>
      </c>
      <c r="C861" s="1" t="s">
        <v>89</v>
      </c>
      <c r="D861" s="1">
        <v>329.0</v>
      </c>
      <c r="E861" s="1">
        <v>0.0</v>
      </c>
      <c r="F861" s="1" t="s">
        <v>90</v>
      </c>
      <c r="G861" s="1" t="s">
        <v>91</v>
      </c>
      <c r="H861" s="1" t="s">
        <v>92</v>
      </c>
      <c r="I861" s="1" t="s">
        <v>2137</v>
      </c>
      <c r="J861" s="1" t="s">
        <v>2138</v>
      </c>
      <c r="K861" s="1" t="s">
        <v>2138</v>
      </c>
      <c r="M861" s="1">
        <v>-2.0</v>
      </c>
      <c r="O861" s="1">
        <v>12.442483333333334</v>
      </c>
    </row>
    <row r="862" ht="15.75" customHeight="1">
      <c r="A862" s="4">
        <v>45534.0</v>
      </c>
      <c r="B862" s="1" t="s">
        <v>103</v>
      </c>
      <c r="C862" s="1" t="s">
        <v>104</v>
      </c>
      <c r="D862" s="1">
        <v>264.0</v>
      </c>
      <c r="E862" s="1">
        <v>0.0</v>
      </c>
      <c r="G862" s="1" t="s">
        <v>91</v>
      </c>
      <c r="H862" s="1" t="s">
        <v>92</v>
      </c>
      <c r="I862" s="1" t="s">
        <v>2139</v>
      </c>
      <c r="J862" s="1" t="s">
        <v>2140</v>
      </c>
      <c r="K862" s="1" t="s">
        <v>2140</v>
      </c>
      <c r="M862" s="1">
        <v>0.0</v>
      </c>
      <c r="O862" s="1">
        <v>6.8414166666666665</v>
      </c>
    </row>
    <row r="863" ht="15.75" customHeight="1">
      <c r="A863" s="4">
        <v>45534.0</v>
      </c>
      <c r="B863" s="1" t="s">
        <v>103</v>
      </c>
      <c r="C863" s="1" t="s">
        <v>104</v>
      </c>
      <c r="D863" s="1">
        <v>528.0</v>
      </c>
      <c r="E863" s="1">
        <v>0.0</v>
      </c>
      <c r="G863" s="1" t="s">
        <v>91</v>
      </c>
      <c r="H863" s="1" t="s">
        <v>92</v>
      </c>
      <c r="I863" s="1" t="s">
        <v>2141</v>
      </c>
      <c r="J863" s="1" t="s">
        <v>2142</v>
      </c>
      <c r="K863" s="1" t="s">
        <v>2142</v>
      </c>
      <c r="M863" s="1">
        <v>6.0</v>
      </c>
      <c r="O863" s="1">
        <v>15.075166666666666</v>
      </c>
    </row>
    <row r="864" ht="15.75" customHeight="1">
      <c r="A864" s="4">
        <v>45534.0</v>
      </c>
      <c r="B864" s="1" t="s">
        <v>103</v>
      </c>
      <c r="C864" s="1" t="s">
        <v>104</v>
      </c>
      <c r="D864" s="1">
        <v>488.0</v>
      </c>
      <c r="E864" s="1">
        <v>0.0</v>
      </c>
      <c r="G864" s="1" t="s">
        <v>91</v>
      </c>
      <c r="H864" s="1" t="s">
        <v>92</v>
      </c>
      <c r="I864" s="1" t="s">
        <v>2143</v>
      </c>
      <c r="J864" s="1" t="s">
        <v>2144</v>
      </c>
      <c r="K864" s="1" t="s">
        <v>2144</v>
      </c>
      <c r="M864" s="1">
        <v>5.0</v>
      </c>
      <c r="O864" s="1">
        <v>13.79015</v>
      </c>
    </row>
    <row r="865" ht="15.75" hidden="1" customHeight="1">
      <c r="A865" s="4">
        <v>45534.0</v>
      </c>
      <c r="B865" s="1" t="s">
        <v>95</v>
      </c>
      <c r="C865" s="1" t="s">
        <v>89</v>
      </c>
      <c r="D865" s="1">
        <v>707.0</v>
      </c>
      <c r="E865" s="1">
        <v>0.0</v>
      </c>
      <c r="F865" s="1" t="s">
        <v>373</v>
      </c>
      <c r="G865" s="1" t="s">
        <v>97</v>
      </c>
      <c r="H865" s="1" t="s">
        <v>98</v>
      </c>
      <c r="I865" s="1" t="s">
        <v>2145</v>
      </c>
      <c r="J865" s="1" t="s">
        <v>2146</v>
      </c>
      <c r="K865" s="1" t="s">
        <v>2147</v>
      </c>
      <c r="L865" s="1" t="s">
        <v>2148</v>
      </c>
      <c r="M865" s="1">
        <v>-11.0</v>
      </c>
      <c r="N865" s="1">
        <v>0.010866666666666667</v>
      </c>
      <c r="O865" s="1">
        <v>15.937333333333333</v>
      </c>
    </row>
    <row r="866" ht="15.75" customHeight="1">
      <c r="A866" s="4">
        <v>45534.0</v>
      </c>
      <c r="B866" s="1" t="s">
        <v>103</v>
      </c>
      <c r="C866" s="1" t="s">
        <v>104</v>
      </c>
      <c r="D866" s="1">
        <v>378.0</v>
      </c>
      <c r="E866" s="1">
        <v>150.0</v>
      </c>
      <c r="G866" s="1" t="s">
        <v>91</v>
      </c>
      <c r="H866" s="1" t="s">
        <v>92</v>
      </c>
      <c r="I866" s="1" t="s">
        <v>2149</v>
      </c>
      <c r="J866" s="1" t="s">
        <v>2150</v>
      </c>
      <c r="K866" s="1" t="s">
        <v>2150</v>
      </c>
      <c r="M866" s="1">
        <v>3.0</v>
      </c>
      <c r="O866" s="1">
        <v>11.509583333333333</v>
      </c>
    </row>
    <row r="867" ht="15.75" hidden="1" customHeight="1">
      <c r="A867" s="4">
        <v>45534.0</v>
      </c>
      <c r="B867" s="1" t="s">
        <v>95</v>
      </c>
      <c r="C867" s="1" t="s">
        <v>89</v>
      </c>
      <c r="D867" s="1">
        <v>250.0</v>
      </c>
      <c r="E867" s="1">
        <v>0.0</v>
      </c>
      <c r="F867" s="1" t="s">
        <v>90</v>
      </c>
      <c r="G867" s="1" t="s">
        <v>97</v>
      </c>
      <c r="H867" s="1" t="s">
        <v>92</v>
      </c>
      <c r="I867" s="1" t="s">
        <v>2151</v>
      </c>
      <c r="J867" s="1" t="s">
        <v>2152</v>
      </c>
      <c r="K867" s="1" t="s">
        <v>2153</v>
      </c>
      <c r="L867" s="1" t="s">
        <v>2154</v>
      </c>
      <c r="M867" s="1">
        <v>7.0</v>
      </c>
      <c r="N867" s="1">
        <v>9.038833333333333</v>
      </c>
      <c r="O867" s="1">
        <v>17.90235</v>
      </c>
    </row>
    <row r="868" ht="15.75" hidden="1" customHeight="1">
      <c r="A868" s="4">
        <v>45534.0</v>
      </c>
      <c r="B868" s="1" t="s">
        <v>88</v>
      </c>
      <c r="C868" s="1" t="s">
        <v>89</v>
      </c>
      <c r="D868" s="1">
        <v>364.0</v>
      </c>
      <c r="E868" s="1">
        <v>0.0</v>
      </c>
      <c r="F868" s="1" t="s">
        <v>90</v>
      </c>
      <c r="G868" s="1" t="s">
        <v>91</v>
      </c>
      <c r="H868" s="1" t="s">
        <v>92</v>
      </c>
      <c r="I868" s="1" t="s">
        <v>2155</v>
      </c>
      <c r="J868" s="1" t="s">
        <v>2156</v>
      </c>
      <c r="K868" s="1" t="s">
        <v>2156</v>
      </c>
      <c r="M868" s="1">
        <v>1.0</v>
      </c>
      <c r="O868" s="1">
        <v>16.7009</v>
      </c>
    </row>
    <row r="869" ht="15.75" hidden="1" customHeight="1">
      <c r="A869" s="4">
        <v>45534.0</v>
      </c>
      <c r="B869" s="1" t="s">
        <v>95</v>
      </c>
      <c r="C869" s="1" t="s">
        <v>89</v>
      </c>
      <c r="D869" s="1">
        <v>1245.0</v>
      </c>
      <c r="E869" s="1">
        <v>0.0</v>
      </c>
      <c r="F869" s="1" t="s">
        <v>373</v>
      </c>
      <c r="G869" s="1" t="s">
        <v>97</v>
      </c>
      <c r="H869" s="1" t="s">
        <v>92</v>
      </c>
      <c r="I869" s="1" t="s">
        <v>2157</v>
      </c>
      <c r="K869" s="1" t="s">
        <v>2158</v>
      </c>
      <c r="L869" s="1" t="s">
        <v>2159</v>
      </c>
      <c r="M869" s="1">
        <v>-11.0</v>
      </c>
      <c r="N869" s="1">
        <v>0.00945</v>
      </c>
    </row>
    <row r="870" ht="15.75" hidden="1" customHeight="1">
      <c r="A870" s="4">
        <v>45534.0</v>
      </c>
      <c r="B870" s="1" t="s">
        <v>95</v>
      </c>
      <c r="C870" s="1" t="s">
        <v>89</v>
      </c>
      <c r="D870" s="1">
        <v>199.0</v>
      </c>
      <c r="E870" s="1">
        <v>50.0</v>
      </c>
      <c r="G870" s="1" t="s">
        <v>119</v>
      </c>
      <c r="H870" s="1" t="s">
        <v>92</v>
      </c>
      <c r="I870" s="1" t="s">
        <v>2160</v>
      </c>
      <c r="J870" s="1" t="s">
        <v>2161</v>
      </c>
      <c r="K870" s="1" t="s">
        <v>2161</v>
      </c>
      <c r="M870" s="1">
        <v>0.0</v>
      </c>
      <c r="O870" s="1">
        <v>171.58558333333335</v>
      </c>
    </row>
    <row r="871" ht="15.75" hidden="1" customHeight="1">
      <c r="A871" s="4">
        <v>45535.0</v>
      </c>
      <c r="B871" s="1" t="s">
        <v>95</v>
      </c>
      <c r="C871" s="1" t="s">
        <v>89</v>
      </c>
      <c r="D871" s="1">
        <v>423.0</v>
      </c>
      <c r="E871" s="1">
        <v>0.0</v>
      </c>
      <c r="F871" s="1" t="s">
        <v>90</v>
      </c>
      <c r="G871" s="1" t="s">
        <v>97</v>
      </c>
      <c r="H871" s="1" t="s">
        <v>92</v>
      </c>
      <c r="I871" s="1" t="s">
        <v>2162</v>
      </c>
      <c r="J871" s="1" t="s">
        <v>2163</v>
      </c>
      <c r="K871" s="1" t="s">
        <v>2164</v>
      </c>
      <c r="L871" s="1" t="s">
        <v>2165</v>
      </c>
      <c r="M871" s="1">
        <v>7.0</v>
      </c>
      <c r="N871" s="1">
        <v>9.019483333333334</v>
      </c>
      <c r="O871" s="1">
        <v>11.531583333333334</v>
      </c>
    </row>
    <row r="872" ht="15.75" customHeight="1">
      <c r="A872" s="4">
        <v>45535.0</v>
      </c>
      <c r="B872" s="1" t="s">
        <v>103</v>
      </c>
      <c r="C872" s="1" t="s">
        <v>104</v>
      </c>
      <c r="D872" s="1">
        <v>264.0</v>
      </c>
      <c r="E872" s="1">
        <v>0.0</v>
      </c>
      <c r="G872" s="1" t="s">
        <v>91</v>
      </c>
      <c r="H872" s="1" t="s">
        <v>92</v>
      </c>
      <c r="I872" s="1" t="s">
        <v>2166</v>
      </c>
      <c r="J872" s="1" t="s">
        <v>2167</v>
      </c>
      <c r="K872" s="1" t="s">
        <v>2167</v>
      </c>
      <c r="M872" s="1">
        <v>1.0</v>
      </c>
      <c r="O872" s="1">
        <v>7.085733333333334</v>
      </c>
    </row>
    <row r="873" ht="15.75" customHeight="1">
      <c r="A873" s="4">
        <v>45535.0</v>
      </c>
      <c r="B873" s="1" t="s">
        <v>103</v>
      </c>
      <c r="C873" s="1" t="s">
        <v>104</v>
      </c>
      <c r="D873" s="1">
        <v>435.0</v>
      </c>
      <c r="E873" s="1">
        <v>0.0</v>
      </c>
      <c r="G873" s="1" t="s">
        <v>91</v>
      </c>
      <c r="H873" s="1" t="s">
        <v>92</v>
      </c>
      <c r="I873" s="1" t="s">
        <v>2168</v>
      </c>
      <c r="J873" s="1" t="s">
        <v>2169</v>
      </c>
      <c r="K873" s="1" t="s">
        <v>2169</v>
      </c>
      <c r="M873" s="1">
        <v>4.0</v>
      </c>
      <c r="O873" s="1">
        <v>12.797716666666666</v>
      </c>
    </row>
    <row r="874" ht="15.75" hidden="1" customHeight="1">
      <c r="A874" s="4">
        <v>45535.0</v>
      </c>
      <c r="B874" s="1" t="s">
        <v>88</v>
      </c>
      <c r="C874" s="1" t="s">
        <v>89</v>
      </c>
      <c r="D874" s="1">
        <v>400.0</v>
      </c>
      <c r="E874" s="1">
        <v>0.0</v>
      </c>
      <c r="F874" s="1" t="s">
        <v>90</v>
      </c>
      <c r="G874" s="1" t="s">
        <v>91</v>
      </c>
      <c r="H874" s="1" t="s">
        <v>92</v>
      </c>
      <c r="I874" s="1" t="s">
        <v>2170</v>
      </c>
      <c r="J874" s="1" t="s">
        <v>2171</v>
      </c>
      <c r="K874" s="1" t="s">
        <v>2171</v>
      </c>
      <c r="M874" s="1">
        <v>0.0</v>
      </c>
      <c r="O874" s="1">
        <v>14.249033333333333</v>
      </c>
    </row>
    <row r="875" ht="15.75" hidden="1" customHeight="1">
      <c r="A875" s="4">
        <v>45535.0</v>
      </c>
      <c r="B875" s="1" t="s">
        <v>95</v>
      </c>
      <c r="C875" s="1" t="s">
        <v>89</v>
      </c>
      <c r="D875" s="1">
        <v>1066.0</v>
      </c>
      <c r="E875" s="1">
        <v>0.0</v>
      </c>
      <c r="F875" s="1" t="s">
        <v>90</v>
      </c>
      <c r="G875" s="1" t="s">
        <v>97</v>
      </c>
      <c r="H875" s="1" t="s">
        <v>92</v>
      </c>
      <c r="I875" s="1" t="s">
        <v>2172</v>
      </c>
      <c r="J875" s="1" t="s">
        <v>2173</v>
      </c>
      <c r="K875" s="1" t="s">
        <v>2174</v>
      </c>
      <c r="L875" s="1" t="s">
        <v>2175</v>
      </c>
      <c r="M875" s="1">
        <v>7.0</v>
      </c>
      <c r="N875" s="1">
        <v>14.57325</v>
      </c>
      <c r="O875" s="1">
        <v>13.066333333333333</v>
      </c>
    </row>
    <row r="876" ht="15.75" hidden="1" customHeight="1">
      <c r="A876" s="4">
        <v>45535.0</v>
      </c>
      <c r="B876" s="1" t="s">
        <v>88</v>
      </c>
      <c r="C876" s="1" t="s">
        <v>89</v>
      </c>
      <c r="D876" s="1">
        <v>249.0</v>
      </c>
      <c r="E876" s="1">
        <v>0.0</v>
      </c>
      <c r="F876" s="1" t="s">
        <v>90</v>
      </c>
      <c r="G876" s="1" t="s">
        <v>91</v>
      </c>
      <c r="H876" s="1" t="s">
        <v>92</v>
      </c>
      <c r="I876" s="1" t="s">
        <v>2176</v>
      </c>
      <c r="J876" s="1" t="s">
        <v>2177</v>
      </c>
      <c r="K876" s="1" t="s">
        <v>2177</v>
      </c>
      <c r="M876" s="1">
        <v>-10.0</v>
      </c>
      <c r="O876" s="1">
        <v>4.391</v>
      </c>
    </row>
    <row r="877" ht="15.75" hidden="1" customHeight="1">
      <c r="A877" s="4">
        <v>45535.0</v>
      </c>
      <c r="B877" s="1" t="s">
        <v>88</v>
      </c>
      <c r="C877" s="1" t="s">
        <v>89</v>
      </c>
      <c r="D877" s="1">
        <v>294.0</v>
      </c>
      <c r="E877" s="1">
        <v>0.0</v>
      </c>
      <c r="F877" s="1" t="s">
        <v>90</v>
      </c>
      <c r="G877" s="1" t="s">
        <v>91</v>
      </c>
      <c r="H877" s="1" t="s">
        <v>92</v>
      </c>
      <c r="I877" s="1" t="s">
        <v>2178</v>
      </c>
      <c r="J877" s="1" t="s">
        <v>2179</v>
      </c>
      <c r="K877" s="1" t="s">
        <v>2179</v>
      </c>
      <c r="M877" s="1">
        <v>-7.0</v>
      </c>
      <c r="O877" s="1">
        <v>7.88955</v>
      </c>
    </row>
    <row r="878" ht="15.75" hidden="1" customHeight="1">
      <c r="A878" s="4">
        <v>45535.0</v>
      </c>
      <c r="B878" s="1" t="s">
        <v>107</v>
      </c>
      <c r="C878" s="1" t="s">
        <v>104</v>
      </c>
      <c r="D878" s="1">
        <v>264.0</v>
      </c>
      <c r="E878" s="1">
        <v>0.0</v>
      </c>
      <c r="F878" s="1" t="s">
        <v>2180</v>
      </c>
      <c r="G878" s="1" t="s">
        <v>91</v>
      </c>
      <c r="H878" s="1" t="s">
        <v>92</v>
      </c>
      <c r="I878" s="1" t="s">
        <v>2181</v>
      </c>
      <c r="J878" s="1" t="s">
        <v>2182</v>
      </c>
      <c r="K878" s="1" t="s">
        <v>2182</v>
      </c>
      <c r="M878" s="1">
        <v>-6.0</v>
      </c>
      <c r="O878" s="1">
        <v>8.548466666666666</v>
      </c>
    </row>
    <row r="879" ht="15.75" hidden="1" customHeight="1">
      <c r="A879" s="4">
        <v>45535.0</v>
      </c>
      <c r="B879" s="1" t="s">
        <v>107</v>
      </c>
      <c r="C879" s="1" t="s">
        <v>104</v>
      </c>
      <c r="D879" s="1">
        <v>772.0</v>
      </c>
      <c r="E879" s="1">
        <v>0.0</v>
      </c>
      <c r="F879" s="1" t="s">
        <v>1013</v>
      </c>
      <c r="G879" s="1" t="s">
        <v>91</v>
      </c>
      <c r="H879" s="1" t="s">
        <v>92</v>
      </c>
      <c r="I879" s="1" t="s">
        <v>2183</v>
      </c>
      <c r="J879" s="1" t="s">
        <v>2184</v>
      </c>
      <c r="K879" s="1" t="s">
        <v>2184</v>
      </c>
      <c r="M879" s="1">
        <v>-9.0</v>
      </c>
      <c r="O879" s="1">
        <v>10.49795</v>
      </c>
    </row>
    <row r="880" ht="15.75" hidden="1" customHeight="1">
      <c r="A880" s="4">
        <v>45535.0</v>
      </c>
      <c r="B880" s="1" t="s">
        <v>88</v>
      </c>
      <c r="C880" s="1" t="s">
        <v>89</v>
      </c>
      <c r="D880" s="1">
        <v>1316.0</v>
      </c>
      <c r="E880" s="1">
        <v>0.0</v>
      </c>
      <c r="F880" s="1" t="s">
        <v>90</v>
      </c>
      <c r="G880" s="1" t="s">
        <v>91</v>
      </c>
      <c r="H880" s="1" t="s">
        <v>92</v>
      </c>
      <c r="I880" s="1" t="s">
        <v>2185</v>
      </c>
      <c r="J880" s="1" t="s">
        <v>2186</v>
      </c>
      <c r="K880" s="1" t="s">
        <v>2186</v>
      </c>
      <c r="M880" s="1">
        <v>-8.0</v>
      </c>
      <c r="O880" s="1">
        <v>11.782383333333334</v>
      </c>
    </row>
    <row r="881" ht="15.75" hidden="1" customHeight="1">
      <c r="A881" s="4">
        <v>45535.0</v>
      </c>
      <c r="B881" s="1" t="s">
        <v>88</v>
      </c>
      <c r="C881" s="1" t="s">
        <v>89</v>
      </c>
      <c r="D881" s="1">
        <v>313.0</v>
      </c>
      <c r="E881" s="1">
        <v>0.0</v>
      </c>
      <c r="F881" s="1" t="s">
        <v>90</v>
      </c>
      <c r="G881" s="1" t="s">
        <v>91</v>
      </c>
      <c r="H881" s="1" t="s">
        <v>92</v>
      </c>
      <c r="I881" s="1" t="s">
        <v>2187</v>
      </c>
      <c r="J881" s="1" t="s">
        <v>2188</v>
      </c>
      <c r="K881" s="1" t="s">
        <v>2188</v>
      </c>
      <c r="M881" s="1">
        <v>-8.0</v>
      </c>
      <c r="O881" s="1">
        <v>10.568583333333333</v>
      </c>
    </row>
    <row r="882" ht="15.75" hidden="1" customHeight="1">
      <c r="A882" s="4">
        <v>45535.0</v>
      </c>
      <c r="B882" s="1" t="s">
        <v>103</v>
      </c>
      <c r="C882" s="1" t="s">
        <v>104</v>
      </c>
      <c r="D882" s="1">
        <v>284.0</v>
      </c>
      <c r="E882" s="1">
        <v>0.0</v>
      </c>
      <c r="G882" s="1" t="s">
        <v>91</v>
      </c>
      <c r="H882" s="1" t="s">
        <v>98</v>
      </c>
      <c r="I882" s="1" t="s">
        <v>2189</v>
      </c>
      <c r="J882" s="1" t="s">
        <v>2190</v>
      </c>
      <c r="K882" s="1" t="s">
        <v>2190</v>
      </c>
      <c r="M882" s="1">
        <v>1.0</v>
      </c>
      <c r="O882" s="1">
        <v>8.308833333333334</v>
      </c>
    </row>
    <row r="883" ht="15.75" customHeight="1">
      <c r="A883" s="4">
        <v>45535.0</v>
      </c>
      <c r="B883" s="1" t="s">
        <v>103</v>
      </c>
      <c r="C883" s="1" t="s">
        <v>104</v>
      </c>
      <c r="D883" s="1">
        <v>129.0</v>
      </c>
      <c r="E883" s="1">
        <v>0.0</v>
      </c>
      <c r="G883" s="1" t="s">
        <v>91</v>
      </c>
      <c r="H883" s="1" t="s">
        <v>92</v>
      </c>
      <c r="I883" s="1" t="s">
        <v>2191</v>
      </c>
      <c r="J883" s="1" t="s">
        <v>2192</v>
      </c>
      <c r="K883" s="1" t="s">
        <v>2192</v>
      </c>
      <c r="M883" s="1">
        <v>1.0</v>
      </c>
      <c r="O883" s="1">
        <v>6.46445</v>
      </c>
    </row>
    <row r="884" ht="15.75" hidden="1" customHeight="1">
      <c r="A884" s="4">
        <v>45535.0</v>
      </c>
      <c r="B884" s="1" t="s">
        <v>107</v>
      </c>
      <c r="C884" s="1" t="s">
        <v>104</v>
      </c>
      <c r="D884" s="1">
        <v>329.0</v>
      </c>
      <c r="E884" s="1">
        <v>0.0</v>
      </c>
      <c r="F884" s="1" t="s">
        <v>1552</v>
      </c>
      <c r="G884" s="1" t="s">
        <v>91</v>
      </c>
      <c r="H884" s="1" t="s">
        <v>92</v>
      </c>
      <c r="I884" s="1" t="s">
        <v>2193</v>
      </c>
      <c r="J884" s="1" t="s">
        <v>2194</v>
      </c>
      <c r="K884" s="1" t="s">
        <v>2194</v>
      </c>
      <c r="M884" s="1">
        <v>-2.0</v>
      </c>
      <c r="O884" s="1">
        <v>12.3828</v>
      </c>
    </row>
    <row r="885" ht="15.75" hidden="1" customHeight="1">
      <c r="A885" s="4">
        <v>45535.0</v>
      </c>
      <c r="B885" s="1" t="s">
        <v>88</v>
      </c>
      <c r="C885" s="1" t="s">
        <v>89</v>
      </c>
      <c r="D885" s="1">
        <v>2057.0</v>
      </c>
      <c r="E885" s="1">
        <v>0.0</v>
      </c>
      <c r="F885" s="1" t="s">
        <v>90</v>
      </c>
      <c r="G885" s="1" t="s">
        <v>91</v>
      </c>
      <c r="H885" s="1" t="s">
        <v>92</v>
      </c>
      <c r="I885" s="1" t="s">
        <v>2195</v>
      </c>
      <c r="J885" s="1" t="s">
        <v>2196</v>
      </c>
      <c r="K885" s="1" t="s">
        <v>2196</v>
      </c>
      <c r="M885" s="1">
        <v>-4.0</v>
      </c>
      <c r="O885" s="1">
        <v>15.672133333333333</v>
      </c>
    </row>
    <row r="886" ht="15.75" hidden="1" customHeight="1">
      <c r="A886" s="4">
        <v>45535.0</v>
      </c>
      <c r="B886" s="1" t="s">
        <v>95</v>
      </c>
      <c r="C886" s="1" t="s">
        <v>104</v>
      </c>
      <c r="D886" s="1">
        <v>199.0</v>
      </c>
      <c r="E886" s="1">
        <v>50.0</v>
      </c>
      <c r="G886" s="1" t="s">
        <v>119</v>
      </c>
      <c r="H886" s="1" t="s">
        <v>98</v>
      </c>
      <c r="I886" s="1" t="s">
        <v>2197</v>
      </c>
      <c r="J886" s="1" t="s">
        <v>2198</v>
      </c>
      <c r="K886" s="1" t="s">
        <v>2198</v>
      </c>
      <c r="M886" s="1">
        <v>-9.0</v>
      </c>
      <c r="O886" s="1">
        <v>10.067983333333334</v>
      </c>
    </row>
    <row r="887" ht="15.75" hidden="1" customHeight="1">
      <c r="A887" s="4">
        <v>45535.0</v>
      </c>
      <c r="B887" s="1" t="s">
        <v>107</v>
      </c>
      <c r="C887" s="1" t="s">
        <v>104</v>
      </c>
      <c r="D887" s="1">
        <v>294.0</v>
      </c>
      <c r="E887" s="1">
        <v>0.0</v>
      </c>
      <c r="F887" s="1" t="s">
        <v>2199</v>
      </c>
      <c r="G887" s="1" t="s">
        <v>91</v>
      </c>
      <c r="H887" s="1" t="s">
        <v>92</v>
      </c>
      <c r="I887" s="1" t="s">
        <v>2200</v>
      </c>
      <c r="J887" s="1" t="s">
        <v>2201</v>
      </c>
      <c r="K887" s="1" t="s">
        <v>2201</v>
      </c>
      <c r="M887" s="1">
        <v>-8.0</v>
      </c>
      <c r="O887" s="1">
        <v>6.74925</v>
      </c>
    </row>
    <row r="888" ht="15.75" customHeight="1">
      <c r="A888" s="4">
        <v>45535.0</v>
      </c>
      <c r="B888" s="1" t="s">
        <v>103</v>
      </c>
      <c r="C888" s="1" t="s">
        <v>104</v>
      </c>
      <c r="D888" s="1">
        <v>378.0</v>
      </c>
      <c r="E888" s="1">
        <v>0.0</v>
      </c>
      <c r="G888" s="1" t="s">
        <v>91</v>
      </c>
      <c r="H888" s="1" t="s">
        <v>92</v>
      </c>
      <c r="I888" s="1" t="s">
        <v>2202</v>
      </c>
      <c r="J888" s="1" t="s">
        <v>2203</v>
      </c>
      <c r="K888" s="1" t="s">
        <v>2203</v>
      </c>
      <c r="M888" s="1">
        <v>0.0</v>
      </c>
      <c r="O888" s="1">
        <v>7.180666666666666</v>
      </c>
    </row>
    <row r="889" ht="15.75" hidden="1" customHeight="1">
      <c r="A889" s="4">
        <v>45535.0</v>
      </c>
      <c r="B889" s="1" t="s">
        <v>95</v>
      </c>
      <c r="C889" s="1" t="s">
        <v>104</v>
      </c>
      <c r="D889" s="1">
        <v>335.0</v>
      </c>
      <c r="E889" s="1">
        <v>69.0</v>
      </c>
      <c r="G889" s="1" t="s">
        <v>119</v>
      </c>
      <c r="H889" s="1" t="s">
        <v>92</v>
      </c>
      <c r="I889" s="1" t="s">
        <v>2204</v>
      </c>
      <c r="J889" s="1" t="s">
        <v>2205</v>
      </c>
      <c r="K889" s="1" t="s">
        <v>2205</v>
      </c>
      <c r="M889" s="1">
        <v>-23.0</v>
      </c>
      <c r="O889" s="1">
        <v>9.52545</v>
      </c>
    </row>
    <row r="890" ht="15.75" customHeight="1">
      <c r="A890" s="4">
        <v>45535.0</v>
      </c>
      <c r="B890" s="1" t="s">
        <v>103</v>
      </c>
      <c r="C890" s="1" t="s">
        <v>104</v>
      </c>
      <c r="D890" s="1">
        <v>429.0</v>
      </c>
      <c r="E890" s="1">
        <v>0.0</v>
      </c>
      <c r="G890" s="1" t="s">
        <v>91</v>
      </c>
      <c r="H890" s="1" t="s">
        <v>92</v>
      </c>
      <c r="I890" s="1" t="s">
        <v>2206</v>
      </c>
      <c r="J890" s="1" t="s">
        <v>2207</v>
      </c>
      <c r="K890" s="1" t="s">
        <v>2207</v>
      </c>
      <c r="M890" s="1">
        <v>1.0</v>
      </c>
      <c r="O890" s="1">
        <v>9.653166666666667</v>
      </c>
    </row>
    <row r="891" ht="15.75" hidden="1" customHeight="1">
      <c r="A891" s="4">
        <v>45535.0</v>
      </c>
      <c r="B891" s="1" t="s">
        <v>95</v>
      </c>
      <c r="C891" s="1" t="s">
        <v>104</v>
      </c>
      <c r="D891" s="1">
        <v>247.0</v>
      </c>
      <c r="E891" s="1">
        <v>62.0</v>
      </c>
      <c r="G891" s="1" t="s">
        <v>119</v>
      </c>
      <c r="H891" s="1" t="s">
        <v>92</v>
      </c>
      <c r="I891" s="1" t="s">
        <v>2208</v>
      </c>
      <c r="J891" s="1" t="s">
        <v>2209</v>
      </c>
      <c r="K891" s="1" t="s">
        <v>2209</v>
      </c>
      <c r="M891" s="1">
        <v>-7.0</v>
      </c>
      <c r="O891" s="1">
        <v>10.8328</v>
      </c>
    </row>
    <row r="892" ht="15.75" hidden="1" customHeight="1">
      <c r="A892" s="4">
        <v>45535.0</v>
      </c>
      <c r="B892" s="1" t="s">
        <v>103</v>
      </c>
      <c r="C892" s="1" t="s">
        <v>104</v>
      </c>
      <c r="D892" s="1">
        <v>474.0</v>
      </c>
      <c r="E892" s="1">
        <v>0.0</v>
      </c>
      <c r="G892" s="1" t="s">
        <v>91</v>
      </c>
      <c r="H892" s="1" t="s">
        <v>98</v>
      </c>
      <c r="I892" s="1" t="s">
        <v>2210</v>
      </c>
      <c r="J892" s="1" t="s">
        <v>2211</v>
      </c>
      <c r="K892" s="1" t="s">
        <v>2211</v>
      </c>
      <c r="M892" s="1">
        <v>0.0</v>
      </c>
      <c r="O892" s="1">
        <v>7.8293333333333335</v>
      </c>
    </row>
    <row r="893" ht="15.75" hidden="1" customHeight="1">
      <c r="A893" s="4">
        <v>45535.0</v>
      </c>
      <c r="B893" s="1" t="s">
        <v>95</v>
      </c>
      <c r="C893" s="1" t="s">
        <v>89</v>
      </c>
      <c r="D893" s="1">
        <v>618.0</v>
      </c>
      <c r="E893" s="1">
        <v>0.0</v>
      </c>
      <c r="F893" s="1" t="s">
        <v>90</v>
      </c>
      <c r="G893" s="1" t="s">
        <v>97</v>
      </c>
      <c r="H893" s="1" t="s">
        <v>98</v>
      </c>
      <c r="I893" s="1" t="s">
        <v>2212</v>
      </c>
      <c r="J893" s="1" t="s">
        <v>2213</v>
      </c>
      <c r="K893" s="1" t="s">
        <v>2214</v>
      </c>
      <c r="L893" s="1" t="s">
        <v>2215</v>
      </c>
      <c r="M893" s="1">
        <v>-9.0</v>
      </c>
      <c r="N893" s="1">
        <v>6.214916666666666</v>
      </c>
      <c r="O893" s="1">
        <v>8.191616666666667</v>
      </c>
    </row>
    <row r="894" ht="15.75" hidden="1" customHeight="1">
      <c r="A894" s="4">
        <v>45535.0</v>
      </c>
      <c r="B894" s="1" t="s">
        <v>95</v>
      </c>
      <c r="C894" s="1" t="s">
        <v>89</v>
      </c>
      <c r="D894" s="1">
        <v>598.0</v>
      </c>
      <c r="E894" s="1">
        <v>0.0</v>
      </c>
      <c r="F894" s="1" t="s">
        <v>54</v>
      </c>
      <c r="G894" s="1" t="s">
        <v>97</v>
      </c>
      <c r="H894" s="1" t="s">
        <v>92</v>
      </c>
      <c r="I894" s="1" t="s">
        <v>2216</v>
      </c>
      <c r="J894" s="1" t="s">
        <v>2217</v>
      </c>
      <c r="K894" s="1" t="s">
        <v>2218</v>
      </c>
      <c r="L894" s="1" t="s">
        <v>2219</v>
      </c>
      <c r="M894" s="1">
        <v>-7.0</v>
      </c>
      <c r="N894" s="1">
        <v>0.0101</v>
      </c>
      <c r="O894" s="1">
        <v>8.481916666666667</v>
      </c>
    </row>
    <row r="895" ht="15.75" hidden="1" customHeight="1">
      <c r="A895" s="4">
        <v>45535.0</v>
      </c>
      <c r="B895" s="1" t="s">
        <v>107</v>
      </c>
      <c r="C895" s="1" t="s">
        <v>104</v>
      </c>
      <c r="D895" s="1">
        <v>553.0</v>
      </c>
      <c r="E895" s="1">
        <v>0.0</v>
      </c>
      <c r="F895" s="1" t="s">
        <v>456</v>
      </c>
      <c r="G895" s="1" t="s">
        <v>91</v>
      </c>
      <c r="H895" s="1" t="s">
        <v>92</v>
      </c>
      <c r="I895" s="1" t="s">
        <v>2220</v>
      </c>
      <c r="J895" s="1" t="s">
        <v>2221</v>
      </c>
      <c r="K895" s="1" t="s">
        <v>2221</v>
      </c>
      <c r="M895" s="1">
        <v>-11.0</v>
      </c>
      <c r="O895" s="1">
        <v>8.088616666666667</v>
      </c>
    </row>
    <row r="896" ht="15.75" hidden="1" customHeight="1">
      <c r="A896" s="4">
        <v>45535.0</v>
      </c>
      <c r="B896" s="1" t="s">
        <v>88</v>
      </c>
      <c r="C896" s="1" t="s">
        <v>89</v>
      </c>
      <c r="D896" s="1">
        <v>264.0</v>
      </c>
      <c r="E896" s="1">
        <v>0.0</v>
      </c>
      <c r="F896" s="1" t="s">
        <v>90</v>
      </c>
      <c r="G896" s="1" t="s">
        <v>91</v>
      </c>
      <c r="H896" s="1" t="s">
        <v>92</v>
      </c>
      <c r="I896" s="1" t="s">
        <v>2222</v>
      </c>
      <c r="J896" s="1" t="s">
        <v>2223</v>
      </c>
      <c r="K896" s="1" t="s">
        <v>2223</v>
      </c>
      <c r="M896" s="1">
        <v>-8.0</v>
      </c>
      <c r="O896" s="1">
        <v>6.984216666666667</v>
      </c>
    </row>
    <row r="897" ht="15.75" hidden="1" customHeight="1">
      <c r="A897" s="4">
        <v>45535.0</v>
      </c>
      <c r="B897" s="1" t="s">
        <v>107</v>
      </c>
      <c r="C897" s="1" t="s">
        <v>104</v>
      </c>
      <c r="D897" s="1">
        <v>394.0</v>
      </c>
      <c r="E897" s="1">
        <v>0.0</v>
      </c>
      <c r="F897" s="1" t="s">
        <v>2224</v>
      </c>
      <c r="G897" s="1" t="s">
        <v>91</v>
      </c>
      <c r="H897" s="1" t="s">
        <v>92</v>
      </c>
      <c r="I897" s="1" t="s">
        <v>2225</v>
      </c>
      <c r="J897" s="1" t="s">
        <v>2226</v>
      </c>
      <c r="K897" s="1" t="s">
        <v>2226</v>
      </c>
      <c r="M897" s="1">
        <v>-6.0</v>
      </c>
      <c r="O897" s="1">
        <v>8.357066666666666</v>
      </c>
    </row>
    <row r="898" ht="15.75" hidden="1" customHeight="1">
      <c r="A898" s="4">
        <v>45535.0</v>
      </c>
      <c r="B898" s="1" t="s">
        <v>88</v>
      </c>
      <c r="C898" s="1" t="s">
        <v>89</v>
      </c>
      <c r="D898" s="1">
        <v>264.0</v>
      </c>
      <c r="E898" s="1">
        <v>0.0</v>
      </c>
      <c r="F898" s="1" t="s">
        <v>90</v>
      </c>
      <c r="G898" s="1" t="s">
        <v>91</v>
      </c>
      <c r="H898" s="1" t="s">
        <v>92</v>
      </c>
      <c r="I898" s="1" t="s">
        <v>2227</v>
      </c>
      <c r="J898" s="1" t="s">
        <v>2228</v>
      </c>
      <c r="K898" s="1" t="s">
        <v>2228</v>
      </c>
      <c r="M898" s="1">
        <v>-7.0</v>
      </c>
      <c r="O898" s="1">
        <v>7.357833333333334</v>
      </c>
    </row>
    <row r="899" ht="15.75" hidden="1" customHeight="1">
      <c r="A899" s="4">
        <v>45535.0</v>
      </c>
      <c r="B899" s="1" t="s">
        <v>88</v>
      </c>
      <c r="C899" s="1" t="s">
        <v>89</v>
      </c>
      <c r="D899" s="1">
        <v>571.0</v>
      </c>
      <c r="E899" s="1">
        <v>0.0</v>
      </c>
      <c r="F899" s="1" t="s">
        <v>90</v>
      </c>
      <c r="G899" s="1" t="s">
        <v>91</v>
      </c>
      <c r="H899" s="1" t="s">
        <v>92</v>
      </c>
      <c r="I899" s="1" t="s">
        <v>2229</v>
      </c>
      <c r="J899" s="1" t="s">
        <v>2230</v>
      </c>
      <c r="K899" s="1" t="s">
        <v>2230</v>
      </c>
      <c r="M899" s="1">
        <v>-10.0</v>
      </c>
      <c r="O899" s="1">
        <v>9.726333333333333</v>
      </c>
    </row>
    <row r="900" ht="15.75" hidden="1" customHeight="1">
      <c r="A900" s="4">
        <v>45535.0</v>
      </c>
      <c r="B900" s="1" t="s">
        <v>107</v>
      </c>
      <c r="C900" s="1" t="s">
        <v>104</v>
      </c>
      <c r="D900" s="1">
        <v>378.0</v>
      </c>
      <c r="E900" s="1">
        <v>0.0</v>
      </c>
      <c r="F900" s="1" t="s">
        <v>456</v>
      </c>
      <c r="G900" s="1" t="s">
        <v>91</v>
      </c>
      <c r="H900" s="1" t="s">
        <v>92</v>
      </c>
      <c r="I900" s="1" t="s">
        <v>2231</v>
      </c>
      <c r="J900" s="1" t="s">
        <v>2232</v>
      </c>
      <c r="K900" s="1" t="s">
        <v>2232</v>
      </c>
      <c r="M900" s="1">
        <v>-3.0</v>
      </c>
      <c r="O900" s="1">
        <v>11.3603</v>
      </c>
    </row>
    <row r="901" ht="15.75" hidden="1" customHeight="1">
      <c r="A901" s="4">
        <v>45535.0</v>
      </c>
      <c r="B901" s="1" t="s">
        <v>95</v>
      </c>
      <c r="C901" s="1" t="s">
        <v>104</v>
      </c>
      <c r="D901" s="1">
        <v>247.0</v>
      </c>
      <c r="E901" s="1">
        <v>62.0</v>
      </c>
      <c r="G901" s="1" t="s">
        <v>119</v>
      </c>
      <c r="H901" s="1" t="s">
        <v>98</v>
      </c>
      <c r="I901" s="1" t="s">
        <v>2233</v>
      </c>
      <c r="J901" s="1" t="s">
        <v>2234</v>
      </c>
      <c r="K901" s="1" t="s">
        <v>2234</v>
      </c>
      <c r="M901" s="1">
        <v>-13.0</v>
      </c>
      <c r="O901" s="1">
        <v>5.952583333333333</v>
      </c>
    </row>
    <row r="902" ht="15.75" customHeight="1">
      <c r="A902" s="4">
        <v>45535.0</v>
      </c>
      <c r="B902" s="1" t="s">
        <v>103</v>
      </c>
      <c r="C902" s="1" t="s">
        <v>104</v>
      </c>
      <c r="D902" s="1">
        <v>677.0</v>
      </c>
      <c r="E902" s="1">
        <v>0.0</v>
      </c>
      <c r="G902" s="1" t="s">
        <v>91</v>
      </c>
      <c r="H902" s="1" t="s">
        <v>92</v>
      </c>
      <c r="I902" s="1" t="s">
        <v>2235</v>
      </c>
      <c r="J902" s="1" t="s">
        <v>2236</v>
      </c>
      <c r="K902" s="1" t="s">
        <v>2236</v>
      </c>
      <c r="M902" s="1">
        <v>-2.0</v>
      </c>
      <c r="O902" s="1">
        <v>6.40955</v>
      </c>
    </row>
    <row r="903" ht="15.75" hidden="1" customHeight="1">
      <c r="A903" s="4">
        <v>45535.0</v>
      </c>
      <c r="B903" s="1" t="s">
        <v>95</v>
      </c>
      <c r="C903" s="1" t="s">
        <v>104</v>
      </c>
      <c r="D903" s="1">
        <v>268.0</v>
      </c>
      <c r="E903" s="1">
        <v>50.0</v>
      </c>
      <c r="G903" s="1" t="s">
        <v>119</v>
      </c>
      <c r="H903" s="1" t="s">
        <v>98</v>
      </c>
      <c r="I903" s="1" t="s">
        <v>2237</v>
      </c>
      <c r="J903" s="1" t="s">
        <v>2238</v>
      </c>
      <c r="K903" s="1" t="s">
        <v>2238</v>
      </c>
      <c r="M903" s="1">
        <v>-11.0</v>
      </c>
      <c r="O903" s="1">
        <v>7.971116666666667</v>
      </c>
    </row>
    <row r="904" ht="15.75" hidden="1" customHeight="1">
      <c r="A904" s="4">
        <v>45535.0</v>
      </c>
      <c r="B904" s="1" t="s">
        <v>88</v>
      </c>
      <c r="C904" s="1" t="s">
        <v>89</v>
      </c>
      <c r="D904" s="1">
        <v>602.0</v>
      </c>
      <c r="E904" s="1">
        <v>0.0</v>
      </c>
      <c r="F904" s="1" t="s">
        <v>90</v>
      </c>
      <c r="G904" s="1" t="s">
        <v>91</v>
      </c>
      <c r="H904" s="1" t="s">
        <v>92</v>
      </c>
      <c r="I904" s="1" t="s">
        <v>2239</v>
      </c>
      <c r="J904" s="1" t="s">
        <v>2240</v>
      </c>
      <c r="K904" s="1" t="s">
        <v>2240</v>
      </c>
      <c r="M904" s="1">
        <v>-11.0</v>
      </c>
      <c r="O904" s="1">
        <v>8.518183333333333</v>
      </c>
    </row>
    <row r="905" ht="15.75" customHeight="1">
      <c r="A905" s="4">
        <v>45535.0</v>
      </c>
      <c r="B905" s="1" t="s">
        <v>103</v>
      </c>
      <c r="C905" s="1" t="s">
        <v>104</v>
      </c>
      <c r="D905" s="1">
        <v>329.0</v>
      </c>
      <c r="E905" s="1">
        <v>0.0</v>
      </c>
      <c r="G905" s="1" t="s">
        <v>91</v>
      </c>
      <c r="H905" s="1" t="s">
        <v>92</v>
      </c>
      <c r="I905" s="1" t="s">
        <v>2241</v>
      </c>
      <c r="J905" s="1" t="s">
        <v>2242</v>
      </c>
      <c r="K905" s="1" t="s">
        <v>2242</v>
      </c>
      <c r="M905" s="1">
        <v>0.0</v>
      </c>
      <c r="O905" s="1">
        <v>6.969666666666667</v>
      </c>
    </row>
    <row r="906" ht="15.75" hidden="1" customHeight="1">
      <c r="A906" s="4">
        <v>45535.0</v>
      </c>
      <c r="B906" s="1" t="s">
        <v>95</v>
      </c>
      <c r="C906" s="1" t="s">
        <v>104</v>
      </c>
      <c r="D906" s="1">
        <v>219.0</v>
      </c>
      <c r="E906" s="1">
        <v>50.0</v>
      </c>
      <c r="G906" s="1" t="s">
        <v>119</v>
      </c>
      <c r="H906" s="1" t="s">
        <v>213</v>
      </c>
      <c r="I906" s="1" t="s">
        <v>2243</v>
      </c>
      <c r="J906" s="1" t="s">
        <v>2244</v>
      </c>
      <c r="K906" s="1" t="s">
        <v>2244</v>
      </c>
      <c r="M906" s="1">
        <v>-24.0</v>
      </c>
      <c r="O906" s="1">
        <v>9.28475</v>
      </c>
    </row>
    <row r="907" ht="15.75" hidden="1" customHeight="1">
      <c r="A907" s="4">
        <v>45535.0</v>
      </c>
      <c r="B907" s="1" t="s">
        <v>88</v>
      </c>
      <c r="C907" s="1" t="s">
        <v>89</v>
      </c>
      <c r="D907" s="1">
        <v>364.0</v>
      </c>
      <c r="E907" s="1">
        <v>0.0</v>
      </c>
      <c r="F907" s="1" t="s">
        <v>90</v>
      </c>
      <c r="G907" s="1" t="s">
        <v>91</v>
      </c>
      <c r="H907" s="1" t="s">
        <v>92</v>
      </c>
      <c r="I907" s="1" t="s">
        <v>2245</v>
      </c>
      <c r="J907" s="1" t="s">
        <v>2246</v>
      </c>
      <c r="K907" s="1" t="s">
        <v>2246</v>
      </c>
      <c r="M907" s="1">
        <v>-7.0</v>
      </c>
      <c r="O907" s="1">
        <v>7.991816666666667</v>
      </c>
    </row>
    <row r="908" ht="15.75" customHeight="1">
      <c r="A908" s="4">
        <v>45535.0</v>
      </c>
      <c r="B908" s="1" t="s">
        <v>103</v>
      </c>
      <c r="C908" s="1" t="s">
        <v>104</v>
      </c>
      <c r="D908" s="1">
        <v>294.0</v>
      </c>
      <c r="E908" s="1">
        <v>100.0</v>
      </c>
      <c r="G908" s="1" t="s">
        <v>91</v>
      </c>
      <c r="H908" s="1" t="s">
        <v>92</v>
      </c>
      <c r="I908" s="1" t="s">
        <v>2247</v>
      </c>
      <c r="J908" s="1" t="s">
        <v>2248</v>
      </c>
      <c r="K908" s="1" t="s">
        <v>2248</v>
      </c>
      <c r="M908" s="1">
        <v>4.0</v>
      </c>
      <c r="O908" s="1">
        <v>11.132433333333333</v>
      </c>
    </row>
    <row r="909" ht="15.75" hidden="1" customHeight="1">
      <c r="A909" s="4">
        <v>45535.0</v>
      </c>
      <c r="B909" s="1" t="s">
        <v>88</v>
      </c>
      <c r="C909" s="1" t="s">
        <v>89</v>
      </c>
      <c r="D909" s="1">
        <v>329.0</v>
      </c>
      <c r="E909" s="1">
        <v>0.0</v>
      </c>
      <c r="F909" s="1" t="s">
        <v>90</v>
      </c>
      <c r="G909" s="1" t="s">
        <v>91</v>
      </c>
      <c r="H909" s="1" t="s">
        <v>92</v>
      </c>
      <c r="I909" s="1" t="s">
        <v>2249</v>
      </c>
      <c r="J909" s="1" t="s">
        <v>2250</v>
      </c>
      <c r="K909" s="1" t="s">
        <v>2250</v>
      </c>
      <c r="M909" s="1">
        <v>-6.0</v>
      </c>
      <c r="O909" s="1">
        <v>13.5242</v>
      </c>
    </row>
    <row r="910" ht="15.75" hidden="1" customHeight="1">
      <c r="A910" s="4">
        <v>45535.0</v>
      </c>
      <c r="B910" s="1" t="s">
        <v>95</v>
      </c>
      <c r="C910" s="1" t="s">
        <v>104</v>
      </c>
      <c r="D910" s="1">
        <v>285.0</v>
      </c>
      <c r="E910" s="1">
        <v>66.0</v>
      </c>
      <c r="G910" s="1" t="s">
        <v>119</v>
      </c>
      <c r="H910" s="1" t="s">
        <v>213</v>
      </c>
      <c r="I910" s="1" t="s">
        <v>2251</v>
      </c>
      <c r="J910" s="1" t="s">
        <v>2252</v>
      </c>
      <c r="K910" s="1" t="s">
        <v>2252</v>
      </c>
      <c r="M910" s="1">
        <v>-9.0</v>
      </c>
      <c r="O910" s="1">
        <v>9.421783333333334</v>
      </c>
    </row>
    <row r="911" ht="15.75" hidden="1" customHeight="1">
      <c r="A911" s="4">
        <v>45535.0</v>
      </c>
      <c r="B911" s="1" t="s">
        <v>228</v>
      </c>
      <c r="C911" s="1" t="s">
        <v>104</v>
      </c>
      <c r="D911" s="1">
        <v>346.0</v>
      </c>
      <c r="E911" s="1">
        <v>0.0</v>
      </c>
      <c r="G911" s="1" t="s">
        <v>119</v>
      </c>
      <c r="H911" s="1" t="s">
        <v>98</v>
      </c>
      <c r="I911" s="1" t="s">
        <v>2253</v>
      </c>
      <c r="J911" s="1" t="s">
        <v>2254</v>
      </c>
      <c r="K911" s="1" t="s">
        <v>2254</v>
      </c>
      <c r="M911" s="1">
        <v>2.0</v>
      </c>
      <c r="O911" s="1">
        <v>7.3796333333333335</v>
      </c>
    </row>
    <row r="912" ht="15.75" hidden="1" customHeight="1">
      <c r="A912" s="4">
        <v>45535.0</v>
      </c>
      <c r="B912" s="1" t="s">
        <v>95</v>
      </c>
      <c r="C912" s="1" t="s">
        <v>89</v>
      </c>
      <c r="D912" s="1">
        <v>301.0</v>
      </c>
      <c r="E912" s="1">
        <v>0.0</v>
      </c>
      <c r="F912" s="1" t="s">
        <v>54</v>
      </c>
      <c r="G912" s="1" t="s">
        <v>97</v>
      </c>
      <c r="H912" s="1" t="s">
        <v>92</v>
      </c>
      <c r="I912" s="1" t="s">
        <v>2255</v>
      </c>
      <c r="J912" s="1" t="s">
        <v>2256</v>
      </c>
      <c r="K912" s="1" t="s">
        <v>2257</v>
      </c>
      <c r="L912" s="1" t="s">
        <v>2258</v>
      </c>
      <c r="M912" s="1">
        <v>-7.0</v>
      </c>
      <c r="N912" s="1">
        <v>0.012283333333333334</v>
      </c>
      <c r="O912" s="1">
        <v>7.0979</v>
      </c>
    </row>
    <row r="913" ht="15.75" customHeight="1">
      <c r="A913" s="4">
        <v>45535.0</v>
      </c>
      <c r="B913" s="1" t="s">
        <v>103</v>
      </c>
      <c r="C913" s="1" t="s">
        <v>104</v>
      </c>
      <c r="D913" s="1">
        <v>413.0</v>
      </c>
      <c r="E913" s="1">
        <v>0.0</v>
      </c>
      <c r="G913" s="1" t="s">
        <v>91</v>
      </c>
      <c r="H913" s="1" t="s">
        <v>92</v>
      </c>
      <c r="I913" s="1" t="s">
        <v>2259</v>
      </c>
      <c r="J913" s="1" t="s">
        <v>2260</v>
      </c>
      <c r="K913" s="1" t="s">
        <v>2260</v>
      </c>
      <c r="M913" s="1">
        <v>1.0</v>
      </c>
      <c r="O913" s="1">
        <v>8.825783333333334</v>
      </c>
    </row>
    <row r="914" ht="15.75" hidden="1" customHeight="1">
      <c r="A914" s="4">
        <v>45535.0</v>
      </c>
      <c r="B914" s="1" t="s">
        <v>95</v>
      </c>
      <c r="C914" s="1" t="s">
        <v>89</v>
      </c>
      <c r="D914" s="1">
        <v>533.0</v>
      </c>
      <c r="E914" s="1">
        <v>0.0</v>
      </c>
      <c r="F914" s="1" t="s">
        <v>54</v>
      </c>
      <c r="G914" s="1" t="s">
        <v>97</v>
      </c>
      <c r="H914" s="1" t="s">
        <v>92</v>
      </c>
      <c r="I914" s="1" t="s">
        <v>2261</v>
      </c>
      <c r="J914" s="1" t="s">
        <v>2262</v>
      </c>
      <c r="K914" s="1" t="s">
        <v>2263</v>
      </c>
      <c r="L914" s="1" t="s">
        <v>2264</v>
      </c>
      <c r="M914" s="1">
        <v>-20.0</v>
      </c>
      <c r="N914" s="1">
        <v>0.009533333333333333</v>
      </c>
      <c r="O914" s="1">
        <v>9.995966666666666</v>
      </c>
    </row>
    <row r="915" ht="15.75" hidden="1" customHeight="1">
      <c r="A915" s="4">
        <v>45535.0</v>
      </c>
      <c r="B915" s="1" t="s">
        <v>95</v>
      </c>
      <c r="C915" s="1" t="s">
        <v>104</v>
      </c>
      <c r="D915" s="1">
        <v>344.0</v>
      </c>
      <c r="E915" s="1">
        <v>169.0</v>
      </c>
      <c r="G915" s="1" t="s">
        <v>119</v>
      </c>
      <c r="H915" s="1" t="s">
        <v>213</v>
      </c>
      <c r="I915" s="1" t="s">
        <v>2265</v>
      </c>
      <c r="J915" s="1" t="s">
        <v>2266</v>
      </c>
      <c r="K915" s="1" t="s">
        <v>2266</v>
      </c>
      <c r="M915" s="1">
        <v>-10.0</v>
      </c>
      <c r="O915" s="1">
        <v>8.9806</v>
      </c>
    </row>
    <row r="916" ht="15.75" hidden="1" customHeight="1">
      <c r="A916" s="4">
        <v>45535.0</v>
      </c>
      <c r="B916" s="1" t="s">
        <v>95</v>
      </c>
      <c r="C916" s="1" t="s">
        <v>104</v>
      </c>
      <c r="D916" s="1">
        <v>279.0</v>
      </c>
      <c r="E916" s="1">
        <v>70.0</v>
      </c>
      <c r="G916" s="1" t="s">
        <v>119</v>
      </c>
      <c r="H916" s="1" t="s">
        <v>213</v>
      </c>
      <c r="I916" s="1" t="s">
        <v>2267</v>
      </c>
      <c r="J916" s="1" t="s">
        <v>2268</v>
      </c>
      <c r="K916" s="1" t="s">
        <v>2268</v>
      </c>
      <c r="M916" s="1">
        <v>-9.0</v>
      </c>
      <c r="O916" s="1">
        <v>9.7129</v>
      </c>
    </row>
    <row r="917" ht="15.75" hidden="1" customHeight="1">
      <c r="A917" s="4">
        <v>45535.0</v>
      </c>
      <c r="B917" s="1" t="s">
        <v>88</v>
      </c>
      <c r="C917" s="1" t="s">
        <v>89</v>
      </c>
      <c r="D917" s="1">
        <v>483.0</v>
      </c>
      <c r="E917" s="1">
        <v>0.0</v>
      </c>
      <c r="F917" s="1" t="s">
        <v>90</v>
      </c>
      <c r="G917" s="1" t="s">
        <v>91</v>
      </c>
      <c r="H917" s="1" t="s">
        <v>92</v>
      </c>
      <c r="I917" s="1" t="s">
        <v>2269</v>
      </c>
      <c r="J917" s="1" t="s">
        <v>2270</v>
      </c>
      <c r="K917" s="1" t="s">
        <v>2270</v>
      </c>
      <c r="M917" s="1">
        <v>-6.0</v>
      </c>
      <c r="O917" s="1">
        <v>8.94335</v>
      </c>
    </row>
    <row r="918" ht="15.75" hidden="1" customHeight="1">
      <c r="A918" s="4">
        <v>45535.0</v>
      </c>
      <c r="B918" s="1" t="s">
        <v>95</v>
      </c>
      <c r="C918" s="1" t="s">
        <v>89</v>
      </c>
      <c r="D918" s="1">
        <v>437.0</v>
      </c>
      <c r="E918" s="1">
        <v>0.0</v>
      </c>
      <c r="F918" s="1" t="s">
        <v>54</v>
      </c>
      <c r="G918" s="1" t="s">
        <v>97</v>
      </c>
      <c r="H918" s="1" t="s">
        <v>92</v>
      </c>
      <c r="I918" s="1" t="s">
        <v>2271</v>
      </c>
      <c r="J918" s="1" t="s">
        <v>2272</v>
      </c>
      <c r="K918" s="1" t="s">
        <v>2273</v>
      </c>
      <c r="L918" s="1" t="s">
        <v>2274</v>
      </c>
      <c r="M918" s="1">
        <v>-5.0</v>
      </c>
      <c r="N918" s="1">
        <v>0.009783333333333333</v>
      </c>
      <c r="O918" s="1">
        <v>15.12945</v>
      </c>
    </row>
    <row r="919" ht="15.75" hidden="1" customHeight="1">
      <c r="A919" s="4">
        <v>45535.0</v>
      </c>
      <c r="B919" s="1" t="s">
        <v>107</v>
      </c>
      <c r="C919" s="1" t="s">
        <v>104</v>
      </c>
      <c r="D919" s="1">
        <v>393.0</v>
      </c>
      <c r="E919" s="1">
        <v>0.0</v>
      </c>
      <c r="F919" s="1" t="s">
        <v>456</v>
      </c>
      <c r="G919" s="1" t="s">
        <v>91</v>
      </c>
      <c r="H919" s="1" t="s">
        <v>92</v>
      </c>
      <c r="I919" s="1" t="s">
        <v>2275</v>
      </c>
      <c r="J919" s="1" t="s">
        <v>2276</v>
      </c>
      <c r="K919" s="1" t="s">
        <v>2276</v>
      </c>
      <c r="M919" s="1">
        <v>-8.0</v>
      </c>
      <c r="O919" s="1">
        <v>6.8753166666666665</v>
      </c>
    </row>
    <row r="920" ht="15.75" hidden="1" customHeight="1">
      <c r="A920" s="4">
        <v>45535.0</v>
      </c>
      <c r="B920" s="1" t="s">
        <v>88</v>
      </c>
      <c r="C920" s="1" t="s">
        <v>89</v>
      </c>
      <c r="D920" s="1">
        <v>264.0</v>
      </c>
      <c r="E920" s="1">
        <v>0.0</v>
      </c>
      <c r="F920" s="1" t="s">
        <v>90</v>
      </c>
      <c r="G920" s="1" t="s">
        <v>91</v>
      </c>
      <c r="H920" s="1" t="s">
        <v>92</v>
      </c>
      <c r="I920" s="1" t="s">
        <v>2277</v>
      </c>
      <c r="J920" s="1" t="s">
        <v>2278</v>
      </c>
      <c r="K920" s="1" t="s">
        <v>2278</v>
      </c>
      <c r="M920" s="1">
        <v>-8.0</v>
      </c>
      <c r="O920" s="1">
        <v>6.3173</v>
      </c>
    </row>
    <row r="921" ht="15.75" hidden="1" customHeight="1">
      <c r="A921" s="4">
        <v>45535.0</v>
      </c>
      <c r="B921" s="1" t="s">
        <v>107</v>
      </c>
      <c r="C921" s="1" t="s">
        <v>104</v>
      </c>
      <c r="D921" s="1">
        <v>429.0</v>
      </c>
      <c r="E921" s="1">
        <v>0.0</v>
      </c>
      <c r="G921" s="1" t="s">
        <v>119</v>
      </c>
      <c r="H921" s="1" t="s">
        <v>92</v>
      </c>
      <c r="I921" s="1" t="s">
        <v>2279</v>
      </c>
      <c r="J921" s="1" t="s">
        <v>2280</v>
      </c>
      <c r="K921" s="1" t="s">
        <v>2280</v>
      </c>
      <c r="M921" s="1">
        <v>-7.0</v>
      </c>
      <c r="O921" s="1">
        <v>7.935983333333334</v>
      </c>
    </row>
    <row r="922" ht="15.75" hidden="1" customHeight="1">
      <c r="A922" s="4">
        <v>45535.0</v>
      </c>
      <c r="B922" s="1" t="s">
        <v>88</v>
      </c>
      <c r="C922" s="1" t="s">
        <v>89</v>
      </c>
      <c r="D922" s="1">
        <v>592.0</v>
      </c>
      <c r="E922" s="1">
        <v>0.0</v>
      </c>
      <c r="F922" s="1" t="s">
        <v>90</v>
      </c>
      <c r="G922" s="1" t="s">
        <v>91</v>
      </c>
      <c r="H922" s="1" t="s">
        <v>92</v>
      </c>
      <c r="I922" s="1" t="s">
        <v>2281</v>
      </c>
      <c r="J922" s="1" t="s">
        <v>2282</v>
      </c>
      <c r="K922" s="1" t="s">
        <v>2282</v>
      </c>
      <c r="M922" s="1">
        <v>-11.0</v>
      </c>
      <c r="O922" s="1">
        <v>8.3988</v>
      </c>
    </row>
    <row r="923" ht="15.75" hidden="1" customHeight="1">
      <c r="A923" s="4">
        <v>45535.0</v>
      </c>
      <c r="B923" s="1" t="s">
        <v>88</v>
      </c>
      <c r="C923" s="1" t="s">
        <v>89</v>
      </c>
      <c r="D923" s="1">
        <v>391.0</v>
      </c>
      <c r="E923" s="1">
        <v>0.0</v>
      </c>
      <c r="F923" s="1" t="s">
        <v>90</v>
      </c>
      <c r="G923" s="1" t="s">
        <v>91</v>
      </c>
      <c r="H923" s="1" t="s">
        <v>92</v>
      </c>
      <c r="I923" s="1" t="s">
        <v>2283</v>
      </c>
      <c r="J923" s="1" t="s">
        <v>2284</v>
      </c>
      <c r="K923" s="1" t="s">
        <v>2284</v>
      </c>
      <c r="M923" s="1">
        <v>-5.0</v>
      </c>
      <c r="O923" s="1">
        <v>9.54845</v>
      </c>
    </row>
    <row r="924" ht="15.75" hidden="1" customHeight="1">
      <c r="A924" s="4">
        <v>45535.0</v>
      </c>
      <c r="B924" s="1" t="s">
        <v>88</v>
      </c>
      <c r="C924" s="1" t="s">
        <v>89</v>
      </c>
      <c r="D924" s="1">
        <v>877.0</v>
      </c>
      <c r="E924" s="1">
        <v>0.0</v>
      </c>
      <c r="F924" s="1" t="s">
        <v>90</v>
      </c>
      <c r="G924" s="1" t="s">
        <v>91</v>
      </c>
      <c r="H924" s="1" t="s">
        <v>92</v>
      </c>
      <c r="I924" s="1" t="s">
        <v>2285</v>
      </c>
      <c r="J924" s="1" t="s">
        <v>2286</v>
      </c>
      <c r="K924" s="1" t="s">
        <v>2286</v>
      </c>
      <c r="M924" s="1">
        <v>-9.0</v>
      </c>
      <c r="O924" s="1">
        <v>10.342316666666667</v>
      </c>
    </row>
    <row r="925" ht="15.75" hidden="1" customHeight="1">
      <c r="A925" s="4">
        <v>45535.0</v>
      </c>
      <c r="B925" s="1" t="s">
        <v>95</v>
      </c>
      <c r="C925" s="1" t="s">
        <v>104</v>
      </c>
      <c r="D925" s="1">
        <v>247.0</v>
      </c>
      <c r="E925" s="1">
        <v>62.0</v>
      </c>
      <c r="G925" s="1" t="s">
        <v>119</v>
      </c>
      <c r="H925" s="1" t="s">
        <v>92</v>
      </c>
      <c r="I925" s="1" t="s">
        <v>2287</v>
      </c>
      <c r="J925" s="1" t="s">
        <v>2288</v>
      </c>
      <c r="K925" s="1" t="s">
        <v>2288</v>
      </c>
      <c r="M925" s="1">
        <v>-12.0</v>
      </c>
      <c r="O925" s="1">
        <v>6.52595</v>
      </c>
    </row>
    <row r="926" ht="15.75" hidden="1" customHeight="1">
      <c r="A926" s="4">
        <v>45535.0</v>
      </c>
      <c r="B926" s="1" t="s">
        <v>95</v>
      </c>
      <c r="C926" s="1" t="s">
        <v>89</v>
      </c>
      <c r="D926" s="1">
        <v>586.0</v>
      </c>
      <c r="E926" s="1">
        <v>26.0</v>
      </c>
      <c r="F926" s="1" t="s">
        <v>90</v>
      </c>
      <c r="G926" s="1" t="s">
        <v>97</v>
      </c>
      <c r="H926" s="1" t="s">
        <v>92</v>
      </c>
      <c r="I926" s="1" t="s">
        <v>2289</v>
      </c>
      <c r="J926" s="1" t="s">
        <v>2290</v>
      </c>
      <c r="K926" s="1" t="s">
        <v>2291</v>
      </c>
      <c r="L926" s="1" t="s">
        <v>2292</v>
      </c>
      <c r="M926" s="1">
        <v>6.0</v>
      </c>
      <c r="N926" s="1">
        <v>16.3099</v>
      </c>
      <c r="O926" s="1">
        <v>10.158366666666666</v>
      </c>
    </row>
    <row r="927" ht="15.75" hidden="1" customHeight="1">
      <c r="A927" s="4">
        <v>45535.0</v>
      </c>
      <c r="B927" s="1" t="s">
        <v>95</v>
      </c>
      <c r="C927" s="1" t="s">
        <v>89</v>
      </c>
      <c r="D927" s="1">
        <v>309.0</v>
      </c>
      <c r="E927" s="1">
        <v>0.0</v>
      </c>
      <c r="F927" s="1" t="s">
        <v>54</v>
      </c>
      <c r="G927" s="1" t="s">
        <v>97</v>
      </c>
      <c r="H927" s="1" t="s">
        <v>92</v>
      </c>
      <c r="I927" s="1" t="s">
        <v>2293</v>
      </c>
      <c r="J927" s="1" t="s">
        <v>2294</v>
      </c>
      <c r="K927" s="1" t="s">
        <v>2295</v>
      </c>
      <c r="L927" s="1" t="s">
        <v>2296</v>
      </c>
      <c r="M927" s="1">
        <v>3.0</v>
      </c>
      <c r="N927" s="1">
        <v>0.007266666666666667</v>
      </c>
      <c r="O927" s="1">
        <v>5.51465</v>
      </c>
    </row>
    <row r="928" ht="15.75" hidden="1" customHeight="1">
      <c r="A928" s="4">
        <v>45535.0</v>
      </c>
      <c r="B928" s="1" t="s">
        <v>95</v>
      </c>
      <c r="C928" s="1" t="s">
        <v>89</v>
      </c>
      <c r="D928" s="1">
        <v>578.0</v>
      </c>
      <c r="E928" s="1">
        <v>0.0</v>
      </c>
      <c r="F928" s="1" t="s">
        <v>54</v>
      </c>
      <c r="G928" s="1" t="s">
        <v>97</v>
      </c>
      <c r="H928" s="1" t="s">
        <v>98</v>
      </c>
      <c r="I928" s="1" t="s">
        <v>2297</v>
      </c>
      <c r="J928" s="1" t="s">
        <v>2298</v>
      </c>
      <c r="K928" s="1" t="s">
        <v>2299</v>
      </c>
      <c r="L928" s="1" t="s">
        <v>2300</v>
      </c>
      <c r="M928" s="1">
        <v>-1.0</v>
      </c>
      <c r="N928" s="1">
        <v>0.008966666666666666</v>
      </c>
      <c r="O928" s="1">
        <v>9.9853</v>
      </c>
    </row>
    <row r="929" ht="15.75" hidden="1" customHeight="1">
      <c r="A929" s="4">
        <v>45535.0</v>
      </c>
      <c r="B929" s="1" t="s">
        <v>95</v>
      </c>
      <c r="C929" s="1" t="s">
        <v>104</v>
      </c>
      <c r="D929" s="1">
        <v>199.0</v>
      </c>
      <c r="E929" s="1">
        <v>50.0</v>
      </c>
      <c r="G929" s="1" t="s">
        <v>119</v>
      </c>
      <c r="H929" s="1" t="s">
        <v>92</v>
      </c>
      <c r="I929" s="1" t="s">
        <v>2301</v>
      </c>
      <c r="J929" s="1" t="s">
        <v>2302</v>
      </c>
      <c r="K929" s="1" t="s">
        <v>2302</v>
      </c>
      <c r="M929" s="1">
        <v>-13.0</v>
      </c>
      <c r="O929" s="1">
        <v>4.80335</v>
      </c>
    </row>
    <row r="930" ht="15.75" hidden="1" customHeight="1">
      <c r="A930" s="4">
        <v>45535.0</v>
      </c>
      <c r="B930" s="1" t="s">
        <v>95</v>
      </c>
      <c r="C930" s="1" t="s">
        <v>104</v>
      </c>
      <c r="D930" s="1">
        <v>359.0</v>
      </c>
      <c r="E930" s="1">
        <v>75.0</v>
      </c>
      <c r="G930" s="1" t="s">
        <v>119</v>
      </c>
      <c r="H930" s="1" t="s">
        <v>213</v>
      </c>
      <c r="I930" s="1" t="s">
        <v>2303</v>
      </c>
      <c r="J930" s="1" t="s">
        <v>2304</v>
      </c>
      <c r="K930" s="1" t="s">
        <v>2304</v>
      </c>
      <c r="M930" s="1">
        <v>-25.0</v>
      </c>
      <c r="O930" s="1">
        <v>9.027783333333334</v>
      </c>
    </row>
    <row r="931" ht="15.75" hidden="1" customHeight="1">
      <c r="A931" s="4">
        <v>45535.0</v>
      </c>
      <c r="B931" s="1" t="s">
        <v>95</v>
      </c>
      <c r="C931" s="1" t="s">
        <v>104</v>
      </c>
      <c r="D931" s="1">
        <v>358.0</v>
      </c>
      <c r="E931" s="1">
        <v>67.0</v>
      </c>
      <c r="G931" s="1" t="s">
        <v>119</v>
      </c>
      <c r="H931" s="1" t="s">
        <v>98</v>
      </c>
      <c r="I931" s="1" t="s">
        <v>2305</v>
      </c>
      <c r="J931" s="1" t="s">
        <v>2306</v>
      </c>
      <c r="K931" s="1" t="s">
        <v>2306</v>
      </c>
      <c r="M931" s="1">
        <v>-11.0</v>
      </c>
      <c r="O931" s="1">
        <v>7.7374</v>
      </c>
    </row>
    <row r="932" ht="15.75" hidden="1" customHeight="1">
      <c r="A932" s="4">
        <v>45535.0</v>
      </c>
      <c r="B932" s="1" t="s">
        <v>88</v>
      </c>
      <c r="C932" s="1" t="s">
        <v>89</v>
      </c>
      <c r="D932" s="1">
        <v>289.0</v>
      </c>
      <c r="E932" s="1">
        <v>0.0</v>
      </c>
      <c r="F932" s="1" t="s">
        <v>90</v>
      </c>
      <c r="G932" s="1" t="s">
        <v>91</v>
      </c>
      <c r="H932" s="1" t="s">
        <v>92</v>
      </c>
      <c r="I932" s="1" t="s">
        <v>2307</v>
      </c>
      <c r="J932" s="1" t="s">
        <v>2308</v>
      </c>
      <c r="K932" s="1" t="s">
        <v>2308</v>
      </c>
      <c r="M932" s="1">
        <v>-8.0</v>
      </c>
      <c r="O932" s="1">
        <v>6.489566666666667</v>
      </c>
    </row>
    <row r="933" ht="15.75" hidden="1" customHeight="1">
      <c r="A933" s="4">
        <v>45535.0</v>
      </c>
      <c r="B933" s="1" t="s">
        <v>95</v>
      </c>
      <c r="C933" s="1" t="s">
        <v>89</v>
      </c>
      <c r="D933" s="1">
        <v>417.0</v>
      </c>
      <c r="E933" s="1">
        <v>0.0</v>
      </c>
      <c r="F933" s="1" t="s">
        <v>54</v>
      </c>
      <c r="G933" s="1" t="s">
        <v>97</v>
      </c>
      <c r="H933" s="1" t="s">
        <v>92</v>
      </c>
      <c r="I933" s="1" t="s">
        <v>2309</v>
      </c>
      <c r="J933" s="1" t="s">
        <v>2310</v>
      </c>
      <c r="K933" s="1" t="s">
        <v>2311</v>
      </c>
      <c r="L933" s="1" t="s">
        <v>2312</v>
      </c>
      <c r="M933" s="1">
        <v>-11.0</v>
      </c>
      <c r="N933" s="1">
        <v>0.00935</v>
      </c>
      <c r="O933" s="1">
        <v>5.756366666666667</v>
      </c>
    </row>
    <row r="934" ht="15.75" hidden="1" customHeight="1">
      <c r="A934" s="4">
        <v>45535.0</v>
      </c>
      <c r="B934" s="1" t="s">
        <v>88</v>
      </c>
      <c r="C934" s="1" t="s">
        <v>89</v>
      </c>
      <c r="D934" s="1">
        <v>258.0</v>
      </c>
      <c r="E934" s="1">
        <v>0.0</v>
      </c>
      <c r="F934" s="1" t="s">
        <v>90</v>
      </c>
      <c r="G934" s="1" t="s">
        <v>91</v>
      </c>
      <c r="H934" s="1" t="s">
        <v>92</v>
      </c>
      <c r="I934" s="1" t="s">
        <v>2313</v>
      </c>
      <c r="J934" s="1" t="s">
        <v>2314</v>
      </c>
      <c r="K934" s="1" t="s">
        <v>2314</v>
      </c>
      <c r="M934" s="1">
        <v>-8.0</v>
      </c>
      <c r="O934" s="1">
        <v>6.587733333333333</v>
      </c>
    </row>
    <row r="935" ht="15.75" hidden="1" customHeight="1">
      <c r="A935" s="4">
        <v>45535.0</v>
      </c>
      <c r="B935" s="1" t="s">
        <v>103</v>
      </c>
      <c r="C935" s="1" t="s">
        <v>104</v>
      </c>
      <c r="D935" s="1">
        <v>378.0</v>
      </c>
      <c r="E935" s="1">
        <v>0.0</v>
      </c>
      <c r="G935" s="1" t="s">
        <v>91</v>
      </c>
      <c r="H935" s="1" t="s">
        <v>98</v>
      </c>
      <c r="I935" s="1" t="s">
        <v>2315</v>
      </c>
      <c r="J935" s="1" t="s">
        <v>2316</v>
      </c>
      <c r="K935" s="1" t="s">
        <v>2316</v>
      </c>
      <c r="M935" s="1">
        <v>-1.0</v>
      </c>
      <c r="O935" s="1">
        <v>6.3897</v>
      </c>
    </row>
    <row r="936" ht="15.75" customHeight="1">
      <c r="A936" s="4">
        <v>45535.0</v>
      </c>
      <c r="B936" s="1" t="s">
        <v>103</v>
      </c>
      <c r="C936" s="1" t="s">
        <v>104</v>
      </c>
      <c r="D936" s="1">
        <v>1524.0</v>
      </c>
      <c r="E936" s="1">
        <v>0.0</v>
      </c>
      <c r="G936" s="1" t="s">
        <v>91</v>
      </c>
      <c r="H936" s="1" t="s">
        <v>92</v>
      </c>
      <c r="I936" s="1" t="s">
        <v>2317</v>
      </c>
      <c r="J936" s="1" t="s">
        <v>2318</v>
      </c>
      <c r="K936" s="1" t="s">
        <v>2318</v>
      </c>
      <c r="M936" s="1">
        <v>-2.0</v>
      </c>
      <c r="O936" s="1">
        <v>11.10425</v>
      </c>
    </row>
    <row r="937" ht="15.75" hidden="1" customHeight="1">
      <c r="A937" s="4">
        <v>45535.0</v>
      </c>
      <c r="B937" s="1" t="s">
        <v>88</v>
      </c>
      <c r="C937" s="1" t="s">
        <v>89</v>
      </c>
      <c r="D937" s="1">
        <v>453.0</v>
      </c>
      <c r="E937" s="1">
        <v>0.0</v>
      </c>
      <c r="F937" s="1" t="s">
        <v>90</v>
      </c>
      <c r="G937" s="1" t="s">
        <v>91</v>
      </c>
      <c r="H937" s="1" t="s">
        <v>92</v>
      </c>
      <c r="I937" s="1" t="s">
        <v>2319</v>
      </c>
      <c r="J937" s="1" t="s">
        <v>2320</v>
      </c>
      <c r="K937" s="1" t="s">
        <v>2320</v>
      </c>
      <c r="M937" s="1">
        <v>-6.0</v>
      </c>
      <c r="O937" s="1">
        <v>8.841883333333334</v>
      </c>
    </row>
    <row r="938" ht="15.75" hidden="1" customHeight="1">
      <c r="A938" s="4">
        <v>45535.0</v>
      </c>
      <c r="B938" s="1" t="s">
        <v>88</v>
      </c>
      <c r="C938" s="1" t="s">
        <v>89</v>
      </c>
      <c r="D938" s="1">
        <v>258.0</v>
      </c>
      <c r="E938" s="1">
        <v>0.0</v>
      </c>
      <c r="F938" s="1" t="s">
        <v>90</v>
      </c>
      <c r="G938" s="1" t="s">
        <v>91</v>
      </c>
      <c r="H938" s="1" t="s">
        <v>92</v>
      </c>
      <c r="I938" s="1" t="s">
        <v>2321</v>
      </c>
      <c r="J938" s="1" t="s">
        <v>2322</v>
      </c>
      <c r="K938" s="1" t="s">
        <v>2322</v>
      </c>
      <c r="M938" s="1">
        <v>-7.0</v>
      </c>
      <c r="O938" s="1">
        <v>7.4713666666666665</v>
      </c>
    </row>
    <row r="939" ht="15.75" hidden="1" customHeight="1">
      <c r="A939" s="4">
        <v>45535.0</v>
      </c>
      <c r="B939" s="1" t="s">
        <v>95</v>
      </c>
      <c r="C939" s="1" t="s">
        <v>89</v>
      </c>
      <c r="D939" s="1">
        <v>684.0</v>
      </c>
      <c r="E939" s="1">
        <v>18.0</v>
      </c>
      <c r="F939" s="1" t="s">
        <v>54</v>
      </c>
      <c r="G939" s="1" t="s">
        <v>97</v>
      </c>
      <c r="H939" s="1" t="s">
        <v>92</v>
      </c>
      <c r="I939" s="1" t="s">
        <v>2323</v>
      </c>
      <c r="J939" s="1" t="s">
        <v>2324</v>
      </c>
      <c r="K939" s="1" t="s">
        <v>2325</v>
      </c>
      <c r="L939" s="1" t="s">
        <v>2326</v>
      </c>
      <c r="M939" s="1">
        <v>-3.0</v>
      </c>
      <c r="N939" s="1">
        <v>0.012366666666666666</v>
      </c>
      <c r="O939" s="1">
        <v>6.691183333333333</v>
      </c>
    </row>
    <row r="940" ht="15.75" hidden="1" customHeight="1">
      <c r="A940" s="4">
        <v>45535.0</v>
      </c>
      <c r="B940" s="1" t="s">
        <v>228</v>
      </c>
      <c r="C940" s="1" t="s">
        <v>104</v>
      </c>
      <c r="D940" s="1">
        <v>306.0</v>
      </c>
      <c r="E940" s="1">
        <v>0.0</v>
      </c>
      <c r="G940" s="1" t="s">
        <v>119</v>
      </c>
      <c r="H940" s="1" t="s">
        <v>98</v>
      </c>
      <c r="I940" s="1" t="s">
        <v>2327</v>
      </c>
      <c r="J940" s="1" t="s">
        <v>2328</v>
      </c>
      <c r="K940" s="1" t="s">
        <v>2328</v>
      </c>
      <c r="M940" s="1">
        <v>2.0</v>
      </c>
      <c r="O940" s="1">
        <v>7.428983333333333</v>
      </c>
    </row>
    <row r="941" ht="15.75" hidden="1" customHeight="1">
      <c r="A941" s="4">
        <v>45535.0</v>
      </c>
      <c r="B941" s="1" t="s">
        <v>88</v>
      </c>
      <c r="C941" s="1" t="s">
        <v>89</v>
      </c>
      <c r="D941" s="1">
        <v>329.0</v>
      </c>
      <c r="E941" s="1">
        <v>0.0</v>
      </c>
      <c r="F941" s="1" t="s">
        <v>90</v>
      </c>
      <c r="G941" s="1" t="s">
        <v>91</v>
      </c>
      <c r="H941" s="1" t="s">
        <v>92</v>
      </c>
      <c r="I941" s="1" t="s">
        <v>2329</v>
      </c>
      <c r="J941" s="1" t="s">
        <v>2330</v>
      </c>
      <c r="K941" s="1" t="s">
        <v>2330</v>
      </c>
      <c r="M941" s="1">
        <v>-7.0</v>
      </c>
      <c r="O941" s="1">
        <v>7.096016666666666</v>
      </c>
    </row>
    <row r="942" ht="15.75" hidden="1" customHeight="1">
      <c r="A942" s="4">
        <v>45535.0</v>
      </c>
      <c r="B942" s="1" t="s">
        <v>95</v>
      </c>
      <c r="C942" s="1" t="s">
        <v>104</v>
      </c>
      <c r="D942" s="1">
        <v>275.0</v>
      </c>
      <c r="E942" s="1">
        <v>69.0</v>
      </c>
      <c r="G942" s="1" t="s">
        <v>119</v>
      </c>
      <c r="H942" s="1" t="s">
        <v>213</v>
      </c>
      <c r="I942" s="1" t="s">
        <v>2331</v>
      </c>
      <c r="J942" s="1" t="s">
        <v>2332</v>
      </c>
      <c r="K942" s="1" t="s">
        <v>2332</v>
      </c>
      <c r="M942" s="1">
        <v>-11.0</v>
      </c>
      <c r="O942" s="1">
        <v>22.8525</v>
      </c>
    </row>
    <row r="943" ht="15.75" customHeight="1">
      <c r="A943" s="4">
        <v>45535.0</v>
      </c>
      <c r="B943" s="1" t="s">
        <v>103</v>
      </c>
      <c r="C943" s="1" t="s">
        <v>104</v>
      </c>
      <c r="D943" s="1">
        <v>528.0</v>
      </c>
      <c r="E943" s="1">
        <v>0.0</v>
      </c>
      <c r="G943" s="1" t="s">
        <v>91</v>
      </c>
      <c r="H943" s="1" t="s">
        <v>92</v>
      </c>
      <c r="I943" s="1" t="s">
        <v>2333</v>
      </c>
      <c r="J943" s="1" t="s">
        <v>2334</v>
      </c>
      <c r="K943" s="1" t="s">
        <v>2334</v>
      </c>
      <c r="M943" s="1">
        <v>0.0</v>
      </c>
      <c r="O943" s="1">
        <v>8.8054</v>
      </c>
    </row>
    <row r="944" ht="15.75" hidden="1" customHeight="1">
      <c r="A944" s="4">
        <v>45535.0</v>
      </c>
      <c r="B944" s="1" t="s">
        <v>95</v>
      </c>
      <c r="C944" s="1" t="s">
        <v>89</v>
      </c>
      <c r="D944" s="1">
        <v>812.0</v>
      </c>
      <c r="E944" s="1">
        <v>0.0</v>
      </c>
      <c r="F944" s="1" t="s">
        <v>54</v>
      </c>
      <c r="G944" s="1" t="s">
        <v>97</v>
      </c>
      <c r="H944" s="1" t="s">
        <v>92</v>
      </c>
      <c r="I944" s="1" t="s">
        <v>2335</v>
      </c>
      <c r="J944" s="1" t="s">
        <v>2336</v>
      </c>
      <c r="K944" s="1" t="s">
        <v>2337</v>
      </c>
      <c r="L944" s="1" t="s">
        <v>2338</v>
      </c>
      <c r="M944" s="1">
        <v>-2.0</v>
      </c>
      <c r="N944" s="1">
        <v>0.010216666666666667</v>
      </c>
      <c r="O944" s="1">
        <v>17.698433333333334</v>
      </c>
    </row>
    <row r="945" ht="15.75" hidden="1" customHeight="1">
      <c r="A945" s="4">
        <v>45535.0</v>
      </c>
      <c r="B945" s="1" t="s">
        <v>95</v>
      </c>
      <c r="C945" s="1" t="s">
        <v>89</v>
      </c>
      <c r="D945" s="1">
        <v>507.0</v>
      </c>
      <c r="E945" s="1">
        <v>0.0</v>
      </c>
      <c r="F945" s="1" t="s">
        <v>54</v>
      </c>
      <c r="G945" s="1" t="s">
        <v>97</v>
      </c>
      <c r="H945" s="1" t="s">
        <v>92</v>
      </c>
      <c r="I945" s="1" t="s">
        <v>2339</v>
      </c>
      <c r="J945" s="1" t="s">
        <v>2340</v>
      </c>
      <c r="K945" s="1" t="s">
        <v>2341</v>
      </c>
      <c r="L945" s="1" t="s">
        <v>2342</v>
      </c>
      <c r="M945" s="1">
        <v>1.0</v>
      </c>
      <c r="N945" s="1">
        <v>0.00925</v>
      </c>
      <c r="O945" s="1">
        <v>15.206833333333334</v>
      </c>
    </row>
    <row r="946" ht="15.75" hidden="1" customHeight="1">
      <c r="A946" s="4">
        <v>45535.0</v>
      </c>
      <c r="B946" s="1" t="s">
        <v>88</v>
      </c>
      <c r="C946" s="1" t="s">
        <v>89</v>
      </c>
      <c r="D946" s="1">
        <v>289.0</v>
      </c>
      <c r="E946" s="1">
        <v>0.0</v>
      </c>
      <c r="F946" s="1" t="s">
        <v>90</v>
      </c>
      <c r="G946" s="1" t="s">
        <v>91</v>
      </c>
      <c r="H946" s="1" t="s">
        <v>92</v>
      </c>
      <c r="I946" s="1" t="s">
        <v>2343</v>
      </c>
      <c r="J946" s="1" t="s">
        <v>2344</v>
      </c>
      <c r="K946" s="1" t="s">
        <v>2344</v>
      </c>
      <c r="M946" s="1">
        <v>-10.0</v>
      </c>
      <c r="O946" s="1">
        <v>4.9973833333333335</v>
      </c>
    </row>
    <row r="947" ht="15.75" hidden="1" customHeight="1">
      <c r="A947" s="4">
        <v>45535.0</v>
      </c>
      <c r="B947" s="1" t="s">
        <v>95</v>
      </c>
      <c r="C947" s="1" t="s">
        <v>104</v>
      </c>
      <c r="D947" s="1">
        <v>247.0</v>
      </c>
      <c r="E947" s="1">
        <v>62.0</v>
      </c>
      <c r="G947" s="1" t="s">
        <v>119</v>
      </c>
      <c r="H947" s="1" t="s">
        <v>213</v>
      </c>
      <c r="I947" s="1" t="s">
        <v>2345</v>
      </c>
      <c r="J947" s="1" t="s">
        <v>2346</v>
      </c>
      <c r="K947" s="1" t="s">
        <v>2346</v>
      </c>
      <c r="M947" s="1">
        <v>-14.0</v>
      </c>
      <c r="O947" s="1">
        <v>8.249433333333334</v>
      </c>
    </row>
    <row r="948" ht="15.75" hidden="1" customHeight="1">
      <c r="A948" s="4">
        <v>45535.0</v>
      </c>
      <c r="B948" s="1" t="s">
        <v>95</v>
      </c>
      <c r="C948" s="1" t="s">
        <v>104</v>
      </c>
      <c r="D948" s="1">
        <v>199.0</v>
      </c>
      <c r="E948" s="1">
        <v>50.0</v>
      </c>
      <c r="G948" s="1" t="s">
        <v>119</v>
      </c>
      <c r="H948" s="1" t="s">
        <v>92</v>
      </c>
      <c r="I948" s="1" t="s">
        <v>2347</v>
      </c>
      <c r="J948" s="1" t="s">
        <v>2348</v>
      </c>
      <c r="K948" s="1" t="s">
        <v>2348</v>
      </c>
      <c r="M948" s="1">
        <v>-10.0</v>
      </c>
      <c r="O948" s="1">
        <v>6.8387</v>
      </c>
    </row>
    <row r="949" ht="15.75" customHeight="1">
      <c r="A949" s="4">
        <v>45535.0</v>
      </c>
      <c r="B949" s="1" t="s">
        <v>103</v>
      </c>
      <c r="C949" s="1" t="s">
        <v>104</v>
      </c>
      <c r="D949" s="1">
        <v>593.0</v>
      </c>
      <c r="E949" s="1">
        <v>0.0</v>
      </c>
      <c r="G949" s="1" t="s">
        <v>91</v>
      </c>
      <c r="H949" s="1" t="s">
        <v>92</v>
      </c>
      <c r="I949" s="1" t="s">
        <v>2349</v>
      </c>
      <c r="J949" s="1" t="s">
        <v>2350</v>
      </c>
      <c r="K949" s="1" t="s">
        <v>2350</v>
      </c>
      <c r="M949" s="1">
        <v>1.0</v>
      </c>
      <c r="O949" s="1">
        <v>10.12885</v>
      </c>
    </row>
    <row r="950" ht="15.75" customHeight="1">
      <c r="A950" s="4">
        <v>45535.0</v>
      </c>
      <c r="B950" s="1" t="s">
        <v>103</v>
      </c>
      <c r="C950" s="1" t="s">
        <v>104</v>
      </c>
      <c r="D950" s="1">
        <v>793.0</v>
      </c>
      <c r="E950" s="1">
        <v>0.0</v>
      </c>
      <c r="G950" s="1" t="s">
        <v>91</v>
      </c>
      <c r="H950" s="1" t="s">
        <v>92</v>
      </c>
      <c r="I950" s="1" t="s">
        <v>2351</v>
      </c>
      <c r="J950" s="1" t="s">
        <v>2352</v>
      </c>
      <c r="K950" s="1" t="s">
        <v>2352</v>
      </c>
      <c r="M950" s="1">
        <v>0.0</v>
      </c>
      <c r="O950" s="1">
        <v>10.874016666666666</v>
      </c>
    </row>
    <row r="951" ht="15.75" hidden="1" customHeight="1">
      <c r="A951" s="4">
        <v>45535.0</v>
      </c>
      <c r="B951" s="1" t="s">
        <v>95</v>
      </c>
      <c r="C951" s="1" t="s">
        <v>89</v>
      </c>
      <c r="D951" s="1">
        <v>747.0</v>
      </c>
      <c r="E951" s="1">
        <v>0.0</v>
      </c>
      <c r="F951" s="1" t="s">
        <v>54</v>
      </c>
      <c r="G951" s="1" t="s">
        <v>97</v>
      </c>
      <c r="H951" s="1" t="s">
        <v>92</v>
      </c>
      <c r="I951" s="1" t="s">
        <v>2353</v>
      </c>
      <c r="J951" s="1" t="s">
        <v>2354</v>
      </c>
      <c r="K951" s="1" t="s">
        <v>2355</v>
      </c>
      <c r="L951" s="1" t="s">
        <v>2356</v>
      </c>
      <c r="M951" s="1">
        <v>-10.0</v>
      </c>
      <c r="N951" s="1">
        <v>0.013083333333333334</v>
      </c>
      <c r="O951" s="1">
        <v>13.563583333333334</v>
      </c>
    </row>
    <row r="952" ht="15.75" customHeight="1">
      <c r="A952" s="4">
        <v>45535.0</v>
      </c>
      <c r="B952" s="1" t="s">
        <v>103</v>
      </c>
      <c r="C952" s="1" t="s">
        <v>104</v>
      </c>
      <c r="D952" s="1">
        <v>408.0</v>
      </c>
      <c r="E952" s="1">
        <v>0.0</v>
      </c>
      <c r="G952" s="1" t="s">
        <v>91</v>
      </c>
      <c r="H952" s="1" t="s">
        <v>92</v>
      </c>
      <c r="I952" s="1" t="s">
        <v>2357</v>
      </c>
      <c r="J952" s="1" t="s">
        <v>2358</v>
      </c>
      <c r="K952" s="1" t="s">
        <v>2358</v>
      </c>
      <c r="M952" s="1">
        <v>1.0</v>
      </c>
      <c r="O952" s="1">
        <v>8.256866666666667</v>
      </c>
    </row>
    <row r="953" ht="15.75" customHeight="1">
      <c r="A953" s="4">
        <v>45535.0</v>
      </c>
      <c r="B953" s="1" t="s">
        <v>103</v>
      </c>
      <c r="C953" s="1" t="s">
        <v>104</v>
      </c>
      <c r="D953" s="1">
        <v>214.0</v>
      </c>
      <c r="E953" s="1">
        <v>50.0</v>
      </c>
      <c r="G953" s="1" t="s">
        <v>91</v>
      </c>
      <c r="H953" s="1" t="s">
        <v>92</v>
      </c>
      <c r="I953" s="1" t="s">
        <v>2359</v>
      </c>
      <c r="J953" s="1" t="s">
        <v>2360</v>
      </c>
      <c r="K953" s="1" t="s">
        <v>2360</v>
      </c>
      <c r="M953" s="1">
        <v>0.0</v>
      </c>
      <c r="O953" s="1">
        <v>6.87415</v>
      </c>
    </row>
    <row r="954" ht="15.75" hidden="1" customHeight="1">
      <c r="A954" s="4">
        <v>45535.0</v>
      </c>
      <c r="B954" s="1" t="s">
        <v>95</v>
      </c>
      <c r="C954" s="1" t="s">
        <v>104</v>
      </c>
      <c r="D954" s="1">
        <v>522.0</v>
      </c>
      <c r="E954" s="1">
        <v>131.0</v>
      </c>
      <c r="G954" s="1" t="s">
        <v>119</v>
      </c>
      <c r="H954" s="1" t="s">
        <v>213</v>
      </c>
      <c r="I954" s="1" t="s">
        <v>2361</v>
      </c>
      <c r="J954" s="1" t="s">
        <v>2362</v>
      </c>
      <c r="K954" s="1" t="s">
        <v>2362</v>
      </c>
      <c r="M954" s="1">
        <v>-15.0</v>
      </c>
      <c r="O954" s="1">
        <v>8.290233333333333</v>
      </c>
    </row>
    <row r="955" ht="15.75" hidden="1" customHeight="1">
      <c r="A955" s="4">
        <v>45535.0</v>
      </c>
      <c r="B955" s="1" t="s">
        <v>95</v>
      </c>
      <c r="C955" s="1" t="s">
        <v>104</v>
      </c>
      <c r="D955" s="1">
        <v>628.0</v>
      </c>
      <c r="E955" s="1">
        <v>149.0</v>
      </c>
      <c r="G955" s="1" t="s">
        <v>119</v>
      </c>
      <c r="H955" s="1" t="s">
        <v>92</v>
      </c>
      <c r="I955" s="1" t="s">
        <v>2363</v>
      </c>
      <c r="J955" s="1" t="s">
        <v>2364</v>
      </c>
      <c r="K955" s="1" t="s">
        <v>2364</v>
      </c>
      <c r="M955" s="1">
        <v>-12.0</v>
      </c>
      <c r="O955" s="1">
        <v>10.9664</v>
      </c>
    </row>
    <row r="956" ht="15.75" hidden="1" customHeight="1">
      <c r="A956" s="4">
        <v>45535.0</v>
      </c>
      <c r="B956" s="1" t="s">
        <v>103</v>
      </c>
      <c r="C956" s="1" t="s">
        <v>104</v>
      </c>
      <c r="D956" s="1">
        <v>788.0</v>
      </c>
      <c r="E956" s="1">
        <v>0.0</v>
      </c>
      <c r="G956" s="1" t="s">
        <v>91</v>
      </c>
      <c r="H956" s="1" t="s">
        <v>98</v>
      </c>
      <c r="I956" s="1" t="s">
        <v>2365</v>
      </c>
      <c r="J956" s="1" t="s">
        <v>2366</v>
      </c>
      <c r="K956" s="1" t="s">
        <v>2366</v>
      </c>
      <c r="M956" s="1">
        <v>0.0</v>
      </c>
      <c r="O956" s="1">
        <v>10.43965</v>
      </c>
    </row>
    <row r="957" ht="15.75" hidden="1" customHeight="1">
      <c r="A957" s="4">
        <v>45535.0</v>
      </c>
      <c r="B957" s="1" t="s">
        <v>88</v>
      </c>
      <c r="C957" s="1" t="s">
        <v>89</v>
      </c>
      <c r="D957" s="1">
        <v>617.0</v>
      </c>
      <c r="E957" s="1">
        <v>0.0</v>
      </c>
      <c r="F957" s="1" t="s">
        <v>90</v>
      </c>
      <c r="G957" s="1" t="s">
        <v>91</v>
      </c>
      <c r="H957" s="1" t="s">
        <v>92</v>
      </c>
      <c r="I957" s="1" t="s">
        <v>2367</v>
      </c>
      <c r="J957" s="1" t="s">
        <v>2368</v>
      </c>
      <c r="K957" s="1" t="s">
        <v>2368</v>
      </c>
      <c r="M957" s="1">
        <v>-12.0</v>
      </c>
      <c r="O957" s="1">
        <v>7.2453</v>
      </c>
    </row>
    <row r="958" ht="15.75" customHeight="1">
      <c r="A958" s="4">
        <v>45535.0</v>
      </c>
      <c r="B958" s="1" t="s">
        <v>103</v>
      </c>
      <c r="C958" s="1" t="s">
        <v>104</v>
      </c>
      <c r="D958" s="1">
        <v>334.0</v>
      </c>
      <c r="E958" s="1">
        <v>0.0</v>
      </c>
      <c r="G958" s="1" t="s">
        <v>91</v>
      </c>
      <c r="H958" s="1" t="s">
        <v>92</v>
      </c>
      <c r="I958" s="1" t="s">
        <v>2369</v>
      </c>
      <c r="J958" s="1" t="s">
        <v>2370</v>
      </c>
      <c r="K958" s="1" t="s">
        <v>2370</v>
      </c>
      <c r="M958" s="1">
        <v>0.0</v>
      </c>
      <c r="O958" s="1">
        <v>7.81785</v>
      </c>
    </row>
    <row r="959" ht="15.75" hidden="1" customHeight="1">
      <c r="A959" s="4">
        <v>45535.0</v>
      </c>
      <c r="B959" s="1" t="s">
        <v>88</v>
      </c>
      <c r="C959" s="1" t="s">
        <v>89</v>
      </c>
      <c r="D959" s="1">
        <v>321.0</v>
      </c>
      <c r="E959" s="1">
        <v>0.0</v>
      </c>
      <c r="F959" s="1" t="s">
        <v>90</v>
      </c>
      <c r="G959" s="1" t="s">
        <v>91</v>
      </c>
      <c r="H959" s="1" t="s">
        <v>92</v>
      </c>
      <c r="I959" s="1" t="s">
        <v>2371</v>
      </c>
      <c r="J959" s="1" t="s">
        <v>2372</v>
      </c>
      <c r="K959" s="1" t="s">
        <v>2372</v>
      </c>
      <c r="M959" s="1">
        <v>-5.0</v>
      </c>
      <c r="O959" s="1">
        <v>9.20615</v>
      </c>
    </row>
    <row r="960" ht="15.75" hidden="1" customHeight="1">
      <c r="A960" s="4">
        <v>45535.0</v>
      </c>
      <c r="B960" s="1" t="s">
        <v>88</v>
      </c>
      <c r="C960" s="1" t="s">
        <v>89</v>
      </c>
      <c r="D960" s="1">
        <v>264.0</v>
      </c>
      <c r="E960" s="1">
        <v>0.0</v>
      </c>
      <c r="F960" s="1" t="s">
        <v>90</v>
      </c>
      <c r="G960" s="1" t="s">
        <v>91</v>
      </c>
      <c r="H960" s="1" t="s">
        <v>92</v>
      </c>
      <c r="I960" s="1" t="s">
        <v>2373</v>
      </c>
      <c r="J960" s="1" t="s">
        <v>2374</v>
      </c>
      <c r="K960" s="1" t="s">
        <v>2374</v>
      </c>
      <c r="M960" s="1">
        <v>-6.0</v>
      </c>
      <c r="O960" s="1">
        <v>8.182616666666666</v>
      </c>
    </row>
    <row r="961" ht="15.75" hidden="1" customHeight="1">
      <c r="A961" s="4">
        <v>45535.0</v>
      </c>
      <c r="B961" s="1" t="s">
        <v>95</v>
      </c>
      <c r="C961" s="1" t="s">
        <v>104</v>
      </c>
      <c r="D961" s="1">
        <v>398.0</v>
      </c>
      <c r="E961" s="1">
        <v>100.0</v>
      </c>
      <c r="G961" s="1" t="s">
        <v>119</v>
      </c>
      <c r="H961" s="1" t="s">
        <v>213</v>
      </c>
      <c r="I961" s="1" t="s">
        <v>2375</v>
      </c>
      <c r="J961" s="1" t="s">
        <v>2376</v>
      </c>
      <c r="K961" s="1" t="s">
        <v>2376</v>
      </c>
      <c r="M961" s="1">
        <v>-6.0</v>
      </c>
      <c r="O961" s="1">
        <v>26.8426</v>
      </c>
    </row>
    <row r="962" ht="15.75" hidden="1" customHeight="1">
      <c r="A962" s="4">
        <v>45535.0</v>
      </c>
      <c r="B962" s="1" t="s">
        <v>95</v>
      </c>
      <c r="C962" s="1" t="s">
        <v>89</v>
      </c>
      <c r="D962" s="1">
        <v>555.0</v>
      </c>
      <c r="E962" s="1">
        <v>0.0</v>
      </c>
      <c r="F962" s="1" t="s">
        <v>54</v>
      </c>
      <c r="G962" s="1" t="s">
        <v>97</v>
      </c>
      <c r="H962" s="1" t="s">
        <v>92</v>
      </c>
      <c r="I962" s="1" t="s">
        <v>2377</v>
      </c>
      <c r="J962" s="1" t="s">
        <v>2378</v>
      </c>
      <c r="K962" s="1" t="s">
        <v>2379</v>
      </c>
      <c r="L962" s="1" t="s">
        <v>2380</v>
      </c>
      <c r="M962" s="1">
        <v>-17.0</v>
      </c>
      <c r="N962" s="1">
        <v>0.009166666666666667</v>
      </c>
      <c r="O962" s="1">
        <v>36.835966666666664</v>
      </c>
    </row>
    <row r="963" ht="15.75" customHeight="1">
      <c r="A963" s="4">
        <v>45535.0</v>
      </c>
      <c r="B963" s="1" t="s">
        <v>103</v>
      </c>
      <c r="C963" s="1" t="s">
        <v>104</v>
      </c>
      <c r="D963" s="1">
        <v>504.0</v>
      </c>
      <c r="E963" s="1">
        <v>0.0</v>
      </c>
      <c r="G963" s="1" t="s">
        <v>91</v>
      </c>
      <c r="H963" s="1" t="s">
        <v>92</v>
      </c>
      <c r="I963" s="1" t="s">
        <v>2381</v>
      </c>
      <c r="J963" s="1" t="s">
        <v>2382</v>
      </c>
      <c r="K963" s="1" t="s">
        <v>2382</v>
      </c>
      <c r="M963" s="1">
        <v>0.0</v>
      </c>
      <c r="O963" s="1">
        <v>7.5652</v>
      </c>
    </row>
    <row r="964" ht="15.75" hidden="1" customHeight="1">
      <c r="A964" s="4">
        <v>45535.0</v>
      </c>
      <c r="B964" s="1" t="s">
        <v>88</v>
      </c>
      <c r="C964" s="1" t="s">
        <v>89</v>
      </c>
      <c r="D964" s="1">
        <v>129.0</v>
      </c>
      <c r="E964" s="1">
        <v>0.0</v>
      </c>
      <c r="F964" s="1" t="s">
        <v>90</v>
      </c>
      <c r="G964" s="1" t="s">
        <v>91</v>
      </c>
      <c r="H964" s="1" t="s">
        <v>92</v>
      </c>
      <c r="I964" s="1" t="s">
        <v>2383</v>
      </c>
      <c r="J964" s="1" t="s">
        <v>2384</v>
      </c>
      <c r="K964" s="1" t="s">
        <v>2384</v>
      </c>
      <c r="M964" s="1">
        <v>-1.0</v>
      </c>
      <c r="O964" s="1">
        <v>13.06295</v>
      </c>
    </row>
    <row r="965" ht="15.75" customHeight="1">
      <c r="A965" s="4">
        <v>45535.0</v>
      </c>
      <c r="B965" s="1" t="s">
        <v>103</v>
      </c>
      <c r="C965" s="1" t="s">
        <v>104</v>
      </c>
      <c r="D965" s="1">
        <v>540.0</v>
      </c>
      <c r="E965" s="1">
        <v>0.0</v>
      </c>
      <c r="G965" s="1" t="s">
        <v>91</v>
      </c>
      <c r="H965" s="1" t="s">
        <v>92</v>
      </c>
      <c r="I965" s="1" t="s">
        <v>2385</v>
      </c>
      <c r="J965" s="1" t="s">
        <v>2386</v>
      </c>
      <c r="K965" s="1" t="s">
        <v>2386</v>
      </c>
      <c r="M965" s="1">
        <v>3.0</v>
      </c>
      <c r="O965" s="1">
        <v>11.959716666666667</v>
      </c>
    </row>
    <row r="966" ht="15.75" hidden="1" customHeight="1">
      <c r="A966" s="4">
        <v>45535.0</v>
      </c>
      <c r="B966" s="1" t="s">
        <v>95</v>
      </c>
      <c r="C966" s="1" t="s">
        <v>89</v>
      </c>
      <c r="D966" s="1">
        <v>933.0</v>
      </c>
      <c r="E966" s="1">
        <v>0.0</v>
      </c>
      <c r="F966" s="1" t="s">
        <v>65</v>
      </c>
      <c r="G966" s="1" t="s">
        <v>97</v>
      </c>
      <c r="H966" s="1" t="s">
        <v>98</v>
      </c>
      <c r="I966" s="1" t="s">
        <v>2387</v>
      </c>
      <c r="J966" s="1" t="s">
        <v>2388</v>
      </c>
      <c r="K966" s="1" t="s">
        <v>2389</v>
      </c>
      <c r="L966" s="1" t="s">
        <v>2390</v>
      </c>
      <c r="M966" s="1">
        <v>-12.0</v>
      </c>
      <c r="N966" s="1">
        <v>0.012716666666666666</v>
      </c>
      <c r="O966" s="1">
        <v>13.36945</v>
      </c>
    </row>
    <row r="967" ht="15.75" hidden="1" customHeight="1">
      <c r="A967" s="4">
        <v>45535.0</v>
      </c>
      <c r="B967" s="1" t="s">
        <v>88</v>
      </c>
      <c r="C967" s="1" t="s">
        <v>89</v>
      </c>
      <c r="D967" s="1">
        <v>658.0</v>
      </c>
      <c r="E967" s="1">
        <v>0.0</v>
      </c>
      <c r="F967" s="1" t="s">
        <v>90</v>
      </c>
      <c r="G967" s="1" t="s">
        <v>91</v>
      </c>
      <c r="H967" s="1" t="s">
        <v>92</v>
      </c>
      <c r="I967" s="1" t="s">
        <v>2391</v>
      </c>
      <c r="J967" s="1" t="s">
        <v>2392</v>
      </c>
      <c r="K967" s="1" t="s">
        <v>2392</v>
      </c>
      <c r="M967" s="1">
        <v>-2.0</v>
      </c>
      <c r="O967" s="1">
        <v>17.615966666666665</v>
      </c>
    </row>
    <row r="968" ht="15.75" hidden="1" customHeight="1">
      <c r="A968" s="4">
        <v>45535.0</v>
      </c>
      <c r="B968" s="1" t="s">
        <v>228</v>
      </c>
      <c r="C968" s="1" t="s">
        <v>104</v>
      </c>
      <c r="D968" s="1">
        <v>249.0</v>
      </c>
      <c r="E968" s="1">
        <v>0.0</v>
      </c>
      <c r="G968" s="1" t="s">
        <v>119</v>
      </c>
      <c r="H968" s="1" t="s">
        <v>98</v>
      </c>
      <c r="I968" s="1" t="s">
        <v>2393</v>
      </c>
      <c r="J968" s="1" t="s">
        <v>2394</v>
      </c>
      <c r="K968" s="1" t="s">
        <v>2394</v>
      </c>
      <c r="M968" s="1">
        <v>0.0</v>
      </c>
      <c r="O968" s="1">
        <v>5.97885</v>
      </c>
    </row>
    <row r="969" ht="15.75" hidden="1" customHeight="1">
      <c r="A969" s="4">
        <v>45535.0</v>
      </c>
      <c r="B969" s="1" t="s">
        <v>95</v>
      </c>
      <c r="C969" s="1" t="s">
        <v>104</v>
      </c>
      <c r="D969" s="1">
        <v>167.0</v>
      </c>
      <c r="E969" s="1">
        <v>42.0</v>
      </c>
      <c r="G969" s="1" t="s">
        <v>119</v>
      </c>
      <c r="H969" s="1" t="s">
        <v>92</v>
      </c>
      <c r="I969" s="1" t="s">
        <v>2395</v>
      </c>
      <c r="J969" s="1" t="s">
        <v>2396</v>
      </c>
      <c r="K969" s="1" t="s">
        <v>2396</v>
      </c>
      <c r="M969" s="1">
        <v>-5.0</v>
      </c>
      <c r="O969" s="1">
        <v>11.184933333333333</v>
      </c>
    </row>
    <row r="970" ht="15.75" customHeight="1">
      <c r="A970" s="4">
        <v>45535.0</v>
      </c>
      <c r="B970" s="1" t="s">
        <v>103</v>
      </c>
      <c r="C970" s="1" t="s">
        <v>104</v>
      </c>
      <c r="D970" s="1">
        <v>264.0</v>
      </c>
      <c r="E970" s="1">
        <v>0.0</v>
      </c>
      <c r="G970" s="1" t="s">
        <v>91</v>
      </c>
      <c r="H970" s="1" t="s">
        <v>92</v>
      </c>
      <c r="I970" s="1" t="s">
        <v>2397</v>
      </c>
      <c r="J970" s="1" t="s">
        <v>2398</v>
      </c>
      <c r="K970" s="1" t="s">
        <v>2398</v>
      </c>
      <c r="M970" s="1">
        <v>0.0</v>
      </c>
      <c r="O970" s="1">
        <v>6.964483333333333</v>
      </c>
    </row>
    <row r="971" ht="15.75" hidden="1" customHeight="1">
      <c r="A971" s="4">
        <v>45535.0</v>
      </c>
      <c r="B971" s="1" t="s">
        <v>228</v>
      </c>
      <c r="C971" s="1" t="s">
        <v>104</v>
      </c>
      <c r="D971" s="1">
        <v>249.0</v>
      </c>
      <c r="E971" s="1">
        <v>0.0</v>
      </c>
      <c r="G971" s="1" t="s">
        <v>119</v>
      </c>
      <c r="H971" s="1" t="s">
        <v>98</v>
      </c>
      <c r="I971" s="1" t="s">
        <v>2399</v>
      </c>
      <c r="J971" s="1" t="s">
        <v>2400</v>
      </c>
      <c r="K971" s="1" t="s">
        <v>2400</v>
      </c>
      <c r="M971" s="1">
        <v>3.0</v>
      </c>
      <c r="O971" s="1">
        <v>8.699083333333334</v>
      </c>
    </row>
    <row r="972" ht="15.75" hidden="1" customHeight="1">
      <c r="A972" s="4">
        <v>45535.0</v>
      </c>
      <c r="B972" s="1" t="s">
        <v>88</v>
      </c>
      <c r="C972" s="1" t="s">
        <v>89</v>
      </c>
      <c r="D972" s="1">
        <v>329.0</v>
      </c>
      <c r="E972" s="1">
        <v>0.0</v>
      </c>
      <c r="F972" s="1" t="s">
        <v>90</v>
      </c>
      <c r="G972" s="1" t="s">
        <v>91</v>
      </c>
      <c r="H972" s="1" t="s">
        <v>92</v>
      </c>
      <c r="I972" s="1" t="s">
        <v>2401</v>
      </c>
      <c r="J972" s="1" t="s">
        <v>2402</v>
      </c>
      <c r="K972" s="1" t="s">
        <v>2402</v>
      </c>
      <c r="M972" s="1">
        <v>-6.0</v>
      </c>
      <c r="O972" s="1">
        <v>8.436</v>
      </c>
    </row>
    <row r="973" ht="15.75" customHeight="1">
      <c r="A973" s="4">
        <v>45535.0</v>
      </c>
      <c r="B973" s="1" t="s">
        <v>103</v>
      </c>
      <c r="C973" s="1" t="s">
        <v>104</v>
      </c>
      <c r="D973" s="1">
        <v>468.0</v>
      </c>
      <c r="E973" s="1">
        <v>0.0</v>
      </c>
      <c r="G973" s="1" t="s">
        <v>91</v>
      </c>
      <c r="H973" s="1" t="s">
        <v>92</v>
      </c>
      <c r="I973" s="1" t="s">
        <v>2403</v>
      </c>
      <c r="J973" s="1" t="s">
        <v>2404</v>
      </c>
      <c r="K973" s="1" t="s">
        <v>2404</v>
      </c>
      <c r="M973" s="1">
        <v>3.0</v>
      </c>
      <c r="O973" s="1">
        <v>11.44185</v>
      </c>
    </row>
    <row r="974" ht="15.75" hidden="1" customHeight="1">
      <c r="A974" s="4">
        <v>45535.0</v>
      </c>
      <c r="B974" s="1" t="s">
        <v>88</v>
      </c>
      <c r="C974" s="1" t="s">
        <v>89</v>
      </c>
      <c r="D974" s="1">
        <v>410.0</v>
      </c>
      <c r="E974" s="1">
        <v>0.0</v>
      </c>
      <c r="F974" s="1" t="s">
        <v>90</v>
      </c>
      <c r="G974" s="1" t="s">
        <v>91</v>
      </c>
      <c r="H974" s="1" t="s">
        <v>92</v>
      </c>
      <c r="I974" s="1" t="s">
        <v>2405</v>
      </c>
      <c r="J974" s="1" t="s">
        <v>2406</v>
      </c>
      <c r="K974" s="1" t="s">
        <v>2406</v>
      </c>
      <c r="M974" s="1">
        <v>-8.0</v>
      </c>
      <c r="O974" s="1">
        <v>6.11005</v>
      </c>
    </row>
    <row r="975" ht="15.75" hidden="1" customHeight="1">
      <c r="A975" s="4">
        <v>45535.0</v>
      </c>
      <c r="B975" s="1" t="s">
        <v>103</v>
      </c>
      <c r="C975" s="1" t="s">
        <v>104</v>
      </c>
      <c r="D975" s="1">
        <v>264.0</v>
      </c>
      <c r="E975" s="1">
        <v>0.0</v>
      </c>
      <c r="G975" s="1" t="s">
        <v>91</v>
      </c>
      <c r="H975" s="1" t="s">
        <v>98</v>
      </c>
      <c r="I975" s="1" t="s">
        <v>2407</v>
      </c>
      <c r="J975" s="1" t="s">
        <v>2408</v>
      </c>
      <c r="K975" s="1" t="s">
        <v>2408</v>
      </c>
      <c r="M975" s="1">
        <v>1.0</v>
      </c>
      <c r="O975" s="1">
        <v>7.0374</v>
      </c>
    </row>
    <row r="976" ht="15.75" customHeight="1">
      <c r="A976" s="4">
        <v>45535.0</v>
      </c>
      <c r="B976" s="1" t="s">
        <v>103</v>
      </c>
      <c r="C976" s="1" t="s">
        <v>104</v>
      </c>
      <c r="D976" s="1">
        <v>329.0</v>
      </c>
      <c r="E976" s="1">
        <v>0.0</v>
      </c>
      <c r="G976" s="1" t="s">
        <v>91</v>
      </c>
      <c r="H976" s="1" t="s">
        <v>92</v>
      </c>
      <c r="I976" s="1" t="s">
        <v>2409</v>
      </c>
      <c r="J976" s="1" t="s">
        <v>2410</v>
      </c>
      <c r="K976" s="1" t="s">
        <v>2410</v>
      </c>
      <c r="M976" s="1">
        <v>1.0</v>
      </c>
      <c r="O976" s="1">
        <v>8.01505</v>
      </c>
    </row>
    <row r="977" ht="15.75" customHeight="1">
      <c r="A977" s="4">
        <v>45535.0</v>
      </c>
      <c r="B977" s="1" t="s">
        <v>103</v>
      </c>
      <c r="C977" s="1" t="s">
        <v>104</v>
      </c>
      <c r="D977" s="1">
        <v>289.0</v>
      </c>
      <c r="E977" s="1">
        <v>0.0</v>
      </c>
      <c r="G977" s="1" t="s">
        <v>91</v>
      </c>
      <c r="H977" s="1" t="s">
        <v>92</v>
      </c>
      <c r="I977" s="1" t="s">
        <v>2411</v>
      </c>
      <c r="J977" s="1" t="s">
        <v>2412</v>
      </c>
      <c r="K977" s="1" t="s">
        <v>2412</v>
      </c>
      <c r="M977" s="1">
        <v>-2.0</v>
      </c>
      <c r="O977" s="1">
        <v>4.961316666666667</v>
      </c>
    </row>
    <row r="978" ht="15.75" customHeight="1">
      <c r="A978" s="4">
        <v>45535.0</v>
      </c>
      <c r="B978" s="1" t="s">
        <v>103</v>
      </c>
      <c r="C978" s="1" t="s">
        <v>104</v>
      </c>
      <c r="D978" s="1">
        <v>329.0</v>
      </c>
      <c r="E978" s="1">
        <v>0.0</v>
      </c>
      <c r="G978" s="1" t="s">
        <v>91</v>
      </c>
      <c r="H978" s="1" t="s">
        <v>92</v>
      </c>
      <c r="I978" s="1" t="s">
        <v>2413</v>
      </c>
      <c r="J978" s="1" t="s">
        <v>2414</v>
      </c>
      <c r="K978" s="1" t="s">
        <v>2414</v>
      </c>
      <c r="M978" s="1">
        <v>0.0</v>
      </c>
      <c r="O978" s="1">
        <v>6.731483333333333</v>
      </c>
    </row>
    <row r="979" ht="15.75" hidden="1" customHeight="1">
      <c r="A979" s="4">
        <v>45535.0</v>
      </c>
      <c r="B979" s="1" t="s">
        <v>95</v>
      </c>
      <c r="C979" s="1" t="s">
        <v>104</v>
      </c>
      <c r="D979" s="1">
        <v>199.0</v>
      </c>
      <c r="E979" s="1">
        <v>50.0</v>
      </c>
      <c r="G979" s="1" t="s">
        <v>119</v>
      </c>
      <c r="H979" s="1" t="s">
        <v>213</v>
      </c>
      <c r="I979" s="1" t="s">
        <v>2415</v>
      </c>
      <c r="J979" s="1" t="s">
        <v>2416</v>
      </c>
      <c r="K979" s="1" t="s">
        <v>2416</v>
      </c>
      <c r="M979" s="1">
        <v>-10.0</v>
      </c>
      <c r="O979" s="1">
        <v>8.7672</v>
      </c>
    </row>
    <row r="980" ht="15.75" hidden="1" customHeight="1">
      <c r="A980" s="4">
        <v>45535.0</v>
      </c>
      <c r="B980" s="1" t="s">
        <v>103</v>
      </c>
      <c r="C980" s="1" t="s">
        <v>104</v>
      </c>
      <c r="D980" s="1">
        <v>553.0</v>
      </c>
      <c r="E980" s="1">
        <v>0.0</v>
      </c>
      <c r="G980" s="1" t="s">
        <v>91</v>
      </c>
      <c r="H980" s="1" t="s">
        <v>98</v>
      </c>
      <c r="I980" s="1" t="s">
        <v>2417</v>
      </c>
      <c r="J980" s="1" t="s">
        <v>2418</v>
      </c>
      <c r="K980" s="1" t="s">
        <v>2418</v>
      </c>
      <c r="M980" s="1">
        <v>2.0</v>
      </c>
      <c r="O980" s="1">
        <v>10.146683333333334</v>
      </c>
    </row>
    <row r="981" ht="15.75" customHeight="1">
      <c r="A981" s="4">
        <v>45535.0</v>
      </c>
      <c r="B981" s="1" t="s">
        <v>103</v>
      </c>
      <c r="C981" s="1" t="s">
        <v>104</v>
      </c>
      <c r="D981" s="1">
        <v>329.0</v>
      </c>
      <c r="E981" s="1">
        <v>0.0</v>
      </c>
      <c r="G981" s="1" t="s">
        <v>91</v>
      </c>
      <c r="H981" s="1" t="s">
        <v>92</v>
      </c>
      <c r="I981" s="1" t="s">
        <v>2419</v>
      </c>
      <c r="J981" s="1" t="s">
        <v>2420</v>
      </c>
      <c r="K981" s="1" t="s">
        <v>2420</v>
      </c>
      <c r="M981" s="1">
        <v>3.0</v>
      </c>
      <c r="O981" s="1">
        <v>10.114566666666667</v>
      </c>
    </row>
    <row r="982" ht="15.75" hidden="1" customHeight="1">
      <c r="A982" s="4">
        <v>45535.0</v>
      </c>
      <c r="B982" s="1" t="s">
        <v>88</v>
      </c>
      <c r="C982" s="1" t="s">
        <v>89</v>
      </c>
      <c r="D982" s="1">
        <v>755.0</v>
      </c>
      <c r="E982" s="1">
        <v>0.0</v>
      </c>
      <c r="F982" s="1" t="s">
        <v>90</v>
      </c>
      <c r="G982" s="1" t="s">
        <v>91</v>
      </c>
      <c r="H982" s="1" t="s">
        <v>92</v>
      </c>
      <c r="I982" s="1" t="s">
        <v>2421</v>
      </c>
      <c r="J982" s="1" t="s">
        <v>2422</v>
      </c>
      <c r="K982" s="1" t="s">
        <v>2422</v>
      </c>
      <c r="M982" s="1">
        <v>-7.0</v>
      </c>
      <c r="O982" s="1">
        <v>12.357516666666667</v>
      </c>
    </row>
    <row r="983" ht="15.75" hidden="1" customHeight="1">
      <c r="A983" s="4">
        <v>45535.0</v>
      </c>
      <c r="B983" s="1" t="s">
        <v>103</v>
      </c>
      <c r="C983" s="1" t="s">
        <v>104</v>
      </c>
      <c r="D983" s="1">
        <v>264.0</v>
      </c>
      <c r="E983" s="1">
        <v>0.0</v>
      </c>
      <c r="G983" s="1" t="s">
        <v>91</v>
      </c>
      <c r="H983" s="1" t="s">
        <v>98</v>
      </c>
      <c r="I983" s="1" t="s">
        <v>2423</v>
      </c>
      <c r="J983" s="1" t="s">
        <v>2424</v>
      </c>
      <c r="K983" s="1" t="s">
        <v>2424</v>
      </c>
      <c r="M983" s="1">
        <v>-1.0</v>
      </c>
      <c r="O983" s="1">
        <v>4.850666666666666</v>
      </c>
    </row>
    <row r="984" ht="15.75" hidden="1" customHeight="1">
      <c r="A984" s="4">
        <v>45535.0</v>
      </c>
      <c r="B984" s="1" t="s">
        <v>95</v>
      </c>
      <c r="C984" s="1" t="s">
        <v>89</v>
      </c>
      <c r="D984" s="1">
        <v>423.0</v>
      </c>
      <c r="E984" s="1">
        <v>0.0</v>
      </c>
      <c r="F984" s="1" t="s">
        <v>65</v>
      </c>
      <c r="G984" s="1" t="s">
        <v>97</v>
      </c>
      <c r="H984" s="1" t="s">
        <v>92</v>
      </c>
      <c r="I984" s="1" t="s">
        <v>2425</v>
      </c>
      <c r="J984" s="1" t="s">
        <v>2426</v>
      </c>
      <c r="K984" s="1" t="s">
        <v>2427</v>
      </c>
      <c r="L984" s="1" t="s">
        <v>2428</v>
      </c>
      <c r="M984" s="1">
        <v>-1.0</v>
      </c>
      <c r="N984" s="1">
        <v>0.008066666666666666</v>
      </c>
      <c r="O984" s="1">
        <v>7.651916666666667</v>
      </c>
    </row>
    <row r="985" ht="15.75" hidden="1" customHeight="1">
      <c r="A985" s="4">
        <v>45535.0</v>
      </c>
      <c r="B985" s="1" t="s">
        <v>95</v>
      </c>
      <c r="C985" s="1" t="s">
        <v>89</v>
      </c>
      <c r="D985" s="1">
        <v>375.0</v>
      </c>
      <c r="E985" s="1">
        <v>0.0</v>
      </c>
      <c r="F985" s="1" t="s">
        <v>65</v>
      </c>
      <c r="G985" s="1" t="s">
        <v>97</v>
      </c>
      <c r="H985" s="1" t="s">
        <v>92</v>
      </c>
      <c r="I985" s="1" t="s">
        <v>2429</v>
      </c>
      <c r="J985" s="1" t="s">
        <v>2430</v>
      </c>
      <c r="K985" s="1" t="s">
        <v>2431</v>
      </c>
      <c r="L985" s="1" t="s">
        <v>2432</v>
      </c>
      <c r="M985" s="1">
        <v>-8.0</v>
      </c>
      <c r="N985" s="1">
        <v>0.009633333333333334</v>
      </c>
      <c r="O985" s="1">
        <v>10.321466666666666</v>
      </c>
    </row>
    <row r="986" ht="15.75" customHeight="1">
      <c r="A986" s="4">
        <v>45535.0</v>
      </c>
      <c r="B986" s="1" t="s">
        <v>103</v>
      </c>
      <c r="C986" s="1" t="s">
        <v>104</v>
      </c>
      <c r="D986" s="1">
        <v>329.0</v>
      </c>
      <c r="E986" s="1">
        <v>0.0</v>
      </c>
      <c r="G986" s="1" t="s">
        <v>91</v>
      </c>
      <c r="H986" s="1" t="s">
        <v>92</v>
      </c>
      <c r="I986" s="1" t="s">
        <v>2433</v>
      </c>
      <c r="J986" s="1" t="s">
        <v>2434</v>
      </c>
      <c r="K986" s="1" t="s">
        <v>2434</v>
      </c>
      <c r="M986" s="1">
        <v>1.0</v>
      </c>
      <c r="O986" s="1">
        <v>8.716483333333333</v>
      </c>
    </row>
    <row r="987" ht="15.75" hidden="1" customHeight="1">
      <c r="A987" s="4">
        <v>45535.0</v>
      </c>
      <c r="B987" s="1" t="s">
        <v>88</v>
      </c>
      <c r="C987" s="1" t="s">
        <v>89</v>
      </c>
      <c r="D987" s="1">
        <v>329.0</v>
      </c>
      <c r="E987" s="1">
        <v>0.0</v>
      </c>
      <c r="F987" s="1" t="s">
        <v>90</v>
      </c>
      <c r="G987" s="1" t="s">
        <v>91</v>
      </c>
      <c r="H987" s="1" t="s">
        <v>92</v>
      </c>
      <c r="I987" s="1" t="s">
        <v>2435</v>
      </c>
      <c r="J987" s="1" t="s">
        <v>2436</v>
      </c>
      <c r="K987" s="1" t="s">
        <v>2436</v>
      </c>
      <c r="M987" s="1">
        <v>-5.0</v>
      </c>
      <c r="O987" s="1">
        <v>9.6136</v>
      </c>
    </row>
    <row r="988" ht="15.75" hidden="1" customHeight="1">
      <c r="A988" s="4">
        <v>45535.0</v>
      </c>
      <c r="B988" s="1" t="s">
        <v>95</v>
      </c>
      <c r="C988" s="1" t="s">
        <v>104</v>
      </c>
      <c r="D988" s="1">
        <v>299.0</v>
      </c>
      <c r="E988" s="1">
        <v>75.0</v>
      </c>
      <c r="G988" s="1" t="s">
        <v>119</v>
      </c>
      <c r="H988" s="1" t="s">
        <v>213</v>
      </c>
      <c r="I988" s="1" t="s">
        <v>2437</v>
      </c>
      <c r="J988" s="1" t="s">
        <v>2438</v>
      </c>
      <c r="K988" s="1" t="s">
        <v>2438</v>
      </c>
      <c r="M988" s="1">
        <v>-9.0</v>
      </c>
      <c r="O988" s="1">
        <v>10.298383333333334</v>
      </c>
    </row>
    <row r="989" ht="15.75" hidden="1" customHeight="1">
      <c r="A989" s="4">
        <v>45535.0</v>
      </c>
      <c r="B989" s="1" t="s">
        <v>103</v>
      </c>
      <c r="C989" s="1" t="s">
        <v>104</v>
      </c>
      <c r="D989" s="1">
        <v>264.0</v>
      </c>
      <c r="E989" s="1">
        <v>0.0</v>
      </c>
      <c r="G989" s="1" t="s">
        <v>91</v>
      </c>
      <c r="H989" s="1" t="s">
        <v>98</v>
      </c>
      <c r="I989" s="1" t="s">
        <v>2439</v>
      </c>
      <c r="J989" s="1" t="s">
        <v>2440</v>
      </c>
      <c r="K989" s="1" t="s">
        <v>2440</v>
      </c>
      <c r="M989" s="1">
        <v>0.0</v>
      </c>
      <c r="O989" s="1">
        <v>6.687483333333334</v>
      </c>
    </row>
    <row r="990" ht="15.75" hidden="1" customHeight="1">
      <c r="A990" s="4">
        <v>45535.0</v>
      </c>
      <c r="B990" s="1" t="s">
        <v>95</v>
      </c>
      <c r="C990" s="1" t="s">
        <v>89</v>
      </c>
      <c r="D990" s="1">
        <v>394.0</v>
      </c>
      <c r="E990" s="1">
        <v>0.0</v>
      </c>
      <c r="F990" s="1" t="s">
        <v>65</v>
      </c>
      <c r="G990" s="1" t="s">
        <v>97</v>
      </c>
      <c r="H990" s="1" t="s">
        <v>92</v>
      </c>
      <c r="I990" s="1" t="s">
        <v>2441</v>
      </c>
      <c r="J990" s="1" t="s">
        <v>2442</v>
      </c>
      <c r="K990" s="1" t="s">
        <v>2443</v>
      </c>
      <c r="L990" s="1" t="s">
        <v>2444</v>
      </c>
      <c r="M990" s="1">
        <v>-10.0</v>
      </c>
      <c r="N990" s="1">
        <v>0.009416666666666667</v>
      </c>
      <c r="O990" s="1">
        <v>11.0414</v>
      </c>
    </row>
    <row r="991" ht="15.75" hidden="1" customHeight="1">
      <c r="A991" s="4">
        <v>45535.0</v>
      </c>
      <c r="B991" s="1" t="s">
        <v>88</v>
      </c>
      <c r="C991" s="1" t="s">
        <v>89</v>
      </c>
      <c r="D991" s="1">
        <v>394.0</v>
      </c>
      <c r="E991" s="1">
        <v>0.0</v>
      </c>
      <c r="F991" s="1" t="s">
        <v>90</v>
      </c>
      <c r="G991" s="1" t="s">
        <v>91</v>
      </c>
      <c r="H991" s="1" t="s">
        <v>92</v>
      </c>
      <c r="I991" s="1" t="s">
        <v>2445</v>
      </c>
      <c r="J991" s="1" t="s">
        <v>2446</v>
      </c>
      <c r="K991" s="1" t="s">
        <v>2446</v>
      </c>
      <c r="M991" s="1">
        <v>-5.0</v>
      </c>
      <c r="O991" s="1">
        <v>9.698566666666666</v>
      </c>
    </row>
    <row r="992" ht="15.75" customHeight="1">
      <c r="A992" s="4">
        <v>45535.0</v>
      </c>
      <c r="B992" s="1" t="s">
        <v>103</v>
      </c>
      <c r="C992" s="1" t="s">
        <v>104</v>
      </c>
      <c r="D992" s="1">
        <v>209.0</v>
      </c>
      <c r="E992" s="1">
        <v>50.0</v>
      </c>
      <c r="G992" s="1" t="s">
        <v>91</v>
      </c>
      <c r="H992" s="1" t="s">
        <v>92</v>
      </c>
      <c r="I992" s="1" t="s">
        <v>2447</v>
      </c>
      <c r="J992" s="1" t="s">
        <v>2448</v>
      </c>
      <c r="K992" s="1" t="s">
        <v>2448</v>
      </c>
      <c r="M992" s="1">
        <v>1.0</v>
      </c>
      <c r="O992" s="1">
        <v>7.370516666666667</v>
      </c>
    </row>
    <row r="993" ht="15.75" customHeight="1">
      <c r="A993" s="4">
        <v>45535.0</v>
      </c>
      <c r="B993" s="1" t="s">
        <v>103</v>
      </c>
      <c r="C993" s="1" t="s">
        <v>104</v>
      </c>
      <c r="D993" s="1">
        <v>351.0</v>
      </c>
      <c r="E993" s="1">
        <v>0.0</v>
      </c>
      <c r="G993" s="1" t="s">
        <v>91</v>
      </c>
      <c r="H993" s="1" t="s">
        <v>92</v>
      </c>
      <c r="I993" s="1" t="s">
        <v>2449</v>
      </c>
      <c r="J993" s="1" t="s">
        <v>2450</v>
      </c>
      <c r="K993" s="1" t="s">
        <v>2450</v>
      </c>
      <c r="M993" s="1">
        <v>0.0</v>
      </c>
      <c r="O993" s="1">
        <v>6.198483333333333</v>
      </c>
    </row>
    <row r="994" ht="15.75" customHeight="1">
      <c r="A994" s="4">
        <v>45535.0</v>
      </c>
      <c r="B994" s="1" t="s">
        <v>103</v>
      </c>
      <c r="C994" s="1" t="s">
        <v>104</v>
      </c>
      <c r="D994" s="1">
        <v>293.0</v>
      </c>
      <c r="E994" s="1">
        <v>100.0</v>
      </c>
      <c r="G994" s="1" t="s">
        <v>91</v>
      </c>
      <c r="H994" s="1" t="s">
        <v>92</v>
      </c>
      <c r="I994" s="1" t="s">
        <v>2451</v>
      </c>
      <c r="J994" s="1" t="s">
        <v>2452</v>
      </c>
      <c r="K994" s="1" t="s">
        <v>2452</v>
      </c>
      <c r="M994" s="1">
        <v>0.0</v>
      </c>
      <c r="O994" s="1">
        <v>6.5834166666666665</v>
      </c>
    </row>
    <row r="995" ht="15.75" hidden="1" customHeight="1">
      <c r="A995" s="4">
        <v>45535.0</v>
      </c>
      <c r="B995" s="1" t="s">
        <v>88</v>
      </c>
      <c r="C995" s="1" t="s">
        <v>89</v>
      </c>
      <c r="D995" s="1">
        <v>498.0</v>
      </c>
      <c r="E995" s="1">
        <v>0.0</v>
      </c>
      <c r="F995" s="1" t="s">
        <v>90</v>
      </c>
      <c r="G995" s="1" t="s">
        <v>91</v>
      </c>
      <c r="H995" s="1" t="s">
        <v>92</v>
      </c>
      <c r="I995" s="1" t="s">
        <v>2453</v>
      </c>
      <c r="J995" s="1" t="s">
        <v>2454</v>
      </c>
      <c r="K995" s="1" t="s">
        <v>2454</v>
      </c>
      <c r="M995" s="1">
        <v>-4.0</v>
      </c>
      <c r="O995" s="1">
        <v>10.820066666666667</v>
      </c>
    </row>
    <row r="996" ht="15.75" hidden="1" customHeight="1">
      <c r="A996" s="4">
        <v>45535.0</v>
      </c>
      <c r="B996" s="1" t="s">
        <v>107</v>
      </c>
      <c r="C996" s="1" t="s">
        <v>104</v>
      </c>
      <c r="D996" s="1">
        <v>264.0</v>
      </c>
      <c r="E996" s="1">
        <v>0.0</v>
      </c>
      <c r="F996" s="1" t="s">
        <v>2455</v>
      </c>
      <c r="G996" s="1" t="s">
        <v>91</v>
      </c>
      <c r="H996" s="1" t="s">
        <v>92</v>
      </c>
      <c r="I996" s="1" t="s">
        <v>2456</v>
      </c>
      <c r="J996" s="1" t="s">
        <v>2457</v>
      </c>
      <c r="K996" s="1" t="s">
        <v>2457</v>
      </c>
      <c r="M996" s="1">
        <v>-7.0</v>
      </c>
      <c r="O996" s="1">
        <v>7.1001666666666665</v>
      </c>
    </row>
    <row r="997" ht="15.75" hidden="1" customHeight="1">
      <c r="A997" s="4">
        <v>45535.0</v>
      </c>
      <c r="B997" s="1" t="s">
        <v>88</v>
      </c>
      <c r="C997" s="1" t="s">
        <v>89</v>
      </c>
      <c r="D997" s="1">
        <v>321.0</v>
      </c>
      <c r="E997" s="1">
        <v>0.0</v>
      </c>
      <c r="F997" s="1" t="s">
        <v>90</v>
      </c>
      <c r="G997" s="1" t="s">
        <v>91</v>
      </c>
      <c r="H997" s="1" t="s">
        <v>92</v>
      </c>
      <c r="I997" s="1" t="s">
        <v>2458</v>
      </c>
      <c r="J997" s="1" t="s">
        <v>2459</v>
      </c>
      <c r="K997" s="1" t="s">
        <v>2459</v>
      </c>
      <c r="M997" s="1">
        <v>-8.0</v>
      </c>
      <c r="O997" s="1">
        <v>6.352533333333334</v>
      </c>
    </row>
    <row r="998" ht="15.75" hidden="1" customHeight="1">
      <c r="A998" s="4">
        <v>45535.0</v>
      </c>
      <c r="B998" s="1" t="s">
        <v>107</v>
      </c>
      <c r="C998" s="1" t="s">
        <v>104</v>
      </c>
      <c r="D998" s="1">
        <v>394.0</v>
      </c>
      <c r="E998" s="1">
        <v>0.0</v>
      </c>
      <c r="F998" s="1" t="s">
        <v>173</v>
      </c>
      <c r="G998" s="1" t="s">
        <v>91</v>
      </c>
      <c r="H998" s="1" t="s">
        <v>92</v>
      </c>
      <c r="I998" s="1" t="s">
        <v>2460</v>
      </c>
      <c r="J998" s="1" t="s">
        <v>2461</v>
      </c>
      <c r="K998" s="1" t="s">
        <v>2461</v>
      </c>
      <c r="M998" s="1">
        <v>-5.0</v>
      </c>
      <c r="O998" s="1">
        <v>9.075066666666666</v>
      </c>
    </row>
    <row r="999" ht="15.75" hidden="1" customHeight="1">
      <c r="A999" s="4">
        <v>45535.0</v>
      </c>
      <c r="B999" s="1" t="s">
        <v>88</v>
      </c>
      <c r="C999" s="1" t="s">
        <v>89</v>
      </c>
      <c r="D999" s="1">
        <v>313.0</v>
      </c>
      <c r="E999" s="1">
        <v>0.0</v>
      </c>
      <c r="F999" s="1" t="s">
        <v>90</v>
      </c>
      <c r="G999" s="1" t="s">
        <v>91</v>
      </c>
      <c r="H999" s="1" t="s">
        <v>92</v>
      </c>
      <c r="I999" s="1" t="s">
        <v>2462</v>
      </c>
      <c r="J999" s="1" t="s">
        <v>2463</v>
      </c>
      <c r="K999" s="1" t="s">
        <v>2463</v>
      </c>
      <c r="M999" s="1">
        <v>-10.0</v>
      </c>
      <c r="O999" s="1">
        <v>4.978133333333333</v>
      </c>
    </row>
    <row r="1000" ht="15.75" hidden="1" customHeight="1">
      <c r="A1000" s="4">
        <v>45535.0</v>
      </c>
      <c r="B1000" s="1" t="s">
        <v>88</v>
      </c>
      <c r="C1000" s="1" t="s">
        <v>89</v>
      </c>
      <c r="D1000" s="1">
        <v>264.0</v>
      </c>
      <c r="E1000" s="1">
        <v>0.0</v>
      </c>
      <c r="F1000" s="1" t="s">
        <v>90</v>
      </c>
      <c r="G1000" s="1" t="s">
        <v>91</v>
      </c>
      <c r="H1000" s="1" t="s">
        <v>92</v>
      </c>
      <c r="I1000" s="1" t="s">
        <v>2464</v>
      </c>
      <c r="J1000" s="1" t="s">
        <v>2465</v>
      </c>
      <c r="K1000" s="1" t="s">
        <v>2465</v>
      </c>
      <c r="M1000" s="1">
        <v>-8.0</v>
      </c>
      <c r="O1000" s="1">
        <v>6.6466</v>
      </c>
    </row>
    <row r="1001" ht="15.75" hidden="1" customHeight="1">
      <c r="A1001" s="4">
        <v>45535.0</v>
      </c>
      <c r="B1001" s="1" t="s">
        <v>107</v>
      </c>
      <c r="C1001" s="1" t="s">
        <v>104</v>
      </c>
      <c r="D1001" s="1">
        <v>129.0</v>
      </c>
      <c r="E1001" s="1">
        <v>0.0</v>
      </c>
      <c r="F1001" s="1" t="s">
        <v>2455</v>
      </c>
      <c r="G1001" s="1" t="s">
        <v>91</v>
      </c>
      <c r="H1001" s="1" t="s">
        <v>92</v>
      </c>
      <c r="I1001" s="1" t="s">
        <v>2466</v>
      </c>
      <c r="J1001" s="1" t="s">
        <v>2467</v>
      </c>
      <c r="K1001" s="1" t="s">
        <v>2467</v>
      </c>
      <c r="M1001" s="1">
        <v>-10.0</v>
      </c>
      <c r="O1001" s="1">
        <v>4.907983333333333</v>
      </c>
    </row>
    <row r="1002" ht="15.75" customHeight="1">
      <c r="A1002" s="4">
        <v>45535.0</v>
      </c>
      <c r="B1002" s="1" t="s">
        <v>103</v>
      </c>
      <c r="C1002" s="1" t="s">
        <v>104</v>
      </c>
      <c r="D1002" s="1">
        <v>492.0</v>
      </c>
      <c r="E1002" s="1">
        <v>150.0</v>
      </c>
      <c r="G1002" s="1" t="s">
        <v>91</v>
      </c>
      <c r="H1002" s="1" t="s">
        <v>92</v>
      </c>
      <c r="I1002" s="1" t="s">
        <v>2468</v>
      </c>
      <c r="J1002" s="1" t="s">
        <v>2469</v>
      </c>
      <c r="K1002" s="1" t="s">
        <v>2469</v>
      </c>
      <c r="M1002" s="1">
        <v>1.0</v>
      </c>
      <c r="O1002" s="1">
        <v>10.66895</v>
      </c>
    </row>
    <row r="1003" ht="15.75" hidden="1" customHeight="1">
      <c r="A1003" s="4">
        <v>45535.0</v>
      </c>
      <c r="B1003" s="1" t="s">
        <v>95</v>
      </c>
      <c r="C1003" s="1" t="s">
        <v>89</v>
      </c>
      <c r="D1003" s="1">
        <v>369.0</v>
      </c>
      <c r="E1003" s="1">
        <v>0.0</v>
      </c>
      <c r="F1003" s="1" t="s">
        <v>65</v>
      </c>
      <c r="G1003" s="1" t="s">
        <v>97</v>
      </c>
      <c r="H1003" s="1" t="s">
        <v>92</v>
      </c>
      <c r="I1003" s="1" t="s">
        <v>2470</v>
      </c>
      <c r="J1003" s="1" t="s">
        <v>2471</v>
      </c>
      <c r="K1003" s="1" t="s">
        <v>2472</v>
      </c>
      <c r="L1003" s="1" t="s">
        <v>2473</v>
      </c>
      <c r="M1003" s="1">
        <v>-7.0</v>
      </c>
      <c r="N1003" s="1">
        <v>0.014433333333333333</v>
      </c>
      <c r="O1003" s="1">
        <v>10.888283333333334</v>
      </c>
    </row>
    <row r="1004" ht="15.75" hidden="1" customHeight="1">
      <c r="A1004" s="4">
        <v>45535.0</v>
      </c>
      <c r="B1004" s="1" t="s">
        <v>95</v>
      </c>
      <c r="C1004" s="1" t="s">
        <v>89</v>
      </c>
      <c r="D1004" s="1">
        <v>488.0</v>
      </c>
      <c r="E1004" s="1">
        <v>0.0</v>
      </c>
      <c r="F1004" s="1" t="s">
        <v>65</v>
      </c>
      <c r="G1004" s="1" t="s">
        <v>97</v>
      </c>
      <c r="H1004" s="1" t="s">
        <v>92</v>
      </c>
      <c r="I1004" s="1" t="s">
        <v>2474</v>
      </c>
      <c r="J1004" s="1" t="s">
        <v>2475</v>
      </c>
      <c r="K1004" s="1" t="s">
        <v>2476</v>
      </c>
      <c r="L1004" s="1" t="s">
        <v>2477</v>
      </c>
      <c r="M1004" s="1">
        <v>0.0</v>
      </c>
      <c r="N1004" s="1">
        <v>0.017516666666666666</v>
      </c>
      <c r="O1004" s="1">
        <v>10.55535</v>
      </c>
    </row>
    <row r="1005" ht="15.75" customHeight="1">
      <c r="A1005" s="4">
        <v>45535.0</v>
      </c>
      <c r="B1005" s="1" t="s">
        <v>103</v>
      </c>
      <c r="C1005" s="1" t="s">
        <v>104</v>
      </c>
      <c r="D1005" s="1">
        <v>594.0</v>
      </c>
      <c r="E1005" s="1">
        <v>0.0</v>
      </c>
      <c r="G1005" s="1" t="s">
        <v>91</v>
      </c>
      <c r="H1005" s="1" t="s">
        <v>92</v>
      </c>
      <c r="I1005" s="1" t="s">
        <v>2478</v>
      </c>
      <c r="J1005" s="1" t="s">
        <v>2479</v>
      </c>
      <c r="K1005" s="1" t="s">
        <v>2479</v>
      </c>
      <c r="M1005" s="1">
        <v>0.0</v>
      </c>
      <c r="O1005" s="1">
        <v>8.529466666666666</v>
      </c>
    </row>
    <row r="1006" ht="15.75" hidden="1" customHeight="1">
      <c r="A1006" s="4">
        <v>45535.0</v>
      </c>
      <c r="B1006" s="1" t="s">
        <v>88</v>
      </c>
      <c r="C1006" s="1" t="s">
        <v>89</v>
      </c>
      <c r="D1006" s="1">
        <v>394.0</v>
      </c>
      <c r="E1006" s="1">
        <v>0.0</v>
      </c>
      <c r="F1006" s="1" t="s">
        <v>90</v>
      </c>
      <c r="G1006" s="1" t="s">
        <v>91</v>
      </c>
      <c r="H1006" s="1" t="s">
        <v>92</v>
      </c>
      <c r="I1006" s="1" t="s">
        <v>2480</v>
      </c>
      <c r="J1006" s="1" t="s">
        <v>2481</v>
      </c>
      <c r="K1006" s="1" t="s">
        <v>2481</v>
      </c>
      <c r="M1006" s="1">
        <v>-6.0</v>
      </c>
      <c r="O1006" s="1">
        <v>8.096483333333333</v>
      </c>
    </row>
    <row r="1007" ht="15.75" hidden="1" customHeight="1">
      <c r="A1007" s="4">
        <v>45535.0</v>
      </c>
      <c r="B1007" s="1" t="s">
        <v>95</v>
      </c>
      <c r="C1007" s="1" t="s">
        <v>104</v>
      </c>
      <c r="D1007" s="1">
        <v>464.0</v>
      </c>
      <c r="E1007" s="1">
        <v>111.0</v>
      </c>
      <c r="G1007" s="1" t="s">
        <v>119</v>
      </c>
      <c r="H1007" s="1" t="s">
        <v>92</v>
      </c>
      <c r="I1007" s="1" t="s">
        <v>2482</v>
      </c>
      <c r="J1007" s="1" t="s">
        <v>2483</v>
      </c>
      <c r="K1007" s="1" t="s">
        <v>2483</v>
      </c>
      <c r="M1007" s="1">
        <v>-12.0</v>
      </c>
      <c r="O1007" s="1">
        <v>19.472466666666666</v>
      </c>
    </row>
    <row r="1008" ht="15.75" hidden="1" customHeight="1">
      <c r="A1008" s="4">
        <v>45535.0</v>
      </c>
      <c r="B1008" s="1" t="s">
        <v>107</v>
      </c>
      <c r="C1008" s="1" t="s">
        <v>104</v>
      </c>
      <c r="D1008" s="1">
        <v>329.0</v>
      </c>
      <c r="E1008" s="1">
        <v>0.0</v>
      </c>
      <c r="F1008" s="1" t="s">
        <v>2484</v>
      </c>
      <c r="G1008" s="1" t="s">
        <v>91</v>
      </c>
      <c r="H1008" s="1" t="s">
        <v>92</v>
      </c>
      <c r="I1008" s="1" t="s">
        <v>2485</v>
      </c>
      <c r="J1008" s="1" t="s">
        <v>2486</v>
      </c>
      <c r="K1008" s="1" t="s">
        <v>2486</v>
      </c>
      <c r="M1008" s="1">
        <v>-8.0</v>
      </c>
      <c r="O1008" s="1">
        <v>6.587433333333333</v>
      </c>
    </row>
    <row r="1009" ht="15.75" customHeight="1">
      <c r="A1009" s="4">
        <v>45535.0</v>
      </c>
      <c r="B1009" s="1" t="s">
        <v>103</v>
      </c>
      <c r="C1009" s="1" t="s">
        <v>104</v>
      </c>
      <c r="D1009" s="1">
        <v>329.0</v>
      </c>
      <c r="E1009" s="1">
        <v>0.0</v>
      </c>
      <c r="G1009" s="1" t="s">
        <v>91</v>
      </c>
      <c r="H1009" s="1" t="s">
        <v>92</v>
      </c>
      <c r="I1009" s="1" t="s">
        <v>2487</v>
      </c>
      <c r="J1009" s="1" t="s">
        <v>2488</v>
      </c>
      <c r="K1009" s="1" t="s">
        <v>2488</v>
      </c>
      <c r="M1009" s="1">
        <v>0.0</v>
      </c>
      <c r="O1009" s="1">
        <v>6.6493</v>
      </c>
    </row>
    <row r="1010" ht="15.75" customHeight="1">
      <c r="A1010" s="4">
        <v>45535.0</v>
      </c>
      <c r="B1010" s="1" t="s">
        <v>103</v>
      </c>
      <c r="C1010" s="1" t="s">
        <v>104</v>
      </c>
      <c r="D1010" s="1">
        <v>349.0</v>
      </c>
      <c r="E1010" s="1">
        <v>0.0</v>
      </c>
      <c r="G1010" s="1" t="s">
        <v>91</v>
      </c>
      <c r="H1010" s="1" t="s">
        <v>92</v>
      </c>
      <c r="I1010" s="1" t="s">
        <v>2489</v>
      </c>
      <c r="J1010" s="1" t="s">
        <v>2490</v>
      </c>
      <c r="K1010" s="1" t="s">
        <v>2490</v>
      </c>
      <c r="M1010" s="1">
        <v>3.0</v>
      </c>
      <c r="O1010" s="1">
        <v>10.3852</v>
      </c>
    </row>
    <row r="1011" ht="15.75" hidden="1" customHeight="1">
      <c r="A1011" s="4">
        <v>45535.0</v>
      </c>
      <c r="B1011" s="1" t="s">
        <v>95</v>
      </c>
      <c r="C1011" s="1" t="s">
        <v>89</v>
      </c>
      <c r="D1011" s="1">
        <v>647.0</v>
      </c>
      <c r="E1011" s="1">
        <v>0.0</v>
      </c>
      <c r="F1011" s="1" t="s">
        <v>65</v>
      </c>
      <c r="G1011" s="1" t="s">
        <v>97</v>
      </c>
      <c r="H1011" s="1" t="s">
        <v>92</v>
      </c>
      <c r="I1011" s="1" t="s">
        <v>2491</v>
      </c>
      <c r="J1011" s="1" t="s">
        <v>2492</v>
      </c>
      <c r="K1011" s="1" t="s">
        <v>2493</v>
      </c>
      <c r="L1011" s="1" t="s">
        <v>2494</v>
      </c>
      <c r="M1011" s="1">
        <v>-9.0</v>
      </c>
      <c r="N1011" s="1">
        <v>0.0146</v>
      </c>
      <c r="O1011" s="1">
        <v>36.92228333333333</v>
      </c>
    </row>
    <row r="1012" ht="15.75" customHeight="1">
      <c r="A1012" s="4">
        <v>45535.0</v>
      </c>
      <c r="B1012" s="1" t="s">
        <v>103</v>
      </c>
      <c r="C1012" s="1" t="s">
        <v>104</v>
      </c>
      <c r="D1012" s="1">
        <v>1086.0</v>
      </c>
      <c r="E1012" s="1">
        <v>0.0</v>
      </c>
      <c r="G1012" s="1" t="s">
        <v>91</v>
      </c>
      <c r="H1012" s="1" t="s">
        <v>92</v>
      </c>
      <c r="I1012" s="1" t="s">
        <v>2495</v>
      </c>
      <c r="J1012" s="1" t="s">
        <v>2496</v>
      </c>
      <c r="K1012" s="1" t="s">
        <v>2496</v>
      </c>
      <c r="M1012" s="1">
        <v>-1.0</v>
      </c>
      <c r="O1012" s="1">
        <v>9.648266666666666</v>
      </c>
    </row>
  </sheetData>
  <autoFilter ref="$A$1:$O$1012">
    <filterColumn colId="0">
      <filters>
        <filter val="30.08.2024"/>
        <filter val="31.08.2024"/>
      </filters>
    </filterColumn>
    <filterColumn colId="2">
      <filters>
        <filter val="ready_pickup"/>
        <filter val="delivered"/>
      </filters>
    </filterColumn>
    <filterColumn colId="7">
      <filters>
        <filter val="online"/>
        <filter val="card"/>
      </filters>
    </filterColumn>
    <filterColumn colId="1">
      <filters>
        <filter val="damejidlo"/>
        <filter val="manual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6" width="12.63"/>
    <col customWidth="1" min="40" max="40" width="20.25"/>
  </cols>
  <sheetData>
    <row r="1" ht="15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2497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2498</v>
      </c>
      <c r="AP1" s="5" t="s">
        <v>2499</v>
      </c>
      <c r="AQ1" s="5" t="s">
        <v>2500</v>
      </c>
      <c r="AR1" s="5" t="s">
        <v>2501</v>
      </c>
      <c r="AS1" s="5" t="s">
        <v>2502</v>
      </c>
      <c r="AT1" s="5" t="s">
        <v>2503</v>
      </c>
      <c r="AU1" s="5" t="s">
        <v>2504</v>
      </c>
      <c r="AV1" s="5" t="s">
        <v>2505</v>
      </c>
    </row>
    <row r="2" ht="15.75" customHeight="1">
      <c r="A2" s="2">
        <v>45505.0</v>
      </c>
      <c r="B2" s="1" t="s">
        <v>2506</v>
      </c>
      <c r="C2" s="1" t="s">
        <v>55</v>
      </c>
      <c r="D2" s="3" t="s">
        <v>63</v>
      </c>
      <c r="E2" s="3" t="s">
        <v>45</v>
      </c>
      <c r="G2" s="3" t="s">
        <v>64</v>
      </c>
    </row>
    <row r="3" ht="15.75" customHeight="1">
      <c r="A3" s="2">
        <v>45505.0</v>
      </c>
      <c r="B3" s="1" t="s">
        <v>2506</v>
      </c>
      <c r="C3" s="1" t="s">
        <v>44</v>
      </c>
      <c r="D3" s="3" t="s">
        <v>45</v>
      </c>
      <c r="E3" s="3" t="s">
        <v>57</v>
      </c>
      <c r="G3" s="3" t="s">
        <v>53</v>
      </c>
    </row>
    <row r="4" ht="15.75" customHeight="1">
      <c r="A4" s="2">
        <v>45505.0</v>
      </c>
      <c r="B4" s="1" t="s">
        <v>2506</v>
      </c>
      <c r="C4" s="1" t="s">
        <v>72</v>
      </c>
      <c r="D4" s="3" t="s">
        <v>41</v>
      </c>
      <c r="E4" s="3" t="s">
        <v>45</v>
      </c>
      <c r="G4" s="3" t="s">
        <v>53</v>
      </c>
    </row>
    <row r="5" ht="15.75" customHeight="1">
      <c r="A5" s="2">
        <v>45505.0</v>
      </c>
      <c r="B5" s="1" t="s">
        <v>2506</v>
      </c>
      <c r="H5" s="1" t="s">
        <v>65</v>
      </c>
      <c r="I5" s="3" t="s">
        <v>45</v>
      </c>
      <c r="J5" s="3" t="s">
        <v>57</v>
      </c>
      <c r="L5" s="3" t="s">
        <v>53</v>
      </c>
      <c r="M5" s="1">
        <v>9.0</v>
      </c>
      <c r="N5" s="1" t="b">
        <v>1</v>
      </c>
      <c r="O5" s="1">
        <v>360.0</v>
      </c>
    </row>
    <row r="6" ht="15.75" customHeight="1">
      <c r="A6" s="2">
        <v>45505.0</v>
      </c>
      <c r="B6" s="1" t="s">
        <v>2506</v>
      </c>
      <c r="H6" s="1" t="s">
        <v>96</v>
      </c>
      <c r="I6" s="3" t="s">
        <v>63</v>
      </c>
      <c r="J6" s="3" t="s">
        <v>45</v>
      </c>
      <c r="L6" s="3" t="s">
        <v>64</v>
      </c>
      <c r="M6" s="1">
        <v>6.0</v>
      </c>
      <c r="N6" s="1" t="b">
        <v>1</v>
      </c>
      <c r="O6" s="1">
        <v>240.0</v>
      </c>
    </row>
    <row r="7" ht="15.75" customHeight="1">
      <c r="A7" s="2">
        <v>45505.0</v>
      </c>
      <c r="B7" s="1" t="s">
        <v>2506</v>
      </c>
      <c r="P7" s="1">
        <v>3.0</v>
      </c>
      <c r="S7" s="1">
        <v>12155.0</v>
      </c>
      <c r="T7" s="1">
        <v>7267.0</v>
      </c>
      <c r="U7" s="1">
        <v>17983.0</v>
      </c>
      <c r="V7" s="1">
        <v>8801.0</v>
      </c>
      <c r="W7" s="1">
        <v>917.0</v>
      </c>
      <c r="X7" s="1">
        <v>1093.0</v>
      </c>
      <c r="Y7" s="1">
        <v>5130.0</v>
      </c>
      <c r="AA7" s="1">
        <v>1500.0</v>
      </c>
      <c r="AB7" s="1">
        <v>56736.0</v>
      </c>
      <c r="AC7" s="1">
        <v>7.0</v>
      </c>
      <c r="AD7" s="1">
        <v>0.22244543911358552</v>
      </c>
      <c r="AE7" s="1">
        <v>500.0</v>
      </c>
      <c r="AG7" s="1">
        <v>1890.0</v>
      </c>
      <c r="AI7" s="1">
        <v>600.0</v>
      </c>
      <c r="AJ7" s="1">
        <v>1.0</v>
      </c>
      <c r="AK7" s="1">
        <v>264.0</v>
      </c>
      <c r="AL7" s="1">
        <v>4.0</v>
      </c>
      <c r="AM7" s="1" t="s">
        <v>2507</v>
      </c>
      <c r="AN7" s="1">
        <v>2.0</v>
      </c>
      <c r="AO7" s="1">
        <v>3.0</v>
      </c>
      <c r="AP7" s="1"/>
      <c r="AQ7" s="1"/>
      <c r="AR7" s="1"/>
      <c r="AS7" s="1"/>
      <c r="AT7" s="1"/>
      <c r="AU7" s="1"/>
      <c r="AV7" s="1"/>
    </row>
    <row r="8" ht="15.75" customHeight="1">
      <c r="A8" s="2">
        <v>45506.0</v>
      </c>
      <c r="B8" s="1" t="s">
        <v>39</v>
      </c>
      <c r="C8" s="1" t="s">
        <v>52</v>
      </c>
      <c r="D8" s="3" t="s">
        <v>45</v>
      </c>
      <c r="E8" s="3" t="s">
        <v>2508</v>
      </c>
      <c r="G8" s="3" t="s">
        <v>47</v>
      </c>
    </row>
    <row r="9" ht="15.75" customHeight="1">
      <c r="A9" s="2">
        <v>45506.0</v>
      </c>
      <c r="B9" s="1" t="s">
        <v>39</v>
      </c>
      <c r="C9" s="1" t="s">
        <v>44</v>
      </c>
      <c r="D9" s="3" t="s">
        <v>41</v>
      </c>
      <c r="E9" s="3" t="s">
        <v>42</v>
      </c>
      <c r="G9" s="3" t="s">
        <v>43</v>
      </c>
    </row>
    <row r="10" ht="15.75" customHeight="1">
      <c r="A10" s="2">
        <v>45506.0</v>
      </c>
      <c r="B10" s="1" t="s">
        <v>39</v>
      </c>
      <c r="C10" s="1" t="s">
        <v>2509</v>
      </c>
      <c r="D10" s="3" t="s">
        <v>41</v>
      </c>
      <c r="E10" s="3" t="s">
        <v>45</v>
      </c>
      <c r="G10" s="3" t="s">
        <v>53</v>
      </c>
    </row>
    <row r="11" ht="15.75" customHeight="1">
      <c r="A11" s="2">
        <v>45506.0</v>
      </c>
      <c r="B11" s="1" t="s">
        <v>39</v>
      </c>
      <c r="C11" s="1" t="s">
        <v>72</v>
      </c>
      <c r="D11" s="3" t="s">
        <v>45</v>
      </c>
      <c r="E11" s="3" t="s">
        <v>2508</v>
      </c>
      <c r="G11" s="3" t="s">
        <v>47</v>
      </c>
    </row>
    <row r="12" ht="15.75" customHeight="1">
      <c r="A12" s="2">
        <v>45506.0</v>
      </c>
      <c r="B12" s="1" t="s">
        <v>39</v>
      </c>
      <c r="H12" s="1" t="s">
        <v>96</v>
      </c>
      <c r="I12" s="3" t="s">
        <v>41</v>
      </c>
      <c r="J12" s="3" t="s">
        <v>2508</v>
      </c>
      <c r="L12" s="3" t="s">
        <v>2510</v>
      </c>
      <c r="M12" s="1">
        <v>22.0</v>
      </c>
      <c r="N12" s="1" t="b">
        <v>1</v>
      </c>
      <c r="O12" s="1">
        <v>880.0</v>
      </c>
    </row>
    <row r="13" ht="15.75" customHeight="1">
      <c r="A13" s="2">
        <v>45506.0</v>
      </c>
      <c r="B13" s="1" t="s">
        <v>39</v>
      </c>
      <c r="P13" s="1">
        <v>6.0</v>
      </c>
      <c r="S13" s="1">
        <v>13714.0</v>
      </c>
      <c r="T13" s="1">
        <v>8559.0</v>
      </c>
      <c r="U13" s="1">
        <v>15123.0</v>
      </c>
      <c r="V13" s="1">
        <v>13992.0</v>
      </c>
      <c r="W13" s="1">
        <v>823.0</v>
      </c>
      <c r="X13" s="1">
        <v>4446.0</v>
      </c>
      <c r="Y13" s="1">
        <v>3340.0</v>
      </c>
      <c r="AA13" s="1">
        <v>7980.0</v>
      </c>
      <c r="AB13" s="1">
        <v>65404.5</v>
      </c>
      <c r="AC13" s="1">
        <v>6.5</v>
      </c>
      <c r="AD13" s="1">
        <v>0.26557243666029695</v>
      </c>
      <c r="AH13" s="1">
        <v>1000.0</v>
      </c>
      <c r="AI13" s="1">
        <v>880.0</v>
      </c>
      <c r="AJ13" s="1">
        <v>0.0</v>
      </c>
      <c r="AK13" s="1">
        <v>0.0</v>
      </c>
      <c r="AL13" s="1">
        <v>4.0</v>
      </c>
      <c r="AM13" s="1" t="s">
        <v>2511</v>
      </c>
      <c r="AN13" s="1">
        <v>1.0</v>
      </c>
      <c r="AO13" s="1">
        <v>4.0</v>
      </c>
      <c r="AP13" s="1"/>
      <c r="AQ13" s="1"/>
      <c r="AR13" s="1"/>
      <c r="AS13" s="1"/>
      <c r="AT13" s="1"/>
      <c r="AU13" s="1"/>
      <c r="AV13" s="1"/>
    </row>
    <row r="14" ht="15.75" customHeight="1">
      <c r="A14" s="2">
        <v>45507.0</v>
      </c>
      <c r="B14" s="1" t="s">
        <v>2512</v>
      </c>
      <c r="C14" s="1" t="s">
        <v>52</v>
      </c>
      <c r="D14" s="3" t="s">
        <v>45</v>
      </c>
      <c r="E14" s="3" t="s">
        <v>2508</v>
      </c>
      <c r="G14" s="3" t="s">
        <v>47</v>
      </c>
    </row>
    <row r="15" ht="15.75" customHeight="1">
      <c r="A15" s="2">
        <v>45507.0</v>
      </c>
      <c r="B15" s="1" t="s">
        <v>2512</v>
      </c>
      <c r="C15" s="1" t="s">
        <v>44</v>
      </c>
      <c r="D15" s="3" t="s">
        <v>41</v>
      </c>
      <c r="E15" s="3" t="s">
        <v>42</v>
      </c>
      <c r="G15" s="3" t="s">
        <v>43</v>
      </c>
    </row>
    <row r="16" ht="15.75" customHeight="1">
      <c r="A16" s="2">
        <v>45507.0</v>
      </c>
      <c r="B16" s="1" t="s">
        <v>2512</v>
      </c>
      <c r="C16" s="1" t="s">
        <v>2509</v>
      </c>
      <c r="D16" s="3" t="s">
        <v>41</v>
      </c>
      <c r="E16" s="3" t="s">
        <v>45</v>
      </c>
      <c r="G16" s="3" t="s">
        <v>53</v>
      </c>
    </row>
    <row r="17" ht="15.75" customHeight="1">
      <c r="A17" s="2">
        <v>45507.0</v>
      </c>
      <c r="B17" s="1" t="s">
        <v>2512</v>
      </c>
      <c r="C17" s="1" t="s">
        <v>72</v>
      </c>
      <c r="D17" s="3" t="s">
        <v>45</v>
      </c>
      <c r="E17" s="3" t="s">
        <v>2508</v>
      </c>
      <c r="G17" s="3" t="s">
        <v>47</v>
      </c>
    </row>
    <row r="18" ht="15.75" customHeight="1">
      <c r="A18" s="2">
        <v>45507.0</v>
      </c>
      <c r="B18" s="1" t="s">
        <v>2512</v>
      </c>
      <c r="H18" s="1" t="s">
        <v>65</v>
      </c>
      <c r="I18" s="3" t="s">
        <v>63</v>
      </c>
      <c r="J18" s="3" t="s">
        <v>2508</v>
      </c>
      <c r="L18" s="3" t="s">
        <v>2513</v>
      </c>
      <c r="M18" s="1">
        <v>15.0</v>
      </c>
      <c r="N18" s="1" t="b">
        <v>1</v>
      </c>
      <c r="O18" s="1">
        <v>600.0</v>
      </c>
    </row>
    <row r="19" ht="15.75" customHeight="1">
      <c r="A19" s="2">
        <v>45507.0</v>
      </c>
      <c r="B19" s="1" t="s">
        <v>2512</v>
      </c>
      <c r="P19" s="1">
        <v>2.0</v>
      </c>
      <c r="S19" s="1">
        <v>9875.0</v>
      </c>
      <c r="T19" s="1">
        <v>6927.0</v>
      </c>
      <c r="U19" s="1">
        <v>20583.0</v>
      </c>
      <c r="V19" s="1">
        <v>11023.0</v>
      </c>
      <c r="W19" s="1">
        <v>0.0</v>
      </c>
      <c r="X19" s="1">
        <v>795.0</v>
      </c>
      <c r="Y19" s="1">
        <v>8635.0</v>
      </c>
      <c r="AA19" s="1">
        <v>855.0</v>
      </c>
      <c r="AB19" s="1">
        <v>59046.0</v>
      </c>
      <c r="AC19" s="1">
        <v>-328.0</v>
      </c>
      <c r="AD19" s="1">
        <v>0.26831100554734255</v>
      </c>
      <c r="AG19" s="1">
        <v>220.0</v>
      </c>
      <c r="AI19" s="1">
        <v>600.0</v>
      </c>
      <c r="AJ19" s="1">
        <v>0.0</v>
      </c>
      <c r="AK19" s="1">
        <v>0.0</v>
      </c>
      <c r="AL19" s="1">
        <v>2.0</v>
      </c>
      <c r="AM19" s="1" t="s">
        <v>2514</v>
      </c>
      <c r="AN19" s="1">
        <v>1.0</v>
      </c>
      <c r="AO19" s="1">
        <v>1.0</v>
      </c>
      <c r="AP19" s="1"/>
      <c r="AQ19" s="1"/>
      <c r="AR19" s="1"/>
      <c r="AS19" s="1"/>
      <c r="AT19" s="1"/>
      <c r="AU19" s="1"/>
      <c r="AV19" s="1"/>
    </row>
    <row r="20" ht="15.75" customHeight="1">
      <c r="A20" s="2">
        <v>45508.0</v>
      </c>
      <c r="B20" s="1" t="s">
        <v>67</v>
      </c>
      <c r="C20" s="1" t="s">
        <v>44</v>
      </c>
      <c r="D20" s="3" t="s">
        <v>41</v>
      </c>
      <c r="E20" s="3" t="s">
        <v>45</v>
      </c>
      <c r="G20" s="3" t="s">
        <v>53</v>
      </c>
    </row>
    <row r="21" ht="15.75" customHeight="1">
      <c r="A21" s="2">
        <v>45508.0</v>
      </c>
      <c r="B21" s="1" t="s">
        <v>67</v>
      </c>
      <c r="C21" s="1" t="s">
        <v>52</v>
      </c>
      <c r="D21" s="3" t="s">
        <v>45</v>
      </c>
      <c r="E21" s="3" t="s">
        <v>56</v>
      </c>
      <c r="G21" s="3" t="s">
        <v>2515</v>
      </c>
    </row>
    <row r="22" ht="15.75" customHeight="1">
      <c r="A22" s="2">
        <v>45508.0</v>
      </c>
      <c r="B22" s="1" t="s">
        <v>67</v>
      </c>
      <c r="C22" s="1" t="s">
        <v>2516</v>
      </c>
      <c r="D22" s="3" t="s">
        <v>41</v>
      </c>
      <c r="E22" s="3" t="s">
        <v>45</v>
      </c>
      <c r="G22" s="3" t="s">
        <v>53</v>
      </c>
    </row>
    <row r="23" ht="15.75" customHeight="1">
      <c r="A23" s="2">
        <v>45508.0</v>
      </c>
      <c r="B23" s="1" t="s">
        <v>67</v>
      </c>
      <c r="C23" s="1" t="s">
        <v>72</v>
      </c>
      <c r="D23" s="3" t="s">
        <v>45</v>
      </c>
      <c r="E23" s="3" t="s">
        <v>57</v>
      </c>
      <c r="G23" s="3" t="s">
        <v>53</v>
      </c>
    </row>
    <row r="24" ht="15.75" customHeight="1">
      <c r="A24" s="2">
        <v>45508.0</v>
      </c>
      <c r="B24" s="1" t="s">
        <v>67</v>
      </c>
      <c r="H24" s="1" t="s">
        <v>96</v>
      </c>
      <c r="I24" s="3" t="s">
        <v>63</v>
      </c>
      <c r="J24" s="3" t="s">
        <v>57</v>
      </c>
      <c r="L24" s="3" t="s">
        <v>50</v>
      </c>
      <c r="M24" s="1">
        <v>18.0</v>
      </c>
      <c r="N24" s="1" t="b">
        <v>1</v>
      </c>
      <c r="O24" s="1">
        <v>720.0</v>
      </c>
    </row>
    <row r="25" ht="15.75" customHeight="1">
      <c r="A25" s="2">
        <v>45508.0</v>
      </c>
      <c r="B25" s="1" t="s">
        <v>67</v>
      </c>
      <c r="P25" s="1">
        <v>11.0</v>
      </c>
      <c r="S25" s="1">
        <v>12864.0</v>
      </c>
      <c r="T25" s="1">
        <v>7236.0</v>
      </c>
      <c r="U25" s="1">
        <v>23360.0</v>
      </c>
      <c r="V25" s="1">
        <v>12483.0</v>
      </c>
      <c r="W25" s="1">
        <v>358.0</v>
      </c>
      <c r="X25" s="1">
        <v>2604.0</v>
      </c>
      <c r="Y25" s="1">
        <v>4023.0</v>
      </c>
      <c r="AA25" s="1">
        <v>6230.0</v>
      </c>
      <c r="AB25" s="1">
        <v>67274.0</v>
      </c>
      <c r="AC25" s="1">
        <v>0.0</v>
      </c>
      <c r="AD25" s="1">
        <v>0.25279071905265604</v>
      </c>
      <c r="AI25" s="1">
        <v>720.0</v>
      </c>
      <c r="AJ25" s="1">
        <v>1.0</v>
      </c>
      <c r="AK25" s="1">
        <v>321.0</v>
      </c>
      <c r="AL25" s="1">
        <v>19.0</v>
      </c>
      <c r="AM25" s="1" t="s">
        <v>2517</v>
      </c>
      <c r="AN25" s="1">
        <v>1.0</v>
      </c>
      <c r="AO25" s="1">
        <v>2.0</v>
      </c>
      <c r="AP25" s="1"/>
      <c r="AQ25" s="1"/>
      <c r="AR25" s="1"/>
      <c r="AS25" s="1"/>
      <c r="AT25" s="1"/>
      <c r="AU25" s="1"/>
      <c r="AV25" s="1"/>
    </row>
    <row r="26" ht="15.75" customHeight="1">
      <c r="A26" s="2">
        <v>45509.0</v>
      </c>
      <c r="B26" s="1" t="s">
        <v>69</v>
      </c>
      <c r="C26" s="1" t="s">
        <v>2509</v>
      </c>
      <c r="D26" s="3" t="s">
        <v>45</v>
      </c>
      <c r="E26" s="3" t="s">
        <v>57</v>
      </c>
      <c r="G26" s="3" t="s">
        <v>53</v>
      </c>
    </row>
    <row r="27" ht="15.75" customHeight="1">
      <c r="A27" s="2">
        <v>45509.0</v>
      </c>
      <c r="B27" s="1" t="s">
        <v>69</v>
      </c>
      <c r="C27" s="1" t="s">
        <v>72</v>
      </c>
      <c r="D27" s="3" t="s">
        <v>41</v>
      </c>
      <c r="E27" s="3" t="s">
        <v>56</v>
      </c>
      <c r="G27" s="3" t="s">
        <v>2518</v>
      </c>
    </row>
    <row r="28" ht="15.75" customHeight="1">
      <c r="A28" s="2">
        <v>45509.0</v>
      </c>
      <c r="B28" s="1" t="s">
        <v>69</v>
      </c>
      <c r="H28" s="1" t="s">
        <v>373</v>
      </c>
      <c r="I28" s="3" t="s">
        <v>63</v>
      </c>
      <c r="J28" s="3" t="s">
        <v>70</v>
      </c>
      <c r="L28" s="3" t="s">
        <v>53</v>
      </c>
      <c r="M28" s="1">
        <v>6.0</v>
      </c>
      <c r="N28" s="1" t="b">
        <v>1</v>
      </c>
      <c r="O28" s="1">
        <v>240.0</v>
      </c>
    </row>
    <row r="29" ht="15.75" customHeight="1">
      <c r="A29" s="2">
        <v>45509.0</v>
      </c>
      <c r="B29" s="1" t="s">
        <v>69</v>
      </c>
      <c r="H29" s="1" t="s">
        <v>71</v>
      </c>
      <c r="I29" s="3" t="s">
        <v>70</v>
      </c>
      <c r="J29" s="3" t="s">
        <v>57</v>
      </c>
      <c r="L29" s="3" t="s">
        <v>64</v>
      </c>
      <c r="M29" s="1">
        <v>6.0</v>
      </c>
      <c r="N29" s="1" t="b">
        <v>1</v>
      </c>
      <c r="O29" s="1">
        <v>240.0</v>
      </c>
    </row>
    <row r="30" ht="15.75" customHeight="1">
      <c r="A30" s="2">
        <v>45509.0</v>
      </c>
      <c r="B30" s="1" t="s">
        <v>69</v>
      </c>
      <c r="P30" s="1">
        <v>7.0</v>
      </c>
      <c r="S30" s="1">
        <v>9763.0</v>
      </c>
      <c r="T30" s="1">
        <v>4297.0</v>
      </c>
      <c r="U30" s="1">
        <v>9409.0</v>
      </c>
      <c r="V30" s="1">
        <v>9197.0</v>
      </c>
      <c r="W30" s="1">
        <v>0.0</v>
      </c>
      <c r="X30" s="1">
        <v>747.0</v>
      </c>
      <c r="Y30" s="1">
        <v>3343.0</v>
      </c>
      <c r="AA30" s="1">
        <v>3170.0</v>
      </c>
      <c r="AB30" s="1">
        <v>39700.0</v>
      </c>
      <c r="AC30" s="1">
        <v>39.0</v>
      </c>
      <c r="AD30" s="1">
        <v>0.3900916381246444</v>
      </c>
      <c r="AH30" s="1">
        <v>80.0</v>
      </c>
      <c r="AI30" s="1">
        <v>480.0</v>
      </c>
      <c r="AJ30" s="1">
        <v>0.0</v>
      </c>
      <c r="AK30" s="1">
        <v>0.0</v>
      </c>
      <c r="AL30" s="1">
        <v>23.0</v>
      </c>
      <c r="AM30" s="1" t="s">
        <v>2519</v>
      </c>
      <c r="AN30" s="1">
        <v>2.0</v>
      </c>
      <c r="AO30" s="1">
        <v>4.0</v>
      </c>
      <c r="AP30" s="1"/>
      <c r="AQ30" s="1"/>
      <c r="AR30" s="1"/>
      <c r="AS30" s="1"/>
      <c r="AT30" s="1"/>
      <c r="AU30" s="1"/>
      <c r="AV30" s="1"/>
    </row>
    <row r="31" ht="15.75" customHeight="1">
      <c r="A31" s="2">
        <v>45510.0</v>
      </c>
      <c r="B31" s="1" t="s">
        <v>61</v>
      </c>
      <c r="C31" s="1" t="s">
        <v>44</v>
      </c>
      <c r="D31" s="3" t="s">
        <v>45</v>
      </c>
      <c r="E31" s="3" t="s">
        <v>57</v>
      </c>
      <c r="G31" s="3" t="s">
        <v>53</v>
      </c>
    </row>
    <row r="32" ht="15.75" customHeight="1">
      <c r="A32" s="2">
        <v>45510.0</v>
      </c>
      <c r="B32" s="1" t="s">
        <v>61</v>
      </c>
      <c r="C32" s="1" t="s">
        <v>72</v>
      </c>
      <c r="D32" s="3" t="s">
        <v>45</v>
      </c>
      <c r="E32" s="3" t="s">
        <v>2520</v>
      </c>
      <c r="G32" s="3" t="s">
        <v>2515</v>
      </c>
    </row>
    <row r="33" ht="15.75" customHeight="1">
      <c r="A33" s="2">
        <v>45510.0</v>
      </c>
      <c r="B33" s="1" t="s">
        <v>61</v>
      </c>
      <c r="C33" s="1" t="s">
        <v>2509</v>
      </c>
      <c r="D33" s="3" t="s">
        <v>41</v>
      </c>
      <c r="E33" s="3" t="s">
        <v>2520</v>
      </c>
      <c r="G33" s="3" t="s">
        <v>2518</v>
      </c>
    </row>
    <row r="34" ht="15.75" customHeight="1">
      <c r="A34" s="2">
        <v>45510.0</v>
      </c>
      <c r="B34" s="1" t="s">
        <v>61</v>
      </c>
      <c r="H34" s="1" t="s">
        <v>65</v>
      </c>
      <c r="I34" s="3" t="s">
        <v>63</v>
      </c>
      <c r="J34" s="3" t="s">
        <v>45</v>
      </c>
      <c r="L34" s="3" t="s">
        <v>64</v>
      </c>
      <c r="M34" s="1">
        <v>7.0</v>
      </c>
      <c r="N34" s="1" t="b">
        <v>1</v>
      </c>
      <c r="O34" s="1">
        <v>280.0</v>
      </c>
    </row>
    <row r="35" ht="15.75" customHeight="1">
      <c r="A35" s="2">
        <v>45510.0</v>
      </c>
      <c r="B35" s="1" t="s">
        <v>61</v>
      </c>
      <c r="H35" s="1" t="s">
        <v>1073</v>
      </c>
      <c r="I35" s="3" t="s">
        <v>45</v>
      </c>
      <c r="J35" s="3" t="s">
        <v>56</v>
      </c>
      <c r="L35" s="3" t="s">
        <v>2515</v>
      </c>
      <c r="M35" s="1">
        <v>12.0</v>
      </c>
      <c r="N35" s="1" t="b">
        <v>1</v>
      </c>
      <c r="O35" s="1">
        <v>480.0</v>
      </c>
    </row>
    <row r="36" ht="15.75" customHeight="1">
      <c r="A36" s="2">
        <v>45510.0</v>
      </c>
      <c r="B36" s="1" t="s">
        <v>61</v>
      </c>
      <c r="P36" s="1">
        <v>1.0</v>
      </c>
      <c r="S36" s="1">
        <v>8586.0</v>
      </c>
      <c r="T36" s="1">
        <v>6871.0</v>
      </c>
      <c r="U36" s="1">
        <v>13982.0</v>
      </c>
      <c r="V36" s="1">
        <v>9114.0</v>
      </c>
      <c r="W36" s="1">
        <v>0.0</v>
      </c>
      <c r="X36" s="1">
        <v>3462.0</v>
      </c>
      <c r="Y36" s="1">
        <v>4333.0</v>
      </c>
      <c r="AA36" s="1">
        <v>5210.0</v>
      </c>
      <c r="AB36" s="1">
        <v>49815.5</v>
      </c>
      <c r="AC36" s="1">
        <v>40.5</v>
      </c>
      <c r="AD36" s="1">
        <v>0.2969145706366169</v>
      </c>
      <c r="AH36" s="1">
        <v>1000.0</v>
      </c>
      <c r="AI36" s="1">
        <v>760.0</v>
      </c>
      <c r="AJ36" s="1">
        <v>1.0</v>
      </c>
      <c r="AK36" s="1">
        <v>498.0</v>
      </c>
      <c r="AL36" s="1">
        <v>5.0</v>
      </c>
      <c r="AM36" s="1" t="s">
        <v>2521</v>
      </c>
      <c r="AN36" s="1">
        <v>2.0</v>
      </c>
      <c r="AO36" s="1">
        <v>0.0</v>
      </c>
      <c r="AP36" s="1"/>
      <c r="AQ36" s="1"/>
      <c r="AR36" s="1"/>
      <c r="AS36" s="1"/>
      <c r="AT36" s="1"/>
      <c r="AU36" s="1"/>
      <c r="AV36" s="1"/>
    </row>
    <row r="37" ht="15.75" customHeight="1">
      <c r="A37" s="2">
        <v>45511.0</v>
      </c>
      <c r="B37" s="1" t="s">
        <v>73</v>
      </c>
      <c r="C37" s="1" t="s">
        <v>52</v>
      </c>
      <c r="D37" s="3" t="s">
        <v>41</v>
      </c>
      <c r="E37" s="3" t="s">
        <v>45</v>
      </c>
      <c r="G37" s="3" t="s">
        <v>53</v>
      </c>
    </row>
    <row r="38" ht="15.75" customHeight="1">
      <c r="A38" s="2">
        <v>45511.0</v>
      </c>
      <c r="B38" s="1" t="s">
        <v>73</v>
      </c>
      <c r="C38" s="1" t="s">
        <v>40</v>
      </c>
      <c r="D38" s="3" t="s">
        <v>45</v>
      </c>
      <c r="E38" s="3" t="s">
        <v>57</v>
      </c>
      <c r="G38" s="3" t="s">
        <v>53</v>
      </c>
    </row>
    <row r="39" ht="15.75" customHeight="1">
      <c r="A39" s="2">
        <v>45511.0</v>
      </c>
      <c r="B39" s="1" t="s">
        <v>73</v>
      </c>
      <c r="C39" s="1" t="s">
        <v>96</v>
      </c>
      <c r="D39" s="3" t="s">
        <v>45</v>
      </c>
      <c r="E39" s="3" t="s">
        <v>57</v>
      </c>
      <c r="G39" s="3" t="s">
        <v>53</v>
      </c>
    </row>
    <row r="40" ht="15.75" customHeight="1">
      <c r="A40" s="2">
        <v>45511.0</v>
      </c>
      <c r="B40" s="1" t="s">
        <v>73</v>
      </c>
      <c r="H40" s="1" t="s">
        <v>373</v>
      </c>
      <c r="I40" s="3" t="s">
        <v>63</v>
      </c>
      <c r="J40" s="3" t="s">
        <v>57</v>
      </c>
      <c r="L40" s="3" t="s">
        <v>50</v>
      </c>
      <c r="M40" s="1">
        <v>13.0</v>
      </c>
      <c r="N40" s="1" t="b">
        <v>1</v>
      </c>
      <c r="O40" s="1">
        <v>520.0</v>
      </c>
    </row>
    <row r="41" ht="15.75" customHeight="1">
      <c r="A41" s="2">
        <v>45511.0</v>
      </c>
      <c r="B41" s="1" t="s">
        <v>73</v>
      </c>
      <c r="P41" s="1">
        <v>4.0</v>
      </c>
      <c r="S41" s="1">
        <v>8154.0</v>
      </c>
      <c r="T41" s="1">
        <v>4246.0</v>
      </c>
      <c r="U41" s="1">
        <v>8791.0</v>
      </c>
      <c r="V41" s="1">
        <v>9064.0</v>
      </c>
      <c r="W41" s="1">
        <v>1660.0</v>
      </c>
      <c r="X41" s="1">
        <v>2318.0</v>
      </c>
      <c r="Y41" s="1">
        <v>2641.0</v>
      </c>
      <c r="AA41" s="1">
        <v>4240.0</v>
      </c>
      <c r="AB41" s="1">
        <v>39350.5</v>
      </c>
      <c r="AC41" s="1">
        <v>5.5</v>
      </c>
      <c r="AD41" s="1">
        <v>0.33455310894520746</v>
      </c>
      <c r="AH41" s="1">
        <v>40.0</v>
      </c>
      <c r="AI41" s="1">
        <v>520.0</v>
      </c>
      <c r="AJ41" s="1">
        <v>0.0</v>
      </c>
      <c r="AK41" s="1">
        <v>0.0</v>
      </c>
      <c r="AL41" s="1">
        <v>2.0</v>
      </c>
      <c r="AM41" s="1" t="s">
        <v>2522</v>
      </c>
      <c r="AN41" s="1">
        <v>1.0</v>
      </c>
      <c r="AO41" s="1">
        <v>3.0</v>
      </c>
      <c r="AP41" s="1"/>
      <c r="AQ41" s="1"/>
      <c r="AR41" s="1"/>
      <c r="AS41" s="1"/>
      <c r="AT41" s="1"/>
      <c r="AU41" s="1"/>
      <c r="AV41" s="1"/>
    </row>
    <row r="42" ht="15.75" customHeight="1">
      <c r="A42" s="2">
        <v>45512.0</v>
      </c>
      <c r="B42" s="1" t="s">
        <v>2506</v>
      </c>
      <c r="C42" s="1" t="s">
        <v>52</v>
      </c>
      <c r="D42" s="3" t="s">
        <v>41</v>
      </c>
      <c r="E42" s="3" t="s">
        <v>45</v>
      </c>
      <c r="G42" s="3" t="s">
        <v>53</v>
      </c>
    </row>
    <row r="43" ht="15.75" customHeight="1">
      <c r="A43" s="2">
        <v>45512.0</v>
      </c>
      <c r="B43" s="1" t="s">
        <v>2506</v>
      </c>
      <c r="C43" s="1" t="s">
        <v>40</v>
      </c>
      <c r="D43" s="3" t="s">
        <v>45</v>
      </c>
      <c r="E43" s="3" t="s">
        <v>57</v>
      </c>
      <c r="G43" s="3" t="s">
        <v>53</v>
      </c>
    </row>
    <row r="44" ht="15.75" customHeight="1">
      <c r="A44" s="2">
        <v>45512.0</v>
      </c>
      <c r="B44" s="1" t="s">
        <v>2506</v>
      </c>
      <c r="C44" s="1" t="s">
        <v>2516</v>
      </c>
      <c r="D44" s="3" t="s">
        <v>70</v>
      </c>
      <c r="E44" s="3" t="s">
        <v>57</v>
      </c>
      <c r="G44" s="3" t="s">
        <v>64</v>
      </c>
    </row>
    <row r="45" ht="15.75" customHeight="1">
      <c r="A45" s="2">
        <v>45512.0</v>
      </c>
      <c r="B45" s="1" t="s">
        <v>2506</v>
      </c>
      <c r="H45" s="1" t="s">
        <v>1073</v>
      </c>
      <c r="I45" s="3" t="s">
        <v>45</v>
      </c>
      <c r="J45" s="3" t="s">
        <v>57</v>
      </c>
      <c r="L45" s="3" t="s">
        <v>53</v>
      </c>
      <c r="M45" s="1">
        <v>14.0</v>
      </c>
      <c r="N45" s="1" t="b">
        <v>1</v>
      </c>
      <c r="O45" s="1">
        <v>560.0</v>
      </c>
    </row>
    <row r="46" ht="15.75" customHeight="1">
      <c r="A46" s="2">
        <v>45512.0</v>
      </c>
      <c r="B46" s="1" t="s">
        <v>2506</v>
      </c>
      <c r="H46" s="1" t="s">
        <v>65</v>
      </c>
      <c r="I46" s="3" t="s">
        <v>63</v>
      </c>
      <c r="J46" s="3" t="s">
        <v>45</v>
      </c>
      <c r="L46" s="3" t="s">
        <v>64</v>
      </c>
      <c r="M46" s="1">
        <v>8.0</v>
      </c>
      <c r="N46" s="1" t="b">
        <v>1</v>
      </c>
      <c r="O46" s="1">
        <v>320.0</v>
      </c>
    </row>
    <row r="47" ht="15.75" customHeight="1">
      <c r="A47" s="2">
        <v>45512.0</v>
      </c>
      <c r="B47" s="1" t="s">
        <v>2506</v>
      </c>
      <c r="P47" s="1">
        <v>2.0</v>
      </c>
      <c r="S47" s="1">
        <v>13349.0</v>
      </c>
      <c r="T47" s="1">
        <v>5636.0</v>
      </c>
      <c r="U47" s="1">
        <v>17458.0</v>
      </c>
      <c r="V47" s="1">
        <v>12178.0</v>
      </c>
      <c r="W47" s="1">
        <v>0.0</v>
      </c>
      <c r="X47" s="1">
        <v>1005.0</v>
      </c>
      <c r="Y47" s="1">
        <v>3153.0</v>
      </c>
      <c r="AA47" s="1">
        <v>3450.0</v>
      </c>
      <c r="AB47" s="1">
        <v>56098.0</v>
      </c>
      <c r="AC47" s="1">
        <v>6.0</v>
      </c>
      <c r="AD47" s="1">
        <v>0.2343877092507467</v>
      </c>
      <c r="AI47" s="1">
        <v>880.0</v>
      </c>
      <c r="AJ47" s="1">
        <v>0.0</v>
      </c>
      <c r="AK47" s="1">
        <v>0.0</v>
      </c>
      <c r="AL47" s="1">
        <v>4.0</v>
      </c>
      <c r="AM47" s="1" t="s">
        <v>2523</v>
      </c>
      <c r="AN47" s="1">
        <v>2.0</v>
      </c>
      <c r="AO47" s="1">
        <v>2.0</v>
      </c>
      <c r="AP47" s="1"/>
      <c r="AQ47" s="1"/>
      <c r="AR47" s="1"/>
      <c r="AS47" s="1"/>
      <c r="AT47" s="1"/>
      <c r="AU47" s="1"/>
      <c r="AV47" s="1"/>
    </row>
    <row r="48" ht="15.75" customHeight="1">
      <c r="A48" s="2">
        <v>45513.0</v>
      </c>
      <c r="B48" s="1" t="s">
        <v>39</v>
      </c>
      <c r="C48" s="1" t="s">
        <v>52</v>
      </c>
      <c r="D48" s="3" t="s">
        <v>41</v>
      </c>
      <c r="E48" s="3" t="s">
        <v>45</v>
      </c>
      <c r="G48" s="3" t="s">
        <v>53</v>
      </c>
    </row>
    <row r="49" ht="15.75" customHeight="1">
      <c r="A49" s="2">
        <v>45513.0</v>
      </c>
      <c r="B49" s="1" t="s">
        <v>39</v>
      </c>
      <c r="C49" s="1" t="s">
        <v>44</v>
      </c>
      <c r="D49" s="3" t="s">
        <v>45</v>
      </c>
      <c r="E49" s="3" t="s">
        <v>49</v>
      </c>
      <c r="G49" s="3" t="s">
        <v>64</v>
      </c>
    </row>
    <row r="50" ht="15.75" customHeight="1">
      <c r="A50" s="2">
        <v>45513.0</v>
      </c>
      <c r="B50" s="1" t="s">
        <v>39</v>
      </c>
      <c r="C50" s="1" t="s">
        <v>40</v>
      </c>
      <c r="D50" s="3" t="s">
        <v>45</v>
      </c>
      <c r="E50" s="3" t="s">
        <v>2508</v>
      </c>
      <c r="G50" s="3" t="s">
        <v>47</v>
      </c>
    </row>
    <row r="51" ht="15.75" customHeight="1">
      <c r="A51" s="2">
        <v>45513.0</v>
      </c>
      <c r="B51" s="1" t="s">
        <v>39</v>
      </c>
      <c r="C51" s="1" t="s">
        <v>2509</v>
      </c>
      <c r="D51" s="3" t="s">
        <v>41</v>
      </c>
      <c r="E51" s="3" t="s">
        <v>45</v>
      </c>
      <c r="G51" s="3" t="s">
        <v>53</v>
      </c>
    </row>
    <row r="52" ht="15.75" customHeight="1">
      <c r="A52" s="2">
        <v>45513.0</v>
      </c>
      <c r="B52" s="1" t="s">
        <v>39</v>
      </c>
      <c r="C52" s="1" t="s">
        <v>2516</v>
      </c>
      <c r="D52" s="3" t="s">
        <v>70</v>
      </c>
      <c r="E52" s="3" t="s">
        <v>2508</v>
      </c>
      <c r="G52" s="3" t="s">
        <v>53</v>
      </c>
    </row>
    <row r="53" ht="15.75" customHeight="1">
      <c r="A53" s="2">
        <v>45513.0</v>
      </c>
      <c r="B53" s="1" t="s">
        <v>39</v>
      </c>
      <c r="H53" s="1" t="s">
        <v>71</v>
      </c>
      <c r="I53" s="3" t="s">
        <v>70</v>
      </c>
      <c r="J53" s="3" t="s">
        <v>2508</v>
      </c>
      <c r="L53" s="3" t="s">
        <v>53</v>
      </c>
      <c r="M53" s="1">
        <v>12.0</v>
      </c>
      <c r="N53" s="1" t="b">
        <v>1</v>
      </c>
      <c r="O53" s="1">
        <v>480.0</v>
      </c>
    </row>
    <row r="54" ht="15.75" customHeight="1">
      <c r="A54" s="2">
        <v>45513.0</v>
      </c>
      <c r="B54" s="1" t="s">
        <v>39</v>
      </c>
      <c r="H54" s="1" t="s">
        <v>373</v>
      </c>
      <c r="I54" s="3" t="s">
        <v>63</v>
      </c>
      <c r="J54" s="3" t="s">
        <v>70</v>
      </c>
      <c r="L54" s="3" t="s">
        <v>53</v>
      </c>
      <c r="M54" s="1">
        <v>13.0</v>
      </c>
      <c r="N54" s="1" t="b">
        <v>1</v>
      </c>
      <c r="O54" s="1">
        <v>520.0</v>
      </c>
    </row>
    <row r="55" ht="15.75" customHeight="1">
      <c r="A55" s="2">
        <v>45513.0</v>
      </c>
      <c r="B55" s="1" t="s">
        <v>39</v>
      </c>
      <c r="P55" s="1">
        <v>4.0</v>
      </c>
      <c r="S55" s="1">
        <v>12739.0</v>
      </c>
      <c r="T55" s="1">
        <v>4396.0</v>
      </c>
      <c r="U55" s="1">
        <v>16038.0</v>
      </c>
      <c r="V55" s="1">
        <v>13494.0</v>
      </c>
      <c r="W55" s="1">
        <v>748.0</v>
      </c>
      <c r="X55" s="1">
        <v>5197.0</v>
      </c>
      <c r="Y55" s="1">
        <v>4219.0</v>
      </c>
      <c r="Z55" s="1">
        <v>220.0</v>
      </c>
      <c r="AA55" s="1">
        <v>8426.0</v>
      </c>
      <c r="AB55" s="1">
        <v>61360.0</v>
      </c>
      <c r="AC55" s="1">
        <v>0.0</v>
      </c>
      <c r="AD55" s="1">
        <v>0.25725929780880685</v>
      </c>
      <c r="AH55" s="1">
        <v>80.0</v>
      </c>
      <c r="AI55" s="1">
        <v>1000.0</v>
      </c>
      <c r="AJ55" s="1">
        <v>1.0</v>
      </c>
      <c r="AK55" s="1">
        <v>329.0</v>
      </c>
      <c r="AL55" s="1">
        <v>2.0</v>
      </c>
      <c r="AM55" s="1" t="s">
        <v>2524</v>
      </c>
      <c r="AN55" s="1">
        <v>2.0</v>
      </c>
      <c r="AO55" s="1">
        <v>3.0</v>
      </c>
      <c r="AP55" s="1"/>
      <c r="AQ55" s="1"/>
      <c r="AR55" s="1"/>
      <c r="AS55" s="1"/>
      <c r="AT55" s="1"/>
      <c r="AU55" s="1"/>
      <c r="AV55" s="1"/>
    </row>
    <row r="56" ht="15.75" customHeight="1">
      <c r="A56" s="2">
        <v>45514.0</v>
      </c>
      <c r="B56" s="1" t="s">
        <v>2512</v>
      </c>
      <c r="C56" s="1" t="s">
        <v>96</v>
      </c>
      <c r="D56" s="3" t="s">
        <v>41</v>
      </c>
      <c r="E56" s="3" t="s">
        <v>45</v>
      </c>
      <c r="G56" s="3" t="s">
        <v>53</v>
      </c>
    </row>
    <row r="57" ht="15.75" customHeight="1">
      <c r="A57" s="2">
        <v>45514.0</v>
      </c>
      <c r="B57" s="1" t="s">
        <v>2512</v>
      </c>
      <c r="C57" s="1" t="s">
        <v>44</v>
      </c>
      <c r="D57" s="3" t="s">
        <v>41</v>
      </c>
      <c r="E57" s="3" t="s">
        <v>2508</v>
      </c>
      <c r="G57" s="3" t="s">
        <v>2510</v>
      </c>
    </row>
    <row r="58" ht="15.75" customHeight="1">
      <c r="A58" s="2">
        <v>45514.0</v>
      </c>
      <c r="B58" s="1" t="s">
        <v>2512</v>
      </c>
      <c r="C58" s="1" t="s">
        <v>40</v>
      </c>
      <c r="D58" s="3" t="s">
        <v>45</v>
      </c>
      <c r="E58" s="3" t="s">
        <v>49</v>
      </c>
      <c r="G58" s="3" t="s">
        <v>64</v>
      </c>
    </row>
    <row r="59" ht="15.75" customHeight="1">
      <c r="A59" s="2">
        <v>45514.0</v>
      </c>
      <c r="B59" s="1" t="s">
        <v>2512</v>
      </c>
      <c r="C59" s="1" t="s">
        <v>2509</v>
      </c>
      <c r="D59" s="3" t="s">
        <v>45</v>
      </c>
      <c r="E59" s="3" t="s">
        <v>2508</v>
      </c>
      <c r="G59" s="3" t="s">
        <v>47</v>
      </c>
    </row>
    <row r="60" ht="15.75" customHeight="1">
      <c r="A60" s="2">
        <v>45514.0</v>
      </c>
      <c r="B60" s="1" t="s">
        <v>2512</v>
      </c>
      <c r="H60" s="1" t="s">
        <v>65</v>
      </c>
      <c r="I60" s="3" t="s">
        <v>63</v>
      </c>
      <c r="J60" s="3" t="s">
        <v>2525</v>
      </c>
      <c r="L60" s="3" t="s">
        <v>47</v>
      </c>
      <c r="M60" s="1">
        <v>12.0</v>
      </c>
      <c r="N60" s="1" t="b">
        <v>1</v>
      </c>
      <c r="O60" s="1">
        <v>480.0</v>
      </c>
    </row>
    <row r="61" ht="15.75" customHeight="1">
      <c r="A61" s="2">
        <v>45514.0</v>
      </c>
      <c r="B61" s="1" t="s">
        <v>2512</v>
      </c>
      <c r="H61" s="1" t="s">
        <v>1073</v>
      </c>
      <c r="I61" s="3" t="s">
        <v>45</v>
      </c>
      <c r="J61" s="3" t="s">
        <v>2526</v>
      </c>
      <c r="L61" s="3" t="s">
        <v>2527</v>
      </c>
      <c r="M61" s="1">
        <v>10.0</v>
      </c>
      <c r="N61" s="1" t="b">
        <v>1</v>
      </c>
      <c r="O61" s="1">
        <v>400.0</v>
      </c>
    </row>
    <row r="62" ht="15.75" customHeight="1">
      <c r="A62" s="2">
        <v>45514.0</v>
      </c>
      <c r="B62" s="1" t="s">
        <v>2512</v>
      </c>
      <c r="P62" s="1">
        <v>4.0</v>
      </c>
      <c r="S62" s="1">
        <v>13195.0</v>
      </c>
      <c r="T62" s="1">
        <v>8108.0</v>
      </c>
      <c r="U62" s="1">
        <v>20257.0</v>
      </c>
      <c r="V62" s="1">
        <v>13678.0</v>
      </c>
      <c r="W62" s="1">
        <v>378.0</v>
      </c>
      <c r="X62" s="1">
        <v>4033.0</v>
      </c>
      <c r="Y62" s="1">
        <v>5809.0</v>
      </c>
      <c r="AA62" s="1">
        <v>5000.0</v>
      </c>
      <c r="AB62" s="1">
        <v>67302.75</v>
      </c>
      <c r="AC62" s="1">
        <v>2.25</v>
      </c>
      <c r="AD62" s="1">
        <v>0.20578299391255764</v>
      </c>
      <c r="AI62" s="1">
        <v>880.0</v>
      </c>
      <c r="AJ62" s="1">
        <v>0.0</v>
      </c>
      <c r="AK62" s="1">
        <v>0.0</v>
      </c>
      <c r="AL62" s="1">
        <v>2.0</v>
      </c>
      <c r="AM62" s="1" t="s">
        <v>2528</v>
      </c>
      <c r="AN62" s="1">
        <v>2.0</v>
      </c>
      <c r="AO62" s="1">
        <v>1.0</v>
      </c>
      <c r="AP62" s="1"/>
      <c r="AQ62" s="1"/>
      <c r="AR62" s="1"/>
      <c r="AS62" s="1"/>
      <c r="AT62" s="1"/>
      <c r="AU62" s="1"/>
      <c r="AV62" s="1"/>
    </row>
    <row r="63" ht="15.75" customHeight="1">
      <c r="A63" s="2">
        <v>45515.0</v>
      </c>
      <c r="B63" s="1" t="s">
        <v>67</v>
      </c>
      <c r="C63" s="1" t="s">
        <v>96</v>
      </c>
      <c r="D63" s="3" t="s">
        <v>41</v>
      </c>
      <c r="E63" s="3" t="s">
        <v>45</v>
      </c>
      <c r="G63" s="3" t="s">
        <v>53</v>
      </c>
    </row>
    <row r="64" ht="15.75" customHeight="1">
      <c r="A64" s="2">
        <v>45515.0</v>
      </c>
      <c r="B64" s="1" t="s">
        <v>67</v>
      </c>
      <c r="C64" s="1" t="s">
        <v>40</v>
      </c>
      <c r="D64" s="3" t="s">
        <v>41</v>
      </c>
      <c r="E64" s="3" t="s">
        <v>42</v>
      </c>
      <c r="G64" s="3" t="s">
        <v>43</v>
      </c>
    </row>
    <row r="65" ht="15.75" customHeight="1">
      <c r="A65" s="2">
        <v>45515.0</v>
      </c>
      <c r="B65" s="1" t="s">
        <v>67</v>
      </c>
      <c r="C65" s="1" t="s">
        <v>44</v>
      </c>
      <c r="D65" s="3" t="s">
        <v>2529</v>
      </c>
      <c r="E65" s="3" t="s">
        <v>57</v>
      </c>
      <c r="G65" s="3" t="s">
        <v>47</v>
      </c>
    </row>
    <row r="66" ht="15.75" customHeight="1">
      <c r="A66" s="2">
        <v>45515.0</v>
      </c>
      <c r="B66" s="1" t="s">
        <v>67</v>
      </c>
      <c r="C66" s="1" t="s">
        <v>2509</v>
      </c>
      <c r="D66" s="3" t="s">
        <v>45</v>
      </c>
      <c r="E66" s="3" t="s">
        <v>57</v>
      </c>
      <c r="G66" s="3" t="s">
        <v>53</v>
      </c>
    </row>
    <row r="67" ht="15.75" customHeight="1">
      <c r="A67" s="2">
        <v>45515.0</v>
      </c>
      <c r="B67" s="1" t="s">
        <v>67</v>
      </c>
      <c r="H67" s="1" t="s">
        <v>1073</v>
      </c>
      <c r="I67" s="3" t="s">
        <v>63</v>
      </c>
      <c r="J67" s="3" t="s">
        <v>45</v>
      </c>
      <c r="L67" s="3" t="s">
        <v>64</v>
      </c>
      <c r="M67" s="1">
        <v>7.0</v>
      </c>
      <c r="N67" s="1" t="b">
        <v>1</v>
      </c>
      <c r="O67" s="1">
        <v>280.0</v>
      </c>
    </row>
    <row r="68" ht="15.75" customHeight="1">
      <c r="A68" s="2">
        <v>45515.0</v>
      </c>
      <c r="B68" s="1" t="s">
        <v>67</v>
      </c>
      <c r="H68" s="1" t="s">
        <v>65</v>
      </c>
      <c r="I68" s="3" t="s">
        <v>2529</v>
      </c>
      <c r="J68" s="3" t="s">
        <v>57</v>
      </c>
      <c r="L68" s="3" t="s">
        <v>47</v>
      </c>
      <c r="M68" s="1">
        <v>13.0</v>
      </c>
      <c r="N68" s="1" t="b">
        <v>1</v>
      </c>
      <c r="O68" s="1">
        <v>520.0</v>
      </c>
    </row>
    <row r="69" ht="15.75" customHeight="1">
      <c r="A69" s="2">
        <v>45515.0</v>
      </c>
      <c r="B69" s="1" t="s">
        <v>67</v>
      </c>
      <c r="P69" s="1">
        <v>2.0</v>
      </c>
      <c r="S69" s="1">
        <v>14266.0</v>
      </c>
      <c r="T69" s="1">
        <v>9954.0</v>
      </c>
      <c r="U69" s="1">
        <v>16950.0</v>
      </c>
      <c r="V69" s="1">
        <v>11974.0</v>
      </c>
      <c r="W69" s="1">
        <v>0.0</v>
      </c>
      <c r="X69" s="1">
        <v>2373.0</v>
      </c>
      <c r="Y69" s="1">
        <v>6149.0</v>
      </c>
      <c r="Z69" s="1">
        <v>360.0</v>
      </c>
      <c r="AA69" s="1">
        <v>4760.0</v>
      </c>
      <c r="AB69" s="1">
        <v>65205.0</v>
      </c>
      <c r="AC69" s="1">
        <v>8.0</v>
      </c>
      <c r="AD69" s="1">
        <v>0.19551997229581147</v>
      </c>
      <c r="AI69" s="1">
        <v>800.0</v>
      </c>
      <c r="AJ69" s="1">
        <v>0.0</v>
      </c>
      <c r="AK69" s="1">
        <v>0.0</v>
      </c>
      <c r="AL69" s="1">
        <v>4.0</v>
      </c>
      <c r="AM69" s="1" t="s">
        <v>2530</v>
      </c>
      <c r="AN69" s="1">
        <v>2.0</v>
      </c>
      <c r="AO69" s="1">
        <v>2.0</v>
      </c>
      <c r="AP69" s="1"/>
      <c r="AQ69" s="1"/>
      <c r="AR69" s="1"/>
      <c r="AS69" s="1"/>
      <c r="AT69" s="1"/>
      <c r="AU69" s="1"/>
      <c r="AV69" s="1"/>
    </row>
    <row r="70" ht="15.75" customHeight="1">
      <c r="A70" s="2">
        <v>45516.0</v>
      </c>
      <c r="B70" s="1" t="s">
        <v>69</v>
      </c>
      <c r="C70" s="1" t="s">
        <v>72</v>
      </c>
      <c r="D70" s="3" t="s">
        <v>41</v>
      </c>
      <c r="E70" s="3" t="s">
        <v>2531</v>
      </c>
      <c r="G70" s="3" t="s">
        <v>2515</v>
      </c>
    </row>
    <row r="71" ht="15.75" customHeight="1">
      <c r="A71" s="2">
        <v>45516.0</v>
      </c>
      <c r="B71" s="1" t="s">
        <v>69</v>
      </c>
      <c r="C71" s="1" t="s">
        <v>52</v>
      </c>
      <c r="D71" s="3" t="s">
        <v>45</v>
      </c>
      <c r="E71" s="3" t="s">
        <v>57</v>
      </c>
      <c r="G71" s="3" t="s">
        <v>53</v>
      </c>
    </row>
    <row r="72" ht="15.75" customHeight="1">
      <c r="A72" s="2">
        <v>45516.0</v>
      </c>
      <c r="B72" s="1" t="s">
        <v>69</v>
      </c>
      <c r="C72" s="1" t="s">
        <v>2509</v>
      </c>
      <c r="D72" s="3" t="s">
        <v>45</v>
      </c>
      <c r="E72" s="3" t="s">
        <v>57</v>
      </c>
      <c r="G72" s="3" t="s">
        <v>53</v>
      </c>
    </row>
    <row r="73" ht="15.75" customHeight="1">
      <c r="A73" s="2">
        <v>45516.0</v>
      </c>
      <c r="B73" s="1" t="s">
        <v>69</v>
      </c>
      <c r="H73" s="1" t="s">
        <v>373</v>
      </c>
      <c r="I73" s="3" t="s">
        <v>63</v>
      </c>
      <c r="J73" s="3" t="s">
        <v>70</v>
      </c>
      <c r="L73" s="3" t="s">
        <v>53</v>
      </c>
      <c r="M73" s="1">
        <v>9.0</v>
      </c>
      <c r="N73" s="1" t="b">
        <v>1</v>
      </c>
      <c r="O73" s="1">
        <v>360.0</v>
      </c>
    </row>
    <row r="74" ht="15.75" customHeight="1">
      <c r="A74" s="2">
        <v>45516.0</v>
      </c>
      <c r="B74" s="1" t="s">
        <v>69</v>
      </c>
      <c r="H74" s="1" t="s">
        <v>71</v>
      </c>
      <c r="I74" s="3" t="s">
        <v>70</v>
      </c>
      <c r="J74" s="3" t="s">
        <v>57</v>
      </c>
      <c r="L74" s="3" t="s">
        <v>64</v>
      </c>
      <c r="M74" s="1">
        <v>9.0</v>
      </c>
      <c r="N74" s="1" t="b">
        <v>1</v>
      </c>
      <c r="O74" s="1">
        <v>360.0</v>
      </c>
    </row>
    <row r="75" ht="15.75" customHeight="1">
      <c r="A75" s="2">
        <v>45516.0</v>
      </c>
      <c r="B75" s="1" t="s">
        <v>69</v>
      </c>
      <c r="P75" s="1">
        <v>5.0</v>
      </c>
      <c r="S75" s="1">
        <v>8460.0</v>
      </c>
      <c r="T75" s="1">
        <v>4941.0</v>
      </c>
      <c r="U75" s="1">
        <v>15978.0</v>
      </c>
      <c r="V75" s="1">
        <v>5899.0</v>
      </c>
      <c r="W75" s="1">
        <v>548.0</v>
      </c>
      <c r="X75" s="1">
        <v>1020.0</v>
      </c>
      <c r="Y75" s="1">
        <v>2894.0</v>
      </c>
      <c r="AA75" s="1">
        <v>4710.0</v>
      </c>
      <c r="AB75" s="1">
        <v>44143.0</v>
      </c>
      <c r="AC75" s="1">
        <v>7.0</v>
      </c>
      <c r="AD75" s="1">
        <v>0.35855323184986043</v>
      </c>
      <c r="AI75" s="1">
        <v>720.0</v>
      </c>
      <c r="AJ75" s="1">
        <v>1.0</v>
      </c>
      <c r="AK75" s="1">
        <v>466.0</v>
      </c>
      <c r="AL75" s="1">
        <v>17.0</v>
      </c>
      <c r="AM75" s="1" t="s">
        <v>2532</v>
      </c>
      <c r="AN75" s="1">
        <v>2.0</v>
      </c>
      <c r="AO75" s="1">
        <v>4.0</v>
      </c>
      <c r="AP75" s="1"/>
      <c r="AQ75" s="1"/>
      <c r="AR75" s="1"/>
      <c r="AS75" s="1"/>
      <c r="AT75" s="1"/>
      <c r="AU75" s="1"/>
      <c r="AV75" s="1"/>
    </row>
    <row r="76" ht="15.75" customHeight="1">
      <c r="A76" s="2">
        <v>45517.0</v>
      </c>
      <c r="B76" s="1" t="s">
        <v>61</v>
      </c>
      <c r="C76" s="1" t="s">
        <v>44</v>
      </c>
      <c r="D76" s="3" t="s">
        <v>41</v>
      </c>
      <c r="E76" s="3" t="s">
        <v>45</v>
      </c>
      <c r="G76" s="3" t="s">
        <v>53</v>
      </c>
    </row>
    <row r="77" ht="15.75" customHeight="1">
      <c r="A77" s="2">
        <v>45517.0</v>
      </c>
      <c r="B77" s="1" t="s">
        <v>61</v>
      </c>
      <c r="C77" s="1" t="s">
        <v>72</v>
      </c>
      <c r="D77" s="3" t="s">
        <v>45</v>
      </c>
      <c r="E77" s="3" t="s">
        <v>56</v>
      </c>
      <c r="G77" s="3" t="s">
        <v>2515</v>
      </c>
    </row>
    <row r="78" ht="15.75" customHeight="1">
      <c r="A78" s="2">
        <v>45517.0</v>
      </c>
      <c r="B78" s="1" t="s">
        <v>61</v>
      </c>
      <c r="C78" s="1" t="s">
        <v>2509</v>
      </c>
      <c r="D78" s="3" t="s">
        <v>45</v>
      </c>
      <c r="E78" s="3" t="s">
        <v>56</v>
      </c>
      <c r="G78" s="3" t="s">
        <v>2515</v>
      </c>
    </row>
    <row r="79" ht="15.75" customHeight="1">
      <c r="A79" s="2">
        <v>45517.0</v>
      </c>
      <c r="B79" s="1" t="s">
        <v>61</v>
      </c>
      <c r="H79" s="1" t="s">
        <v>65</v>
      </c>
      <c r="I79" s="3" t="s">
        <v>63</v>
      </c>
      <c r="J79" s="3" t="s">
        <v>45</v>
      </c>
      <c r="L79" s="3" t="s">
        <v>64</v>
      </c>
      <c r="M79" s="1">
        <v>6.0</v>
      </c>
      <c r="N79" s="1" t="b">
        <v>1</v>
      </c>
      <c r="O79" s="1">
        <v>240.0</v>
      </c>
    </row>
    <row r="80" ht="15.75" customHeight="1">
      <c r="A80" s="2">
        <v>45517.0</v>
      </c>
      <c r="B80" s="1" t="s">
        <v>61</v>
      </c>
      <c r="H80" s="1" t="s">
        <v>55</v>
      </c>
      <c r="I80" s="3" t="s">
        <v>45</v>
      </c>
      <c r="J80" s="3" t="s">
        <v>56</v>
      </c>
      <c r="L80" s="3" t="s">
        <v>2515</v>
      </c>
      <c r="M80" s="1">
        <v>6.0</v>
      </c>
    </row>
    <row r="81" ht="15.75" customHeight="1">
      <c r="A81" s="2">
        <v>45517.0</v>
      </c>
      <c r="B81" s="1" t="s">
        <v>61</v>
      </c>
      <c r="P81" s="1">
        <v>2.0</v>
      </c>
      <c r="S81" s="1">
        <v>7127.0</v>
      </c>
      <c r="T81" s="1">
        <v>4665.0</v>
      </c>
      <c r="U81" s="1">
        <v>13593.0</v>
      </c>
      <c r="V81" s="1">
        <v>7867.0</v>
      </c>
      <c r="W81" s="1">
        <v>0.0</v>
      </c>
      <c r="X81" s="1">
        <v>3915.0</v>
      </c>
      <c r="Z81" s="1">
        <v>2779.0</v>
      </c>
      <c r="AA81" s="1">
        <v>1480.0</v>
      </c>
      <c r="AB81" s="1">
        <v>43529.9</v>
      </c>
      <c r="AC81" s="1">
        <v>1.0999999999985448</v>
      </c>
      <c r="AD81" s="1">
        <v>0.2937014004982411</v>
      </c>
      <c r="AE81" s="1">
        <v>500.0</v>
      </c>
      <c r="AG81" s="1">
        <v>3780.0</v>
      </c>
      <c r="AH81" s="1">
        <v>1500.0</v>
      </c>
      <c r="AI81" s="1">
        <v>240.0</v>
      </c>
      <c r="AJ81" s="1">
        <v>2.0</v>
      </c>
      <c r="AK81" s="1">
        <v>886.0</v>
      </c>
      <c r="AL81" s="1">
        <v>5.0</v>
      </c>
      <c r="AM81" s="1" t="s">
        <v>2533</v>
      </c>
      <c r="AN81" s="1">
        <v>1.0</v>
      </c>
      <c r="AO81" s="1">
        <v>1.0</v>
      </c>
      <c r="AP81" s="1"/>
      <c r="AQ81" s="1"/>
      <c r="AR81" s="1"/>
      <c r="AS81" s="1"/>
      <c r="AT81" s="1"/>
      <c r="AU81" s="1"/>
      <c r="AV81" s="1"/>
    </row>
    <row r="82" ht="15.75" customHeight="1">
      <c r="A82" s="2">
        <v>45518.0</v>
      </c>
      <c r="B82" s="1" t="s">
        <v>73</v>
      </c>
      <c r="C82" s="1" t="s">
        <v>40</v>
      </c>
      <c r="D82" s="3" t="s">
        <v>45</v>
      </c>
      <c r="E82" s="3" t="s">
        <v>57</v>
      </c>
      <c r="G82" s="3" t="s">
        <v>53</v>
      </c>
    </row>
    <row r="83" ht="15.75" customHeight="1">
      <c r="A83" s="2">
        <v>45518.0</v>
      </c>
      <c r="B83" s="1" t="s">
        <v>73</v>
      </c>
      <c r="C83" s="1" t="s">
        <v>52</v>
      </c>
      <c r="D83" s="3" t="s">
        <v>41</v>
      </c>
      <c r="E83" s="3" t="s">
        <v>2531</v>
      </c>
      <c r="G83" s="3" t="s">
        <v>2515</v>
      </c>
    </row>
    <row r="84" ht="15.75" customHeight="1">
      <c r="A84" s="2">
        <v>45518.0</v>
      </c>
      <c r="B84" s="1" t="s">
        <v>73</v>
      </c>
      <c r="C84" s="1" t="s">
        <v>2516</v>
      </c>
      <c r="D84" s="3" t="s">
        <v>70</v>
      </c>
      <c r="E84" s="3" t="s">
        <v>68</v>
      </c>
      <c r="G84" s="3" t="s">
        <v>64</v>
      </c>
    </row>
    <row r="85" ht="15.75" customHeight="1">
      <c r="A85" s="2">
        <v>45518.0</v>
      </c>
      <c r="B85" s="1" t="s">
        <v>73</v>
      </c>
      <c r="H85" s="1" t="s">
        <v>373</v>
      </c>
      <c r="I85" s="3" t="s">
        <v>2525</v>
      </c>
      <c r="J85" s="3" t="s">
        <v>68</v>
      </c>
      <c r="L85" s="3" t="s">
        <v>2534</v>
      </c>
      <c r="M85" s="1">
        <v>7.0</v>
      </c>
      <c r="N85" s="1" t="b">
        <v>1</v>
      </c>
      <c r="O85" s="1">
        <v>280.0</v>
      </c>
    </row>
    <row r="86" ht="15.75" customHeight="1">
      <c r="A86" s="2">
        <v>45518.0</v>
      </c>
      <c r="B86" s="1" t="s">
        <v>73</v>
      </c>
      <c r="H86" s="1" t="s">
        <v>96</v>
      </c>
      <c r="I86" s="3" t="s">
        <v>63</v>
      </c>
      <c r="J86" s="3" t="s">
        <v>70</v>
      </c>
      <c r="L86" s="3" t="s">
        <v>53</v>
      </c>
      <c r="M86" s="1">
        <v>11.0</v>
      </c>
      <c r="N86" s="1" t="b">
        <v>1</v>
      </c>
      <c r="O86" s="1">
        <v>440.0</v>
      </c>
    </row>
    <row r="87" ht="15.75" customHeight="1">
      <c r="A87" s="2">
        <v>45518.0</v>
      </c>
      <c r="B87" s="1" t="s">
        <v>73</v>
      </c>
      <c r="P87" s="1">
        <v>7.0</v>
      </c>
      <c r="S87" s="1">
        <v>9539.0</v>
      </c>
      <c r="T87" s="1">
        <v>3348.0</v>
      </c>
      <c r="U87" s="1">
        <v>17816.0</v>
      </c>
      <c r="V87" s="1">
        <v>10822.0</v>
      </c>
      <c r="W87" s="1">
        <v>368.0</v>
      </c>
      <c r="X87" s="1">
        <v>538.0</v>
      </c>
      <c r="Y87" s="1">
        <v>4553.0</v>
      </c>
      <c r="AA87" s="1">
        <v>4105.0</v>
      </c>
      <c r="AB87" s="1">
        <v>51269.5</v>
      </c>
      <c r="AC87" s="1">
        <v>1.5</v>
      </c>
      <c r="AD87" s="1">
        <v>0.25999290403745673</v>
      </c>
      <c r="AI87" s="1">
        <v>720.0</v>
      </c>
      <c r="AJ87" s="1">
        <v>3.0</v>
      </c>
      <c r="AK87" s="1">
        <v>767.0</v>
      </c>
      <c r="AL87" s="1">
        <v>5.0</v>
      </c>
      <c r="AM87" s="1" t="s">
        <v>2535</v>
      </c>
      <c r="AN87" s="1">
        <v>2.0</v>
      </c>
      <c r="AO87" s="1">
        <v>7.0</v>
      </c>
      <c r="AP87" s="1"/>
      <c r="AQ87" s="1"/>
      <c r="AR87" s="1"/>
      <c r="AS87" s="1"/>
      <c r="AT87" s="1"/>
      <c r="AU87" s="1"/>
      <c r="AV87" s="1"/>
    </row>
    <row r="88" ht="15.75" customHeight="1">
      <c r="A88" s="2">
        <v>45519.0</v>
      </c>
      <c r="B88" s="1" t="s">
        <v>2506</v>
      </c>
      <c r="C88" s="1" t="s">
        <v>40</v>
      </c>
      <c r="D88" s="3" t="s">
        <v>45</v>
      </c>
      <c r="E88" s="3" t="s">
        <v>68</v>
      </c>
      <c r="G88" s="3" t="s">
        <v>53</v>
      </c>
    </row>
    <row r="89" ht="15.75" customHeight="1">
      <c r="A89" s="2">
        <v>45519.0</v>
      </c>
      <c r="B89" s="1" t="s">
        <v>2506</v>
      </c>
      <c r="C89" s="1" t="s">
        <v>44</v>
      </c>
      <c r="D89" s="3" t="s">
        <v>41</v>
      </c>
      <c r="E89" s="3" t="s">
        <v>57</v>
      </c>
      <c r="G89" s="3" t="s">
        <v>2513</v>
      </c>
    </row>
    <row r="90" ht="15.75" customHeight="1">
      <c r="A90" s="2">
        <v>45519.0</v>
      </c>
      <c r="B90" s="1" t="s">
        <v>2506</v>
      </c>
      <c r="H90" s="1" t="s">
        <v>65</v>
      </c>
      <c r="I90" s="3" t="s">
        <v>63</v>
      </c>
      <c r="J90" s="3" t="s">
        <v>2536</v>
      </c>
      <c r="L90" s="3" t="s">
        <v>2515</v>
      </c>
      <c r="M90" s="1">
        <v>7.0</v>
      </c>
      <c r="N90" s="1" t="b">
        <v>1</v>
      </c>
      <c r="O90" s="1">
        <v>280.0</v>
      </c>
    </row>
    <row r="91" ht="15.75" customHeight="1">
      <c r="A91" s="2">
        <v>45519.0</v>
      </c>
      <c r="B91" s="1" t="s">
        <v>2506</v>
      </c>
      <c r="H91" s="1" t="s">
        <v>1073</v>
      </c>
      <c r="I91" s="3" t="s">
        <v>45</v>
      </c>
      <c r="J91" s="3" t="s">
        <v>57</v>
      </c>
      <c r="L91" s="3" t="s">
        <v>53</v>
      </c>
      <c r="M91" s="1">
        <v>14.0</v>
      </c>
      <c r="N91" s="1" t="b">
        <v>1</v>
      </c>
      <c r="O91" s="1">
        <v>560.0</v>
      </c>
    </row>
    <row r="92" ht="15.75" customHeight="1">
      <c r="A92" s="2">
        <v>45519.0</v>
      </c>
      <c r="B92" s="1" t="s">
        <v>2506</v>
      </c>
      <c r="P92" s="1">
        <v>1.0</v>
      </c>
      <c r="S92" s="1">
        <v>5535.0</v>
      </c>
      <c r="T92" s="1">
        <v>8580.0</v>
      </c>
      <c r="U92" s="1">
        <v>14640.0</v>
      </c>
      <c r="V92" s="1">
        <v>13204.0</v>
      </c>
      <c r="W92" s="1">
        <v>0.0</v>
      </c>
      <c r="X92" s="1">
        <v>4145.0</v>
      </c>
      <c r="Y92" s="1">
        <v>919.0</v>
      </c>
      <c r="AA92" s="1">
        <v>4862.0</v>
      </c>
      <c r="AB92" s="1">
        <v>48580.0</v>
      </c>
      <c r="AC92" s="1">
        <v>0.0</v>
      </c>
      <c r="AD92" s="1">
        <v>0.19856849307427718</v>
      </c>
      <c r="AI92" s="1">
        <v>840.0</v>
      </c>
      <c r="AJ92" s="1">
        <v>0.0</v>
      </c>
      <c r="AK92" s="1">
        <v>0.0</v>
      </c>
      <c r="AL92" s="1">
        <v>1.0</v>
      </c>
      <c r="AM92" s="1" t="s">
        <v>2537</v>
      </c>
      <c r="AN92" s="1">
        <v>2.0</v>
      </c>
      <c r="AO92" s="1">
        <v>1.0</v>
      </c>
      <c r="AP92" s="1"/>
      <c r="AQ92" s="1"/>
      <c r="AR92" s="1"/>
      <c r="AS92" s="1"/>
      <c r="AT92" s="1"/>
      <c r="AU92" s="1"/>
      <c r="AV92" s="1"/>
    </row>
    <row r="93" ht="15.75" customHeight="1">
      <c r="A93" s="2">
        <v>45520.0</v>
      </c>
      <c r="B93" s="1" t="s">
        <v>39</v>
      </c>
      <c r="C93" s="1" t="s">
        <v>44</v>
      </c>
      <c r="D93" s="3" t="s">
        <v>45</v>
      </c>
      <c r="E93" s="3" t="s">
        <v>2508</v>
      </c>
      <c r="G93" s="3" t="s">
        <v>47</v>
      </c>
    </row>
    <row r="94" ht="15.75" customHeight="1">
      <c r="A94" s="2">
        <v>45520.0</v>
      </c>
      <c r="B94" s="1" t="s">
        <v>39</v>
      </c>
      <c r="C94" s="1" t="s">
        <v>40</v>
      </c>
      <c r="D94" s="3" t="s">
        <v>41</v>
      </c>
      <c r="E94" s="3" t="s">
        <v>49</v>
      </c>
      <c r="G94" s="3" t="s">
        <v>50</v>
      </c>
    </row>
    <row r="95" ht="15.75" customHeight="1">
      <c r="A95" s="2">
        <v>45520.0</v>
      </c>
      <c r="B95" s="1" t="s">
        <v>39</v>
      </c>
      <c r="C95" s="1" t="s">
        <v>2509</v>
      </c>
      <c r="D95" s="3" t="s">
        <v>41</v>
      </c>
      <c r="E95" s="3" t="s">
        <v>70</v>
      </c>
      <c r="G95" s="3" t="s">
        <v>47</v>
      </c>
    </row>
    <row r="96" ht="15.75" customHeight="1">
      <c r="A96" s="2">
        <v>45520.0</v>
      </c>
      <c r="B96" s="1" t="s">
        <v>39</v>
      </c>
      <c r="C96" s="1" t="s">
        <v>2516</v>
      </c>
      <c r="D96" s="3" t="s">
        <v>70</v>
      </c>
      <c r="E96" s="3" t="s">
        <v>2508</v>
      </c>
      <c r="G96" s="3" t="s">
        <v>53</v>
      </c>
    </row>
    <row r="97" ht="15.75" customHeight="1">
      <c r="A97" s="2">
        <v>45520.0</v>
      </c>
      <c r="B97" s="1" t="s">
        <v>39</v>
      </c>
      <c r="H97" s="1" t="s">
        <v>373</v>
      </c>
      <c r="I97" s="3" t="s">
        <v>63</v>
      </c>
      <c r="J97" s="3" t="s">
        <v>45</v>
      </c>
      <c r="L97" s="3" t="s">
        <v>64</v>
      </c>
      <c r="M97" s="1">
        <v>19.0</v>
      </c>
      <c r="N97" s="1" t="b">
        <v>1</v>
      </c>
      <c r="O97" s="1">
        <v>760.0</v>
      </c>
    </row>
    <row r="98" ht="15.75" customHeight="1">
      <c r="A98" s="2">
        <v>45520.0</v>
      </c>
      <c r="B98" s="1" t="s">
        <v>39</v>
      </c>
      <c r="P98" s="1">
        <v>1.0</v>
      </c>
      <c r="S98" s="1">
        <v>11627.0</v>
      </c>
      <c r="T98" s="1">
        <v>11185.0</v>
      </c>
      <c r="U98" s="1">
        <v>19934.0</v>
      </c>
      <c r="V98" s="1">
        <v>14587.0</v>
      </c>
      <c r="W98" s="1">
        <v>0.0</v>
      </c>
      <c r="X98" s="1">
        <v>841.0</v>
      </c>
      <c r="Y98" s="1">
        <v>3949.0</v>
      </c>
      <c r="AA98" s="1">
        <v>3350.0</v>
      </c>
      <c r="AB98" s="1">
        <v>65671.5</v>
      </c>
      <c r="AC98" s="1">
        <v>0.5</v>
      </c>
      <c r="AD98" s="1">
        <v>0.17034983811163731</v>
      </c>
      <c r="AH98" s="1">
        <v>280.0</v>
      </c>
      <c r="AI98" s="1">
        <v>760.0</v>
      </c>
      <c r="AJ98" s="1">
        <v>3.0</v>
      </c>
      <c r="AK98" s="1">
        <v>892.0</v>
      </c>
      <c r="AL98" s="1">
        <v>6.0</v>
      </c>
      <c r="AM98" s="1" t="s">
        <v>2538</v>
      </c>
      <c r="AN98" s="1">
        <v>1.0</v>
      </c>
      <c r="AO98" s="1">
        <v>0.0</v>
      </c>
      <c r="AP98" s="1"/>
      <c r="AQ98" s="1"/>
      <c r="AR98" s="1"/>
      <c r="AS98" s="1"/>
      <c r="AT98" s="1"/>
      <c r="AU98" s="1"/>
      <c r="AV98" s="1"/>
    </row>
    <row r="99" ht="15.75" customHeight="1">
      <c r="A99" s="2">
        <v>45521.0</v>
      </c>
      <c r="B99" s="1" t="s">
        <v>2512</v>
      </c>
      <c r="C99" s="1" t="s">
        <v>44</v>
      </c>
      <c r="D99" s="3" t="s">
        <v>41</v>
      </c>
      <c r="E99" s="3" t="s">
        <v>46</v>
      </c>
      <c r="G99" s="3" t="s">
        <v>2510</v>
      </c>
    </row>
    <row r="100" ht="15.75" customHeight="1">
      <c r="A100" s="2">
        <v>45521.0</v>
      </c>
      <c r="B100" s="1" t="s">
        <v>2512</v>
      </c>
      <c r="C100" s="1" t="s">
        <v>40</v>
      </c>
      <c r="D100" s="3" t="s">
        <v>45</v>
      </c>
      <c r="E100" s="3" t="s">
        <v>46</v>
      </c>
      <c r="G100" s="3" t="s">
        <v>47</v>
      </c>
    </row>
    <row r="101" ht="15.75" customHeight="1">
      <c r="A101" s="2">
        <v>45521.0</v>
      </c>
      <c r="B101" s="1" t="s">
        <v>2512</v>
      </c>
      <c r="C101" s="1" t="s">
        <v>96</v>
      </c>
      <c r="D101" s="3" t="s">
        <v>41</v>
      </c>
      <c r="E101" s="3" t="s">
        <v>45</v>
      </c>
      <c r="G101" s="3" t="s">
        <v>53</v>
      </c>
    </row>
    <row r="102" ht="15.75" customHeight="1">
      <c r="A102" s="2">
        <v>45521.0</v>
      </c>
      <c r="B102" s="1" t="s">
        <v>2512</v>
      </c>
      <c r="H102" s="1" t="s">
        <v>65</v>
      </c>
      <c r="I102" s="3" t="s">
        <v>63</v>
      </c>
      <c r="J102" s="3" t="s">
        <v>46</v>
      </c>
      <c r="L102" s="3" t="s">
        <v>2513</v>
      </c>
      <c r="N102" s="1" t="b">
        <v>1</v>
      </c>
    </row>
    <row r="103" ht="15.75" customHeight="1">
      <c r="A103" s="2">
        <v>45521.0</v>
      </c>
      <c r="B103" s="1" t="s">
        <v>2512</v>
      </c>
      <c r="P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AB103" s="1">
        <v>0.0</v>
      </c>
      <c r="AC103" s="1">
        <v>0.0</v>
      </c>
      <c r="AD103" s="1" t="s">
        <v>60</v>
      </c>
      <c r="AI103" s="1">
        <v>0.0</v>
      </c>
      <c r="AJ103" s="1">
        <v>0.0</v>
      </c>
      <c r="AK103" s="1">
        <v>0.0</v>
      </c>
      <c r="AL103" s="1">
        <v>0.0</v>
      </c>
      <c r="AM103" s="1" t="e">
        <v>#DIV/0!</v>
      </c>
      <c r="AN103" s="1">
        <v>0.0</v>
      </c>
      <c r="AO103" s="1">
        <v>0.0</v>
      </c>
      <c r="AP103" s="1"/>
      <c r="AQ103" s="1"/>
      <c r="AR103" s="1"/>
      <c r="AS103" s="1"/>
      <c r="AT103" s="1"/>
      <c r="AU103" s="1"/>
      <c r="AV103" s="1"/>
    </row>
    <row r="104" ht="15.75" customHeight="1">
      <c r="A104" s="2">
        <v>45522.0</v>
      </c>
      <c r="B104" s="1" t="s">
        <v>67</v>
      </c>
      <c r="C104" s="1" t="s">
        <v>44</v>
      </c>
      <c r="D104" s="3" t="s">
        <v>45</v>
      </c>
      <c r="E104" s="3" t="s">
        <v>68</v>
      </c>
      <c r="G104" s="3" t="s">
        <v>53</v>
      </c>
    </row>
    <row r="105" ht="15.75" customHeight="1">
      <c r="A105" s="2">
        <v>45522.0</v>
      </c>
      <c r="B105" s="1" t="s">
        <v>67</v>
      </c>
      <c r="C105" s="1" t="s">
        <v>40</v>
      </c>
      <c r="D105" s="3" t="s">
        <v>45</v>
      </c>
      <c r="E105" s="3" t="s">
        <v>2508</v>
      </c>
      <c r="G105" s="3" t="s">
        <v>47</v>
      </c>
    </row>
    <row r="106" ht="15.75" customHeight="1">
      <c r="A106" s="2">
        <v>45522.0</v>
      </c>
      <c r="B106" s="1" t="s">
        <v>67</v>
      </c>
      <c r="C106" s="1" t="s">
        <v>2509</v>
      </c>
      <c r="D106" s="3" t="s">
        <v>41</v>
      </c>
      <c r="E106" s="3" t="s">
        <v>62</v>
      </c>
      <c r="G106" s="3" t="s">
        <v>41</v>
      </c>
    </row>
    <row r="107" ht="15.75" customHeight="1">
      <c r="A107" s="2">
        <v>45522.0</v>
      </c>
      <c r="B107" s="1" t="s">
        <v>67</v>
      </c>
      <c r="C107" s="1" t="s">
        <v>52</v>
      </c>
      <c r="D107" s="3" t="s">
        <v>41</v>
      </c>
      <c r="E107" s="3" t="s">
        <v>45</v>
      </c>
      <c r="G107" s="3" t="s">
        <v>53</v>
      </c>
    </row>
    <row r="108" ht="15.75" customHeight="1">
      <c r="A108" s="2">
        <v>45522.0</v>
      </c>
      <c r="B108" s="1" t="s">
        <v>67</v>
      </c>
      <c r="H108" s="1" t="s">
        <v>65</v>
      </c>
      <c r="I108" s="3" t="s">
        <v>45</v>
      </c>
      <c r="J108" s="3" t="s">
        <v>68</v>
      </c>
      <c r="L108" s="3" t="s">
        <v>53</v>
      </c>
      <c r="M108" s="1">
        <v>18.0</v>
      </c>
      <c r="N108" s="1" t="b">
        <v>1</v>
      </c>
      <c r="O108" s="1">
        <v>720.0</v>
      </c>
    </row>
    <row r="109" ht="15.75" customHeight="1">
      <c r="A109" s="2">
        <v>45522.0</v>
      </c>
      <c r="B109" s="1" t="s">
        <v>67</v>
      </c>
      <c r="H109" s="1" t="s">
        <v>55</v>
      </c>
      <c r="I109" s="3" t="s">
        <v>63</v>
      </c>
      <c r="J109" s="3" t="s">
        <v>45</v>
      </c>
      <c r="L109" s="3" t="s">
        <v>64</v>
      </c>
      <c r="M109" s="1">
        <v>2.0</v>
      </c>
    </row>
    <row r="110" ht="15.75" customHeight="1">
      <c r="A110" s="2">
        <v>45522.0</v>
      </c>
      <c r="B110" s="1" t="s">
        <v>67</v>
      </c>
      <c r="H110" s="1" t="s">
        <v>96</v>
      </c>
      <c r="I110" s="3" t="s">
        <v>2525</v>
      </c>
      <c r="J110" s="3" t="s">
        <v>2539</v>
      </c>
      <c r="L110" s="3" t="s">
        <v>2540</v>
      </c>
    </row>
    <row r="111" ht="15.75" customHeight="1">
      <c r="A111" s="2">
        <v>45522.0</v>
      </c>
      <c r="B111" s="1" t="s">
        <v>67</v>
      </c>
      <c r="P111" s="1">
        <v>7.0</v>
      </c>
      <c r="S111" s="1">
        <v>7993.0</v>
      </c>
      <c r="T111" s="1">
        <v>3681.0</v>
      </c>
      <c r="U111" s="1">
        <v>23414.0</v>
      </c>
      <c r="V111" s="1">
        <v>11825.0</v>
      </c>
      <c r="W111" s="1">
        <v>762.0</v>
      </c>
      <c r="X111" s="1">
        <v>3120.0</v>
      </c>
      <c r="Y111" s="1">
        <v>5012.0</v>
      </c>
      <c r="Z111" s="1">
        <v>420.0</v>
      </c>
      <c r="AA111" s="1">
        <v>3950.0</v>
      </c>
      <c r="AB111" s="1">
        <v>59268.0</v>
      </c>
      <c r="AC111" s="1">
        <v>9.0</v>
      </c>
      <c r="AD111" s="1">
        <v>0.26451181402356055</v>
      </c>
      <c r="AE111" s="1">
        <v>500.0</v>
      </c>
      <c r="AH111" s="1">
        <v>1000.0</v>
      </c>
      <c r="AI111" s="1">
        <v>720.0</v>
      </c>
      <c r="AJ111" s="1">
        <v>1.0</v>
      </c>
      <c r="AK111" s="1">
        <v>503.0</v>
      </c>
      <c r="AL111" s="1">
        <v>10.0</v>
      </c>
      <c r="AM111" s="1" t="s">
        <v>2541</v>
      </c>
      <c r="AN111" s="1">
        <v>1.0</v>
      </c>
      <c r="AO111" s="1">
        <v>2.0</v>
      </c>
      <c r="AP111" s="1"/>
      <c r="AQ111" s="1"/>
      <c r="AR111" s="1"/>
      <c r="AS111" s="1"/>
      <c r="AT111" s="1"/>
      <c r="AU111" s="1"/>
      <c r="AV111" s="1"/>
    </row>
    <row r="112" ht="15.75" customHeight="1">
      <c r="A112" s="2">
        <v>45523.0</v>
      </c>
      <c r="B112" s="1" t="s">
        <v>69</v>
      </c>
      <c r="C112" s="1" t="s">
        <v>72</v>
      </c>
      <c r="D112" s="3" t="s">
        <v>41</v>
      </c>
      <c r="E112" s="3" t="s">
        <v>68</v>
      </c>
      <c r="G112" s="3" t="s">
        <v>2513</v>
      </c>
    </row>
    <row r="113" ht="15.75" customHeight="1">
      <c r="A113" s="2">
        <v>45523.0</v>
      </c>
      <c r="B113" s="1" t="s">
        <v>69</v>
      </c>
      <c r="H113" s="1" t="s">
        <v>373</v>
      </c>
      <c r="I113" s="3" t="s">
        <v>63</v>
      </c>
      <c r="J113" s="3" t="s">
        <v>70</v>
      </c>
      <c r="L113" s="3" t="s">
        <v>53</v>
      </c>
      <c r="N113" s="1" t="b">
        <v>1</v>
      </c>
    </row>
    <row r="114" ht="15.75" customHeight="1">
      <c r="A114" s="2">
        <v>45523.0</v>
      </c>
      <c r="B114" s="1" t="s">
        <v>69</v>
      </c>
      <c r="H114" s="1" t="s">
        <v>71</v>
      </c>
      <c r="I114" s="3" t="s">
        <v>70</v>
      </c>
      <c r="J114" s="3" t="s">
        <v>68</v>
      </c>
      <c r="L114" s="3" t="s">
        <v>64</v>
      </c>
    </row>
    <row r="115" ht="15.75" customHeight="1">
      <c r="A115" s="2">
        <v>45523.0</v>
      </c>
      <c r="B115" s="1" t="s">
        <v>69</v>
      </c>
      <c r="P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AB115" s="1">
        <v>0.0</v>
      </c>
      <c r="AC115" s="1">
        <v>0.0</v>
      </c>
      <c r="AD115" s="1" t="s">
        <v>60</v>
      </c>
      <c r="AI115" s="1">
        <v>0.0</v>
      </c>
      <c r="AJ115" s="1">
        <v>0.0</v>
      </c>
      <c r="AK115" s="1">
        <v>0.0</v>
      </c>
      <c r="AL115" s="1">
        <v>0.0</v>
      </c>
      <c r="AM115" s="1" t="e">
        <v>#DIV/0!</v>
      </c>
      <c r="AN115" s="1">
        <v>0.0</v>
      </c>
      <c r="AO115" s="1">
        <v>0.0</v>
      </c>
      <c r="AP115" s="1"/>
      <c r="AQ115" s="1"/>
      <c r="AR115" s="1"/>
      <c r="AS115" s="1"/>
      <c r="AT115" s="1"/>
      <c r="AU115" s="1"/>
      <c r="AV115" s="1"/>
    </row>
    <row r="116" ht="15.75" customHeight="1">
      <c r="A116" s="2">
        <v>45524.0</v>
      </c>
      <c r="B116" s="1" t="s">
        <v>61</v>
      </c>
      <c r="C116" s="1" t="s">
        <v>44</v>
      </c>
      <c r="D116" s="3" t="s">
        <v>45</v>
      </c>
      <c r="E116" s="3" t="s">
        <v>68</v>
      </c>
      <c r="G116" s="3" t="s">
        <v>53</v>
      </c>
    </row>
    <row r="117" ht="15.75" customHeight="1">
      <c r="A117" s="2">
        <v>45524.0</v>
      </c>
      <c r="B117" s="1" t="s">
        <v>61</v>
      </c>
      <c r="C117" s="1" t="s">
        <v>40</v>
      </c>
      <c r="D117" s="3" t="s">
        <v>41</v>
      </c>
      <c r="E117" s="3" t="s">
        <v>45</v>
      </c>
      <c r="G117" s="3" t="s">
        <v>53</v>
      </c>
    </row>
    <row r="118" ht="15.75" customHeight="1">
      <c r="A118" s="2">
        <v>45524.0</v>
      </c>
      <c r="B118" s="1" t="s">
        <v>61</v>
      </c>
      <c r="H118" s="1" t="s">
        <v>65</v>
      </c>
      <c r="I118" s="3" t="s">
        <v>63</v>
      </c>
      <c r="J118" s="3" t="s">
        <v>45</v>
      </c>
      <c r="L118" s="3" t="s">
        <v>64</v>
      </c>
      <c r="M118" s="1">
        <v>5.0</v>
      </c>
      <c r="N118" s="1" t="b">
        <v>1</v>
      </c>
      <c r="O118" s="1">
        <v>200.0</v>
      </c>
    </row>
    <row r="119" ht="15.75" customHeight="1">
      <c r="A119" s="2">
        <v>45524.0</v>
      </c>
      <c r="B119" s="1" t="s">
        <v>61</v>
      </c>
      <c r="H119" s="1" t="s">
        <v>55</v>
      </c>
      <c r="I119" s="3" t="s">
        <v>45</v>
      </c>
      <c r="J119" s="3" t="s">
        <v>57</v>
      </c>
      <c r="L119" s="3" t="s">
        <v>53</v>
      </c>
      <c r="M119" s="1">
        <v>15.0</v>
      </c>
    </row>
    <row r="120" ht="15.75" customHeight="1">
      <c r="A120" s="2">
        <v>45524.0</v>
      </c>
      <c r="B120" s="1" t="s">
        <v>61</v>
      </c>
      <c r="P120" s="1">
        <v>0.0</v>
      </c>
      <c r="S120" s="1">
        <v>8173.0</v>
      </c>
      <c r="T120" s="1">
        <v>4462.0</v>
      </c>
      <c r="U120" s="1">
        <v>14505.0</v>
      </c>
      <c r="V120" s="1">
        <v>7805.0</v>
      </c>
      <c r="W120" s="1">
        <v>0.0</v>
      </c>
      <c r="X120" s="1">
        <v>334.0</v>
      </c>
      <c r="Y120" s="1">
        <v>5906.0</v>
      </c>
      <c r="AB120" s="1">
        <v>44087.0</v>
      </c>
      <c r="AC120" s="1">
        <v>884.0</v>
      </c>
      <c r="AD120" s="1">
        <v>0.2056506261153716</v>
      </c>
      <c r="AE120" s="1">
        <v>500.0</v>
      </c>
      <c r="AH120" s="1">
        <v>3420.0</v>
      </c>
      <c r="AI120" s="1">
        <v>200.0</v>
      </c>
      <c r="AJ120" s="1">
        <v>0.0</v>
      </c>
      <c r="AK120" s="1">
        <v>0.0</v>
      </c>
      <c r="AL120" s="1">
        <v>6.0</v>
      </c>
      <c r="AM120" s="1" t="s">
        <v>2542</v>
      </c>
      <c r="AN120" s="1">
        <v>1.0</v>
      </c>
      <c r="AO120" s="1">
        <v>0.0</v>
      </c>
      <c r="AP120" s="1"/>
      <c r="AQ120" s="1"/>
      <c r="AR120" s="1"/>
      <c r="AS120" s="1"/>
      <c r="AT120" s="1"/>
      <c r="AU120" s="1"/>
      <c r="AV120" s="1"/>
    </row>
    <row r="121" ht="15.75" customHeight="1">
      <c r="A121" s="2">
        <v>45525.0</v>
      </c>
      <c r="B121" s="1" t="s">
        <v>73</v>
      </c>
      <c r="C121" s="1" t="s">
        <v>40</v>
      </c>
      <c r="D121" s="3" t="s">
        <v>45</v>
      </c>
      <c r="E121" s="3" t="s">
        <v>57</v>
      </c>
      <c r="G121" s="3" t="s">
        <v>53</v>
      </c>
    </row>
    <row r="122" ht="15.75" customHeight="1">
      <c r="A122" s="2">
        <v>45525.0</v>
      </c>
      <c r="B122" s="1" t="s">
        <v>73</v>
      </c>
      <c r="C122" s="1" t="s">
        <v>52</v>
      </c>
      <c r="D122" s="3" t="s">
        <v>45</v>
      </c>
      <c r="E122" s="3" t="s">
        <v>68</v>
      </c>
      <c r="G122" s="3" t="s">
        <v>53</v>
      </c>
    </row>
    <row r="123" ht="15.75" customHeight="1">
      <c r="A123" s="2">
        <v>45525.0</v>
      </c>
      <c r="B123" s="1" t="s">
        <v>73</v>
      </c>
      <c r="C123" s="1" t="s">
        <v>2509</v>
      </c>
      <c r="D123" s="3" t="s">
        <v>45</v>
      </c>
      <c r="E123" s="3" t="s">
        <v>68</v>
      </c>
      <c r="G123" s="3" t="s">
        <v>53</v>
      </c>
    </row>
    <row r="124" ht="15.75" customHeight="1">
      <c r="A124" s="2">
        <v>45525.0</v>
      </c>
      <c r="B124" s="1" t="s">
        <v>73</v>
      </c>
      <c r="H124" s="1" t="s">
        <v>373</v>
      </c>
      <c r="I124" s="3" t="s">
        <v>63</v>
      </c>
      <c r="J124" s="3" t="s">
        <v>70</v>
      </c>
      <c r="L124" s="3" t="s">
        <v>53</v>
      </c>
      <c r="M124" s="1">
        <v>6.0</v>
      </c>
      <c r="N124" s="1" t="b">
        <v>1</v>
      </c>
      <c r="O124" s="1">
        <v>240.0</v>
      </c>
    </row>
    <row r="125" ht="15.75" customHeight="1">
      <c r="A125" s="2">
        <v>45525.0</v>
      </c>
      <c r="B125" s="1" t="s">
        <v>73</v>
      </c>
      <c r="H125" s="1" t="s">
        <v>71</v>
      </c>
      <c r="I125" s="3" t="s">
        <v>70</v>
      </c>
      <c r="J125" s="3" t="s">
        <v>57</v>
      </c>
      <c r="L125" s="3" t="s">
        <v>64</v>
      </c>
      <c r="M125" s="1">
        <v>12.0</v>
      </c>
      <c r="N125" s="1" t="b">
        <v>1</v>
      </c>
      <c r="O125" s="1">
        <v>480.0</v>
      </c>
    </row>
    <row r="126" ht="15.75" customHeight="1">
      <c r="A126" s="2">
        <v>45525.0</v>
      </c>
      <c r="B126" s="1" t="s">
        <v>73</v>
      </c>
      <c r="P126" s="1">
        <v>1.0</v>
      </c>
      <c r="S126" s="1">
        <v>12445.0</v>
      </c>
      <c r="T126" s="1">
        <v>6419.0</v>
      </c>
      <c r="U126" s="1">
        <v>17874.0</v>
      </c>
      <c r="V126" s="1">
        <v>8862.0</v>
      </c>
      <c r="W126" s="1">
        <v>378.0</v>
      </c>
      <c r="X126" s="1">
        <v>927.0</v>
      </c>
      <c r="Y126" s="1">
        <v>4116.0</v>
      </c>
      <c r="AA126" s="1">
        <v>2866.0</v>
      </c>
      <c r="AB126" s="1">
        <v>54561.0</v>
      </c>
      <c r="AC126" s="1">
        <v>-881.0</v>
      </c>
      <c r="AD126" s="1">
        <v>0.24313979204098873</v>
      </c>
      <c r="AI126" s="1">
        <v>720.0</v>
      </c>
      <c r="AJ126" s="1">
        <v>0.0</v>
      </c>
      <c r="AK126" s="1">
        <v>0.0</v>
      </c>
      <c r="AL126" s="1">
        <v>6.0</v>
      </c>
      <c r="AM126" s="1" t="s">
        <v>2543</v>
      </c>
      <c r="AN126" s="1">
        <v>2.0</v>
      </c>
      <c r="AO126" s="1">
        <v>1.0</v>
      </c>
      <c r="AP126" s="1"/>
      <c r="AQ126" s="1"/>
      <c r="AR126" s="1"/>
      <c r="AS126" s="1"/>
      <c r="AT126" s="1"/>
      <c r="AU126" s="1"/>
      <c r="AV126" s="1"/>
    </row>
    <row r="127" ht="15.75" customHeight="1">
      <c r="A127" s="2">
        <v>45526.0</v>
      </c>
      <c r="B127" s="1" t="s">
        <v>2506</v>
      </c>
      <c r="C127" s="1" t="s">
        <v>40</v>
      </c>
      <c r="D127" s="3" t="s">
        <v>45</v>
      </c>
      <c r="E127" s="3" t="s">
        <v>68</v>
      </c>
      <c r="G127" s="3" t="s">
        <v>53</v>
      </c>
    </row>
    <row r="128" ht="15.75" customHeight="1">
      <c r="A128" s="2">
        <v>45526.0</v>
      </c>
      <c r="B128" s="1" t="s">
        <v>2506</v>
      </c>
      <c r="C128" s="1" t="s">
        <v>52</v>
      </c>
      <c r="D128" s="3" t="s">
        <v>41</v>
      </c>
      <c r="E128" s="3" t="s">
        <v>45</v>
      </c>
      <c r="G128" s="3" t="s">
        <v>53</v>
      </c>
    </row>
    <row r="129" ht="15.75" customHeight="1">
      <c r="A129" s="2">
        <v>45526.0</v>
      </c>
      <c r="B129" s="1" t="s">
        <v>2506</v>
      </c>
      <c r="H129" s="1" t="s">
        <v>65</v>
      </c>
      <c r="I129" s="3" t="s">
        <v>63</v>
      </c>
      <c r="J129" s="3" t="s">
        <v>45</v>
      </c>
      <c r="L129" s="3" t="s">
        <v>64</v>
      </c>
      <c r="N129" s="1" t="b">
        <v>1</v>
      </c>
    </row>
    <row r="130" ht="15.75" customHeight="1">
      <c r="A130" s="2">
        <v>45526.0</v>
      </c>
      <c r="B130" s="1" t="s">
        <v>2506</v>
      </c>
      <c r="P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AB130" s="1">
        <v>0.0</v>
      </c>
      <c r="AC130" s="1">
        <v>0.0</v>
      </c>
      <c r="AD130" s="1" t="s">
        <v>60</v>
      </c>
      <c r="AI130" s="1">
        <v>0.0</v>
      </c>
      <c r="AJ130" s="1">
        <v>0.0</v>
      </c>
      <c r="AK130" s="1">
        <v>0.0</v>
      </c>
      <c r="AL130" s="1">
        <v>0.0</v>
      </c>
      <c r="AM130" s="1" t="e">
        <v>#DIV/0!</v>
      </c>
      <c r="AN130" s="1">
        <v>0.0</v>
      </c>
      <c r="AO130" s="1">
        <v>0.0</v>
      </c>
      <c r="AP130" s="1"/>
      <c r="AQ130" s="1"/>
      <c r="AR130" s="1"/>
      <c r="AS130" s="1"/>
      <c r="AT130" s="1"/>
      <c r="AU130" s="1"/>
      <c r="AV130" s="1"/>
    </row>
    <row r="131" ht="15.75" customHeight="1">
      <c r="A131" s="2">
        <v>45527.0</v>
      </c>
      <c r="B131" s="1" t="s">
        <v>39</v>
      </c>
      <c r="C131" s="1" t="s">
        <v>44</v>
      </c>
      <c r="D131" s="3" t="s">
        <v>41</v>
      </c>
      <c r="E131" s="3" t="s">
        <v>45</v>
      </c>
      <c r="G131" s="3" t="s">
        <v>53</v>
      </c>
    </row>
    <row r="132" ht="15.75" customHeight="1">
      <c r="A132" s="2">
        <v>45527.0</v>
      </c>
      <c r="B132" s="1" t="s">
        <v>39</v>
      </c>
      <c r="C132" s="1" t="s">
        <v>40</v>
      </c>
      <c r="D132" s="3" t="s">
        <v>45</v>
      </c>
      <c r="E132" s="3" t="s">
        <v>46</v>
      </c>
      <c r="G132" s="3" t="s">
        <v>47</v>
      </c>
    </row>
    <row r="133" ht="15.75" customHeight="1">
      <c r="A133" s="2">
        <v>45527.0</v>
      </c>
      <c r="B133" s="1" t="s">
        <v>39</v>
      </c>
      <c r="C133" s="1" t="s">
        <v>52</v>
      </c>
      <c r="D133" s="3" t="s">
        <v>45</v>
      </c>
      <c r="E133" s="3" t="s">
        <v>2508</v>
      </c>
      <c r="G133" s="3" t="s">
        <v>47</v>
      </c>
    </row>
    <row r="134" ht="15.75" customHeight="1">
      <c r="A134" s="2">
        <v>45527.0</v>
      </c>
      <c r="B134" s="1" t="s">
        <v>39</v>
      </c>
      <c r="C134" s="1" t="s">
        <v>72</v>
      </c>
      <c r="D134" s="3" t="s">
        <v>41</v>
      </c>
      <c r="E134" s="3" t="s">
        <v>45</v>
      </c>
      <c r="G134" s="3" t="s">
        <v>53</v>
      </c>
    </row>
    <row r="135" ht="15.75" customHeight="1">
      <c r="A135" s="2">
        <v>45527.0</v>
      </c>
      <c r="B135" s="1" t="s">
        <v>39</v>
      </c>
      <c r="C135" s="1" t="s">
        <v>2509</v>
      </c>
      <c r="D135" s="3" t="s">
        <v>45</v>
      </c>
      <c r="E135" s="3" t="s">
        <v>42</v>
      </c>
      <c r="G135" s="3" t="s">
        <v>2534</v>
      </c>
    </row>
    <row r="136" ht="15.75" customHeight="1">
      <c r="A136" s="2">
        <v>45527.0</v>
      </c>
      <c r="B136" s="1" t="s">
        <v>39</v>
      </c>
      <c r="H136" s="1" t="s">
        <v>96</v>
      </c>
      <c r="I136" s="3" t="s">
        <v>2529</v>
      </c>
      <c r="J136" s="3" t="s">
        <v>2508</v>
      </c>
      <c r="L136" s="3" t="s">
        <v>2544</v>
      </c>
      <c r="M136" s="1">
        <v>14.0</v>
      </c>
      <c r="N136" s="1" t="b">
        <v>1</v>
      </c>
      <c r="O136" s="1">
        <v>560.0</v>
      </c>
    </row>
    <row r="137" ht="15.75" customHeight="1">
      <c r="A137" s="2">
        <v>45527.0</v>
      </c>
      <c r="B137" s="1" t="s">
        <v>39</v>
      </c>
      <c r="H137" s="1" t="s">
        <v>373</v>
      </c>
      <c r="I137" s="3" t="s">
        <v>41</v>
      </c>
      <c r="J137" s="3" t="s">
        <v>45</v>
      </c>
      <c r="L137" s="3" t="s">
        <v>53</v>
      </c>
      <c r="M137" s="1">
        <v>9.0</v>
      </c>
      <c r="N137" s="1" t="b">
        <v>1</v>
      </c>
      <c r="O137" s="1">
        <v>360.0</v>
      </c>
    </row>
    <row r="138" ht="15.75" customHeight="1">
      <c r="A138" s="2">
        <v>45527.0</v>
      </c>
      <c r="B138" s="1" t="s">
        <v>39</v>
      </c>
      <c r="P138" s="1">
        <v>3.0</v>
      </c>
      <c r="S138" s="1">
        <v>14827.0</v>
      </c>
      <c r="T138" s="1">
        <v>8871.0</v>
      </c>
      <c r="U138" s="1">
        <v>17676.0</v>
      </c>
      <c r="V138" s="1">
        <v>13372.0</v>
      </c>
      <c r="W138" s="1">
        <v>0.0</v>
      </c>
      <c r="X138" s="1">
        <v>2280.0</v>
      </c>
      <c r="Y138" s="1">
        <v>4293.0</v>
      </c>
      <c r="AA138" s="1">
        <v>3740.0</v>
      </c>
      <c r="AB138" s="1">
        <v>66694.0</v>
      </c>
      <c r="AC138" s="1">
        <v>205.0</v>
      </c>
      <c r="AD138" s="1">
        <v>0.23306718015936043</v>
      </c>
      <c r="AG138" s="1">
        <v>200.0</v>
      </c>
      <c r="AH138" s="1">
        <v>3000.0</v>
      </c>
      <c r="AI138" s="1">
        <v>920.0</v>
      </c>
      <c r="AJ138" s="1">
        <v>1.0</v>
      </c>
      <c r="AK138" s="1">
        <v>149.0</v>
      </c>
      <c r="AL138" s="1">
        <v>1.0</v>
      </c>
      <c r="AM138" s="1" t="s">
        <v>2528</v>
      </c>
      <c r="AN138" s="1">
        <v>2.0</v>
      </c>
      <c r="AO138" s="1">
        <v>0.0</v>
      </c>
      <c r="AP138" s="1"/>
      <c r="AQ138" s="1"/>
      <c r="AR138" s="1"/>
      <c r="AS138" s="1"/>
      <c r="AT138" s="1"/>
      <c r="AU138" s="1"/>
      <c r="AV138" s="1"/>
    </row>
    <row r="139" ht="15.75" customHeight="1">
      <c r="A139" s="2">
        <v>45528.0</v>
      </c>
      <c r="B139" s="1" t="s">
        <v>2512</v>
      </c>
      <c r="C139" s="1" t="s">
        <v>44</v>
      </c>
      <c r="D139" s="3" t="s">
        <v>41</v>
      </c>
      <c r="E139" s="3" t="s">
        <v>46</v>
      </c>
      <c r="G139" s="3" t="s">
        <v>2510</v>
      </c>
    </row>
    <row r="140" ht="15.75" customHeight="1">
      <c r="A140" s="2">
        <v>45528.0</v>
      </c>
      <c r="B140" s="1" t="s">
        <v>2512</v>
      </c>
      <c r="C140" s="1" t="s">
        <v>40</v>
      </c>
      <c r="D140" s="3" t="s">
        <v>45</v>
      </c>
      <c r="E140" s="3" t="s">
        <v>46</v>
      </c>
      <c r="G140" s="3" t="s">
        <v>47</v>
      </c>
    </row>
    <row r="141" ht="15.75" customHeight="1">
      <c r="A141" s="2">
        <v>45528.0</v>
      </c>
      <c r="B141" s="1" t="s">
        <v>2512</v>
      </c>
      <c r="C141" s="1" t="s">
        <v>96</v>
      </c>
      <c r="D141" s="3" t="s">
        <v>41</v>
      </c>
      <c r="E141" s="3" t="s">
        <v>45</v>
      </c>
      <c r="G141" s="3" t="s">
        <v>53</v>
      </c>
    </row>
    <row r="142" ht="15.75" customHeight="1">
      <c r="A142" s="2">
        <v>45528.0</v>
      </c>
      <c r="B142" s="1" t="s">
        <v>2512</v>
      </c>
      <c r="H142" s="1" t="s">
        <v>65</v>
      </c>
      <c r="I142" s="3" t="s">
        <v>63</v>
      </c>
      <c r="J142" s="3" t="s">
        <v>46</v>
      </c>
      <c r="L142" s="3" t="s">
        <v>2513</v>
      </c>
      <c r="N142" s="1" t="b">
        <v>1</v>
      </c>
    </row>
    <row r="143" ht="15.75" customHeight="1">
      <c r="A143" s="2">
        <v>45528.0</v>
      </c>
      <c r="B143" s="1" t="s">
        <v>2512</v>
      </c>
      <c r="P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AB143" s="1">
        <v>0.0</v>
      </c>
      <c r="AC143" s="1">
        <v>0.0</v>
      </c>
      <c r="AD143" s="1" t="s">
        <v>60</v>
      </c>
      <c r="AI143" s="1">
        <v>0.0</v>
      </c>
      <c r="AJ143" s="1">
        <v>0.0</v>
      </c>
      <c r="AK143" s="1">
        <v>0.0</v>
      </c>
      <c r="AL143" s="1">
        <v>0.0</v>
      </c>
      <c r="AM143" s="1" t="e">
        <v>#DIV/0!</v>
      </c>
      <c r="AN143" s="1">
        <v>0.0</v>
      </c>
      <c r="AO143" s="1">
        <v>0.0</v>
      </c>
      <c r="AP143" s="1"/>
      <c r="AQ143" s="1"/>
      <c r="AR143" s="1"/>
      <c r="AS143" s="1"/>
      <c r="AT143" s="1"/>
      <c r="AU143" s="1"/>
      <c r="AV143" s="1"/>
    </row>
    <row r="144" ht="15.75" customHeight="1">
      <c r="A144" s="2">
        <v>45528.0</v>
      </c>
      <c r="B144" s="1" t="s">
        <v>2512</v>
      </c>
      <c r="C144" s="1" t="s">
        <v>44</v>
      </c>
      <c r="D144" s="3" t="s">
        <v>41</v>
      </c>
      <c r="E144" s="3" t="s">
        <v>42</v>
      </c>
      <c r="G144" s="3" t="s">
        <v>43</v>
      </c>
    </row>
    <row r="145" ht="15.75" customHeight="1">
      <c r="A145" s="2">
        <v>45528.0</v>
      </c>
      <c r="B145" s="1" t="s">
        <v>2512</v>
      </c>
      <c r="C145" s="1" t="s">
        <v>40</v>
      </c>
      <c r="D145" s="3" t="s">
        <v>45</v>
      </c>
      <c r="E145" s="3" t="s">
        <v>46</v>
      </c>
      <c r="G145" s="3" t="s">
        <v>47</v>
      </c>
    </row>
    <row r="146" ht="15.75" customHeight="1">
      <c r="A146" s="2">
        <v>45528.0</v>
      </c>
      <c r="B146" s="1" t="s">
        <v>2512</v>
      </c>
      <c r="C146" s="1" t="s">
        <v>2516</v>
      </c>
      <c r="D146" s="3" t="s">
        <v>41</v>
      </c>
      <c r="E146" s="3" t="s">
        <v>2513</v>
      </c>
      <c r="G146" s="3" t="s">
        <v>2545</v>
      </c>
    </row>
    <row r="147" ht="15.75" customHeight="1">
      <c r="A147" s="2">
        <v>45528.0</v>
      </c>
      <c r="B147" s="1" t="s">
        <v>2512</v>
      </c>
      <c r="C147" s="1" t="s">
        <v>2509</v>
      </c>
      <c r="D147" s="3" t="s">
        <v>2513</v>
      </c>
      <c r="E147" s="3" t="s">
        <v>2508</v>
      </c>
      <c r="G147" s="3" t="s">
        <v>63</v>
      </c>
    </row>
    <row r="148" ht="15.75" customHeight="1">
      <c r="A148" s="2">
        <v>45528.0</v>
      </c>
      <c r="B148" s="1" t="s">
        <v>2512</v>
      </c>
      <c r="H148" s="1" t="s">
        <v>55</v>
      </c>
      <c r="I148" s="3" t="s">
        <v>63</v>
      </c>
      <c r="J148" s="3" t="s">
        <v>42</v>
      </c>
      <c r="L148" s="3" t="s">
        <v>63</v>
      </c>
      <c r="M148" s="1">
        <v>16.0</v>
      </c>
      <c r="N148" s="1" t="b">
        <v>1</v>
      </c>
      <c r="O148" s="1">
        <v>640.0</v>
      </c>
    </row>
    <row r="149" ht="15.75" customHeight="1">
      <c r="A149" s="2">
        <v>45528.0</v>
      </c>
      <c r="B149" s="1" t="s">
        <v>2512</v>
      </c>
      <c r="H149" s="1" t="s">
        <v>54</v>
      </c>
      <c r="I149" s="3" t="s">
        <v>63</v>
      </c>
      <c r="J149" s="3" t="s">
        <v>2513</v>
      </c>
      <c r="L149" s="3" t="s">
        <v>2546</v>
      </c>
      <c r="M149" s="1">
        <v>6.0</v>
      </c>
      <c r="N149" s="1" t="b">
        <v>1</v>
      </c>
      <c r="O149" s="1">
        <v>240.0</v>
      </c>
    </row>
    <row r="150" ht="15.75" customHeight="1">
      <c r="A150" s="2">
        <v>45528.0</v>
      </c>
      <c r="B150" s="1" t="s">
        <v>2512</v>
      </c>
      <c r="P150" s="1">
        <v>3.0</v>
      </c>
      <c r="S150" s="1">
        <v>9822.0</v>
      </c>
      <c r="T150" s="1">
        <v>7228.0</v>
      </c>
      <c r="U150" s="1">
        <v>20958.0</v>
      </c>
      <c r="V150" s="1">
        <v>11556.0</v>
      </c>
      <c r="W150" s="1">
        <v>533.0</v>
      </c>
      <c r="X150" s="1">
        <v>1917.0</v>
      </c>
      <c r="Y150" s="1">
        <v>1979.0</v>
      </c>
      <c r="AA150" s="1">
        <v>4552.0</v>
      </c>
      <c r="AB150" s="1">
        <v>57683.0</v>
      </c>
      <c r="AC150" s="1">
        <v>30.0</v>
      </c>
      <c r="AD150" s="1">
        <v>0.24774129697741773</v>
      </c>
      <c r="AH150" s="1">
        <v>205.0</v>
      </c>
      <c r="AI150" s="1">
        <v>880.0</v>
      </c>
      <c r="AJ150" s="1">
        <v>0.0</v>
      </c>
      <c r="AK150" s="1">
        <v>0.0</v>
      </c>
      <c r="AL150" s="1">
        <v>4.0</v>
      </c>
      <c r="AM150" s="1" t="s">
        <v>2547</v>
      </c>
      <c r="AN150" s="1">
        <v>2.0</v>
      </c>
      <c r="AO150" s="1">
        <v>3.0</v>
      </c>
      <c r="AP150" s="1"/>
      <c r="AQ150" s="1"/>
      <c r="AR150" s="1"/>
      <c r="AS150" s="1"/>
      <c r="AT150" s="1"/>
      <c r="AU150" s="1"/>
      <c r="AV150" s="1"/>
    </row>
    <row r="151" ht="15.75" customHeight="1">
      <c r="A151" s="2">
        <v>45530.0</v>
      </c>
      <c r="B151" s="1" t="s">
        <v>69</v>
      </c>
      <c r="C151" s="1" t="s">
        <v>72</v>
      </c>
      <c r="D151" s="3" t="s">
        <v>41</v>
      </c>
      <c r="E151" s="3" t="s">
        <v>68</v>
      </c>
      <c r="G151" s="3" t="s">
        <v>2513</v>
      </c>
    </row>
    <row r="152" ht="15.75" customHeight="1">
      <c r="A152" s="2">
        <v>45530.0</v>
      </c>
      <c r="B152" s="1" t="s">
        <v>69</v>
      </c>
      <c r="H152" s="1" t="s">
        <v>54</v>
      </c>
      <c r="I152" s="3" t="s">
        <v>63</v>
      </c>
      <c r="J152" s="3" t="s">
        <v>70</v>
      </c>
      <c r="L152" s="3" t="s">
        <v>53</v>
      </c>
      <c r="M152" s="1">
        <v>5.0</v>
      </c>
      <c r="N152" s="1" t="b">
        <v>1</v>
      </c>
      <c r="O152" s="1">
        <v>200.0</v>
      </c>
    </row>
    <row r="153" ht="15.75" customHeight="1">
      <c r="A153" s="2">
        <v>45530.0</v>
      </c>
      <c r="B153" s="1" t="s">
        <v>69</v>
      </c>
      <c r="H153" s="1" t="s">
        <v>71</v>
      </c>
      <c r="I153" s="3" t="s">
        <v>70</v>
      </c>
      <c r="J153" s="3" t="s">
        <v>68</v>
      </c>
      <c r="L153" s="3" t="s">
        <v>64</v>
      </c>
      <c r="M153" s="1">
        <v>7.0</v>
      </c>
      <c r="N153" s="1" t="b">
        <v>1</v>
      </c>
      <c r="O153" s="1">
        <v>280.0</v>
      </c>
    </row>
    <row r="154" ht="15.75" customHeight="1">
      <c r="A154" s="2">
        <v>45530.0</v>
      </c>
      <c r="B154" s="1" t="s">
        <v>69</v>
      </c>
      <c r="H154" s="1" t="s">
        <v>55</v>
      </c>
      <c r="I154" s="3" t="s">
        <v>2529</v>
      </c>
      <c r="J154" s="3" t="s">
        <v>57</v>
      </c>
      <c r="L154" s="3" t="s">
        <v>47</v>
      </c>
    </row>
    <row r="155" ht="15.75" customHeight="1">
      <c r="A155" s="2">
        <v>45530.0</v>
      </c>
      <c r="B155" s="1" t="s">
        <v>69</v>
      </c>
      <c r="P155" s="1">
        <v>7.0</v>
      </c>
      <c r="S155" s="1">
        <v>8045.0</v>
      </c>
      <c r="T155" s="1">
        <v>5323.0</v>
      </c>
      <c r="U155" s="1">
        <v>11309.0</v>
      </c>
      <c r="V155" s="1">
        <v>8347.0</v>
      </c>
      <c r="W155" s="1">
        <v>1773.0</v>
      </c>
      <c r="X155" s="1">
        <v>1130.0</v>
      </c>
      <c r="Y155" s="1">
        <v>3115.0</v>
      </c>
      <c r="AA155" s="1">
        <v>4480.0</v>
      </c>
      <c r="AB155" s="1">
        <v>42906.0</v>
      </c>
      <c r="AC155" s="1">
        <v>6.0</v>
      </c>
      <c r="AD155" s="1">
        <v>0.38774956494542456</v>
      </c>
      <c r="AH155" s="1">
        <v>40.0</v>
      </c>
      <c r="AI155" s="1">
        <v>480.0</v>
      </c>
      <c r="AJ155" s="1">
        <v>0.0</v>
      </c>
      <c r="AK155" s="1">
        <v>0.0</v>
      </c>
      <c r="AL155" s="1">
        <v>3.0</v>
      </c>
      <c r="AM155" s="1" t="s">
        <v>2548</v>
      </c>
      <c r="AN155" s="1">
        <v>2.0</v>
      </c>
      <c r="AO155" s="1">
        <v>106.0</v>
      </c>
      <c r="AP155" s="1">
        <v>19.0</v>
      </c>
      <c r="AQ155" s="1">
        <v>6.0</v>
      </c>
      <c r="AR155" s="1">
        <v>2.0</v>
      </c>
      <c r="AS155" s="1">
        <v>0.15789473684210525</v>
      </c>
      <c r="AT155" s="1">
        <v>2.0</v>
      </c>
      <c r="AU155" s="1">
        <v>0.8421052631578947</v>
      </c>
      <c r="AV155" s="1">
        <v>0.10526315789473684</v>
      </c>
    </row>
    <row r="156" ht="15.75" customHeight="1">
      <c r="A156" s="2">
        <v>45531.0</v>
      </c>
      <c r="B156" s="1" t="s">
        <v>61</v>
      </c>
      <c r="C156" s="1" t="s">
        <v>72</v>
      </c>
      <c r="D156" s="3" t="s">
        <v>45</v>
      </c>
      <c r="E156" s="3" t="s">
        <v>68</v>
      </c>
      <c r="G156" s="3" t="s">
        <v>53</v>
      </c>
    </row>
    <row r="157" ht="15.75" customHeight="1">
      <c r="A157" s="2">
        <v>45531.0</v>
      </c>
      <c r="B157" s="1" t="s">
        <v>61</v>
      </c>
      <c r="C157" s="1" t="s">
        <v>40</v>
      </c>
      <c r="D157" s="3" t="s">
        <v>41</v>
      </c>
      <c r="E157" s="3" t="s">
        <v>70</v>
      </c>
      <c r="G157" s="3" t="s">
        <v>47</v>
      </c>
    </row>
    <row r="158" ht="15.75" customHeight="1">
      <c r="A158" s="2">
        <v>45531.0</v>
      </c>
      <c r="B158" s="1" t="s">
        <v>61</v>
      </c>
      <c r="C158" s="1" t="s">
        <v>2516</v>
      </c>
      <c r="D158" s="3" t="s">
        <v>70</v>
      </c>
      <c r="E158" s="3" t="s">
        <v>57</v>
      </c>
      <c r="G158" s="3" t="s">
        <v>64</v>
      </c>
    </row>
    <row r="159" ht="15.75" customHeight="1">
      <c r="A159" s="2">
        <v>45531.0</v>
      </c>
      <c r="B159" s="1" t="s">
        <v>61</v>
      </c>
      <c r="H159" s="1" t="s">
        <v>65</v>
      </c>
      <c r="I159" s="3" t="s">
        <v>63</v>
      </c>
      <c r="J159" s="3" t="s">
        <v>2525</v>
      </c>
      <c r="L159" s="3" t="s">
        <v>47</v>
      </c>
      <c r="M159" s="1">
        <v>3.0</v>
      </c>
      <c r="N159" s="1" t="b">
        <v>1</v>
      </c>
      <c r="O159" s="1">
        <v>120.0</v>
      </c>
    </row>
    <row r="160" ht="15.75" customHeight="1">
      <c r="A160" s="2">
        <v>45531.0</v>
      </c>
      <c r="B160" s="1" t="s">
        <v>61</v>
      </c>
      <c r="H160" s="1" t="s">
        <v>1073</v>
      </c>
      <c r="I160" s="3" t="s">
        <v>45</v>
      </c>
      <c r="J160" s="3" t="s">
        <v>57</v>
      </c>
      <c r="L160" s="3" t="s">
        <v>53</v>
      </c>
      <c r="M160" s="1">
        <v>6.0</v>
      </c>
      <c r="N160" s="1" t="b">
        <v>1</v>
      </c>
      <c r="O160" s="1">
        <v>240.0</v>
      </c>
    </row>
    <row r="161" ht="15.75" customHeight="1">
      <c r="A161" s="2">
        <v>45531.0</v>
      </c>
      <c r="B161" s="1" t="s">
        <v>61</v>
      </c>
      <c r="P161" s="1">
        <v>0.0</v>
      </c>
      <c r="S161" s="1">
        <v>10683.0</v>
      </c>
      <c r="T161" s="1">
        <v>2749.0</v>
      </c>
      <c r="U161" s="1">
        <v>16912.0</v>
      </c>
      <c r="V161" s="1">
        <v>5326.0</v>
      </c>
      <c r="W161" s="1">
        <v>0.0</v>
      </c>
      <c r="X161" s="1">
        <v>2907.0</v>
      </c>
      <c r="Y161" s="1">
        <v>5242.0</v>
      </c>
      <c r="AA161" s="1">
        <v>2630.0</v>
      </c>
      <c r="AB161" s="1">
        <v>45087.0</v>
      </c>
      <c r="AC161" s="1">
        <v>0.0</v>
      </c>
      <c r="AD161" s="1">
        <v>0.2769475643433448</v>
      </c>
      <c r="AG161" s="1">
        <v>945.0</v>
      </c>
      <c r="AH161" s="1">
        <v>240.0</v>
      </c>
      <c r="AI161" s="1">
        <v>360.0</v>
      </c>
      <c r="AJ161" s="1">
        <v>0.0</v>
      </c>
      <c r="AK161" s="1">
        <v>0.0</v>
      </c>
      <c r="AL161" s="1">
        <v>0.0</v>
      </c>
      <c r="AM161" s="1" t="s">
        <v>2549</v>
      </c>
      <c r="AN161" s="1">
        <v>2.0</v>
      </c>
      <c r="AO161" s="1">
        <v>100.0</v>
      </c>
      <c r="AP161" s="1">
        <v>9.0</v>
      </c>
      <c r="AQ161" s="1">
        <v>0.0</v>
      </c>
      <c r="AR161" s="1">
        <v>0.0</v>
      </c>
      <c r="AS161" s="1">
        <v>0.0</v>
      </c>
      <c r="AT161" s="1">
        <v>0.0</v>
      </c>
      <c r="AU161" s="1">
        <v>1.0</v>
      </c>
      <c r="AV161" s="1">
        <v>0.0</v>
      </c>
    </row>
    <row r="162" ht="15.75" customHeight="1">
      <c r="A162" s="2">
        <v>45532.0</v>
      </c>
      <c r="B162" s="1" t="s">
        <v>73</v>
      </c>
      <c r="C162" s="1" t="s">
        <v>40</v>
      </c>
      <c r="D162" s="3" t="s">
        <v>41</v>
      </c>
      <c r="E162" s="3" t="s">
        <v>45</v>
      </c>
      <c r="G162" s="3" t="s">
        <v>53</v>
      </c>
    </row>
    <row r="163" ht="15.75" customHeight="1">
      <c r="A163" s="2">
        <v>45532.0</v>
      </c>
      <c r="B163" s="1" t="s">
        <v>73</v>
      </c>
      <c r="C163" s="1" t="s">
        <v>44</v>
      </c>
      <c r="D163" s="3" t="s">
        <v>45</v>
      </c>
      <c r="E163" s="3" t="s">
        <v>57</v>
      </c>
      <c r="G163" s="3" t="s">
        <v>53</v>
      </c>
    </row>
    <row r="164" ht="15.75" customHeight="1">
      <c r="A164" s="2">
        <v>45532.0</v>
      </c>
      <c r="B164" s="1" t="s">
        <v>73</v>
      </c>
      <c r="C164" s="1" t="s">
        <v>2509</v>
      </c>
      <c r="D164" s="3" t="s">
        <v>45</v>
      </c>
      <c r="E164" s="3" t="s">
        <v>2508</v>
      </c>
      <c r="G164" s="3" t="s">
        <v>47</v>
      </c>
    </row>
    <row r="165" ht="15.75" customHeight="1">
      <c r="A165" s="2">
        <v>45532.0</v>
      </c>
      <c r="B165" s="1" t="s">
        <v>73</v>
      </c>
      <c r="H165" s="1" t="s">
        <v>373</v>
      </c>
      <c r="I165" s="3" t="s">
        <v>63</v>
      </c>
      <c r="J165" s="3" t="s">
        <v>70</v>
      </c>
      <c r="L165" s="3" t="s">
        <v>53</v>
      </c>
      <c r="M165" s="1">
        <v>6.0</v>
      </c>
      <c r="N165" s="1" t="b">
        <v>1</v>
      </c>
      <c r="O165" s="1">
        <v>240.0</v>
      </c>
    </row>
    <row r="166" ht="15.75" customHeight="1">
      <c r="A166" s="2">
        <v>45532.0</v>
      </c>
      <c r="B166" s="1" t="s">
        <v>73</v>
      </c>
      <c r="H166" s="1" t="s">
        <v>71</v>
      </c>
      <c r="I166" s="3" t="s">
        <v>70</v>
      </c>
      <c r="J166" s="3" t="s">
        <v>57</v>
      </c>
      <c r="L166" s="3" t="s">
        <v>64</v>
      </c>
      <c r="M166" s="1">
        <v>8.0</v>
      </c>
      <c r="N166" s="1" t="b">
        <v>1</v>
      </c>
      <c r="O166" s="1">
        <v>320.0</v>
      </c>
    </row>
    <row r="167" ht="15.75" customHeight="1">
      <c r="A167" s="2">
        <v>45532.0</v>
      </c>
      <c r="B167" s="1" t="s">
        <v>73</v>
      </c>
      <c r="P167" s="1">
        <v>6.0</v>
      </c>
      <c r="S167" s="1">
        <v>14975.0</v>
      </c>
      <c r="T167" s="1">
        <v>3554.0</v>
      </c>
      <c r="U167" s="1">
        <v>15901.0</v>
      </c>
      <c r="V167" s="1">
        <v>9498.0</v>
      </c>
      <c r="W167" s="1">
        <v>926.0</v>
      </c>
      <c r="X167" s="1">
        <v>2107.0</v>
      </c>
      <c r="Y167" s="1">
        <v>1577.0</v>
      </c>
      <c r="AA167" s="1">
        <v>3565.0</v>
      </c>
      <c r="AB167" s="1">
        <v>51215.0</v>
      </c>
      <c r="AC167" s="1">
        <v>0.0</v>
      </c>
      <c r="AD167" s="1">
        <v>0.2288284188918947</v>
      </c>
      <c r="AH167" s="1">
        <v>659.0</v>
      </c>
      <c r="AI167" s="1">
        <v>560.0</v>
      </c>
      <c r="AJ167" s="1">
        <v>0.0</v>
      </c>
      <c r="AK167" s="1">
        <v>0.0</v>
      </c>
      <c r="AL167" s="1">
        <v>0.0</v>
      </c>
      <c r="AM167" s="1" t="s">
        <v>2550</v>
      </c>
      <c r="AN167" s="1">
        <v>2.0</v>
      </c>
      <c r="AO167" s="1">
        <v>123.0</v>
      </c>
      <c r="AP167" s="1">
        <v>20.0</v>
      </c>
      <c r="AQ167" s="1">
        <v>0.0</v>
      </c>
      <c r="AR167" s="1">
        <v>0.0</v>
      </c>
      <c r="AS167" s="1">
        <v>0.0</v>
      </c>
      <c r="AT167" s="1">
        <v>0.0</v>
      </c>
      <c r="AU167" s="1">
        <v>1.0</v>
      </c>
      <c r="AV167" s="1">
        <v>0.0</v>
      </c>
    </row>
    <row r="168" ht="15.75" customHeight="1">
      <c r="A168" s="2">
        <v>45533.0</v>
      </c>
      <c r="B168" s="1" t="s">
        <v>2506</v>
      </c>
      <c r="C168" s="1" t="s">
        <v>44</v>
      </c>
      <c r="D168" s="3" t="s">
        <v>45</v>
      </c>
      <c r="E168" s="3" t="s">
        <v>68</v>
      </c>
      <c r="G168" s="3" t="s">
        <v>53</v>
      </c>
    </row>
    <row r="169" ht="15.75" customHeight="1">
      <c r="A169" s="2">
        <v>45533.0</v>
      </c>
      <c r="B169" s="1" t="s">
        <v>2506</v>
      </c>
      <c r="C169" s="1" t="s">
        <v>72</v>
      </c>
      <c r="D169" s="3" t="s">
        <v>41</v>
      </c>
      <c r="E169" s="3" t="s">
        <v>45</v>
      </c>
      <c r="G169" s="3" t="s">
        <v>53</v>
      </c>
    </row>
    <row r="170" ht="15.75" customHeight="1">
      <c r="A170" s="2">
        <v>45533.0</v>
      </c>
      <c r="B170" s="1" t="s">
        <v>2506</v>
      </c>
      <c r="C170" s="1" t="s">
        <v>2509</v>
      </c>
      <c r="D170" s="3" t="s">
        <v>63</v>
      </c>
      <c r="E170" s="3" t="s">
        <v>45</v>
      </c>
      <c r="G170" s="3" t="s">
        <v>64</v>
      </c>
    </row>
    <row r="171" ht="15.75" customHeight="1">
      <c r="A171" s="2">
        <v>45533.0</v>
      </c>
      <c r="B171" s="1" t="s">
        <v>2506</v>
      </c>
      <c r="H171" s="1" t="s">
        <v>65</v>
      </c>
      <c r="I171" s="3" t="s">
        <v>63</v>
      </c>
      <c r="J171" s="3" t="s">
        <v>2551</v>
      </c>
      <c r="L171" s="3" t="s">
        <v>2552</v>
      </c>
      <c r="M171" s="1">
        <v>11.0</v>
      </c>
      <c r="N171" s="1" t="b">
        <v>1</v>
      </c>
      <c r="O171" s="1">
        <v>440.0</v>
      </c>
    </row>
    <row r="172" ht="15.75" customHeight="1">
      <c r="A172" s="2">
        <v>45533.0</v>
      </c>
      <c r="B172" s="1" t="s">
        <v>2506</v>
      </c>
      <c r="H172" s="1" t="s">
        <v>54</v>
      </c>
      <c r="I172" s="3" t="s">
        <v>45</v>
      </c>
      <c r="J172" s="3" t="s">
        <v>2508</v>
      </c>
      <c r="L172" s="3" t="s">
        <v>47</v>
      </c>
      <c r="M172" s="1">
        <v>5.0</v>
      </c>
      <c r="N172" s="1" t="b">
        <v>1</v>
      </c>
      <c r="O172" s="1">
        <v>200.0</v>
      </c>
    </row>
    <row r="173" ht="15.75" customHeight="1">
      <c r="A173" s="2">
        <v>45533.0</v>
      </c>
      <c r="B173" s="1" t="s">
        <v>2506</v>
      </c>
      <c r="P173" s="1">
        <v>5.0</v>
      </c>
      <c r="S173" s="1">
        <v>10663.0</v>
      </c>
      <c r="T173" s="1">
        <v>2624.0</v>
      </c>
      <c r="U173" s="1">
        <v>15405.0</v>
      </c>
      <c r="V173" s="1">
        <v>9507.0</v>
      </c>
      <c r="W173" s="1">
        <v>3395.0</v>
      </c>
      <c r="X173" s="1">
        <v>2887.0</v>
      </c>
      <c r="Y173" s="1">
        <v>5682.0</v>
      </c>
      <c r="AA173" s="1">
        <v>6070.0</v>
      </c>
      <c r="AB173" s="1">
        <v>53984.0</v>
      </c>
      <c r="AC173" s="1">
        <v>2.0</v>
      </c>
      <c r="AD173" s="1">
        <v>0.27669374247088735</v>
      </c>
      <c r="AI173" s="1">
        <v>640.0</v>
      </c>
      <c r="AJ173" s="1">
        <v>0.0</v>
      </c>
      <c r="AK173" s="1">
        <v>0.0</v>
      </c>
      <c r="AL173" s="1">
        <v>5.0</v>
      </c>
      <c r="AM173" s="1" t="s">
        <v>2553</v>
      </c>
      <c r="AN173" s="1">
        <v>2.0</v>
      </c>
      <c r="AO173" s="1">
        <v>114.0</v>
      </c>
      <c r="AP173" s="1">
        <v>21.0</v>
      </c>
      <c r="AQ173" s="1">
        <v>4.0</v>
      </c>
      <c r="AR173" s="1">
        <v>4.0</v>
      </c>
      <c r="AS173" s="1">
        <v>0.23809523809523808</v>
      </c>
      <c r="AT173" s="1">
        <v>4.0</v>
      </c>
      <c r="AU173" s="1">
        <v>0.7619047619047619</v>
      </c>
      <c r="AV173" s="1">
        <v>0.19047619047619047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hidden="1" min="1" max="1" width="10.25"/>
    <col customWidth="1" min="2" max="2" width="16.75"/>
    <col customWidth="1" min="3" max="3" width="15.13"/>
    <col customWidth="1" min="4" max="6" width="12.63"/>
    <col customWidth="1" min="11" max="11" width="11.63"/>
    <col customWidth="1" min="12" max="12" width="16.0"/>
  </cols>
  <sheetData>
    <row r="1" ht="15.75" customHeight="1">
      <c r="A1" s="6"/>
      <c r="B1" s="7" t="s">
        <v>2554</v>
      </c>
      <c r="C1" s="8" t="s">
        <v>0</v>
      </c>
      <c r="D1" s="9">
        <v>46100.0</v>
      </c>
      <c r="E1" s="10"/>
      <c r="F1" s="11" t="s">
        <v>28</v>
      </c>
      <c r="G1" s="12"/>
      <c r="H1" s="13"/>
      <c r="I1" s="11" t="s">
        <v>26</v>
      </c>
      <c r="J1" s="12"/>
      <c r="K1" s="13"/>
      <c r="L1" s="14" t="s">
        <v>2555</v>
      </c>
      <c r="M1" s="15"/>
    </row>
    <row r="2" ht="19.5" customHeight="1">
      <c r="A2" s="6"/>
      <c r="B2" s="16"/>
      <c r="C2" s="16"/>
      <c r="D2" s="17"/>
      <c r="E2" s="18"/>
      <c r="F2" s="19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0"/>
      <c r="I2" s="21">
        <f>SUM(RestiaCSV!C:C) - SUMIFS(RestiaCSV!C:C, RestiaCSV!B:B, "canceled")</f>
        <v>0</v>
      </c>
      <c r="K2" s="20"/>
      <c r="L2" s="22" t="s">
        <v>2556</v>
      </c>
      <c r="M2" s="23">
        <f>SUMIFS(RestiaCSV!C:C, RestiaCSV!A:A, Report!L2, RestiaCSV!B:B, "&lt;&gt;canceled")</f>
        <v>0</v>
      </c>
    </row>
    <row r="3" ht="15.75" customHeight="1">
      <c r="A3" s="6"/>
      <c r="B3" s="24" t="str">
        <f>CHOOSE(WEEKDAY(D1), "Neděle", "Pondělí", "Úterý", "Středa", "Čtvrtek", "Pátek", "Sobota")</f>
        <v>Čtvrtek</v>
      </c>
      <c r="C3" s="25"/>
      <c r="D3" s="25"/>
      <c r="E3" s="10"/>
      <c r="H3" s="20"/>
      <c r="K3" s="20"/>
      <c r="L3" s="22" t="s">
        <v>2557</v>
      </c>
      <c r="M3" s="23">
        <f>SUMIFS(RestiaCSV!C:C, RestiaCSV!A:A, Report!L3, RestiaCSV!B:B, "&lt;&gt;canceled")</f>
        <v>0</v>
      </c>
    </row>
    <row r="4" ht="15.75" customHeight="1">
      <c r="A4" s="6"/>
      <c r="B4" s="17"/>
      <c r="C4" s="26"/>
      <c r="D4" s="26"/>
      <c r="E4" s="18"/>
      <c r="F4" s="26"/>
      <c r="G4" s="26"/>
      <c r="H4" s="18"/>
      <c r="I4" s="26"/>
      <c r="J4" s="26"/>
      <c r="K4" s="18"/>
      <c r="L4" s="22" t="s">
        <v>2558</v>
      </c>
      <c r="M4" s="23">
        <f>SUMIFS(RestiaCSV!C:C, RestiaCSV!A:A, "damejidlo", RestiaCSV!G:G, "online", RestiaCSV!B:B, "&lt;&gt;canceled")</f>
        <v>0</v>
      </c>
    </row>
    <row r="5" ht="15.75" customHeight="1">
      <c r="A5" s="6"/>
      <c r="B5" s="27" t="s">
        <v>2559</v>
      </c>
      <c r="C5" s="25"/>
      <c r="D5" s="25"/>
      <c r="E5" s="25"/>
      <c r="F5" s="25"/>
      <c r="G5" s="25"/>
      <c r="H5" s="25"/>
      <c r="I5" s="25"/>
      <c r="J5" s="25"/>
      <c r="K5" s="10"/>
      <c r="L5" s="28" t="s">
        <v>2560</v>
      </c>
      <c r="M5" s="23">
        <f>SUMIFS(RestiaCSV!C:C, RestiaCSV!A:A, "generic", RestiaCSV!G:G, "online", RestiaCSV!B:B, "&lt;&gt;canceled") </f>
        <v>0</v>
      </c>
    </row>
    <row r="6" ht="15.75" customHeight="1">
      <c r="A6" s="6"/>
      <c r="B6" s="17"/>
      <c r="C6" s="26"/>
      <c r="D6" s="26"/>
      <c r="E6" s="26"/>
      <c r="F6" s="26"/>
      <c r="G6" s="26"/>
      <c r="H6" s="26"/>
      <c r="I6" s="26"/>
      <c r="J6" s="26"/>
      <c r="K6" s="18"/>
      <c r="L6" s="28" t="s">
        <v>2561</v>
      </c>
      <c r="M6" s="23">
        <f>SUMIFS(RestiaCSV!C:C, RestiaCSV!E:E, "wolt kurýr", RestiaCSV!A:A, "&lt;&gt;wolt", RestiaCSV!G:G, "cash", RestiaCSV!B:B, "&lt;&gt;canceled")</f>
        <v>0</v>
      </c>
    </row>
    <row r="7" ht="15.75" customHeight="1">
      <c r="A7" s="6"/>
      <c r="B7" s="29"/>
      <c r="C7" s="25"/>
      <c r="D7" s="25"/>
      <c r="E7" s="10"/>
      <c r="F7" s="30"/>
      <c r="J7" s="31"/>
      <c r="K7" s="10"/>
      <c r="L7" s="32" t="s">
        <v>2562</v>
      </c>
      <c r="M7" s="33">
        <f>SUMIFS(RestiaCSV!C:C, RestiaCSV!A:A, "damejidlo", RestiaCSV!G:G, "cash", RestiaCSV!B:B, "&lt;&gt;canceled") </f>
        <v>0</v>
      </c>
    </row>
    <row r="8" ht="15.75" customHeight="1">
      <c r="A8" s="6"/>
      <c r="B8" s="34"/>
      <c r="E8" s="20"/>
      <c r="J8" s="34"/>
      <c r="K8" s="20"/>
      <c r="L8" s="35" t="s">
        <v>25</v>
      </c>
      <c r="M8" s="10"/>
    </row>
    <row r="9" ht="15.75" customHeight="1">
      <c r="A9" s="6"/>
      <c r="B9" s="17"/>
      <c r="C9" s="26"/>
      <c r="D9" s="26"/>
      <c r="E9" s="18"/>
      <c r="F9" s="26"/>
      <c r="G9" s="26"/>
      <c r="H9" s="26"/>
      <c r="I9" s="26"/>
      <c r="J9" s="17"/>
      <c r="K9" s="18"/>
      <c r="L9" s="36" t="s">
        <v>23</v>
      </c>
      <c r="M9" s="37"/>
    </row>
    <row r="10" ht="15.75" customHeight="1">
      <c r="A10" s="6"/>
      <c r="B10" s="38" t="s">
        <v>2563</v>
      </c>
      <c r="C10" s="26"/>
      <c r="D10" s="26"/>
      <c r="E10" s="26"/>
      <c r="F10" s="18"/>
      <c r="G10" s="39" t="s">
        <v>15</v>
      </c>
      <c r="H10" s="26"/>
      <c r="I10" s="18"/>
      <c r="J10" s="38" t="s">
        <v>2564</v>
      </c>
      <c r="K10" s="18"/>
      <c r="L10" s="40" t="s">
        <v>24</v>
      </c>
      <c r="M10" s="41"/>
    </row>
    <row r="11" ht="15.75" customHeight="1">
      <c r="A11" s="6"/>
      <c r="B11" s="42" t="s">
        <v>2565</v>
      </c>
      <c r="C11" s="43" t="s">
        <v>2566</v>
      </c>
      <c r="D11" s="43" t="s">
        <v>2567</v>
      </c>
      <c r="E11" s="43" t="s">
        <v>2568</v>
      </c>
      <c r="F11" s="44" t="s">
        <v>2569</v>
      </c>
      <c r="G11" s="45"/>
      <c r="I11" s="20"/>
      <c r="J11" s="46">
        <f>M2+M3+M4+M5+M6+M13+M14+M15+M16+M17+M9+M10+M11-I2</f>
        <v>0</v>
      </c>
      <c r="K11" s="10"/>
      <c r="L11" s="47" t="s">
        <v>25</v>
      </c>
      <c r="M11" s="48"/>
    </row>
    <row r="12" ht="15.75" customHeight="1">
      <c r="A12" s="49">
        <f t="array" ref="A12">IF(ISBLANK(B12), 0, IF(ISNUMBER(MATCH(B12, HR!A:A, 0)), 0, IF(ISNUMBER(MATCH(B12, HR!B:B, 0)), INDEX(HR!V:V, MATCH(B12, HR!B:B, 0)) * (F12 * 24), 0)))</f>
        <v>0</v>
      </c>
      <c r="B12" s="50" t="s">
        <v>52</v>
      </c>
      <c r="C12" s="51" t="s">
        <v>41</v>
      </c>
      <c r="D12" s="51" t="s">
        <v>45</v>
      </c>
      <c r="E12" s="52"/>
      <c r="F12" s="53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07:00</v>
      </c>
      <c r="I12" s="20"/>
      <c r="J12" s="34"/>
      <c r="K12" s="20"/>
      <c r="L12" s="54" t="s">
        <v>2570</v>
      </c>
      <c r="M12" s="55"/>
    </row>
    <row r="13" ht="15.75" customHeight="1">
      <c r="A13" s="49">
        <f t="array" ref="A13">IF(ISBLANK(#REF!), 0, IF(ISNUMBER(MATCH(#REF!, HR!A:A, 0)), 0, IF(ISNUMBER(MATCH(#REF!, HR!B:B, 0)), INDEX(HR!V:V, MATCH(#REF!, HR!B:B, 0)) * (F13 * 24), 0)))</f>
        <v>0</v>
      </c>
      <c r="B13" s="50"/>
      <c r="C13" s="51"/>
      <c r="D13" s="51"/>
      <c r="E13" s="52"/>
      <c r="F13" s="53" t="str">
        <f t="shared" si="1"/>
        <v>0:00</v>
      </c>
      <c r="G13" s="26"/>
      <c r="H13" s="26"/>
      <c r="I13" s="18"/>
      <c r="J13" s="34"/>
      <c r="K13" s="20"/>
      <c r="L13" s="22" t="s">
        <v>29</v>
      </c>
      <c r="M13" s="56"/>
    </row>
    <row r="14" ht="15.75" customHeight="1">
      <c r="A14" s="49">
        <f t="array" ref="A14">IF(ISBLANK(B14), 0, IF(ISNUMBER(MATCH(B14, HR!A:A, 0)), 0, IF(ISNUMBER(MATCH(B14, HR!B:B, 0)), INDEX(HR!V:V, MATCH(B14, HR!B:B, 0)) * (F14 * 24), 0)))</f>
        <v>0</v>
      </c>
      <c r="B14" s="50"/>
      <c r="C14" s="51"/>
      <c r="D14" s="51"/>
      <c r="E14" s="52"/>
      <c r="F14" s="53" t="str">
        <f t="shared" si="1"/>
        <v>0:00</v>
      </c>
      <c r="G14" s="57"/>
      <c r="I14" s="20"/>
      <c r="J14" s="34"/>
      <c r="K14" s="20"/>
      <c r="L14" s="58" t="s">
        <v>30</v>
      </c>
      <c r="M14" s="56"/>
    </row>
    <row r="15" ht="15.75" customHeight="1">
      <c r="A15" s="49">
        <f t="array" ref="A15">IF(ISBLANK(B15), 0, IF(ISNUMBER(MATCH(B15, HR!A:A, 0)), 0, IF(ISNUMBER(MATCH(B15, HR!B:B, 0)), INDEX(HR!V:V, MATCH(B15, HR!B:B, 0)) * (F15 * 24), 0)))</f>
        <v>0</v>
      </c>
      <c r="B15" s="50"/>
      <c r="C15" s="51"/>
      <c r="D15" s="51"/>
      <c r="E15" s="59"/>
      <c r="F15" s="53" t="str">
        <f t="shared" si="1"/>
        <v>0:00</v>
      </c>
      <c r="I15" s="20"/>
      <c r="J15" s="34"/>
      <c r="K15" s="20"/>
      <c r="L15" s="58" t="s">
        <v>31</v>
      </c>
      <c r="M15" s="56"/>
    </row>
    <row r="16" ht="15.75" customHeight="1">
      <c r="A16" s="49">
        <f t="array" ref="A16">IF(ISBLANK(B16), 0, IF(ISNUMBER(MATCH(B16, HR!A:A, 0)), 0, IF(ISNUMBER(MATCH(B16, HR!B:B, 0)), INDEX(HR!V:V, MATCH(B16, HR!B:B, 0)) * (F16 * 24), 0)))</f>
        <v>0</v>
      </c>
      <c r="B16" s="50"/>
      <c r="C16" s="51"/>
      <c r="D16" s="51"/>
      <c r="E16" s="59"/>
      <c r="F16" s="53" t="str">
        <f t="shared" si="1"/>
        <v>0:00</v>
      </c>
      <c r="I16" s="20"/>
      <c r="J16" s="34"/>
      <c r="K16" s="20"/>
      <c r="L16" s="58" t="s">
        <v>32</v>
      </c>
      <c r="M16" s="56"/>
    </row>
    <row r="17" ht="15.75" customHeight="1">
      <c r="A17" s="49">
        <f t="array" ref="A17">IF(ISBLANK(B17), 0, IF(ISNUMBER(MATCH(B17, HR!A:A, 0)), 0, IF(ISNUMBER(MATCH(B17, HR!B:B, 0)), INDEX(HR!V:V, MATCH(B17, HR!B:B, 0)) * (F17 * 24), 0)))</f>
        <v>0</v>
      </c>
      <c r="B17" s="50"/>
      <c r="C17" s="51"/>
      <c r="D17" s="51"/>
      <c r="E17" s="52"/>
      <c r="F17" s="53" t="str">
        <f t="shared" si="1"/>
        <v>0:00</v>
      </c>
      <c r="G17" s="26"/>
      <c r="H17" s="26"/>
      <c r="I17" s="18"/>
      <c r="J17" s="17"/>
      <c r="K17" s="18"/>
      <c r="L17" s="60" t="s">
        <v>33</v>
      </c>
      <c r="M17" s="61">
        <f>sum(I25:I31)</f>
        <v>0</v>
      </c>
    </row>
    <row r="18" ht="21.75" customHeight="1">
      <c r="A18" s="49">
        <f t="array" ref="A18">IF(ISBLANK(B18), 0, IF(ISNUMBER(MATCH(B18, HR!A:A, 0)), 0, IF(ISNUMBER(MATCH(B18, HR!B:B, 0)), INDEX(HR!V:V, MATCH(B18, HR!B:B, 0)) * (F18 * 24), 0)))</f>
        <v>0</v>
      </c>
      <c r="B18" s="50"/>
      <c r="C18" s="51"/>
      <c r="D18" s="51"/>
      <c r="E18" s="59"/>
      <c r="F18" s="53" t="str">
        <f t="shared" si="1"/>
        <v>0:00</v>
      </c>
      <c r="G18" s="39" t="s">
        <v>16</v>
      </c>
      <c r="H18" s="26"/>
      <c r="I18" s="18"/>
      <c r="J18" s="62"/>
      <c r="M18" s="63"/>
    </row>
    <row r="19" ht="15.75" customHeight="1">
      <c r="A19" s="49">
        <f t="array" ref="A19">IF(ISBLANK(B19), 0, IF(ISNUMBER(MATCH(B19, HR!A:A, 0)), 0, IF(ISNUMBER(MATCH(B19, HR!B:B, 0)), INDEX(HR!V:V, MATCH(B19, HR!B:B, 0)) * (F19 * 24), 0)))</f>
        <v>0</v>
      </c>
      <c r="B19" s="50"/>
      <c r="C19" s="51"/>
      <c r="D19" s="51"/>
      <c r="E19" s="59"/>
      <c r="F19" s="53" t="str">
        <f t="shared" si="1"/>
        <v>0:00</v>
      </c>
      <c r="G19" s="45"/>
      <c r="I19" s="20"/>
      <c r="M19" s="63"/>
    </row>
    <row r="20" ht="15.75" customHeight="1">
      <c r="A20" s="49">
        <f t="array" ref="A20">IF(ISBLANK(B20), 0, IF(ISNUMBER(MATCH(B20, HR!A:A, 0)), 0, IF(ISNUMBER(MATCH(B20, HR!B:B, 0)), INDEX(HR!V:V, MATCH(B20, HR!B:B, 0)) * (F20 * 24), 0)))</f>
        <v>0</v>
      </c>
      <c r="B20" s="50"/>
      <c r="C20" s="51"/>
      <c r="D20" s="51"/>
      <c r="E20" s="59"/>
      <c r="F20" s="53" t="str">
        <f t="shared" si="1"/>
        <v>0:00</v>
      </c>
      <c r="I20" s="20"/>
      <c r="M20" s="63"/>
    </row>
    <row r="21" ht="23.25" customHeight="1">
      <c r="A21" s="49">
        <f t="array" ref="A21">IF(ISBLANK(B21), 0, IF(ISNUMBER(MATCH(B21, HR!A:A, 0)), 0, IF(ISNUMBER(MATCH(B21, HR!B:B, 0)), INDEX(HR!V:V, MATCH(B21, HR!B:B, 0)) * (F21 * 24), 0)))</f>
        <v>0</v>
      </c>
      <c r="B21" s="64"/>
      <c r="C21" s="65"/>
      <c r="D21" s="65"/>
      <c r="E21" s="66"/>
      <c r="F21" s="67" t="str">
        <f t="shared" si="1"/>
        <v>0:00</v>
      </c>
      <c r="G21" s="26"/>
      <c r="H21" s="26"/>
      <c r="I21" s="18"/>
      <c r="M21" s="63"/>
    </row>
    <row r="22" ht="15.75" customHeight="1">
      <c r="A22" s="68"/>
      <c r="B22" s="69"/>
      <c r="C22" s="26"/>
      <c r="D22" s="26"/>
      <c r="E22" s="26"/>
      <c r="F22" s="26"/>
      <c r="G22" s="26"/>
      <c r="H22" s="26"/>
      <c r="I22" s="18"/>
      <c r="J22" s="70" t="s">
        <v>34</v>
      </c>
      <c r="K22" s="70" t="s">
        <v>35</v>
      </c>
      <c r="L22" s="71" t="s">
        <v>2571</v>
      </c>
      <c r="M22" s="71" t="s">
        <v>37</v>
      </c>
    </row>
    <row r="23" ht="15.75" customHeight="1">
      <c r="A23" s="68"/>
      <c r="B23" s="72" t="s">
        <v>78</v>
      </c>
      <c r="I23" s="20"/>
      <c r="J23" s="73">
        <f>COUNTIF(RestiaCSV!B:B, "canceled")</f>
        <v>0</v>
      </c>
      <c r="K23" s="74">
        <f>SUMIF(RestiaCSV!B:B, "canceled", RestiaCSV!C:C)</f>
        <v>0</v>
      </c>
      <c r="L23" s="75">
        <f>COUNTIFS(RestiaCSV!L:L, "&gt;5", RestiaCSV!F:F, "delivery")</f>
        <v>0</v>
      </c>
      <c r="M23" s="73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68"/>
      <c r="B24" s="76" t="s">
        <v>2565</v>
      </c>
      <c r="C24" s="77" t="s">
        <v>2566</v>
      </c>
      <c r="D24" s="77" t="s">
        <v>2567</v>
      </c>
      <c r="E24" s="77" t="s">
        <v>2568</v>
      </c>
      <c r="F24" s="78" t="s">
        <v>2569</v>
      </c>
      <c r="G24" s="78" t="s">
        <v>2572</v>
      </c>
      <c r="H24" s="78" t="s">
        <v>2573</v>
      </c>
      <c r="I24" s="79" t="s">
        <v>13</v>
      </c>
      <c r="J24" s="80" t="s">
        <v>2574</v>
      </c>
      <c r="K24" s="81" t="s">
        <v>2498</v>
      </c>
      <c r="L24" s="80" t="s">
        <v>2499</v>
      </c>
      <c r="M24" s="81" t="s">
        <v>2500</v>
      </c>
    </row>
    <row r="25" ht="15.75" customHeight="1">
      <c r="A25" s="49">
        <f t="array" ref="A25">IF(ISBLANK(B25), 0, IF(ISNUMBER(MATCH(B25, HR!A:A, 0)), 0, IF(ISNUMBER(MATCH(B25, HR!B:B, 0)), INDEX(HR!V:V, MATCH(B25, HR!B:B, 0)) * (F25 * 24), 0)))</f>
        <v>0</v>
      </c>
      <c r="B25" s="50" t="s">
        <v>2575</v>
      </c>
      <c r="C25" s="82" t="s">
        <v>63</v>
      </c>
      <c r="D25" s="82" t="s">
        <v>50</v>
      </c>
      <c r="E25" s="82"/>
      <c r="F25" s="53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02:00</v>
      </c>
      <c r="G25" s="83">
        <f>COUNTIF(RestiaCSV!E:E, B25)</f>
        <v>0</v>
      </c>
      <c r="H25" s="84" t="b">
        <v>1</v>
      </c>
      <c r="I25" s="85">
        <f t="shared" ref="I25:I31" si="3">IF(H25,G25*40, 0)</f>
        <v>0</v>
      </c>
      <c r="J25" s="86"/>
      <c r="K25" s="86"/>
      <c r="L25" s="86"/>
      <c r="M25" s="86"/>
    </row>
    <row r="26" ht="15.75" customHeight="1">
      <c r="A26" s="49">
        <f t="array" ref="A26">IF(ISBLANK(B26), 0, IF(ISNUMBER(MATCH(B26, HR!A:A, 0)), 0, IF(ISNUMBER(MATCH(B26, HR!B:B, 0)), INDEX(HR!V:V, MATCH(B26, HR!B:B, 0)) * (F26 * 24), 0)))</f>
        <v>0</v>
      </c>
      <c r="B26" s="50" t="s">
        <v>65</v>
      </c>
      <c r="C26" s="82" t="s">
        <v>50</v>
      </c>
      <c r="D26" s="82" t="s">
        <v>57</v>
      </c>
      <c r="E26" s="87"/>
      <c r="F26" s="53" t="str">
        <f t="shared" si="2"/>
        <v>11:00</v>
      </c>
      <c r="G26" s="83">
        <f>COUNTIF(RestiaCSV!E:E, B26)</f>
        <v>0</v>
      </c>
      <c r="H26" s="84" t="b">
        <v>1</v>
      </c>
      <c r="I26" s="88">
        <f t="shared" si="3"/>
        <v>0</v>
      </c>
      <c r="J26" s="89">
        <f>COUNTIF(I25:I31, "&gt;0")</f>
        <v>0</v>
      </c>
      <c r="K26" s="75">
        <f>IFERROR(__xludf.DUMMYFUNCTION("COUNTA(FILTER(RestiaCSV!B2:B32, RestiaCSV!B2:B32 &lt;&gt; ""canceled""))"),0.0)</f>
        <v>0</v>
      </c>
      <c r="L26" s="75">
        <f>COUNTIF(RestiaCSV!F1:F32, "delivery")</f>
        <v>0</v>
      </c>
      <c r="M26" s="90">
        <f>COUNTIFS(RestiaCSV!M:M, "&gt;5",RestiaCSV!A:A, "&lt;&gt;wolt")</f>
        <v>0</v>
      </c>
    </row>
    <row r="27" ht="15.75" customHeight="1">
      <c r="A27" s="49">
        <f t="array" ref="A27">IF(ISBLANK(B27), 0, IF(ISNUMBER(MATCH(B27, HR!A:A, 0)), 0, IF(ISNUMBER(MATCH(B27, HR!B:B, 0)), INDEX(HR!V:V, MATCH(B27, HR!B:B, 0)) * (F27 * 24), 0)))</f>
        <v>0</v>
      </c>
      <c r="B27" s="50"/>
      <c r="C27" s="82"/>
      <c r="D27" s="82"/>
      <c r="E27" s="87"/>
      <c r="F27" s="53" t="str">
        <f t="shared" si="2"/>
        <v>0:00</v>
      </c>
      <c r="G27" s="83">
        <f>COUNTIF(RestiaCSV!E:E, B27)</f>
        <v>0</v>
      </c>
      <c r="H27" s="84" t="b">
        <v>1</v>
      </c>
      <c r="I27" s="88">
        <f t="shared" si="3"/>
        <v>0</v>
      </c>
      <c r="J27" s="91" t="s">
        <v>2576</v>
      </c>
      <c r="K27" s="92"/>
      <c r="L27" s="80" t="s">
        <v>2502</v>
      </c>
      <c r="M27" s="81" t="s">
        <v>2503</v>
      </c>
    </row>
    <row r="28" ht="15.75" customHeight="1">
      <c r="A28" s="49">
        <f t="array" ref="A28">IF(ISBLANK(B28), 0, IF(ISNUMBER(MATCH(B28, HR!A:A, 0)), 0, IF(ISNUMBER(MATCH(B28, HR!B:B, 0)), INDEX(HR!V:V, MATCH(B28, HR!B:B, 0)) * (F28 * 24), 0)))</f>
        <v>0</v>
      </c>
      <c r="B28" s="50"/>
      <c r="C28" s="82"/>
      <c r="D28" s="82"/>
      <c r="E28" s="87"/>
      <c r="F28" s="53" t="str">
        <f t="shared" si="2"/>
        <v>0:00</v>
      </c>
      <c r="G28" s="83">
        <f>COUNTIF(RestiaCSV!E:E, B28)</f>
        <v>0</v>
      </c>
      <c r="H28" s="84" t="b">
        <v>1</v>
      </c>
      <c r="I28" s="88">
        <f t="shared" si="3"/>
        <v>0</v>
      </c>
      <c r="J28" s="93"/>
      <c r="K28" s="94"/>
      <c r="L28" s="86"/>
      <c r="M28" s="86"/>
    </row>
    <row r="29" ht="15.75" customHeight="1">
      <c r="A29" s="49">
        <f t="array" ref="A29">IF(ISBLANK(B29), 0, IF(ISNUMBER(MATCH(B29, HR!A:A, 0)), 0, IF(ISNUMBER(MATCH(B29, HR!B:B, 0)), INDEX(HR!V:V, MATCH(B29, HR!B:B, 0)) * (F29 * 24), 0)))</f>
        <v>0</v>
      </c>
      <c r="B29" s="50"/>
      <c r="C29" s="82"/>
      <c r="D29" s="82"/>
      <c r="E29" s="87"/>
      <c r="F29" s="53" t="str">
        <f t="shared" si="2"/>
        <v>0:00</v>
      </c>
      <c r="G29" s="83">
        <f>COUNTIF(RestiaCSV!E:E, B29)</f>
        <v>0</v>
      </c>
      <c r="H29" s="84" t="b">
        <v>0</v>
      </c>
      <c r="I29" s="88">
        <f t="shared" si="3"/>
        <v>0</v>
      </c>
      <c r="J29" s="95">
        <f>COUNTIFS(RestiaCSV!M:M, "&gt;5", RestiaCSV!L:L, "&gt;5")</f>
        <v>0</v>
      </c>
      <c r="K29" s="96"/>
      <c r="L29" s="97" t="str">
        <f>L23/L26</f>
        <v>#DIV/0!</v>
      </c>
      <c r="M29" s="75">
        <f>COUNTIFS(RestiaCSV!L:L, "&gt;5", RestiaCSV!F:F, "delivery", RestiaCSV!E:E, "Wolt Kurýr")</f>
        <v>0</v>
      </c>
    </row>
    <row r="30" ht="15.75" customHeight="1">
      <c r="A30" s="49">
        <f t="array" ref="A30">IF(ISBLANK(B30), 0, IF(ISNUMBER(MATCH(B30, HR!A:A, 0)), 0, IF(ISNUMBER(MATCH(B30, HR!B:B, 0)), INDEX(HR!V:V, MATCH(B30, HR!B:B, 0)) * (F30 * 24), 0)))</f>
        <v>0</v>
      </c>
      <c r="B30" s="50"/>
      <c r="C30" s="87"/>
      <c r="D30" s="82"/>
      <c r="E30" s="87"/>
      <c r="F30" s="53" t="str">
        <f t="shared" si="2"/>
        <v>0:00</v>
      </c>
      <c r="G30" s="83">
        <f>COUNTIF(RestiaCSV!E:E, B30)</f>
        <v>0</v>
      </c>
      <c r="H30" s="84" t="b">
        <v>0</v>
      </c>
      <c r="I30" s="88">
        <f t="shared" si="3"/>
        <v>0</v>
      </c>
      <c r="J30" s="98"/>
      <c r="K30" s="98"/>
      <c r="L30" s="81" t="s">
        <v>2504</v>
      </c>
      <c r="M30" s="81" t="s">
        <v>2505</v>
      </c>
    </row>
    <row r="31" ht="15.75" customHeight="1">
      <c r="A31" s="49">
        <f t="array" ref="A31">IF(ISBLANK(B31), 0, IF(ISNUMBER(MATCH(B31, HR!A:A, 0)), 0, IF(ISNUMBER(MATCH(B31, HR!B:B, 0)), INDEX(HR!V:V, MATCH(B31, HR!B:B, 0)) * (F31 * 24), 0)))</f>
        <v>0</v>
      </c>
      <c r="B31" s="50"/>
      <c r="C31" s="87"/>
      <c r="D31" s="87"/>
      <c r="E31" s="87"/>
      <c r="F31" s="53" t="str">
        <f t="shared" si="2"/>
        <v>0:00</v>
      </c>
      <c r="G31" s="83">
        <f>COUNTIF(RestiaCSV!E:E, B31)</f>
        <v>0</v>
      </c>
      <c r="H31" s="84" t="b">
        <v>0</v>
      </c>
      <c r="I31" s="88">
        <f t="shared" si="3"/>
        <v>0</v>
      </c>
      <c r="J31" s="98"/>
      <c r="K31" s="98"/>
      <c r="L31" s="86"/>
      <c r="M31" s="86"/>
    </row>
    <row r="32" ht="15.75" customHeight="1">
      <c r="A32" s="99"/>
      <c r="B32" s="100" t="s">
        <v>90</v>
      </c>
      <c r="C32" s="101" t="s">
        <v>14</v>
      </c>
      <c r="D32" s="26"/>
      <c r="E32" s="26"/>
      <c r="F32" s="102"/>
      <c r="G32" s="103">
        <f>COUNTIFS(RestiaCSV!E:E, "wolt kurýr", RestiaCSV!A:A, "&lt;&gt;wolt")</f>
        <v>0</v>
      </c>
      <c r="H32" s="104" t="b">
        <v>1</v>
      </c>
      <c r="I32" s="105">
        <f>G32*127</f>
        <v>0</v>
      </c>
      <c r="J32" s="106"/>
      <c r="K32" s="106"/>
      <c r="L32" s="97" t="str">
        <f>100%-L29</f>
        <v>#DIV/0!</v>
      </c>
      <c r="M32" s="97" t="str">
        <f>M29/L26</f>
        <v>#DIV/0!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1:K17">
    <cfRule type="cellIs" dxfId="0" priority="3" operator="lessThan">
      <formula>0</formula>
    </cfRule>
  </conditionalFormatting>
  <dataValidations>
    <dataValidation type="list" allowBlank="1" sqref="B12:B21">
      <formula1>"Nedbal Michal,Hanakova Ayuna,Veselý Ondřej,Kinkorová Petra,Pechová Barbora,Pánková Vendula,Strauss Daniel,Yarushynskyi Vladyslav,Putna Jaroslav,Kuzníková Nicol"</formula1>
    </dataValidation>
    <dataValidation type="list" allowBlank="1" sqref="G11 G19">
      <formula1>"Hanakova Ayuna"</formula1>
    </dataValidation>
    <dataValidation type="list" allowBlank="1" sqref="B25:B31">
      <formula1>"Němec Filip,Zimmer Jakub,Nekolný Vladimír,Novák Jakub,Černohorský Otakar,Čerešňák Michal,Lowe Jana,Lažek Jaroslav,Kormash Liubov,Killiakov Andrei,Vychivskyi Volodymyr,Kvapil Filip Leon,Vaníková Anna"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hidden="1" min="1" max="1" width="15.5"/>
    <col customWidth="1" min="2" max="2" width="15.5"/>
    <col customWidth="1" min="3" max="3" width="13.88"/>
    <col customWidth="1" min="4" max="4" width="12.63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 ht="15.75" customHeight="1">
      <c r="A1" s="107"/>
      <c r="B1" s="108" t="str">
        <f>Report!B1</f>
        <v>Zličín</v>
      </c>
      <c r="C1" s="109">
        <v>46082.0</v>
      </c>
      <c r="D1" s="110" t="s">
        <v>2577</v>
      </c>
      <c r="E1" s="111">
        <v>46099.0</v>
      </c>
      <c r="F1" s="112" t="s">
        <v>28</v>
      </c>
      <c r="G1" s="12"/>
      <c r="H1" s="13"/>
      <c r="I1" s="112" t="s">
        <v>26</v>
      </c>
      <c r="J1" s="12"/>
      <c r="K1" s="13"/>
      <c r="L1" s="113" t="s">
        <v>2555</v>
      </c>
      <c r="M1" s="20"/>
      <c r="N1" s="113"/>
    </row>
    <row r="2" ht="19.5" customHeight="1">
      <c r="A2" s="107"/>
      <c r="B2" s="16"/>
      <c r="C2" s="17"/>
      <c r="D2" s="16"/>
      <c r="E2" s="18"/>
      <c r="F2" s="114">
        <v>0.26272956519670365</v>
      </c>
      <c r="H2" s="20"/>
      <c r="I2" s="115">
        <v>1097472.2</v>
      </c>
      <c r="K2" s="20"/>
      <c r="L2" s="116" t="s">
        <v>2556</v>
      </c>
      <c r="M2" s="117">
        <v>267498.0</v>
      </c>
      <c r="N2" s="118"/>
    </row>
    <row r="3" ht="15.75" customHeight="1">
      <c r="A3" s="119"/>
      <c r="B3" s="120" t="str">
        <f>CHOOSE(WEEKDAY(C1), "Neděle", "Pondělí", "Úterý", "Středa", "Čtvrtek", "Pátek", "Sobota")</f>
        <v>Neděle</v>
      </c>
      <c r="C3" s="25"/>
      <c r="D3" s="121"/>
      <c r="E3" s="10"/>
      <c r="H3" s="20"/>
      <c r="K3" s="20"/>
      <c r="L3" s="122" t="s">
        <v>2557</v>
      </c>
      <c r="M3" s="123">
        <v>90905.0</v>
      </c>
      <c r="N3" s="118"/>
    </row>
    <row r="4" ht="15.75" customHeight="1">
      <c r="A4" s="119"/>
      <c r="B4" s="17"/>
      <c r="C4" s="26"/>
      <c r="D4" s="17"/>
      <c r="E4" s="18"/>
      <c r="F4" s="26"/>
      <c r="G4" s="26"/>
      <c r="H4" s="18"/>
      <c r="I4" s="26"/>
      <c r="J4" s="26"/>
      <c r="K4" s="18"/>
      <c r="L4" s="122" t="s">
        <v>2558</v>
      </c>
      <c r="M4" s="123">
        <v>278443.0</v>
      </c>
      <c r="N4" s="118"/>
    </row>
    <row r="5" ht="15.75" customHeight="1">
      <c r="A5" s="124"/>
      <c r="B5" s="125" t="s">
        <v>2578</v>
      </c>
      <c r="C5" s="25"/>
      <c r="D5" s="25"/>
      <c r="E5" s="10"/>
      <c r="F5" s="126" t="s">
        <v>2579</v>
      </c>
      <c r="G5" s="25"/>
      <c r="H5" s="25"/>
      <c r="I5" s="25"/>
      <c r="J5" s="25"/>
      <c r="K5" s="10"/>
      <c r="L5" s="122" t="s">
        <v>2560</v>
      </c>
      <c r="M5" s="123">
        <v>262899.5</v>
      </c>
      <c r="N5" s="118"/>
    </row>
    <row r="6" ht="15.75" customHeight="1">
      <c r="A6" s="124"/>
      <c r="B6" s="17"/>
      <c r="C6" s="26"/>
      <c r="D6" s="26"/>
      <c r="E6" s="18"/>
      <c r="F6" s="26"/>
      <c r="G6" s="26"/>
      <c r="H6" s="26"/>
      <c r="I6" s="26"/>
      <c r="J6" s="26"/>
      <c r="K6" s="18"/>
      <c r="L6" s="122" t="s">
        <v>2561</v>
      </c>
      <c r="M6" s="123">
        <v>7462.0</v>
      </c>
      <c r="N6" s="118"/>
    </row>
    <row r="7" ht="15.75" customHeight="1">
      <c r="A7" s="113"/>
      <c r="B7" s="127">
        <f>TEXT(SUMPRODUCT((IFERROR(LEFT(D10:D30, FIND(":", D10:D30) - 1) * 60, 0) + IFERROR(MID(D10:D30, FIND(":", D10:D30) + 1, LEN(D10:D30) - FIND(":", D10:D30)), 0))), "[h]:mm")/60</f>
        <v>529</v>
      </c>
      <c r="C7" s="26"/>
      <c r="D7" s="26"/>
      <c r="E7" s="18"/>
      <c r="F7" s="128">
        <f>TEXT(SUMPRODUCT((IFERROR(LEFT(H10:H30, FIND(":", H10:H30) - 1) * 60, 0) + IFERROR(MID(H10:H30, FIND(":", H10:H30) + 1, LEN(H10:H30) - FIND(":", H10:H30)), 0))), "[h]:mm")/60</f>
        <v>269.5</v>
      </c>
      <c r="G7" s="12"/>
      <c r="H7" s="12"/>
      <c r="I7" s="12"/>
      <c r="J7" s="129"/>
      <c r="K7" s="129"/>
      <c r="L7" s="130" t="s">
        <v>2562</v>
      </c>
      <c r="M7" s="131">
        <v>31636.0</v>
      </c>
      <c r="N7" s="118"/>
    </row>
    <row r="8" ht="15.75" customHeight="1">
      <c r="A8" s="132"/>
      <c r="B8" s="133" t="s">
        <v>2563</v>
      </c>
      <c r="C8" s="12"/>
      <c r="D8" s="12"/>
      <c r="E8" s="13"/>
      <c r="F8" s="134" t="s">
        <v>78</v>
      </c>
      <c r="G8" s="12"/>
      <c r="H8" s="12"/>
      <c r="I8" s="13"/>
      <c r="J8" s="135" t="s">
        <v>2564</v>
      </c>
      <c r="K8" s="10"/>
      <c r="L8" s="128" t="s">
        <v>25</v>
      </c>
      <c r="M8" s="13"/>
      <c r="N8" s="113"/>
    </row>
    <row r="9" ht="15.75" customHeight="1">
      <c r="A9" s="136"/>
      <c r="B9" s="137" t="s">
        <v>2565</v>
      </c>
      <c r="C9" s="138" t="s">
        <v>2580</v>
      </c>
      <c r="D9" s="138" t="s">
        <v>2569</v>
      </c>
      <c r="E9" s="139"/>
      <c r="F9" s="137" t="s">
        <v>2565</v>
      </c>
      <c r="G9" s="138" t="s">
        <v>2580</v>
      </c>
      <c r="H9" s="138" t="s">
        <v>2569</v>
      </c>
      <c r="I9" s="140" t="s">
        <v>2572</v>
      </c>
      <c r="J9" s="141">
        <v>18.30000000000291</v>
      </c>
      <c r="K9" s="10"/>
      <c r="L9" s="142" t="s">
        <v>23</v>
      </c>
      <c r="M9" s="123">
        <v>90309.0</v>
      </c>
      <c r="N9" s="118"/>
    </row>
    <row r="10" ht="18.75" customHeight="1">
      <c r="A10" s="143"/>
      <c r="B10" s="144" t="s">
        <v>40</v>
      </c>
      <c r="C10" s="145">
        <v>13.0</v>
      </c>
      <c r="D10" s="145" t="s">
        <v>2581</v>
      </c>
      <c r="E10" s="146" t="s">
        <v>2582</v>
      </c>
      <c r="F10" s="144" t="s">
        <v>65</v>
      </c>
      <c r="G10" s="145">
        <v>9.0</v>
      </c>
      <c r="H10" s="145" t="s">
        <v>2583</v>
      </c>
      <c r="I10" s="147">
        <v>131.0</v>
      </c>
      <c r="J10" s="34"/>
      <c r="K10" s="20"/>
      <c r="L10" s="142" t="s">
        <v>24</v>
      </c>
      <c r="M10" s="123">
        <v>2850.0</v>
      </c>
      <c r="N10" s="118"/>
    </row>
    <row r="11" ht="18.75" customHeight="1">
      <c r="A11" s="143"/>
      <c r="B11" s="144" t="s">
        <v>2584</v>
      </c>
      <c r="C11" s="145">
        <v>4.0</v>
      </c>
      <c r="D11" s="145" t="s">
        <v>2585</v>
      </c>
      <c r="E11" s="146" t="s">
        <v>49</v>
      </c>
      <c r="F11" s="144" t="s">
        <v>2575</v>
      </c>
      <c r="G11" s="145">
        <v>11.0</v>
      </c>
      <c r="H11" s="145" t="s">
        <v>2586</v>
      </c>
      <c r="I11" s="147">
        <v>64.0</v>
      </c>
      <c r="J11" s="34"/>
      <c r="K11" s="20"/>
      <c r="L11" s="148" t="s">
        <v>25</v>
      </c>
      <c r="M11" s="149">
        <v>73790.0</v>
      </c>
      <c r="N11" s="118"/>
    </row>
    <row r="12" ht="18.75" customHeight="1">
      <c r="A12" s="143"/>
      <c r="B12" s="144" t="s">
        <v>2587</v>
      </c>
      <c r="C12" s="145">
        <v>13.0</v>
      </c>
      <c r="D12" s="145" t="s">
        <v>2588</v>
      </c>
      <c r="E12" s="146" t="s">
        <v>50</v>
      </c>
      <c r="F12" s="144" t="s">
        <v>373</v>
      </c>
      <c r="G12" s="145">
        <v>8.0</v>
      </c>
      <c r="H12" s="145" t="s">
        <v>2589</v>
      </c>
      <c r="I12" s="147">
        <v>66.0</v>
      </c>
      <c r="J12" s="34"/>
      <c r="K12" s="20"/>
      <c r="L12" s="150" t="s">
        <v>2570</v>
      </c>
      <c r="M12" s="18"/>
      <c r="N12" s="113"/>
    </row>
    <row r="13" ht="18.75" customHeight="1">
      <c r="A13" s="143"/>
      <c r="B13" s="144" t="s">
        <v>52</v>
      </c>
      <c r="C13" s="145">
        <v>12.0</v>
      </c>
      <c r="D13" s="145" t="s">
        <v>2590</v>
      </c>
      <c r="E13" s="146" t="s">
        <v>50</v>
      </c>
      <c r="F13" s="144" t="s">
        <v>2591</v>
      </c>
      <c r="G13" s="145">
        <v>4.0</v>
      </c>
      <c r="H13" s="145" t="s">
        <v>2592</v>
      </c>
      <c r="I13" s="147">
        <v>36.0</v>
      </c>
      <c r="J13" s="34"/>
      <c r="K13" s="20"/>
      <c r="L13" s="142" t="s">
        <v>29</v>
      </c>
      <c r="M13" s="123">
        <v>0.0</v>
      </c>
      <c r="N13" s="118"/>
    </row>
    <row r="14" ht="18.75" customHeight="1">
      <c r="A14" s="143"/>
      <c r="B14" s="144" t="s">
        <v>2593</v>
      </c>
      <c r="C14" s="145">
        <v>2.0</v>
      </c>
      <c r="D14" s="145" t="s">
        <v>50</v>
      </c>
      <c r="E14" s="146" t="s">
        <v>2594</v>
      </c>
      <c r="F14" s="144" t="s">
        <v>2593</v>
      </c>
      <c r="G14" s="145">
        <v>3.0</v>
      </c>
      <c r="H14" s="145" t="s">
        <v>2525</v>
      </c>
      <c r="I14" s="147">
        <v>35.0</v>
      </c>
      <c r="J14" s="34"/>
      <c r="K14" s="20"/>
      <c r="L14" s="138" t="s">
        <v>30</v>
      </c>
      <c r="M14" s="123">
        <v>0.0</v>
      </c>
      <c r="N14" s="118"/>
    </row>
    <row r="15" ht="18.75" customHeight="1">
      <c r="A15" s="143"/>
      <c r="B15" s="144" t="s">
        <v>2595</v>
      </c>
      <c r="C15" s="145">
        <v>10.0</v>
      </c>
      <c r="D15" s="145" t="s">
        <v>2596</v>
      </c>
      <c r="E15" s="146" t="s">
        <v>2594</v>
      </c>
      <c r="F15" s="144" t="s">
        <v>2597</v>
      </c>
      <c r="G15" s="145">
        <v>6.0</v>
      </c>
      <c r="H15" s="145" t="s">
        <v>2598</v>
      </c>
      <c r="I15" s="147">
        <v>65.0</v>
      </c>
      <c r="J15" s="34"/>
      <c r="K15" s="20"/>
      <c r="L15" s="138" t="s">
        <v>31</v>
      </c>
      <c r="M15" s="123">
        <v>62.0</v>
      </c>
      <c r="N15" s="118"/>
    </row>
    <row r="16" ht="18.75" customHeight="1">
      <c r="A16" s="143"/>
      <c r="B16" s="144" t="s">
        <v>2599</v>
      </c>
      <c r="C16" s="145">
        <v>12.0</v>
      </c>
      <c r="D16" s="145" t="s">
        <v>2600</v>
      </c>
      <c r="E16" s="151"/>
      <c r="F16" s="144"/>
      <c r="G16" s="145"/>
      <c r="H16" s="145"/>
      <c r="I16" s="147"/>
      <c r="J16" s="34"/>
      <c r="K16" s="20"/>
      <c r="L16" s="138" t="s">
        <v>32</v>
      </c>
      <c r="M16" s="123">
        <v>7392.0</v>
      </c>
      <c r="N16" s="118"/>
    </row>
    <row r="17" ht="18.75" customHeight="1">
      <c r="A17" s="143"/>
      <c r="B17" s="144" t="s">
        <v>2601</v>
      </c>
      <c r="C17" s="145">
        <v>1.0</v>
      </c>
      <c r="D17" s="145" t="s">
        <v>2594</v>
      </c>
      <c r="E17" s="151"/>
      <c r="F17" s="144"/>
      <c r="G17" s="145"/>
      <c r="H17" s="145"/>
      <c r="I17" s="147"/>
      <c r="J17" s="17"/>
      <c r="K17" s="18"/>
      <c r="L17" s="152" t="s">
        <v>33</v>
      </c>
      <c r="M17" s="153">
        <v>15880.0</v>
      </c>
      <c r="N17" s="118"/>
    </row>
    <row r="18" ht="18.75" customHeight="1">
      <c r="A18" s="143"/>
      <c r="B18" s="144"/>
      <c r="C18" s="145"/>
      <c r="D18" s="145"/>
      <c r="E18" s="151"/>
      <c r="F18" s="144"/>
      <c r="G18" s="145"/>
      <c r="H18" s="145"/>
      <c r="I18" s="147"/>
      <c r="J18" s="154"/>
      <c r="K18" s="12"/>
      <c r="L18" s="12"/>
      <c r="M18" s="13"/>
      <c r="N18" s="155"/>
    </row>
    <row r="19" ht="18.75" customHeight="1">
      <c r="A19" s="143"/>
      <c r="B19" s="144"/>
      <c r="C19" s="145"/>
      <c r="D19" s="145"/>
      <c r="E19" s="151"/>
      <c r="F19" s="144"/>
      <c r="G19" s="145"/>
      <c r="H19" s="145"/>
      <c r="I19" s="147"/>
      <c r="J19" s="156" t="s">
        <v>34</v>
      </c>
      <c r="K19" s="157" t="s">
        <v>35</v>
      </c>
      <c r="L19" s="158" t="s">
        <v>2571</v>
      </c>
      <c r="M19" s="159" t="s">
        <v>37</v>
      </c>
    </row>
    <row r="20" ht="18.75" customHeight="1">
      <c r="A20" s="143"/>
      <c r="B20" s="144"/>
      <c r="C20" s="145"/>
      <c r="D20" s="145"/>
      <c r="E20" s="151"/>
      <c r="F20" s="144"/>
      <c r="G20" s="145"/>
      <c r="H20" s="145"/>
      <c r="I20" s="147"/>
      <c r="J20" s="160"/>
      <c r="K20" s="86"/>
      <c r="L20" s="86"/>
      <c r="M20" s="161"/>
    </row>
    <row r="21" ht="18.75" customHeight="1">
      <c r="A21" s="143"/>
      <c r="B21" s="144"/>
      <c r="C21" s="145"/>
      <c r="D21" s="145"/>
      <c r="E21" s="151"/>
      <c r="F21" s="144"/>
      <c r="G21" s="145"/>
      <c r="H21" s="145"/>
      <c r="I21" s="147"/>
      <c r="J21" s="162">
        <v>6.0</v>
      </c>
      <c r="K21" s="74">
        <v>4834.0</v>
      </c>
      <c r="L21" s="75">
        <v>43.0</v>
      </c>
      <c r="M21" s="163" t="s">
        <v>2602</v>
      </c>
      <c r="N21" s="155"/>
    </row>
    <row r="22" ht="18.75" customHeight="1">
      <c r="A22" s="143"/>
      <c r="B22" s="144"/>
      <c r="C22" s="145"/>
      <c r="D22" s="145"/>
      <c r="E22" s="151"/>
      <c r="F22" s="144"/>
      <c r="G22" s="145"/>
      <c r="H22" s="145"/>
      <c r="I22" s="147"/>
      <c r="J22" s="164" t="s">
        <v>2574</v>
      </c>
      <c r="K22" s="81" t="s">
        <v>2498</v>
      </c>
      <c r="L22" s="80" t="s">
        <v>2499</v>
      </c>
      <c r="M22" s="165" t="s">
        <v>2500</v>
      </c>
      <c r="N22" s="155"/>
    </row>
    <row r="23" ht="18.75" customHeight="1">
      <c r="A23" s="143"/>
      <c r="B23" s="144"/>
      <c r="C23" s="145"/>
      <c r="D23" s="145"/>
      <c r="E23" s="151"/>
      <c r="F23" s="144"/>
      <c r="G23" s="145"/>
      <c r="H23" s="145"/>
      <c r="I23" s="147"/>
      <c r="J23" s="160"/>
      <c r="K23" s="86"/>
      <c r="L23" s="86"/>
      <c r="M23" s="161"/>
      <c r="N23" s="155"/>
    </row>
    <row r="24" ht="18.75" customHeight="1">
      <c r="A24" s="143"/>
      <c r="B24" s="144"/>
      <c r="C24" s="145"/>
      <c r="D24" s="145"/>
      <c r="E24" s="151"/>
      <c r="F24" s="144"/>
      <c r="G24" s="145"/>
      <c r="H24" s="145"/>
      <c r="I24" s="147"/>
      <c r="J24" s="166">
        <v>41.0</v>
      </c>
      <c r="K24" s="75">
        <v>2478.0</v>
      </c>
      <c r="L24" s="75">
        <v>500.0</v>
      </c>
      <c r="M24" s="167">
        <v>39.0</v>
      </c>
      <c r="N24" s="155"/>
    </row>
    <row r="25" ht="18.75" customHeight="1">
      <c r="A25" s="143"/>
      <c r="B25" s="144"/>
      <c r="C25" s="145"/>
      <c r="D25" s="145"/>
      <c r="E25" s="151"/>
      <c r="F25" s="144"/>
      <c r="G25" s="145"/>
      <c r="H25" s="145"/>
      <c r="I25" s="147"/>
      <c r="J25" s="168" t="s">
        <v>2576</v>
      </c>
      <c r="K25" s="92"/>
      <c r="L25" s="169" t="s">
        <v>2502</v>
      </c>
      <c r="M25" s="170" t="s">
        <v>2503</v>
      </c>
      <c r="N25" s="155"/>
    </row>
    <row r="26" ht="18.75" customHeight="1">
      <c r="A26" s="143"/>
      <c r="B26" s="144"/>
      <c r="C26" s="145"/>
      <c r="D26" s="145"/>
      <c r="E26" s="151"/>
      <c r="F26" s="144"/>
      <c r="G26" s="145"/>
      <c r="H26" s="145"/>
      <c r="I26" s="147"/>
      <c r="J26" s="171"/>
      <c r="K26" s="94"/>
      <c r="L26" s="86"/>
      <c r="M26" s="161"/>
      <c r="N26" s="155"/>
    </row>
    <row r="27" ht="18.75" customHeight="1">
      <c r="A27" s="143"/>
      <c r="B27" s="144"/>
      <c r="C27" s="145"/>
      <c r="D27" s="145"/>
      <c r="E27" s="151"/>
      <c r="F27" s="144"/>
      <c r="G27" s="145"/>
      <c r="H27" s="145"/>
      <c r="I27" s="147"/>
      <c r="J27" s="172">
        <v>8.0</v>
      </c>
      <c r="K27" s="96"/>
      <c r="L27" s="97">
        <v>0.08448211369333294</v>
      </c>
      <c r="M27" s="173">
        <v>12.0</v>
      </c>
      <c r="N27" s="155"/>
    </row>
    <row r="28" ht="18.75" customHeight="1">
      <c r="A28" s="143"/>
      <c r="B28" s="144"/>
      <c r="C28" s="145"/>
      <c r="D28" s="145"/>
      <c r="E28" s="151"/>
      <c r="F28" s="144"/>
      <c r="G28" s="145"/>
      <c r="H28" s="145"/>
      <c r="I28" s="147"/>
      <c r="J28" s="174"/>
      <c r="L28" s="175" t="s">
        <v>2504</v>
      </c>
      <c r="M28" s="170" t="s">
        <v>2505</v>
      </c>
      <c r="N28" s="155"/>
    </row>
    <row r="29" ht="18.75" customHeight="1">
      <c r="A29" s="143"/>
      <c r="B29" s="144"/>
      <c r="C29" s="145"/>
      <c r="D29" s="145"/>
      <c r="E29" s="151"/>
      <c r="F29" s="144"/>
      <c r="G29" s="145"/>
      <c r="H29" s="145"/>
      <c r="I29" s="147"/>
      <c r="J29" s="34"/>
      <c r="L29" s="86"/>
      <c r="M29" s="161"/>
      <c r="N29" s="155"/>
    </row>
    <row r="30" ht="18.75" customHeight="1">
      <c r="A30" s="143"/>
      <c r="B30" s="144"/>
      <c r="C30" s="145"/>
      <c r="D30" s="145"/>
      <c r="E30" s="151"/>
      <c r="F30" s="144"/>
      <c r="G30" s="145"/>
      <c r="H30" s="145"/>
      <c r="I30" s="147"/>
      <c r="J30" s="17"/>
      <c r="K30" s="26"/>
      <c r="L30" s="176">
        <v>0.9155178863066671</v>
      </c>
      <c r="M30" s="177">
        <v>0.020436136993995838</v>
      </c>
      <c r="N30" s="15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2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8" max="9" width="25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15.75" customHeight="1">
      <c r="A4" s="1"/>
      <c r="B4" s="1"/>
      <c r="C4" s="17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5.75" customHeight="1">
      <c r="A6" s="1"/>
      <c r="B6" s="1"/>
      <c r="C6" s="178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15.75" customHeight="1">
      <c r="A7" s="1"/>
      <c r="B7" s="1"/>
      <c r="C7" s="17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5.75" customHeight="1">
      <c r="A8" s="1"/>
      <c r="B8" s="1"/>
      <c r="C8" s="17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5.75" customHeight="1">
      <c r="A9" s="1"/>
      <c r="B9" s="1"/>
      <c r="C9" s="178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ht="15.75" customHeight="1">
      <c r="A10" s="1"/>
      <c r="B10" s="1"/>
      <c r="C10" s="178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ht="15.75" customHeight="1">
      <c r="A11" s="1"/>
      <c r="B11" s="1"/>
      <c r="C11" s="178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ht="15.75" customHeight="1">
      <c r="A17" s="1"/>
      <c r="B17" s="1"/>
      <c r="C17" s="17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ht="15.75" customHeight="1">
      <c r="A19" s="1"/>
      <c r="B19" s="1"/>
      <c r="C19" s="178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15.75" customHeight="1">
      <c r="A22" s="1"/>
      <c r="B22" s="17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5.75" customHeight="1">
      <c r="A23" s="1"/>
      <c r="B23" s="1"/>
      <c r="C23" s="178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15.75" customHeight="1">
      <c r="A24" s="1"/>
      <c r="B24" s="1"/>
      <c r="C24" s="178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5.75" customHeight="1">
      <c r="A28" s="1"/>
      <c r="B28" s="1"/>
      <c r="C28" s="17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5.75" customHeight="1">
      <c r="A29" s="1"/>
      <c r="B29" s="1"/>
      <c r="C29" s="17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5.75" customHeight="1">
      <c r="A30" s="1"/>
      <c r="B30" s="1"/>
      <c r="C30" s="17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5.75" customHeight="1">
      <c r="A32" s="1"/>
      <c r="B32" s="178"/>
      <c r="C32" s="17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5.75" customHeight="1">
      <c r="A33" s="1"/>
      <c r="B33" s="1"/>
      <c r="C33" s="17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5.75" customHeight="1">
      <c r="A34" s="1"/>
      <c r="B34" s="1"/>
      <c r="C34" s="17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75" customHeight="1">
      <c r="A35" s="1"/>
      <c r="B35" s="1"/>
      <c r="C35" s="17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5.75" customHeight="1">
      <c r="A39" s="1"/>
      <c r="B39" s="178"/>
      <c r="C39" s="17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5.75" customHeight="1">
      <c r="A40" s="1"/>
      <c r="B40" s="1"/>
      <c r="C40" s="17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5.75" customHeight="1">
      <c r="A41" s="1"/>
      <c r="B41" s="1"/>
      <c r="C41" s="17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5.75" customHeight="1">
      <c r="A43" s="1"/>
      <c r="B43" s="1"/>
      <c r="C43" s="17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5.75" customHeight="1">
      <c r="A44" s="1"/>
      <c r="B44" s="1"/>
      <c r="C44" s="17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5.75" customHeight="1">
      <c r="A45" s="1"/>
      <c r="B45" s="1"/>
      <c r="C45" s="17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5.75" customHeight="1">
      <c r="A47" s="1"/>
      <c r="B47" s="1"/>
      <c r="C47" s="17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5.75" customHeight="1">
      <c r="A48" s="1"/>
      <c r="B48" s="1"/>
      <c r="C48" s="178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75" customHeight="1">
      <c r="A49" s="1"/>
      <c r="B49" s="1"/>
      <c r="C49" s="178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75" customHeight="1">
      <c r="A51" s="1"/>
      <c r="B51" s="1"/>
      <c r="C51" s="178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75" customHeight="1">
      <c r="A52" s="1"/>
      <c r="B52" s="1"/>
      <c r="C52" s="178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75" customHeight="1">
      <c r="A53" s="1"/>
      <c r="B53" s="1"/>
      <c r="C53" s="178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75" customHeight="1">
      <c r="A57" s="1"/>
      <c r="B57" s="1"/>
      <c r="C57" s="178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A58" s="1"/>
      <c r="B58" s="1"/>
      <c r="C58" s="178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A59" s="1"/>
      <c r="B59" s="1"/>
      <c r="C59" s="17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A61" s="1"/>
      <c r="B61" s="1"/>
      <c r="C61" s="178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A62" s="1"/>
      <c r="B62" s="178"/>
      <c r="C62" s="178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A64" s="1"/>
      <c r="B64" s="1"/>
      <c r="C64" s="17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5.75" customHeight="1">
      <c r="A66" s="1"/>
      <c r="B66" s="1"/>
      <c r="C66" s="17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A67" s="1"/>
      <c r="B67" s="178"/>
      <c r="C67" s="17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75" customHeight="1">
      <c r="A68" s="1"/>
      <c r="B68" s="1"/>
      <c r="C68" s="17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5.75" customHeight="1">
      <c r="A69" s="1"/>
      <c r="B69" s="1"/>
      <c r="C69" s="17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5.75" customHeight="1">
      <c r="A71" s="1"/>
      <c r="B71" s="1"/>
      <c r="C71" s="17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5.75" customHeight="1">
      <c r="A73" s="1"/>
      <c r="B73" s="1"/>
      <c r="C73" s="17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5.75" customHeight="1">
      <c r="A74" s="1"/>
      <c r="B74" s="178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5.75" customHeight="1">
      <c r="A76" s="1"/>
      <c r="B76" s="178"/>
      <c r="C76" s="17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5.75" customHeight="1">
      <c r="A77" s="1"/>
      <c r="B77" s="1"/>
      <c r="C77" s="17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5.75" customHeight="1">
      <c r="A78" s="1"/>
      <c r="B78" s="1"/>
      <c r="C78" s="17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5.75" customHeight="1">
      <c r="A79" s="1"/>
      <c r="B79" s="1"/>
      <c r="C79" s="17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5.75" customHeight="1">
      <c r="A83" s="1"/>
      <c r="B83" s="1"/>
      <c r="C83" s="17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5.75" customHeight="1">
      <c r="A84" s="1"/>
      <c r="B84" s="1"/>
      <c r="C84" s="17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5.75" customHeight="1">
      <c r="A85" s="1"/>
      <c r="B85" s="1"/>
      <c r="C85" s="17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5.75" customHeight="1">
      <c r="A86" s="1"/>
      <c r="B86" s="1"/>
      <c r="C86" s="17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5.75" customHeight="1">
      <c r="A87" s="1"/>
      <c r="B87" s="1"/>
      <c r="C87" s="17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5.75" customHeight="1">
      <c r="A88" s="1"/>
      <c r="B88" s="1"/>
      <c r="C88" s="17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5.75" customHeight="1">
      <c r="A89" s="1"/>
      <c r="B89" s="1"/>
      <c r="C89" s="17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5.75" customHeight="1">
      <c r="A90" s="1"/>
      <c r="B90" s="1"/>
      <c r="C90" s="17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5.75" customHeight="1">
      <c r="A91" s="1"/>
      <c r="B91" s="178"/>
      <c r="C91" s="17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5.75" customHeight="1">
      <c r="A92" s="1"/>
      <c r="B92" s="1"/>
      <c r="C92" s="17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5.75" customHeight="1">
      <c r="A94" s="1"/>
      <c r="B94" s="1"/>
      <c r="C94" s="17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5.75" customHeight="1">
      <c r="A95" s="1"/>
      <c r="B95" s="1"/>
      <c r="C95" s="17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5.75" customHeight="1">
      <c r="A96" s="1"/>
      <c r="B96" s="1"/>
      <c r="C96" s="17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5.75" customHeight="1">
      <c r="A97" s="1"/>
      <c r="B97" s="178"/>
      <c r="C97" s="17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5.75" customHeight="1">
      <c r="A99" s="1"/>
      <c r="B99" s="1"/>
      <c r="C99" s="17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5.75" customHeight="1">
      <c r="A100" s="1"/>
      <c r="B100" s="1"/>
      <c r="C100" s="17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5.75" customHeight="1">
      <c r="A103" s="1"/>
      <c r="B103" s="178"/>
      <c r="C103" s="17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5.75" customHeight="1">
      <c r="A106" s="1"/>
      <c r="B106" s="1"/>
      <c r="C106" s="17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5.75" customHeight="1">
      <c r="A108" s="1"/>
      <c r="B108" s="178"/>
      <c r="C108" s="178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5.75" customHeight="1">
      <c r="A109" s="1"/>
      <c r="B109" s="1"/>
      <c r="C109" s="17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5.75" customHeight="1">
      <c r="A110" s="1"/>
      <c r="B110" s="1"/>
      <c r="C110" s="178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5.75" customHeight="1">
      <c r="A111" s="1"/>
      <c r="B111" s="1"/>
      <c r="C111" s="17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5.75" customHeight="1">
      <c r="A112" s="1"/>
      <c r="B112" s="1"/>
      <c r="C112" s="17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5.75" customHeight="1">
      <c r="A114" s="1"/>
      <c r="B114" s="1"/>
      <c r="C114" s="17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5.75" customHeight="1">
      <c r="A115" s="1"/>
      <c r="B115" s="1"/>
      <c r="C115" s="178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5.75" customHeight="1">
      <c r="A116" s="1"/>
      <c r="B116" s="1"/>
      <c r="C116" s="178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5.75" customHeight="1">
      <c r="A117" s="1"/>
      <c r="B117" s="1"/>
      <c r="C117" s="178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5.75" customHeight="1">
      <c r="A118" s="1"/>
      <c r="B118" s="1"/>
      <c r="C118" s="178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5.75" customHeight="1">
      <c r="A119" s="1"/>
      <c r="B119" s="1"/>
      <c r="C119" s="178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5.75" customHeight="1">
      <c r="A120" s="1"/>
      <c r="B120" s="1"/>
      <c r="C120" s="178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5.75" customHeight="1">
      <c r="A121" s="1"/>
      <c r="B121" s="178"/>
      <c r="C121" s="178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5.75" customHeight="1">
      <c r="A125" s="1"/>
      <c r="B125" s="1"/>
      <c r="C125" s="178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5.75" customHeight="1">
      <c r="A128" s="1"/>
      <c r="B128" s="178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5.75" customHeight="1">
      <c r="A129" s="1"/>
      <c r="B129" s="1"/>
      <c r="C129" s="178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5.75" customHeight="1">
      <c r="A130" s="1"/>
      <c r="B130" s="178"/>
      <c r="C130" s="17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5.75" customHeight="1">
      <c r="A131" s="1"/>
      <c r="B131" s="178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5.75" customHeight="1">
      <c r="A133" s="1"/>
      <c r="B133" s="1"/>
      <c r="C133" s="17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5.75" customHeight="1">
      <c r="A136" s="1"/>
      <c r="B136" s="1"/>
      <c r="C136" s="178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5.75" customHeight="1">
      <c r="A138" s="1"/>
      <c r="B138" s="178"/>
      <c r="C138" s="17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5.75" customHeight="1">
      <c r="A139" s="1"/>
      <c r="B139" s="178"/>
      <c r="C139" s="17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5.75" customHeight="1">
      <c r="A141" s="1"/>
      <c r="B141" s="1"/>
      <c r="C141" s="17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5.75" customHeight="1">
      <c r="A142" s="1"/>
      <c r="B142" s="1"/>
      <c r="C142" s="17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5.75" customHeight="1">
      <c r="A143" s="1"/>
      <c r="B143" s="1"/>
      <c r="C143" s="17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5.75" customHeight="1">
      <c r="A144" s="1"/>
      <c r="B144" s="1"/>
      <c r="C144" s="17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5.75" customHeight="1">
      <c r="A149" s="1"/>
      <c r="B149" s="1"/>
      <c r="C149" s="17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5.75" customHeight="1">
      <c r="A151" s="1"/>
      <c r="B151" s="1"/>
      <c r="C151" s="178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5.75" customHeight="1">
      <c r="A155" s="1"/>
      <c r="B155" s="1"/>
      <c r="C155" s="178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5.75" customHeight="1">
      <c r="A156" s="1"/>
      <c r="B156" s="178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5.75" customHeight="1">
      <c r="A157" s="1"/>
      <c r="B157" s="1"/>
      <c r="C157" s="178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5.75" customHeight="1">
      <c r="A159" s="1"/>
      <c r="B159" s="1"/>
      <c r="C159" s="178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5.75" customHeight="1">
      <c r="A163" s="1"/>
      <c r="B163" s="1"/>
      <c r="C163" s="17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5.75" customHeight="1">
      <c r="A170" s="1"/>
      <c r="B170" s="1"/>
      <c r="C170" s="178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5.75" customHeight="1">
      <c r="A172" s="1"/>
      <c r="B172" s="1"/>
      <c r="C172" s="17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5.75" customHeight="1">
      <c r="A173" s="1"/>
      <c r="B173" s="1"/>
      <c r="C173" s="17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5.75" customHeight="1">
      <c r="A175" s="1"/>
      <c r="B175" s="1"/>
      <c r="C175" s="178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5.75" customHeight="1">
      <c r="A176" s="1"/>
      <c r="B176" s="178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5.75" customHeight="1">
      <c r="A188" s="1"/>
      <c r="B188" s="178"/>
      <c r="C188" s="178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5.75" customHeight="1">
      <c r="A189" s="1"/>
      <c r="B189" s="1"/>
      <c r="C189" s="178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5.75" customHeight="1">
      <c r="A191" s="1"/>
      <c r="B191" s="1"/>
      <c r="C191" s="17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5.75" customHeight="1">
      <c r="A193" s="1"/>
      <c r="B193" s="1"/>
      <c r="C193" s="17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5.75" customHeight="1">
      <c r="A216" s="1"/>
      <c r="B216" s="1"/>
      <c r="C216" s="178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5.75" customHeight="1">
      <c r="A217" s="1"/>
      <c r="B217" s="1"/>
      <c r="C217" s="178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5.75" customHeight="1">
      <c r="A218" s="1"/>
      <c r="B218" s="1"/>
      <c r="C218" s="178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</sheetData>
  <autoFilter ref="$A$1:$M$161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"/>
      <c r="B1" s="5"/>
      <c r="C1" s="179" t="str">
        <f>IFERROR(__xludf.DUMMYFUNCTION("IMPORTRANGE(""1TpIiNTfR1pnpn85VWQTTdvQ2Xcr0GStmWJ2UvfKxG_A"", ""Mzdy!A1:F200"")"),"#REF!")</f>
        <v>#REF!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180" t="str">
        <f>IFERROR(__xludf.DUMMYFUNCTION("IMPORTRANGE(""1TpIiNTfR1pnpn85VWQTTdvQ2Xcr0GStmWJ2UvfKxG_A"", ""Mzdy!ac1:ad200"")"),"#REF!")</f>
        <v>#REF!</v>
      </c>
      <c r="W1" s="181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181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181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ht="15.75" customHeight="1">
      <c r="A4" s="182" t="s">
        <v>2603</v>
      </c>
      <c r="B4" s="182" t="s">
        <v>2604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181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15.75" customHeight="1">
      <c r="A5" s="5" t="str">
        <f>IF(AND(B5&lt;&gt;"", C5=TRUE, E5=Report!$B$1), B5, "")</f>
        <v/>
      </c>
      <c r="B5" s="183" t="str">
        <f>IF(OR(E5=Report!$B$1, F5=Report!$B$1, G5=Report!$B$1, H5=Report!$B$1), D5, "")</f>
        <v/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181"/>
      <c r="W5" s="181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ht="15.75" customHeight="1">
      <c r="A6" s="5" t="str">
        <f>IF(AND(B6&lt;&gt;"", C6=TRUE, E6=Report!$B$1), B6, "")</f>
        <v/>
      </c>
      <c r="B6" s="183" t="str">
        <f>IF(OR(E6=Report!$B$1, F6=Report!$B$1, G6=Report!$B$1, H6=Report!$B$1), D6, "")</f>
        <v/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181"/>
      <c r="W6" s="181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ht="15.75" customHeight="1">
      <c r="A7" s="5" t="str">
        <f>IF(AND(B7&lt;&gt;"", C7=TRUE, E7=Report!$B$1), B7, "")</f>
        <v/>
      </c>
      <c r="B7" s="183" t="str">
        <f>IF(OR(E7=Report!$B$1, F7=Report!$B$1, G7=Report!$B$1, H7=Report!$B$1), D7, "")</f>
        <v/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181"/>
      <c r="W7" s="181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ht="15.75" customHeight="1">
      <c r="A8" s="5" t="str">
        <f>IF(AND(B8&lt;&gt;"", C8=TRUE, E8=Report!$B$1), B8, "")</f>
        <v/>
      </c>
      <c r="B8" s="183" t="str">
        <f>IF(OR(E8=Report!$B$1, F8=Report!$B$1, G8=Report!$B$1, H8=Report!$B$1), D8, "")</f>
        <v/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181"/>
      <c r="W8" s="181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ht="15.75" customHeight="1">
      <c r="A9" s="5" t="str">
        <f>IF(AND(B9&lt;&gt;"", C9=TRUE, E9=Report!$B$1), B9, "")</f>
        <v/>
      </c>
      <c r="B9" s="183" t="str">
        <f>IF(OR(E9=Report!$B$1, F9=Report!$B$1, G9=Report!$B$1, H9=Report!$B$1), D9, "")</f>
        <v/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181"/>
      <c r="W9" s="181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ht="15.75" customHeight="1">
      <c r="A10" s="5" t="str">
        <f>IF(AND(B10&lt;&gt;"", C10=TRUE, E10=Report!$B$1), B10, "")</f>
        <v/>
      </c>
      <c r="B10" s="183" t="str">
        <f>IF(OR(E10=Report!$B$1, F10=Report!$B$1, G10=Report!$B$1, H10=Report!$B$1), D10, "")</f>
        <v/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181"/>
      <c r="W10" s="181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ht="15.75" customHeight="1">
      <c r="A11" s="5" t="str">
        <f>IF(AND(B11&lt;&gt;"", C11=TRUE, E11=Report!$B$1), B11, "")</f>
        <v/>
      </c>
      <c r="B11" s="183" t="str">
        <f>IF(OR(E11=Report!$B$1, F11=Report!$B$1, G11=Report!$B$1, H11=Report!$B$1), D11, "")</f>
        <v/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181"/>
      <c r="W11" s="181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ht="15.75" customHeight="1">
      <c r="A12" s="5" t="str">
        <f>IF(AND(B12&lt;&gt;"", C12=TRUE, E12=Report!$B$1), B12, "")</f>
        <v/>
      </c>
      <c r="B12" s="183" t="str">
        <f>IF(OR(E12=Report!$B$1, F12=Report!$B$1, G12=Report!$B$1, H12=Report!$B$1), D12, "")</f>
        <v/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181"/>
      <c r="W12" s="181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ht="15.75" customHeight="1">
      <c r="A13" s="5" t="str">
        <f>IF(AND(B13&lt;&gt;"", C13=TRUE, E13=Report!$B$1), B13, "")</f>
        <v/>
      </c>
      <c r="B13" s="183" t="str">
        <f>IF(OR(E13=Report!$B$1, F13=Report!$B$1, G13=Report!$B$1, H13=Report!$B$1), D13, "")</f>
        <v/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181"/>
      <c r="W13" s="181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ht="15.75" customHeight="1">
      <c r="A14" s="5" t="str">
        <f>IF(AND(B14&lt;&gt;"", C14=TRUE, E14=Report!$B$1), B14, "")</f>
        <v/>
      </c>
      <c r="B14" s="183" t="str">
        <f>IF(OR(E14=Report!$B$1, F14=Report!$B$1, G14=Report!$B$1, H14=Report!$B$1), D14, "")</f>
        <v/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181"/>
      <c r="W14" s="181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ht="15.75" customHeight="1">
      <c r="A15" s="5" t="str">
        <f>IF(AND(B15&lt;&gt;"", C15=TRUE, E15=Report!$B$1), B15, "")</f>
        <v/>
      </c>
      <c r="B15" s="183" t="str">
        <f>IF(OR(E15=Report!$B$1, F15=Report!$B$1, G15=Report!$B$1, H15=Report!$B$1), D15, "")</f>
        <v/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181"/>
      <c r="W15" s="181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ht="15.75" customHeight="1">
      <c r="A16" s="5" t="str">
        <f>IF(AND(B16&lt;&gt;"", C16=TRUE, E16=Report!$B$1), B16, "")</f>
        <v/>
      </c>
      <c r="B16" s="183" t="str">
        <f>IF(OR(E16=Report!$B$1, F16=Report!$B$1, G16=Report!$B$1, H16=Report!$B$1), D16, "")</f>
        <v/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181"/>
      <c r="W16" s="181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ht="15.75" customHeight="1">
      <c r="A17" s="5" t="str">
        <f>IF(AND(B17&lt;&gt;"", C17=TRUE, E17=Report!$B$1), B17, "")</f>
        <v/>
      </c>
      <c r="B17" s="183" t="str">
        <f>IF(OR(E17=Report!$B$1, F17=Report!$B$1, G17=Report!$B$1, H17=Report!$B$1), D17, "")</f>
        <v/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181"/>
      <c r="W17" s="181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ht="15.75" customHeight="1">
      <c r="A18" s="5" t="str">
        <f>IF(AND(B18&lt;&gt;"", C18=TRUE, E18=Report!$B$1), B18, "")</f>
        <v/>
      </c>
      <c r="B18" s="183" t="str">
        <f>IF(OR(E18=Report!$B$1, F18=Report!$B$1, G18=Report!$B$1, H18=Report!$B$1), D18, "")</f>
        <v/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181"/>
      <c r="W18" s="181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ht="15.75" customHeight="1">
      <c r="A19" s="5" t="str">
        <f>IF(AND(B19&lt;&gt;"", C19=TRUE, E19=Report!$B$1), B19, "")</f>
        <v/>
      </c>
      <c r="B19" s="183" t="str">
        <f>IF(OR(E19=Report!$B$1, F19=Report!$B$1, G19=Report!$B$1, H19=Report!$B$1), D19, "")</f>
        <v/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181"/>
      <c r="W19" s="181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ht="15.75" customHeight="1">
      <c r="A20" s="5" t="str">
        <f>IF(AND(B20&lt;&gt;"", C20=TRUE, E20=Report!$B$1), B20, "")</f>
        <v/>
      </c>
      <c r="B20" s="183" t="str">
        <f>IF(OR(E20=Report!$B$1, F20=Report!$B$1, G20=Report!$B$1, H20=Report!$B$1), D20, "")</f>
        <v/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181"/>
      <c r="W20" s="181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ht="15.75" customHeight="1">
      <c r="A21" s="5" t="str">
        <f>IF(AND(B21&lt;&gt;"", C21=TRUE, E21=Report!$B$1), B21, "")</f>
        <v/>
      </c>
      <c r="B21" s="183" t="str">
        <f>IF(OR(E21=Report!$B$1, F21=Report!$B$1, G21=Report!$B$1, H21=Report!$B$1), D21, "")</f>
        <v/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181"/>
      <c r="W21" s="181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ht="15.75" customHeight="1">
      <c r="A22" s="5" t="str">
        <f>IF(AND(B22&lt;&gt;"", C22=TRUE, E22=Report!$B$1), B22, "")</f>
        <v/>
      </c>
      <c r="B22" s="183" t="str">
        <f>IF(OR(E22=Report!$B$1, F22=Report!$B$1, G22=Report!$B$1, H22=Report!$B$1), D22, "")</f>
        <v/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181"/>
      <c r="W22" s="181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ht="15.75" customHeight="1">
      <c r="A23" s="5" t="str">
        <f>IF(AND(B23&lt;&gt;"", C23=TRUE, E23=Report!$B$1), B23, "")</f>
        <v/>
      </c>
      <c r="B23" s="183" t="str">
        <f>IF(OR(E23=Report!$B$1, F23=Report!$B$1, G23=Report!$B$1, H23=Report!$B$1), D23, "")</f>
        <v/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181"/>
      <c r="W23" s="181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ht="15.75" customHeight="1">
      <c r="A24" s="5" t="str">
        <f>IF(AND(B24&lt;&gt;"", C24=TRUE, E24=Report!$B$1), B24, "")</f>
        <v/>
      </c>
      <c r="B24" s="183" t="str">
        <f>IF(OR(E24=Report!$B$1, F24=Report!$B$1, G24=Report!$B$1, H24=Report!$B$1), D24, "")</f>
        <v/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181"/>
      <c r="W24" s="181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ht="15.75" customHeight="1">
      <c r="A25" s="5" t="str">
        <f>IF(AND(B25&lt;&gt;"", C25=TRUE, E25=Report!$B$1), B25, "")</f>
        <v/>
      </c>
      <c r="B25" s="183" t="str">
        <f>IF(OR(E25=Report!$B$1, F25=Report!$B$1, G25=Report!$B$1, H25=Report!$B$1), D25, "")</f>
        <v/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181"/>
      <c r="W25" s="181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ht="15.75" customHeight="1">
      <c r="A26" s="5" t="str">
        <f>IF(AND(B26&lt;&gt;"", C26=TRUE, E26=Report!$B$1), B26, "")</f>
        <v/>
      </c>
      <c r="B26" s="183" t="str">
        <f>IF(OR(E26=Report!$B$1, F26=Report!$B$1, G26=Report!$B$1, H26=Report!$B$1), D26, "")</f>
        <v/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181"/>
      <c r="W26" s="181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ht="15.75" customHeight="1">
      <c r="A27" s="5" t="str">
        <f>IF(AND(B27&lt;&gt;"", C27=TRUE, E27=Report!$B$1), B27, "")</f>
        <v/>
      </c>
      <c r="B27" s="183" t="str">
        <f>IF(OR(E27=Report!$B$1, F27=Report!$B$1, G27=Report!$B$1, H27=Report!$B$1), D27, "")</f>
        <v/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181"/>
      <c r="W27" s="181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ht="15.75" customHeight="1">
      <c r="A28" s="5" t="str">
        <f>IF(AND(B28&lt;&gt;"", C28=TRUE, E28=Report!$B$1), B28, "")</f>
        <v/>
      </c>
      <c r="B28" s="183" t="str">
        <f>IF(OR(E28=Report!$B$1, F28=Report!$B$1, G28=Report!$B$1, H28=Report!$B$1), D28, "")</f>
        <v/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181"/>
      <c r="W28" s="181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ht="15.75" customHeight="1">
      <c r="A29" s="5" t="str">
        <f>IF(AND(B29&lt;&gt;"", C29=TRUE, E29=Report!$B$1), B29, "")</f>
        <v/>
      </c>
      <c r="B29" s="183" t="str">
        <f>IF(OR(E29=Report!$B$1, F29=Report!$B$1, G29=Report!$B$1, H29=Report!$B$1), D29, "")</f>
        <v/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181"/>
      <c r="W29" s="181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ht="15.75" customHeight="1">
      <c r="A30" s="5" t="str">
        <f>IF(AND(B30&lt;&gt;"", C30=TRUE, E30=Report!$B$1), B30, "")</f>
        <v/>
      </c>
      <c r="B30" s="183" t="str">
        <f>IF(OR(E30=Report!$B$1, F30=Report!$B$1, G30=Report!$B$1, H30=Report!$B$1), D30, "")</f>
        <v/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181"/>
      <c r="W30" s="181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ht="15.75" customHeight="1">
      <c r="A31" s="5" t="str">
        <f>IF(AND(B31&lt;&gt;"", C31=TRUE, E31=Report!$B$1), B31, "")</f>
        <v/>
      </c>
      <c r="B31" s="183" t="str">
        <f>IF(OR(E31=Report!$B$1, F31=Report!$B$1, G31=Report!$B$1, H31=Report!$B$1), D31, "")</f>
        <v/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181"/>
      <c r="W31" s="181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ht="15.75" customHeight="1">
      <c r="A32" s="5" t="str">
        <f>IF(AND(B32&lt;&gt;"", C32=TRUE, E32=Report!$B$1), B32, "")</f>
        <v/>
      </c>
      <c r="B32" s="183" t="str">
        <f>IF(OR(E32=Report!$B$1, F32=Report!$B$1, G32=Report!$B$1, H32=Report!$B$1), D32, "")</f>
        <v/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181"/>
      <c r="W32" s="181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ht="15.75" customHeight="1">
      <c r="A33" s="5" t="str">
        <f>IF(AND(B33&lt;&gt;"", C33=TRUE, E33=Report!$B$1), B33, "")</f>
        <v/>
      </c>
      <c r="B33" s="183" t="str">
        <f>IF(OR(E33=Report!$B$1, F33=Report!$B$1, G33=Report!$B$1, H33=Report!$B$1), D33, "")</f>
        <v/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181"/>
      <c r="W33" s="181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ht="15.75" customHeight="1">
      <c r="A34" s="5" t="str">
        <f>IF(AND(B34&lt;&gt;"", C34=TRUE, E34=Report!$B$1), B34, "")</f>
        <v/>
      </c>
      <c r="B34" s="183" t="str">
        <f>IF(OR(E34=Report!$B$1, F34=Report!$B$1, G34=Report!$B$1, H34=Report!$B$1), D34, "")</f>
        <v/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181"/>
      <c r="W34" s="181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ht="15.75" customHeight="1">
      <c r="A35" s="5" t="str">
        <f>IF(AND(B35&lt;&gt;"", C35=TRUE, E35=Report!$B$1), B35, "")</f>
        <v/>
      </c>
      <c r="B35" s="183" t="str">
        <f>IF(OR(E35=Report!$B$1, F35=Report!$B$1, G35=Report!$B$1, H35=Report!$B$1), D35, "")</f>
        <v/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181"/>
      <c r="W35" s="181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ht="15.75" customHeight="1">
      <c r="A36" s="5" t="str">
        <f>IF(AND(B36&lt;&gt;"", C36=TRUE, E36=Report!$B$1), B36, "")</f>
        <v/>
      </c>
      <c r="B36" s="183" t="str">
        <f>IF(OR(E36=Report!$B$1, F36=Report!$B$1, G36=Report!$B$1, H36=Report!$B$1), D36, "")</f>
        <v/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181"/>
      <c r="W36" s="181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ht="15.75" customHeight="1">
      <c r="A37" s="5" t="str">
        <f>IF(AND(B37&lt;&gt;"", C37=TRUE, E37=Report!$B$1), B37, "")</f>
        <v/>
      </c>
      <c r="B37" s="183" t="str">
        <f>IF(OR(E37=Report!$B$1, F37=Report!$B$1, G37=Report!$B$1, H37=Report!$B$1), D37, "")</f>
        <v/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181"/>
      <c r="W37" s="181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ht="15.75" customHeight="1">
      <c r="A38" s="5" t="str">
        <f>IF(AND(B38&lt;&gt;"", C38=TRUE, E38=Report!$B$1), B38, "")</f>
        <v/>
      </c>
      <c r="B38" s="183" t="str">
        <f>IF(OR(E38=Report!$B$1, F38=Report!$B$1, G38=Report!$B$1, H38=Report!$B$1), D38, "")</f>
        <v/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181"/>
      <c r="W38" s="181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ht="15.75" customHeight="1">
      <c r="A39" s="5" t="str">
        <f>IF(AND(B39&lt;&gt;"", C39=TRUE, E39=Report!$B$1), B39, "")</f>
        <v/>
      </c>
      <c r="B39" s="183" t="str">
        <f>IF(OR(E39=Report!$B$1, F39=Report!$B$1, G39=Report!$B$1, H39=Report!$B$1), D39, "")</f>
        <v/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181"/>
      <c r="W39" s="181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ht="15.75" customHeight="1">
      <c r="A40" s="5" t="str">
        <f>IF(AND(B40&lt;&gt;"", C40=TRUE, E40=Report!$B$1), B40, "")</f>
        <v/>
      </c>
      <c r="B40" s="183" t="str">
        <f>IF(OR(E40=Report!$B$1, F40=Report!$B$1, G40=Report!$B$1, H40=Report!$B$1), D40, "")</f>
        <v/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181"/>
      <c r="W40" s="181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ht="15.75" customHeight="1">
      <c r="A41" s="5" t="str">
        <f>IF(AND(B41&lt;&gt;"", C41=TRUE, E41=Report!$B$1), B41, "")</f>
        <v/>
      </c>
      <c r="B41" s="183" t="str">
        <f>IF(OR(E41=Report!$B$1, F41=Report!$B$1, G41=Report!$B$1, H41=Report!$B$1), D41, "")</f>
        <v/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181"/>
      <c r="W41" s="181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ht="15.75" customHeight="1">
      <c r="A42" s="5" t="str">
        <f>IF(AND(B42&lt;&gt;"", C42=TRUE, E42=Report!$B$1), B42, "")</f>
        <v/>
      </c>
      <c r="B42" s="183" t="str">
        <f>IF(OR(E42=Report!$B$1, F42=Report!$B$1, G42=Report!$B$1, H42=Report!$B$1), D42, "")</f>
        <v/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181"/>
      <c r="W42" s="181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ht="15.75" customHeight="1">
      <c r="A43" s="5" t="str">
        <f>IF(AND(B43&lt;&gt;"", C43=TRUE, E43=Report!$B$1), B43, "")</f>
        <v/>
      </c>
      <c r="B43" s="183" t="str">
        <f>IF(OR(E43=Report!$B$1, F43=Report!$B$1, G43=Report!$B$1, H43=Report!$B$1), D43, "")</f>
        <v/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181"/>
      <c r="W43" s="181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ht="15.75" customHeight="1">
      <c r="A44" s="5"/>
      <c r="B44" s="184" t="str">
        <f>IF(OR(E44=Report!$B$1, F44=Report!$B$1, G44=Report!$B$1, H44=Report!$B$1), D44, "")</f>
        <v/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181"/>
      <c r="W44" s="181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ht="15.75" customHeight="1">
      <c r="A45" s="5"/>
      <c r="B45" s="184" t="str">
        <f>IF(OR(E45=Report!$B$1, F45=Report!$B$1, G45=Report!$B$1, H45=Report!$B$1), D45, "")</f>
        <v/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181"/>
      <c r="W45" s="181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ht="15.75" customHeight="1">
      <c r="A46" s="5"/>
      <c r="B46" s="184" t="str">
        <f>IF(OR(E46=Report!$B$1, F46=Report!$B$1, G46=Report!$B$1, H46=Report!$B$1), D46, "")</f>
        <v/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181"/>
      <c r="W46" s="181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ht="15.75" customHeight="1">
      <c r="A47" s="5"/>
      <c r="B47" s="184" t="str">
        <f>IF(OR(E47=Report!$B$1, F47=Report!$B$1, G47=Report!$B$1, H47=Report!$B$1), D47, "")</f>
        <v/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181"/>
      <c r="W47" s="181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ht="15.75" customHeight="1">
      <c r="A48" s="5"/>
      <c r="B48" s="184" t="str">
        <f>IF(OR(E48=Report!$B$1, F48=Report!$B$1, G48=Report!$B$1, H48=Report!$B$1), D48, "")</f>
        <v/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181"/>
      <c r="W48" s="181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ht="15.75" customHeight="1">
      <c r="A49" s="5"/>
      <c r="B49" s="184" t="str">
        <f>IF(OR(E49=Report!$B$1, F49=Report!$B$1, G49=Report!$B$1, H49=Report!$B$1), D49, "")</f>
        <v/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181"/>
      <c r="W49" s="181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ht="15.75" customHeight="1">
      <c r="A50" s="5"/>
      <c r="B50" s="184" t="str">
        <f>IF(OR(E50=Report!$B$1, F50=Report!$B$1, G50=Report!$B$1, H50=Report!$B$1), D50, "")</f>
        <v/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181"/>
      <c r="W50" s="181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ht="15.75" customHeight="1">
      <c r="A51" s="5"/>
      <c r="B51" s="184" t="str">
        <f>IF(OR(E51=Report!$B$1, F51=Report!$B$1, G51=Report!$B$1, H51=Report!$B$1), D51, "")</f>
        <v/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181"/>
      <c r="W51" s="181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ht="15.75" customHeight="1">
      <c r="A52" s="5"/>
      <c r="B52" s="184" t="str">
        <f>IF(OR(E52=Report!$B$1, F52=Report!$B$1, G52=Report!$B$1, H52=Report!$B$1), D52, "")</f>
        <v/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181"/>
      <c r="W52" s="181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 ht="15.75" customHeight="1">
      <c r="A53" s="5"/>
      <c r="B53" s="184" t="str">
        <f>IF(OR(E53=Report!$B$1, F53=Report!$B$1, G53=Report!$B$1, H53=Report!$B$1), D53, "")</f>
        <v/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181"/>
      <c r="W53" s="181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 ht="15.75" customHeight="1">
      <c r="A54" s="5"/>
      <c r="B54" s="184" t="str">
        <f>IF(OR(E54=Report!$B$1, F54=Report!$B$1, G54=Report!$B$1, H54=Report!$B$1), D54, "")</f>
        <v/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181"/>
      <c r="W54" s="181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 ht="15.75" customHeight="1">
      <c r="A55" s="5"/>
      <c r="B55" s="184" t="str">
        <f>IF(OR(E55=Report!$B$1, F55=Report!$B$1, G55=Report!$B$1, H55=Report!$B$1), D55, "")</f>
        <v/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181"/>
      <c r="W55" s="181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 ht="15.75" customHeight="1">
      <c r="A56" s="5"/>
      <c r="B56" s="184" t="str">
        <f>IF(OR(E56=Report!$B$1, F56=Report!$B$1, G56=Report!$B$1, H56=Report!$B$1), D56, "")</f>
        <v/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181"/>
      <c r="W56" s="181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 ht="15.75" customHeight="1">
      <c r="A57" s="5"/>
      <c r="B57" s="184" t="str">
        <f>IF(OR(E57=Report!$B$1, F57=Report!$B$1, G57=Report!$B$1, H57=Report!$B$1), D57, "")</f>
        <v/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181"/>
      <c r="W57" s="181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 ht="15.75" customHeight="1">
      <c r="A58" s="5"/>
      <c r="B58" s="184" t="str">
        <f>IF(OR(E58=Report!$B$1, F58=Report!$B$1, G58=Report!$B$1, H58=Report!$B$1), D58, "")</f>
        <v/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181"/>
      <c r="W58" s="181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 ht="15.75" customHeight="1">
      <c r="A59" s="5"/>
      <c r="B59" s="184" t="str">
        <f>IF(OR(E59=Report!$B$1, F59=Report!$B$1, G59=Report!$B$1, H59=Report!$B$1), D59, "")</f>
        <v/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181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 ht="15.75" customHeight="1">
      <c r="A60" s="5"/>
      <c r="B60" s="184" t="str">
        <f>IF(OR(E60=Report!$B$1, F60=Report!$B$1, G60=Report!$B$1, H60=Report!$B$1), D60, "")</f>
        <v/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181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1" ht="15.75" customHeight="1">
      <c r="A61" s="5"/>
      <c r="B61" s="183" t="str">
        <f>IF(OR(E61=Report!$B$1, F61=Report!$B$1, G61=Report!$B$1, H61=Report!$B$1), D61, "")</f>
        <v/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181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 ht="15.75" customHeight="1">
      <c r="A62" s="5"/>
      <c r="B62" s="183" t="str">
        <f>IF(OR(E62=Report!$B$1, F62=Report!$B$1, G62=Report!$B$1, H62=Report!$B$1), D62, "")</f>
        <v/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181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 ht="15.75" customHeight="1">
      <c r="A63" s="5"/>
      <c r="B63" s="183" t="str">
        <f>IF(OR(E63=Report!$B$1, F63=Report!$B$1, G63=Report!$B$1, H63=Report!$B$1), D63, "")</f>
        <v/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181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 ht="15.75" customHeight="1">
      <c r="A64" s="5"/>
      <c r="B64" s="183" t="str">
        <f>IF(OR(E64=Report!$B$1, F64=Report!$B$1, G64=Report!$B$1, H64=Report!$B$1), D64, "")</f>
        <v/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181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 ht="15.75" customHeight="1">
      <c r="A65" s="5"/>
      <c r="B65" s="183" t="str">
        <f>IF(OR(E65=Report!$B$1, F65=Report!$B$1, G65=Report!$B$1, H65=Report!$B$1), D65, "")</f>
        <v/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181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</row>
    <row r="66" ht="15.75" customHeight="1">
      <c r="A66" s="5"/>
      <c r="B66" s="183" t="str">
        <f>IF(OR(E66=Report!$B$1, F66=Report!$B$1, G66=Report!$B$1, H66=Report!$B$1), D66, "")</f>
        <v/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181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 ht="15.75" customHeight="1">
      <c r="A67" s="5"/>
      <c r="B67" s="183" t="str">
        <f>IF(OR(E67=Report!$B$1, F67=Report!$B$1, G67=Report!$B$1, H67=Report!$B$1), D67, "")</f>
        <v/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181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 ht="15.75" customHeight="1">
      <c r="A68" s="5"/>
      <c r="B68" s="183" t="str">
        <f>IF(OR(E68=Report!$B$1, F68=Report!$B$1, G68=Report!$B$1, H68=Report!$B$1), D68, "")</f>
        <v/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181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</row>
    <row r="69" ht="15.75" customHeight="1">
      <c r="A69" s="5"/>
      <c r="B69" s="183" t="str">
        <f>IF(OR(E69=Report!$B$1, F69=Report!$B$1, G69=Report!$B$1, H69=Report!$B$1), D69, "")</f>
        <v/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181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 ht="15.75" customHeight="1">
      <c r="A70" s="5"/>
      <c r="B70" s="183" t="str">
        <f>IF(OR(E70=Report!$B$1, F70=Report!$B$1, G70=Report!$B$1, H70=Report!$B$1), D70, "")</f>
        <v/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181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</row>
    <row r="71" ht="15.75" customHeight="1">
      <c r="A71" s="5"/>
      <c r="B71" s="183" t="str">
        <f>IF(OR(E71=Report!$B$1, F71=Report!$B$1, G71=Report!$B$1, H71=Report!$B$1), D71, "")</f>
        <v/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181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</row>
    <row r="72" ht="15.75" customHeight="1">
      <c r="A72" s="5"/>
      <c r="B72" s="183" t="str">
        <f>IF(OR(E72=Report!$B$1, F72=Report!$B$1, G72=Report!$B$1, H72=Report!$B$1), D72, "")</f>
        <v/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181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</row>
    <row r="73" ht="15.75" customHeight="1">
      <c r="A73" s="5"/>
      <c r="B73" s="183" t="str">
        <f>IF(OR(E73=Report!$B$1, F73=Report!$B$1, G73=Report!$B$1, H73=Report!$B$1), D73, "")</f>
        <v/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181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</row>
    <row r="74" ht="15.75" customHeight="1">
      <c r="A74" s="5"/>
      <c r="B74" s="183" t="str">
        <f>IF(OR(E74=Report!$B$1, F74=Report!$B$1, G74=Report!$B$1, H74=Report!$B$1), D74, "")</f>
        <v/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181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 ht="15.75" customHeight="1">
      <c r="A75" s="5"/>
      <c r="B75" s="183" t="str">
        <f>IF(OR(E75=Report!$B$1, F75=Report!$B$1, G75=Report!$B$1, H75=Report!$B$1), D75, "")</f>
        <v/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181"/>
      <c r="W75" s="181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</row>
    <row r="76" ht="15.75" customHeight="1">
      <c r="A76" s="5"/>
      <c r="B76" s="183" t="str">
        <f>IF(OR(E76=Report!$B$1, F76=Report!$B$1, G76=Report!$B$1, H76=Report!$B$1), D76, "")</f>
        <v/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181"/>
      <c r="W76" s="181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</row>
    <row r="77" ht="15.75" customHeight="1">
      <c r="A77" s="5"/>
      <c r="B77" s="183" t="str">
        <f>IF(OR(E77=Report!$B$1, F77=Report!$B$1, G77=Report!$B$1, H77=Report!$B$1), D77, "")</f>
        <v/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181"/>
      <c r="W77" s="181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</row>
    <row r="78" ht="15.75" customHeight="1">
      <c r="A78" s="5"/>
      <c r="B78" s="183" t="str">
        <f>IF(OR(E78=Report!$B$1, F78=Report!$B$1, G78=Report!$B$1, H78=Report!$B$1), D78, "")</f>
        <v/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181"/>
      <c r="W78" s="181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</row>
    <row r="79" ht="15.75" customHeight="1">
      <c r="A79" s="5"/>
      <c r="B79" s="183" t="str">
        <f>IF(OR(E79=Report!$B$1, F79=Report!$B$1, G79=Report!$B$1, H79=Report!$B$1), D79, "")</f>
        <v/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181"/>
      <c r="W79" s="181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 ht="15.75" customHeight="1">
      <c r="A80" s="5"/>
      <c r="B80" s="183" t="str">
        <f>IF(OR(E80=Report!$B$1, F80=Report!$B$1, G80=Report!$B$1, H80=Report!$B$1), D80, "")</f>
        <v/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181"/>
      <c r="W80" s="181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</row>
    <row r="81" ht="15.75" customHeight="1">
      <c r="A81" s="5"/>
      <c r="B81" s="183" t="str">
        <f>IF(OR(E81=Report!$B$1, F81=Report!$B$1, G81=Report!$B$1, H81=Report!$B$1), D81, "")</f>
        <v/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181"/>
      <c r="W81" s="181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</row>
    <row r="82" ht="15.75" customHeight="1">
      <c r="A82" s="5"/>
      <c r="B82" s="183" t="str">
        <f>IF(OR(E82=Report!$B$1, F82=Report!$B$1, G82=Report!$B$1, H82=Report!$B$1), D82, "")</f>
        <v/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181"/>
      <c r="W82" s="181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</row>
    <row r="83" ht="15.75" customHeight="1">
      <c r="A83" s="5"/>
      <c r="B83" s="183" t="str">
        <f>IF(OR(E83=Report!$B$1, F83=Report!$B$1, G83=Report!$B$1, H83=Report!$B$1), D83, "")</f>
        <v/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181"/>
      <c r="W83" s="181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</row>
    <row r="84" ht="15.75" customHeight="1">
      <c r="A84" s="5"/>
      <c r="B84" s="183" t="str">
        <f>IF(OR(E84=Report!$B$1, F84=Report!$B$1, G84=Report!$B$1, H84=Report!$B$1), D84, "")</f>
        <v/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181"/>
      <c r="W84" s="181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</row>
    <row r="85" ht="15.75" customHeight="1">
      <c r="A85" s="5"/>
      <c r="B85" s="183" t="str">
        <f>IF(OR(E85=Report!$B$1, F85=Report!$B$1, G85=Report!$B$1, H85=Report!$B$1), D85, "")</f>
        <v/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181"/>
      <c r="W85" s="181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</row>
    <row r="86" ht="15.75" customHeight="1">
      <c r="A86" s="5"/>
      <c r="B86" s="183" t="str">
        <f>IF(OR(E86=Report!$B$1, F86=Report!$B$1, G86=Report!$B$1, H86=Report!$B$1), D86, "")</f>
        <v/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181"/>
      <c r="W86" s="181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</row>
    <row r="87" ht="15.75" customHeight="1">
      <c r="A87" s="5"/>
      <c r="B87" s="183" t="str">
        <f>IF(OR(E87=Report!$B$1, F87=Report!$B$1, G87=Report!$B$1, H87=Report!$B$1), D87, "")</f>
        <v/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181"/>
      <c r="W87" s="181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</row>
    <row r="88" ht="15.75" customHeight="1">
      <c r="A88" s="5"/>
      <c r="B88" s="183" t="str">
        <f>IF(OR(E88=Report!$B$1, F88=Report!$B$1, G88=Report!$B$1, H88=Report!$B$1), D88, "")</f>
        <v/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181"/>
      <c r="W88" s="181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</row>
    <row r="89" ht="15.75" customHeight="1">
      <c r="A89" s="5"/>
      <c r="B89" s="183" t="str">
        <f>IF(OR(E89=Report!$B$1, F89=Report!$B$1, G89=Report!$B$1, H89=Report!$B$1), D89, "")</f>
        <v/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181"/>
      <c r="W89" s="181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 ht="15.75" customHeight="1">
      <c r="A90" s="5"/>
      <c r="B90" s="183" t="str">
        <f>IF(OR(E90=Report!$B$1, F90=Report!$B$1, G90=Report!$B$1, H90=Report!$B$1), D90, "")</f>
        <v/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181"/>
      <c r="W90" s="181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</row>
    <row r="91" ht="15.75" customHeight="1">
      <c r="A91" s="5"/>
      <c r="B91" s="183" t="str">
        <f>IF(OR(E91=Report!$B$1, F91=Report!$B$1, G91=Report!$B$1, H91=Report!$B$1), D91, "")</f>
        <v/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181"/>
      <c r="W91" s="181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 ht="15.75" customHeight="1">
      <c r="A92" s="5"/>
      <c r="B92" s="183" t="str">
        <f>IF(OR(E92=Report!$B$1, F92=Report!$B$1, G92=Report!$B$1, H92=Report!$B$1), D92, "")</f>
        <v/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181"/>
      <c r="W92" s="181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 ht="15.75" customHeight="1">
      <c r="A93" s="5"/>
      <c r="B93" s="183" t="str">
        <f>IF(OR(E93=Report!$B$1, F93=Report!$B$1, G93=Report!$B$1, H93=Report!$B$1), D93, "")</f>
        <v/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181"/>
      <c r="W93" s="181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 ht="15.75" customHeight="1">
      <c r="A94" s="5"/>
      <c r="B94" s="183" t="str">
        <f>IF(OR(E94=Report!$B$1, F94=Report!$B$1, G94=Report!$B$1, H94=Report!$B$1), D94, "")</f>
        <v/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181"/>
      <c r="W94" s="181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</row>
    <row r="95" ht="15.75" customHeight="1">
      <c r="A95" s="5"/>
      <c r="B95" s="183" t="str">
        <f>IF(OR(E95=Report!$B$1, F95=Report!$B$1, G95=Report!$B$1, H95=Report!$B$1), D95, "")</f>
        <v/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181"/>
      <c r="W95" s="181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</row>
    <row r="96" ht="15.75" customHeight="1">
      <c r="A96" s="5"/>
      <c r="B96" s="183" t="str">
        <f>IF(OR(E96=Report!$B$1, F96=Report!$B$1, G96=Report!$B$1, H96=Report!$B$1), D96, "")</f>
        <v/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181"/>
      <c r="W96" s="181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</row>
    <row r="97" ht="15.75" customHeight="1">
      <c r="A97" s="5"/>
      <c r="B97" s="183" t="str">
        <f>IF(OR(E97=Report!$B$1, F97=Report!$B$1, G97=Report!$B$1, H97=Report!$B$1), D97, "")</f>
        <v/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181"/>
      <c r="W97" s="181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</row>
    <row r="98" ht="15.75" customHeight="1">
      <c r="A98" s="5"/>
      <c r="B98" s="183" t="str">
        <f>IF(OR(E98=Report!$B$1, F98=Report!$B$1, G98=Report!$B$1, H98=Report!$B$1), D98, "")</f>
        <v/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181"/>
      <c r="W98" s="181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</row>
    <row r="99" ht="15.75" customHeight="1">
      <c r="A99" s="5"/>
      <c r="B99" s="183" t="str">
        <f>IF(OR(E99=Report!$B$1, F99=Report!$B$1, G99=Report!$B$1, H99=Report!$B$1), D99, "")</f>
        <v/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181"/>
      <c r="W99" s="181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</row>
    <row r="100" ht="15.75" customHeight="1">
      <c r="A100" s="5"/>
      <c r="B100" s="183" t="str">
        <f>IF(OR(E100=Report!$B$1, F100=Report!$B$1, G100=Report!$B$1, H100=Report!$B$1), D100, "")</f>
        <v/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181"/>
      <c r="W100" s="181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</row>
    <row r="101" ht="15.75" customHeight="1">
      <c r="A101" s="5"/>
      <c r="B101" s="183" t="str">
        <f>IF(OR(E101=Report!$B$1, F101=Report!$B$1, G101=Report!$B$1, H101=Report!$B$1), D101, "")</f>
        <v/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181"/>
      <c r="W101" s="181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</row>
    <row r="102" ht="15.75" customHeight="1">
      <c r="A102" s="5"/>
      <c r="B102" s="183" t="str">
        <f>IF(OR(E102=Report!$B$1, F102=Report!$B$1, G102=Report!$B$1, H102=Report!$B$1), D102, "")</f>
        <v/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181"/>
      <c r="W102" s="181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</row>
    <row r="103" ht="15.75" customHeight="1">
      <c r="A103" s="5"/>
      <c r="B103" s="183" t="str">
        <f>IF(OR(E103=Report!$B$1, F103=Report!$B$1, G103=Report!$B$1, H103=Report!$B$1), D103, "")</f>
        <v/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181"/>
      <c r="W103" s="181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</row>
    <row r="104" ht="15.75" customHeight="1">
      <c r="A104" s="5"/>
      <c r="B104" s="183" t="str">
        <f>IF(OR(E104=Report!$B$1, F104=Report!$B$1, G104=Report!$B$1, H104=Report!$B$1), D104, "")</f>
        <v/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181"/>
      <c r="W104" s="181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</row>
    <row r="105" ht="15.75" customHeight="1">
      <c r="A105" s="5"/>
      <c r="B105" s="183" t="str">
        <f>IF(OR(E105=Report!$B$1, F105=Report!$B$1, G105=Report!$B$1, H105=Report!$B$1), D105, "")</f>
        <v/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181"/>
      <c r="W105" s="181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</row>
    <row r="106" ht="15.75" customHeight="1">
      <c r="A106" s="5"/>
      <c r="B106" s="183" t="str">
        <f>IF(OR(E106=Report!$B$1, F106=Report!$B$1, G106=Report!$B$1, H106=Report!$B$1), D106, "")</f>
        <v/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181"/>
      <c r="W106" s="181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</row>
    <row r="107" ht="15.75" customHeight="1">
      <c r="A107" s="5"/>
      <c r="B107" s="183" t="str">
        <f>IF(OR(E107=Report!$B$1, F107=Report!$B$1, G107=Report!$B$1, H107=Report!$B$1), D107, "")</f>
        <v/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181"/>
      <c r="W107" s="181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</row>
    <row r="108" ht="15.75" customHeight="1">
      <c r="A108" s="5"/>
      <c r="B108" s="183" t="str">
        <f>IF(OR(E108=Report!$B$1, F108=Report!$B$1, G108=Report!$B$1, H108=Report!$B$1), D108, "")</f>
        <v/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181"/>
      <c r="W108" s="181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</row>
    <row r="109" ht="15.75" customHeight="1">
      <c r="A109" s="5"/>
      <c r="B109" s="183" t="str">
        <f>IF(OR(E109=Report!$B$1, F109=Report!$B$1, G109=Report!$B$1, H109=Report!$B$1), D109, "")</f>
        <v/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181"/>
      <c r="W109" s="181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</row>
    <row r="110" ht="15.75" customHeight="1">
      <c r="A110" s="5"/>
      <c r="B110" s="183" t="str">
        <f>IF(OR(E110=Report!$B$1, F110=Report!$B$1, G110=Report!$B$1, H110=Report!$B$1), D110, "")</f>
        <v/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181"/>
      <c r="W110" s="181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</row>
    <row r="111" ht="15.75" customHeight="1">
      <c r="A111" s="5"/>
      <c r="B111" s="183" t="str">
        <f>IF(OR(E111=Report!$B$1, F111=Report!$B$1, G111=Report!$B$1, H111=Report!$B$1), D111, "")</f>
        <v/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181"/>
      <c r="W111" s="181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</row>
    <row r="112" ht="15.75" customHeight="1">
      <c r="A112" s="5"/>
      <c r="B112" s="183" t="str">
        <f>IF(OR(E112=Report!$B$1, F112=Report!$B$1, G112=Report!$B$1, H112=Report!$B$1), D112, "")</f>
        <v/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181"/>
      <c r="W112" s="181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</row>
    <row r="113" ht="15.75" customHeight="1">
      <c r="A113" s="5"/>
      <c r="B113" s="183" t="str">
        <f>IF(OR(E113=Report!$B$1, F113=Report!$B$1, G113=Report!$B$1, H113=Report!$B$1), D113, "")</f>
        <v/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181"/>
      <c r="W113" s="181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</row>
    <row r="114" ht="15.75" customHeight="1">
      <c r="A114" s="5"/>
      <c r="B114" s="183" t="str">
        <f>IF(OR(E114=Report!$B$1, F114=Report!$B$1, G114=Report!$B$1, H114=Report!$B$1), D114, "")</f>
        <v/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181"/>
      <c r="W114" s="181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</row>
    <row r="115" ht="15.75" customHeight="1">
      <c r="A115" s="5"/>
      <c r="B115" s="183" t="str">
        <f>IF(OR(E115=Report!$B$1, F115=Report!$B$1, G115=Report!$B$1, H115=Report!$B$1), D115, "")</f>
        <v/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181"/>
      <c r="W115" s="181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</row>
    <row r="116" ht="15.75" customHeight="1">
      <c r="A116" s="5"/>
      <c r="B116" s="183" t="str">
        <f>IF(OR(E116=Report!$B$1, F116=Report!$B$1, G116=Report!$B$1, H116=Report!$B$1), D116, "")</f>
        <v/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181"/>
      <c r="W116" s="181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</row>
    <row r="117" ht="15.75" customHeight="1">
      <c r="A117" s="5"/>
      <c r="B117" s="183" t="str">
        <f>IF(OR(E117=Report!$B$1, F117=Report!$B$1, G117=Report!$B$1, H117=Report!$B$1), D117, "")</f>
        <v/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181"/>
      <c r="W117" s="181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</row>
    <row r="118" ht="15.75" customHeight="1">
      <c r="A118" s="5"/>
      <c r="B118" s="183" t="str">
        <f>IF(OR(E118=Report!$B$1, F118=Report!$B$1, G118=Report!$B$1, H118=Report!$B$1), D118, "")</f>
        <v/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181"/>
      <c r="W118" s="181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</row>
    <row r="119" ht="15.75" customHeight="1">
      <c r="A119" s="5"/>
      <c r="B119" s="183" t="str">
        <f>IF(OR(E119=Report!$B$1, F119=Report!$B$1, G119=Report!$B$1, H119=Report!$B$1), D119, "")</f>
        <v/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181"/>
      <c r="W119" s="181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</row>
    <row r="120" ht="15.75" customHeight="1">
      <c r="A120" s="5"/>
      <c r="B120" s="183" t="str">
        <f>IF(OR(E120=Report!$B$1, F120=Report!$B$1, G120=Report!$B$1, H120=Report!$B$1), D120, "")</f>
        <v/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181"/>
      <c r="W120" s="181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</row>
    <row r="121" ht="15.75" customHeight="1">
      <c r="A121" s="5"/>
      <c r="B121" s="183" t="str">
        <f>IF(OR(E121=Report!$B$1, F121=Report!$B$1, G121=Report!$B$1, H121=Report!$B$1), D121, "")</f>
        <v/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181"/>
      <c r="W121" s="181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</row>
    <row r="122" ht="15.75" customHeight="1">
      <c r="A122" s="5"/>
      <c r="B122" s="183" t="str">
        <f>IF(OR(E122=Report!$B$1, F122=Report!$B$1, G122=Report!$B$1, H122=Report!$B$1), D122, "")</f>
        <v/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181"/>
      <c r="W122" s="181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</row>
    <row r="123" ht="15.75" customHeight="1">
      <c r="A123" s="5"/>
      <c r="B123" s="183" t="str">
        <f>IF(OR(E123=Report!$B$1, F123=Report!$B$1, G123=Report!$B$1, H123=Report!$B$1), D123, "")</f>
        <v/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181"/>
      <c r="W123" s="181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</row>
    <row r="124" ht="15.75" customHeight="1">
      <c r="A124" s="5"/>
      <c r="B124" s="183" t="str">
        <f>IF(OR(E124=Report!$B$1, F124=Report!$B$1, G124=Report!$B$1, H124=Report!$B$1), D124, "")</f>
        <v/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181"/>
      <c r="W124" s="181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</row>
    <row r="125" ht="15.75" customHeight="1">
      <c r="A125" s="5"/>
      <c r="B125" s="183" t="str">
        <f>IF(OR(E125=Report!$B$1, F125=Report!$B$1, G125=Report!$B$1, H125=Report!$B$1), D125, "")</f>
        <v/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181"/>
      <c r="W125" s="181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</row>
    <row r="126" ht="15.75" customHeight="1">
      <c r="A126" s="5"/>
      <c r="B126" s="183" t="str">
        <f>IF(OR(E126=Report!$B$1, F126=Report!$B$1, G126=Report!$B$1, H126=Report!$B$1), D126, "")</f>
        <v/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181"/>
      <c r="W126" s="181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</row>
    <row r="127" ht="15.75" customHeight="1">
      <c r="A127" s="5"/>
      <c r="B127" s="183" t="str">
        <f>IF(OR(E127=Report!$B$1, F127=Report!$B$1, G127=Report!$B$1, H127=Report!$B$1), D127, "")</f>
        <v/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181"/>
      <c r="W127" s="181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</row>
    <row r="128" ht="15.75" customHeight="1">
      <c r="A128" s="5"/>
      <c r="B128" s="183" t="str">
        <f>IF(OR(E128=Report!$B$1, F128=Report!$B$1, G128=Report!$B$1, H128=Report!$B$1), D128, "")</f>
        <v/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181"/>
      <c r="W128" s="181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</row>
    <row r="129" ht="15.75" customHeight="1">
      <c r="A129" s="5"/>
      <c r="B129" s="183" t="str">
        <f>IF(OR(E129=Report!$B$1, F129=Report!$B$1, G129=Report!$B$1, H129=Report!$B$1), D129, "")</f>
        <v/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181"/>
      <c r="W129" s="181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</row>
    <row r="130" ht="15.75" customHeight="1">
      <c r="A130" s="5"/>
      <c r="B130" s="183" t="str">
        <f>IF(OR(E130=Report!$B$1, F130=Report!$B$1, G130=Report!$B$1, H130=Report!$B$1), D130, "")</f>
        <v/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181"/>
      <c r="W130" s="181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</row>
    <row r="131" ht="15.75" customHeight="1">
      <c r="A131" s="5"/>
      <c r="B131" s="183" t="str">
        <f>IF(OR(E131=Report!$B$1, F131=Report!$B$1, G131=Report!$B$1, H131=Report!$B$1), D131, "")</f>
        <v/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181"/>
      <c r="W131" s="181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</row>
    <row r="132" ht="15.75" customHeight="1">
      <c r="A132" s="5"/>
      <c r="B132" s="183" t="str">
        <f>IF(OR(E132=Report!$B$1, F132=Report!$B$1, G132=Report!$B$1, H132=Report!$B$1), D132, "")</f>
        <v/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181"/>
      <c r="W132" s="181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</row>
    <row r="133" ht="15.75" customHeight="1">
      <c r="A133" s="5"/>
      <c r="B133" s="183" t="str">
        <f>IF(OR(E133=Report!$B$1, F133=Report!$B$1, G133=Report!$B$1, H133=Report!$B$1), D133, "")</f>
        <v/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181"/>
      <c r="W133" s="181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</row>
    <row r="134" ht="15.75" customHeight="1">
      <c r="A134" s="5"/>
      <c r="B134" s="183" t="str">
        <f>IF(OR(E134=Report!$B$1, F134=Report!$B$1, G134=Report!$B$1, H134=Report!$B$1), D134, "")</f>
        <v/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181"/>
      <c r="W134" s="181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</row>
    <row r="135" ht="15.75" customHeight="1">
      <c r="A135" s="5"/>
      <c r="B135" s="183" t="str">
        <f>IF(OR(E135=Report!$B$1, F135=Report!$B$1, G135=Report!$B$1, H135=Report!$B$1), D135, "")</f>
        <v/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181"/>
      <c r="W135" s="181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</row>
    <row r="136" ht="15.75" customHeight="1">
      <c r="A136" s="5"/>
      <c r="B136" s="183" t="str">
        <f>IF(OR(E136=Report!$B$1, F136=Report!$B$1, G136=Report!$B$1, H136=Report!$B$1), D136, "")</f>
        <v/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181"/>
      <c r="W136" s="181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</row>
    <row r="137" ht="15.75" customHeight="1">
      <c r="A137" s="5"/>
      <c r="B137" s="183" t="str">
        <f>IF(OR(E137=Report!$B$1, F137=Report!$B$1, G137=Report!$B$1, H137=Report!$B$1), D137, "")</f>
        <v/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181"/>
      <c r="W137" s="181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</row>
    <row r="138" ht="15.75" customHeight="1">
      <c r="A138" s="5"/>
      <c r="B138" s="183" t="str">
        <f>IF(OR(E138=Report!$B$1, F138=Report!$B$1, G138=Report!$B$1, H138=Report!$B$1), D138, "")</f>
        <v/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181"/>
      <c r="W138" s="181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</row>
    <row r="139" ht="15.75" customHeight="1">
      <c r="A139" s="5"/>
      <c r="B139" s="183" t="str">
        <f>IF(OR(E139=Report!$B$1, F139=Report!$B$1, G139=Report!$B$1, H139=Report!$B$1), D139, "")</f>
        <v/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181"/>
      <c r="W139" s="181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</row>
    <row r="140" ht="15.75" customHeight="1">
      <c r="A140" s="5"/>
      <c r="B140" s="183" t="str">
        <f>IF(OR(E140=Report!$B$1, F140=Report!$B$1, G140=Report!$B$1, H140=Report!$B$1), D140, "")</f>
        <v/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181"/>
      <c r="W140" s="181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</row>
    <row r="141" ht="15.75" customHeight="1">
      <c r="A141" s="5"/>
      <c r="B141" s="183" t="str">
        <f>IF(OR(E141=Report!$B$1, F141=Report!$B$1, G141=Report!$B$1, H141=Report!$B$1), D141, "")</f>
        <v/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181"/>
      <c r="W141" s="181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</row>
    <row r="142" ht="15.75" customHeight="1">
      <c r="A142" s="5"/>
      <c r="B142" s="183" t="str">
        <f>IF(OR(E142=Report!$B$1, F142=Report!$B$1, G142=Report!$B$1, H142=Report!$B$1), D142, "")</f>
        <v/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181"/>
      <c r="W142" s="181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</row>
    <row r="143" ht="15.75" customHeight="1">
      <c r="A143" s="5"/>
      <c r="B143" s="183" t="str">
        <f>IF(OR(E143=Report!$B$1, F143=Report!$B$1, G143=Report!$B$1, H143=Report!$B$1), D143, "")</f>
        <v/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181"/>
      <c r="W143" s="181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</row>
    <row r="144" ht="15.75" customHeight="1">
      <c r="A144" s="5"/>
      <c r="B144" s="183" t="str">
        <f>IF(OR(E144=Report!$B$1, F144=Report!$B$1, G144=Report!$B$1, H144=Report!$B$1), D144, "")</f>
        <v/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181"/>
      <c r="W144" s="181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</row>
    <row r="145" ht="15.75" customHeight="1">
      <c r="A145" s="5"/>
      <c r="B145" s="183" t="str">
        <f>IF(OR(E145=Report!$B$1, F145=Report!$B$1, G145=Report!$B$1, H145=Report!$B$1), D145, "")</f>
        <v/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181"/>
      <c r="W145" s="181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</row>
    <row r="146" ht="15.75" customHeight="1">
      <c r="A146" s="5"/>
      <c r="B146" s="183" t="str">
        <f>IF(OR(E146=Report!$B$1, F146=Report!$B$1, G146=Report!$B$1, H146=Report!$B$1), D146, "")</f>
        <v/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181"/>
      <c r="W146" s="181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</row>
    <row r="147" ht="15.75" customHeight="1">
      <c r="A147" s="5"/>
      <c r="B147" s="183" t="str">
        <f>IF(OR(E147=Report!$B$1, F147=Report!$B$1, G147=Report!$B$1, H147=Report!$B$1), D147, "")</f>
        <v/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181"/>
      <c r="W147" s="181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</row>
    <row r="148" ht="15.75" customHeight="1">
      <c r="A148" s="5"/>
      <c r="B148" s="183" t="str">
        <f>IF(OR(E148=Report!$B$1, F148=Report!$B$1, G148=Report!$B$1, H148=Report!$B$1), D148, "")</f>
        <v/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181"/>
      <c r="W148" s="181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</row>
    <row r="149" ht="15.75" customHeight="1">
      <c r="A149" s="5"/>
      <c r="B149" s="183" t="str">
        <f>IF(OR(E149=Report!$B$1, F149=Report!$B$1, G149=Report!$B$1, H149=Report!$B$1), D149, "")</f>
        <v/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181"/>
      <c r="W149" s="181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</row>
    <row r="150" ht="15.75" customHeight="1">
      <c r="A150" s="5"/>
      <c r="B150" s="183" t="str">
        <f>IF(OR(E150=Report!$B$1, F150=Report!$B$1, G150=Report!$B$1, H150=Report!$B$1), D150, "")</f>
        <v/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181"/>
      <c r="W150" s="181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</row>
    <row r="151" ht="15.75" customHeight="1">
      <c r="A151" s="5"/>
      <c r="B151" s="183" t="str">
        <f>IF(OR(E151=Report!$B$1, F151=Report!$B$1, G151=Report!$B$1, H151=Report!$B$1), D151, "")</f>
        <v/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181"/>
      <c r="W151" s="181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</row>
    <row r="152" ht="15.75" customHeight="1">
      <c r="A152" s="5"/>
      <c r="B152" s="183" t="str">
        <f>IF(OR(E152=Report!$B$1, F152=Report!$B$1, G152=Report!$B$1, H152=Report!$B$1), D152, "")</f>
        <v/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181"/>
      <c r="W152" s="181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</row>
    <row r="153" ht="15.75" customHeight="1">
      <c r="A153" s="5"/>
      <c r="B153" s="183" t="str">
        <f>IF(OR(E153=Report!$B$1, F153=Report!$B$1, G153=Report!$B$1, H153=Report!$B$1), D153, "")</f>
        <v/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181"/>
      <c r="W153" s="181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</row>
    <row r="154" ht="15.75" customHeight="1">
      <c r="A154" s="5"/>
      <c r="B154" s="183" t="str">
        <f>IF(OR(E154=Report!$B$1, F154=Report!$B$1, G154=Report!$B$1, H154=Report!$B$1), D154, "")</f>
        <v/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181"/>
      <c r="W154" s="181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</row>
    <row r="155" ht="15.75" customHeight="1">
      <c r="A155" s="5"/>
      <c r="B155" s="183" t="str">
        <f>IF(OR(E155=Report!$B$1, F155=Report!$B$1, G155=Report!$B$1, H155=Report!$B$1), D155, "")</f>
        <v/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181"/>
      <c r="W155" s="181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</row>
    <row r="156" ht="15.75" customHeight="1">
      <c r="A156" s="5"/>
      <c r="B156" s="183" t="str">
        <f>IF(OR(E156=Report!$B$1, F156=Report!$B$1, G156=Report!$B$1, H156=Report!$B$1), D156, "")</f>
        <v/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181"/>
      <c r="W156" s="181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</row>
    <row r="157" ht="15.75" customHeight="1">
      <c r="A157" s="5"/>
      <c r="B157" s="183" t="str">
        <f>IF(OR(E157=Report!$B$1, F157=Report!$B$1, G157=Report!$B$1, H157=Report!$B$1), D157, "")</f>
        <v/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181"/>
      <c r="W157" s="181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</row>
    <row r="158" ht="15.75" customHeight="1">
      <c r="A158" s="5"/>
      <c r="B158" s="183" t="str">
        <f>IF(OR(E158=Report!$B$1, F158=Report!$B$1, G158=Report!$B$1, H158=Report!$B$1), D158, "")</f>
        <v/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181"/>
      <c r="W158" s="181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</row>
    <row r="159" ht="15.75" customHeight="1">
      <c r="A159" s="5"/>
      <c r="B159" s="183" t="str">
        <f>IF(OR(E159=Report!$B$1, F159=Report!$B$1, G159=Report!$B$1, H159=Report!$B$1), D159, "")</f>
        <v/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181"/>
      <c r="W159" s="181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</row>
    <row r="160" ht="15.75" customHeight="1">
      <c r="A160" s="5"/>
      <c r="B160" s="183" t="str">
        <f>IF(OR(E160=Report!$B$1, F160=Report!$B$1, G160=Report!$B$1, H160=Report!$B$1), D160, "")</f>
        <v/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181"/>
      <c r="W160" s="181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</row>
    <row r="161" ht="15.75" customHeight="1">
      <c r="A161" s="5"/>
      <c r="B161" s="183" t="str">
        <f>IF(OR(E161=Report!$B$1, F161=Report!$B$1, G161=Report!$B$1, H161=Report!$B$1), D161, "")</f>
        <v/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181"/>
      <c r="W161" s="181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</row>
    <row r="162" ht="15.75" customHeight="1">
      <c r="A162" s="5"/>
      <c r="B162" s="183" t="str">
        <f>IF(OR(E162=Report!$B$1, F162=Report!$B$1, G162=Report!$B$1, H162=Report!$B$1), D162, "")</f>
        <v/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181"/>
      <c r="W162" s="181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</row>
    <row r="163" ht="15.75" customHeight="1">
      <c r="A163" s="5"/>
      <c r="B163" s="183" t="str">
        <f>IF(OR(E163=Report!$B$1, F163=Report!$B$1, G163=Report!$B$1, H163=Report!$B$1), D163, "")</f>
        <v/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181"/>
      <c r="W163" s="181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</row>
    <row r="164" ht="15.75" customHeight="1">
      <c r="A164" s="5"/>
      <c r="B164" s="183" t="str">
        <f>IF(OR(E164=Report!$B$1, F164=Report!$B$1, G164=Report!$B$1, H164=Report!$B$1), D164, "")</f>
        <v/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181"/>
      <c r="W164" s="181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</row>
    <row r="165" ht="15.75" customHeight="1">
      <c r="A165" s="5"/>
      <c r="B165" s="183" t="str">
        <f>IF(OR(E165=Report!$B$1, F165=Report!$B$1, G165=Report!$B$1, H165=Report!$B$1), D165, "")</f>
        <v/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181"/>
      <c r="W165" s="181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</row>
    <row r="166" ht="15.75" customHeight="1">
      <c r="A166" s="5"/>
      <c r="B166" s="183" t="str">
        <f>IF(OR(E166=Report!$B$1, F166=Report!$B$1, G166=Report!$B$1, H166=Report!$B$1), D166, "")</f>
        <v/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181"/>
      <c r="W166" s="181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</row>
    <row r="167" ht="15.75" customHeight="1">
      <c r="A167" s="5"/>
      <c r="B167" s="183" t="str">
        <f>IF(OR(E167=Report!$B$1, F167=Report!$B$1, G167=Report!$B$1, H167=Report!$B$1), D167, "")</f>
        <v/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181"/>
      <c r="W167" s="181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</row>
    <row r="168" ht="15.75" customHeight="1">
      <c r="A168" s="5"/>
      <c r="B168" s="183" t="str">
        <f>IF(OR(E168=Report!$B$1, F168=Report!$B$1, G168=Report!$B$1, H168=Report!$B$1), D168, "")</f>
        <v/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181"/>
      <c r="W168" s="181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</row>
    <row r="169" ht="15.75" customHeight="1">
      <c r="A169" s="5"/>
      <c r="B169" s="183" t="str">
        <f>IF(OR(E169=Report!$B$1, F169=Report!$B$1, G169=Report!$B$1, H169=Report!$B$1), D169, "")</f>
        <v/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181"/>
      <c r="W169" s="181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</row>
    <row r="170" ht="15.75" customHeight="1">
      <c r="A170" s="5"/>
      <c r="B170" s="183" t="str">
        <f>IF(OR(E170=Report!$B$1, F170=Report!$B$1, G170=Report!$B$1, H170=Report!$B$1), D170, "")</f>
        <v/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181"/>
      <c r="W170" s="181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</row>
    <row r="171" ht="15.75" customHeight="1">
      <c r="A171" s="5"/>
      <c r="B171" s="183" t="str">
        <f>IF(OR(E171=Report!$B$1, F171=Report!$B$1, G171=Report!$B$1, H171=Report!$B$1), D171, "")</f>
        <v/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181"/>
      <c r="W171" s="181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</row>
    <row r="172" ht="15.75" customHeight="1">
      <c r="A172" s="5"/>
      <c r="B172" s="183" t="str">
        <f>IF(OR(E172=Report!$B$1, F172=Report!$B$1, G172=Report!$B$1, H172=Report!$B$1), D172, "")</f>
        <v/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181"/>
      <c r="W172" s="181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</row>
    <row r="173" ht="15.75" customHeight="1">
      <c r="A173" s="5"/>
      <c r="B173" s="183" t="str">
        <f>IF(OR(E173=Report!$B$1, F173=Report!$B$1, G173=Report!$B$1, H173=Report!$B$1), D173, "")</f>
        <v/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181"/>
      <c r="W173" s="181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</row>
    <row r="174" ht="15.75" customHeight="1">
      <c r="A174" s="5"/>
      <c r="B174" s="183" t="str">
        <f>IF(OR(E174=Report!$B$1, F174=Report!$B$1, G174=Report!$B$1, H174=Report!$B$1), D174, "")</f>
        <v/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181"/>
      <c r="W174" s="181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</row>
    <row r="175" ht="15.75" customHeight="1">
      <c r="A175" s="5"/>
      <c r="B175" s="183" t="str">
        <f>IF(OR(E175=Report!$B$1, F175=Report!$B$1, G175=Report!$B$1, H175=Report!$B$1), D175, "")</f>
        <v/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181"/>
      <c r="W175" s="181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</row>
    <row r="176" ht="15.75" customHeight="1">
      <c r="A176" s="5"/>
      <c r="B176" s="183" t="str">
        <f>IF(OR(E176=Report!$B$1, F176=Report!$B$1, G176=Report!$B$1, H176=Report!$B$1), D176, "")</f>
        <v/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181"/>
      <c r="W176" s="181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</row>
    <row r="177" ht="15.75" customHeight="1">
      <c r="A177" s="5"/>
      <c r="B177" s="183" t="str">
        <f>IF(OR(E177=Report!$B$1, F177=Report!$B$1, G177=Report!$B$1, H177=Report!$B$1), D177, "")</f>
        <v/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181"/>
      <c r="W177" s="181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</row>
    <row r="178" ht="15.75" customHeight="1">
      <c r="A178" s="5"/>
      <c r="B178" s="183" t="str">
        <f>IF(OR(E178=Report!$B$1, F178=Report!$B$1, G178=Report!$B$1, H178=Report!$B$1), D178, "")</f>
        <v/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181"/>
      <c r="W178" s="181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</row>
    <row r="179" ht="15.75" customHeight="1">
      <c r="A179" s="5"/>
      <c r="B179" s="183" t="str">
        <f>IF(OR(E179=Report!$B$1, F179=Report!$B$1, G179=Report!$B$1, H179=Report!$B$1), D179, "")</f>
        <v/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181"/>
      <c r="W179" s="181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181"/>
      <c r="W180" s="181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181"/>
      <c r="W181" s="181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181"/>
      <c r="W182" s="181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181"/>
      <c r="W183" s="181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181"/>
      <c r="W184" s="181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181"/>
      <c r="W185" s="181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181"/>
      <c r="W186" s="181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181"/>
      <c r="W187" s="181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181"/>
      <c r="W188" s="181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181"/>
      <c r="W189" s="181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181"/>
      <c r="W190" s="181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181"/>
      <c r="W191" s="181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181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181"/>
      <c r="W193" s="181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181"/>
      <c r="W194" s="181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181"/>
      <c r="W195" s="181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181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181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181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181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181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181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181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181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181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181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181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181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181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181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181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181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181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181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181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181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181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181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181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181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181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181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181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181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181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181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181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181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181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181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181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181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181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181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181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181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181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181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181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181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181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181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181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181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181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181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181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181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181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181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181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181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181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181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181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181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181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181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181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181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181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181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181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181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181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181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181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181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181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181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181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181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181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181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181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181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181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181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181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181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181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181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181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181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181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181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181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181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181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181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181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181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181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181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181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181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181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181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181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181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181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181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181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181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181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181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181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181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181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181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181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181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181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181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181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181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181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181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181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181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181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181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181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181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181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181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181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181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181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181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181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181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181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181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181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181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181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181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181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181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181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181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181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181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181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181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181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181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181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181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181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181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181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181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181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181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181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181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181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181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181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181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181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181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181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181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181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181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181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181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181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181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181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181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181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181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181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181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181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181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181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181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181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181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181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181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181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181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181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181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181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181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181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181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181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181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181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</row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2.63"/>
    <col customWidth="1" min="3" max="6" width="18.13"/>
    <col customWidth="1" min="7" max="7" width="17.75"/>
    <col customWidth="1" min="8" max="28" width="18.13"/>
  </cols>
  <sheetData>
    <row r="1" ht="15.75" customHeight="1">
      <c r="A1" s="185" t="s">
        <v>2605</v>
      </c>
      <c r="B1" s="12"/>
      <c r="C1" s="12"/>
      <c r="D1" s="12"/>
      <c r="E1" s="12"/>
      <c r="F1" s="12"/>
      <c r="G1" s="12"/>
      <c r="H1" s="13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</row>
    <row r="2" ht="15.75" customHeight="1">
      <c r="A2" s="1" t="s">
        <v>2606</v>
      </c>
      <c r="B2" s="1" t="s">
        <v>69</v>
      </c>
      <c r="C2" s="1" t="s">
        <v>61</v>
      </c>
      <c r="D2" s="1" t="s">
        <v>73</v>
      </c>
      <c r="E2" s="1" t="s">
        <v>2506</v>
      </c>
      <c r="F2" s="1" t="s">
        <v>39</v>
      </c>
      <c r="G2" s="1" t="s">
        <v>2512</v>
      </c>
      <c r="H2" s="1" t="s">
        <v>67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 t="s">
        <v>84</v>
      </c>
      <c r="AB2" s="1" t="s">
        <v>85</v>
      </c>
    </row>
    <row r="3" ht="15.75" customHeight="1">
      <c r="A3" s="1" t="s">
        <v>2607</v>
      </c>
      <c r="B3" s="1" t="s">
        <v>2608</v>
      </c>
      <c r="D3" s="1" t="s">
        <v>2609</v>
      </c>
      <c r="E3" s="1" t="s">
        <v>2609</v>
      </c>
      <c r="F3" s="1" t="s">
        <v>2609</v>
      </c>
      <c r="G3" s="1" t="s">
        <v>2609</v>
      </c>
    </row>
    <row r="4" ht="15.75" customHeight="1">
      <c r="A4" s="1" t="s">
        <v>2610</v>
      </c>
      <c r="B4" s="1" t="s">
        <v>2611</v>
      </c>
      <c r="C4" s="1" t="s">
        <v>2609</v>
      </c>
      <c r="E4" s="1" t="s">
        <v>2612</v>
      </c>
      <c r="F4" s="1" t="s">
        <v>2613</v>
      </c>
      <c r="G4" s="1" t="s">
        <v>2613</v>
      </c>
      <c r="H4" s="1" t="s">
        <v>2612</v>
      </c>
    </row>
    <row r="5" ht="15.75" customHeight="1">
      <c r="A5" s="1" t="s">
        <v>2614</v>
      </c>
      <c r="B5" s="1" t="s">
        <v>2615</v>
      </c>
      <c r="E5" s="1" t="s">
        <v>2616</v>
      </c>
      <c r="F5" s="1" t="s">
        <v>2617</v>
      </c>
      <c r="G5" s="1" t="s">
        <v>2618</v>
      </c>
      <c r="H5" s="1" t="s">
        <v>2609</v>
      </c>
    </row>
    <row r="6" ht="15.75" customHeight="1">
      <c r="A6" s="1" t="s">
        <v>2619</v>
      </c>
      <c r="B6" s="1" t="s">
        <v>2620</v>
      </c>
      <c r="D6" s="1" t="s">
        <v>2620</v>
      </c>
      <c r="F6" s="1" t="s">
        <v>2618</v>
      </c>
    </row>
    <row r="7" ht="15.75" customHeight="1">
      <c r="A7" s="1" t="s">
        <v>71</v>
      </c>
      <c r="B7" s="1" t="s">
        <v>2621</v>
      </c>
      <c r="D7" s="1" t="s">
        <v>2621</v>
      </c>
    </row>
    <row r="8" ht="15.75" customHeight="1">
      <c r="A8" s="1" t="s">
        <v>2622</v>
      </c>
      <c r="B8" s="1" t="s">
        <v>2615</v>
      </c>
      <c r="C8" s="1" t="s">
        <v>2615</v>
      </c>
      <c r="E8" s="1" t="s">
        <v>2615</v>
      </c>
      <c r="F8" s="1" t="s">
        <v>2623</v>
      </c>
    </row>
    <row r="9" ht="15.75" customHeight="1">
      <c r="A9" s="1" t="s">
        <v>44</v>
      </c>
      <c r="C9" s="1" t="s">
        <v>2612</v>
      </c>
      <c r="D9" s="1" t="s">
        <v>2612</v>
      </c>
      <c r="F9" s="1" t="s">
        <v>2613</v>
      </c>
      <c r="G9" s="1" t="s">
        <v>2613</v>
      </c>
      <c r="H9" s="1" t="s">
        <v>2612</v>
      </c>
    </row>
    <row r="10" ht="15.75" customHeight="1">
      <c r="A10" s="1" t="s">
        <v>2624</v>
      </c>
      <c r="C10" s="1" t="s">
        <v>2618</v>
      </c>
      <c r="E10" s="1" t="s">
        <v>2618</v>
      </c>
      <c r="G10" s="1" t="s">
        <v>2617</v>
      </c>
      <c r="H10" s="1" t="s">
        <v>2616</v>
      </c>
    </row>
    <row r="11" ht="15.75" customHeight="1">
      <c r="A11" s="1" t="s">
        <v>2625</v>
      </c>
      <c r="C11" s="1" t="s">
        <v>2616</v>
      </c>
      <c r="E11" s="1" t="s">
        <v>2616</v>
      </c>
    </row>
    <row r="12" ht="15.75" customHeight="1">
      <c r="A12" s="1" t="s">
        <v>2626</v>
      </c>
      <c r="D12" s="1" t="s">
        <v>2612</v>
      </c>
      <c r="E12" s="1" t="s">
        <v>2627</v>
      </c>
      <c r="F12" s="1" t="s">
        <v>2628</v>
      </c>
      <c r="G12" s="1" t="s">
        <v>2629</v>
      </c>
      <c r="H12" s="1" t="s">
        <v>2612</v>
      </c>
    </row>
    <row r="13" ht="15.75" customHeight="1">
      <c r="A13" s="1" t="s">
        <v>2630</v>
      </c>
      <c r="B13" s="1"/>
      <c r="C13" s="1"/>
      <c r="D13" s="1"/>
      <c r="E13" s="1"/>
      <c r="F13" s="1" t="s">
        <v>2617</v>
      </c>
      <c r="G13" s="1" t="s">
        <v>2631</v>
      </c>
      <c r="H13" s="1" t="s">
        <v>2632</v>
      </c>
      <c r="I13" s="1"/>
      <c r="J13" s="1"/>
      <c r="K13" s="1"/>
      <c r="L13" s="1"/>
      <c r="M13" s="1"/>
      <c r="N13" s="1"/>
      <c r="O13" s="1"/>
      <c r="P13" s="1"/>
      <c r="Q13" s="1"/>
      <c r="T13" s="1"/>
      <c r="U13" s="1"/>
      <c r="V13" s="1"/>
      <c r="W13" s="1"/>
      <c r="X13" s="1"/>
      <c r="Y13" s="1"/>
      <c r="Z13" s="1"/>
      <c r="AB13" s="1">
        <v>-5.0</v>
      </c>
    </row>
    <row r="14" ht="15.75" customHeight="1">
      <c r="A14" s="1" t="s">
        <v>2633</v>
      </c>
      <c r="B14" s="1"/>
      <c r="C14" s="1"/>
      <c r="D14" s="1"/>
      <c r="E14" s="1"/>
      <c r="F14" s="1"/>
      <c r="G14" s="1" t="s">
        <v>2609</v>
      </c>
      <c r="H14" s="1" t="s">
        <v>2609</v>
      </c>
      <c r="I14" s="1"/>
      <c r="J14" s="1"/>
      <c r="K14" s="1"/>
      <c r="L14" s="1"/>
      <c r="M14" s="1"/>
      <c r="N14" s="1"/>
      <c r="O14" s="1"/>
      <c r="P14" s="1"/>
      <c r="Q14" s="1"/>
      <c r="S14" s="1"/>
      <c r="T14" s="1"/>
      <c r="U14" s="1"/>
      <c r="V14" s="1"/>
      <c r="W14" s="1"/>
      <c r="X14" s="1"/>
      <c r="Y14" s="1"/>
      <c r="Z14" s="1"/>
      <c r="AB14" s="1">
        <v>-6.0</v>
      </c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O15" s="1"/>
      <c r="P15" s="1"/>
      <c r="Q15" s="1"/>
      <c r="S15" s="1"/>
      <c r="T15" s="1"/>
      <c r="U15" s="1"/>
      <c r="V15" s="1"/>
      <c r="W15" s="1"/>
      <c r="X15" s="1"/>
      <c r="Y15" s="1"/>
      <c r="Z15" s="1"/>
      <c r="AB15" s="1">
        <v>2.0</v>
      </c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 t="s">
        <v>2634</v>
      </c>
      <c r="AB16" s="1">
        <v>-11.0</v>
      </c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O17" s="1"/>
      <c r="P17" s="1"/>
      <c r="Q17" s="1"/>
      <c r="S17" s="1"/>
      <c r="T17" s="1"/>
      <c r="U17" s="1"/>
      <c r="V17" s="1"/>
      <c r="W17" s="1"/>
      <c r="X17" s="1"/>
      <c r="Y17" s="1"/>
      <c r="Z17" s="1"/>
      <c r="AB17" s="1">
        <v>0.0</v>
      </c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O18" s="1"/>
      <c r="P18" s="1"/>
      <c r="Q18" s="1"/>
      <c r="S18" s="1"/>
      <c r="T18" s="1"/>
      <c r="U18" s="1"/>
      <c r="V18" s="1"/>
      <c r="W18" s="1"/>
      <c r="X18" s="1"/>
      <c r="Y18" s="1"/>
      <c r="Z18" s="1"/>
      <c r="AB18" s="1">
        <v>5.0</v>
      </c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T19" s="1"/>
      <c r="U19" s="1"/>
      <c r="V19" s="1"/>
      <c r="W19" s="1"/>
      <c r="X19" s="1"/>
      <c r="Y19" s="1"/>
      <c r="Z19" s="1"/>
      <c r="AB19" s="1">
        <v>-7.0</v>
      </c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O20" s="1"/>
      <c r="P20" s="1"/>
      <c r="Q20" s="1"/>
      <c r="S20" s="1"/>
      <c r="T20" s="1"/>
      <c r="U20" s="1"/>
      <c r="V20" s="1"/>
      <c r="W20" s="1"/>
      <c r="X20" s="1"/>
      <c r="Y20" s="1"/>
      <c r="Z20" s="1"/>
      <c r="AB20" s="1">
        <v>1.0</v>
      </c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O21" s="1"/>
      <c r="P21" s="1"/>
      <c r="Q21" s="1"/>
      <c r="S21" s="1"/>
      <c r="T21" s="1"/>
      <c r="U21" s="1"/>
      <c r="V21" s="1"/>
      <c r="W21" s="1"/>
      <c r="X21" s="1"/>
      <c r="Y21" s="1"/>
      <c r="Z21" s="1"/>
      <c r="AB21" s="1">
        <v>-2.0</v>
      </c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O22" s="1"/>
      <c r="P22" s="1"/>
      <c r="Q22" s="1"/>
      <c r="S22" s="1"/>
      <c r="T22" s="1"/>
      <c r="U22" s="1"/>
      <c r="V22" s="1"/>
      <c r="W22" s="1"/>
      <c r="X22" s="1"/>
      <c r="Y22" s="1"/>
      <c r="Z22" s="1"/>
      <c r="AB22" s="1">
        <v>-1.0</v>
      </c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O23" s="1"/>
      <c r="P23" s="1"/>
      <c r="Q23" s="1"/>
      <c r="S23" s="1"/>
      <c r="T23" s="1"/>
      <c r="U23" s="1"/>
      <c r="V23" s="1"/>
      <c r="W23" s="1"/>
      <c r="X23" s="1"/>
      <c r="Y23" s="1"/>
      <c r="Z23" s="1"/>
      <c r="AB23" s="1">
        <v>0.0</v>
      </c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S24" s="1"/>
      <c r="T24" s="1"/>
      <c r="U24" s="1"/>
      <c r="V24" s="1"/>
      <c r="W24" s="1"/>
      <c r="X24" s="1"/>
      <c r="Y24" s="1"/>
      <c r="Z24" s="1"/>
      <c r="AB24" s="1">
        <v>-7.0</v>
      </c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O25" s="1"/>
      <c r="P25" s="1"/>
      <c r="Q25" s="1"/>
      <c r="S25" s="1"/>
      <c r="T25" s="1"/>
      <c r="U25" s="1"/>
      <c r="V25" s="1"/>
      <c r="W25" s="1"/>
      <c r="X25" s="1"/>
      <c r="Y25" s="1"/>
      <c r="Z25" s="1"/>
      <c r="AB25" s="1">
        <v>-9.0</v>
      </c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O26" s="1"/>
      <c r="P26" s="1"/>
      <c r="Q26" s="1"/>
      <c r="S26" s="1"/>
      <c r="T26" s="1"/>
      <c r="U26" s="1"/>
      <c r="V26" s="1"/>
      <c r="W26" s="1"/>
      <c r="X26" s="1"/>
      <c r="Y26" s="1"/>
      <c r="Z26" s="1"/>
      <c r="AB26" s="1">
        <v>0.0</v>
      </c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 t="s">
        <v>2635</v>
      </c>
      <c r="AB27" s="1">
        <v>-8.0</v>
      </c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T28" s="1"/>
      <c r="U28" s="1"/>
      <c r="V28" s="1"/>
      <c r="W28" s="1"/>
      <c r="X28" s="1"/>
      <c r="Y28" s="1"/>
      <c r="Z28" s="1"/>
      <c r="AB28" s="1">
        <v>-7.0</v>
      </c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O29" s="1"/>
      <c r="P29" s="1"/>
      <c r="Q29" s="1"/>
      <c r="S29" s="1"/>
      <c r="T29" s="1"/>
      <c r="U29" s="1"/>
      <c r="V29" s="1"/>
      <c r="W29" s="1"/>
      <c r="X29" s="1"/>
      <c r="Y29" s="1"/>
      <c r="Z29" s="1"/>
      <c r="AB29" s="1">
        <v>-2.0</v>
      </c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T30" s="1"/>
      <c r="U30" s="1"/>
      <c r="V30" s="1"/>
      <c r="W30" s="1"/>
      <c r="X30" s="1"/>
      <c r="Y30" s="1"/>
      <c r="Z30" s="1"/>
      <c r="AB30" s="1">
        <v>-8.0</v>
      </c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 t="s">
        <v>2636</v>
      </c>
      <c r="AB31" s="1">
        <v>0.0</v>
      </c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O32" s="1"/>
      <c r="P32" s="1"/>
      <c r="Q32" s="1"/>
      <c r="S32" s="1"/>
      <c r="T32" s="1"/>
      <c r="U32" s="1"/>
      <c r="V32" s="1"/>
      <c r="W32" s="1"/>
      <c r="X32" s="1"/>
      <c r="Y32" s="1"/>
      <c r="Z32" s="1"/>
      <c r="AB32" s="1">
        <v>1.0</v>
      </c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O33" s="1"/>
      <c r="P33" s="1"/>
      <c r="Q33" s="1"/>
      <c r="S33" s="1"/>
      <c r="T33" s="1"/>
      <c r="U33" s="1"/>
      <c r="V33" s="1"/>
      <c r="Y33" s="1"/>
      <c r="Z33" s="1"/>
      <c r="AB33" s="1">
        <v>0.0</v>
      </c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O34" s="1"/>
      <c r="P34" s="1"/>
      <c r="Q34" s="1"/>
      <c r="S34" s="1"/>
      <c r="T34" s="1"/>
      <c r="U34" s="1"/>
      <c r="V34" s="1"/>
      <c r="W34" s="1"/>
      <c r="X34" s="1"/>
      <c r="Y34" s="1"/>
      <c r="Z34" s="1"/>
      <c r="AB34" s="1">
        <v>4.0</v>
      </c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 t="s">
        <v>2637</v>
      </c>
      <c r="AB35" s="1">
        <v>-12.0</v>
      </c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 t="s">
        <v>2638</v>
      </c>
      <c r="AB36" s="1">
        <v>0.0</v>
      </c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O37" s="1"/>
      <c r="P37" s="1"/>
      <c r="Q37" s="1"/>
      <c r="S37" s="1"/>
      <c r="T37" s="1"/>
      <c r="U37" s="1"/>
      <c r="V37" s="1"/>
      <c r="W37" s="1"/>
      <c r="X37" s="1"/>
      <c r="Y37" s="1"/>
      <c r="Z37" s="1"/>
      <c r="AB37" s="1">
        <v>-2.0</v>
      </c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O38" s="1"/>
      <c r="P38" s="1"/>
      <c r="Q38" s="1"/>
      <c r="S38" s="1"/>
      <c r="T38" s="1"/>
      <c r="U38" s="1"/>
      <c r="V38" s="1"/>
      <c r="W38" s="1"/>
      <c r="X38" s="1"/>
      <c r="Y38" s="1"/>
      <c r="Z38" s="1"/>
      <c r="AB38" s="1">
        <v>-10.0</v>
      </c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 t="s">
        <v>2639</v>
      </c>
      <c r="AB39" s="1">
        <v>6.0</v>
      </c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T40" s="1"/>
      <c r="U40" s="1"/>
      <c r="V40" s="1"/>
      <c r="W40" s="1"/>
      <c r="X40" s="1"/>
      <c r="Y40" s="1"/>
      <c r="Z40" s="1"/>
      <c r="AB40" s="1">
        <v>-7.0</v>
      </c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S41" s="1"/>
      <c r="T41" s="1"/>
      <c r="U41" s="1"/>
      <c r="V41" s="1"/>
      <c r="W41" s="1"/>
      <c r="X41" s="1"/>
      <c r="Y41" s="1"/>
      <c r="Z41" s="1"/>
      <c r="AB41" s="1">
        <v>-2.0</v>
      </c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O42" s="1"/>
      <c r="P42" s="1"/>
      <c r="Q42" s="1"/>
      <c r="S42" s="1"/>
      <c r="T42" s="1"/>
      <c r="U42" s="1"/>
      <c r="V42" s="1"/>
      <c r="W42" s="1"/>
      <c r="X42" s="1"/>
      <c r="Y42" s="1"/>
      <c r="Z42" s="1"/>
      <c r="AB42" s="1">
        <v>0.0</v>
      </c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T43" s="1"/>
      <c r="U43" s="1"/>
      <c r="V43" s="1"/>
      <c r="W43" s="1"/>
      <c r="X43" s="1"/>
      <c r="Y43" s="1"/>
      <c r="Z43" s="1"/>
      <c r="AB43" s="1">
        <v>-2.0</v>
      </c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O44" s="1"/>
      <c r="P44" s="1"/>
      <c r="Q44" s="1"/>
      <c r="S44" s="1"/>
      <c r="T44" s="1"/>
      <c r="U44" s="1"/>
      <c r="V44" s="1"/>
      <c r="W44" s="1"/>
      <c r="X44" s="1"/>
      <c r="Y44" s="1"/>
      <c r="Z44" s="1"/>
      <c r="AB44" s="1">
        <v>0.0</v>
      </c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 t="s">
        <v>2640</v>
      </c>
      <c r="AB45" s="1">
        <v>-13.0</v>
      </c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T46" s="1"/>
      <c r="U46" s="1"/>
      <c r="V46" s="1"/>
      <c r="W46" s="1"/>
      <c r="X46" s="1"/>
      <c r="Y46" s="1"/>
      <c r="Z46" s="1"/>
      <c r="AB46" s="1">
        <v>-6.0</v>
      </c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O47" s="1"/>
      <c r="P47" s="1"/>
      <c r="Q47" s="1"/>
      <c r="S47" s="1"/>
      <c r="T47" s="1"/>
      <c r="U47" s="1"/>
      <c r="V47" s="1"/>
      <c r="W47" s="1"/>
      <c r="X47" s="1"/>
      <c r="Y47" s="1"/>
      <c r="Z47" s="1"/>
      <c r="AB47" s="1">
        <v>0.0</v>
      </c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O48" s="1"/>
      <c r="P48" s="1"/>
      <c r="Q48" s="1"/>
      <c r="S48" s="1"/>
      <c r="T48" s="1"/>
      <c r="U48" s="1"/>
      <c r="V48" s="1"/>
      <c r="W48" s="1"/>
      <c r="X48" s="1"/>
      <c r="Y48" s="1"/>
      <c r="Z48" s="1"/>
      <c r="AB48" s="1">
        <v>-6.0</v>
      </c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 t="s">
        <v>2641</v>
      </c>
      <c r="AB49" s="1">
        <v>5.0</v>
      </c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O50" s="1"/>
      <c r="P50" s="1"/>
      <c r="Q50" s="1"/>
      <c r="S50" s="1"/>
      <c r="T50" s="1"/>
      <c r="U50" s="1"/>
      <c r="V50" s="1"/>
      <c r="W50" s="1"/>
      <c r="X50" s="1"/>
      <c r="Y50" s="1"/>
      <c r="Z50" s="1"/>
      <c r="AB50" s="1">
        <v>0.0</v>
      </c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O51" s="1"/>
      <c r="P51" s="1"/>
      <c r="Q51" s="1"/>
      <c r="S51" s="1"/>
      <c r="T51" s="1"/>
      <c r="U51" s="1"/>
      <c r="V51" s="1"/>
      <c r="W51" s="1"/>
      <c r="X51" s="1"/>
      <c r="Y51" s="1"/>
      <c r="Z51" s="1"/>
      <c r="AB51" s="1">
        <v>0.0</v>
      </c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T52" s="1"/>
      <c r="U52" s="1"/>
      <c r="V52" s="1"/>
      <c r="W52" s="1"/>
      <c r="X52" s="1"/>
      <c r="Y52" s="1"/>
      <c r="Z52" s="1"/>
      <c r="AB52" s="1">
        <v>-8.0</v>
      </c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T53" s="1"/>
      <c r="U53" s="1"/>
      <c r="V53" s="1"/>
      <c r="W53" s="1"/>
      <c r="X53" s="1"/>
      <c r="Y53" s="1"/>
      <c r="Z53" s="1"/>
      <c r="AB53" s="1">
        <v>-11.0</v>
      </c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T54" s="1"/>
      <c r="U54" s="1"/>
      <c r="V54" s="1"/>
      <c r="W54" s="1"/>
      <c r="X54" s="1"/>
      <c r="Y54" s="1"/>
      <c r="Z54" s="1"/>
      <c r="AB54" s="1">
        <v>-6.0</v>
      </c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O55" s="1"/>
      <c r="P55" s="1"/>
      <c r="Q55" s="1"/>
      <c r="S55" s="1"/>
      <c r="T55" s="1"/>
      <c r="U55" s="1"/>
      <c r="V55" s="1"/>
      <c r="W55" s="1"/>
      <c r="X55" s="1"/>
      <c r="Y55" s="1"/>
      <c r="Z55" s="1"/>
      <c r="AB55" s="1">
        <v>-2.0</v>
      </c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 t="s">
        <v>2642</v>
      </c>
      <c r="AB56" s="1">
        <v>-9.0</v>
      </c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T57" s="1"/>
      <c r="U57" s="1"/>
      <c r="V57" s="1"/>
      <c r="W57" s="1"/>
      <c r="X57" s="1"/>
      <c r="Y57" s="1"/>
      <c r="Z57" s="1"/>
      <c r="AB57" s="1">
        <v>-9.0</v>
      </c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O58" s="1"/>
      <c r="P58" s="1"/>
      <c r="Q58" s="1"/>
      <c r="S58" s="1"/>
      <c r="T58" s="1"/>
      <c r="U58" s="1"/>
      <c r="V58" s="1"/>
      <c r="W58" s="1"/>
      <c r="X58" s="1"/>
      <c r="Y58" s="1"/>
      <c r="Z58" s="1"/>
      <c r="AB58" s="1">
        <v>-2.0</v>
      </c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T59" s="1"/>
      <c r="U59" s="1"/>
      <c r="V59" s="1"/>
      <c r="W59" s="1"/>
      <c r="X59" s="1"/>
      <c r="Y59" s="1"/>
      <c r="Z59" s="1"/>
      <c r="AB59" s="1">
        <v>-8.0</v>
      </c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 t="s">
        <v>2643</v>
      </c>
      <c r="AB60" s="1">
        <v>-19.0</v>
      </c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O61" s="1"/>
      <c r="P61" s="1"/>
      <c r="Q61" s="1"/>
      <c r="S61" s="1"/>
      <c r="T61" s="1"/>
      <c r="U61" s="1"/>
      <c r="V61" s="1"/>
      <c r="W61" s="1"/>
      <c r="X61" s="1"/>
      <c r="Y61" s="1"/>
      <c r="Z61" s="1"/>
      <c r="AB61" s="1">
        <v>-12.0</v>
      </c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T62" s="1"/>
      <c r="U62" s="1"/>
      <c r="V62" s="1"/>
      <c r="W62" s="1"/>
      <c r="X62" s="1"/>
      <c r="Y62" s="1"/>
      <c r="Z62" s="1"/>
      <c r="AB62" s="1">
        <v>-7.0</v>
      </c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T63" s="1"/>
      <c r="U63" s="1"/>
      <c r="V63" s="1"/>
      <c r="W63" s="1"/>
      <c r="X63" s="1"/>
      <c r="Y63" s="1"/>
      <c r="Z63" s="1"/>
      <c r="AB63" s="1">
        <v>-9.0</v>
      </c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O64" s="1"/>
      <c r="P64" s="1"/>
      <c r="Q64" s="1"/>
      <c r="S64" s="1"/>
      <c r="T64" s="1"/>
      <c r="U64" s="1"/>
      <c r="V64" s="1"/>
      <c r="W64" s="1"/>
      <c r="X64" s="1"/>
      <c r="Y64" s="1"/>
      <c r="Z64" s="1"/>
      <c r="AB64" s="1">
        <v>-9.0</v>
      </c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O65" s="1"/>
      <c r="P65" s="1"/>
      <c r="Q65" s="1"/>
      <c r="S65" s="1"/>
      <c r="T65" s="1"/>
      <c r="U65" s="1"/>
      <c r="V65" s="1"/>
      <c r="W65" s="1"/>
      <c r="X65" s="1"/>
      <c r="Y65" s="1"/>
      <c r="Z65" s="1"/>
      <c r="AB65" s="1">
        <v>-11.0</v>
      </c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O66" s="1"/>
      <c r="P66" s="1"/>
      <c r="Q66" s="1"/>
      <c r="S66" s="1"/>
      <c r="T66" s="1"/>
      <c r="U66" s="1"/>
      <c r="V66" s="1"/>
      <c r="W66" s="1"/>
      <c r="X66" s="1"/>
      <c r="Y66" s="1"/>
      <c r="Z66" s="1"/>
      <c r="AB66" s="1">
        <v>3.0</v>
      </c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 t="s">
        <v>2644</v>
      </c>
      <c r="AB67" s="1">
        <v>-14.0</v>
      </c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O68" s="1"/>
      <c r="P68" s="1"/>
      <c r="Q68" s="1"/>
      <c r="S68" s="1"/>
      <c r="T68" s="1"/>
      <c r="U68" s="1"/>
      <c r="V68" s="1"/>
      <c r="W68" s="1"/>
      <c r="X68" s="1"/>
      <c r="Y68" s="1"/>
      <c r="Z68" s="1"/>
      <c r="AB68" s="1">
        <v>1.0</v>
      </c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O69" s="1"/>
      <c r="P69" s="1"/>
      <c r="Q69" s="1"/>
      <c r="S69" s="1"/>
      <c r="T69" s="1"/>
      <c r="U69" s="1"/>
      <c r="V69" s="1"/>
      <c r="W69" s="1"/>
      <c r="X69" s="1"/>
      <c r="Y69" s="1"/>
      <c r="Z69" s="1"/>
      <c r="AB69" s="1">
        <v>-2.0</v>
      </c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O70" s="1"/>
      <c r="P70" s="1"/>
      <c r="Q70" s="1"/>
      <c r="S70" s="1"/>
      <c r="T70" s="1"/>
      <c r="U70" s="1"/>
      <c r="V70" s="1"/>
      <c r="W70" s="1"/>
      <c r="X70" s="1"/>
      <c r="Y70" s="1"/>
      <c r="Z70" s="1"/>
      <c r="AB70" s="1">
        <v>1.0</v>
      </c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O71" s="1"/>
      <c r="P71" s="1"/>
      <c r="Q71" s="1"/>
      <c r="S71" s="1"/>
      <c r="T71" s="1"/>
      <c r="U71" s="1"/>
      <c r="V71" s="1"/>
      <c r="W71" s="1"/>
      <c r="X71" s="1"/>
      <c r="Y71" s="1"/>
      <c r="Z71" s="1"/>
      <c r="AB71" s="1">
        <v>-1.0</v>
      </c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T72" s="1"/>
      <c r="U72" s="1"/>
      <c r="V72" s="1"/>
      <c r="W72" s="1"/>
      <c r="X72" s="1"/>
      <c r="Y72" s="1"/>
      <c r="Z72" s="1"/>
      <c r="AB72" s="1">
        <v>-9.0</v>
      </c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O73" s="1"/>
      <c r="P73" s="1"/>
      <c r="Q73" s="1"/>
      <c r="S73" s="1"/>
      <c r="T73" s="1"/>
      <c r="U73" s="1"/>
      <c r="V73" s="1"/>
      <c r="W73" s="1"/>
      <c r="X73" s="1"/>
      <c r="Y73" s="1"/>
      <c r="Z73" s="1"/>
      <c r="AB73" s="1">
        <v>0.0</v>
      </c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T74" s="1"/>
      <c r="U74" s="1"/>
      <c r="V74" s="1"/>
      <c r="W74" s="1"/>
      <c r="X74" s="1"/>
      <c r="Y74" s="1"/>
      <c r="Z74" s="1"/>
      <c r="AB74" s="1">
        <v>-7.0</v>
      </c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O75" s="1"/>
      <c r="P75" s="1"/>
      <c r="Q75" s="1"/>
      <c r="S75" s="1"/>
      <c r="T75" s="1"/>
      <c r="U75" s="1"/>
      <c r="V75" s="1"/>
      <c r="W75" s="1"/>
      <c r="X75" s="1"/>
      <c r="Y75" s="1"/>
      <c r="Z75" s="1"/>
      <c r="AB75" s="1">
        <v>0.0</v>
      </c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T76" s="1"/>
      <c r="U76" s="1"/>
      <c r="V76" s="1"/>
      <c r="W76" s="1"/>
      <c r="X76" s="1"/>
      <c r="Y76" s="1"/>
      <c r="Z76" s="1"/>
      <c r="AB76" s="1">
        <v>-8.0</v>
      </c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O77" s="1"/>
      <c r="P77" s="1"/>
      <c r="Q77" s="1"/>
      <c r="S77" s="1"/>
      <c r="T77" s="1"/>
      <c r="U77" s="1"/>
      <c r="V77" s="1"/>
      <c r="W77" s="1"/>
      <c r="X77" s="1"/>
      <c r="Y77" s="1"/>
      <c r="Z77" s="1"/>
      <c r="AB77" s="1">
        <v>0.0</v>
      </c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O78" s="1"/>
      <c r="P78" s="1"/>
      <c r="Q78" s="1"/>
      <c r="S78" s="1"/>
      <c r="T78" s="1"/>
      <c r="U78" s="1"/>
      <c r="V78" s="1"/>
      <c r="W78" s="1"/>
      <c r="X78" s="1"/>
      <c r="Y78" s="1"/>
      <c r="Z78" s="1"/>
      <c r="AB78" s="1">
        <v>1.0</v>
      </c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T79" s="1"/>
      <c r="U79" s="1"/>
      <c r="V79" s="1"/>
      <c r="W79" s="1"/>
      <c r="X79" s="1"/>
      <c r="Y79" s="1"/>
      <c r="Z79" s="1"/>
      <c r="AB79" s="1">
        <v>-7.0</v>
      </c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O80" s="1"/>
      <c r="P80" s="1"/>
      <c r="Q80" s="1"/>
      <c r="S80" s="1"/>
      <c r="T80" s="1"/>
      <c r="U80" s="1"/>
      <c r="V80" s="1"/>
      <c r="W80" s="1"/>
      <c r="X80" s="1"/>
      <c r="Y80" s="1"/>
      <c r="Z80" s="1"/>
      <c r="AB80" s="1">
        <v>0.0</v>
      </c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O81" s="1"/>
      <c r="P81" s="1"/>
      <c r="Q81" s="1"/>
      <c r="S81" s="1"/>
      <c r="T81" s="1"/>
      <c r="U81" s="1"/>
      <c r="V81" s="1"/>
      <c r="W81" s="1"/>
      <c r="X81" s="1"/>
      <c r="Y81" s="1"/>
      <c r="Z81" s="1"/>
      <c r="AB81" s="1">
        <v>-11.0</v>
      </c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O82" s="1"/>
      <c r="P82" s="1"/>
      <c r="Q82" s="1"/>
      <c r="S82" s="1"/>
      <c r="T82" s="1"/>
      <c r="U82" s="1"/>
      <c r="V82" s="1"/>
      <c r="W82" s="1"/>
      <c r="X82" s="1"/>
      <c r="Y82" s="1"/>
      <c r="Z82" s="1"/>
      <c r="AB82" s="1">
        <v>-13.0</v>
      </c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 t="s">
        <v>2645</v>
      </c>
      <c r="AB83" s="1">
        <v>-21.0</v>
      </c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 t="s">
        <v>2646</v>
      </c>
      <c r="AB84" s="1">
        <v>-7.0</v>
      </c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 t="s">
        <v>2647</v>
      </c>
      <c r="AB85" s="1">
        <v>-10.0</v>
      </c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 t="s">
        <v>2648</v>
      </c>
      <c r="AB86" s="1">
        <v>-6.0</v>
      </c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S87" s="1"/>
      <c r="T87" s="1"/>
      <c r="U87" s="1"/>
      <c r="V87" s="1"/>
      <c r="W87" s="1"/>
      <c r="X87" s="1"/>
      <c r="Y87" s="1"/>
      <c r="Z87" s="1"/>
      <c r="AB87" s="1">
        <v>-7.0</v>
      </c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O88" s="1"/>
      <c r="P88" s="1"/>
      <c r="Q88" s="1"/>
      <c r="S88" s="1"/>
      <c r="T88" s="1"/>
      <c r="U88" s="1"/>
      <c r="V88" s="1"/>
      <c r="W88" s="1"/>
      <c r="X88" s="1"/>
      <c r="Y88" s="1"/>
      <c r="Z88" s="1"/>
      <c r="AB88" s="1">
        <v>-2.0</v>
      </c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 t="s">
        <v>2649</v>
      </c>
      <c r="AB89" s="1">
        <v>-17.0</v>
      </c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O90" s="1"/>
      <c r="P90" s="1"/>
      <c r="Q90" s="1"/>
      <c r="S90" s="1"/>
      <c r="T90" s="1"/>
      <c r="U90" s="1"/>
      <c r="V90" s="1"/>
      <c r="W90" s="1"/>
      <c r="X90" s="1"/>
      <c r="Y90" s="1"/>
      <c r="Z90" s="1"/>
      <c r="AB90" s="1">
        <v>-12.0</v>
      </c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T91" s="1"/>
      <c r="U91" s="1"/>
      <c r="V91" s="1"/>
      <c r="W91" s="1"/>
      <c r="X91" s="1"/>
      <c r="Y91" s="1"/>
      <c r="Z91" s="1"/>
      <c r="AB91" s="1">
        <v>-4.0</v>
      </c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T92" s="1"/>
      <c r="U92" s="1"/>
      <c r="V92" s="1"/>
      <c r="W92" s="1"/>
      <c r="X92" s="1"/>
      <c r="Y92" s="1"/>
      <c r="Z92" s="1"/>
      <c r="AB92" s="1">
        <v>-11.0</v>
      </c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O93" s="1"/>
      <c r="P93" s="1"/>
      <c r="Q93" s="1"/>
      <c r="S93" s="1"/>
      <c r="T93" s="1"/>
      <c r="U93" s="1"/>
      <c r="V93" s="1"/>
      <c r="W93" s="1"/>
      <c r="X93" s="1"/>
      <c r="Y93" s="1"/>
      <c r="Z93" s="1"/>
      <c r="AB93" s="1">
        <v>1.0</v>
      </c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O94" s="1"/>
      <c r="P94" s="1"/>
      <c r="Q94" s="1"/>
      <c r="S94" s="1"/>
      <c r="T94" s="1"/>
      <c r="U94" s="1"/>
      <c r="V94" s="1"/>
      <c r="W94" s="1"/>
      <c r="X94" s="1"/>
      <c r="Y94" s="1"/>
      <c r="Z94" s="1"/>
      <c r="AB94" s="1">
        <v>0.0</v>
      </c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T95" s="1"/>
      <c r="U95" s="1"/>
      <c r="V95" s="1"/>
      <c r="W95" s="1"/>
      <c r="X95" s="1"/>
      <c r="Y95" s="1"/>
      <c r="Z95" s="1"/>
      <c r="AB95" s="1">
        <v>-9.0</v>
      </c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O96" s="1"/>
      <c r="P96" s="1"/>
      <c r="Q96" s="1"/>
      <c r="S96" s="1"/>
      <c r="T96" s="1"/>
      <c r="U96" s="1"/>
      <c r="V96" s="1"/>
      <c r="W96" s="1"/>
      <c r="X96" s="1"/>
      <c r="Y96" s="1"/>
      <c r="Z96" s="1"/>
      <c r="AB96" s="1">
        <v>1.0</v>
      </c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T97" s="1"/>
      <c r="U97" s="1"/>
      <c r="V97" s="1"/>
      <c r="W97" s="1"/>
      <c r="X97" s="1"/>
      <c r="Y97" s="1"/>
      <c r="Z97" s="1"/>
      <c r="AB97" s="1">
        <v>-8.0</v>
      </c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 t="s">
        <v>2650</v>
      </c>
      <c r="AB98" s="1">
        <v>-6.0</v>
      </c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 t="s">
        <v>2651</v>
      </c>
      <c r="AB99" s="1">
        <v>1.0</v>
      </c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O100" s="1"/>
      <c r="P100" s="1"/>
      <c r="Q100" s="1"/>
      <c r="S100" s="1"/>
      <c r="T100" s="1"/>
      <c r="U100" s="1"/>
      <c r="V100" s="1"/>
      <c r="W100" s="1"/>
      <c r="X100" s="1"/>
      <c r="Y100" s="1"/>
      <c r="Z100" s="1"/>
      <c r="AB100" s="1">
        <v>-1.0</v>
      </c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T101" s="1"/>
      <c r="U101" s="1"/>
      <c r="V101" s="1"/>
      <c r="W101" s="1"/>
      <c r="X101" s="1"/>
      <c r="Y101" s="1"/>
      <c r="Z101" s="1"/>
      <c r="AB101" s="1">
        <v>-5.0</v>
      </c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 t="s">
        <v>2652</v>
      </c>
      <c r="AB102" s="1">
        <v>-2.0</v>
      </c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O103" s="1"/>
      <c r="P103" s="1"/>
      <c r="Q103" s="1"/>
      <c r="S103" s="1"/>
      <c r="T103" s="1"/>
      <c r="U103" s="1"/>
      <c r="V103" s="1"/>
      <c r="W103" s="1"/>
      <c r="X103" s="1"/>
      <c r="Y103" s="1"/>
      <c r="Z103" s="1"/>
      <c r="AB103" s="1">
        <v>1.0</v>
      </c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 t="s">
        <v>2653</v>
      </c>
      <c r="AB104" s="1">
        <v>-12.0</v>
      </c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O105" s="1"/>
      <c r="P105" s="1"/>
      <c r="Q105" s="1"/>
      <c r="S105" s="1"/>
      <c r="T105" s="1"/>
      <c r="U105" s="1"/>
      <c r="V105" s="1"/>
      <c r="W105" s="1"/>
      <c r="X105" s="1"/>
      <c r="Y105" s="1"/>
      <c r="Z105" s="1"/>
      <c r="AB105" s="1">
        <v>0.0</v>
      </c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O106" s="1"/>
      <c r="P106" s="1"/>
      <c r="Q106" s="1"/>
      <c r="S106" s="1"/>
      <c r="T106" s="1"/>
      <c r="U106" s="1"/>
      <c r="V106" s="1"/>
      <c r="W106" s="1"/>
      <c r="X106" s="1"/>
      <c r="Y106" s="1"/>
      <c r="Z106" s="1"/>
      <c r="AB106" s="1">
        <v>-1.0</v>
      </c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 t="s">
        <v>2654</v>
      </c>
      <c r="AB107" s="1">
        <v>-14.0</v>
      </c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 t="s">
        <v>2655</v>
      </c>
      <c r="AB108" s="1">
        <v>-6.0</v>
      </c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 t="s">
        <v>2656</v>
      </c>
      <c r="AB109" s="1">
        <v>-11.0</v>
      </c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T110" s="1"/>
      <c r="U110" s="1"/>
      <c r="V110" s="1"/>
      <c r="W110" s="1"/>
      <c r="X110" s="1"/>
      <c r="Y110" s="1"/>
      <c r="Z110" s="1"/>
      <c r="AB110" s="1">
        <v>-8.0</v>
      </c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 t="s">
        <v>2657</v>
      </c>
      <c r="AB111" s="1">
        <v>-1.0</v>
      </c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O112" s="1"/>
      <c r="P112" s="1"/>
      <c r="Q112" s="1"/>
      <c r="S112" s="1"/>
      <c r="T112" s="1"/>
      <c r="U112" s="1"/>
      <c r="V112" s="1"/>
      <c r="W112" s="1"/>
      <c r="X112" s="1"/>
      <c r="Y112" s="1"/>
      <c r="Z112" s="1"/>
      <c r="AB112" s="1">
        <v>4.0</v>
      </c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O113" s="1"/>
      <c r="P113" s="1"/>
      <c r="Q113" s="1"/>
      <c r="S113" s="1"/>
      <c r="T113" s="1"/>
      <c r="U113" s="1"/>
      <c r="V113" s="1"/>
      <c r="W113" s="1"/>
      <c r="X113" s="1"/>
      <c r="Y113" s="1"/>
      <c r="Z113" s="1"/>
      <c r="AB113" s="1">
        <v>-7.0</v>
      </c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 t="s">
        <v>2658</v>
      </c>
      <c r="AB114" s="1">
        <v>12.0</v>
      </c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O115" s="1"/>
      <c r="P115" s="1"/>
      <c r="Q115" s="1"/>
      <c r="S115" s="1"/>
      <c r="T115" s="1"/>
      <c r="U115" s="1"/>
      <c r="V115" s="1"/>
      <c r="W115" s="1"/>
      <c r="X115" s="1"/>
      <c r="Y115" s="1"/>
      <c r="Z115" s="1"/>
      <c r="AB115" s="1">
        <v>-1.0</v>
      </c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 t="s">
        <v>2659</v>
      </c>
      <c r="AB116" s="1">
        <v>-17.0</v>
      </c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T117" s="1"/>
      <c r="U117" s="1"/>
      <c r="V117" s="1"/>
      <c r="W117" s="1"/>
      <c r="X117" s="1"/>
      <c r="Y117" s="1"/>
      <c r="Z117" s="1"/>
      <c r="AB117" s="1">
        <v>-5.0</v>
      </c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T118" s="1"/>
      <c r="U118" s="1"/>
      <c r="V118" s="1"/>
      <c r="W118" s="1"/>
      <c r="X118" s="1"/>
      <c r="Y118" s="1"/>
      <c r="Z118" s="1"/>
      <c r="AB118" s="1">
        <v>-6.0</v>
      </c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T119" s="1"/>
      <c r="U119" s="1"/>
      <c r="V119" s="1"/>
      <c r="W119" s="1"/>
      <c r="X119" s="1"/>
      <c r="Y119" s="1"/>
      <c r="Z119" s="1"/>
      <c r="AB119" s="1">
        <v>-6.0</v>
      </c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 t="s">
        <v>2660</v>
      </c>
      <c r="AB120" s="1">
        <v>-15.0</v>
      </c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S121" s="1"/>
      <c r="T121" s="1"/>
      <c r="U121" s="1"/>
      <c r="V121" s="1"/>
      <c r="W121" s="1"/>
      <c r="X121" s="1"/>
      <c r="Y121" s="1"/>
      <c r="Z121" s="1"/>
      <c r="AB121" s="1">
        <v>-6.0</v>
      </c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O122" s="1"/>
      <c r="P122" s="1"/>
      <c r="Q122" s="1"/>
      <c r="S122" s="1"/>
      <c r="T122" s="1"/>
      <c r="U122" s="1"/>
      <c r="V122" s="1"/>
      <c r="W122" s="1"/>
      <c r="X122" s="1"/>
      <c r="Y122" s="1"/>
      <c r="Z122" s="1"/>
      <c r="AB122" s="1">
        <v>0.0</v>
      </c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O123" s="1"/>
      <c r="P123" s="1"/>
      <c r="Q123" s="1"/>
      <c r="S123" s="1"/>
      <c r="T123" s="1"/>
      <c r="U123" s="1"/>
      <c r="V123" s="1"/>
      <c r="W123" s="1"/>
      <c r="X123" s="1"/>
      <c r="Y123" s="1"/>
      <c r="Z123" s="1"/>
      <c r="AB123" s="1">
        <v>-12.0</v>
      </c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O124" s="1"/>
      <c r="P124" s="1"/>
      <c r="Q124" s="1"/>
      <c r="S124" s="1"/>
      <c r="T124" s="1"/>
      <c r="U124" s="1"/>
      <c r="V124" s="1"/>
      <c r="W124" s="1"/>
      <c r="X124" s="1"/>
      <c r="Y124" s="1"/>
      <c r="Z124" s="1"/>
      <c r="AB124" s="1">
        <v>-11.0</v>
      </c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 t="s">
        <v>2661</v>
      </c>
      <c r="AB125" s="1">
        <v>-11.0</v>
      </c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T126" s="1"/>
      <c r="U126" s="1"/>
      <c r="V126" s="1"/>
      <c r="W126" s="1"/>
      <c r="X126" s="1"/>
      <c r="Y126" s="1"/>
      <c r="Z126" s="1"/>
      <c r="AB126" s="1">
        <v>-6.0</v>
      </c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T127" s="1"/>
      <c r="U127" s="1"/>
      <c r="V127" s="1"/>
      <c r="W127" s="1"/>
      <c r="X127" s="1"/>
      <c r="Y127" s="1"/>
      <c r="Z127" s="1"/>
      <c r="AB127" s="1">
        <v>-8.0</v>
      </c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O128" s="1"/>
      <c r="P128" s="1"/>
      <c r="Q128" s="1"/>
      <c r="S128" s="1"/>
      <c r="T128" s="1"/>
      <c r="U128" s="1"/>
      <c r="V128" s="1"/>
      <c r="W128" s="1"/>
      <c r="X128" s="1"/>
      <c r="Y128" s="1"/>
      <c r="Z128" s="1"/>
      <c r="AB128" s="1">
        <v>0.0</v>
      </c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O129" s="1"/>
      <c r="P129" s="1"/>
      <c r="Q129" s="1"/>
      <c r="S129" s="1"/>
      <c r="T129" s="1"/>
      <c r="U129" s="1"/>
      <c r="V129" s="1"/>
      <c r="W129" s="1"/>
      <c r="X129" s="1"/>
      <c r="Y129" s="1"/>
      <c r="Z129" s="1"/>
      <c r="AB129" s="1">
        <v>0.0</v>
      </c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O130" s="1"/>
      <c r="P130" s="1"/>
      <c r="Q130" s="1"/>
      <c r="S130" s="1"/>
      <c r="T130" s="1"/>
      <c r="U130" s="1"/>
      <c r="V130" s="1"/>
      <c r="W130" s="1"/>
      <c r="X130" s="1"/>
      <c r="Y130" s="1"/>
      <c r="Z130" s="1"/>
      <c r="AB130" s="1">
        <v>-8.0</v>
      </c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S131" s="1"/>
      <c r="T131" s="1"/>
      <c r="U131" s="1"/>
      <c r="V131" s="1"/>
      <c r="W131" s="1"/>
      <c r="X131" s="1"/>
      <c r="Y131" s="1"/>
      <c r="Z131" s="1"/>
      <c r="AB131" s="1">
        <v>-8.0</v>
      </c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S132" s="1"/>
      <c r="T132" s="1"/>
      <c r="U132" s="1"/>
      <c r="V132" s="1"/>
      <c r="W132" s="1"/>
      <c r="X132" s="1"/>
      <c r="Y132" s="1"/>
      <c r="Z132" s="1"/>
      <c r="AB132" s="1">
        <v>-8.0</v>
      </c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O133" s="1"/>
      <c r="P133" s="1"/>
      <c r="Q133" s="1"/>
      <c r="S133" s="1"/>
      <c r="T133" s="1"/>
      <c r="U133" s="1"/>
      <c r="V133" s="1"/>
      <c r="W133" s="1"/>
      <c r="X133" s="1"/>
      <c r="Y133" s="1"/>
      <c r="Z133" s="1"/>
      <c r="AB133" s="1">
        <v>0.0</v>
      </c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T134" s="1"/>
      <c r="U134" s="1"/>
      <c r="V134" s="1"/>
      <c r="W134" s="1"/>
      <c r="X134" s="1"/>
      <c r="Y134" s="1"/>
      <c r="Z134" s="1"/>
      <c r="AB134" s="1">
        <v>-5.0</v>
      </c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O135" s="1"/>
      <c r="P135" s="1"/>
      <c r="Q135" s="1"/>
      <c r="S135" s="1"/>
      <c r="T135" s="1"/>
      <c r="U135" s="1"/>
      <c r="V135" s="1"/>
      <c r="W135" s="1"/>
      <c r="X135" s="1"/>
      <c r="Y135" s="1"/>
      <c r="Z135" s="1"/>
      <c r="AB135" s="1">
        <v>0.0</v>
      </c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S136" s="1"/>
      <c r="T136" s="1"/>
      <c r="U136" s="1"/>
      <c r="V136" s="1"/>
      <c r="W136" s="1"/>
      <c r="X136" s="1"/>
      <c r="Y136" s="1"/>
      <c r="Z136" s="1"/>
      <c r="AB136" s="1">
        <v>-10.0</v>
      </c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O137" s="1"/>
      <c r="P137" s="1"/>
      <c r="Q137" s="1"/>
      <c r="S137" s="1"/>
      <c r="T137" s="1"/>
      <c r="U137" s="1"/>
      <c r="V137" s="1"/>
      <c r="W137" s="1"/>
      <c r="X137" s="1"/>
      <c r="Y137" s="1"/>
      <c r="Z137" s="1"/>
      <c r="AB137" s="1">
        <v>-12.0</v>
      </c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 t="s">
        <v>2662</v>
      </c>
      <c r="AB138" s="1">
        <v>-10.0</v>
      </c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rawing r:id="rId1"/>
</worksheet>
</file>