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ntrola" sheetId="1" r:id="rId4"/>
    <sheet state="visible" name="Dashboard" sheetId="2" r:id="rId5"/>
    <sheet state="visible" name="Porovnat" sheetId="3" r:id="rId6"/>
    <sheet state="visible" name="Kopie listu Ziskovost 1" sheetId="4" r:id="rId7"/>
    <sheet state="visible" name="Kopie listu Ziskovost" sheetId="5" r:id="rId8"/>
    <sheet state="visible" name="Ziskovost" sheetId="6" r:id="rId9"/>
    <sheet state="visible" name="Malešice" sheetId="7" r:id="rId10"/>
    <sheet state="visible" name="Zličín" sheetId="8" r:id="rId11"/>
    <sheet state="visible" name="Chodov" sheetId="9" r:id="rId12"/>
    <sheet state="visible" name="Libuš" sheetId="10" r:id="rId13"/>
    <sheet state="visible" name="Prosek" sheetId="11" r:id="rId14"/>
    <sheet state="visible" name="August 2024" sheetId="12" r:id="rId15"/>
    <sheet state="visible" name="RestiaCSV" sheetId="13" r:id="rId16"/>
    <sheet state="visible" name="HR" sheetId="14" r:id="rId17"/>
    <sheet state="visible" name="Bolevec" sheetId="15" r:id="rId18"/>
  </sheets>
  <definedNames>
    <definedName hidden="1" localSheetId="12" name="_xlnm._FilterDatabase">RestiaCSV!$A$1:$M$3431</definedName>
  </definedNames>
  <calcPr/>
  <extLst>
    <ext uri="GoogleSheetsCustomDataVersion2">
      <go:sheetsCustomData xmlns:go="http://customooxmlschemas.google.com/" r:id="rId19" roundtripDataChecksum="9895Xob+b+/pzNQw8WNBmbhoXei/Rw9FckgQpjTA19Y="/>
    </ext>
  </extLst>
</workbook>
</file>

<file path=xl/sharedStrings.xml><?xml version="1.0" encoding="utf-8"?>
<sst xmlns="http://schemas.openxmlformats.org/spreadsheetml/2006/main" count="1775" uniqueCount="459">
  <si>
    <t>Zličín</t>
  </si>
  <si>
    <t>Vyber datum    &lt;----------&gt;</t>
  </si>
  <si>
    <t>COL</t>
  </si>
  <si>
    <t>Tržba</t>
  </si>
  <si>
    <t>Online Platby</t>
  </si>
  <si>
    <t>Wolt</t>
  </si>
  <si>
    <t>Bolt</t>
  </si>
  <si>
    <t>Dáme jídlo</t>
  </si>
  <si>
    <t>Celkem hodin Instor</t>
  </si>
  <si>
    <t>Celkem hodin Kurýr</t>
  </si>
  <si>
    <t>Web</t>
  </si>
  <si>
    <t>Wolt drive cash</t>
  </si>
  <si>
    <t>DJ Cash</t>
  </si>
  <si>
    <t>Instor</t>
  </si>
  <si>
    <t>Kurýr</t>
  </si>
  <si>
    <t>Pokladna</t>
  </si>
  <si>
    <t>Hotovost</t>
  </si>
  <si>
    <t>Jméno</t>
  </si>
  <si>
    <t>Počet dní</t>
  </si>
  <si>
    <t>Počet hodin</t>
  </si>
  <si>
    <t>Počet rozvozů</t>
  </si>
  <si>
    <t>Terminál</t>
  </si>
  <si>
    <t>29:00</t>
  </si>
  <si>
    <t>Stravenky</t>
  </si>
  <si>
    <t>23:00</t>
  </si>
  <si>
    <t>13:00</t>
  </si>
  <si>
    <t>Výdaje</t>
  </si>
  <si>
    <t>Benzín</t>
  </si>
  <si>
    <t>7:00</t>
  </si>
  <si>
    <t>Auta</t>
  </si>
  <si>
    <t>Suroviny</t>
  </si>
  <si>
    <t>Ostatní</t>
  </si>
  <si>
    <t>PHM - soukromé</t>
  </si>
  <si>
    <t>Zrušené obj. ks</t>
  </si>
  <si>
    <t>Zrušené obj. $</t>
  </si>
  <si>
    <t>Počet zpožděných našich rozvozů +5 min</t>
  </si>
  <si>
    <t>Průměrný make Time</t>
  </si>
  <si>
    <t>počet výdajových dokadů</t>
  </si>
  <si>
    <t>Počet nezrušených celkem</t>
  </si>
  <si>
    <t>Počet našich rozvozů</t>
  </si>
  <si>
    <t>Počet pozdě přiřazeným WoltDrive 5+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</si>
  <si>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</si>
  <si>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</si>
  <si>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</si>
  <si>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</si>
  <si>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</si>
  <si>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 xml:space="preserve">  </t>
  </si>
  <si>
    <t>1.</t>
  </si>
  <si>
    <t>2.</t>
  </si>
  <si>
    <t>3.</t>
  </si>
  <si>
    <t>4.</t>
  </si>
  <si>
    <t xml:space="preserve"> </t>
  </si>
  <si>
    <t>cos+chem</t>
  </si>
  <si>
    <t>odvod cent.</t>
  </si>
  <si>
    <t>Počet objednávek</t>
  </si>
  <si>
    <t>% včas</t>
  </si>
  <si>
    <t>Hodiny instore</t>
  </si>
  <si>
    <t>Hodiny kurýr</t>
  </si>
  <si>
    <t>Make time</t>
  </si>
  <si>
    <t>Wolt drive</t>
  </si>
  <si>
    <t>naše rozvozy</t>
  </si>
  <si>
    <t>WOLT</t>
  </si>
  <si>
    <t>BOLT</t>
  </si>
  <si>
    <t>FOODORA online</t>
  </si>
  <si>
    <t>WEB online</t>
  </si>
  <si>
    <t>Karty</t>
  </si>
  <si>
    <t>stravenky</t>
  </si>
  <si>
    <t>Hrubý obrat</t>
  </si>
  <si>
    <t>Tržba čistá</t>
  </si>
  <si>
    <t>Náklad mzdy</t>
  </si>
  <si>
    <t>Agregatory 25%</t>
  </si>
  <si>
    <t>COS + chemie</t>
  </si>
  <si>
    <t>Nájem + služby</t>
  </si>
  <si>
    <t>Energie</t>
  </si>
  <si>
    <t>Zisk</t>
  </si>
  <si>
    <t>Malešice</t>
  </si>
  <si>
    <t>Chodov</t>
  </si>
  <si>
    <t>Libuš</t>
  </si>
  <si>
    <t>Prosek</t>
  </si>
  <si>
    <t>Bolevec</t>
  </si>
  <si>
    <t>Součet</t>
  </si>
  <si>
    <t>Datum</t>
  </si>
  <si>
    <t>28.02.2026 - 15.03.2026</t>
  </si>
  <si>
    <t>01.03.2025 - 16.03.2025</t>
  </si>
  <si>
    <t>01.03.2025 - 31.03.2025</t>
  </si>
  <si>
    <t>01.02.2025 - 28.02.2025</t>
  </si>
  <si>
    <t>11 min 50 s</t>
  </si>
  <si>
    <t>12 min 15 s</t>
  </si>
  <si>
    <t>12 min 16 s</t>
  </si>
  <si>
    <t>11 min 20 s</t>
  </si>
  <si>
    <t>FOODODA online</t>
  </si>
  <si>
    <t>10 min 33 s</t>
  </si>
  <si>
    <t>9 min 35 s</t>
  </si>
  <si>
    <t>9 min 41 s</t>
  </si>
  <si>
    <t>9 min 39 s</t>
  </si>
  <si>
    <t>12 min 36 s</t>
  </si>
  <si>
    <t>12 min 12 s</t>
  </si>
  <si>
    <t>11 min 53 s</t>
  </si>
  <si>
    <t>11 min 22 s</t>
  </si>
  <si>
    <t>12 min 24 s</t>
  </si>
  <si>
    <t>11 min 18 s</t>
  </si>
  <si>
    <t>10 min 58 s</t>
  </si>
  <si>
    <t>10 min 03 s</t>
  </si>
  <si>
    <t>11 min 16 s</t>
  </si>
  <si>
    <t>8 min 43 s</t>
  </si>
  <si>
    <t>8 min 57 s</t>
  </si>
  <si>
    <t>9 min 23 s</t>
  </si>
  <si>
    <t>10 min 00 s</t>
  </si>
  <si>
    <t>Centrála</t>
  </si>
  <si>
    <t>Odvod</t>
  </si>
  <si>
    <t>Office</t>
  </si>
  <si>
    <t>Vyroba</t>
  </si>
  <si>
    <t>Adaptee</t>
  </si>
  <si>
    <t>Vodfone</t>
  </si>
  <si>
    <t>Opravy</t>
  </si>
  <si>
    <t>Sklad</t>
  </si>
  <si>
    <t>Vozový park</t>
  </si>
  <si>
    <t>Kancelář</t>
  </si>
  <si>
    <t>Marketing</t>
  </si>
  <si>
    <t>Poplatky str. karty, banka</t>
  </si>
  <si>
    <t>Restia</t>
  </si>
  <si>
    <t>Bonusy</t>
  </si>
  <si>
    <t>Dovolené</t>
  </si>
  <si>
    <t>BOZP, DDD, HACCP</t>
  </si>
  <si>
    <t xml:space="preserve">Agregatory </t>
  </si>
  <si>
    <t>Foodora</t>
  </si>
  <si>
    <t>BOZP+</t>
  </si>
  <si>
    <t>Vodafone</t>
  </si>
  <si>
    <t>Multisportky + bolt</t>
  </si>
  <si>
    <t>Drobné nákupy</t>
  </si>
  <si>
    <t>účetní</t>
  </si>
  <si>
    <t>Yarushynskyi Vladyslav</t>
  </si>
  <si>
    <t>8:00</t>
  </si>
  <si>
    <t>Kalina Filip</t>
  </si>
  <si>
    <t>5:00</t>
  </si>
  <si>
    <t>Kopic Jakub</t>
  </si>
  <si>
    <t>Hendrych Rostislav</t>
  </si>
  <si>
    <t>11:00</t>
  </si>
  <si>
    <t>11 min 23 s</t>
  </si>
  <si>
    <t>Počet Wolt drive</t>
  </si>
  <si>
    <t>Veselý Ondřej</t>
  </si>
  <si>
    <t>16:30</t>
  </si>
  <si>
    <t>Hubr Samuel</t>
  </si>
  <si>
    <t>20:00</t>
  </si>
  <si>
    <t>19:00</t>
  </si>
  <si>
    <t>Coufal Jakub</t>
  </si>
  <si>
    <t>Serin David</t>
  </si>
  <si>
    <t>5:30</t>
  </si>
  <si>
    <t>Hanakova Ayuna</t>
  </si>
  <si>
    <t>Zimmer Jakub</t>
  </si>
  <si>
    <t>7:30</t>
  </si>
  <si>
    <t>Kormash Liubov</t>
  </si>
  <si>
    <t>Pánková Vendula</t>
  </si>
  <si>
    <t>13 min 06 s</t>
  </si>
  <si>
    <t>Židek Petr</t>
  </si>
  <si>
    <t>Navrátil Ondřej</t>
  </si>
  <si>
    <t>Sova Martin</t>
  </si>
  <si>
    <t>14:00</t>
  </si>
  <si>
    <t>Nekolný Vladimír</t>
  </si>
  <si>
    <t>Šebesta Tomáš</t>
  </si>
  <si>
    <t>Lanský Zoltan</t>
  </si>
  <si>
    <t>6:00</t>
  </si>
  <si>
    <t>Přibyl Jan</t>
  </si>
  <si>
    <t>32:00</t>
  </si>
  <si>
    <t>Jan Přibyl</t>
  </si>
  <si>
    <t>Hrach Michal</t>
  </si>
  <si>
    <t>57:30</t>
  </si>
  <si>
    <t>Pelikán Jan</t>
  </si>
  <si>
    <t>9:00</t>
  </si>
  <si>
    <t>Pražák Aleš</t>
  </si>
  <si>
    <t>12:00</t>
  </si>
  <si>
    <t>Reischl Jan</t>
  </si>
  <si>
    <t>18:00</t>
  </si>
  <si>
    <t>Eszenyiová Patrícia</t>
  </si>
  <si>
    <t>Dušek Sam</t>
  </si>
  <si>
    <t>12:30</t>
  </si>
  <si>
    <t>Novák Dalibor</t>
  </si>
  <si>
    <t>8:30</t>
  </si>
  <si>
    <t>3:00</t>
  </si>
  <si>
    <t>14 min 44 s</t>
  </si>
  <si>
    <t>230:00</t>
  </si>
  <si>
    <t>Hanibal Filip</t>
  </si>
  <si>
    <t>41:00</t>
  </si>
  <si>
    <t>Dominik Nedvěd</t>
  </si>
  <si>
    <t>30:00</t>
  </si>
  <si>
    <t>15:00</t>
  </si>
  <si>
    <t>Nedvěd Dominik</t>
  </si>
  <si>
    <t>39:00</t>
  </si>
  <si>
    <t>Nováková Adéla</t>
  </si>
  <si>
    <t>1:00</t>
  </si>
  <si>
    <t>Vychivskyi Volodymyr</t>
  </si>
  <si>
    <t>10 min 13 s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</si>
  <si>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</si>
  <si>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</si>
  <si>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</si>
  <si>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</si>
  <si>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</si>
  <si>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</si>
  <si>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</si>
  <si>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</si>
  <si>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</si>
  <si>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</si>
  <si>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</si>
  <si>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</si>
  <si>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</si>
  <si>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</si>
  <si>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</si>
  <si>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</si>
  <si>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</si>
  <si>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</si>
  <si>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</si>
  <si>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</si>
  <si>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</si>
  <si>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</si>
  <si>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Pokladna - VÝSLEDEK</t>
  </si>
  <si>
    <t>Počet zpožděných objednávek z webu +5 min</t>
  </si>
  <si>
    <t>Počet vydajových dokladů</t>
  </si>
  <si>
    <t>Woltrdrive zpožděný kvůli našemu pozdnímu přiřazení</t>
  </si>
  <si>
    <t>Úterý</t>
  </si>
  <si>
    <t>Martin Sova</t>
  </si>
  <si>
    <t>10:00</t>
  </si>
  <si>
    <t>03:00</t>
  </si>
  <si>
    <t>Ahurieva Viktoriia</t>
  </si>
  <si>
    <t>01:00</t>
  </si>
  <si>
    <t>Ondřej Navrátil</t>
  </si>
  <si>
    <t>07:00</t>
  </si>
  <si>
    <t>Zbyněk Hyský</t>
  </si>
  <si>
    <t>00:00</t>
  </si>
  <si>
    <t>06:00</t>
  </si>
  <si>
    <t>Pešová Hana</t>
  </si>
  <si>
    <t>17:00</t>
  </si>
  <si>
    <t>08:00</t>
  </si>
  <si>
    <t>15 min 46 s</t>
  </si>
  <si>
    <t>Platforma</t>
  </si>
  <si>
    <t>Stav</t>
  </si>
  <si>
    <t>Cena</t>
  </si>
  <si>
    <t>Sleva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</si>
  <si>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</si>
  <si>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</si>
  <si>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</si>
  <si>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</si>
  <si>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</si>
  <si>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</si>
  <si>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</si>
  <si>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</si>
  <si>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</si>
  <si>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damejidlo</t>
  </si>
  <si>
    <t>delivered</t>
  </si>
  <si>
    <t>online</t>
  </si>
  <si>
    <t>2024-09-15T02:38:04.762+02:00</t>
  </si>
  <si>
    <t>2024-09-15T02:49:23.552+02:00</t>
  </si>
  <si>
    <t>external-delivery</t>
  </si>
  <si>
    <t>cash</t>
  </si>
  <si>
    <t>2024-09-15T02:19:03.897+02:00</t>
  </si>
  <si>
    <t>2024-09-15T02:29:22.618+02:00</t>
  </si>
  <si>
    <t>ready_pickup</t>
  </si>
  <si>
    <t>2024-09-15T02:00:03.376+02:00</t>
  </si>
  <si>
    <t>2024-09-15T02:13:09.849+02:00</t>
  </si>
  <si>
    <t>2024-09-15T01:46:42.899+02:00</t>
  </si>
  <si>
    <t>2024-09-15T02:04:37.516+02:00</t>
  </si>
  <si>
    <t>2024-09-15T01:43:35.193+02:00</t>
  </si>
  <si>
    <t>2024-09-15T02:03:32.641+02:00</t>
  </si>
  <si>
    <t>wolt</t>
  </si>
  <si>
    <t>Wolt Kurýr</t>
  </si>
  <si>
    <t>2024-09-15T00:54:35.548+02:00</t>
  </si>
  <si>
    <t>2024-09-15T01:06:03.818+02:00</t>
  </si>
  <si>
    <t>2024-09-15T00:10:02.306+02:00</t>
  </si>
  <si>
    <t>2024-09-15T00:32:03.547+02:00</t>
  </si>
  <si>
    <t>2024-09-15T00:10:02.297+02:00</t>
  </si>
  <si>
    <t>2024-09-15T00:23:57.598+02:00</t>
  </si>
  <si>
    <t>2024-09-15T00:19:54.587+02:00</t>
  </si>
  <si>
    <t>2024-09-15T00:10:26.487+02:00</t>
  </si>
  <si>
    <t>2024-09-14T23:53:06.751+02:00</t>
  </si>
  <si>
    <t>2024-09-14T23:24:28.424+02:00</t>
  </si>
  <si>
    <t>2024-09-14T23:19:58.488+02:00</t>
  </si>
  <si>
    <t>2024-09-14T23:10:44.500+02:00</t>
  </si>
  <si>
    <t>2024-09-14T23:07:03.490+02:00</t>
  </si>
  <si>
    <t>2024-09-14T23:05:27.522+02:00</t>
  </si>
  <si>
    <t>bolt</t>
  </si>
  <si>
    <t>Olga</t>
  </si>
  <si>
    <t>2024-09-14T22:55:38.379+02:00</t>
  </si>
  <si>
    <t>2024-09-14T22:58:05.489+02:00</t>
  </si>
  <si>
    <t>2024-09-14T22:53:13.008+02:00</t>
  </si>
  <si>
    <t>manual</t>
  </si>
  <si>
    <t>2024-09-14T22:40:09.177+02:00</t>
  </si>
  <si>
    <t>generic</t>
  </si>
  <si>
    <t>2024-09-14T22:30:48.168+02:00</t>
  </si>
  <si>
    <t>2024-09-14T22:09:53.153+02:00</t>
  </si>
  <si>
    <t>2024-09-14T22:03:54.508+02:00</t>
  </si>
  <si>
    <t>2024-09-14T21:44:43.640+02:00</t>
  </si>
  <si>
    <t>2024-09-14T21:36:48.500+02:00</t>
  </si>
  <si>
    <t>2024-09-14T21:30:07.482+02:00</t>
  </si>
  <si>
    <t>2024-09-14T21:15:13.114+02:00</t>
  </si>
  <si>
    <t>2024-09-14T21:28:49.413+02:00</t>
  </si>
  <si>
    <t>Martin Jurkovič</t>
  </si>
  <si>
    <t>delivery</t>
  </si>
  <si>
    <t>2024-09-14T21:10:03.528+02:00</t>
  </si>
  <si>
    <t>2024-09-14T21:21:53.179+02:00</t>
  </si>
  <si>
    <t>2024-09-14T21:47:16.204+02:00</t>
  </si>
  <si>
    <t>2024-09-14T21:10:04.248+02:00</t>
  </si>
  <si>
    <t>2024-09-14T21:06:05.505+02:00</t>
  </si>
  <si>
    <t>2024-09-14T21:18:40.133+02:00</t>
  </si>
  <si>
    <t>2024-09-14T21:32:06.448+02:00</t>
  </si>
  <si>
    <t>2024-09-14T21:06:06.051+02:00</t>
  </si>
  <si>
    <t>2024-09-14T20:36:21.082+02:00</t>
  </si>
  <si>
    <t>2024-09-14T20:49:20.393+02:00</t>
  </si>
  <si>
    <t>2024-09-14T20:35:31.821+02:00</t>
  </si>
  <si>
    <t>2024-09-14T20:43:30.340+02:00</t>
  </si>
  <si>
    <t>2024-09-14T20:28:57.222+02:00</t>
  </si>
  <si>
    <t>2024-09-14T20:39:51.641+02:00</t>
  </si>
  <si>
    <t>pickup</t>
  </si>
  <si>
    <t>2024-09-14T20:27:34.064+02:00</t>
  </si>
  <si>
    <t>2024-09-14T20:37:37.135+02:00</t>
  </si>
  <si>
    <t>2024-09-14T20:06:24.089+02:00</t>
  </si>
  <si>
    <t>2024-09-14T20:15:14.342+02:00</t>
  </si>
  <si>
    <t>2024-09-14T20:06:23.112+02:00</t>
  </si>
  <si>
    <t>2024-09-14T20:14:52.336+02:00</t>
  </si>
  <si>
    <t>2024-09-14T19:30:41.299+02:00</t>
  </si>
  <si>
    <t>2024-09-14T20:02:41.348+02:00</t>
  </si>
  <si>
    <t>2024-09-14T19:28:23.837+02:00</t>
  </si>
  <si>
    <t>2024-09-14T19:47:57.365+02:00</t>
  </si>
  <si>
    <t>2024-09-14T19:27:24.719+02:00</t>
  </si>
  <si>
    <t>2024-09-14T19:39:11.625+02:00</t>
  </si>
  <si>
    <t>2024-09-14T19:25:18.383+02:00</t>
  </si>
  <si>
    <t>2024-09-14T19:40:26.348+02:00</t>
  </si>
  <si>
    <t>Lenka</t>
  </si>
  <si>
    <t>2024-09-14T19:05:13.260+02:00</t>
  </si>
  <si>
    <t>2024-09-14T19:16:30.299+02:00</t>
  </si>
  <si>
    <t>2024-09-14T18:48:03.609+02:00</t>
  </si>
  <si>
    <t>2024-09-14T19:14:33.064+02:00</t>
  </si>
  <si>
    <t>2024-09-14T19:40:57.836+02:00</t>
  </si>
  <si>
    <t>2024-09-14T18:48:04.159+02:00</t>
  </si>
  <si>
    <t>2024-09-14T18:47:02.429+02:00</t>
  </si>
  <si>
    <t>2024-09-14T19:14:36.066+02:00</t>
  </si>
  <si>
    <t>2024-09-14T19:26:10.229+02:00</t>
  </si>
  <si>
    <t>2024-09-14T18:47:03.068+02:00</t>
  </si>
  <si>
    <t>2024-09-14T18:46:07.131+02:00</t>
  </si>
  <si>
    <t>2024-09-14T19:10:09.411+02:00</t>
  </si>
  <si>
    <t>2024-09-14T18:45:28.814+02:00</t>
  </si>
  <si>
    <t>2024-09-14T19:03:44.352+02:00</t>
  </si>
  <si>
    <t>2024-09-14T18:42:56.449+02:00</t>
  </si>
  <si>
    <t>2024-09-14T18:52:20.317+02:00</t>
  </si>
  <si>
    <t>2024-09-14T18:34:38.859+02:00</t>
  </si>
  <si>
    <t>2024-09-14T18:49:27.308+02:00</t>
  </si>
  <si>
    <t>2024-09-14T18:24:25.015+02:00</t>
  </si>
  <si>
    <t>2024-09-14T18:37:34.282+02:00</t>
  </si>
  <si>
    <t>2024-09-14T18:22:03.432+02:00</t>
  </si>
  <si>
    <t>2024-09-14T18:32:39.138+02:00</t>
  </si>
  <si>
    <t>2024-09-14T18:42:12.055+02:00</t>
  </si>
  <si>
    <t>2024-09-14T18:22:04.030+02:00</t>
  </si>
  <si>
    <t>2024-09-14T18:18:43.808+02:00</t>
  </si>
  <si>
    <t>2024-09-14T18:28:53.602+02:00</t>
  </si>
  <si>
    <t>2024-09-14T18:18:02.899+02:00</t>
  </si>
  <si>
    <t>2024-09-14T19:02:07.023+02:00</t>
  </si>
  <si>
    <t>Umirzok</t>
  </si>
  <si>
    <t>2024-09-14T18:01:17.095+02:00</t>
  </si>
  <si>
    <t>2024-09-14T18:17:44.228+02:00</t>
  </si>
  <si>
    <t>2024-09-14T17:54:08.443+02:00</t>
  </si>
  <si>
    <t>2024-09-14T18:04:29.437+02:00</t>
  </si>
  <si>
    <t>Radim</t>
  </si>
  <si>
    <t>2024-09-14T17:34:22.909+02:00</t>
  </si>
  <si>
    <t>2024-09-14T17:46:20.318+02:00</t>
  </si>
  <si>
    <t>2024-09-14T17:23:00.869+02:00</t>
  </si>
  <si>
    <t>2024-09-14T17:41:43.409+02:00</t>
  </si>
  <si>
    <t>2024-09-14T17:23:00.836+02:00</t>
  </si>
  <si>
    <t>2024-09-14T17:37:19.304+02:00</t>
  </si>
  <si>
    <t>2024-09-14T17:12:05.659+02:00</t>
  </si>
  <si>
    <t>2024-09-14T17:24:24.641+02:00</t>
  </si>
  <si>
    <t>2024-09-14T17:11:24.788+02:00</t>
  </si>
  <si>
    <t>2024-09-14T17:20:27.324+02:00</t>
  </si>
  <si>
    <t>2024-09-14T17:11:21.486+02:00</t>
  </si>
  <si>
    <t>2024-09-14T17:27:03.287+02:00</t>
  </si>
  <si>
    <t>2024-09-14T16:47:03.571+02:00</t>
  </si>
  <si>
    <t>2024-09-14T16:56:35.149+02:00</t>
  </si>
  <si>
    <t>2024-09-14T17:13:51.920+02:00</t>
  </si>
  <si>
    <t>2024-09-14T16:49:40.656+02:00</t>
  </si>
  <si>
    <t>2024-09-14T16:29:09.447+02:00</t>
  </si>
  <si>
    <t>2024-09-14T16:40:14.215+02:00</t>
  </si>
  <si>
    <t>2024-09-14T16:15:00.361+02:00</t>
  </si>
  <si>
    <t>2024-09-14T16:25:47.256+02:00</t>
  </si>
  <si>
    <t>2024-09-14T16:13:34.848+02:00</t>
  </si>
  <si>
    <t>2024-09-14T16:21:56.585+02:00</t>
  </si>
  <si>
    <t>2024-09-14T15:59:57.442+02:00</t>
  </si>
  <si>
    <t>2024-09-14T16:14:12.344+02:00</t>
  </si>
  <si>
    <t>2024-09-14T15:59:00.546+02:00</t>
  </si>
  <si>
    <t>2024-09-14T16:12:03.211+02:00</t>
  </si>
  <si>
    <t>2024-09-14T15:28:47.163+02:00</t>
  </si>
  <si>
    <t>2024-09-14T15:45:34.058+02:00</t>
  </si>
  <si>
    <t>2024-09-14T15:26:56.244+02:00</t>
  </si>
  <si>
    <t>2024-09-14T15:43:50.103+02:00</t>
  </si>
  <si>
    <t>2024-09-14T15:26:16.782+02:00</t>
  </si>
  <si>
    <t>2024-09-14T15:40:40.139+02:00</t>
  </si>
  <si>
    <t>2024-09-14T15:23:17.317+02:00</t>
  </si>
  <si>
    <t>2024-09-14T15:37:03.243+02:00</t>
  </si>
  <si>
    <t>2024-09-14T15:19:44.950+02:00</t>
  </si>
  <si>
    <t>2024-09-14T15:32:16.017+02:00</t>
  </si>
  <si>
    <t>2024-09-14T15:02:35.181+02:00</t>
  </si>
  <si>
    <t>2024-09-14T15:14:43.320+02:00</t>
  </si>
  <si>
    <t>2024-09-14T14:57:35.622+02:00</t>
  </si>
  <si>
    <t>2024-09-14T15:06:22.142+02:00</t>
  </si>
  <si>
    <t>2024-09-14T14:39:02.979+02:00</t>
  </si>
  <si>
    <t>2024-09-14T14:46:23.846+02:00</t>
  </si>
  <si>
    <t>2024-09-14T15:08:36.751+02:00</t>
  </si>
  <si>
    <t>2024-09-14T14:39:54.137+02:00</t>
  </si>
  <si>
    <t>2024-09-14T14:05:59.316+02:00</t>
  </si>
  <si>
    <t>2024-09-14T14:13:15.327+02:00</t>
  </si>
  <si>
    <t>2024-09-14T14:03:46.550+02:00</t>
  </si>
  <si>
    <t>2024-09-14T14:12:17.052+02:00</t>
  </si>
  <si>
    <t>2024-09-14T13:32:02.658+02:00</t>
  </si>
  <si>
    <t>2024-09-14T13:48:14.823+02:00</t>
  </si>
  <si>
    <t>2024-09-14T13:26:07.253+02:00</t>
  </si>
  <si>
    <t>2024-09-14T13:36:31.039+02:00</t>
  </si>
  <si>
    <t>2024-09-14T13:00:03.641+02:00</t>
  </si>
  <si>
    <t>2024-09-14T13:17:21.058+02:00</t>
  </si>
  <si>
    <t>2024-09-14T13:28:06.593+02:00</t>
  </si>
  <si>
    <t>2024-09-14T13:16:54.901+02:00</t>
  </si>
  <si>
    <t>2024-09-14T12:58:32.557+02:00</t>
  </si>
  <si>
    <t>2024-09-14T13:12:30.385+02:00</t>
  </si>
  <si>
    <t>2024-09-14T12:48:02.914+02:00</t>
  </si>
  <si>
    <t>2024-09-14T12:57:11.827+02:00</t>
  </si>
  <si>
    <t>2024-09-14T13:05:57.230+02:00</t>
  </si>
  <si>
    <t>2024-09-14T12:48:33.057+02:00</t>
  </si>
  <si>
    <t>2024-09-14T12:30:03.151+02:00</t>
  </si>
  <si>
    <t>2024-09-14T12:38:56.901+02:00</t>
  </si>
  <si>
    <t>2024-09-14T12:55:44.311+02:00</t>
  </si>
  <si>
    <t>2024-09-14T12:30:10.838+02:00</t>
  </si>
  <si>
    <t>2024-09-14T12:19:53.018+02:00</t>
  </si>
  <si>
    <t>2024-09-14T12:35:40.905+02:00</t>
  </si>
  <si>
    <t>2024-09-14T12:17:22.216+02:00</t>
  </si>
  <si>
    <t>2024-09-14T12:29:50.918+02:00</t>
  </si>
  <si>
    <t>2024-09-14T12:06:02.785+02:00</t>
  </si>
  <si>
    <t>2024-09-14T12:17:26.780+02:00</t>
  </si>
  <si>
    <t>2024-09-14T12:48:42.853+02:00</t>
  </si>
  <si>
    <t>2024-09-14T12:06:37.787+02:00</t>
  </si>
  <si>
    <t>2024-09-14T11:56:18.956+02:00</t>
  </si>
  <si>
    <t>2024-09-14T12:07:30.856+02:00</t>
  </si>
  <si>
    <t>2024-09-14T11:46:11.027+02:00</t>
  </si>
  <si>
    <t>2024-09-14T11:59:12.870+02:00</t>
  </si>
  <si>
    <t>2024-09-14T11:43:18.439+02:00</t>
  </si>
  <si>
    <t>2024-09-14T11:53:47.891+02:00</t>
  </si>
  <si>
    <t>2024-09-14T11:32:04.224+02:00</t>
  </si>
  <si>
    <t>2024-09-14T11:44:38.879+02:00</t>
  </si>
  <si>
    <t>2024-09-14T11:16:03.177+02:00</t>
  </si>
  <si>
    <t>2024-09-14T11:33:19.781+02:00</t>
  </si>
  <si>
    <t>2024-09-14T11:46:59.192+02:00</t>
  </si>
  <si>
    <t>2024-09-14T11:16:37.697+02:00</t>
  </si>
  <si>
    <t>2024-09-14T11:10:57.023+02:00</t>
  </si>
  <si>
    <t>2024-09-14T11:22:22.972+02:00</t>
  </si>
  <si>
    <t>Vlož Souhrn mzdy</t>
  </si>
  <si>
    <t>Manažeři</t>
  </si>
  <si>
    <t>Zamestnanci pobocky</t>
  </si>
  <si>
    <t>Roth Stanislav ml.</t>
  </si>
  <si>
    <t>Kneblová Anna</t>
  </si>
  <si>
    <t>Rothová Anastasia</t>
  </si>
  <si>
    <t>Světlík František</t>
  </si>
  <si>
    <t>Vostrý Daniel</t>
  </si>
  <si>
    <t>4:00</t>
  </si>
  <si>
    <t>Tůma Vladimír</t>
  </si>
  <si>
    <t>14 min 03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</si>
</sst>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-&quot;mm&quot;-&quot;yyyy"/>
    <numFmt numFmtId="165" formatCode="#,##0\ [$Kč-405]"/>
    <numFmt numFmtId="166" formatCode="&quot;/&quot;d&quot;/&quot;myy"/>
    <numFmt numFmtId="167" formatCode="dd.mm.yyyy"/>
    <numFmt numFmtId="168" formatCode="d.m.yyyy"/>
    <numFmt numFmtId="169" formatCode="0.0"/>
    <numFmt numFmtId="170" formatCode="#,##0.00\ [$Kč-405]"/>
  </numFmts>
  <fonts count="20">
    <font>
      <sz val="10.0"/>
      <color rgb="FF000000"/>
      <name val="Arial"/>
      <scheme val="minor"/>
    </font>
    <font>
      <b/>
      <sz val="20.0"/>
      <color theme="1"/>
      <name val="Arial"/>
    </font>
    <font>
      <b/>
      <sz val="13.0"/>
      <color theme="1"/>
      <name val="Google Sans"/>
    </font>
    <font>
      <b/>
      <sz val="14.0"/>
      <color theme="1"/>
      <name val="Arial"/>
    </font>
    <font>
      <b/>
      <sz val="26.0"/>
      <color theme="1"/>
      <name val="Arial"/>
    </font>
    <font/>
    <font>
      <b/>
      <sz val="25.0"/>
      <color rgb="FF000000"/>
      <name val="Google Sans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sz val="11.0"/>
      <color theme="1"/>
      <name val="Arial"/>
    </font>
    <font>
      <b/>
      <sz val="13.0"/>
      <color theme="1"/>
      <name val="Arial"/>
    </font>
    <font>
      <sz val="16.0"/>
      <color theme="1"/>
      <name val="Arial"/>
    </font>
    <font>
      <b/>
      <color theme="1"/>
      <name val="Arial"/>
    </font>
    <font>
      <b/>
      <sz val="20.0"/>
      <color rgb="FFFFFFFF"/>
      <name val="Arial"/>
    </font>
    <font>
      <sz val="9.0"/>
      <color theme="1"/>
      <name val="Google Sans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7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left style="medium">
        <color rgb="FF000000"/>
      </lef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0" fillId="2" fontId="1" numFmtId="2" xfId="0" applyAlignment="1" applyFill="1" applyFont="1" applyNumberFormat="1">
      <alignment horizontal="center" vertical="center"/>
    </xf>
    <xf borderId="1" fillId="3" fontId="1" numFmtId="2" xfId="0" applyAlignment="1" applyBorder="1" applyFill="1" applyFont="1" applyNumberFormat="1">
      <alignment horizontal="center" vertical="center"/>
    </xf>
    <xf borderId="2" fillId="4" fontId="2" numFmtId="164" xfId="0" applyAlignment="1" applyBorder="1" applyFill="1" applyFont="1" applyNumberForma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1"/>
    </xf>
    <xf borderId="3" fillId="4" fontId="2" numFmtId="164" xfId="0" applyAlignment="1" applyBorder="1" applyFont="1" applyNumberFormat="1">
      <alignment horizontal="center" shrinkToFit="0" vertical="center" wrapText="0"/>
    </xf>
    <xf borderId="4" fillId="4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4" fontId="3" numFmtId="0" xfId="0" applyAlignment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4" fontId="6" numFmtId="10" xfId="0" applyAlignment="1" applyFont="1" applyNumberFormat="1">
      <alignment horizontal="center" vertical="center"/>
    </xf>
    <xf borderId="0" fillId="4" fontId="4" numFmtId="165" xfId="0" applyAlignment="1" applyFont="1" applyNumberFormat="1">
      <alignment horizontal="center" vertical="center"/>
    </xf>
    <xf borderId="10" fillId="4" fontId="7" numFmtId="0" xfId="0" applyAlignment="1" applyBorder="1" applyFont="1">
      <alignment horizontal="center" vertical="center"/>
    </xf>
    <xf borderId="11" fillId="4" fontId="8" numFmtId="165" xfId="0" applyAlignment="1" applyBorder="1" applyFont="1" applyNumberFormat="1">
      <alignment horizontal="center" vertical="center"/>
    </xf>
    <xf borderId="0" fillId="4" fontId="8" numFmtId="10" xfId="0" applyAlignment="1" applyFont="1" applyNumberFormat="1">
      <alignment horizontal="center" vertical="center"/>
    </xf>
    <xf borderId="0" fillId="4" fontId="8" numFmtId="165" xfId="0" applyAlignment="1" applyFont="1" applyNumberFormat="1">
      <alignment horizontal="center" vertical="center"/>
    </xf>
    <xf borderId="0" fillId="4" fontId="9" numFmtId="166" xfId="0" applyAlignment="1" applyFont="1" applyNumberFormat="1">
      <alignment horizontal="center" vertical="center"/>
    </xf>
    <xf borderId="2" fillId="4" fontId="9" numFmtId="166" xfId="0" applyAlignment="1" applyBorder="1" applyFont="1" applyNumberFormat="1">
      <alignment horizontal="center" vertical="center"/>
    </xf>
    <xf borderId="12" fillId="0" fontId="5" numFmtId="0" xfId="0" applyBorder="1" applyFont="1"/>
    <xf borderId="3" fillId="0" fontId="5" numFmtId="0" xfId="0" applyBorder="1" applyFont="1"/>
    <xf borderId="13" fillId="4" fontId="7" numFmtId="0" xfId="0" applyAlignment="1" applyBorder="1" applyFont="1">
      <alignment horizontal="center" vertical="center"/>
    </xf>
    <xf borderId="14" fillId="4" fontId="8" numFmtId="165" xfId="0" applyAlignment="1" applyBorder="1" applyFont="1" applyNumberFormat="1">
      <alignment horizontal="center" vertical="center"/>
    </xf>
    <xf borderId="15" fillId="0" fontId="5" numFmtId="0" xfId="0" applyBorder="1" applyFont="1"/>
    <xf borderId="0" fillId="4" fontId="4" numFmtId="0" xfId="0" applyAlignment="1" applyFont="1">
      <alignment horizontal="left" vertical="center"/>
    </xf>
    <xf borderId="2" fillId="4" fontId="4" numFmtId="0" xfId="0" applyAlignment="1" applyBorder="1" applyFont="1">
      <alignment horizontal="left" vertical="center"/>
    </xf>
    <xf borderId="12" fillId="4" fontId="4" numFmtId="0" xfId="0" applyAlignment="1" applyBorder="1" applyFont="1">
      <alignment horizontal="left" vertical="center"/>
    </xf>
    <xf borderId="8" fillId="4" fontId="3" numFmtId="0" xfId="0" applyAlignment="1" applyBorder="1" applyFont="1">
      <alignment horizontal="center" vertical="center"/>
    </xf>
    <xf borderId="16" fillId="4" fontId="3" numFmtId="0" xfId="0" applyAlignment="1" applyBorder="1" applyFont="1">
      <alignment horizontal="center" vertical="center"/>
    </xf>
    <xf borderId="0" fillId="6" fontId="10" numFmtId="0" xfId="0" applyFill="1" applyFont="1"/>
    <xf borderId="17" fillId="4" fontId="7" numFmtId="0" xfId="0" applyAlignment="1" applyBorder="1" applyFont="1">
      <alignment horizontal="center" vertical="center"/>
    </xf>
    <xf borderId="18" fillId="4" fontId="8" numFmtId="165" xfId="0" applyAlignment="1" applyBorder="1" applyFont="1" applyNumberFormat="1">
      <alignment horizontal="center" vertical="center"/>
    </xf>
    <xf borderId="0" fillId="4" fontId="11" numFmtId="0" xfId="0" applyAlignment="1" applyFont="1">
      <alignment horizontal="center" vertical="center"/>
    </xf>
    <xf borderId="2" fillId="4" fontId="11" numFmtId="0" xfId="0" applyAlignment="1" applyBorder="1" applyFont="1">
      <alignment horizontal="center" vertical="center"/>
    </xf>
    <xf borderId="12" fillId="4" fontId="12" numFmtId="0" xfId="0" applyAlignment="1" applyBorder="1" applyFont="1">
      <alignment horizontal="center" vertical="center"/>
    </xf>
    <xf borderId="0" fillId="4" fontId="12" numFmtId="0" xfId="0" applyAlignment="1" applyFont="1">
      <alignment horizontal="center" vertical="center"/>
    </xf>
    <xf borderId="10" fillId="4" fontId="12" numFmtId="0" xfId="0" applyAlignment="1" applyBorder="1" applyFont="1">
      <alignment horizontal="center" vertical="center"/>
    </xf>
    <xf borderId="19" fillId="4" fontId="12" numFmtId="0" xfId="0" applyAlignment="1" applyBorder="1" applyFont="1">
      <alignment horizontal="center" vertical="center"/>
    </xf>
    <xf borderId="19" fillId="6" fontId="12" numFmtId="20" xfId="0" applyAlignment="1" applyBorder="1" applyFont="1" applyNumberFormat="1">
      <alignment horizontal="center" vertical="center"/>
    </xf>
    <xf borderId="20" fillId="4" fontId="12" numFmtId="0" xfId="0" applyAlignment="1" applyBorder="1" applyFont="1">
      <alignment horizontal="center" vertical="center"/>
    </xf>
    <xf borderId="12" fillId="4" fontId="13" numFmtId="0" xfId="0" applyAlignment="1" applyBorder="1" applyFont="1">
      <alignment horizontal="center" vertical="center"/>
    </xf>
    <xf borderId="21" fillId="4" fontId="7" numFmtId="0" xfId="0" applyAlignment="1" applyBorder="1" applyFont="1">
      <alignment horizontal="center" vertical="center"/>
    </xf>
    <xf borderId="0" fillId="4" fontId="10" numFmtId="0" xfId="0" applyAlignment="1" applyFont="1">
      <alignment horizontal="center" vertical="center"/>
    </xf>
    <xf borderId="13" fillId="4" fontId="10" numFmtId="49" xfId="0" applyAlignment="1" applyBorder="1" applyFont="1" applyNumberFormat="1">
      <alignment horizontal="center" vertical="center"/>
    </xf>
    <xf borderId="21" fillId="4" fontId="10" numFmtId="49" xfId="0" applyAlignment="1" applyBorder="1" applyFont="1" applyNumberFormat="1">
      <alignment horizontal="center" vertical="center"/>
    </xf>
    <xf quotePrefix="1" borderId="22" fillId="6" fontId="10" numFmtId="49" xfId="0" applyAlignment="1" applyBorder="1" applyFont="1" applyNumberFormat="1">
      <alignment horizontal="center" vertical="center"/>
    </xf>
    <xf borderId="23" fillId="4" fontId="12" numFmtId="49" xfId="0" applyAlignment="1" applyBorder="1" applyFont="1" applyNumberFormat="1">
      <alignment horizontal="center" vertical="center"/>
    </xf>
    <xf borderId="24" fillId="4" fontId="7" numFmtId="0" xfId="0" applyAlignment="1" applyBorder="1" applyFont="1">
      <alignment horizontal="center" vertical="center"/>
    </xf>
    <xf borderId="9" fillId="4" fontId="8" numFmtId="165" xfId="0" applyAlignment="1" applyBorder="1" applyFont="1" applyNumberFormat="1">
      <alignment horizontal="center" vertical="center"/>
    </xf>
    <xf borderId="15" fillId="4" fontId="3" numFmtId="0" xfId="0" applyAlignment="1" applyBorder="1" applyFont="1">
      <alignment horizontal="center" vertical="center"/>
    </xf>
    <xf borderId="13" fillId="4" fontId="12" numFmtId="0" xfId="0" applyAlignment="1" applyBorder="1" applyFont="1">
      <alignment horizontal="center" vertical="center"/>
    </xf>
    <xf borderId="22" fillId="6" fontId="10" numFmtId="49" xfId="0" applyAlignment="1" applyBorder="1" applyFont="1" applyNumberFormat="1">
      <alignment horizontal="center" vertical="center"/>
    </xf>
    <xf borderId="25" fillId="4" fontId="12" numFmtId="0" xfId="0" applyAlignment="1" applyBorder="1" applyFont="1">
      <alignment horizontal="center" vertical="center"/>
    </xf>
    <xf borderId="16" fillId="4" fontId="13" numFmtId="0" xfId="0" applyAlignment="1" applyBorder="1" applyFont="1">
      <alignment horizontal="center" vertical="center"/>
    </xf>
    <xf borderId="0" fillId="4" fontId="14" numFmtId="0" xfId="0" applyAlignment="1" applyFont="1">
      <alignment horizontal="center" shrinkToFit="0" vertical="top" wrapText="1"/>
    </xf>
    <xf borderId="26" fillId="7" fontId="14" numFmtId="0" xfId="0" applyAlignment="1" applyBorder="1" applyFill="1" applyFont="1">
      <alignment horizontal="center" shrinkToFit="0" vertical="center" wrapText="1"/>
    </xf>
    <xf borderId="27" fillId="7" fontId="14" numFmtId="0" xfId="0" applyAlignment="1" applyBorder="1" applyFont="1">
      <alignment horizontal="center" shrinkToFit="0" vertical="center" wrapText="1"/>
    </xf>
    <xf borderId="27" fillId="7" fontId="12" numFmtId="0" xfId="0" applyAlignment="1" applyBorder="1" applyFont="1">
      <alignment horizontal="center" shrinkToFit="0" vertical="center" wrapText="1"/>
    </xf>
    <xf borderId="28" fillId="7" fontId="12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8" fontId="14" numFmtId="0" xfId="0" applyAlignment="1" applyBorder="1" applyFill="1" applyFont="1">
      <alignment horizontal="center" shrinkToFit="0" vertical="center" wrapText="1"/>
    </xf>
    <xf borderId="32" fillId="8" fontId="14" numFmtId="165" xfId="0" applyAlignment="1" applyBorder="1" applyFont="1" applyNumberFormat="1">
      <alignment horizontal="center" shrinkToFit="0" vertical="center" wrapText="1"/>
    </xf>
    <xf borderId="32" fillId="8" fontId="10" numFmtId="0" xfId="0" applyAlignment="1" applyBorder="1" applyFont="1">
      <alignment horizontal="center" vertical="center"/>
    </xf>
    <xf borderId="23" fillId="8" fontId="14" numFmtId="0" xfId="0" applyAlignment="1" applyBorder="1" applyFont="1">
      <alignment horizontal="center" shrinkToFit="0" vertical="center" wrapText="1"/>
    </xf>
    <xf borderId="33" fillId="7" fontId="12" numFmtId="0" xfId="0" applyAlignment="1" applyBorder="1" applyFont="1">
      <alignment horizontal="center" shrinkToFit="0" vertical="center" wrapText="1"/>
    </xf>
    <xf borderId="34" fillId="7" fontId="14" numFmtId="0" xfId="0" applyAlignment="1" applyBorder="1" applyFont="1">
      <alignment horizontal="center" shrinkToFit="0" vertical="center" wrapText="1"/>
    </xf>
    <xf borderId="34" fillId="7" fontId="12" numFmtId="0" xfId="0" applyAlignment="1" applyBorder="1" applyFont="1">
      <alignment horizontal="center" shrinkToFit="0" vertical="center" wrapText="1"/>
    </xf>
    <xf borderId="35" fillId="7" fontId="14" numFmtId="0" xfId="0" applyAlignment="1" applyBorder="1" applyFont="1">
      <alignment horizontal="center" shrinkToFit="0" vertical="center" wrapText="1"/>
    </xf>
    <xf borderId="31" fillId="9" fontId="14" numFmtId="0" xfId="0" applyAlignment="1" applyBorder="1" applyFill="1" applyFont="1">
      <alignment horizontal="center" shrinkToFit="0" vertical="center" wrapText="1"/>
    </xf>
    <xf borderId="23" fillId="10" fontId="10" numFmtId="0" xfId="0" applyAlignment="1" applyBorder="1" applyFill="1" applyFont="1">
      <alignment horizontal="center" vertical="center"/>
    </xf>
    <xf borderId="36" fillId="7" fontId="12" numFmtId="0" xfId="0" applyAlignment="1" applyBorder="1" applyFont="1">
      <alignment horizontal="center" shrinkToFit="0" vertical="center" wrapText="1"/>
    </xf>
    <xf borderId="37" fillId="0" fontId="5" numFmtId="0" xfId="0" applyBorder="1" applyFont="1"/>
    <xf borderId="38" fillId="0" fontId="5" numFmtId="0" xfId="0" applyBorder="1" applyFont="1"/>
    <xf borderId="21" fillId="0" fontId="5" numFmtId="0" xfId="0" applyBorder="1" applyFont="1"/>
    <xf borderId="39" fillId="10" fontId="10" numFmtId="0" xfId="0" applyAlignment="1" applyBorder="1" applyFont="1">
      <alignment horizontal="center" vertical="center"/>
    </xf>
    <xf borderId="40" fillId="0" fontId="5" numFmtId="0" xfId="0" applyBorder="1" applyFont="1"/>
    <xf borderId="32" fillId="8" fontId="10" numFmtId="10" xfId="0" applyAlignment="1" applyBorder="1" applyFont="1" applyNumberFormat="1">
      <alignment horizontal="center" vertical="center"/>
    </xf>
    <xf borderId="23" fillId="8" fontId="10" numFmtId="0" xfId="0" applyAlignment="1" applyBorder="1" applyFont="1">
      <alignment horizontal="center" vertical="center"/>
    </xf>
    <xf borderId="41" fillId="11" fontId="14" numFmtId="0" xfId="0" applyAlignment="1" applyBorder="1" applyFill="1" applyFont="1">
      <alignment horizontal="center" shrinkToFit="0" vertical="center" wrapText="1"/>
    </xf>
    <xf borderId="41" fillId="0" fontId="5" numFmtId="0" xfId="0" applyBorder="1" applyFont="1"/>
    <xf borderId="25" fillId="4" fontId="10" numFmtId="49" xfId="0" applyAlignment="1" applyBorder="1" applyFont="1" applyNumberFormat="1">
      <alignment horizontal="center" vertical="center"/>
    </xf>
    <xf borderId="24" fillId="4" fontId="10" numFmtId="49" xfId="0" applyAlignment="1" applyBorder="1" applyFont="1" applyNumberFormat="1">
      <alignment horizontal="center" vertical="center"/>
    </xf>
    <xf borderId="15" fillId="6" fontId="10" numFmtId="49" xfId="0" applyAlignment="1" applyBorder="1" applyFont="1" applyNumberFormat="1">
      <alignment horizontal="center" vertical="center"/>
    </xf>
    <xf borderId="18" fillId="4" fontId="12" numFmtId="49" xfId="0" applyAlignment="1" applyBorder="1" applyFont="1" applyNumberFormat="1">
      <alignment horizontal="center" vertical="center"/>
    </xf>
    <xf borderId="42" fillId="8" fontId="10" numFmtId="10" xfId="0" applyAlignment="1" applyBorder="1" applyFont="1" applyNumberFormat="1">
      <alignment horizontal="center" vertical="center"/>
    </xf>
    <xf borderId="18" fillId="8" fontId="10" numFmtId="10" xfId="0" applyAlignment="1" applyBorder="1" applyFont="1" applyNumberFormat="1">
      <alignment horizontal="center" vertical="center"/>
    </xf>
    <xf borderId="3" fillId="4" fontId="15" numFmtId="164" xfId="0" applyAlignment="1" applyBorder="1" applyFont="1" applyNumberFormat="1">
      <alignment horizontal="center" shrinkToFit="0" vertical="center" wrapText="0"/>
    </xf>
    <xf borderId="3" fillId="4" fontId="2" numFmtId="167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horizontal="center" vertical="center"/>
    </xf>
    <xf borderId="43" fillId="0" fontId="16" numFmtId="0" xfId="0" applyAlignment="1" applyBorder="1" applyFont="1">
      <alignment horizontal="center"/>
    </xf>
    <xf borderId="0" fillId="0" fontId="10" numFmtId="0" xfId="0" applyFont="1"/>
    <xf borderId="2" fillId="4" fontId="2" numFmtId="168" xfId="0" applyAlignment="1" applyBorder="1" applyFont="1" applyNumberFormat="1">
      <alignment horizontal="center" shrinkToFit="0" vertical="center" wrapText="0"/>
    </xf>
    <xf borderId="28" fillId="11" fontId="14" numFmtId="0" xfId="0" applyAlignment="1" applyBorder="1" applyFont="1">
      <alignment horizontal="center" shrinkToFit="0" vertical="center" wrapText="1"/>
    </xf>
    <xf borderId="0" fillId="0" fontId="10" numFmtId="9" xfId="0" applyAlignment="1" applyFont="1" applyNumberFormat="1">
      <alignment horizontal="center" vertical="center"/>
    </xf>
    <xf borderId="34" fillId="0" fontId="8" numFmtId="9" xfId="0" applyAlignment="1" applyBorder="1" applyFont="1" applyNumberFormat="1">
      <alignment horizontal="center" vertical="center"/>
    </xf>
    <xf borderId="44" fillId="0" fontId="8" numFmtId="0" xfId="0" applyAlignment="1" applyBorder="1" applyFont="1">
      <alignment horizontal="center" vertical="center"/>
    </xf>
    <xf borderId="2" fillId="11" fontId="10" numFmtId="0" xfId="0" applyAlignment="1" applyBorder="1" applyFont="1">
      <alignment horizontal="center" vertical="center"/>
    </xf>
    <xf borderId="45" fillId="11" fontId="17" numFmtId="0" xfId="0" applyAlignment="1" applyBorder="1" applyFont="1">
      <alignment horizontal="center" vertical="center"/>
    </xf>
    <xf borderId="46" fillId="11" fontId="17" numFmtId="0" xfId="0" applyAlignment="1" applyBorder="1" applyFont="1">
      <alignment horizontal="center" vertical="center"/>
    </xf>
    <xf borderId="47" fillId="11" fontId="17" numFmtId="0" xfId="0" applyAlignment="1" applyBorder="1" applyFont="1">
      <alignment horizontal="center" vertical="center"/>
    </xf>
    <xf borderId="48" fillId="11" fontId="17" numFmtId="0" xfId="0" applyAlignment="1" applyBorder="1" applyFont="1">
      <alignment horizontal="center" vertical="center"/>
    </xf>
    <xf borderId="49" fillId="11" fontId="14" numFmtId="0" xfId="0" applyAlignment="1" applyBorder="1" applyFont="1">
      <alignment horizontal="center" shrinkToFit="0" vertical="center" wrapText="1"/>
    </xf>
    <xf borderId="49" fillId="11" fontId="14" numFmtId="0" xfId="0" applyAlignment="1" applyBorder="1" applyFont="1">
      <alignment horizontal="center" shrinkToFit="0" vertical="center" wrapText="0"/>
    </xf>
    <xf borderId="50" fillId="11" fontId="14" numFmtId="0" xfId="0" applyAlignment="1" applyBorder="1" applyFont="1">
      <alignment horizontal="center" shrinkToFit="0" vertical="center" wrapText="1"/>
    </xf>
    <xf borderId="43" fillId="11" fontId="14" numFmtId="0" xfId="0" applyAlignment="1" applyBorder="1" applyFont="1">
      <alignment horizontal="center" shrinkToFit="0" vertical="center" wrapText="1"/>
    </xf>
    <xf borderId="5" fillId="11" fontId="14" numFmtId="0" xfId="0" applyAlignment="1" applyBorder="1" applyFont="1">
      <alignment horizontal="center" shrinkToFit="0" vertical="center" wrapText="1"/>
    </xf>
    <xf borderId="1" fillId="12" fontId="1" numFmtId="2" xfId="0" applyAlignment="1" applyBorder="1" applyFill="1" applyFont="1" applyNumberFormat="1">
      <alignment horizontal="center" vertical="center"/>
    </xf>
    <xf borderId="51" fillId="0" fontId="8" numFmtId="165" xfId="0" applyAlignment="1" applyBorder="1" applyFont="1" applyNumberFormat="1">
      <alignment horizontal="center" vertical="center"/>
    </xf>
    <xf borderId="44" fillId="0" fontId="8" numFmtId="10" xfId="0" applyAlignment="1" applyBorder="1" applyFont="1" applyNumberFormat="1">
      <alignment horizontal="center" vertical="center"/>
    </xf>
    <xf borderId="52" fillId="0" fontId="8" numFmtId="0" xfId="0" applyAlignment="1" applyBorder="1" applyFont="1">
      <alignment horizontal="center" vertical="center"/>
    </xf>
    <xf borderId="52" fillId="0" fontId="8" numFmtId="165" xfId="0" applyAlignment="1" applyBorder="1" applyFont="1" applyNumberFormat="1">
      <alignment horizontal="center" vertical="center"/>
    </xf>
    <xf borderId="53" fillId="0" fontId="8" numFmtId="165" xfId="0" applyAlignment="1" applyBorder="1" applyFont="1" applyNumberFormat="1">
      <alignment horizontal="center" vertical="center"/>
    </xf>
    <xf borderId="6" fillId="0" fontId="8" numFmtId="165" xfId="0" applyAlignment="1" applyBorder="1" applyFont="1" applyNumberFormat="1">
      <alignment horizontal="center" vertical="center"/>
    </xf>
    <xf borderId="25" fillId="0" fontId="5" numFmtId="0" xfId="0" applyBorder="1" applyFont="1"/>
    <xf borderId="54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41" fillId="11" fontId="10" numFmtId="0" xfId="0" applyAlignment="1" applyBorder="1" applyFont="1">
      <alignment horizontal="center" vertical="center"/>
    </xf>
    <xf borderId="45" fillId="11" fontId="10" numFmtId="0" xfId="0" applyAlignment="1" applyBorder="1" applyFont="1">
      <alignment horizontal="center" vertical="center"/>
    </xf>
    <xf borderId="46" fillId="11" fontId="10" numFmtId="0" xfId="0" applyAlignment="1" applyBorder="1" applyFont="1">
      <alignment horizontal="center" vertical="center"/>
    </xf>
    <xf borderId="47" fillId="11" fontId="10" numFmtId="0" xfId="0" applyAlignment="1" applyBorder="1" applyFont="1">
      <alignment horizontal="center" vertical="center"/>
    </xf>
    <xf borderId="48" fillId="11" fontId="10" numFmtId="0" xfId="0" applyAlignment="1" applyBorder="1" applyFont="1">
      <alignment horizontal="center" vertical="center"/>
    </xf>
    <xf borderId="1" fillId="13" fontId="1" numFmtId="2" xfId="0" applyAlignment="1" applyBorder="1" applyFill="1" applyFont="1" applyNumberFormat="1">
      <alignment horizontal="center" vertical="center"/>
    </xf>
    <xf borderId="53" fillId="0" fontId="8" numFmtId="0" xfId="0" applyAlignment="1" applyBorder="1" applyFont="1">
      <alignment horizontal="center" vertical="center"/>
    </xf>
    <xf borderId="1" fillId="14" fontId="1" numFmtId="2" xfId="0" applyAlignment="1" applyBorder="1" applyFill="1" applyFont="1" applyNumberFormat="1">
      <alignment horizontal="center" vertical="center"/>
    </xf>
    <xf borderId="1" fillId="15" fontId="1" numFmtId="2" xfId="0" applyAlignment="1" applyBorder="1" applyFill="1" applyFont="1" applyNumberFormat="1">
      <alignment horizontal="center" vertical="center"/>
    </xf>
    <xf borderId="1" fillId="16" fontId="1" numFmtId="2" xfId="0" applyAlignment="1" applyBorder="1" applyFill="1" applyFont="1" applyNumberFormat="1">
      <alignment horizontal="center" vertical="center"/>
    </xf>
    <xf borderId="57" fillId="11" fontId="10" numFmtId="0" xfId="0" applyAlignment="1" applyBorder="1" applyFont="1">
      <alignment horizontal="center" vertical="center"/>
    </xf>
    <xf borderId="58" fillId="11" fontId="10" numFmtId="0" xfId="0" applyAlignment="1" applyBorder="1" applyFont="1">
      <alignment horizontal="center" vertical="center"/>
    </xf>
    <xf borderId="59" fillId="11" fontId="10" numFmtId="0" xfId="0" applyAlignment="1" applyBorder="1" applyFont="1">
      <alignment horizontal="center" vertical="center"/>
    </xf>
    <xf borderId="60" fillId="11" fontId="10" numFmtId="0" xfId="0" applyAlignment="1" applyBorder="1" applyFont="1">
      <alignment horizontal="center" vertical="center"/>
    </xf>
    <xf borderId="1" fillId="17" fontId="1" numFmtId="2" xfId="0" applyAlignment="1" applyBorder="1" applyFill="1" applyFont="1" applyNumberFormat="1">
      <alignment horizontal="center" vertical="center"/>
    </xf>
    <xf borderId="61" fillId="11" fontId="10" numFmtId="0" xfId="0" applyAlignment="1" applyBorder="1" applyFont="1">
      <alignment horizontal="center" vertical="center"/>
    </xf>
    <xf borderId="62" fillId="11" fontId="10" numFmtId="0" xfId="0" applyAlignment="1" applyBorder="1" applyFont="1">
      <alignment horizontal="center" vertical="center"/>
    </xf>
    <xf borderId="63" fillId="11" fontId="10" numFmtId="0" xfId="0" applyAlignment="1" applyBorder="1" applyFont="1">
      <alignment horizontal="center" vertical="center"/>
    </xf>
    <xf borderId="64" fillId="11" fontId="10" numFmtId="0" xfId="0" applyAlignment="1" applyBorder="1" applyFont="1">
      <alignment horizontal="center" vertical="center"/>
    </xf>
    <xf borderId="2" fillId="6" fontId="18" numFmtId="2" xfId="0" applyAlignment="1" applyBorder="1" applyFont="1" applyNumberFormat="1">
      <alignment horizontal="center" vertical="center"/>
    </xf>
    <xf borderId="26" fillId="0" fontId="8" numFmtId="165" xfId="0" applyAlignment="1" applyBorder="1" applyFont="1" applyNumberFormat="1">
      <alignment horizontal="center" vertical="center"/>
    </xf>
    <xf borderId="27" fillId="0" fontId="8" numFmtId="0" xfId="0" applyAlignment="1" applyBorder="1" applyFont="1">
      <alignment horizontal="center" vertical="center"/>
    </xf>
    <xf borderId="27" fillId="0" fontId="8" numFmtId="10" xfId="0" applyAlignment="1" applyBorder="1" applyFont="1" applyNumberFormat="1">
      <alignment horizontal="center" vertical="center"/>
    </xf>
    <xf borderId="27" fillId="0" fontId="8" numFmtId="169" xfId="0" applyAlignment="1" applyBorder="1" applyFont="1" applyNumberFormat="1">
      <alignment horizontal="center" vertical="center"/>
    </xf>
    <xf borderId="27" fillId="0" fontId="8" numFmtId="165" xfId="0" applyAlignment="1" applyBorder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10" numFmtId="10" xfId="0" applyAlignment="1" applyFont="1" applyNumberFormat="1">
      <alignment horizontal="center" vertical="center"/>
    </xf>
    <xf borderId="0" fillId="0" fontId="10" numFmtId="169" xfId="0" applyAlignment="1" applyFont="1" applyNumberFormat="1">
      <alignment horizontal="center" vertical="center"/>
    </xf>
    <xf borderId="61" fillId="11" fontId="10" numFmtId="2" xfId="0" applyAlignment="1" applyBorder="1" applyFont="1" applyNumberFormat="1">
      <alignment horizontal="center" shrinkToFit="0" wrapText="1"/>
    </xf>
    <xf borderId="65" fillId="12" fontId="1" numFmtId="2" xfId="0" applyAlignment="1" applyBorder="1" applyFont="1" applyNumberFormat="1">
      <alignment horizontal="center" shrinkToFit="0" wrapText="1"/>
    </xf>
    <xf borderId="65" fillId="6" fontId="18" numFmtId="2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vertical="center" wrapText="1"/>
    </xf>
    <xf borderId="43" fillId="0" fontId="10" numFmtId="0" xfId="0" applyAlignment="1" applyBorder="1" applyFont="1">
      <alignment horizontal="center" shrinkToFit="0" wrapText="1"/>
    </xf>
    <xf borderId="66" fillId="0" fontId="5" numFmtId="0" xfId="0" applyBorder="1" applyFont="1"/>
    <xf borderId="0" fillId="0" fontId="10" numFmtId="0" xfId="0" applyAlignment="1" applyFont="1">
      <alignment horizontal="center" shrinkToFit="0" vertical="bottom" wrapText="1"/>
    </xf>
    <xf borderId="43" fillId="0" fontId="12" numFmtId="0" xfId="0" applyAlignment="1" applyBorder="1" applyFont="1">
      <alignment horizontal="center" shrinkToFit="0" wrapText="1"/>
    </xf>
    <xf borderId="67" fillId="11" fontId="17" numFmtId="2" xfId="0" applyAlignment="1" applyBorder="1" applyFont="1" applyNumberFormat="1">
      <alignment horizontal="center" shrinkToFit="0" wrapText="1"/>
    </xf>
    <xf borderId="68" fillId="0" fontId="8" numFmtId="165" xfId="0" applyAlignment="1" applyBorder="1" applyFont="1" applyNumberFormat="1">
      <alignment horizontal="center" shrinkToFit="0" wrapText="1"/>
    </xf>
    <xf borderId="67" fillId="11" fontId="10" numFmtId="0" xfId="0" applyAlignment="1" applyBorder="1" applyFont="1">
      <alignment horizontal="center" shrinkToFit="0" vertical="bottom" wrapText="1"/>
    </xf>
    <xf borderId="68" fillId="0" fontId="8" numFmtId="165" xfId="0" applyAlignment="1" applyBorder="1" applyFont="1" applyNumberFormat="1">
      <alignment horizontal="center" shrinkToFit="0" vertical="bottom" wrapText="1"/>
    </xf>
    <xf borderId="69" fillId="11" fontId="17" numFmtId="0" xfId="0" applyAlignment="1" applyBorder="1" applyFont="1">
      <alignment horizontal="center" shrinkToFit="0" wrapText="1"/>
    </xf>
    <xf borderId="70" fillId="0" fontId="8" numFmtId="10" xfId="0" applyAlignment="1" applyBorder="1" applyFont="1" applyNumberFormat="1">
      <alignment horizontal="center" shrinkToFit="0" wrapText="1"/>
    </xf>
    <xf borderId="69" fillId="11" fontId="10" numFmtId="0" xfId="0" applyAlignment="1" applyBorder="1" applyFont="1">
      <alignment horizontal="center" shrinkToFit="0" vertical="bottom" wrapText="1"/>
    </xf>
    <xf borderId="68" fillId="0" fontId="8" numFmtId="10" xfId="0" applyAlignment="1" applyBorder="1" applyFont="1" applyNumberFormat="1">
      <alignment horizontal="center" shrinkToFit="0" vertical="bottom" wrapText="1"/>
    </xf>
    <xf borderId="69" fillId="11" fontId="17" numFmtId="2" xfId="0" applyAlignment="1" applyBorder="1" applyFont="1" applyNumberFormat="1">
      <alignment horizontal="center" shrinkToFit="0" wrapText="1"/>
    </xf>
    <xf borderId="70" fillId="0" fontId="8" numFmtId="0" xfId="0" applyAlignment="1" applyBorder="1" applyFont="1">
      <alignment horizontal="center" shrinkToFit="0" wrapText="1"/>
    </xf>
    <xf borderId="68" fillId="0" fontId="8" numFmtId="0" xfId="0" applyAlignment="1" applyBorder="1" applyFont="1">
      <alignment horizontal="center" shrinkToFit="0" vertical="bottom" wrapText="1"/>
    </xf>
    <xf borderId="70" fillId="4" fontId="8" numFmtId="10" xfId="0" applyAlignment="1" applyBorder="1" applyFont="1" applyNumberFormat="1">
      <alignment horizontal="center" shrinkToFit="0" wrapText="1"/>
    </xf>
    <xf borderId="69" fillId="11" fontId="14" numFmtId="2" xfId="0" applyAlignment="1" applyBorder="1" applyFont="1" applyNumberFormat="1">
      <alignment horizontal="center" shrinkToFit="0" wrapText="1"/>
    </xf>
    <xf borderId="69" fillId="11" fontId="14" numFmtId="0" xfId="0" applyAlignment="1" applyBorder="1" applyFont="1">
      <alignment horizontal="center" shrinkToFit="0" vertical="bottom" wrapText="1"/>
    </xf>
    <xf borderId="69" fillId="11" fontId="14" numFmtId="0" xfId="0" applyAlignment="1" applyBorder="1" applyFont="1">
      <alignment horizontal="center" shrinkToFit="0" wrapText="1"/>
    </xf>
    <xf borderId="70" fillId="0" fontId="8" numFmtId="165" xfId="0" applyAlignment="1" applyBorder="1" applyFont="1" applyNumberFormat="1">
      <alignment horizontal="center" shrinkToFit="0" wrapText="1"/>
    </xf>
    <xf borderId="71" fillId="11" fontId="14" numFmtId="2" xfId="0" applyAlignment="1" applyBorder="1" applyFont="1" applyNumberFormat="1">
      <alignment horizontal="center" shrinkToFit="0" wrapText="1"/>
    </xf>
    <xf borderId="72" fillId="0" fontId="8" numFmtId="165" xfId="0" applyAlignment="1" applyBorder="1" applyFont="1" applyNumberFormat="1">
      <alignment horizontal="center" shrinkToFit="0" wrapText="1"/>
    </xf>
    <xf borderId="61" fillId="11" fontId="10" numFmtId="0" xfId="0" applyAlignment="1" applyBorder="1" applyFont="1">
      <alignment horizontal="center" shrinkToFit="0" wrapText="1"/>
    </xf>
    <xf borderId="65" fillId="13" fontId="1" numFmtId="2" xfId="0" applyAlignment="1" applyBorder="1" applyFont="1" applyNumberFormat="1">
      <alignment horizontal="center" shrinkToFit="0" wrapText="1"/>
    </xf>
    <xf borderId="0" fillId="0" fontId="10" numFmtId="165" xfId="0" applyAlignment="1" applyFont="1" applyNumberFormat="1">
      <alignment horizontal="center" shrinkToFit="0" vertical="center" wrapText="1"/>
    </xf>
    <xf borderId="67" fillId="11" fontId="10" numFmtId="0" xfId="0" applyAlignment="1" applyBorder="1" applyFont="1">
      <alignment horizontal="center" shrinkToFit="0" wrapText="1"/>
    </xf>
    <xf borderId="69" fillId="11" fontId="10" numFmtId="0" xfId="0" applyAlignment="1" applyBorder="1" applyFont="1">
      <alignment horizontal="center" shrinkToFit="0" wrapText="1"/>
    </xf>
    <xf borderId="0" fillId="0" fontId="10" numFmtId="169" xfId="0" applyAlignment="1" applyFont="1" applyNumberFormat="1">
      <alignment horizontal="center" shrinkToFit="0" vertical="center" wrapText="1"/>
    </xf>
    <xf borderId="43" fillId="11" fontId="10" numFmtId="0" xfId="0" applyAlignment="1" applyBorder="1" applyFont="1">
      <alignment horizontal="center" shrinkToFit="0" wrapText="1"/>
    </xf>
    <xf borderId="16" fillId="14" fontId="1" numFmtId="2" xfId="0" applyAlignment="1" applyBorder="1" applyFont="1" applyNumberFormat="1">
      <alignment horizontal="center" shrinkToFit="0" wrapText="1"/>
    </xf>
    <xf borderId="16" fillId="15" fontId="1" numFmtId="2" xfId="0" applyAlignment="1" applyBorder="1" applyFont="1" applyNumberFormat="1">
      <alignment horizontal="center" shrinkToFit="0" wrapText="1"/>
    </xf>
    <xf borderId="43" fillId="0" fontId="10" numFmtId="0" xfId="0" applyAlignment="1" applyBorder="1" applyFont="1">
      <alignment horizontal="center" shrinkToFit="0" vertical="center" wrapText="1"/>
    </xf>
    <xf borderId="65" fillId="16" fontId="1" numFmtId="2" xfId="0" applyAlignment="1" applyBorder="1" applyFont="1" applyNumberFormat="1">
      <alignment horizontal="center" shrinkToFit="0" wrapText="1"/>
    </xf>
    <xf borderId="65" fillId="17" fontId="1" numFmtId="2" xfId="0" applyAlignment="1" applyBorder="1" applyFont="1" applyNumberFormat="1">
      <alignment horizontal="center" shrinkToFit="0" wrapText="1"/>
    </xf>
    <xf borderId="65" fillId="6" fontId="18" numFmtId="2" xfId="0" applyAlignment="1" applyBorder="1" applyFont="1" applyNumberFormat="1">
      <alignment horizontal="center" shrinkToFit="0" wrapText="1"/>
    </xf>
    <xf borderId="70" fillId="10" fontId="8" numFmtId="10" xfId="0" applyAlignment="1" applyBorder="1" applyFont="1" applyNumberFormat="1">
      <alignment horizontal="center" shrinkToFit="0" wrapText="1"/>
    </xf>
    <xf borderId="70" fillId="0" fontId="8" numFmtId="169" xfId="0" applyAlignment="1" applyBorder="1" applyFont="1" applyNumberFormat="1">
      <alignment horizontal="center" shrinkToFit="0" wrapText="1"/>
    </xf>
    <xf borderId="16" fillId="11" fontId="14" numFmtId="0" xfId="0" applyAlignment="1" applyBorder="1" applyFont="1">
      <alignment horizontal="center" shrinkToFit="0" vertical="center" wrapText="1"/>
    </xf>
    <xf borderId="2" fillId="13" fontId="1" numFmtId="2" xfId="0" applyAlignment="1" applyBorder="1" applyFont="1" applyNumberFormat="1">
      <alignment horizontal="center" vertical="center"/>
    </xf>
    <xf borderId="2" fillId="14" fontId="1" numFmtId="2" xfId="0" applyAlignment="1" applyBorder="1" applyFont="1" applyNumberFormat="1">
      <alignment horizontal="center" vertical="center"/>
    </xf>
    <xf borderId="0" fillId="0" fontId="10" numFmtId="0" xfId="0" applyAlignment="1" applyFont="1">
      <alignment shrinkToFit="0" wrapText="1"/>
    </xf>
    <xf borderId="0" fillId="0" fontId="10" numFmtId="165" xfId="0" applyFont="1" applyNumberFormat="1"/>
    <xf borderId="2" fillId="15" fontId="1" numFmtId="2" xfId="0" applyAlignment="1" applyBorder="1" applyFont="1" applyNumberFormat="1">
      <alignment horizontal="center" vertical="center"/>
    </xf>
    <xf borderId="2" fillId="16" fontId="1" numFmtId="2" xfId="0" applyAlignment="1" applyBorder="1" applyFont="1" applyNumberFormat="1">
      <alignment horizontal="center" vertical="center"/>
    </xf>
    <xf borderId="28" fillId="0" fontId="8" numFmtId="165" xfId="0" applyAlignment="1" applyBorder="1" applyFont="1" applyNumberFormat="1">
      <alignment horizontal="center" vertical="center"/>
    </xf>
    <xf borderId="73" fillId="0" fontId="8" numFmtId="165" xfId="0" applyAlignment="1" applyBorder="1" applyFont="1" applyNumberFormat="1">
      <alignment horizontal="center" vertical="center"/>
    </xf>
    <xf borderId="73" fillId="0" fontId="8" numFmtId="0" xfId="0" applyAlignment="1" applyBorder="1" applyFont="1">
      <alignment horizontal="center" vertical="center"/>
    </xf>
    <xf borderId="3" fillId="0" fontId="8" numFmtId="165" xfId="0" applyAlignment="1" applyBorder="1" applyFont="1" applyNumberFormat="1">
      <alignment horizontal="center" vertical="center"/>
    </xf>
    <xf borderId="0" fillId="0" fontId="10" numFmtId="10" xfId="0" applyFont="1" applyNumberFormat="1"/>
    <xf borderId="0" fillId="0" fontId="8" numFmtId="165" xfId="0" applyAlignment="1" applyFont="1" applyNumberFormat="1">
      <alignment horizontal="center" vertical="center"/>
    </xf>
    <xf borderId="6" fillId="0" fontId="8" numFmtId="0" xfId="0" applyAlignment="1" applyBorder="1" applyFont="1">
      <alignment horizontal="center" vertical="center"/>
    </xf>
    <xf borderId="12" fillId="0" fontId="8" numFmtId="165" xfId="0" applyAlignment="1" applyBorder="1" applyFont="1" applyNumberForma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0" fillId="0" fontId="10" numFmtId="9" xfId="0" applyFont="1" applyNumberFormat="1"/>
    <xf borderId="1" fillId="0" fontId="8" numFmtId="165" xfId="0" applyAlignment="1" applyBorder="1" applyFont="1" applyNumberFormat="1">
      <alignment horizontal="center" vertical="center"/>
    </xf>
    <xf borderId="1" fillId="0" fontId="10" numFmtId="10" xfId="0" applyBorder="1" applyFont="1" applyNumberFormat="1"/>
    <xf borderId="28" fillId="11" fontId="14" numFmtId="1" xfId="0" applyAlignment="1" applyBorder="1" applyFont="1" applyNumberFormat="1">
      <alignment horizontal="center" shrinkToFit="0" vertical="center" wrapText="1"/>
    </xf>
    <xf borderId="34" fillId="0" fontId="8" numFmtId="10" xfId="0" applyAlignment="1" applyBorder="1" applyFont="1" applyNumberFormat="1">
      <alignment horizontal="center" vertical="center"/>
    </xf>
    <xf borderId="0" fillId="0" fontId="10" numFmtId="170" xfId="0" applyAlignment="1" applyFont="1" applyNumberFormat="1">
      <alignment horizontal="center" vertical="center"/>
    </xf>
    <xf borderId="44" fillId="0" fontId="8" numFmtId="1" xfId="0" applyAlignment="1" applyBorder="1" applyFont="1" applyNumberFormat="1">
      <alignment horizontal="center" vertical="center"/>
    </xf>
    <xf borderId="43" fillId="11" fontId="14" numFmtId="1" xfId="0" applyAlignment="1" applyBorder="1" applyFont="1" applyNumberFormat="1">
      <alignment horizontal="center" shrinkToFit="0" vertical="center" wrapText="1"/>
    </xf>
    <xf borderId="6" fillId="0" fontId="8" numFmtId="1" xfId="0" applyAlignment="1" applyBorder="1" applyFont="1" applyNumberFormat="1">
      <alignment horizontal="center" vertical="center"/>
    </xf>
    <xf borderId="6" fillId="18" fontId="8" numFmtId="165" xfId="0" applyAlignment="1" applyBorder="1" applyFill="1" applyFont="1" applyNumberFormat="1">
      <alignment horizontal="center" vertical="center"/>
    </xf>
    <xf borderId="49" fillId="11" fontId="14" numFmtId="1" xfId="0" applyAlignment="1" applyBorder="1" applyFont="1" applyNumberFormat="1">
      <alignment horizontal="center" shrinkToFit="0" vertical="center" wrapText="1"/>
    </xf>
    <xf borderId="2" fillId="17" fontId="1" numFmtId="2" xfId="0" applyAlignment="1" applyBorder="1" applyFont="1" applyNumberFormat="1">
      <alignment horizontal="center" vertical="center"/>
    </xf>
    <xf borderId="73" fillId="0" fontId="8" numFmtId="1" xfId="0" applyAlignment="1" applyBorder="1" applyFont="1" applyNumberFormat="1">
      <alignment horizontal="center" vertical="center"/>
    </xf>
    <xf borderId="0" fillId="0" fontId="10" numFmtId="1" xfId="0" applyFont="1" applyNumberFormat="1"/>
    <xf borderId="2" fillId="4" fontId="2" numFmtId="14" xfId="0" applyAlignment="1" applyBorder="1" applyFont="1" applyNumberFormat="1">
      <alignment horizontal="center" shrinkToFit="0" vertical="center" wrapText="0"/>
    </xf>
    <xf borderId="42" fillId="8" fontId="10" numFmtId="0" xfId="0" applyAlignment="1" applyBorder="1" applyFont="1">
      <alignment horizontal="center" vertical="center"/>
    </xf>
    <xf borderId="0" fillId="4" fontId="10" numFmtId="49" xfId="0" applyAlignment="1" applyFont="1" applyNumberFormat="1">
      <alignment horizontal="center" vertical="center"/>
    </xf>
    <xf borderId="0" fillId="6" fontId="10" numFmtId="49" xfId="0" applyAlignment="1" applyFont="1" applyNumberFormat="1">
      <alignment horizontal="center" vertical="center"/>
    </xf>
    <xf borderId="0" fillId="4" fontId="12" numFmtId="49" xfId="0" applyAlignment="1" applyFont="1" applyNumberFormat="1">
      <alignment horizontal="center" vertical="center"/>
    </xf>
    <xf borderId="0" fillId="11" fontId="14" numFmtId="0" xfId="0" applyAlignment="1" applyFont="1">
      <alignment horizontal="center" shrinkToFit="0" vertical="center" wrapText="1"/>
    </xf>
    <xf borderId="0" fillId="8" fontId="10" numFmtId="0" xfId="0" applyAlignment="1" applyFont="1">
      <alignment horizontal="center" vertical="center"/>
    </xf>
    <xf borderId="0" fillId="8" fontId="10" numFmtId="10" xfId="0" applyAlignment="1" applyFont="1" applyNumberFormat="1">
      <alignment horizontal="center" vertical="center"/>
    </xf>
    <xf borderId="0" fillId="0" fontId="10" numFmtId="14" xfId="0" applyFont="1" applyNumberFormat="1"/>
    <xf quotePrefix="1" borderId="0" fillId="0" fontId="10" numFmtId="0" xfId="0" applyFont="1"/>
    <xf borderId="0" fillId="0" fontId="10" numFmtId="11" xfId="0" applyFont="1" applyNumberFormat="1"/>
    <xf borderId="0" fillId="0" fontId="10" numFmtId="0" xfId="0" applyAlignment="1" applyFont="1">
      <alignment vertical="bottom"/>
    </xf>
    <xf borderId="0" fillId="16" fontId="10" numFmtId="0" xfId="0" applyAlignment="1" applyFont="1">
      <alignment horizontal="center" vertical="bottom"/>
    </xf>
    <xf borderId="0" fillId="0" fontId="10" numFmtId="165" xfId="0" applyAlignment="1" applyFont="1" applyNumberFormat="1">
      <alignment vertical="bottom"/>
    </xf>
    <xf borderId="0" fillId="19" fontId="10" numFmtId="0" xfId="0" applyAlignment="1" applyFill="1" applyFont="1">
      <alignment vertical="bottom"/>
    </xf>
    <xf borderId="0" fillId="4" fontId="19" numFmtId="0" xfId="0" applyAlignment="1" applyFont="1">
      <alignment vertical="bottom"/>
    </xf>
    <xf borderId="0" fillId="4" fontId="10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90600" cy="676275"/>
    <xdr:sp>
      <xdr:nvSpPr>
        <xdr:cNvPr id="3" name="Shape 3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1419225" cy="657225"/>
    <xdr:sp>
      <xdr:nvSpPr>
        <xdr:cNvPr id="4" name="Shape 4"/>
        <xdr:cNvSpPr/>
      </xdr:nvSpPr>
      <xdr:spPr>
        <a:xfrm>
          <a:off x="4641150" y="3456150"/>
          <a:ext cx="1409700" cy="647700"/>
        </a:xfrm>
        <a:prstGeom prst="flowChartAlternateProcess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1400"/>
            <a:t>Vyber datum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90600" cy="676275"/>
    <xdr:sp>
      <xdr:nvSpPr>
        <xdr:cNvPr id="5" name="Shape 5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90600" cy="676275"/>
    <xdr:sp>
      <xdr:nvSpPr>
        <xdr:cNvPr id="6" name="Shape 6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90600" cy="676275"/>
    <xdr:sp>
      <xdr:nvSpPr>
        <xdr:cNvPr id="7" name="Shape 7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90600" cy="676275"/>
    <xdr:sp>
      <xdr:nvSpPr>
        <xdr:cNvPr id="8" name="Shape 8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90600" cy="676275"/>
    <xdr:sp>
      <xdr:nvSpPr>
        <xdr:cNvPr id="9" name="Shape 9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1047750</xdr:colOff>
      <xdr:row>0</xdr:row>
      <xdr:rowOff>0</xdr:rowOff>
    </xdr:from>
    <xdr:ext cx="990600" cy="676275"/>
    <xdr:sp>
      <xdr:nvSpPr>
        <xdr:cNvPr id="10" name="Shape 10"/>
        <xdr:cNvSpPr/>
      </xdr:nvSpPr>
      <xdr:spPr>
        <a:xfrm>
          <a:off x="4855463" y="3446625"/>
          <a:ext cx="981075" cy="66675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2400"/>
            <a:buFont typeface="Arial"/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"/>
      <c r="B1" s="2" t="s">
        <v>0</v>
      </c>
      <c r="C1" s="3">
        <v>45536.0</v>
      </c>
      <c r="D1" s="4" t="s">
        <v>1</v>
      </c>
      <c r="E1" s="5">
        <v>45550.0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9.5" customHeight="1">
      <c r="A2" s="1"/>
      <c r="B2" s="11"/>
      <c r="C2" s="12"/>
      <c r="D2" s="11"/>
      <c r="E2" s="13"/>
      <c r="F2" s="14"/>
      <c r="H2" s="10"/>
      <c r="I2" s="15"/>
      <c r="K2" s="10"/>
      <c r="L2" s="16" t="s">
        <v>5</v>
      </c>
      <c r="M2" s="17"/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15.75" customHeight="1">
      <c r="A3" s="20"/>
      <c r="B3" s="21" t="str">
        <f>CHOOSE(WEEKDAY(C1), "Neděle", "Pondělí", "Úterý", "Středa", "Čtvrtek", "Pátek", "Sobota")</f>
        <v>Neděle</v>
      </c>
      <c r="C3" s="22"/>
      <c r="D3" s="21" t="str">
        <f>CHOOSE(WEEKDAY(E1), "Neděle", "Pondělí", "Úterý", "Středa", "Čtvrtek", "Pátek", "Sobota")</f>
        <v>Neděle</v>
      </c>
      <c r="E3" s="23"/>
      <c r="H3" s="10"/>
      <c r="K3" s="10"/>
      <c r="L3" s="24" t="s">
        <v>6</v>
      </c>
      <c r="M3" s="25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ht="15.75" customHeight="1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15.75" customHeight="1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24" t="s">
        <v>10</v>
      </c>
      <c r="M5" s="25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15.75" customHeight="1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24" t="s">
        <v>11</v>
      </c>
      <c r="M6" s="25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15.75" customHeight="1">
      <c r="A7" s="9"/>
      <c r="B7" s="30">
        <f>TEXT(SUMPRODUCT((IFERROR(LEFT(D10:D30, FIND(":", D10:D30) - 1) * 60, 0) + IFERROR(MID(D10:D30, FIND(":", D10:D30) + 1, LEN(D10:D30) - FIND(":", D10:D30)), 0))), "[h]:mm")/60</f>
        <v>0</v>
      </c>
      <c r="C7" s="26"/>
      <c r="D7" s="26"/>
      <c r="E7" s="13"/>
      <c r="F7" s="31">
        <f>TEXT(SUMPRODUCT((IFERROR(LEFT(H10:H30, FIND(":", H10:H30) - 1) * 60, 0) + IFERROR(MID(H10:H30, FIND(":", H10:H30) + 1, LEN(H10:H30) - FIND(":", H10:H30)), 0))), "[h]:mm")/60</f>
        <v>0</v>
      </c>
      <c r="G7" s="7"/>
      <c r="H7" s="7"/>
      <c r="I7" s="7"/>
      <c r="J7" s="32"/>
      <c r="K7" s="32"/>
      <c r="L7" s="33" t="s">
        <v>12</v>
      </c>
      <c r="M7" s="34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15.75" customHeight="1">
      <c r="A8" s="35"/>
      <c r="B8" s="36" t="s">
        <v>13</v>
      </c>
      <c r="C8" s="22"/>
      <c r="D8" s="22"/>
      <c r="E8" s="23"/>
      <c r="F8" s="37" t="s">
        <v>14</v>
      </c>
      <c r="G8" s="22"/>
      <c r="H8" s="22"/>
      <c r="I8" s="23"/>
      <c r="J8" s="36" t="s">
        <v>15</v>
      </c>
      <c r="K8" s="23"/>
      <c r="L8" s="3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15.75" customHeight="1">
      <c r="A9" s="38"/>
      <c r="B9" s="39"/>
      <c r="C9" s="40"/>
      <c r="D9" s="40"/>
      <c r="E9" s="41"/>
      <c r="F9" s="39" t="s">
        <v>17</v>
      </c>
      <c r="G9" s="40" t="s">
        <v>18</v>
      </c>
      <c r="H9" s="40" t="s">
        <v>19</v>
      </c>
      <c r="I9" s="42" t="s">
        <v>20</v>
      </c>
      <c r="J9" s="43"/>
      <c r="K9" s="23"/>
      <c r="L9" s="44" t="s">
        <v>21</v>
      </c>
      <c r="M9" s="25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18.75" customHeight="1">
      <c r="A10" s="45"/>
      <c r="B10" s="46"/>
      <c r="C10" s="47"/>
      <c r="D10" s="47"/>
      <c r="E10" s="48" t="s">
        <v>22</v>
      </c>
      <c r="F10" s="46"/>
      <c r="G10" s="47"/>
      <c r="H10" s="47"/>
      <c r="I10" s="49"/>
      <c r="K10" s="10"/>
      <c r="L10" s="44" t="s">
        <v>23</v>
      </c>
      <c r="M10" s="25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18.75" customHeight="1">
      <c r="A11" s="45"/>
      <c r="B11" s="46"/>
      <c r="C11" s="47"/>
      <c r="D11" s="47"/>
      <c r="E11" s="48" t="s">
        <v>24</v>
      </c>
      <c r="F11" s="46"/>
      <c r="G11" s="47"/>
      <c r="H11" s="47"/>
      <c r="I11" s="49"/>
      <c r="K11" s="10"/>
      <c r="L11" s="50" t="s">
        <v>16</v>
      </c>
      <c r="M11" s="51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8.75" customHeight="1">
      <c r="A12" s="45"/>
      <c r="B12" s="46"/>
      <c r="C12" s="47"/>
      <c r="D12" s="47"/>
      <c r="E12" s="48" t="s">
        <v>25</v>
      </c>
      <c r="F12" s="46"/>
      <c r="G12" s="47"/>
      <c r="H12" s="47"/>
      <c r="I12" s="49"/>
      <c r="K12" s="10"/>
      <c r="L12" s="52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18.75" customHeight="1">
      <c r="A13" s="45"/>
      <c r="B13" s="46"/>
      <c r="C13" s="47"/>
      <c r="D13" s="47"/>
      <c r="E13" s="48" t="s">
        <v>25</v>
      </c>
      <c r="F13" s="46"/>
      <c r="G13" s="47"/>
      <c r="H13" s="47"/>
      <c r="I13" s="49"/>
      <c r="K13" s="10"/>
      <c r="L13" s="16" t="s">
        <v>27</v>
      </c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18.75" customHeight="1">
      <c r="A14" s="45"/>
      <c r="B14" s="46"/>
      <c r="C14" s="47"/>
      <c r="D14" s="47"/>
      <c r="E14" s="48" t="s">
        <v>28</v>
      </c>
      <c r="F14" s="46"/>
      <c r="G14" s="47"/>
      <c r="H14" s="47"/>
      <c r="I14" s="49"/>
      <c r="K14" s="10"/>
      <c r="L14" s="53" t="s">
        <v>29</v>
      </c>
      <c r="M14" s="25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18.75" customHeight="1">
      <c r="A15" s="45"/>
      <c r="B15" s="46"/>
      <c r="C15" s="47"/>
      <c r="D15" s="47"/>
      <c r="E15" s="48" t="s">
        <v>28</v>
      </c>
      <c r="F15" s="46"/>
      <c r="G15" s="47"/>
      <c r="H15" s="47"/>
      <c r="I15" s="49"/>
      <c r="K15" s="10"/>
      <c r="L15" s="53" t="s">
        <v>30</v>
      </c>
      <c r="M15" s="25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18.75" customHeight="1">
      <c r="A16" s="45"/>
      <c r="B16" s="46"/>
      <c r="C16" s="47"/>
      <c r="D16" s="47"/>
      <c r="E16" s="54"/>
      <c r="F16" s="46"/>
      <c r="G16" s="47"/>
      <c r="H16" s="47"/>
      <c r="I16" s="49"/>
      <c r="K16" s="10"/>
      <c r="L16" s="53" t="s">
        <v>31</v>
      </c>
      <c r="M16" s="25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18.75" customHeight="1">
      <c r="A17" s="45"/>
      <c r="B17" s="46"/>
      <c r="C17" s="47"/>
      <c r="D17" s="47"/>
      <c r="E17" s="54"/>
      <c r="F17" s="46"/>
      <c r="G17" s="47"/>
      <c r="H17" s="47"/>
      <c r="I17" s="49"/>
      <c r="J17" s="26"/>
      <c r="K17" s="13"/>
      <c r="L17" s="55" t="s">
        <v>32</v>
      </c>
      <c r="M17" s="51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18.75" customHeight="1">
      <c r="A18" s="45"/>
      <c r="B18" s="46"/>
      <c r="C18" s="47"/>
      <c r="D18" s="47"/>
      <c r="E18" s="54"/>
      <c r="F18" s="46"/>
      <c r="G18" s="47"/>
      <c r="H18" s="47"/>
      <c r="I18" s="49"/>
      <c r="J18" s="56"/>
      <c r="K18" s="7"/>
      <c r="L18" s="7"/>
      <c r="M18" s="8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</row>
    <row r="19" ht="18.75" customHeight="1">
      <c r="A19" s="45"/>
      <c r="B19" s="46"/>
      <c r="C19" s="47"/>
      <c r="D19" s="47"/>
      <c r="E19" s="54"/>
      <c r="F19" s="46"/>
      <c r="G19" s="47"/>
      <c r="H19" s="47"/>
      <c r="I19" s="49"/>
      <c r="J19" s="58" t="s">
        <v>33</v>
      </c>
      <c r="K19" s="59" t="s">
        <v>34</v>
      </c>
      <c r="L19" s="60" t="s">
        <v>35</v>
      </c>
      <c r="M19" s="61" t="s">
        <v>36</v>
      </c>
    </row>
    <row r="20" ht="18.75" customHeight="1">
      <c r="A20" s="45"/>
      <c r="B20" s="46"/>
      <c r="C20" s="47"/>
      <c r="D20" s="47"/>
      <c r="E20" s="54"/>
      <c r="F20" s="46"/>
      <c r="G20" s="47"/>
      <c r="H20" s="47"/>
      <c r="I20" s="49"/>
      <c r="J20" s="62"/>
      <c r="K20" s="63"/>
      <c r="L20" s="63"/>
      <c r="M20" s="64"/>
    </row>
    <row r="21" ht="18.75" customHeight="1">
      <c r="A21" s="45"/>
      <c r="B21" s="46"/>
      <c r="C21" s="47"/>
      <c r="D21" s="47"/>
      <c r="E21" s="54"/>
      <c r="F21" s="46"/>
      <c r="G21" s="47"/>
      <c r="H21" s="47"/>
      <c r="I21" s="49"/>
      <c r="J21" s="65"/>
      <c r="K21" s="66"/>
      <c r="L21" s="67"/>
      <c r="M21" s="68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</row>
    <row r="22" ht="18.75" customHeight="1">
      <c r="A22" s="45"/>
      <c r="B22" s="46"/>
      <c r="C22" s="47"/>
      <c r="D22" s="47"/>
      <c r="E22" s="54"/>
      <c r="F22" s="46"/>
      <c r="G22" s="47"/>
      <c r="H22" s="47"/>
      <c r="I22" s="49"/>
      <c r="J22" s="69" t="s">
        <v>37</v>
      </c>
      <c r="K22" s="70" t="s">
        <v>38</v>
      </c>
      <c r="L22" s="71" t="s">
        <v>39</v>
      </c>
      <c r="M22" s="72" t="s">
        <v>40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ht="18.75" customHeight="1">
      <c r="A23" s="45"/>
      <c r="B23" s="46"/>
      <c r="C23" s="47"/>
      <c r="D23" s="47"/>
      <c r="E23" s="54"/>
      <c r="F23" s="46"/>
      <c r="G23" s="47"/>
      <c r="H23" s="47"/>
      <c r="I23" s="49"/>
      <c r="J23" s="62"/>
      <c r="K23" s="63"/>
      <c r="L23" s="63"/>
      <c r="M23" s="64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</row>
    <row r="24" ht="18.75" customHeight="1">
      <c r="A24" s="45"/>
      <c r="B24" s="46"/>
      <c r="C24" s="47"/>
      <c r="D24" s="47"/>
      <c r="E24" s="54"/>
      <c r="F24" s="46"/>
      <c r="G24" s="47"/>
      <c r="H24" s="47"/>
      <c r="I24" s="49"/>
      <c r="J24" s="73"/>
      <c r="K24" s="67"/>
      <c r="L24" s="67"/>
      <c r="M24" s="74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</row>
    <row r="25" ht="18.75" customHeight="1">
      <c r="A25" s="45"/>
      <c r="B25" s="46"/>
      <c r="C25" s="47"/>
      <c r="D25" s="47"/>
      <c r="E25" s="54"/>
      <c r="F25" s="46"/>
      <c r="G25" s="47"/>
      <c r="H25" s="47"/>
      <c r="I25" s="49"/>
      <c r="J25" s="75" t="s">
        <v>41</v>
      </c>
      <c r="K25" s="76"/>
      <c r="L25" s="71" t="s">
        <v>42</v>
      </c>
      <c r="M25" s="72" t="s">
        <v>43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ht="18.75" customHeight="1">
      <c r="A26" s="45"/>
      <c r="B26" s="46"/>
      <c r="C26" s="47"/>
      <c r="D26" s="47"/>
      <c r="E26" s="54"/>
      <c r="F26" s="46"/>
      <c r="G26" s="47"/>
      <c r="H26" s="47"/>
      <c r="I26" s="49"/>
      <c r="J26" s="77"/>
      <c r="K26" s="78"/>
      <c r="L26" s="63"/>
      <c r="M26" s="64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</row>
    <row r="27" ht="18.75" customHeight="1">
      <c r="A27" s="45"/>
      <c r="B27" s="46"/>
      <c r="C27" s="47"/>
      <c r="D27" s="47"/>
      <c r="E27" s="54"/>
      <c r="F27" s="46"/>
      <c r="G27" s="47"/>
      <c r="H27" s="47"/>
      <c r="I27" s="49"/>
      <c r="J27" s="79"/>
      <c r="K27" s="80"/>
      <c r="L27" s="81"/>
      <c r="M27" s="82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</row>
    <row r="28" ht="18.75" customHeight="1">
      <c r="A28" s="45"/>
      <c r="B28" s="46"/>
      <c r="C28" s="47"/>
      <c r="D28" s="47"/>
      <c r="E28" s="54"/>
      <c r="F28" s="46"/>
      <c r="G28" s="47"/>
      <c r="H28" s="47"/>
      <c r="I28" s="49"/>
      <c r="J28" s="83"/>
      <c r="L28" s="70" t="s">
        <v>44</v>
      </c>
      <c r="M28" s="72" t="s">
        <v>45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</row>
    <row r="29" ht="18.75" customHeight="1">
      <c r="A29" s="45"/>
      <c r="B29" s="46"/>
      <c r="C29" s="47"/>
      <c r="D29" s="47"/>
      <c r="E29" s="54"/>
      <c r="F29" s="46"/>
      <c r="G29" s="47"/>
      <c r="H29" s="47"/>
      <c r="I29" s="49"/>
      <c r="J29" s="84"/>
      <c r="L29" s="63"/>
      <c r="M29" s="64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</row>
    <row r="30" ht="18.75" customHeight="1">
      <c r="A30" s="45"/>
      <c r="B30" s="85"/>
      <c r="C30" s="86"/>
      <c r="D30" s="86"/>
      <c r="E30" s="87"/>
      <c r="F30" s="85"/>
      <c r="G30" s="86"/>
      <c r="H30" s="86"/>
      <c r="I30" s="88"/>
      <c r="J30" s="12"/>
      <c r="K30" s="26"/>
      <c r="L30" s="89"/>
      <c r="M30" s="90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9.25"/>
    <col customWidth="1" min="3" max="3" width="14.13"/>
    <col customWidth="1" min="4" max="4" width="18.88"/>
    <col customWidth="1" min="5" max="5" width="15.25"/>
    <col customWidth="1" min="6" max="6" width="12.63"/>
    <col customWidth="1" min="12" max="12" width="12.88"/>
    <col customWidth="1" min="14" max="14" width="12.75"/>
    <col customWidth="1" min="18" max="18" width="15.13"/>
    <col customWidth="1" min="21" max="22" width="14.25"/>
    <col customWidth="1" min="27" max="27" width="27.25"/>
  </cols>
  <sheetData>
    <row r="1" ht="33.75" customHeight="1">
      <c r="A1" s="91">
        <v>46099.0</v>
      </c>
      <c r="B1" s="4" t="s">
        <v>1</v>
      </c>
      <c r="C1" s="92">
        <v>46099.0</v>
      </c>
      <c r="D1" s="93" t="s">
        <v>46</v>
      </c>
      <c r="E1" s="94" t="s">
        <v>47</v>
      </c>
      <c r="F1" s="94" t="s">
        <v>48</v>
      </c>
      <c r="G1" s="94" t="s">
        <v>49</v>
      </c>
      <c r="H1" s="94" t="s">
        <v>50</v>
      </c>
      <c r="I1" s="95" t="s">
        <v>51</v>
      </c>
      <c r="J1" s="95" t="s">
        <v>51</v>
      </c>
      <c r="K1" s="93"/>
      <c r="L1" s="96">
        <v>46096.0</v>
      </c>
      <c r="M1" s="93"/>
      <c r="N1" s="93"/>
      <c r="O1" s="93"/>
      <c r="P1" s="93"/>
      <c r="Q1" s="93"/>
      <c r="R1" s="93"/>
      <c r="S1" s="93"/>
      <c r="T1" s="93"/>
      <c r="U1" s="93"/>
      <c r="V1" s="93"/>
      <c r="W1" s="93" t="s">
        <v>52</v>
      </c>
      <c r="X1" s="93"/>
      <c r="Y1" s="93"/>
      <c r="Z1" s="93"/>
      <c r="AA1" s="97" t="s">
        <v>53</v>
      </c>
      <c r="AB1" s="93"/>
    </row>
    <row r="2" ht="18.75" customHeight="1">
      <c r="A2" s="13"/>
      <c r="B2" s="11"/>
      <c r="C2" s="13"/>
      <c r="D2" s="93"/>
      <c r="E2" s="93" t="b">
        <v>0</v>
      </c>
      <c r="F2" s="93" t="b">
        <v>0</v>
      </c>
      <c r="G2" s="93" t="b">
        <v>0</v>
      </c>
      <c r="H2" s="93" t="b">
        <v>0</v>
      </c>
      <c r="J2" s="93"/>
      <c r="K2" s="93"/>
      <c r="L2" s="12"/>
      <c r="M2" s="93"/>
      <c r="N2" s="93"/>
      <c r="O2" s="93"/>
      <c r="P2" s="93"/>
      <c r="Q2" s="93"/>
      <c r="R2" s="93"/>
      <c r="S2" s="93"/>
      <c r="T2" s="93"/>
      <c r="U2" s="93"/>
      <c r="V2" s="93"/>
      <c r="W2" s="98">
        <v>0.27</v>
      </c>
      <c r="X2" s="93"/>
      <c r="Y2" s="93"/>
      <c r="Z2" s="93"/>
      <c r="AA2" s="99">
        <v>0.2</v>
      </c>
      <c r="AB2" s="93"/>
    </row>
    <row r="3" ht="18.75" customHeight="1">
      <c r="A3" s="93"/>
      <c r="B3" s="93"/>
      <c r="C3" s="93"/>
      <c r="D3" s="93" t="s">
        <v>51</v>
      </c>
      <c r="E3" s="93"/>
      <c r="F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100"/>
      <c r="AB3" s="93"/>
    </row>
    <row r="4" ht="18.75" customHeight="1">
      <c r="A4" s="101"/>
      <c r="B4" s="102" t="s">
        <v>3</v>
      </c>
      <c r="C4" s="103" t="s">
        <v>2</v>
      </c>
      <c r="D4" s="103" t="s">
        <v>15</v>
      </c>
      <c r="E4" s="103" t="s">
        <v>54</v>
      </c>
      <c r="F4" s="103" t="s">
        <v>55</v>
      </c>
      <c r="G4" s="103" t="s">
        <v>56</v>
      </c>
      <c r="H4" s="104" t="s">
        <v>57</v>
      </c>
      <c r="I4" s="105" t="s">
        <v>58</v>
      </c>
      <c r="J4" s="106" t="s">
        <v>59</v>
      </c>
      <c r="K4" s="106" t="s">
        <v>60</v>
      </c>
      <c r="L4" s="106" t="s">
        <v>61</v>
      </c>
      <c r="M4" s="106" t="s">
        <v>62</v>
      </c>
      <c r="N4" s="106" t="s">
        <v>63</v>
      </c>
      <c r="O4" s="106" t="s">
        <v>64</v>
      </c>
      <c r="P4" s="106" t="s">
        <v>65</v>
      </c>
      <c r="Q4" s="106" t="s">
        <v>66</v>
      </c>
      <c r="R4" s="101"/>
      <c r="S4" s="106" t="s">
        <v>67</v>
      </c>
      <c r="T4" s="106" t="s">
        <v>68</v>
      </c>
      <c r="U4" s="106" t="s">
        <v>69</v>
      </c>
      <c r="V4" s="107" t="s">
        <v>70</v>
      </c>
      <c r="W4" s="107" t="s">
        <v>71</v>
      </c>
      <c r="X4" s="108" t="s">
        <v>72</v>
      </c>
      <c r="Y4" s="108" t="s">
        <v>73</v>
      </c>
      <c r="Z4" s="108" t="s">
        <v>31</v>
      </c>
      <c r="AA4" s="109" t="s">
        <v>53</v>
      </c>
      <c r="AB4" s="110" t="s">
        <v>74</v>
      </c>
    </row>
    <row r="5" ht="18.75" customHeight="1">
      <c r="A5" s="111" t="s">
        <v>75</v>
      </c>
      <c r="B5" s="112">
        <f t="array" ref="B5">INDIRECT("'"&amp;A5&amp;"'!I2")</f>
        <v>36317</v>
      </c>
      <c r="C5" s="113">
        <f t="array" ref="C5">INDIRECT("'"&amp;A5&amp;"'!f2")</f>
        <v>0.3185757707</v>
      </c>
      <c r="D5" s="100">
        <f t="array" ref="D5">INDIRECT("'"&amp;A5&amp;"'!J9")</f>
        <v>12</v>
      </c>
      <c r="E5" s="100">
        <f t="array" ref="E5">INDIRECT("'"&amp;A5&amp;"'!K24")</f>
        <v>86</v>
      </c>
      <c r="F5" s="113">
        <f t="array" ref="F5">INDIRECT("'"&amp;A5&amp;"'!L30")</f>
        <v>0.9473684211</v>
      </c>
      <c r="G5" s="100">
        <f t="array" ref="G5">INDIRECT("'"&amp;A5&amp;"'!B7")</f>
        <v>15</v>
      </c>
      <c r="H5" s="100">
        <f t="array" ref="H5">INDIRECT("'"&amp;A5&amp;"'!f7")</f>
        <v>16</v>
      </c>
      <c r="I5" s="100" t="str">
        <f t="array" ref="I5">INDIRECT("'"&amp;A5&amp;"'!M21")</f>
        <v>11 min 23 s</v>
      </c>
      <c r="J5" s="114">
        <f t="array" ref="J5">INDIRECT("'"&amp;A5&amp;"'!K30")</f>
        <v>1</v>
      </c>
      <c r="K5" s="114">
        <f t="array" ref="K5">INDIRECT("'"&amp;A5&amp;"'!L24")</f>
        <v>19</v>
      </c>
      <c r="L5" s="115">
        <f t="array" ref="L5">INDIRECT("'"&amp;A5&amp;"'!M2")</f>
        <v>12014</v>
      </c>
      <c r="M5" s="115">
        <f t="array" ref="M5">INDIRECT("'"&amp;A5&amp;"'!M3")</f>
        <v>6921</v>
      </c>
      <c r="N5" s="115">
        <f t="array" ref="N5">INDIRECT("'"&amp;A5&amp;"'!M4")</f>
        <v>6168</v>
      </c>
      <c r="O5" s="115">
        <f t="array" ref="O5">INDIRECT("'"&amp;A5&amp;"'!M5")</f>
        <v>8020</v>
      </c>
      <c r="P5" s="115">
        <f t="array" ref="P5">INDIRECT("'"&amp;A5&amp;"'!M9")</f>
        <v>1006</v>
      </c>
      <c r="Q5" s="115">
        <f t="array" ref="Q5">INDIRECT("'"&amp;A5&amp;"'!M10")</f>
        <v>0</v>
      </c>
      <c r="R5" s="111" t="s">
        <v>75</v>
      </c>
      <c r="S5" s="115">
        <f>Dashboard!B5</f>
        <v>36317</v>
      </c>
      <c r="T5" s="115">
        <f>S5/112*100</f>
        <v>32425.89286</v>
      </c>
      <c r="U5" s="116">
        <f>Dashboard!C5*T5</f>
        <v>10330.10381</v>
      </c>
      <c r="V5" s="115">
        <f>S5/100*25</f>
        <v>9079.25</v>
      </c>
      <c r="W5" s="116">
        <f>$W$2*T5</f>
        <v>8754.991071</v>
      </c>
      <c r="X5" s="114">
        <v>35000.0</v>
      </c>
      <c r="Y5" s="114">
        <v>35000.0</v>
      </c>
      <c r="Z5" s="114"/>
      <c r="AA5" s="117">
        <f>$AA$2*T5</f>
        <v>6485.178571</v>
      </c>
      <c r="AB5" s="117">
        <f>T5-U5-V5-W5-X5-Y5-Z5-AA5</f>
        <v>-72223.63059</v>
      </c>
    </row>
    <row r="6" ht="18.75" customHeight="1">
      <c r="A6" s="11"/>
      <c r="B6" s="118"/>
      <c r="C6" s="119"/>
      <c r="D6" s="119"/>
      <c r="E6" s="119"/>
      <c r="F6" s="119"/>
      <c r="G6" s="119"/>
      <c r="H6" s="119"/>
      <c r="I6" s="119"/>
      <c r="J6" s="120"/>
      <c r="K6" s="120"/>
      <c r="L6" s="120"/>
      <c r="M6" s="120"/>
      <c r="N6" s="120"/>
      <c r="O6" s="120"/>
      <c r="P6" s="120"/>
      <c r="Q6" s="120"/>
      <c r="R6" s="11"/>
      <c r="S6" s="120"/>
      <c r="T6" s="120"/>
      <c r="U6" s="121"/>
      <c r="V6" s="120"/>
      <c r="W6" s="121"/>
      <c r="X6" s="120"/>
      <c r="Y6" s="120"/>
      <c r="Z6" s="120"/>
      <c r="AA6" s="13"/>
      <c r="AB6" s="13"/>
    </row>
    <row r="7" ht="18.75" customHeight="1">
      <c r="A7" s="122"/>
      <c r="B7" s="123" t="s">
        <v>3</v>
      </c>
      <c r="C7" s="124" t="s">
        <v>2</v>
      </c>
      <c r="D7" s="124" t="s">
        <v>15</v>
      </c>
      <c r="E7" s="124" t="s">
        <v>54</v>
      </c>
      <c r="F7" s="124" t="s">
        <v>55</v>
      </c>
      <c r="G7" s="124" t="s">
        <v>56</v>
      </c>
      <c r="H7" s="125" t="s">
        <v>57</v>
      </c>
      <c r="I7" s="126" t="s">
        <v>58</v>
      </c>
      <c r="J7" s="106" t="s">
        <v>59</v>
      </c>
      <c r="K7" s="106" t="s">
        <v>60</v>
      </c>
      <c r="L7" s="106" t="str">
        <f t="shared" ref="L7:P7" si="1">L4</f>
        <v>WOLT</v>
      </c>
      <c r="M7" s="106" t="str">
        <f t="shared" si="1"/>
        <v>BOLT</v>
      </c>
      <c r="N7" s="106" t="str">
        <f t="shared" si="1"/>
        <v>FOODORA online</v>
      </c>
      <c r="O7" s="106" t="str">
        <f t="shared" si="1"/>
        <v>WEB online</v>
      </c>
      <c r="P7" s="106" t="str">
        <f t="shared" si="1"/>
        <v>Karty</v>
      </c>
      <c r="Q7" s="106" t="s">
        <v>66</v>
      </c>
      <c r="R7" s="122"/>
      <c r="S7" s="106" t="str">
        <f t="shared" ref="S7:AB7" si="2">S4</f>
        <v>Hrubý obrat</v>
      </c>
      <c r="T7" s="106" t="str">
        <f t="shared" si="2"/>
        <v>Tržba čistá</v>
      </c>
      <c r="U7" s="106" t="str">
        <f t="shared" si="2"/>
        <v>Náklad mzdy</v>
      </c>
      <c r="V7" s="106" t="str">
        <f t="shared" si="2"/>
        <v>Agregatory 25%</v>
      </c>
      <c r="W7" s="106" t="str">
        <f t="shared" si="2"/>
        <v>COS + chemie</v>
      </c>
      <c r="X7" s="106" t="str">
        <f t="shared" si="2"/>
        <v>Nájem + služby</v>
      </c>
      <c r="Y7" s="106" t="str">
        <f t="shared" si="2"/>
        <v>Energie</v>
      </c>
      <c r="Z7" s="106" t="str">
        <f t="shared" si="2"/>
        <v>Ostatní</v>
      </c>
      <c r="AA7" s="106" t="str">
        <f t="shared" si="2"/>
        <v>odvod cent.</v>
      </c>
      <c r="AB7" s="106" t="str">
        <f t="shared" si="2"/>
        <v>Zisk</v>
      </c>
    </row>
    <row r="8" ht="18.75" customHeight="1">
      <c r="A8" s="127" t="s">
        <v>0</v>
      </c>
      <c r="B8" s="112">
        <f t="array" ref="B8">INDIRECT("'"&amp;A8&amp;"'!I2")</f>
        <v>54069.5</v>
      </c>
      <c r="C8" s="113">
        <f t="array" ref="C8">INDIRECT("'"&amp;A8&amp;"'!f2")</f>
        <v>0.2663912504</v>
      </c>
      <c r="D8" s="100">
        <f t="array" ref="D8">INDIRECT("'"&amp;A8&amp;"'!J9")</f>
        <v>0.5</v>
      </c>
      <c r="E8" s="100">
        <f t="array" ref="E8">INDIRECT("'"&amp;A8&amp;"'!K24")</f>
        <v>123</v>
      </c>
      <c r="F8" s="113">
        <f t="array" ref="F8">INDIRECT("'"&amp;A8&amp;"'!L30")</f>
        <v>0.95</v>
      </c>
      <c r="G8" s="100">
        <f t="array" ref="G8">INDIRECT("'"&amp;A8&amp;"'!B7")</f>
        <v>22</v>
      </c>
      <c r="H8" s="128">
        <f t="array" ref="H8">INDIRECT("'"&amp;A8&amp;"'!f7")</f>
        <v>14</v>
      </c>
      <c r="I8" s="100" t="str">
        <f t="array" ref="I8">INDIRECT("'"&amp;A8&amp;"'!M21")</f>
        <v>13 min 06 s</v>
      </c>
      <c r="J8" s="114">
        <f t="array" ref="J8">INDIRECT("'"&amp;A8&amp;"'!K30")</f>
        <v>0</v>
      </c>
      <c r="K8" s="128">
        <f t="array" ref="K8">INDIRECT("'"&amp;A8&amp;"'!L24")</f>
        <v>20</v>
      </c>
      <c r="L8" s="115">
        <f t="array" ref="L8">INDIRECT("'"&amp;A8&amp;"'!M2")</f>
        <v>13210</v>
      </c>
      <c r="M8" s="115">
        <f t="array" ref="M8">INDIRECT("'"&amp;A8&amp;"'!M3")</f>
        <v>6247</v>
      </c>
      <c r="N8" s="116">
        <f t="array" ref="N8">INDIRECT("'"&amp;A8&amp;"'!M4")</f>
        <v>13756</v>
      </c>
      <c r="O8" s="115">
        <f t="array" ref="O8">INDIRECT("'"&amp;A8&amp;"'!M5")</f>
        <v>11505</v>
      </c>
      <c r="P8" s="115">
        <f t="array" ref="P8">INDIRECT("'"&amp;A8&amp;"'!M9")</f>
        <v>5690</v>
      </c>
      <c r="Q8" s="115">
        <f t="array" ref="Q8">INDIRECT("'"&amp;A8&amp;"'!M10")</f>
        <v>0</v>
      </c>
      <c r="R8" s="127" t="s">
        <v>0</v>
      </c>
      <c r="S8" s="115">
        <f>B8</f>
        <v>54069.5</v>
      </c>
      <c r="T8" s="115">
        <f>S8/112*100</f>
        <v>48276.33929</v>
      </c>
      <c r="U8" s="116">
        <f>C8*T8</f>
        <v>12860.39439</v>
      </c>
      <c r="V8" s="115">
        <f>S8/100*25</f>
        <v>13517.375</v>
      </c>
      <c r="W8" s="116">
        <f>$W$2*T8</f>
        <v>13034.61161</v>
      </c>
      <c r="X8" s="114">
        <v>35000.0</v>
      </c>
      <c r="Y8" s="114">
        <v>35000.0</v>
      </c>
      <c r="Z8" s="114"/>
      <c r="AA8" s="117">
        <f>$AA$2*T8</f>
        <v>9655.267857</v>
      </c>
      <c r="AB8" s="117">
        <f>T8-U8-V8-W8-X8-Y8-Z8-AA8</f>
        <v>-70791.30957</v>
      </c>
    </row>
    <row r="9" ht="18.75" customHeight="1">
      <c r="A9" s="11"/>
      <c r="B9" s="118"/>
      <c r="C9" s="119"/>
      <c r="D9" s="119"/>
      <c r="E9" s="119"/>
      <c r="F9" s="119"/>
      <c r="G9" s="119"/>
      <c r="H9" s="121"/>
      <c r="I9" s="119"/>
      <c r="J9" s="120"/>
      <c r="K9" s="121"/>
      <c r="L9" s="120"/>
      <c r="M9" s="120"/>
      <c r="N9" s="121"/>
      <c r="O9" s="120"/>
      <c r="P9" s="120"/>
      <c r="Q9" s="120"/>
      <c r="R9" s="11"/>
      <c r="S9" s="120"/>
      <c r="T9" s="120"/>
      <c r="U9" s="121"/>
      <c r="V9" s="120"/>
      <c r="W9" s="121"/>
      <c r="X9" s="120"/>
      <c r="Y9" s="120"/>
      <c r="Z9" s="120"/>
      <c r="AA9" s="13"/>
      <c r="AB9" s="13"/>
    </row>
    <row r="10" ht="18.75" customHeight="1">
      <c r="A10" s="122"/>
      <c r="B10" s="123" t="s">
        <v>3</v>
      </c>
      <c r="C10" s="124" t="s">
        <v>2</v>
      </c>
      <c r="D10" s="124" t="s">
        <v>15</v>
      </c>
      <c r="E10" s="124" t="s">
        <v>54</v>
      </c>
      <c r="F10" s="124" t="s">
        <v>55</v>
      </c>
      <c r="G10" s="124" t="s">
        <v>56</v>
      </c>
      <c r="H10" s="125" t="s">
        <v>57</v>
      </c>
      <c r="I10" s="126" t="s">
        <v>58</v>
      </c>
      <c r="J10" s="106" t="s">
        <v>59</v>
      </c>
      <c r="K10" s="106" t="s">
        <v>60</v>
      </c>
      <c r="L10" s="106" t="str">
        <f t="shared" ref="L10:P10" si="3">L7</f>
        <v>WOLT</v>
      </c>
      <c r="M10" s="106" t="str">
        <f t="shared" si="3"/>
        <v>BOLT</v>
      </c>
      <c r="N10" s="106" t="str">
        <f t="shared" si="3"/>
        <v>FOODORA online</v>
      </c>
      <c r="O10" s="106" t="str">
        <f t="shared" si="3"/>
        <v>WEB online</v>
      </c>
      <c r="P10" s="106" t="str">
        <f t="shared" si="3"/>
        <v>Karty</v>
      </c>
      <c r="Q10" s="106" t="s">
        <v>66</v>
      </c>
      <c r="R10" s="122"/>
      <c r="S10" s="106" t="str">
        <f t="shared" ref="S10:AB10" si="4">S7</f>
        <v>Hrubý obrat</v>
      </c>
      <c r="T10" s="106" t="str">
        <f t="shared" si="4"/>
        <v>Tržba čistá</v>
      </c>
      <c r="U10" s="106" t="str">
        <f t="shared" si="4"/>
        <v>Náklad mzdy</v>
      </c>
      <c r="V10" s="106" t="str">
        <f t="shared" si="4"/>
        <v>Agregatory 25%</v>
      </c>
      <c r="W10" s="106" t="str">
        <f t="shared" si="4"/>
        <v>COS + chemie</v>
      </c>
      <c r="X10" s="106" t="str">
        <f t="shared" si="4"/>
        <v>Nájem + služby</v>
      </c>
      <c r="Y10" s="106" t="str">
        <f t="shared" si="4"/>
        <v>Energie</v>
      </c>
      <c r="Z10" s="106" t="str">
        <f t="shared" si="4"/>
        <v>Ostatní</v>
      </c>
      <c r="AA10" s="106" t="str">
        <f t="shared" si="4"/>
        <v>odvod cent.</v>
      </c>
      <c r="AB10" s="106" t="str">
        <f t="shared" si="4"/>
        <v>Zisk</v>
      </c>
    </row>
    <row r="11" ht="18.75" customHeight="1">
      <c r="A11" s="129" t="s">
        <v>76</v>
      </c>
      <c r="B11" s="112">
        <f t="array" ref="B11">INDIRECT("'"&amp;A11&amp;"'!I2")</f>
        <v>45313</v>
      </c>
      <c r="C11" s="113">
        <f t="array" ref="C11">INDIRECT("'"&amp;A11&amp;"'!f2")</f>
        <v>0.3837880587</v>
      </c>
      <c r="D11" s="100">
        <f t="array" ref="D11">INDIRECT("'"&amp;A11&amp;"'!J9")</f>
        <v>0</v>
      </c>
      <c r="E11" s="100">
        <f t="array" ref="E11">INDIRECT("'"&amp;A11&amp;"'!K24")</f>
        <v>115</v>
      </c>
      <c r="F11" s="113">
        <f t="array" ref="F11">INDIRECT("'"&amp;A11&amp;"'!L30")</f>
        <v>0.8823529412</v>
      </c>
      <c r="G11" s="100">
        <f t="array" ref="G11">INDIRECT("'"&amp;A11&amp;"'!B7")</f>
        <v>28</v>
      </c>
      <c r="H11" s="128">
        <f t="array" ref="H11">INDIRECT("'"&amp;A11&amp;"'!f7")</f>
        <v>19</v>
      </c>
      <c r="I11" s="100" t="str">
        <f t="array" ref="I11">INDIRECT("'"&amp;A11&amp;"'!M21")</f>
        <v>12 min 16 s</v>
      </c>
      <c r="J11" s="114">
        <f t="array" ref="J11">INDIRECT("'"&amp;A11&amp;"'!K30")</f>
        <v>0</v>
      </c>
      <c r="K11" s="128">
        <f t="array" ref="K11">INDIRECT("'"&amp;A11&amp;"'!L24")</f>
        <v>34</v>
      </c>
      <c r="L11" s="115">
        <f t="array" ref="L11">INDIRECT("'"&amp;A11&amp;"'!M2")</f>
        <v>11601</v>
      </c>
      <c r="M11" s="115">
        <f t="array" ref="M11">INDIRECT("'"&amp;A11&amp;"'!M3")</f>
        <v>4018</v>
      </c>
      <c r="N11" s="116">
        <f t="array" ref="N11">INDIRECT("'"&amp;A11&amp;"'!M4")</f>
        <v>5896</v>
      </c>
      <c r="O11" s="115">
        <f t="array" ref="O11">INDIRECT("'"&amp;A11&amp;"'!M5")</f>
        <v>16846</v>
      </c>
      <c r="P11" s="115">
        <f t="array" ref="P11">INDIRECT("'"&amp;A11&amp;"'!M9")</f>
        <v>3432</v>
      </c>
      <c r="Q11" s="115">
        <f t="array" ref="Q11">INDIRECT("'"&amp;A11&amp;"'!M10")</f>
        <v>0</v>
      </c>
      <c r="R11" s="129" t="s">
        <v>76</v>
      </c>
      <c r="S11" s="115">
        <f>B11</f>
        <v>45313</v>
      </c>
      <c r="T11" s="115">
        <f>S11/112*100</f>
        <v>40458.03571</v>
      </c>
      <c r="U11" s="116">
        <f>C11*T11</f>
        <v>15527.31099</v>
      </c>
      <c r="V11" s="115">
        <f>S11/100*25</f>
        <v>11328.25</v>
      </c>
      <c r="W11" s="116">
        <f>$W$2*T11</f>
        <v>10923.66964</v>
      </c>
      <c r="X11" s="114">
        <v>35000.0</v>
      </c>
      <c r="Y11" s="114">
        <v>35000.0</v>
      </c>
      <c r="Z11" s="114"/>
      <c r="AA11" s="117">
        <f>$AA$2*T11</f>
        <v>8091.607143</v>
      </c>
      <c r="AB11" s="117">
        <f>T11-U11-V11-W11-X11-Y11-Z11-AA11</f>
        <v>-75412.80206</v>
      </c>
    </row>
    <row r="12" ht="18.75" customHeight="1">
      <c r="A12" s="11"/>
      <c r="B12" s="118"/>
      <c r="C12" s="119"/>
      <c r="D12" s="119"/>
      <c r="E12" s="119"/>
      <c r="F12" s="119"/>
      <c r="G12" s="119"/>
      <c r="H12" s="121"/>
      <c r="I12" s="119"/>
      <c r="J12" s="120"/>
      <c r="K12" s="121"/>
      <c r="L12" s="120"/>
      <c r="M12" s="120"/>
      <c r="N12" s="121"/>
      <c r="O12" s="120"/>
      <c r="P12" s="120"/>
      <c r="Q12" s="120"/>
      <c r="R12" s="11"/>
      <c r="S12" s="120"/>
      <c r="T12" s="120"/>
      <c r="U12" s="121"/>
      <c r="V12" s="120"/>
      <c r="W12" s="121"/>
      <c r="X12" s="120"/>
      <c r="Y12" s="120"/>
      <c r="Z12" s="120"/>
      <c r="AA12" s="13"/>
      <c r="AB12" s="13"/>
    </row>
    <row r="13" ht="18.75" customHeight="1">
      <c r="A13" s="122"/>
      <c r="B13" s="123" t="s">
        <v>3</v>
      </c>
      <c r="C13" s="124" t="s">
        <v>2</v>
      </c>
      <c r="D13" s="124" t="s">
        <v>15</v>
      </c>
      <c r="E13" s="124" t="s">
        <v>54</v>
      </c>
      <c r="F13" s="124" t="s">
        <v>55</v>
      </c>
      <c r="G13" s="124" t="s">
        <v>56</v>
      </c>
      <c r="H13" s="125" t="s">
        <v>57</v>
      </c>
      <c r="I13" s="126" t="s">
        <v>58</v>
      </c>
      <c r="J13" s="106" t="s">
        <v>59</v>
      </c>
      <c r="K13" s="106" t="s">
        <v>60</v>
      </c>
      <c r="L13" s="106" t="str">
        <f t="shared" ref="L13:P13" si="5">L10</f>
        <v>WOLT</v>
      </c>
      <c r="M13" s="106" t="str">
        <f t="shared" si="5"/>
        <v>BOLT</v>
      </c>
      <c r="N13" s="106" t="str">
        <f t="shared" si="5"/>
        <v>FOODORA online</v>
      </c>
      <c r="O13" s="106" t="str">
        <f t="shared" si="5"/>
        <v>WEB online</v>
      </c>
      <c r="P13" s="106" t="str">
        <f t="shared" si="5"/>
        <v>Karty</v>
      </c>
      <c r="Q13" s="106" t="s">
        <v>66</v>
      </c>
      <c r="R13" s="122"/>
      <c r="S13" s="106" t="str">
        <f t="shared" ref="S13:AB13" si="6">S10</f>
        <v>Hrubý obrat</v>
      </c>
      <c r="T13" s="106" t="str">
        <f t="shared" si="6"/>
        <v>Tržba čistá</v>
      </c>
      <c r="U13" s="106" t="str">
        <f t="shared" si="6"/>
        <v>Náklad mzdy</v>
      </c>
      <c r="V13" s="106" t="str">
        <f t="shared" si="6"/>
        <v>Agregatory 25%</v>
      </c>
      <c r="W13" s="106" t="str">
        <f t="shared" si="6"/>
        <v>COS + chemie</v>
      </c>
      <c r="X13" s="106" t="str">
        <f t="shared" si="6"/>
        <v>Nájem + služby</v>
      </c>
      <c r="Y13" s="106" t="str">
        <f t="shared" si="6"/>
        <v>Energie</v>
      </c>
      <c r="Z13" s="106" t="str">
        <f t="shared" si="6"/>
        <v>Ostatní</v>
      </c>
      <c r="AA13" s="106" t="str">
        <f t="shared" si="6"/>
        <v>odvod cent.</v>
      </c>
      <c r="AB13" s="106" t="str">
        <f t="shared" si="6"/>
        <v>Zisk</v>
      </c>
    </row>
    <row r="14" ht="18.75" customHeight="1">
      <c r="A14" s="130" t="s">
        <v>77</v>
      </c>
      <c r="B14" s="112">
        <f t="array" ref="B14">INDIRECT("'"&amp;A14&amp;"'!I2")</f>
        <v>33988.5</v>
      </c>
      <c r="C14" s="113">
        <f t="array" ref="C14">INDIRECT("'"&amp;A14&amp;"'!f2")</f>
        <v>0.3782751463</v>
      </c>
      <c r="D14" s="100">
        <f t="array" ref="D14">INDIRECT("'"&amp;A14&amp;"'!J9")</f>
        <v>0.5</v>
      </c>
      <c r="E14" s="100">
        <f t="array" ref="E14">INDIRECT("'"&amp;A14&amp;"'!K24")</f>
        <v>84</v>
      </c>
      <c r="F14" s="113">
        <f t="array" ref="F14">INDIRECT("'"&amp;A14&amp;"'!L30")</f>
        <v>0.8947368421</v>
      </c>
      <c r="G14" s="100">
        <f t="array" ref="G14">INDIRECT("'"&amp;A14&amp;"'!B7")</f>
        <v>18.5</v>
      </c>
      <c r="H14" s="128">
        <f t="array" ref="H14">INDIRECT("'"&amp;A14&amp;"'!f7")</f>
        <v>12.5</v>
      </c>
      <c r="I14" s="100" t="str">
        <f t="array" ref="I14">INDIRECT("'"&amp;A14&amp;"'!M21")</f>
        <v>14 min 44 s</v>
      </c>
      <c r="J14" s="114">
        <f t="array" ref="J14">INDIRECT("'"&amp;A14&amp;"'!K30")</f>
        <v>2</v>
      </c>
      <c r="K14" s="128">
        <f t="array" ref="K14">INDIRECT("'"&amp;A14&amp;"'!L24")</f>
        <v>19</v>
      </c>
      <c r="L14" s="115">
        <f t="array" ref="L14">INDIRECT("'"&amp;A14&amp;"'!M2")</f>
        <v>8098</v>
      </c>
      <c r="M14" s="115">
        <f t="array" ref="M14">INDIRECT("'"&amp;A14&amp;"'!M3")</f>
        <v>1450</v>
      </c>
      <c r="N14" s="116">
        <f t="array" ref="N14">INDIRECT("'"&amp;A14&amp;"'!M4")</f>
        <v>7563</v>
      </c>
      <c r="O14" s="115">
        <f t="array" ref="O14">INDIRECT("'"&amp;A14&amp;"'!M5")</f>
        <v>10188</v>
      </c>
      <c r="P14" s="115">
        <f t="array" ref="P14">INDIRECT("'"&amp;A14&amp;"'!M9")</f>
        <v>1225</v>
      </c>
      <c r="Q14" s="115">
        <f t="array" ref="Q14">INDIRECT("'"&amp;A14&amp;"'!M10")</f>
        <v>0</v>
      </c>
      <c r="R14" s="130" t="s">
        <v>77</v>
      </c>
      <c r="S14" s="115">
        <f>B14</f>
        <v>33988.5</v>
      </c>
      <c r="T14" s="115">
        <f>S14/112*100</f>
        <v>30346.875</v>
      </c>
      <c r="U14" s="116">
        <f>C14*T14</f>
        <v>11479.46858</v>
      </c>
      <c r="V14" s="115">
        <f>S14/100*25</f>
        <v>8497.125</v>
      </c>
      <c r="W14" s="116">
        <f>$W$2*T14</f>
        <v>8193.65625</v>
      </c>
      <c r="X14" s="114">
        <v>35000.0</v>
      </c>
      <c r="Y14" s="114">
        <v>35000.0</v>
      </c>
      <c r="Z14" s="114"/>
      <c r="AA14" s="117">
        <f>$AA$2*T14</f>
        <v>6069.375</v>
      </c>
      <c r="AB14" s="117">
        <f>T14-U14-V14-W14-X14-Y14-Z14-AA14</f>
        <v>-73892.74983</v>
      </c>
    </row>
    <row r="15" ht="18.75" customHeight="1">
      <c r="A15" s="11"/>
      <c r="B15" s="118"/>
      <c r="C15" s="119"/>
      <c r="D15" s="119"/>
      <c r="E15" s="119"/>
      <c r="F15" s="119"/>
      <c r="G15" s="119"/>
      <c r="H15" s="121"/>
      <c r="I15" s="119"/>
      <c r="J15" s="120"/>
      <c r="K15" s="121"/>
      <c r="L15" s="120"/>
      <c r="M15" s="120"/>
      <c r="N15" s="121"/>
      <c r="O15" s="120"/>
      <c r="P15" s="120"/>
      <c r="Q15" s="120"/>
      <c r="R15" s="11"/>
      <c r="S15" s="120"/>
      <c r="T15" s="120"/>
      <c r="U15" s="121"/>
      <c r="V15" s="120"/>
      <c r="W15" s="121"/>
      <c r="X15" s="120"/>
      <c r="Y15" s="120"/>
      <c r="Z15" s="120"/>
      <c r="AA15" s="13"/>
      <c r="AB15" s="13"/>
    </row>
    <row r="16" ht="18.75" customHeight="1">
      <c r="A16" s="122"/>
      <c r="B16" s="123" t="s">
        <v>3</v>
      </c>
      <c r="C16" s="124" t="s">
        <v>2</v>
      </c>
      <c r="D16" s="124" t="s">
        <v>15</v>
      </c>
      <c r="E16" s="124" t="s">
        <v>54</v>
      </c>
      <c r="F16" s="124" t="s">
        <v>55</v>
      </c>
      <c r="G16" s="124" t="s">
        <v>56</v>
      </c>
      <c r="H16" s="125" t="s">
        <v>57</v>
      </c>
      <c r="I16" s="126" t="s">
        <v>58</v>
      </c>
      <c r="J16" s="106" t="s">
        <v>59</v>
      </c>
      <c r="K16" s="106" t="s">
        <v>60</v>
      </c>
      <c r="L16" s="106" t="str">
        <f t="shared" ref="L16:P16" si="7">L13</f>
        <v>WOLT</v>
      </c>
      <c r="M16" s="106" t="str">
        <f t="shared" si="7"/>
        <v>BOLT</v>
      </c>
      <c r="N16" s="106" t="str">
        <f t="shared" si="7"/>
        <v>FOODORA online</v>
      </c>
      <c r="O16" s="106" t="str">
        <f t="shared" si="7"/>
        <v>WEB online</v>
      </c>
      <c r="P16" s="106" t="str">
        <f t="shared" si="7"/>
        <v>Karty</v>
      </c>
      <c r="Q16" s="106" t="s">
        <v>66</v>
      </c>
      <c r="R16" s="122"/>
      <c r="S16" s="106" t="str">
        <f t="shared" ref="S16:AB16" si="8">S13</f>
        <v>Hrubý obrat</v>
      </c>
      <c r="T16" s="106" t="str">
        <f t="shared" si="8"/>
        <v>Tržba čistá</v>
      </c>
      <c r="U16" s="106" t="str">
        <f t="shared" si="8"/>
        <v>Náklad mzdy</v>
      </c>
      <c r="V16" s="106" t="str">
        <f t="shared" si="8"/>
        <v>Agregatory 25%</v>
      </c>
      <c r="W16" s="106" t="str">
        <f t="shared" si="8"/>
        <v>COS + chemie</v>
      </c>
      <c r="X16" s="106" t="str">
        <f t="shared" si="8"/>
        <v>Nájem + služby</v>
      </c>
      <c r="Y16" s="106" t="str">
        <f t="shared" si="8"/>
        <v>Energie</v>
      </c>
      <c r="Z16" s="106" t="str">
        <f t="shared" si="8"/>
        <v>Ostatní</v>
      </c>
      <c r="AA16" s="106" t="str">
        <f t="shared" si="8"/>
        <v>odvod cent.</v>
      </c>
      <c r="AB16" s="106" t="str">
        <f t="shared" si="8"/>
        <v>Zisk</v>
      </c>
    </row>
    <row r="17" ht="18.75" customHeight="1">
      <c r="A17" s="131" t="s">
        <v>78</v>
      </c>
      <c r="B17" s="112">
        <f t="array" ref="B17">INDIRECT("'"&amp;A17&amp;"'!I2")</f>
        <v>27516</v>
      </c>
      <c r="C17" s="113">
        <f t="array" ref="C17">INDIRECT("'"&amp;A17&amp;"'!f2")</f>
        <v>0.2800775233</v>
      </c>
      <c r="D17" s="100">
        <f t="array" ref="D17">INDIRECT("'"&amp;A17&amp;"'!J9")</f>
        <v>0</v>
      </c>
      <c r="E17" s="100">
        <f t="array" ref="E17">INDIRECT("'"&amp;A17&amp;"'!K24")</f>
        <v>63</v>
      </c>
      <c r="F17" s="113">
        <f t="array" ref="F17">INDIRECT("'"&amp;A17&amp;"'!L30")</f>
        <v>1</v>
      </c>
      <c r="G17" s="100">
        <f t="array" ref="G17">INDIRECT("'"&amp;A17&amp;"'!B7")</f>
        <v>1</v>
      </c>
      <c r="H17" s="128">
        <f t="array" ref="H17">INDIRECT("'"&amp;A17&amp;"'!f7")</f>
        <v>14</v>
      </c>
      <c r="I17" s="100" t="str">
        <f t="array" ref="I17">INDIRECT("'"&amp;A17&amp;"'!M21")</f>
        <v>10 min 13 s</v>
      </c>
      <c r="J17" s="114">
        <f t="array" ref="J17">INDIRECT("'"&amp;A17&amp;"'!K30")</f>
        <v>0</v>
      </c>
      <c r="K17" s="128">
        <f t="array" ref="K17">INDIRECT("'"&amp;A17&amp;"'!L24")</f>
        <v>8</v>
      </c>
      <c r="L17" s="115">
        <f t="array" ref="L17">INDIRECT("'"&amp;A17&amp;"'!M2")</f>
        <v>10177</v>
      </c>
      <c r="M17" s="115">
        <f t="array" ref="M17">INDIRECT("'"&amp;A17&amp;"'!M3")</f>
        <v>5854</v>
      </c>
      <c r="N17" s="116">
        <f t="array" ref="N17">INDIRECT("'"&amp;A17&amp;"'!M4")</f>
        <v>5685</v>
      </c>
      <c r="O17" s="115">
        <f t="array" ref="O17">INDIRECT("'"&amp;A17&amp;"'!M5")</f>
        <v>2977</v>
      </c>
      <c r="P17" s="115">
        <f t="array" ref="P17">INDIRECT("'"&amp;A17&amp;"'!M9")</f>
        <v>673</v>
      </c>
      <c r="Q17" s="115">
        <f t="array" ref="Q17">INDIRECT("'"&amp;A17&amp;"'!M10")</f>
        <v>0</v>
      </c>
      <c r="R17" s="131" t="s">
        <v>78</v>
      </c>
      <c r="S17" s="115">
        <f>B17</f>
        <v>27516</v>
      </c>
      <c r="T17" s="115">
        <f>S17/112*100</f>
        <v>24567.85714</v>
      </c>
      <c r="U17" s="116">
        <f>C17*T17</f>
        <v>6880.904581</v>
      </c>
      <c r="V17" s="115">
        <f>S17/100*25</f>
        <v>6879</v>
      </c>
      <c r="W17" s="116">
        <f>$W$2*T17</f>
        <v>6633.321429</v>
      </c>
      <c r="X17" s="114">
        <v>40000.0</v>
      </c>
      <c r="Y17" s="114">
        <v>35000.0</v>
      </c>
      <c r="Z17" s="114"/>
      <c r="AA17" s="117">
        <f>$AA$2*T17</f>
        <v>4913.571429</v>
      </c>
      <c r="AB17" s="117">
        <f>T17-U17-V17-W17-X17-Y17-Z17-AA17</f>
        <v>-75738.94029</v>
      </c>
    </row>
    <row r="18" ht="18.75" customHeight="1">
      <c r="A18" s="11"/>
      <c r="B18" s="118"/>
      <c r="C18" s="119"/>
      <c r="D18" s="119"/>
      <c r="E18" s="119"/>
      <c r="F18" s="119"/>
      <c r="G18" s="119"/>
      <c r="H18" s="121"/>
      <c r="I18" s="119"/>
      <c r="J18" s="120"/>
      <c r="K18" s="121"/>
      <c r="L18" s="120"/>
      <c r="M18" s="120"/>
      <c r="N18" s="121"/>
      <c r="O18" s="120"/>
      <c r="P18" s="120"/>
      <c r="Q18" s="120"/>
      <c r="R18" s="11"/>
      <c r="S18" s="120"/>
      <c r="T18" s="120"/>
      <c r="U18" s="121"/>
      <c r="V18" s="120"/>
      <c r="W18" s="121"/>
      <c r="X18" s="120"/>
      <c r="Y18" s="120"/>
      <c r="Z18" s="120"/>
      <c r="AA18" s="13"/>
      <c r="AB18" s="13"/>
    </row>
    <row r="19" ht="18.75" customHeight="1">
      <c r="A19" s="122"/>
      <c r="B19" s="132" t="s">
        <v>3</v>
      </c>
      <c r="C19" s="133" t="s">
        <v>2</v>
      </c>
      <c r="D19" s="133" t="s">
        <v>15</v>
      </c>
      <c r="E19" s="133" t="s">
        <v>54</v>
      </c>
      <c r="F19" s="133" t="s">
        <v>55</v>
      </c>
      <c r="G19" s="133" t="s">
        <v>56</v>
      </c>
      <c r="H19" s="134" t="s">
        <v>57</v>
      </c>
      <c r="I19" s="135" t="s">
        <v>58</v>
      </c>
      <c r="J19" s="106" t="s">
        <v>59</v>
      </c>
      <c r="K19" s="106" t="s">
        <v>60</v>
      </c>
      <c r="L19" s="106" t="str">
        <f t="shared" ref="L19:P19" si="9">L16</f>
        <v>WOLT</v>
      </c>
      <c r="M19" s="106" t="str">
        <f t="shared" si="9"/>
        <v>BOLT</v>
      </c>
      <c r="N19" s="106" t="str">
        <f t="shared" si="9"/>
        <v>FOODORA online</v>
      </c>
      <c r="O19" s="106" t="str">
        <f t="shared" si="9"/>
        <v>WEB online</v>
      </c>
      <c r="P19" s="106" t="str">
        <f t="shared" si="9"/>
        <v>Karty</v>
      </c>
      <c r="Q19" s="106" t="s">
        <v>66</v>
      </c>
      <c r="R19" s="122"/>
      <c r="S19" s="106" t="str">
        <f t="shared" ref="S19:AB19" si="10">S16</f>
        <v>Hrubý obrat</v>
      </c>
      <c r="T19" s="106" t="str">
        <f t="shared" si="10"/>
        <v>Tržba čistá</v>
      </c>
      <c r="U19" s="106" t="str">
        <f t="shared" si="10"/>
        <v>Náklad mzdy</v>
      </c>
      <c r="V19" s="106" t="str">
        <f t="shared" si="10"/>
        <v>Agregatory 25%</v>
      </c>
      <c r="W19" s="106" t="str">
        <f t="shared" si="10"/>
        <v>COS + chemie</v>
      </c>
      <c r="X19" s="106" t="str">
        <f t="shared" si="10"/>
        <v>Nájem + služby</v>
      </c>
      <c r="Y19" s="106" t="str">
        <f t="shared" si="10"/>
        <v>Energie</v>
      </c>
      <c r="Z19" s="106" t="str">
        <f t="shared" si="10"/>
        <v>Ostatní</v>
      </c>
      <c r="AA19" s="106" t="str">
        <f t="shared" si="10"/>
        <v>odvod cent.</v>
      </c>
      <c r="AB19" s="106" t="str">
        <f t="shared" si="10"/>
        <v>Zisk</v>
      </c>
    </row>
    <row r="20" ht="18.75" customHeight="1">
      <c r="A20" s="136" t="s">
        <v>79</v>
      </c>
      <c r="B20" s="112">
        <f t="array" ref="B20">INDIRECT("'"&amp;A20&amp;"'!I2")</f>
        <v>12859</v>
      </c>
      <c r="C20" s="113">
        <f t="array" ref="C20">INDIRECT("'"&amp;A20&amp;"'!f2")</f>
        <v>0.8083516673</v>
      </c>
      <c r="D20" s="100">
        <f t="array" ref="D20">INDIRECT("'"&amp;A20&amp;"'!J9")</f>
        <v>0</v>
      </c>
      <c r="E20" s="100">
        <f t="array" ref="E20">INDIRECT("'"&amp;A20&amp;"'!K24")</f>
        <v>39</v>
      </c>
      <c r="F20" s="113">
        <f t="array" ref="F20">INDIRECT("'"&amp;A20&amp;"'!L30")</f>
        <v>0.8333333333</v>
      </c>
      <c r="G20" s="100">
        <f t="array" ref="G20">INDIRECT("'"&amp;A20&amp;"'!B7")</f>
        <v>23.5</v>
      </c>
      <c r="H20" s="128">
        <f t="array" ref="H20">INDIRECT("'"&amp;A20&amp;"'!f7")</f>
        <v>13</v>
      </c>
      <c r="I20" s="100" t="str">
        <f t="array" ref="I20">INDIRECT("'"&amp;A20&amp;"'!M21")</f>
        <v>14 min 03 s</v>
      </c>
      <c r="J20" s="114">
        <f t="array" ref="J20">INDIRECT("'"&amp;A20&amp;"'!K30")</f>
        <v>0</v>
      </c>
      <c r="K20" s="128">
        <f t="array" ref="K20">INDIRECT("'"&amp;A20&amp;"'!L24")</f>
        <v>6</v>
      </c>
      <c r="L20" s="115">
        <f t="array" ref="L20">INDIRECT("'"&amp;A20&amp;"'!M2")</f>
        <v>0</v>
      </c>
      <c r="M20" s="115">
        <f t="array" ref="M20">INDIRECT("'"&amp;A20&amp;"'!M3")</f>
        <v>1055</v>
      </c>
      <c r="N20" s="116">
        <f t="array" ref="N20">INDIRECT("'"&amp;A20&amp;"'!M4")</f>
        <v>4305</v>
      </c>
      <c r="O20" s="115">
        <f t="array" ref="O20">INDIRECT("'"&amp;A20&amp;"'!M5")</f>
        <v>2288</v>
      </c>
      <c r="P20" s="115">
        <f t="array" ref="P20">INDIRECT("'"&amp;A20&amp;"'!M9")</f>
        <v>2252</v>
      </c>
      <c r="Q20" s="115">
        <f t="array" ref="Q20">INDIRECT("'"&amp;A20&amp;"'!M10")</f>
        <v>0</v>
      </c>
      <c r="R20" s="136" t="str">
        <f t="shared" ref="R20:S20" si="11">A20</f>
        <v>Bolevec</v>
      </c>
      <c r="S20" s="115">
        <f t="shared" si="11"/>
        <v>12859</v>
      </c>
      <c r="T20" s="115">
        <f>S20/112*100</f>
        <v>11481.25</v>
      </c>
      <c r="U20" s="116">
        <f>C20*T20</f>
        <v>9280.887581</v>
      </c>
      <c r="V20" s="115">
        <f>S20/100*25</f>
        <v>3214.75</v>
      </c>
      <c r="W20" s="116">
        <f>$W$2*T20</f>
        <v>3099.9375</v>
      </c>
      <c r="X20" s="114">
        <v>40000.0</v>
      </c>
      <c r="Y20" s="114">
        <v>35000.0</v>
      </c>
      <c r="Z20" s="114"/>
      <c r="AA20" s="117">
        <f>$AA$2*T20</f>
        <v>2296.25</v>
      </c>
      <c r="AB20" s="117">
        <f>T20-U20-V20-W20-X20-Y20-Z20-AA20</f>
        <v>-81410.57508</v>
      </c>
    </row>
    <row r="21" ht="18.75" customHeight="1">
      <c r="A21" s="11"/>
      <c r="B21" s="118"/>
      <c r="C21" s="119"/>
      <c r="D21" s="119"/>
      <c r="E21" s="119"/>
      <c r="F21" s="119"/>
      <c r="G21" s="119"/>
      <c r="H21" s="121"/>
      <c r="I21" s="119"/>
      <c r="J21" s="120"/>
      <c r="K21" s="121"/>
      <c r="L21" s="120"/>
      <c r="M21" s="120"/>
      <c r="N21" s="121"/>
      <c r="O21" s="120"/>
      <c r="P21" s="120"/>
      <c r="Q21" s="120"/>
      <c r="R21" s="11"/>
      <c r="S21" s="120"/>
      <c r="T21" s="120"/>
      <c r="U21" s="121"/>
      <c r="V21" s="120"/>
      <c r="W21" s="121"/>
      <c r="X21" s="120"/>
      <c r="Y21" s="120"/>
      <c r="Z21" s="120"/>
      <c r="AA21" s="13"/>
      <c r="AB21" s="13"/>
    </row>
    <row r="22" ht="18.75" customHeight="1">
      <c r="A22" s="122"/>
      <c r="B22" s="137" t="s">
        <v>3</v>
      </c>
      <c r="C22" s="138" t="s">
        <v>2</v>
      </c>
      <c r="D22" s="138" t="s">
        <v>15</v>
      </c>
      <c r="E22" s="138" t="s">
        <v>54</v>
      </c>
      <c r="F22" s="138" t="s">
        <v>55</v>
      </c>
      <c r="G22" s="138" t="s">
        <v>56</v>
      </c>
      <c r="H22" s="139" t="s">
        <v>57</v>
      </c>
      <c r="I22" s="140" t="s">
        <v>58</v>
      </c>
      <c r="J22" s="97" t="s">
        <v>59</v>
      </c>
      <c r="K22" s="97" t="s">
        <v>60</v>
      </c>
      <c r="L22" s="97" t="str">
        <f t="shared" ref="L22:P22" si="12">L19</f>
        <v>WOLT</v>
      </c>
      <c r="M22" s="97" t="str">
        <f t="shared" si="12"/>
        <v>BOLT</v>
      </c>
      <c r="N22" s="97" t="str">
        <f t="shared" si="12"/>
        <v>FOODORA online</v>
      </c>
      <c r="O22" s="97" t="str">
        <f t="shared" si="12"/>
        <v>WEB online</v>
      </c>
      <c r="P22" s="97" t="str">
        <f t="shared" si="12"/>
        <v>Karty</v>
      </c>
      <c r="Q22" s="106" t="s">
        <v>66</v>
      </c>
      <c r="R22" s="122"/>
      <c r="S22" s="106" t="str">
        <f t="shared" ref="S22:AB22" si="13">S19</f>
        <v>Hrubý obrat</v>
      </c>
      <c r="T22" s="106" t="str">
        <f t="shared" si="13"/>
        <v>Tržba čistá</v>
      </c>
      <c r="U22" s="106" t="str">
        <f t="shared" si="13"/>
        <v>Náklad mzdy</v>
      </c>
      <c r="V22" s="106" t="str">
        <f t="shared" si="13"/>
        <v>Agregatory 25%</v>
      </c>
      <c r="W22" s="106" t="str">
        <f t="shared" si="13"/>
        <v>COS + chemie</v>
      </c>
      <c r="X22" s="106" t="str">
        <f t="shared" si="13"/>
        <v>Nájem + služby</v>
      </c>
      <c r="Y22" s="106" t="str">
        <f t="shared" si="13"/>
        <v>Energie</v>
      </c>
      <c r="Z22" s="106" t="str">
        <f t="shared" si="13"/>
        <v>Ostatní</v>
      </c>
      <c r="AA22" s="106" t="str">
        <f t="shared" si="13"/>
        <v>odvod cent.</v>
      </c>
      <c r="AB22" s="106" t="str">
        <f t="shared" si="13"/>
        <v>Zisk</v>
      </c>
    </row>
    <row r="23" ht="18.75" customHeight="1">
      <c r="A23" s="141" t="s">
        <v>80</v>
      </c>
      <c r="B23" s="142">
        <f>sum(B5+B8+B11+B14+B17+B20)</f>
        <v>210063</v>
      </c>
      <c r="C23" s="143">
        <f>(B5/112*100*C5+B8/112*100*C8+B11/112*100*C11+B14/112*100*C14+B17/112*100*C17+B5/112*100*C5)/((B5+B8+B11+B14+B17+B20)/112*100)*100</f>
        <v>35.94030385</v>
      </c>
      <c r="D23" s="143">
        <f t="shared" ref="D23:E23" si="14">sum(D5+D8+D11+D14+D17+D20)</f>
        <v>13</v>
      </c>
      <c r="E23" s="143">
        <f t="shared" si="14"/>
        <v>510</v>
      </c>
      <c r="F23" s="144">
        <f>AVERAGE(F5:F21)</f>
        <v>0.9179652563</v>
      </c>
      <c r="G23" s="143">
        <f t="shared" ref="G23:H23" si="15">sum(G5+G8+G11+G14+G17+G20)</f>
        <v>108</v>
      </c>
      <c r="H23" s="143">
        <f t="shared" si="15"/>
        <v>88.5</v>
      </c>
      <c r="I23" s="145">
        <f t="array" ref="I23">AVERAGE(LEFT({I5; I8; I11; I14; I17; I20}, FIND(" min", {I5; I8; I11; I14; I17; I20})-1)*60 + MID({I5; I8; I11; I14; I17; I20}, FIND(" min", {I5; I8; I11; I14; I17; I20})+5, FIND(" s", {I5; I8; I11; I14; I17; I20})-FIND(" min", {I5; I8; I11; I14; I17; I20})-5))/60</f>
        <v>12.625</v>
      </c>
      <c r="J23" s="143">
        <f t="shared" ref="J23:Q23" si="16">sum(J5+J8+J11+J14+J17+J20)</f>
        <v>3</v>
      </c>
      <c r="K23" s="143">
        <f t="shared" si="16"/>
        <v>106</v>
      </c>
      <c r="L23" s="146">
        <f t="shared" si="16"/>
        <v>55100</v>
      </c>
      <c r="M23" s="146">
        <f t="shared" si="16"/>
        <v>25545</v>
      </c>
      <c r="N23" s="146">
        <f t="shared" si="16"/>
        <v>43373</v>
      </c>
      <c r="O23" s="146">
        <f t="shared" si="16"/>
        <v>51824</v>
      </c>
      <c r="P23" s="146">
        <f t="shared" si="16"/>
        <v>14278</v>
      </c>
      <c r="Q23" s="146">
        <f t="shared" si="16"/>
        <v>0</v>
      </c>
      <c r="R23" s="141" t="s">
        <v>80</v>
      </c>
      <c r="S23" s="146">
        <f t="shared" ref="S23:AB23" si="17">sum(S5+S8+S11+S14+S17+S20)</f>
        <v>210063</v>
      </c>
      <c r="T23" s="146">
        <f t="shared" si="17"/>
        <v>187556.25</v>
      </c>
      <c r="U23" s="146">
        <f t="shared" si="17"/>
        <v>66359.06992</v>
      </c>
      <c r="V23" s="146">
        <f t="shared" si="17"/>
        <v>52515.75</v>
      </c>
      <c r="W23" s="146">
        <f t="shared" si="17"/>
        <v>50640.1875</v>
      </c>
      <c r="X23" s="143">
        <f t="shared" si="17"/>
        <v>220000</v>
      </c>
      <c r="Y23" s="143">
        <f t="shared" si="17"/>
        <v>210000</v>
      </c>
      <c r="Z23" s="143">
        <f t="shared" si="17"/>
        <v>0</v>
      </c>
      <c r="AA23" s="146">
        <f t="shared" si="17"/>
        <v>37511.25</v>
      </c>
      <c r="AB23" s="146">
        <f t="shared" si="17"/>
        <v>-449470.0074</v>
      </c>
    </row>
    <row r="24" ht="18.75" customHeight="1">
      <c r="A24" s="12"/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2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ht="27.75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</row>
    <row r="26" ht="18.75" customHeight="1">
      <c r="A26" s="93"/>
      <c r="B26" s="93"/>
      <c r="C26" s="93" t="s">
        <v>51</v>
      </c>
      <c r="D26" s="93"/>
      <c r="E26" s="93"/>
      <c r="F26" s="93"/>
      <c r="G26" s="93"/>
      <c r="H26" s="93"/>
      <c r="I26" s="93"/>
      <c r="J26" s="93"/>
      <c r="K26" s="93"/>
      <c r="L26" s="147">
        <f>SUM(L23:N24)</f>
        <v>124018</v>
      </c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</row>
    <row r="27" ht="27.75" customHeight="1">
      <c r="A27" s="148"/>
      <c r="B27" s="147"/>
      <c r="C27" s="149"/>
      <c r="D27" s="93"/>
      <c r="E27" s="93"/>
      <c r="F27" s="149"/>
      <c r="G27" s="93"/>
      <c r="H27" s="93"/>
      <c r="I27" s="93"/>
      <c r="J27" s="93"/>
      <c r="K27" s="93"/>
      <c r="L27" s="147">
        <f>(L26/B23)*100</f>
        <v>59.03847893</v>
      </c>
      <c r="M27" s="147"/>
      <c r="N27" s="147"/>
      <c r="O27" s="147">
        <f>(P23/B23)*100</f>
        <v>6.797008516</v>
      </c>
      <c r="P27" s="147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</row>
    <row r="28" ht="27.75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</row>
    <row r="29" ht="27.75" customHeight="1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</row>
    <row r="30" ht="27.75" customHeight="1">
      <c r="A30" s="148"/>
      <c r="B30" s="147"/>
      <c r="C30" s="149"/>
      <c r="D30" s="93" t="s">
        <v>51</v>
      </c>
      <c r="E30" s="93"/>
      <c r="F30" s="149"/>
      <c r="G30" s="93"/>
      <c r="H30" s="93"/>
      <c r="I30" s="93"/>
      <c r="J30" s="93"/>
      <c r="K30" s="93"/>
      <c r="L30" s="147"/>
      <c r="M30" s="147"/>
      <c r="N30" s="147"/>
      <c r="O30" s="147"/>
      <c r="P30" s="147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</row>
    <row r="31" ht="27.75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</row>
    <row r="32" ht="27.7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</row>
    <row r="33" ht="27.75" customHeight="1">
      <c r="A33" s="148"/>
      <c r="B33" s="147"/>
      <c r="C33" s="149"/>
      <c r="D33" s="93"/>
      <c r="E33" s="93"/>
      <c r="F33" s="149"/>
      <c r="G33" s="93"/>
      <c r="H33" s="93"/>
      <c r="I33" s="93"/>
      <c r="J33" s="93"/>
      <c r="K33" s="93"/>
      <c r="L33" s="147"/>
      <c r="M33" s="147"/>
      <c r="N33" s="147"/>
      <c r="O33" s="147"/>
      <c r="P33" s="147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</row>
    <row r="34" ht="27.75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</row>
    <row r="35" ht="27.7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</row>
    <row r="36" ht="27.75" customHeight="1">
      <c r="A36" s="148"/>
      <c r="B36" s="147"/>
      <c r="C36" s="149"/>
      <c r="D36" s="93"/>
      <c r="E36" s="93"/>
      <c r="F36" s="149"/>
      <c r="G36" s="93"/>
      <c r="H36" s="93"/>
      <c r="I36" s="93"/>
      <c r="J36" s="93"/>
      <c r="K36" s="93"/>
      <c r="L36" s="147"/>
      <c r="M36" s="147"/>
      <c r="N36" s="147"/>
      <c r="O36" s="147"/>
      <c r="P36" s="147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</row>
    <row r="37" ht="27.7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</row>
    <row r="38" ht="27.7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</row>
    <row r="39" ht="27.75" customHeight="1">
      <c r="A39" s="148"/>
      <c r="B39" s="147"/>
      <c r="C39" s="149"/>
      <c r="D39" s="93"/>
      <c r="E39" s="93"/>
      <c r="F39" s="149"/>
      <c r="G39" s="93"/>
      <c r="H39" s="93"/>
      <c r="I39" s="93"/>
      <c r="J39" s="93"/>
      <c r="K39" s="93"/>
      <c r="L39" s="147"/>
      <c r="M39" s="147"/>
      <c r="N39" s="147"/>
      <c r="O39" s="147"/>
      <c r="P39" s="147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</row>
    <row r="40" ht="27.7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</row>
    <row r="41" ht="27.7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</row>
    <row r="42" ht="27.75" customHeight="1">
      <c r="A42" s="148"/>
      <c r="B42" s="147"/>
      <c r="C42" s="93"/>
      <c r="D42" s="93"/>
      <c r="E42" s="93"/>
      <c r="F42" s="149"/>
      <c r="G42" s="93"/>
      <c r="H42" s="93"/>
      <c r="I42" s="150"/>
      <c r="J42" s="93"/>
      <c r="K42" s="93"/>
      <c r="L42" s="147"/>
      <c r="M42" s="147"/>
      <c r="N42" s="147"/>
      <c r="O42" s="147"/>
      <c r="P42" s="147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</row>
    <row r="43" ht="27.7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</row>
    <row r="44" ht="27.7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</row>
    <row r="45" ht="27.7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</row>
    <row r="46" ht="27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</row>
    <row r="47" ht="27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</row>
    <row r="48" ht="27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</row>
    <row r="49" ht="27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</row>
    <row r="50" ht="27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</row>
    <row r="51" ht="27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</row>
    <row r="52" ht="27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</row>
    <row r="53" ht="27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</row>
    <row r="54" ht="27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</row>
    <row r="55" ht="27.7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</row>
    <row r="56" ht="27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</row>
    <row r="57" ht="27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</row>
    <row r="58" ht="27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</row>
    <row r="59" ht="27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</row>
    <row r="60" ht="27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</row>
    <row r="61" ht="27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</row>
    <row r="62" ht="27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</row>
    <row r="63" ht="27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</row>
    <row r="64" ht="27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</row>
    <row r="65" ht="27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</row>
    <row r="66" ht="27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</row>
    <row r="67" ht="27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</row>
    <row r="68" ht="27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</row>
    <row r="69" ht="27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</row>
    <row r="70" ht="27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</row>
    <row r="71" ht="27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</row>
    <row r="72" ht="27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</row>
    <row r="73" ht="27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</row>
    <row r="74" ht="27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</row>
    <row r="75" ht="27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</row>
    <row r="76" ht="27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</row>
    <row r="77" ht="27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</row>
    <row r="78" ht="27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</row>
    <row r="79" ht="27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</row>
    <row r="80" ht="27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</row>
    <row r="81" ht="27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</row>
    <row r="82" ht="27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</row>
    <row r="83" ht="27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</row>
    <row r="84" ht="27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</row>
    <row r="85" ht="27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</row>
    <row r="86" ht="27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</row>
    <row r="87" ht="27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</row>
    <row r="88" ht="27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</row>
    <row r="89" ht="27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</row>
    <row r="90" ht="27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</row>
    <row r="91" ht="27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</row>
    <row r="92" ht="27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</row>
    <row r="93" ht="27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</row>
    <row r="94" ht="27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</row>
    <row r="95" ht="27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</row>
    <row r="96" ht="27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</row>
    <row r="97" ht="27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</row>
    <row r="98" ht="27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</row>
    <row r="99" ht="27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</row>
    <row r="100" ht="27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</row>
    <row r="101" ht="27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</row>
    <row r="102" ht="27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</row>
    <row r="103" ht="27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</row>
    <row r="104" ht="27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</row>
    <row r="105" ht="27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</row>
    <row r="106" ht="27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</row>
    <row r="107" ht="27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</row>
    <row r="108" ht="27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</row>
    <row r="109" ht="27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</row>
    <row r="110" ht="27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</row>
    <row r="111" ht="27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</row>
    <row r="112" ht="27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</row>
    <row r="113" ht="27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</row>
    <row r="114" ht="27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</row>
    <row r="115" ht="27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</row>
    <row r="116" ht="27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</row>
    <row r="117" ht="27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</row>
    <row r="118" ht="27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</row>
    <row r="119" ht="27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</row>
    <row r="120" ht="27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</row>
    <row r="121" ht="27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</row>
    <row r="122" ht="27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</row>
    <row r="123" ht="27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</row>
    <row r="124" ht="27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</row>
    <row r="125" ht="27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</row>
    <row r="126" ht="27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</row>
    <row r="127" ht="27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</row>
    <row r="128" ht="27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</row>
    <row r="129" ht="27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</row>
    <row r="130" ht="27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</row>
    <row r="131" ht="27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</row>
    <row r="132" ht="27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</row>
    <row r="133" ht="27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</row>
    <row r="134" ht="27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</row>
    <row r="135" ht="27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</row>
    <row r="136" ht="27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</row>
    <row r="137" ht="27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</row>
    <row r="138" ht="27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</row>
    <row r="139" ht="27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</row>
    <row r="140" ht="27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</row>
    <row r="141" ht="27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</row>
    <row r="142" ht="27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</row>
    <row r="143" ht="27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</row>
    <row r="144" ht="27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</row>
    <row r="145" ht="27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</row>
    <row r="146" ht="27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</row>
    <row r="147" ht="27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</row>
    <row r="148" ht="27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</row>
    <row r="149" ht="27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</row>
    <row r="150" ht="27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</row>
    <row r="151" ht="27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</row>
    <row r="152" ht="27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</row>
    <row r="153" ht="27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</row>
    <row r="154" ht="27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</row>
    <row r="155" ht="27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</row>
    <row r="156" ht="27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</row>
    <row r="157" ht="27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</row>
    <row r="158" ht="27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</row>
    <row r="159" ht="27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</row>
    <row r="160" ht="27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</row>
    <row r="161" ht="27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</row>
    <row r="162" ht="27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</row>
    <row r="163" ht="27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</row>
    <row r="164" ht="27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</row>
    <row r="165" ht="27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</row>
    <row r="166" ht="27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</row>
    <row r="167" ht="27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</row>
    <row r="168" ht="27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</row>
    <row r="169" ht="27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</row>
    <row r="170" ht="27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</row>
    <row r="171" ht="27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</row>
    <row r="172" ht="27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</row>
    <row r="173" ht="27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</row>
    <row r="174" ht="27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</row>
    <row r="175" ht="27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</row>
    <row r="176" ht="27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</row>
    <row r="177" ht="27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</row>
    <row r="178" ht="27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</row>
    <row r="179" ht="27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</row>
    <row r="180" ht="27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</row>
    <row r="181" ht="27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</row>
    <row r="182" ht="27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</row>
    <row r="183" ht="27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</row>
    <row r="184" ht="27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</row>
    <row r="185" ht="27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</row>
    <row r="186" ht="27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</row>
    <row r="187" ht="27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</row>
    <row r="188" ht="27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</row>
    <row r="189" ht="27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</row>
    <row r="190" ht="27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</row>
    <row r="191" ht="27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</row>
    <row r="192" ht="27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</row>
    <row r="193" ht="27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</row>
    <row r="194" ht="27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</row>
    <row r="195" ht="27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</row>
    <row r="196" ht="27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</row>
    <row r="197" ht="27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</row>
    <row r="198" ht="27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</row>
    <row r="199" ht="27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</row>
    <row r="200" ht="27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</row>
    <row r="201" ht="27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</row>
    <row r="202" ht="27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</row>
    <row r="203" ht="27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</row>
    <row r="204" ht="27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</row>
    <row r="205" ht="27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</row>
    <row r="206" ht="27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</row>
    <row r="207" ht="27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</row>
    <row r="208" ht="27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</row>
    <row r="209" ht="27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</row>
    <row r="210" ht="27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</row>
    <row r="211" ht="27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</row>
    <row r="212" ht="27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</row>
    <row r="213" ht="27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</row>
    <row r="214" ht="27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</row>
    <row r="215" ht="27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</row>
    <row r="216" ht="27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</row>
    <row r="217" ht="27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</row>
    <row r="218" ht="27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</row>
    <row r="219" ht="27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</row>
    <row r="220" ht="27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</row>
    <row r="221" ht="27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</row>
    <row r="222" ht="27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</row>
    <row r="223" ht="27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</row>
    <row r="224" ht="27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</row>
    <row r="225" ht="27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</row>
    <row r="226" ht="27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</row>
    <row r="227" ht="27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</row>
    <row r="228" ht="27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</row>
    <row r="229" ht="27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</row>
    <row r="230" ht="27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0">
    <mergeCell ref="V8:V9"/>
    <mergeCell ref="W8:W9"/>
    <mergeCell ref="O8:O9"/>
    <mergeCell ref="P8:P9"/>
    <mergeCell ref="Q8:Q9"/>
    <mergeCell ref="R8:R9"/>
    <mergeCell ref="S8:S9"/>
    <mergeCell ref="T8:T9"/>
    <mergeCell ref="U8:U9"/>
    <mergeCell ref="F5:F6"/>
    <mergeCell ref="G5:G6"/>
    <mergeCell ref="H5:H6"/>
    <mergeCell ref="I5:I6"/>
    <mergeCell ref="A1:A2"/>
    <mergeCell ref="B1:B2"/>
    <mergeCell ref="C1:C2"/>
    <mergeCell ref="L1:L2"/>
    <mergeCell ref="A5:A6"/>
    <mergeCell ref="B5:B6"/>
    <mergeCell ref="C5:C6"/>
    <mergeCell ref="L5:L6"/>
    <mergeCell ref="R5:R6"/>
    <mergeCell ref="S5:S6"/>
    <mergeCell ref="T5:T6"/>
    <mergeCell ref="U5:U6"/>
    <mergeCell ref="V5:V6"/>
    <mergeCell ref="W5:W6"/>
    <mergeCell ref="X5:X6"/>
    <mergeCell ref="D5:D6"/>
    <mergeCell ref="E5:E6"/>
    <mergeCell ref="A8:A9"/>
    <mergeCell ref="B8:B9"/>
    <mergeCell ref="C8:C9"/>
    <mergeCell ref="D8:D9"/>
    <mergeCell ref="E8:E9"/>
    <mergeCell ref="J5:J6"/>
    <mergeCell ref="K5:K6"/>
    <mergeCell ref="M5:M6"/>
    <mergeCell ref="N5:N6"/>
    <mergeCell ref="O5:O6"/>
    <mergeCell ref="P5:P6"/>
    <mergeCell ref="Q5:Q6"/>
    <mergeCell ref="AA8:AA9"/>
    <mergeCell ref="AB8:AB9"/>
    <mergeCell ref="Y5:Y6"/>
    <mergeCell ref="Z5:Z6"/>
    <mergeCell ref="AA5:AA6"/>
    <mergeCell ref="AB5:AB6"/>
    <mergeCell ref="X8:X9"/>
    <mergeCell ref="Y8:Y9"/>
    <mergeCell ref="Z8:Z9"/>
    <mergeCell ref="X14:X15"/>
    <mergeCell ref="Y14:Y15"/>
    <mergeCell ref="Q14:Q15"/>
    <mergeCell ref="R14:R15"/>
    <mergeCell ref="S14:S15"/>
    <mergeCell ref="T14:T15"/>
    <mergeCell ref="U14:U15"/>
    <mergeCell ref="V14:V15"/>
    <mergeCell ref="W14:W15"/>
    <mergeCell ref="M8:M9"/>
    <mergeCell ref="N8:N9"/>
    <mergeCell ref="F8:F9"/>
    <mergeCell ref="G8:G9"/>
    <mergeCell ref="H8:H9"/>
    <mergeCell ref="I8:I9"/>
    <mergeCell ref="J8:J9"/>
    <mergeCell ref="K8:K9"/>
    <mergeCell ref="L8:L9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11:A12"/>
    <mergeCell ref="B11:B12"/>
    <mergeCell ref="C11:C12"/>
    <mergeCell ref="D11:D12"/>
    <mergeCell ref="E11:E12"/>
    <mergeCell ref="F11:F12"/>
    <mergeCell ref="G11:G12"/>
    <mergeCell ref="A14:A15"/>
    <mergeCell ref="B14:B15"/>
    <mergeCell ref="C14:C15"/>
    <mergeCell ref="D14:D15"/>
    <mergeCell ref="E14:E15"/>
    <mergeCell ref="F14:F15"/>
    <mergeCell ref="G14:G15"/>
    <mergeCell ref="Z14:Z15"/>
    <mergeCell ref="AA14:AA15"/>
    <mergeCell ref="AB14:AB15"/>
    <mergeCell ref="V11:V12"/>
    <mergeCell ref="W11:W12"/>
    <mergeCell ref="X11:X12"/>
    <mergeCell ref="Y11:Y12"/>
    <mergeCell ref="Z11:Z12"/>
    <mergeCell ref="AA11:AA12"/>
    <mergeCell ref="AB11:AB12"/>
    <mergeCell ref="O20:O21"/>
    <mergeCell ref="P20:P21"/>
    <mergeCell ref="H20:H21"/>
    <mergeCell ref="I20:I21"/>
    <mergeCell ref="J20:J21"/>
    <mergeCell ref="K20:K21"/>
    <mergeCell ref="L20:L21"/>
    <mergeCell ref="M20:M21"/>
    <mergeCell ref="N20:N21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V23:V24"/>
    <mergeCell ref="W23:W24"/>
    <mergeCell ref="X23:X24"/>
    <mergeCell ref="Y23:Y24"/>
    <mergeCell ref="Z23:Z24"/>
    <mergeCell ref="AA23:AA24"/>
    <mergeCell ref="AB23:AB24"/>
    <mergeCell ref="O23:O24"/>
    <mergeCell ref="P23:P24"/>
    <mergeCell ref="Q23:Q24"/>
    <mergeCell ref="R23:R24"/>
    <mergeCell ref="S23:S24"/>
    <mergeCell ref="T23:T24"/>
    <mergeCell ref="U23:U24"/>
    <mergeCell ref="X20:X21"/>
    <mergeCell ref="Y20:Y21"/>
    <mergeCell ref="Q20:Q21"/>
    <mergeCell ref="R20:R21"/>
    <mergeCell ref="S20:S21"/>
    <mergeCell ref="T20:T21"/>
    <mergeCell ref="U20:U21"/>
    <mergeCell ref="V20:V21"/>
    <mergeCell ref="W20:W21"/>
    <mergeCell ref="O14:O15"/>
    <mergeCell ref="P14:P15"/>
    <mergeCell ref="H14:H15"/>
    <mergeCell ref="I14:I15"/>
    <mergeCell ref="J14:J15"/>
    <mergeCell ref="K14:K15"/>
    <mergeCell ref="L14:L15"/>
    <mergeCell ref="M14:M15"/>
    <mergeCell ref="N14:N15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A17:A18"/>
    <mergeCell ref="B17:B18"/>
    <mergeCell ref="C17:C18"/>
    <mergeCell ref="D17:D18"/>
    <mergeCell ref="E17:E18"/>
    <mergeCell ref="F17:F18"/>
    <mergeCell ref="G17:G18"/>
    <mergeCell ref="A20:A21"/>
    <mergeCell ref="B20:B21"/>
    <mergeCell ref="C20:C21"/>
    <mergeCell ref="D20:D21"/>
    <mergeCell ref="E20:E21"/>
    <mergeCell ref="F20:F21"/>
    <mergeCell ref="G20:G21"/>
    <mergeCell ref="Z20:Z21"/>
    <mergeCell ref="AA20:AA21"/>
    <mergeCell ref="AB20:AB21"/>
    <mergeCell ref="V17:V18"/>
    <mergeCell ref="W17:W18"/>
    <mergeCell ref="X17:X18"/>
    <mergeCell ref="Y17:Y18"/>
    <mergeCell ref="Z17:Z18"/>
    <mergeCell ref="AA17:AA18"/>
    <mergeCell ref="AB17:AB18"/>
  </mergeCells>
  <conditionalFormatting sqref="F5:F6 F8:F9 F11:F12 F14:F15 F17:F18 F20:F21 F23:F24">
    <cfRule type="cellIs" dxfId="1" priority="1" operator="lessThan">
      <formula>"85%"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25"/>
    <col customWidth="1" min="3" max="3" width="14.13"/>
    <col customWidth="1" min="4" max="4" width="14.5"/>
    <col customWidth="1" min="5" max="5" width="12.88"/>
    <col customWidth="1" min="6" max="6" width="12.63"/>
    <col customWidth="1" min="7" max="7" width="14.5"/>
    <col customWidth="1" min="8" max="8" width="13.5"/>
    <col customWidth="1" min="10" max="10" width="14.5"/>
    <col customWidth="1" min="11" max="11" width="11.38"/>
    <col customWidth="1" min="13" max="13" width="14.5"/>
    <col customWidth="1" min="14" max="14" width="12.25"/>
    <col customWidth="1" min="16" max="16" width="14.5"/>
    <col customWidth="1" min="17" max="17" width="12.88"/>
  </cols>
  <sheetData>
    <row r="1" ht="15.75" customHeight="1">
      <c r="A1" s="151"/>
      <c r="B1" s="152" t="s">
        <v>75</v>
      </c>
      <c r="C1" s="22"/>
      <c r="D1" s="22"/>
      <c r="E1" s="23"/>
      <c r="F1" s="153" t="s">
        <v>80</v>
      </c>
      <c r="G1" s="22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5"/>
      <c r="T1" s="155"/>
      <c r="U1" s="155"/>
      <c r="V1" s="155"/>
      <c r="W1" s="155"/>
      <c r="X1" s="155"/>
      <c r="Y1" s="155"/>
      <c r="Z1" s="155"/>
    </row>
    <row r="2" ht="15.75" customHeight="1">
      <c r="A2" s="156"/>
      <c r="B2" s="156" t="s">
        <v>47</v>
      </c>
      <c r="C2" s="156" t="s">
        <v>48</v>
      </c>
      <c r="D2" s="156" t="s">
        <v>49</v>
      </c>
      <c r="E2" s="156" t="s">
        <v>50</v>
      </c>
      <c r="F2" s="157"/>
      <c r="H2" s="154"/>
      <c r="I2" s="154"/>
      <c r="J2" s="154"/>
      <c r="K2" s="154"/>
      <c r="L2" s="154"/>
      <c r="M2" s="154"/>
      <c r="N2" s="154"/>
      <c r="O2" s="158"/>
      <c r="P2" s="154"/>
      <c r="Q2" s="154"/>
      <c r="R2" s="154"/>
      <c r="S2" s="155"/>
      <c r="T2" s="155"/>
      <c r="U2" s="155"/>
      <c r="V2" s="155"/>
      <c r="W2" s="155"/>
      <c r="X2" s="155"/>
      <c r="Y2" s="155"/>
      <c r="Z2" s="155"/>
    </row>
    <row r="3" ht="15.75" customHeight="1">
      <c r="A3" s="156" t="s">
        <v>81</v>
      </c>
      <c r="B3" s="159" t="s">
        <v>82</v>
      </c>
      <c r="C3" s="159" t="s">
        <v>83</v>
      </c>
      <c r="D3" s="159" t="s">
        <v>84</v>
      </c>
      <c r="E3" s="159" t="s">
        <v>85</v>
      </c>
      <c r="F3" s="157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</row>
    <row r="4" ht="15.75" customHeight="1">
      <c r="A4" s="160" t="s">
        <v>3</v>
      </c>
      <c r="B4" s="161">
        <v>788787.0</v>
      </c>
      <c r="C4" s="161">
        <v>724978.7</v>
      </c>
      <c r="D4" s="161">
        <v>1441649.42</v>
      </c>
      <c r="E4" s="161">
        <v>1335686.3</v>
      </c>
      <c r="F4" s="162" t="s">
        <v>3</v>
      </c>
      <c r="G4" s="163">
        <f>SUM(B4:E4)</f>
        <v>4291101.42</v>
      </c>
      <c r="H4" s="154"/>
      <c r="I4" s="154"/>
      <c r="J4" s="154"/>
      <c r="K4" s="154"/>
      <c r="L4" s="154"/>
      <c r="M4" s="154"/>
      <c r="N4" s="154"/>
      <c r="O4" s="158"/>
      <c r="P4" s="154"/>
      <c r="Q4" s="154"/>
      <c r="R4" s="154"/>
      <c r="S4" s="155"/>
      <c r="T4" s="155"/>
      <c r="U4" s="155"/>
      <c r="V4" s="155"/>
      <c r="W4" s="155"/>
      <c r="X4" s="155"/>
      <c r="Y4" s="155"/>
      <c r="Z4" s="155"/>
    </row>
    <row r="5" ht="15.75" customHeight="1">
      <c r="A5" s="164" t="s">
        <v>2</v>
      </c>
      <c r="B5" s="165">
        <v>0.28819333206994613</v>
      </c>
      <c r="C5" s="165">
        <v>0.28596294615767276</v>
      </c>
      <c r="D5" s="165">
        <v>0.28681752128601024</v>
      </c>
      <c r="E5" s="165">
        <v>0.310831216214604</v>
      </c>
      <c r="F5" s="166" t="s">
        <v>2</v>
      </c>
      <c r="G5" s="167">
        <f>AVERAGEIF(B5:E5, "&lt;&gt;")
</f>
        <v>0.2929512539</v>
      </c>
      <c r="H5" s="154"/>
      <c r="I5" s="154"/>
      <c r="J5" s="154"/>
      <c r="K5" s="154"/>
      <c r="L5" s="154"/>
      <c r="M5" s="154"/>
      <c r="N5" s="154"/>
      <c r="O5" s="158"/>
      <c r="P5" s="154"/>
      <c r="Q5" s="154"/>
      <c r="R5" s="154"/>
      <c r="S5" s="155"/>
      <c r="T5" s="155"/>
      <c r="U5" s="155"/>
      <c r="V5" s="155"/>
      <c r="W5" s="155"/>
      <c r="X5" s="155"/>
      <c r="Y5" s="155"/>
      <c r="Z5" s="155"/>
    </row>
    <row r="6" ht="15.75" customHeight="1">
      <c r="A6" s="168" t="s">
        <v>15</v>
      </c>
      <c r="B6" s="169">
        <v>2.0</v>
      </c>
      <c r="C6" s="169">
        <v>2.8000000000029104</v>
      </c>
      <c r="D6" s="169">
        <v>-639.7000000000298</v>
      </c>
      <c r="E6" s="169">
        <v>10.499999999941792</v>
      </c>
      <c r="F6" s="166" t="s">
        <v>15</v>
      </c>
      <c r="G6" s="163">
        <f t="shared" ref="G6:G7" si="1">SUM(B6:E6)</f>
        <v>-624.4</v>
      </c>
      <c r="H6" s="154"/>
      <c r="I6" s="154"/>
      <c r="J6" s="154"/>
      <c r="K6" s="154"/>
      <c r="L6" s="154"/>
      <c r="M6" s="154"/>
      <c r="N6" s="154"/>
      <c r="O6" s="158"/>
      <c r="P6" s="154"/>
      <c r="Q6" s="154"/>
      <c r="R6" s="154"/>
      <c r="S6" s="155"/>
      <c r="T6" s="155"/>
      <c r="U6" s="155"/>
      <c r="V6" s="155"/>
      <c r="W6" s="155"/>
      <c r="X6" s="155"/>
      <c r="Y6" s="155"/>
      <c r="Z6" s="155"/>
    </row>
    <row r="7" ht="15.75" customHeight="1">
      <c r="A7" s="168" t="s">
        <v>54</v>
      </c>
      <c r="B7" s="169">
        <v>1890.0</v>
      </c>
      <c r="C7" s="169">
        <v>1715.0</v>
      </c>
      <c r="D7" s="169">
        <v>3483.0</v>
      </c>
      <c r="E7" s="169">
        <v>3203.0</v>
      </c>
      <c r="F7" s="166" t="s">
        <v>54</v>
      </c>
      <c r="G7" s="170">
        <f t="shared" si="1"/>
        <v>10291</v>
      </c>
      <c r="H7" s="154"/>
      <c r="I7" s="154"/>
      <c r="J7" s="154"/>
      <c r="K7" s="154"/>
      <c r="L7" s="154"/>
      <c r="M7" s="154"/>
      <c r="N7" s="154"/>
      <c r="O7" s="158"/>
      <c r="P7" s="154"/>
      <c r="Q7" s="154"/>
      <c r="R7" s="154"/>
      <c r="S7" s="155"/>
      <c r="T7" s="155"/>
      <c r="U7" s="155"/>
      <c r="V7" s="155"/>
      <c r="W7" s="155"/>
      <c r="X7" s="155"/>
      <c r="Y7" s="155"/>
      <c r="Z7" s="155"/>
    </row>
    <row r="8" ht="15.75" customHeight="1">
      <c r="A8" s="164" t="s">
        <v>55</v>
      </c>
      <c r="B8" s="171">
        <v>0.9271339396490607</v>
      </c>
      <c r="C8" s="171">
        <v>0.8501320185701111</v>
      </c>
      <c r="D8" s="171">
        <v>0.8731451155301806</v>
      </c>
      <c r="E8" s="171">
        <v>0.8843388226320329</v>
      </c>
      <c r="F8" s="166" t="s">
        <v>55</v>
      </c>
      <c r="G8" s="167">
        <f>AVERAGEIF(B8:E8, "&lt;&gt;")
</f>
        <v>0.8836874741</v>
      </c>
      <c r="H8" s="154"/>
      <c r="I8" s="154"/>
      <c r="J8" s="154"/>
      <c r="K8" s="154"/>
      <c r="L8" s="154"/>
      <c r="M8" s="154"/>
      <c r="N8" s="154"/>
      <c r="O8" s="158"/>
      <c r="P8" s="154"/>
      <c r="Q8" s="154"/>
      <c r="R8" s="154"/>
      <c r="S8" s="155"/>
      <c r="T8" s="155"/>
      <c r="U8" s="155"/>
      <c r="V8" s="155"/>
      <c r="W8" s="155"/>
      <c r="X8" s="155"/>
      <c r="Y8" s="155"/>
      <c r="Z8" s="155"/>
    </row>
    <row r="9" ht="15.75" customHeight="1">
      <c r="A9" s="168" t="s">
        <v>56</v>
      </c>
      <c r="B9" s="169">
        <v>382.0</v>
      </c>
      <c r="C9" s="169">
        <v>406.5</v>
      </c>
      <c r="D9" s="169">
        <v>744.5</v>
      </c>
      <c r="E9" s="169">
        <v>691.5</v>
      </c>
      <c r="F9" s="166" t="s">
        <v>56</v>
      </c>
      <c r="G9" s="170">
        <f t="shared" ref="G9:G10" si="2">SUM(B9:E9)</f>
        <v>2224.5</v>
      </c>
      <c r="H9" s="154"/>
      <c r="I9" s="154"/>
      <c r="J9" s="154"/>
      <c r="K9" s="154"/>
      <c r="L9" s="154"/>
      <c r="M9" s="154"/>
      <c r="N9" s="154"/>
      <c r="O9" s="158"/>
      <c r="P9" s="154"/>
      <c r="Q9" s="154"/>
      <c r="R9" s="154"/>
      <c r="S9" s="155"/>
      <c r="T9" s="155"/>
      <c r="U9" s="155"/>
      <c r="V9" s="155"/>
      <c r="W9" s="155"/>
      <c r="X9" s="155"/>
      <c r="Y9" s="155"/>
      <c r="Z9" s="155"/>
    </row>
    <row r="10" ht="15.75" customHeight="1">
      <c r="A10" s="168" t="s">
        <v>57</v>
      </c>
      <c r="B10" s="169">
        <v>292.0</v>
      </c>
      <c r="C10" s="169">
        <v>148.5</v>
      </c>
      <c r="D10" s="169">
        <v>365.0</v>
      </c>
      <c r="E10" s="169">
        <v>349.0</v>
      </c>
      <c r="F10" s="166" t="s">
        <v>57</v>
      </c>
      <c r="G10" s="170">
        <f t="shared" si="2"/>
        <v>1154.5</v>
      </c>
      <c r="H10" s="154"/>
      <c r="I10" s="154"/>
      <c r="J10" s="154"/>
      <c r="K10" s="154"/>
      <c r="L10" s="154"/>
      <c r="M10" s="154"/>
      <c r="N10" s="154"/>
      <c r="O10" s="158"/>
      <c r="P10" s="154"/>
      <c r="Q10" s="154"/>
      <c r="R10" s="154"/>
      <c r="S10" s="155"/>
      <c r="T10" s="155"/>
      <c r="U10" s="155"/>
      <c r="V10" s="155"/>
      <c r="W10" s="155"/>
      <c r="X10" s="155"/>
      <c r="Y10" s="155"/>
      <c r="Z10" s="155"/>
    </row>
    <row r="11" ht="15.75" customHeight="1">
      <c r="A11" s="164" t="s">
        <v>58</v>
      </c>
      <c r="B11" s="169" t="s">
        <v>86</v>
      </c>
      <c r="C11" s="169" t="s">
        <v>87</v>
      </c>
      <c r="D11" s="169" t="s">
        <v>88</v>
      </c>
      <c r="E11" s="169" t="s">
        <v>89</v>
      </c>
      <c r="F11" s="166" t="s">
        <v>58</v>
      </c>
      <c r="G11" s="163" t="str">
        <f>IFERROR(__xludf.DUMMYFUNCTION("LET(
    data, FILTER(B11:E11, B11:E11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"),"11 min 55 s")</f>
        <v>11 min 55 s</v>
      </c>
      <c r="H11" s="154"/>
      <c r="I11" s="154"/>
      <c r="J11" s="154"/>
      <c r="K11" s="154"/>
      <c r="L11" s="154"/>
      <c r="M11" s="154"/>
      <c r="N11" s="154"/>
      <c r="O11" s="158"/>
      <c r="P11" s="154"/>
      <c r="Q11" s="154"/>
      <c r="R11" s="154"/>
      <c r="S11" s="155"/>
      <c r="T11" s="155"/>
      <c r="U11" s="155"/>
      <c r="V11" s="155"/>
      <c r="W11" s="155"/>
      <c r="X11" s="155"/>
      <c r="Y11" s="155"/>
      <c r="Z11" s="155"/>
    </row>
    <row r="12" ht="15.75" customHeight="1">
      <c r="A12" s="172" t="s">
        <v>59</v>
      </c>
      <c r="B12" s="169">
        <v>34.0</v>
      </c>
      <c r="C12" s="169">
        <v>72.0</v>
      </c>
      <c r="D12" s="169">
        <v>108.0</v>
      </c>
      <c r="E12" s="169">
        <v>238.0</v>
      </c>
      <c r="F12" s="173" t="s">
        <v>59</v>
      </c>
      <c r="G12" s="170">
        <f t="shared" ref="G12:G18" si="3">SUM(B12:E12)</f>
        <v>452</v>
      </c>
      <c r="H12" s="154"/>
      <c r="I12" s="154"/>
      <c r="J12" s="154"/>
      <c r="K12" s="154"/>
      <c r="L12" s="154"/>
      <c r="M12" s="154"/>
      <c r="N12" s="154"/>
      <c r="O12" s="158"/>
      <c r="P12" s="154"/>
      <c r="Q12" s="154"/>
      <c r="R12" s="154"/>
      <c r="S12" s="155"/>
      <c r="T12" s="155"/>
      <c r="U12" s="155"/>
      <c r="V12" s="155"/>
      <c r="W12" s="155"/>
      <c r="X12" s="155"/>
      <c r="Y12" s="155"/>
      <c r="Z12" s="155"/>
    </row>
    <row r="13" ht="15.75" customHeight="1">
      <c r="A13" s="172" t="s">
        <v>60</v>
      </c>
      <c r="B13" s="169">
        <v>356.0</v>
      </c>
      <c r="C13" s="169">
        <v>357.0</v>
      </c>
      <c r="D13" s="169">
        <v>699.0</v>
      </c>
      <c r="E13" s="169">
        <v>657.0</v>
      </c>
      <c r="F13" s="173" t="s">
        <v>60</v>
      </c>
      <c r="G13" s="170">
        <f t="shared" si="3"/>
        <v>2069</v>
      </c>
      <c r="H13" s="154"/>
      <c r="I13" s="154"/>
      <c r="J13" s="154"/>
      <c r="K13" s="154"/>
      <c r="L13" s="154"/>
      <c r="M13" s="154"/>
      <c r="N13" s="154"/>
      <c r="O13" s="158"/>
      <c r="P13" s="154"/>
      <c r="Q13" s="154"/>
      <c r="R13" s="154"/>
      <c r="S13" s="155"/>
      <c r="T13" s="155"/>
      <c r="U13" s="155"/>
      <c r="V13" s="155"/>
      <c r="W13" s="155"/>
      <c r="X13" s="155"/>
      <c r="Y13" s="155"/>
      <c r="Z13" s="155"/>
    </row>
    <row r="14" ht="15.75" customHeight="1">
      <c r="A14" s="174" t="s">
        <v>61</v>
      </c>
      <c r="B14" s="175">
        <v>233484.0</v>
      </c>
      <c r="C14" s="175">
        <v>209261.0</v>
      </c>
      <c r="D14" s="175">
        <v>481512.22</v>
      </c>
      <c r="E14" s="175">
        <v>427461.0</v>
      </c>
      <c r="F14" s="174" t="s">
        <v>61</v>
      </c>
      <c r="G14" s="163">
        <f t="shared" si="3"/>
        <v>1351718.22</v>
      </c>
      <c r="H14" s="154"/>
      <c r="I14" s="154"/>
      <c r="J14" s="154"/>
      <c r="K14" s="154"/>
      <c r="L14" s="154"/>
      <c r="M14" s="154"/>
      <c r="N14" s="154"/>
      <c r="O14" s="158"/>
      <c r="P14" s="154"/>
      <c r="Q14" s="154"/>
      <c r="R14" s="154"/>
      <c r="S14" s="155"/>
      <c r="T14" s="155"/>
      <c r="U14" s="155"/>
      <c r="V14" s="155"/>
      <c r="W14" s="155"/>
      <c r="X14" s="155"/>
      <c r="Y14" s="155"/>
      <c r="Z14" s="155"/>
    </row>
    <row r="15" ht="15.75" customHeight="1">
      <c r="A15" s="172" t="s">
        <v>62</v>
      </c>
      <c r="B15" s="175">
        <v>106980.0</v>
      </c>
      <c r="C15" s="175">
        <v>93824.0</v>
      </c>
      <c r="D15" s="175">
        <v>160062.0</v>
      </c>
      <c r="E15" s="175">
        <v>171871.8</v>
      </c>
      <c r="F15" s="172" t="s">
        <v>62</v>
      </c>
      <c r="G15" s="163">
        <f t="shared" si="3"/>
        <v>532737.8</v>
      </c>
      <c r="H15" s="154"/>
      <c r="I15" s="154"/>
      <c r="J15" s="154"/>
      <c r="K15" s="154"/>
      <c r="L15" s="154"/>
      <c r="M15" s="154"/>
      <c r="N15" s="154"/>
      <c r="O15" s="158"/>
      <c r="P15" s="154"/>
      <c r="Q15" s="154"/>
      <c r="R15" s="154"/>
      <c r="S15" s="155"/>
      <c r="T15" s="155"/>
      <c r="U15" s="155"/>
      <c r="V15" s="155"/>
      <c r="W15" s="155"/>
      <c r="X15" s="155"/>
      <c r="Y15" s="155"/>
      <c r="Z15" s="155"/>
    </row>
    <row r="16" ht="15.75" customHeight="1">
      <c r="A16" s="172" t="s">
        <v>90</v>
      </c>
      <c r="B16" s="175">
        <v>154301.0</v>
      </c>
      <c r="C16" s="175">
        <v>146830.0</v>
      </c>
      <c r="D16" s="175">
        <v>268027.0</v>
      </c>
      <c r="E16" s="175">
        <v>238282.0</v>
      </c>
      <c r="F16" s="172" t="s">
        <v>90</v>
      </c>
      <c r="G16" s="163">
        <f t="shared" si="3"/>
        <v>807440</v>
      </c>
      <c r="H16" s="154"/>
      <c r="I16" s="154"/>
      <c r="J16" s="154"/>
      <c r="K16" s="154"/>
      <c r="L16" s="154"/>
      <c r="M16" s="154"/>
      <c r="N16" s="154"/>
      <c r="O16" s="158"/>
      <c r="P16" s="154"/>
      <c r="Q16" s="154"/>
      <c r="R16" s="154"/>
      <c r="S16" s="155"/>
      <c r="T16" s="155"/>
      <c r="U16" s="155"/>
      <c r="V16" s="155"/>
      <c r="W16" s="155"/>
      <c r="X16" s="155"/>
      <c r="Y16" s="155"/>
      <c r="Z16" s="155"/>
    </row>
    <row r="17" ht="15.75" customHeight="1">
      <c r="A17" s="174" t="s">
        <v>64</v>
      </c>
      <c r="B17" s="175">
        <v>154002.0</v>
      </c>
      <c r="C17" s="175">
        <v>149140.5</v>
      </c>
      <c r="D17" s="175">
        <v>279756.5</v>
      </c>
      <c r="E17" s="175">
        <v>270961.0</v>
      </c>
      <c r="F17" s="174" t="s">
        <v>64</v>
      </c>
      <c r="G17" s="163">
        <f t="shared" si="3"/>
        <v>853860</v>
      </c>
      <c r="H17" s="154"/>
      <c r="I17" s="154"/>
      <c r="J17" s="154"/>
      <c r="K17" s="154"/>
      <c r="L17" s="154"/>
      <c r="M17" s="154"/>
      <c r="N17" s="154"/>
      <c r="O17" s="158"/>
      <c r="P17" s="154"/>
      <c r="Q17" s="154"/>
      <c r="R17" s="154"/>
      <c r="S17" s="155"/>
      <c r="T17" s="155"/>
      <c r="U17" s="155"/>
      <c r="V17" s="155"/>
      <c r="W17" s="155"/>
      <c r="X17" s="155"/>
      <c r="Y17" s="155"/>
      <c r="Z17" s="155"/>
    </row>
    <row r="18" ht="15.75" customHeight="1">
      <c r="A18" s="176" t="s">
        <v>65</v>
      </c>
      <c r="B18" s="177">
        <v>53982.0</v>
      </c>
      <c r="C18" s="177">
        <v>44406.0</v>
      </c>
      <c r="D18" s="177">
        <v>92609.0</v>
      </c>
      <c r="E18" s="177">
        <v>65643.0</v>
      </c>
      <c r="F18" s="176" t="s">
        <v>65</v>
      </c>
      <c r="G18" s="163">
        <f t="shared" si="3"/>
        <v>256640</v>
      </c>
      <c r="H18" s="154"/>
      <c r="I18" s="154"/>
      <c r="J18" s="154"/>
      <c r="K18" s="154"/>
      <c r="L18" s="154"/>
      <c r="M18" s="154"/>
      <c r="N18" s="154"/>
      <c r="O18" s="158"/>
      <c r="P18" s="154"/>
      <c r="Q18" s="154"/>
      <c r="R18" s="154"/>
      <c r="S18" s="155"/>
      <c r="T18" s="155"/>
      <c r="U18" s="155"/>
      <c r="V18" s="155"/>
      <c r="W18" s="155"/>
      <c r="X18" s="155"/>
      <c r="Y18" s="155"/>
      <c r="Z18" s="155"/>
    </row>
    <row r="19" ht="15.75" customHeight="1">
      <c r="A19" s="154"/>
      <c r="B19" s="154"/>
      <c r="C19" s="154"/>
      <c r="D19" s="154"/>
      <c r="E19" s="154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</row>
    <row r="20" ht="15.75" customHeight="1">
      <c r="A20" s="178"/>
      <c r="B20" s="179" t="s">
        <v>0</v>
      </c>
      <c r="C20" s="22"/>
      <c r="D20" s="22"/>
      <c r="E20" s="23"/>
      <c r="F20" s="153" t="s">
        <v>80</v>
      </c>
      <c r="G20" s="22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</row>
    <row r="21" ht="15.75" customHeight="1">
      <c r="A21" s="156"/>
      <c r="B21" s="156" t="s">
        <v>47</v>
      </c>
      <c r="C21" s="156" t="s">
        <v>48</v>
      </c>
      <c r="D21" s="156" t="s">
        <v>49</v>
      </c>
      <c r="E21" s="156" t="s">
        <v>50</v>
      </c>
      <c r="F21" s="157"/>
      <c r="H21" s="155"/>
      <c r="I21" s="155"/>
      <c r="J21" s="155"/>
      <c r="K21" s="155"/>
      <c r="L21" s="180"/>
      <c r="M21" s="180"/>
      <c r="N21" s="180"/>
      <c r="O21" s="180"/>
      <c r="P21" s="180"/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 ht="15.75" customHeight="1">
      <c r="A22" s="156" t="s">
        <v>81</v>
      </c>
      <c r="B22" s="159" t="s">
        <v>82</v>
      </c>
      <c r="C22" s="159" t="s">
        <v>83</v>
      </c>
      <c r="D22" s="159" t="s">
        <v>84</v>
      </c>
      <c r="E22" s="159" t="s">
        <v>85</v>
      </c>
      <c r="F22" s="157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 ht="15.75" customHeight="1">
      <c r="A23" s="181" t="s">
        <v>3</v>
      </c>
      <c r="B23" s="161">
        <v>1013489.7</v>
      </c>
      <c r="C23" s="161">
        <v>1061873.0</v>
      </c>
      <c r="D23" s="161">
        <v>2052546.0</v>
      </c>
      <c r="E23" s="161">
        <v>1764912.7000000002</v>
      </c>
      <c r="F23" s="162" t="s">
        <v>3</v>
      </c>
      <c r="G23" s="163">
        <f>SUM(B23:E23)</f>
        <v>5892821.4</v>
      </c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</row>
    <row r="24" ht="15.75" customHeight="1">
      <c r="A24" s="182" t="s">
        <v>2</v>
      </c>
      <c r="B24" s="165">
        <v>0.2574183962450758</v>
      </c>
      <c r="C24" s="165">
        <v>0.24011264992786208</v>
      </c>
      <c r="D24" s="165">
        <v>0.24289485146009254</v>
      </c>
      <c r="E24" s="165">
        <v>0.24669194529493604</v>
      </c>
      <c r="F24" s="166" t="s">
        <v>2</v>
      </c>
      <c r="G24" s="167">
        <f>AVERAGEIF(B24:E24, "&lt;&gt;")
</f>
        <v>0.2467794607</v>
      </c>
      <c r="H24" s="155"/>
      <c r="I24" s="155"/>
      <c r="J24" s="155"/>
      <c r="K24" s="155"/>
      <c r="L24" s="180"/>
      <c r="M24" s="180"/>
      <c r="N24" s="180"/>
      <c r="O24" s="180"/>
      <c r="P24" s="180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 ht="15.75" hidden="1" customHeight="1">
      <c r="A25" s="182" t="s">
        <v>15</v>
      </c>
      <c r="B25" s="169">
        <v>15.80000000000291</v>
      </c>
      <c r="C25" s="169">
        <v>265.5</v>
      </c>
      <c r="D25" s="169">
        <v>288.5</v>
      </c>
      <c r="E25" s="169">
        <v>14.499999999869033</v>
      </c>
      <c r="F25" s="166" t="s">
        <v>15</v>
      </c>
      <c r="G25" s="163">
        <f t="shared" ref="G25:G26" si="4">SUM(B25:E25)</f>
        <v>584.3</v>
      </c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 ht="15.75" customHeight="1">
      <c r="A26" s="182" t="s">
        <v>54</v>
      </c>
      <c r="B26" s="169">
        <v>2286.0</v>
      </c>
      <c r="C26" s="169">
        <v>2328.0</v>
      </c>
      <c r="D26" s="169">
        <v>4501.0</v>
      </c>
      <c r="E26" s="169">
        <v>3915.0</v>
      </c>
      <c r="F26" s="166" t="s">
        <v>54</v>
      </c>
      <c r="G26" s="163">
        <f t="shared" si="4"/>
        <v>13030</v>
      </c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 ht="15.75" customHeight="1">
      <c r="A27" s="182" t="s">
        <v>55</v>
      </c>
      <c r="B27" s="165">
        <v>0.9080826220950006</v>
      </c>
      <c r="C27" s="165">
        <v>0.8831341118420033</v>
      </c>
      <c r="D27" s="165">
        <v>0.9037102417071858</v>
      </c>
      <c r="E27" s="165">
        <v>0.8642638236388178</v>
      </c>
      <c r="F27" s="166" t="s">
        <v>55</v>
      </c>
      <c r="G27" s="167">
        <f>AVERAGEIF(B27:E27, "&lt;&gt;")
</f>
        <v>0.8897976998</v>
      </c>
      <c r="H27" s="155"/>
      <c r="I27" s="155"/>
      <c r="J27" s="155"/>
      <c r="K27" s="155"/>
      <c r="L27" s="180"/>
      <c r="M27" s="180"/>
      <c r="N27" s="180"/>
      <c r="O27" s="180"/>
      <c r="P27" s="180"/>
      <c r="Q27" s="155"/>
      <c r="R27" s="155"/>
      <c r="S27" s="155"/>
      <c r="T27" s="155"/>
      <c r="U27" s="155"/>
      <c r="V27" s="155"/>
      <c r="W27" s="155"/>
      <c r="X27" s="155"/>
      <c r="Y27" s="155"/>
      <c r="Z27" s="155"/>
    </row>
    <row r="28" ht="15.75" customHeight="1">
      <c r="A28" s="182" t="s">
        <v>56</v>
      </c>
      <c r="B28" s="169">
        <v>504.0</v>
      </c>
      <c r="C28" s="169">
        <v>408.0</v>
      </c>
      <c r="D28" s="169">
        <v>793.0</v>
      </c>
      <c r="E28" s="169">
        <v>642.0</v>
      </c>
      <c r="F28" s="166" t="s">
        <v>56</v>
      </c>
      <c r="G28" s="163">
        <f t="shared" ref="G28:G29" si="5">SUM(B28:E28)</f>
        <v>2347</v>
      </c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</row>
    <row r="29" ht="15.75" customHeight="1">
      <c r="A29" s="182" t="s">
        <v>57</v>
      </c>
      <c r="B29" s="169">
        <v>245.5</v>
      </c>
      <c r="C29" s="169">
        <v>272.5</v>
      </c>
      <c r="D29" s="169">
        <v>551.0</v>
      </c>
      <c r="E29" s="169">
        <v>567.0</v>
      </c>
      <c r="F29" s="166" t="s">
        <v>57</v>
      </c>
      <c r="G29" s="163">
        <f t="shared" si="5"/>
        <v>1636</v>
      </c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 ht="15.75" customHeight="1">
      <c r="A30" s="182" t="s">
        <v>58</v>
      </c>
      <c r="B30" s="169" t="s">
        <v>91</v>
      </c>
      <c r="C30" s="169" t="s">
        <v>92</v>
      </c>
      <c r="D30" s="169" t="s">
        <v>93</v>
      </c>
      <c r="E30" s="169" t="s">
        <v>94</v>
      </c>
      <c r="F30" s="166" t="s">
        <v>58</v>
      </c>
      <c r="G30" s="163" t="str">
        <f>IFERROR(__xludf.DUMMYFUNCTION("LET(
    data, FILTER(B30:E30, B30:E30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"),"9 min 52 s")</f>
        <v>9 min 52 s</v>
      </c>
      <c r="H30" s="155"/>
      <c r="I30" s="155"/>
      <c r="J30" s="155"/>
      <c r="K30" s="155"/>
      <c r="L30" s="180"/>
      <c r="M30" s="180"/>
      <c r="N30" s="180"/>
      <c r="O30" s="180"/>
      <c r="P30" s="180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 ht="15.75" customHeight="1">
      <c r="A31" s="174" t="s">
        <v>59</v>
      </c>
      <c r="B31" s="169">
        <v>92.0</v>
      </c>
      <c r="C31" s="169">
        <v>104.0</v>
      </c>
      <c r="D31" s="169">
        <v>179.0</v>
      </c>
      <c r="E31" s="169">
        <v>124.0</v>
      </c>
      <c r="F31" s="173" t="s">
        <v>59</v>
      </c>
      <c r="G31" s="163">
        <f t="shared" ref="G31:G37" si="6">SUM(B31:E31)</f>
        <v>499</v>
      </c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 ht="15.75" customHeight="1">
      <c r="A32" s="174" t="s">
        <v>60</v>
      </c>
      <c r="B32" s="169">
        <v>458.0</v>
      </c>
      <c r="C32" s="169">
        <v>428.0</v>
      </c>
      <c r="D32" s="169">
        <v>832.0</v>
      </c>
      <c r="E32" s="169">
        <v>755.0</v>
      </c>
      <c r="F32" s="173" t="s">
        <v>60</v>
      </c>
      <c r="G32" s="163">
        <f t="shared" si="6"/>
        <v>2473</v>
      </c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  <row r="33" ht="15.75" customHeight="1">
      <c r="A33" s="174" t="str">
        <f t="shared" ref="A33:A37" si="7">A14</f>
        <v>WOLT</v>
      </c>
      <c r="B33" s="175">
        <v>249537.0</v>
      </c>
      <c r="C33" s="175">
        <v>259146.0</v>
      </c>
      <c r="D33" s="175">
        <v>524796.0</v>
      </c>
      <c r="E33" s="175">
        <v>424249.0</v>
      </c>
      <c r="F33" s="174" t="s">
        <v>61</v>
      </c>
      <c r="G33" s="163">
        <f t="shared" si="6"/>
        <v>1457728</v>
      </c>
      <c r="H33" s="155"/>
      <c r="I33" s="155"/>
      <c r="J33" s="155"/>
      <c r="K33" s="155"/>
      <c r="L33" s="180"/>
      <c r="M33" s="180"/>
      <c r="N33" s="180"/>
      <c r="O33" s="180"/>
      <c r="P33" s="180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 ht="15.75" customHeight="1">
      <c r="A34" s="172" t="str">
        <f t="shared" si="7"/>
        <v>BOLT</v>
      </c>
      <c r="B34" s="175">
        <v>81232.0</v>
      </c>
      <c r="C34" s="175">
        <v>106763.0</v>
      </c>
      <c r="D34" s="175">
        <v>211948.0</v>
      </c>
      <c r="E34" s="175">
        <v>191156.19999999998</v>
      </c>
      <c r="F34" s="172" t="s">
        <v>62</v>
      </c>
      <c r="G34" s="163">
        <f t="shared" si="6"/>
        <v>591099.2</v>
      </c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 ht="15.75" customHeight="1">
      <c r="A35" s="172" t="str">
        <f t="shared" si="7"/>
        <v>FOODODA online</v>
      </c>
      <c r="B35" s="175">
        <v>253226.0</v>
      </c>
      <c r="C35" s="175">
        <v>302068.0</v>
      </c>
      <c r="D35" s="175">
        <v>559988.0</v>
      </c>
      <c r="E35" s="175">
        <v>502050.0</v>
      </c>
      <c r="F35" s="172" t="s">
        <v>90</v>
      </c>
      <c r="G35" s="163">
        <f t="shared" si="6"/>
        <v>1617332</v>
      </c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 ht="15.75" customHeight="1">
      <c r="A36" s="174" t="str">
        <f t="shared" si="7"/>
        <v>WEB online</v>
      </c>
      <c r="B36" s="175">
        <v>243248.5</v>
      </c>
      <c r="C36" s="175">
        <v>224735.0</v>
      </c>
      <c r="D36" s="175">
        <v>434007.0</v>
      </c>
      <c r="E36" s="175">
        <v>374670.5</v>
      </c>
      <c r="F36" s="174" t="s">
        <v>64</v>
      </c>
      <c r="G36" s="163">
        <f t="shared" si="6"/>
        <v>1276661</v>
      </c>
      <c r="H36" s="155"/>
      <c r="I36" s="183"/>
      <c r="J36" s="155"/>
      <c r="K36" s="155"/>
      <c r="L36" s="180"/>
      <c r="M36" s="180"/>
      <c r="N36" s="180"/>
      <c r="O36" s="180"/>
      <c r="P36" s="180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 ht="15.75" customHeight="1">
      <c r="A37" s="176" t="str">
        <f t="shared" si="7"/>
        <v>Karty</v>
      </c>
      <c r="B37" s="177">
        <v>85713.0</v>
      </c>
      <c r="C37" s="177">
        <v>67780.5</v>
      </c>
      <c r="D37" s="177">
        <v>128998.5</v>
      </c>
      <c r="E37" s="177">
        <v>106030.5</v>
      </c>
      <c r="F37" s="176" t="s">
        <v>65</v>
      </c>
      <c r="G37" s="163">
        <f t="shared" si="6"/>
        <v>388522.5</v>
      </c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</row>
    <row r="38" ht="15.75" customHeight="1">
      <c r="A38" s="155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 ht="15.75" customHeight="1">
      <c r="A39" s="184"/>
      <c r="B39" s="185" t="s">
        <v>76</v>
      </c>
      <c r="C39" s="7"/>
      <c r="D39" s="7"/>
      <c r="E39" s="8"/>
      <c r="F39" s="153" t="s">
        <v>80</v>
      </c>
      <c r="G39" s="22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 ht="15.75" customHeight="1">
      <c r="A40" s="156"/>
      <c r="B40" s="156" t="s">
        <v>47</v>
      </c>
      <c r="C40" s="156" t="s">
        <v>48</v>
      </c>
      <c r="D40" s="156" t="s">
        <v>49</v>
      </c>
      <c r="E40" s="156" t="s">
        <v>50</v>
      </c>
      <c r="F40" s="157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 ht="15.75" customHeight="1">
      <c r="A41" s="156" t="s">
        <v>81</v>
      </c>
      <c r="B41" s="159" t="s">
        <v>82</v>
      </c>
      <c r="C41" s="159" t="s">
        <v>83</v>
      </c>
      <c r="D41" s="159" t="s">
        <v>84</v>
      </c>
      <c r="E41" s="159" t="s">
        <v>85</v>
      </c>
      <c r="F41" s="157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 ht="15.75" customHeight="1">
      <c r="A42" s="181" t="s">
        <v>3</v>
      </c>
      <c r="B42" s="161">
        <v>905252.5</v>
      </c>
      <c r="C42" s="161">
        <v>777474.0</v>
      </c>
      <c r="D42" s="161">
        <v>1474078.5</v>
      </c>
      <c r="E42" s="161">
        <v>1281101.1</v>
      </c>
      <c r="F42" s="162" t="s">
        <v>3</v>
      </c>
      <c r="G42" s="163">
        <f>SUM(B42:E42)</f>
        <v>4437906.1</v>
      </c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 ht="15.75" customHeight="1">
      <c r="A43" s="182" t="s">
        <v>2</v>
      </c>
      <c r="B43" s="165">
        <v>0.31641656298713405</v>
      </c>
      <c r="C43" s="165">
        <v>0.3106307585780385</v>
      </c>
      <c r="D43" s="165">
        <v>0.31242575175202764</v>
      </c>
      <c r="E43" s="165">
        <v>0.3350287330426855</v>
      </c>
      <c r="F43" s="166" t="s">
        <v>2</v>
      </c>
      <c r="G43" s="167">
        <f>AVERAGEIF(B43:E43, "&lt;&gt;")
</f>
        <v>0.3186254516</v>
      </c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 ht="15.75" customHeight="1">
      <c r="A44" s="182" t="s">
        <v>15</v>
      </c>
      <c r="B44" s="169">
        <v>2.0</v>
      </c>
      <c r="C44" s="169">
        <v>4.0</v>
      </c>
      <c r="D44" s="169">
        <v>30.540000000000873</v>
      </c>
      <c r="E44" s="169">
        <v>-3486.0000000000546</v>
      </c>
      <c r="F44" s="166" t="s">
        <v>15</v>
      </c>
      <c r="G44" s="163">
        <f t="shared" ref="G44:G45" si="8">SUM(B44:E44)</f>
        <v>-3449.46</v>
      </c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 ht="19.5" customHeight="1">
      <c r="A45" s="182" t="s">
        <v>54</v>
      </c>
      <c r="B45" s="169">
        <v>2143.0</v>
      </c>
      <c r="C45" s="169">
        <v>1838.0</v>
      </c>
      <c r="D45" s="169">
        <v>3544.0</v>
      </c>
      <c r="E45" s="169">
        <v>3143.0</v>
      </c>
      <c r="F45" s="166" t="s">
        <v>54</v>
      </c>
      <c r="G45" s="163">
        <f t="shared" si="8"/>
        <v>10668</v>
      </c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 ht="15.75" customHeight="1">
      <c r="A46" s="182" t="s">
        <v>55</v>
      </c>
      <c r="B46" s="171">
        <v>0.8700392537333125</v>
      </c>
      <c r="C46" s="171">
        <v>0.8911835453592906</v>
      </c>
      <c r="D46" s="171">
        <v>0.9037277294439349</v>
      </c>
      <c r="E46" s="171">
        <v>0.8614123576611625</v>
      </c>
      <c r="F46" s="166" t="s">
        <v>55</v>
      </c>
      <c r="G46" s="167">
        <f>AVERAGEIF(B46:E46, "&lt;&gt;")
</f>
        <v>0.8815907215</v>
      </c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 ht="15.75" customHeight="1">
      <c r="A47" s="182" t="s">
        <v>56</v>
      </c>
      <c r="B47" s="169">
        <v>336.0</v>
      </c>
      <c r="C47" s="169">
        <v>313.5</v>
      </c>
      <c r="D47" s="169">
        <v>618.0</v>
      </c>
      <c r="E47" s="169">
        <v>571.75</v>
      </c>
      <c r="F47" s="166" t="s">
        <v>56</v>
      </c>
      <c r="G47" s="163">
        <f t="shared" ref="G47:G48" si="9">SUM(B47:E47)</f>
        <v>1839.25</v>
      </c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 ht="15.75" customHeight="1">
      <c r="A48" s="182" t="s">
        <v>57</v>
      </c>
      <c r="B48" s="169">
        <v>389.0</v>
      </c>
      <c r="C48" s="169">
        <v>346.25</v>
      </c>
      <c r="D48" s="169">
        <v>652.25</v>
      </c>
      <c r="E48" s="169">
        <v>501.5</v>
      </c>
      <c r="F48" s="166" t="s">
        <v>57</v>
      </c>
      <c r="G48" s="163">
        <f t="shared" si="9"/>
        <v>1889</v>
      </c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 ht="15.75" customHeight="1">
      <c r="A49" s="182" t="s">
        <v>58</v>
      </c>
      <c r="B49" s="169" t="s">
        <v>95</v>
      </c>
      <c r="C49" s="169" t="s">
        <v>96</v>
      </c>
      <c r="D49" s="169" t="s">
        <v>97</v>
      </c>
      <c r="E49" s="169" t="s">
        <v>98</v>
      </c>
      <c r="F49" s="166" t="s">
        <v>58</v>
      </c>
      <c r="G49" s="163" t="str">
        <f>IFERROR(__xludf.DUMMYFUNCTION("LET(
    data, FILTER(B49:E49, B49:E49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"),"12 min 01 s")</f>
        <v>12 min 01 s</v>
      </c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 ht="15.75" customHeight="1">
      <c r="A50" s="174" t="s">
        <v>59</v>
      </c>
      <c r="B50" s="169">
        <v>15.0</v>
      </c>
      <c r="C50" s="169">
        <v>29.0</v>
      </c>
      <c r="D50" s="169">
        <v>70.0</v>
      </c>
      <c r="E50" s="169">
        <v>110.0</v>
      </c>
      <c r="F50" s="173" t="s">
        <v>59</v>
      </c>
      <c r="G50" s="163">
        <f t="shared" ref="G50:G56" si="10">SUM(B50:E50)</f>
        <v>224</v>
      </c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 ht="15.75" customHeight="1">
      <c r="A51" s="174" t="s">
        <v>60</v>
      </c>
      <c r="B51" s="169">
        <v>507.0</v>
      </c>
      <c r="C51" s="169">
        <v>486.0</v>
      </c>
      <c r="D51" s="169">
        <v>938.0</v>
      </c>
      <c r="E51" s="169">
        <v>872.0</v>
      </c>
      <c r="F51" s="173" t="s">
        <v>60</v>
      </c>
      <c r="G51" s="163">
        <f t="shared" si="10"/>
        <v>2803</v>
      </c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 ht="15.75" customHeight="1">
      <c r="A52" s="174" t="str">
        <f t="shared" ref="A52:A56" si="11">A33</f>
        <v>WOLT</v>
      </c>
      <c r="B52" s="175">
        <v>227235.0</v>
      </c>
      <c r="C52" s="175">
        <v>153182.0</v>
      </c>
      <c r="D52" s="175">
        <v>301427.0</v>
      </c>
      <c r="E52" s="175">
        <v>238816.0</v>
      </c>
      <c r="F52" s="174" t="s">
        <v>61</v>
      </c>
      <c r="G52" s="163">
        <f t="shared" si="10"/>
        <v>920660</v>
      </c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 ht="15.75" customHeight="1">
      <c r="A53" s="172" t="str">
        <f t="shared" si="11"/>
        <v>BOLT</v>
      </c>
      <c r="B53" s="175">
        <v>91191.0</v>
      </c>
      <c r="C53" s="175">
        <v>72681.0</v>
      </c>
      <c r="D53" s="175">
        <v>134570.0</v>
      </c>
      <c r="E53" s="175">
        <v>117238.1</v>
      </c>
      <c r="F53" s="172" t="s">
        <v>62</v>
      </c>
      <c r="G53" s="163">
        <f t="shared" si="10"/>
        <v>415680.1</v>
      </c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 ht="15.75" customHeight="1">
      <c r="A54" s="172" t="str">
        <f t="shared" si="11"/>
        <v>FOODODA online</v>
      </c>
      <c r="B54" s="175">
        <v>188019.0</v>
      </c>
      <c r="C54" s="175">
        <v>175261.0</v>
      </c>
      <c r="D54" s="175">
        <v>321536.0</v>
      </c>
      <c r="E54" s="175">
        <v>267845.0</v>
      </c>
      <c r="F54" s="172" t="s">
        <v>90</v>
      </c>
      <c r="G54" s="163">
        <f t="shared" si="10"/>
        <v>952661</v>
      </c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ht="15.75" customHeight="1">
      <c r="A55" s="174" t="str">
        <f t="shared" si="11"/>
        <v>WEB online</v>
      </c>
      <c r="B55" s="175">
        <v>229514.5</v>
      </c>
      <c r="C55" s="175">
        <v>202401.0</v>
      </c>
      <c r="D55" s="175">
        <v>386981.0</v>
      </c>
      <c r="E55" s="175">
        <v>359877.0</v>
      </c>
      <c r="F55" s="174" t="s">
        <v>64</v>
      </c>
      <c r="G55" s="163">
        <f t="shared" si="10"/>
        <v>1178773.5</v>
      </c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 ht="15.75" customHeight="1">
      <c r="A56" s="176" t="str">
        <f t="shared" si="11"/>
        <v>Karty</v>
      </c>
      <c r="B56" s="177">
        <v>78740.0</v>
      </c>
      <c r="C56" s="177">
        <v>68345.0</v>
      </c>
      <c r="D56" s="177">
        <v>134044.0</v>
      </c>
      <c r="E56" s="177">
        <v>122189.0</v>
      </c>
      <c r="F56" s="176" t="s">
        <v>65</v>
      </c>
      <c r="G56" s="163">
        <f t="shared" si="10"/>
        <v>403318</v>
      </c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 ht="15.75" customHeight="1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 ht="15.75" customHeight="1">
      <c r="A58" s="184"/>
      <c r="B58" s="186" t="s">
        <v>77</v>
      </c>
      <c r="C58" s="7"/>
      <c r="D58" s="7"/>
      <c r="E58" s="8"/>
      <c r="F58" s="153" t="s">
        <v>80</v>
      </c>
      <c r="G58" s="22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 ht="15.75" customHeight="1">
      <c r="A59" s="156"/>
      <c r="B59" s="156" t="s">
        <v>47</v>
      </c>
      <c r="C59" s="156" t="s">
        <v>48</v>
      </c>
      <c r="D59" s="156" t="s">
        <v>49</v>
      </c>
      <c r="E59" s="156" t="s">
        <v>50</v>
      </c>
      <c r="F59" s="157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 ht="15.75" customHeight="1">
      <c r="A60" s="187" t="s">
        <v>81</v>
      </c>
      <c r="B60" s="159" t="s">
        <v>82</v>
      </c>
      <c r="C60" s="159" t="s">
        <v>83</v>
      </c>
      <c r="D60" s="159" t="s">
        <v>84</v>
      </c>
      <c r="E60" s="159" t="s">
        <v>85</v>
      </c>
      <c r="F60" s="157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 ht="15.75" customHeight="1">
      <c r="A61" s="181" t="s">
        <v>3</v>
      </c>
      <c r="B61" s="161">
        <v>623567.5</v>
      </c>
      <c r="C61" s="161">
        <v>466234.6</v>
      </c>
      <c r="D61" s="161">
        <v>905592.4900000001</v>
      </c>
      <c r="E61" s="161">
        <v>845343.05</v>
      </c>
      <c r="F61" s="162" t="s">
        <v>3</v>
      </c>
      <c r="G61" s="163">
        <f>SUM(B61:E61)</f>
        <v>2840737.64</v>
      </c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 ht="15.75" customHeight="1">
      <c r="A62" s="182" t="s">
        <v>2</v>
      </c>
      <c r="B62" s="165">
        <v>0.32472921002194055</v>
      </c>
      <c r="C62" s="165">
        <v>0.2904641267882744</v>
      </c>
      <c r="D62" s="165">
        <v>0.3008871121684681</v>
      </c>
      <c r="E62" s="165">
        <v>0.29328168528792464</v>
      </c>
      <c r="F62" s="166" t="s">
        <v>2</v>
      </c>
      <c r="G62" s="167">
        <f>AVERAGEIF(B62:E62, "&lt;&gt;")
</f>
        <v>0.3023405336</v>
      </c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 ht="15.75" customHeight="1">
      <c r="A63" s="182" t="s">
        <v>15</v>
      </c>
      <c r="B63" s="169">
        <v>0.9000000000014552</v>
      </c>
      <c r="C63" s="169">
        <v>2.099999999994907</v>
      </c>
      <c r="D63" s="169">
        <v>1.749999999985448</v>
      </c>
      <c r="E63" s="169">
        <v>0.1999999999497959</v>
      </c>
      <c r="F63" s="166" t="s">
        <v>15</v>
      </c>
      <c r="G63" s="163">
        <f t="shared" ref="G63:G64" si="12">SUM(B63:E63)</f>
        <v>4.95</v>
      </c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 ht="15.75" customHeight="1">
      <c r="A64" s="182" t="s">
        <v>54</v>
      </c>
      <c r="B64" s="169">
        <v>1448.0</v>
      </c>
      <c r="C64" s="169">
        <v>1076.0</v>
      </c>
      <c r="D64" s="169">
        <v>2131.0</v>
      </c>
      <c r="E64" s="169">
        <v>1986.0</v>
      </c>
      <c r="F64" s="166" t="s">
        <v>54</v>
      </c>
      <c r="G64" s="163">
        <f t="shared" si="12"/>
        <v>6641</v>
      </c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 ht="15.75" customHeight="1">
      <c r="A65" s="182" t="s">
        <v>55</v>
      </c>
      <c r="B65" s="171">
        <v>0.8712441082202113</v>
      </c>
      <c r="C65" s="171">
        <v>0.8964596058718544</v>
      </c>
      <c r="D65" s="171">
        <v>0.8921346834252556</v>
      </c>
      <c r="E65" s="171">
        <v>0.9510884307102795</v>
      </c>
      <c r="F65" s="166" t="s">
        <v>55</v>
      </c>
      <c r="G65" s="167">
        <f>AVERAGEIF(B65:E65, "&lt;&gt;")
</f>
        <v>0.9027317071</v>
      </c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 ht="15.75" customHeight="1">
      <c r="A66" s="182" t="s">
        <v>56</v>
      </c>
      <c r="B66" s="169">
        <v>319.5</v>
      </c>
      <c r="C66" s="169">
        <v>267.0</v>
      </c>
      <c r="D66" s="169">
        <v>520.5</v>
      </c>
      <c r="E66" s="169">
        <v>472.0</v>
      </c>
      <c r="F66" s="166" t="s">
        <v>56</v>
      </c>
      <c r="G66" s="163">
        <f t="shared" ref="G66:G67" si="13">SUM(B66:E66)</f>
        <v>1579</v>
      </c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 ht="15.75" customHeight="1">
      <c r="A67" s="182" t="s">
        <v>57</v>
      </c>
      <c r="B67" s="169">
        <v>255.5</v>
      </c>
      <c r="C67" s="169">
        <v>204.0</v>
      </c>
      <c r="D67" s="169">
        <v>407.0</v>
      </c>
      <c r="E67" s="169">
        <v>352.5</v>
      </c>
      <c r="F67" s="166" t="s">
        <v>57</v>
      </c>
      <c r="G67" s="163">
        <f t="shared" si="13"/>
        <v>1219</v>
      </c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 ht="15.75" customHeight="1">
      <c r="A68" s="182" t="s">
        <v>58</v>
      </c>
      <c r="B68" s="169" t="s">
        <v>99</v>
      </c>
      <c r="C68" s="169" t="s">
        <v>100</v>
      </c>
      <c r="D68" s="169" t="s">
        <v>101</v>
      </c>
      <c r="E68" s="169" t="s">
        <v>102</v>
      </c>
      <c r="F68" s="166" t="s">
        <v>58</v>
      </c>
      <c r="G68" s="163" t="str">
        <f>IFERROR(__xludf.DUMMYFUNCTION("LET(
    data, FILTER(B68:E68, B68:E68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"),"11 min 11 s")</f>
        <v>11 min 11 s</v>
      </c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</row>
    <row r="69" ht="15.75" customHeight="1">
      <c r="A69" s="174" t="s">
        <v>59</v>
      </c>
      <c r="B69" s="169">
        <v>13.0</v>
      </c>
      <c r="C69" s="169">
        <v>17.0</v>
      </c>
      <c r="D69" s="169">
        <v>27.0</v>
      </c>
      <c r="E69" s="169">
        <v>30.0</v>
      </c>
      <c r="F69" s="173" t="s">
        <v>59</v>
      </c>
      <c r="G69" s="163">
        <f t="shared" ref="G69:G75" si="14">SUM(B69:E69)</f>
        <v>87</v>
      </c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 ht="15.75" customHeight="1">
      <c r="A70" s="174" t="s">
        <v>60</v>
      </c>
      <c r="B70" s="169">
        <v>320.0</v>
      </c>
      <c r="C70" s="169">
        <v>237.0</v>
      </c>
      <c r="D70" s="169">
        <v>423.0</v>
      </c>
      <c r="E70" s="169">
        <v>336.0</v>
      </c>
      <c r="F70" s="173" t="s">
        <v>60</v>
      </c>
      <c r="G70" s="163">
        <f t="shared" si="14"/>
        <v>1316</v>
      </c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 ht="15.75" customHeight="1">
      <c r="A71" s="174" t="str">
        <f t="shared" ref="A71:A75" si="15">A52</f>
        <v>WOLT</v>
      </c>
      <c r="B71" s="175">
        <v>168757.0</v>
      </c>
      <c r="C71" s="175">
        <v>110210.0</v>
      </c>
      <c r="D71" s="175">
        <v>230739.38999999998</v>
      </c>
      <c r="E71" s="175">
        <v>211011.0</v>
      </c>
      <c r="F71" s="174" t="s">
        <v>61</v>
      </c>
      <c r="G71" s="163">
        <f t="shared" si="14"/>
        <v>720717.39</v>
      </c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 ht="15.75" customHeight="1">
      <c r="A72" s="172" t="str">
        <f t="shared" si="15"/>
        <v>BOLT</v>
      </c>
      <c r="B72" s="175">
        <v>69756.0</v>
      </c>
      <c r="C72" s="175">
        <v>72971.0</v>
      </c>
      <c r="D72" s="175">
        <v>145060.0</v>
      </c>
      <c r="E72" s="175">
        <v>161762.25</v>
      </c>
      <c r="F72" s="172" t="s">
        <v>62</v>
      </c>
      <c r="G72" s="163">
        <f t="shared" si="14"/>
        <v>449549.25</v>
      </c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 ht="15.75" customHeight="1">
      <c r="A73" s="172" t="str">
        <f t="shared" si="15"/>
        <v>FOODODA online</v>
      </c>
      <c r="B73" s="175">
        <v>151393.0</v>
      </c>
      <c r="C73" s="175">
        <v>98425.0</v>
      </c>
      <c r="D73" s="175">
        <v>195691.0</v>
      </c>
      <c r="E73" s="175">
        <v>195318.0</v>
      </c>
      <c r="F73" s="172" t="s">
        <v>90</v>
      </c>
      <c r="G73" s="163">
        <f t="shared" si="14"/>
        <v>640827</v>
      </c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 ht="15.75" customHeight="1">
      <c r="A74" s="174" t="str">
        <f t="shared" si="15"/>
        <v>WEB online</v>
      </c>
      <c r="B74" s="175">
        <v>129978.9</v>
      </c>
      <c r="C74" s="175">
        <v>90751.7</v>
      </c>
      <c r="D74" s="175">
        <v>164180.85</v>
      </c>
      <c r="E74" s="175">
        <v>130892.2</v>
      </c>
      <c r="F74" s="174" t="s">
        <v>64</v>
      </c>
      <c r="G74" s="163">
        <f t="shared" si="14"/>
        <v>515803.65</v>
      </c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 ht="15.75" customHeight="1">
      <c r="A75" s="176" t="str">
        <f t="shared" si="15"/>
        <v>Karty</v>
      </c>
      <c r="B75" s="177">
        <v>31309.0</v>
      </c>
      <c r="C75" s="177">
        <v>14476.0</v>
      </c>
      <c r="D75" s="177">
        <v>29323.0</v>
      </c>
      <c r="E75" s="177">
        <v>27304.0</v>
      </c>
      <c r="F75" s="176" t="s">
        <v>65</v>
      </c>
      <c r="G75" s="163">
        <f t="shared" si="14"/>
        <v>102412</v>
      </c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 ht="15.75" customHeight="1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 ht="15.75" customHeight="1">
      <c r="A77" s="178"/>
      <c r="B77" s="188" t="s">
        <v>78</v>
      </c>
      <c r="C77" s="22"/>
      <c r="D77" s="22"/>
      <c r="E77" s="23"/>
      <c r="F77" s="153" t="s">
        <v>80</v>
      </c>
      <c r="G77" s="22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 ht="15.75" customHeight="1">
      <c r="A78" s="156"/>
      <c r="B78" s="156" t="s">
        <v>47</v>
      </c>
      <c r="C78" s="156" t="s">
        <v>48</v>
      </c>
      <c r="D78" s="156" t="s">
        <v>49</v>
      </c>
      <c r="E78" s="156" t="s">
        <v>50</v>
      </c>
      <c r="F78" s="157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 ht="15.75" customHeight="1">
      <c r="A79" s="156" t="s">
        <v>81</v>
      </c>
      <c r="B79" s="159" t="s">
        <v>82</v>
      </c>
      <c r="C79" s="159" t="s">
        <v>83</v>
      </c>
      <c r="D79" s="159" t="s">
        <v>84</v>
      </c>
      <c r="E79" s="159" t="s">
        <v>85</v>
      </c>
      <c r="F79" s="157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 ht="15.75" customHeight="1">
      <c r="A80" s="181" t="s">
        <v>3</v>
      </c>
      <c r="B80" s="161">
        <v>486299.0</v>
      </c>
      <c r="C80" s="161">
        <v>509508.4</v>
      </c>
      <c r="D80" s="161">
        <v>998722.6799999999</v>
      </c>
      <c r="E80" s="161">
        <v>767814.7</v>
      </c>
      <c r="F80" s="162" t="s">
        <v>3</v>
      </c>
      <c r="G80" s="163">
        <f>SUM(B80:E80)</f>
        <v>2762344.78</v>
      </c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 ht="15.75" customHeight="1">
      <c r="A81" s="182" t="s">
        <v>2</v>
      </c>
      <c r="B81" s="165">
        <v>0.3836517127190549</v>
      </c>
      <c r="C81" s="165">
        <v>0.3348490439599862</v>
      </c>
      <c r="D81" s="165">
        <v>0.3392660870326656</v>
      </c>
      <c r="E81" s="165">
        <v>0.40376045223802715</v>
      </c>
      <c r="F81" s="166" t="s">
        <v>2</v>
      </c>
      <c r="G81" s="167">
        <f>AVERAGEIF(B81:E81, "&lt;&gt;")
</f>
        <v>0.365381824</v>
      </c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 ht="15.75" customHeight="1">
      <c r="A82" s="182" t="s">
        <v>15</v>
      </c>
      <c r="B82" s="169">
        <v>-21.5</v>
      </c>
      <c r="C82" s="169">
        <v>0.6000000000058208</v>
      </c>
      <c r="D82" s="169">
        <v>3.400000000005093</v>
      </c>
      <c r="E82" s="169">
        <v>1153.1999999999898</v>
      </c>
      <c r="F82" s="166" t="s">
        <v>15</v>
      </c>
      <c r="G82" s="163">
        <f t="shared" ref="G82:G83" si="16">SUM(B82:E82)</f>
        <v>1135.7</v>
      </c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</row>
    <row r="83" ht="15.75" customHeight="1">
      <c r="A83" s="182" t="s">
        <v>54</v>
      </c>
      <c r="B83" s="169">
        <v>1156.0</v>
      </c>
      <c r="C83" s="169">
        <v>1140.0</v>
      </c>
      <c r="D83" s="169">
        <v>2266.0</v>
      </c>
      <c r="E83" s="169">
        <v>1781.0</v>
      </c>
      <c r="F83" s="166" t="s">
        <v>54</v>
      </c>
      <c r="G83" s="163">
        <f t="shared" si="16"/>
        <v>6343</v>
      </c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 ht="15.75" customHeight="1">
      <c r="A84" s="182" t="s">
        <v>55</v>
      </c>
      <c r="B84" s="171">
        <v>0.7649118701967967</v>
      </c>
      <c r="C84" s="171">
        <v>0.9631944444444446</v>
      </c>
      <c r="D84" s="171">
        <v>0.9473009964945449</v>
      </c>
      <c r="E84" s="171">
        <v>0.9143939393939393</v>
      </c>
      <c r="F84" s="166" t="s">
        <v>55</v>
      </c>
      <c r="G84" s="167">
        <f>AVERAGEIF(B84:E84, "&lt;&gt;")
</f>
        <v>0.8974503126</v>
      </c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 ht="15.75" customHeight="1">
      <c r="A85" s="182" t="s">
        <v>56</v>
      </c>
      <c r="B85" s="169">
        <v>276.5</v>
      </c>
      <c r="C85" s="169">
        <v>341.0</v>
      </c>
      <c r="D85" s="169">
        <v>660.0</v>
      </c>
      <c r="E85" s="169">
        <v>609.25</v>
      </c>
      <c r="F85" s="166" t="s">
        <v>56</v>
      </c>
      <c r="G85" s="163">
        <f t="shared" ref="G85:G86" si="17">SUM(B85:E85)</f>
        <v>1886.75</v>
      </c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 ht="15.75" customHeight="1">
      <c r="A86" s="182" t="s">
        <v>57</v>
      </c>
      <c r="B86" s="169">
        <v>250.75</v>
      </c>
      <c r="C86" s="169">
        <v>190.0</v>
      </c>
      <c r="D86" s="169">
        <v>403.0</v>
      </c>
      <c r="E86" s="169">
        <v>342.0</v>
      </c>
      <c r="F86" s="166" t="s">
        <v>57</v>
      </c>
      <c r="G86" s="163">
        <f t="shared" si="17"/>
        <v>1185.75</v>
      </c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 ht="15.75" customHeight="1">
      <c r="A87" s="182" t="s">
        <v>58</v>
      </c>
      <c r="B87" s="169" t="s">
        <v>103</v>
      </c>
      <c r="C87" s="169" t="s">
        <v>104</v>
      </c>
      <c r="D87" s="169" t="s">
        <v>105</v>
      </c>
      <c r="E87" s="169" t="s">
        <v>106</v>
      </c>
      <c r="F87" s="166" t="s">
        <v>58</v>
      </c>
      <c r="G87" s="163" t="str">
        <f>IFERROR(__xludf.DUMMYFUNCTION("LET(
    data, FILTER(B87:E87, B87:E87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"),"9 min 35 s")</f>
        <v>9 min 35 s</v>
      </c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 ht="15.75" customHeight="1">
      <c r="A88" s="174" t="s">
        <v>59</v>
      </c>
      <c r="B88" s="169">
        <v>18.0</v>
      </c>
      <c r="C88" s="169">
        <v>17.0</v>
      </c>
      <c r="D88" s="169">
        <v>37.0</v>
      </c>
      <c r="E88" s="169">
        <v>33.0</v>
      </c>
      <c r="F88" s="173" t="s">
        <v>59</v>
      </c>
      <c r="G88" s="163">
        <f t="shared" ref="G88:G94" si="18">SUM(B88:E88)</f>
        <v>105</v>
      </c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 ht="15.75" customHeight="1">
      <c r="A89" s="174" t="s">
        <v>60</v>
      </c>
      <c r="B89" s="169">
        <v>163.0</v>
      </c>
      <c r="C89" s="169">
        <v>123.0</v>
      </c>
      <c r="D89" s="169">
        <v>236.0</v>
      </c>
      <c r="E89" s="169">
        <v>183.0</v>
      </c>
      <c r="F89" s="173" t="s">
        <v>60</v>
      </c>
      <c r="G89" s="163">
        <f t="shared" si="18"/>
        <v>705</v>
      </c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 ht="15.75" customHeight="1">
      <c r="A90" s="174" t="str">
        <f t="shared" ref="A90:A94" si="19">A71</f>
        <v>WOLT</v>
      </c>
      <c r="B90" s="175">
        <v>190701.0</v>
      </c>
      <c r="C90" s="175">
        <v>177113.0</v>
      </c>
      <c r="D90" s="175">
        <v>325579.07999999996</v>
      </c>
      <c r="E90" s="175">
        <v>290027.0</v>
      </c>
      <c r="F90" s="174" t="s">
        <v>61</v>
      </c>
      <c r="G90" s="163">
        <f t="shared" si="18"/>
        <v>983420.08</v>
      </c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 ht="15.75" customHeight="1">
      <c r="A91" s="172" t="str">
        <f t="shared" si="19"/>
        <v>BOLT</v>
      </c>
      <c r="B91" s="175">
        <v>82276.0</v>
      </c>
      <c r="C91" s="175">
        <v>135722.0</v>
      </c>
      <c r="D91" s="175">
        <v>306408.0</v>
      </c>
      <c r="E91" s="175">
        <v>165593.0</v>
      </c>
      <c r="F91" s="172" t="s">
        <v>62</v>
      </c>
      <c r="G91" s="163">
        <f t="shared" si="18"/>
        <v>689999</v>
      </c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 ht="15.75" customHeight="1">
      <c r="A92" s="172" t="str">
        <f t="shared" si="19"/>
        <v>FOODODA online</v>
      </c>
      <c r="B92" s="175">
        <v>63251.0</v>
      </c>
      <c r="C92" s="175">
        <v>84842.0</v>
      </c>
      <c r="D92" s="175">
        <v>170011.0</v>
      </c>
      <c r="E92" s="175">
        <v>157491.0</v>
      </c>
      <c r="F92" s="172" t="s">
        <v>90</v>
      </c>
      <c r="G92" s="163">
        <f t="shared" si="18"/>
        <v>475595</v>
      </c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 ht="15.75" customHeight="1">
      <c r="A93" s="174" t="str">
        <f t="shared" si="19"/>
        <v>WEB online</v>
      </c>
      <c r="B93" s="175">
        <v>82330.0</v>
      </c>
      <c r="C93" s="175">
        <v>52250.0</v>
      </c>
      <c r="D93" s="175">
        <v>96893.0</v>
      </c>
      <c r="E93" s="175">
        <v>79442.40000000001</v>
      </c>
      <c r="F93" s="174" t="s">
        <v>64</v>
      </c>
      <c r="G93" s="163">
        <f t="shared" si="18"/>
        <v>310915.4</v>
      </c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 ht="15.75" customHeight="1">
      <c r="A94" s="176" t="str">
        <f t="shared" si="19"/>
        <v>Karty</v>
      </c>
      <c r="B94" s="177">
        <v>33455.5</v>
      </c>
      <c r="C94" s="177">
        <v>22506.0</v>
      </c>
      <c r="D94" s="177">
        <v>39794.0</v>
      </c>
      <c r="E94" s="177">
        <v>38094.5</v>
      </c>
      <c r="F94" s="176" t="s">
        <v>65</v>
      </c>
      <c r="G94" s="163">
        <f t="shared" si="18"/>
        <v>133850</v>
      </c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 ht="15.75" customHeight="1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 ht="15.75" customHeight="1">
      <c r="A96" s="178"/>
      <c r="B96" s="189" t="s">
        <v>79</v>
      </c>
      <c r="C96" s="22"/>
      <c r="D96" s="22"/>
      <c r="E96" s="23"/>
      <c r="F96" s="153" t="s">
        <v>80</v>
      </c>
      <c r="G96" s="22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 ht="15.75" customHeight="1">
      <c r="A97" s="156"/>
      <c r="B97" s="156" t="s">
        <v>47</v>
      </c>
      <c r="C97" s="156" t="s">
        <v>48</v>
      </c>
      <c r="D97" s="156" t="s">
        <v>49</v>
      </c>
      <c r="E97" s="156" t="s">
        <v>50</v>
      </c>
      <c r="F97" s="157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 ht="15.75" customHeight="1">
      <c r="A98" s="156" t="s">
        <v>81</v>
      </c>
      <c r="B98" s="159" t="s">
        <v>82</v>
      </c>
      <c r="C98" s="159" t="s">
        <v>83</v>
      </c>
      <c r="D98" s="159" t="s">
        <v>84</v>
      </c>
      <c r="E98" s="159" t="s">
        <v>85</v>
      </c>
      <c r="F98" s="157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 ht="15.75" customHeight="1">
      <c r="A99" s="181" t="s">
        <v>3</v>
      </c>
      <c r="B99" s="161">
        <v>0.0</v>
      </c>
      <c r="C99" s="161">
        <v>0.0</v>
      </c>
      <c r="D99" s="161">
        <v>0.0</v>
      </c>
      <c r="E99" s="161">
        <v>0.0</v>
      </c>
      <c r="F99" s="162" t="s">
        <v>3</v>
      </c>
      <c r="G99" s="163">
        <f>SUM(B99:E99)</f>
        <v>0</v>
      </c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 ht="15.75" customHeight="1">
      <c r="A100" s="182" t="s">
        <v>2</v>
      </c>
      <c r="B100" s="165">
        <v>1.1904057409936601</v>
      </c>
      <c r="C100" s="165"/>
      <c r="D100" s="165"/>
      <c r="E100" s="165"/>
      <c r="F100" s="166" t="s">
        <v>2</v>
      </c>
      <c r="G100" s="167">
        <f>AVERAGEIF(B100:E100, "&lt;&gt;")
</f>
        <v>1.190405741</v>
      </c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 ht="15.75" customHeight="1">
      <c r="A101" s="182" t="s">
        <v>15</v>
      </c>
      <c r="B101" s="169">
        <v>-0.10000000000673026</v>
      </c>
      <c r="C101" s="169">
        <v>0.0</v>
      </c>
      <c r="D101" s="169">
        <v>0.0</v>
      </c>
      <c r="E101" s="169">
        <v>0.0</v>
      </c>
      <c r="F101" s="166" t="s">
        <v>15</v>
      </c>
      <c r="G101" s="163">
        <f t="shared" ref="G101:G102" si="20">SUM(B101:E101)</f>
        <v>-0.1</v>
      </c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 ht="15.75" customHeight="1">
      <c r="A102" s="182" t="s">
        <v>54</v>
      </c>
      <c r="B102" s="169">
        <v>587.0</v>
      </c>
      <c r="C102" s="169">
        <v>0.0</v>
      </c>
      <c r="D102" s="169">
        <v>0.0</v>
      </c>
      <c r="E102" s="169">
        <v>0.0</v>
      </c>
      <c r="F102" s="166" t="s">
        <v>54</v>
      </c>
      <c r="G102" s="163">
        <f t="shared" si="20"/>
        <v>587</v>
      </c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 ht="15.75" customHeight="1">
      <c r="A103" s="182" t="s">
        <v>55</v>
      </c>
      <c r="B103" s="171">
        <v>0.8958333333333333</v>
      </c>
      <c r="C103" s="171"/>
      <c r="D103" s="171"/>
      <c r="E103" s="171"/>
      <c r="F103" s="166" t="s">
        <v>55</v>
      </c>
      <c r="G103" s="167">
        <f>AVERAGEIF(B103:E103, "&lt;&gt;")
</f>
        <v>0.8958333333</v>
      </c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 ht="15.75" customHeight="1">
      <c r="A104" s="182" t="s">
        <v>56</v>
      </c>
      <c r="B104" s="169">
        <v>346.0</v>
      </c>
      <c r="C104" s="169">
        <v>0.0</v>
      </c>
      <c r="D104" s="169">
        <v>0.0</v>
      </c>
      <c r="E104" s="169">
        <v>0.0</v>
      </c>
      <c r="F104" s="166" t="s">
        <v>56</v>
      </c>
      <c r="G104" s="163">
        <f t="shared" ref="G104:G105" si="21">SUM(B104:E104)</f>
        <v>346</v>
      </c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 ht="15.75" customHeight="1">
      <c r="A105" s="182" t="s">
        <v>57</v>
      </c>
      <c r="B105" s="169">
        <v>228.0</v>
      </c>
      <c r="C105" s="169">
        <v>0.0</v>
      </c>
      <c r="D105" s="169">
        <v>0.0</v>
      </c>
      <c r="E105" s="169">
        <v>0.0</v>
      </c>
      <c r="F105" s="166" t="s">
        <v>57</v>
      </c>
      <c r="G105" s="163">
        <f t="shared" si="21"/>
        <v>228</v>
      </c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 ht="15.75" customHeight="1">
      <c r="A106" s="182" t="s">
        <v>58</v>
      </c>
      <c r="B106" s="169" t="s">
        <v>107</v>
      </c>
      <c r="C106" s="169"/>
      <c r="D106" s="169"/>
      <c r="E106" s="169"/>
      <c r="F106" s="166" t="s">
        <v>58</v>
      </c>
      <c r="G106" s="163" t="str">
        <f>IFERROR(__xludf.DUMMYFUNCTION("LET(
    data, FILTER(B106:E106, B106:E106 &lt;&gt; """"), 
    totalSeconds, ARRAYFORMULA(IFERROR(VALUE(LEFT(data, FIND("" min"", data) - 1)) * 60 + VALUE(MID(data, FIND("" min"", data) + 4, FIND("" s"", data) - FIND("" min"", data) - 4)), 0)),
    avgSeconds,"&amp;" AVERAGE(totalSeconds),
    avgMinutes, INT(avgSeconds / 60),
    avgRemainingSeconds, MOD(avgSeconds, 60),
    TEXT(avgMinutes, ""0"") &amp; "" min "" &amp; TEXT(ROUND(avgRemainingSeconds), ""00"") &amp; "" s""
)
"),"10 min 00 s")</f>
        <v>10 min 00 s</v>
      </c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 ht="15.75" customHeight="1">
      <c r="A107" s="174" t="s">
        <v>59</v>
      </c>
      <c r="B107" s="169">
        <v>0.0</v>
      </c>
      <c r="C107" s="169">
        <v>0.0</v>
      </c>
      <c r="D107" s="169">
        <v>0.0</v>
      </c>
      <c r="E107" s="169">
        <v>0.0</v>
      </c>
      <c r="F107" s="173" t="s">
        <v>59</v>
      </c>
      <c r="G107" s="163">
        <f t="shared" ref="G107:G113" si="22">SUM(B107:E107)</f>
        <v>0</v>
      </c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 ht="15.75" customHeight="1">
      <c r="A108" s="174" t="s">
        <v>60</v>
      </c>
      <c r="B108" s="169">
        <v>59.0</v>
      </c>
      <c r="C108" s="169">
        <v>0.0</v>
      </c>
      <c r="D108" s="169">
        <v>0.0</v>
      </c>
      <c r="E108" s="169">
        <v>0.0</v>
      </c>
      <c r="F108" s="173" t="s">
        <v>60</v>
      </c>
      <c r="G108" s="163">
        <f t="shared" si="22"/>
        <v>59</v>
      </c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 ht="15.75" customHeight="1">
      <c r="A109" s="174" t="str">
        <f t="shared" ref="A109:A113" si="23">A90</f>
        <v>WOLT</v>
      </c>
      <c r="B109" s="175">
        <v>0.0</v>
      </c>
      <c r="C109" s="175">
        <v>0.0</v>
      </c>
      <c r="D109" s="175">
        <v>0.0</v>
      </c>
      <c r="E109" s="175">
        <v>0.0</v>
      </c>
      <c r="F109" s="174" t="s">
        <v>61</v>
      </c>
      <c r="G109" s="163">
        <f t="shared" si="22"/>
        <v>0</v>
      </c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 ht="15.75" customHeight="1">
      <c r="A110" s="172" t="str">
        <f t="shared" si="23"/>
        <v>BOLT</v>
      </c>
      <c r="B110" s="175">
        <v>11694.0</v>
      </c>
      <c r="C110" s="175">
        <v>0.0</v>
      </c>
      <c r="D110" s="175">
        <v>0.0</v>
      </c>
      <c r="E110" s="175">
        <v>0.0</v>
      </c>
      <c r="F110" s="172" t="s">
        <v>62</v>
      </c>
      <c r="G110" s="163">
        <f t="shared" si="22"/>
        <v>11694</v>
      </c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 ht="15.75" customHeight="1">
      <c r="A111" s="172" t="str">
        <f t="shared" si="23"/>
        <v>FOODODA online</v>
      </c>
      <c r="B111" s="175">
        <v>75196.42000000001</v>
      </c>
      <c r="C111" s="175">
        <v>0.0</v>
      </c>
      <c r="D111" s="175">
        <v>0.0</v>
      </c>
      <c r="E111" s="175">
        <v>0.0</v>
      </c>
      <c r="F111" s="172" t="s">
        <v>90</v>
      </c>
      <c r="G111" s="163">
        <f t="shared" si="22"/>
        <v>75196.42</v>
      </c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 ht="15.75" customHeight="1">
      <c r="A112" s="174" t="str">
        <f t="shared" si="23"/>
        <v>WEB online</v>
      </c>
      <c r="B112" s="175">
        <v>23041.0</v>
      </c>
      <c r="C112" s="175">
        <v>0.0</v>
      </c>
      <c r="D112" s="175">
        <v>0.0</v>
      </c>
      <c r="E112" s="175">
        <v>0.0</v>
      </c>
      <c r="F112" s="174" t="s">
        <v>64</v>
      </c>
      <c r="G112" s="163">
        <f t="shared" si="22"/>
        <v>23041</v>
      </c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 ht="15.75" customHeight="1">
      <c r="A113" s="176" t="str">
        <f t="shared" si="23"/>
        <v>Karty</v>
      </c>
      <c r="B113" s="177">
        <v>46595.0</v>
      </c>
      <c r="C113" s="177">
        <v>0.0</v>
      </c>
      <c r="D113" s="177">
        <v>0.0</v>
      </c>
      <c r="E113" s="177">
        <v>0.0</v>
      </c>
      <c r="F113" s="176" t="s">
        <v>65</v>
      </c>
      <c r="G113" s="163">
        <f t="shared" si="22"/>
        <v>46595</v>
      </c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 ht="15.75" customHeight="1">
      <c r="A114" s="155"/>
      <c r="B114" s="155">
        <v>3817395.7</v>
      </c>
      <c r="C114" s="155">
        <v>5994857.85</v>
      </c>
      <c r="D114" s="155">
        <v>6872589.09</v>
      </c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 ht="15.75" customHeight="1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 ht="15.75" customHeight="1">
      <c r="A116" s="178"/>
      <c r="B116" s="190" t="s">
        <v>80</v>
      </c>
      <c r="C116" s="22"/>
      <c r="D116" s="22"/>
      <c r="E116" s="23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 ht="15.75" customHeight="1">
      <c r="A117" s="156"/>
      <c r="B117" s="156" t="s">
        <v>47</v>
      </c>
      <c r="C117" s="156" t="s">
        <v>48</v>
      </c>
      <c r="D117" s="156" t="s">
        <v>49</v>
      </c>
      <c r="E117" s="156" t="s">
        <v>50</v>
      </c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 ht="15.75" customHeight="1">
      <c r="A118" s="156" t="s">
        <v>81</v>
      </c>
      <c r="B118" s="156" t="s">
        <v>82</v>
      </c>
      <c r="C118" s="156" t="s">
        <v>83</v>
      </c>
      <c r="D118" s="156" t="s">
        <v>84</v>
      </c>
      <c r="E118" s="156" t="s">
        <v>85</v>
      </c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 ht="15.75" customHeight="1">
      <c r="A119" s="181" t="s">
        <v>3</v>
      </c>
      <c r="B119" s="161">
        <f t="shared" ref="B119:C119" si="24">B80+B61+B42+B23+B4</f>
        <v>3817395.7</v>
      </c>
      <c r="C119" s="161">
        <f t="shared" si="24"/>
        <v>3540068.7</v>
      </c>
      <c r="D119" s="161">
        <v>2284573.2</v>
      </c>
      <c r="E119" s="161">
        <v>5994857.850000001</v>
      </c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 ht="15.75" customHeight="1">
      <c r="A120" s="182" t="s">
        <v>2</v>
      </c>
      <c r="B120" s="161">
        <f t="shared" ref="B120:C120" si="25">B81+B62+B43+B24+B5</f>
        <v>1.570409214</v>
      </c>
      <c r="C120" s="161">
        <f t="shared" si="25"/>
        <v>1.462019525</v>
      </c>
      <c r="D120" s="165">
        <v>0.30078555393840184</v>
      </c>
      <c r="E120" s="165">
        <v>0.3122849911367575</v>
      </c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 ht="15.75" customHeight="1">
      <c r="A121" s="182" t="s">
        <v>15</v>
      </c>
      <c r="B121" s="161">
        <f t="shared" ref="B121:C121" si="26">B82+B63+B44+B25+B6</f>
        <v>-0.8</v>
      </c>
      <c r="C121" s="161">
        <f t="shared" si="26"/>
        <v>275</v>
      </c>
      <c r="D121" s="169">
        <v>-1856.799999999992</v>
      </c>
      <c r="E121" s="169">
        <v>1281.2700000001096</v>
      </c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 ht="15.75" customHeight="1">
      <c r="A122" s="182" t="s">
        <v>54</v>
      </c>
      <c r="B122" s="161">
        <f t="shared" ref="B122:C122" si="27">B83+B64+B45+B26+B7</f>
        <v>8923</v>
      </c>
      <c r="C122" s="161">
        <f t="shared" si="27"/>
        <v>8097</v>
      </c>
      <c r="D122" s="169">
        <v>17857.0</v>
      </c>
      <c r="E122" s="169">
        <v>16505.0</v>
      </c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 ht="15.75" customHeight="1">
      <c r="A123" s="182" t="s">
        <v>55</v>
      </c>
      <c r="B123" s="161">
        <f t="shared" ref="B123:C123" si="28">B84+B65+B46+B27+B8</f>
        <v>4.341411794</v>
      </c>
      <c r="C123" s="161">
        <f t="shared" si="28"/>
        <v>4.484103726</v>
      </c>
      <c r="D123" s="191">
        <v>0.7763610271538989</v>
      </c>
      <c r="E123" s="191">
        <v>0.7694303166591898</v>
      </c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 ht="15.75" customHeight="1">
      <c r="A124" s="182" t="s">
        <v>56</v>
      </c>
      <c r="B124" s="161">
        <f t="shared" ref="B124:C124" si="29">B85+B66+B47+B28+B9</f>
        <v>1818</v>
      </c>
      <c r="C124" s="161">
        <f t="shared" si="29"/>
        <v>1736</v>
      </c>
      <c r="D124" s="169">
        <v>3401.5</v>
      </c>
      <c r="E124" s="169">
        <v>3292.0</v>
      </c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 ht="15.75" customHeight="1">
      <c r="A125" s="182" t="s">
        <v>57</v>
      </c>
      <c r="B125" s="161">
        <f t="shared" ref="B125:C125" si="30">B86+B67+B48+B29+B10</f>
        <v>1432.75</v>
      </c>
      <c r="C125" s="161">
        <f t="shared" si="30"/>
        <v>1161.25</v>
      </c>
      <c r="D125" s="169">
        <v>2602.5</v>
      </c>
      <c r="E125" s="169">
        <v>2286.0</v>
      </c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 ht="15.75" customHeight="1">
      <c r="A126" s="182" t="s">
        <v>58</v>
      </c>
      <c r="B126" s="161" t="str">
        <f t="shared" ref="B126:C126" si="31">B87+B68+B49+B30+B11</f>
        <v>#VALUE!</v>
      </c>
      <c r="C126" s="161" t="str">
        <f t="shared" si="31"/>
        <v>#VALUE!</v>
      </c>
      <c r="D126" s="192">
        <v>10.673333333333334</v>
      </c>
      <c r="E126" s="192">
        <v>10.96</v>
      </c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 ht="15.75" customHeight="1">
      <c r="A127" s="174" t="s">
        <v>59</v>
      </c>
      <c r="B127" s="161">
        <f t="shared" ref="B127:C127" si="32">B88+B69+B50+B31+B12</f>
        <v>172</v>
      </c>
      <c r="C127" s="161">
        <f t="shared" si="32"/>
        <v>239</v>
      </c>
      <c r="D127" s="169">
        <v>383.0</v>
      </c>
      <c r="E127" s="169">
        <v>466.0</v>
      </c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 ht="15.75" customHeight="1">
      <c r="A128" s="174" t="s">
        <v>60</v>
      </c>
      <c r="B128" s="161">
        <f t="shared" ref="B128:C128" si="33">B89+B70+B51+B32+B13</f>
        <v>1804</v>
      </c>
      <c r="C128" s="161">
        <f t="shared" si="33"/>
        <v>1631</v>
      </c>
      <c r="D128" s="169">
        <v>3299.0</v>
      </c>
      <c r="E128" s="169">
        <v>2990.0</v>
      </c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 ht="15.75" customHeight="1">
      <c r="A129" s="174" t="str">
        <f t="shared" ref="A129:A133" si="35">A90</f>
        <v>WOLT</v>
      </c>
      <c r="B129" s="161">
        <f t="shared" ref="B129:C129" si="34">B90+B71+B52+B33+B14</f>
        <v>1069714</v>
      </c>
      <c r="C129" s="161">
        <f t="shared" si="34"/>
        <v>908912</v>
      </c>
      <c r="D129" s="175">
        <v>2091147.0</v>
      </c>
      <c r="E129" s="175">
        <v>1788695.0</v>
      </c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 ht="15.75" customHeight="1">
      <c r="A130" s="172" t="str">
        <f t="shared" si="35"/>
        <v>BOLT</v>
      </c>
      <c r="B130" s="161">
        <f t="shared" ref="B130:C130" si="36">B91+B72+B53+B34+B15</f>
        <v>431435</v>
      </c>
      <c r="C130" s="161">
        <f t="shared" si="36"/>
        <v>481961</v>
      </c>
      <c r="D130" s="175">
        <v>919900.0</v>
      </c>
      <c r="E130" s="175">
        <v>884822.0</v>
      </c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 ht="15.75" customHeight="1">
      <c r="A131" s="172" t="str">
        <f t="shared" si="35"/>
        <v>FOODODA online</v>
      </c>
      <c r="B131" s="161">
        <f t="shared" ref="B131:C131" si="37">B92+B73+B54+B35+B16</f>
        <v>810190</v>
      </c>
      <c r="C131" s="161">
        <f t="shared" si="37"/>
        <v>807426</v>
      </c>
      <c r="D131" s="175">
        <v>1724545.0</v>
      </c>
      <c r="E131" s="175">
        <v>1664000.59</v>
      </c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 ht="15.75" customHeight="1">
      <c r="A132" s="174" t="str">
        <f t="shared" si="35"/>
        <v>WEB online</v>
      </c>
      <c r="B132" s="161">
        <f t="shared" ref="B132:C132" si="38">B93+B74+B55+B36+B17</f>
        <v>839073.9</v>
      </c>
      <c r="C132" s="161">
        <f t="shared" si="38"/>
        <v>719278.2</v>
      </c>
      <c r="D132" s="175">
        <v>1495862.0</v>
      </c>
      <c r="E132" s="175">
        <v>1305661.5</v>
      </c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 ht="15.75" customHeight="1">
      <c r="A133" s="176" t="str">
        <f t="shared" si="35"/>
        <v>Karty</v>
      </c>
      <c r="B133" s="161">
        <f t="shared" ref="B133:C133" si="39">B94+B75+B56+B37+B18</f>
        <v>283199.5</v>
      </c>
      <c r="C133" s="161">
        <f t="shared" si="39"/>
        <v>217513.5</v>
      </c>
      <c r="D133" s="177">
        <v>492500.0</v>
      </c>
      <c r="E133" s="177">
        <v>496747.6</v>
      </c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 ht="15.75" customHeight="1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 ht="15.75" customHeight="1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 ht="15.75" customHeight="1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 ht="15.75" customHeight="1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 ht="15.75" customHeight="1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 ht="15.75" customHeight="1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 ht="15.75" customHeight="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 ht="15.75" customHeight="1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 ht="15.75" customHeight="1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 ht="15.75" customHeight="1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 ht="15.75" customHeight="1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 ht="15.75" customHeight="1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 ht="15.75" customHeight="1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 ht="15.75" customHeight="1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 ht="15.75" customHeight="1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 ht="15.7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 ht="15.7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 ht="15.7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 ht="15.7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 ht="15.7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 ht="15.7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 ht="15.7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 ht="15.7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 ht="15.7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 ht="15.7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 ht="15.7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 ht="15.7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 ht="15.7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 ht="15.7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 ht="15.7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 ht="15.7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 ht="15.7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 ht="15.7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 ht="15.7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 ht="15.7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 ht="15.7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 ht="15.7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 ht="15.7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 ht="15.7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 ht="15.7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 ht="15.7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 ht="15.7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 ht="15.7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 ht="15.7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 ht="15.7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 ht="15.7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 ht="15.7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 ht="15.7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 ht="15.7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 ht="15.7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 ht="15.7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 ht="15.7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 ht="15.7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 ht="15.7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 ht="15.7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 ht="15.7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 ht="15.7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 ht="15.7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 ht="15.7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 ht="15.7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 ht="15.7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 ht="15.7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 ht="15.7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 ht="15.7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 ht="15.7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 ht="15.7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 ht="15.7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 ht="15.7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 ht="15.7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 ht="15.7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 ht="15.7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 ht="15.7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 ht="15.7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 ht="15.7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 ht="15.7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 ht="15.7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 ht="15.7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 ht="15.7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 ht="15.7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 ht="15.7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 ht="15.7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 ht="15.7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 ht="15.7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 ht="15.7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 ht="15.7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 ht="15.7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 ht="15.7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 ht="15.7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 ht="15.7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 ht="15.7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 ht="15.7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 ht="15.7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 ht="15.7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 ht="15.7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 ht="15.7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 ht="15.7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 ht="15.7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 ht="15.7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 ht="15.7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 ht="15.7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 ht="15.7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 ht="15.7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 ht="15.7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 ht="15.7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 ht="15.7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 ht="15.7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 ht="15.7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 ht="15.7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 ht="15.7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58:E58"/>
    <mergeCell ref="B77:E77"/>
    <mergeCell ref="F77:G79"/>
    <mergeCell ref="B96:E96"/>
    <mergeCell ref="F96:G98"/>
    <mergeCell ref="B116:E116"/>
    <mergeCell ref="B1:E1"/>
    <mergeCell ref="F1:G3"/>
    <mergeCell ref="B20:E20"/>
    <mergeCell ref="F20:G22"/>
    <mergeCell ref="B39:E39"/>
    <mergeCell ref="F39:G41"/>
    <mergeCell ref="F58:G60"/>
  </mergeCells>
  <conditionalFormatting sqref="F4:F13 F23:F32 F42:F51 F61:F70 F80:F89 F99:F108">
    <cfRule type="cellIs" dxfId="1" priority="1" operator="lessThan">
      <formula>"86%"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3" width="12.88"/>
    <col customWidth="1" min="4" max="4" width="12.63"/>
    <col customWidth="1" min="5" max="5" width="14.25"/>
    <col customWidth="1" min="6" max="6" width="12.63"/>
    <col customWidth="1" min="13" max="13" width="16.63"/>
  </cols>
  <sheetData>
    <row r="1" ht="15.75" customHeight="1">
      <c r="A1" s="93"/>
      <c r="B1" s="93"/>
      <c r="C1" s="93"/>
      <c r="D1" s="93"/>
      <c r="E1" s="93"/>
      <c r="F1" s="93" t="s">
        <v>52</v>
      </c>
      <c r="G1" s="93"/>
      <c r="H1" s="93"/>
      <c r="I1" s="93"/>
      <c r="J1" s="97" t="s">
        <v>53</v>
      </c>
      <c r="K1" s="93"/>
      <c r="M1" s="95" t="s">
        <v>108</v>
      </c>
      <c r="N1" s="95" t="s">
        <v>109</v>
      </c>
    </row>
    <row r="2" ht="15.75" customHeight="1">
      <c r="A2" s="93"/>
      <c r="B2" s="93"/>
      <c r="C2" s="93"/>
      <c r="D2" s="93"/>
      <c r="E2" s="93"/>
      <c r="F2" s="98">
        <v>0.27</v>
      </c>
      <c r="G2" s="93"/>
      <c r="H2" s="93"/>
      <c r="I2" s="93"/>
      <c r="J2" s="99">
        <v>0.20782888018911425</v>
      </c>
      <c r="K2" s="93"/>
      <c r="M2" s="95" t="s">
        <v>110</v>
      </c>
      <c r="N2" s="95">
        <v>232000.0</v>
      </c>
    </row>
    <row r="3" ht="15.75" customHeight="1">
      <c r="A3" s="93"/>
      <c r="B3" s="93"/>
      <c r="C3" s="93"/>
      <c r="D3" s="93"/>
      <c r="E3" s="93"/>
      <c r="F3" s="93"/>
      <c r="G3" s="93"/>
      <c r="H3" s="93"/>
      <c r="I3" s="93"/>
      <c r="J3" s="100"/>
      <c r="K3" s="93"/>
    </row>
    <row r="4" ht="15.75" customHeight="1">
      <c r="A4" s="101"/>
      <c r="B4" s="106" t="s">
        <v>67</v>
      </c>
      <c r="C4" s="106" t="s">
        <v>68</v>
      </c>
      <c r="D4" s="106" t="s">
        <v>69</v>
      </c>
      <c r="E4" s="107" t="s">
        <v>70</v>
      </c>
      <c r="F4" s="107" t="s">
        <v>71</v>
      </c>
      <c r="G4" s="106" t="s">
        <v>72</v>
      </c>
      <c r="H4" s="109" t="s">
        <v>73</v>
      </c>
      <c r="I4" s="193" t="s">
        <v>31</v>
      </c>
      <c r="J4" s="109" t="s">
        <v>53</v>
      </c>
      <c r="K4" s="110" t="s">
        <v>74</v>
      </c>
    </row>
    <row r="5" ht="15.75" customHeight="1">
      <c r="A5" s="111" t="s">
        <v>75</v>
      </c>
      <c r="B5" s="115">
        <v>1233974.5</v>
      </c>
      <c r="C5" s="115">
        <v>1101762.9464285714</v>
      </c>
      <c r="D5" s="116">
        <v>332779.9750624835</v>
      </c>
      <c r="E5" s="115">
        <v>189110.0</v>
      </c>
      <c r="F5" s="116">
        <v>297475.99553571426</v>
      </c>
      <c r="G5" s="114">
        <v>35000.0</v>
      </c>
      <c r="H5" s="114">
        <v>35000.0</v>
      </c>
      <c r="I5" s="114"/>
      <c r="J5" s="117">
        <v>228978.15939010907</v>
      </c>
      <c r="K5" s="117">
        <v>-16581.183559735422</v>
      </c>
      <c r="M5" s="95" t="s">
        <v>111</v>
      </c>
      <c r="N5" s="95">
        <v>300000.0</v>
      </c>
    </row>
    <row r="6" ht="15.75" customHeight="1">
      <c r="A6" s="11"/>
      <c r="B6" s="120"/>
      <c r="C6" s="120"/>
      <c r="D6" s="121"/>
      <c r="E6" s="120"/>
      <c r="F6" s="121"/>
      <c r="G6" s="120"/>
      <c r="H6" s="120"/>
      <c r="I6" s="120"/>
      <c r="J6" s="13"/>
      <c r="K6" s="13"/>
      <c r="M6" s="95" t="s">
        <v>112</v>
      </c>
      <c r="N6" s="95">
        <v>20000.0</v>
      </c>
    </row>
    <row r="7" ht="15.75" customHeight="1">
      <c r="A7" s="122"/>
      <c r="B7" s="106" t="s">
        <v>67</v>
      </c>
      <c r="C7" s="106" t="s">
        <v>68</v>
      </c>
      <c r="D7" s="106" t="s">
        <v>69</v>
      </c>
      <c r="E7" s="106" t="s">
        <v>70</v>
      </c>
      <c r="F7" s="106" t="s">
        <v>71</v>
      </c>
      <c r="G7" s="106" t="s">
        <v>72</v>
      </c>
      <c r="H7" s="106" t="s">
        <v>73</v>
      </c>
      <c r="I7" s="106" t="s">
        <v>31</v>
      </c>
      <c r="J7" s="106" t="s">
        <v>53</v>
      </c>
      <c r="K7" s="106" t="s">
        <v>74</v>
      </c>
      <c r="M7" s="95" t="s">
        <v>113</v>
      </c>
      <c r="N7" s="95">
        <v>15000.0</v>
      </c>
    </row>
    <row r="8" ht="15.75" customHeight="1">
      <c r="A8" s="194" t="s">
        <v>0</v>
      </c>
      <c r="B8" s="115">
        <v>1623854.5</v>
      </c>
      <c r="C8" s="115">
        <v>1449870.0892857143</v>
      </c>
      <c r="D8" s="116">
        <v>378851.8113218886</v>
      </c>
      <c r="E8" s="115">
        <v>255929.25</v>
      </c>
      <c r="F8" s="116">
        <v>391464.9241071429</v>
      </c>
      <c r="G8" s="114">
        <v>35000.0</v>
      </c>
      <c r="H8" s="114">
        <v>35000.0</v>
      </c>
      <c r="I8" s="114"/>
      <c r="J8" s="117">
        <v>301324.87707594107</v>
      </c>
      <c r="K8" s="117">
        <v>52299.22678074177</v>
      </c>
      <c r="M8" s="95" t="s">
        <v>114</v>
      </c>
      <c r="N8" s="95">
        <v>50000.0</v>
      </c>
    </row>
    <row r="9" ht="15.75" customHeight="1">
      <c r="A9" s="12"/>
      <c r="B9" s="120"/>
      <c r="C9" s="120"/>
      <c r="D9" s="121"/>
      <c r="E9" s="120"/>
      <c r="F9" s="121"/>
      <c r="G9" s="120"/>
      <c r="H9" s="120"/>
      <c r="I9" s="120"/>
      <c r="J9" s="13"/>
      <c r="K9" s="13"/>
      <c r="M9" s="95" t="s">
        <v>115</v>
      </c>
      <c r="N9" s="95">
        <v>20000.0</v>
      </c>
    </row>
    <row r="10" ht="15.75" customHeight="1">
      <c r="A10" s="122"/>
      <c r="B10" s="106" t="s">
        <v>67</v>
      </c>
      <c r="C10" s="106" t="s">
        <v>68</v>
      </c>
      <c r="D10" s="106" t="s">
        <v>69</v>
      </c>
      <c r="E10" s="106" t="s">
        <v>70</v>
      </c>
      <c r="F10" s="106" t="s">
        <v>71</v>
      </c>
      <c r="G10" s="106" t="s">
        <v>72</v>
      </c>
      <c r="H10" s="106" t="s">
        <v>73</v>
      </c>
      <c r="I10" s="106" t="s">
        <v>31</v>
      </c>
      <c r="J10" s="106" t="s">
        <v>53</v>
      </c>
      <c r="K10" s="106" t="s">
        <v>74</v>
      </c>
      <c r="M10" s="95" t="s">
        <v>116</v>
      </c>
      <c r="N10" s="95">
        <v>20000.0</v>
      </c>
    </row>
    <row r="11" ht="15.75" customHeight="1">
      <c r="A11" s="195" t="s">
        <v>76</v>
      </c>
      <c r="B11" s="115">
        <v>1341015.5</v>
      </c>
      <c r="C11" s="115">
        <v>1197335.267857143</v>
      </c>
      <c r="D11" s="116">
        <v>388153.53841621237</v>
      </c>
      <c r="E11" s="115">
        <v>181905.75</v>
      </c>
      <c r="F11" s="116">
        <v>323280.52232142864</v>
      </c>
      <c r="G11" s="114">
        <v>35000.0</v>
      </c>
      <c r="H11" s="114">
        <v>35000.0</v>
      </c>
      <c r="I11" s="114"/>
      <c r="J11" s="117">
        <v>248840.84792968316</v>
      </c>
      <c r="K11" s="117">
        <v>-14845.39081018127</v>
      </c>
      <c r="M11" s="95" t="s">
        <v>117</v>
      </c>
      <c r="N11" s="95">
        <v>35000.0</v>
      </c>
    </row>
    <row r="12" ht="15.75" customHeight="1">
      <c r="A12" s="12"/>
      <c r="B12" s="120"/>
      <c r="C12" s="120"/>
      <c r="D12" s="121"/>
      <c r="E12" s="120"/>
      <c r="F12" s="121"/>
      <c r="G12" s="120"/>
      <c r="H12" s="120"/>
      <c r="I12" s="120"/>
      <c r="J12" s="13"/>
      <c r="K12" s="13"/>
      <c r="M12" s="95" t="s">
        <v>118</v>
      </c>
      <c r="N12" s="95">
        <v>150000.0</v>
      </c>
    </row>
    <row r="13" ht="15.75" customHeight="1">
      <c r="A13" s="122"/>
      <c r="B13" s="106" t="s">
        <v>67</v>
      </c>
      <c r="C13" s="106" t="s">
        <v>68</v>
      </c>
      <c r="D13" s="106" t="s">
        <v>69</v>
      </c>
      <c r="E13" s="106" t="s">
        <v>70</v>
      </c>
      <c r="F13" s="106" t="s">
        <v>71</v>
      </c>
      <c r="G13" s="106" t="s">
        <v>72</v>
      </c>
      <c r="H13" s="106" t="s">
        <v>73</v>
      </c>
      <c r="I13" s="106" t="s">
        <v>31</v>
      </c>
      <c r="J13" s="106" t="s">
        <v>53</v>
      </c>
      <c r="K13" s="106" t="s">
        <v>74</v>
      </c>
      <c r="M13" s="196" t="s">
        <v>119</v>
      </c>
      <c r="N13" s="197">
        <v>14657.380000000001</v>
      </c>
    </row>
    <row r="14" ht="15.75" customHeight="1">
      <c r="A14" s="198" t="s">
        <v>77</v>
      </c>
      <c r="B14" s="115">
        <v>757930.9</v>
      </c>
      <c r="C14" s="115">
        <v>676724.017857143</v>
      </c>
      <c r="D14" s="116">
        <v>213786.5459267902</v>
      </c>
      <c r="E14" s="115">
        <v>124231.25</v>
      </c>
      <c r="F14" s="116">
        <v>182715.4848214286</v>
      </c>
      <c r="G14" s="114">
        <v>35000.0</v>
      </c>
      <c r="H14" s="114">
        <v>35000.0</v>
      </c>
      <c r="I14" s="114"/>
      <c r="J14" s="117">
        <v>140642.79482832816</v>
      </c>
      <c r="K14" s="117">
        <v>-54652.05771940402</v>
      </c>
      <c r="M14" s="95" t="s">
        <v>120</v>
      </c>
      <c r="N14" s="95">
        <v>15000.0</v>
      </c>
    </row>
    <row r="15" ht="15.75" customHeight="1">
      <c r="A15" s="12"/>
      <c r="B15" s="120"/>
      <c r="C15" s="120"/>
      <c r="D15" s="121"/>
      <c r="E15" s="120"/>
      <c r="F15" s="121"/>
      <c r="G15" s="120"/>
      <c r="H15" s="120"/>
      <c r="I15" s="120"/>
      <c r="J15" s="13"/>
      <c r="K15" s="13"/>
      <c r="M15" s="95" t="s">
        <v>121</v>
      </c>
      <c r="N15" s="95">
        <v>50000.0</v>
      </c>
    </row>
    <row r="16" ht="15.75" customHeight="1">
      <c r="A16" s="122"/>
      <c r="B16" s="106" t="s">
        <v>67</v>
      </c>
      <c r="C16" s="106" t="s">
        <v>68</v>
      </c>
      <c r="D16" s="106" t="s">
        <v>69</v>
      </c>
      <c r="E16" s="106" t="s">
        <v>70</v>
      </c>
      <c r="F16" s="106" t="s">
        <v>71</v>
      </c>
      <c r="G16" s="106" t="s">
        <v>72</v>
      </c>
      <c r="H16" s="106" t="s">
        <v>73</v>
      </c>
      <c r="I16" s="106" t="s">
        <v>31</v>
      </c>
      <c r="J16" s="106" t="s">
        <v>53</v>
      </c>
      <c r="K16" s="106" t="s">
        <v>74</v>
      </c>
      <c r="M16" s="95" t="s">
        <v>122</v>
      </c>
      <c r="N16" s="197">
        <v>135183.27605275836</v>
      </c>
    </row>
    <row r="17" ht="15.75" customHeight="1">
      <c r="A17" s="199" t="s">
        <v>78</v>
      </c>
      <c r="B17" s="115">
        <v>784397.5</v>
      </c>
      <c r="C17" s="115">
        <v>700354.9107142857</v>
      </c>
      <c r="D17" s="116">
        <v>308627.4419057258</v>
      </c>
      <c r="E17" s="115">
        <v>150533.0</v>
      </c>
      <c r="F17" s="116">
        <v>189095.82589285716</v>
      </c>
      <c r="G17" s="114">
        <v>35000.0</v>
      </c>
      <c r="H17" s="114">
        <v>35000.0</v>
      </c>
      <c r="I17" s="114"/>
      <c r="J17" s="117">
        <v>145553.97682869708</v>
      </c>
      <c r="K17" s="117">
        <v>-163455.33391299436</v>
      </c>
      <c r="M17" s="95" t="s">
        <v>123</v>
      </c>
      <c r="N17" s="95">
        <v>8500.0</v>
      </c>
    </row>
    <row r="18" ht="15.75" customHeight="1">
      <c r="A18" s="12"/>
      <c r="B18" s="120"/>
      <c r="C18" s="120"/>
      <c r="D18" s="121"/>
      <c r="E18" s="120"/>
      <c r="F18" s="121"/>
      <c r="G18" s="120"/>
      <c r="H18" s="120"/>
      <c r="I18" s="120"/>
      <c r="J18" s="13"/>
      <c r="K18" s="13"/>
    </row>
    <row r="19" ht="15.75" customHeight="1">
      <c r="A19" s="122"/>
      <c r="B19" s="106" t="s">
        <v>67</v>
      </c>
      <c r="C19" s="106" t="s">
        <v>68</v>
      </c>
      <c r="D19" s="106" t="s">
        <v>69</v>
      </c>
      <c r="E19" s="106" t="s">
        <v>70</v>
      </c>
      <c r="F19" s="106" t="s">
        <v>71</v>
      </c>
      <c r="G19" s="106" t="s">
        <v>72</v>
      </c>
      <c r="H19" s="106" t="s">
        <v>73</v>
      </c>
      <c r="I19" s="106" t="s">
        <v>31</v>
      </c>
      <c r="J19" s="106" t="s">
        <v>53</v>
      </c>
      <c r="K19" s="106" t="s">
        <v>74</v>
      </c>
    </row>
    <row r="20" ht="15.75" customHeight="1">
      <c r="A20" s="199" t="str">
        <f>Dashboard!A20</f>
        <v>Bolevec</v>
      </c>
      <c r="B20" s="115">
        <v>784397.5</v>
      </c>
      <c r="C20" s="115">
        <v>700354.9107142857</v>
      </c>
      <c r="D20" s="116">
        <v>308627.4419057258</v>
      </c>
      <c r="E20" s="115">
        <v>150533.0</v>
      </c>
      <c r="F20" s="116">
        <v>189095.82589285716</v>
      </c>
      <c r="G20" s="114">
        <v>35000.0</v>
      </c>
      <c r="H20" s="114">
        <v>35000.0</v>
      </c>
      <c r="I20" s="114"/>
      <c r="J20" s="117">
        <v>145553.97682869708</v>
      </c>
      <c r="K20" s="117">
        <v>-163455.33391299436</v>
      </c>
    </row>
    <row r="21" ht="15.75" customHeight="1">
      <c r="A21" s="12"/>
      <c r="B21" s="120"/>
      <c r="C21" s="120"/>
      <c r="D21" s="121"/>
      <c r="E21" s="120"/>
      <c r="F21" s="121"/>
      <c r="G21" s="120"/>
      <c r="H21" s="120"/>
      <c r="I21" s="120"/>
      <c r="J21" s="13"/>
      <c r="K21" s="13"/>
      <c r="N21" s="95">
        <v>1065340.6560527585</v>
      </c>
    </row>
    <row r="22" ht="15.75" customHeight="1">
      <c r="A22" s="122"/>
      <c r="B22" s="106" t="s">
        <v>67</v>
      </c>
      <c r="C22" s="106" t="s">
        <v>68</v>
      </c>
      <c r="D22" s="106" t="s">
        <v>69</v>
      </c>
      <c r="E22" s="106" t="s">
        <v>70</v>
      </c>
      <c r="F22" s="106" t="s">
        <v>71</v>
      </c>
      <c r="G22" s="106" t="s">
        <v>72</v>
      </c>
      <c r="H22" s="106" t="s">
        <v>73</v>
      </c>
      <c r="I22" s="106" t="s">
        <v>31</v>
      </c>
      <c r="J22" s="106" t="s">
        <v>53</v>
      </c>
      <c r="K22" s="106" t="s">
        <v>74</v>
      </c>
    </row>
    <row r="23" ht="15.75" customHeight="1">
      <c r="A23" s="141" t="s">
        <v>80</v>
      </c>
      <c r="B23" s="200">
        <v>5741172.9</v>
      </c>
      <c r="C23" s="201">
        <v>5126047.232142856</v>
      </c>
      <c r="D23" s="201">
        <v>1622199.3126331004</v>
      </c>
      <c r="E23" s="201">
        <v>901709.25</v>
      </c>
      <c r="F23" s="201">
        <v>1384032.7526785717</v>
      </c>
      <c r="G23" s="202">
        <v>175000.0</v>
      </c>
      <c r="H23" s="202">
        <v>175000.0</v>
      </c>
      <c r="I23" s="202">
        <v>0.0</v>
      </c>
      <c r="J23" s="201">
        <v>1065340.6560527587</v>
      </c>
      <c r="K23" s="203">
        <v>-197234.7392215733</v>
      </c>
      <c r="N23" s="204">
        <v>0.20782888018911425</v>
      </c>
    </row>
    <row r="24" ht="15.75" customHeight="1">
      <c r="A24" s="12"/>
      <c r="B24" s="120"/>
      <c r="C24" s="121"/>
      <c r="D24" s="121"/>
      <c r="E24" s="121"/>
      <c r="F24" s="121"/>
      <c r="G24" s="121"/>
      <c r="H24" s="121"/>
      <c r="I24" s="121"/>
      <c r="J24" s="121"/>
      <c r="K24" s="13"/>
      <c r="M24" s="95" t="s">
        <v>108</v>
      </c>
      <c r="N24" s="95" t="s">
        <v>109</v>
      </c>
    </row>
    <row r="25" ht="15.75" customHeight="1">
      <c r="K25" s="204">
        <v>-0.03847696485994389</v>
      </c>
      <c r="M25" s="95" t="s">
        <v>110</v>
      </c>
      <c r="N25" s="95">
        <v>232000.0</v>
      </c>
    </row>
    <row r="26" ht="15.75" customHeight="1"/>
    <row r="27" ht="15.75" customHeight="1">
      <c r="A27" s="93"/>
      <c r="B27" s="93"/>
      <c r="C27" s="93"/>
      <c r="D27" s="93"/>
      <c r="E27" s="93"/>
      <c r="F27" s="93" t="s">
        <v>52</v>
      </c>
      <c r="G27" s="93"/>
      <c r="H27" s="93"/>
      <c r="I27" s="93"/>
      <c r="J27" s="97" t="s">
        <v>53</v>
      </c>
      <c r="K27" s="93"/>
    </row>
    <row r="28" ht="15.75" customHeight="1">
      <c r="A28" s="93"/>
      <c r="B28" s="93"/>
      <c r="C28" s="93"/>
      <c r="D28" s="93"/>
      <c r="E28" s="93"/>
      <c r="F28" s="98">
        <v>0.27</v>
      </c>
      <c r="G28" s="93"/>
      <c r="H28" s="93"/>
      <c r="I28" s="93"/>
      <c r="J28" s="99">
        <v>0.21775686045574214</v>
      </c>
      <c r="K28" s="93"/>
      <c r="M28" s="95" t="s">
        <v>111</v>
      </c>
      <c r="N28" s="95">
        <v>300000.0</v>
      </c>
    </row>
    <row r="29" ht="15.75" customHeight="1">
      <c r="A29" s="93"/>
      <c r="B29" s="93"/>
      <c r="C29" s="93"/>
      <c r="D29" s="93"/>
      <c r="E29" s="93"/>
      <c r="F29" s="93"/>
      <c r="G29" s="93"/>
      <c r="H29" s="93"/>
      <c r="I29" s="93"/>
      <c r="J29" s="100"/>
      <c r="K29" s="93"/>
      <c r="M29" s="95" t="s">
        <v>112</v>
      </c>
      <c r="N29" s="95">
        <v>20000.0</v>
      </c>
    </row>
    <row r="30" ht="15.75" customHeight="1">
      <c r="A30" s="101"/>
      <c r="B30" s="106" t="s">
        <v>67</v>
      </c>
      <c r="C30" s="106" t="s">
        <v>68</v>
      </c>
      <c r="D30" s="106" t="s">
        <v>69</v>
      </c>
      <c r="E30" s="107" t="s">
        <v>70</v>
      </c>
      <c r="F30" s="107" t="s">
        <v>71</v>
      </c>
      <c r="G30" s="106" t="s">
        <v>72</v>
      </c>
      <c r="H30" s="109" t="s">
        <v>73</v>
      </c>
      <c r="I30" s="193" t="s">
        <v>31</v>
      </c>
      <c r="J30" s="109" t="s">
        <v>53</v>
      </c>
      <c r="K30" s="110" t="s">
        <v>74</v>
      </c>
      <c r="M30" s="95" t="s">
        <v>113</v>
      </c>
      <c r="N30" s="95">
        <v>15000.0</v>
      </c>
    </row>
    <row r="31" ht="15.75" customHeight="1">
      <c r="A31" s="111" t="s">
        <v>75</v>
      </c>
      <c r="B31" s="117">
        <v>1233647.7</v>
      </c>
      <c r="C31" s="117">
        <v>1101471.1607142857</v>
      </c>
      <c r="D31" s="205">
        <v>355439.6126153548</v>
      </c>
      <c r="E31" s="115">
        <v>192595.5</v>
      </c>
      <c r="F31" s="205">
        <v>297397.2133928572</v>
      </c>
      <c r="G31" s="128">
        <v>35000.0</v>
      </c>
      <c r="H31" s="114">
        <v>35000.0</v>
      </c>
      <c r="I31" s="206"/>
      <c r="J31" s="117">
        <v>239852.90183968502</v>
      </c>
      <c r="K31" s="117">
        <v>-53814.06713361133</v>
      </c>
      <c r="M31" s="95" t="s">
        <v>114</v>
      </c>
      <c r="N31" s="95">
        <v>50000.0</v>
      </c>
    </row>
    <row r="32" ht="15.75" customHeight="1">
      <c r="A32" s="11"/>
      <c r="B32" s="13"/>
      <c r="C32" s="13"/>
      <c r="D32" s="26"/>
      <c r="E32" s="120"/>
      <c r="F32" s="26"/>
      <c r="G32" s="121"/>
      <c r="H32" s="120"/>
      <c r="I32" s="13"/>
      <c r="J32" s="13"/>
      <c r="K32" s="13"/>
      <c r="M32" s="95" t="s">
        <v>115</v>
      </c>
      <c r="N32" s="95">
        <v>20000.0</v>
      </c>
    </row>
    <row r="33" ht="15.75" customHeight="1">
      <c r="A33" s="122"/>
      <c r="B33" s="106" t="s">
        <v>67</v>
      </c>
      <c r="C33" s="106" t="s">
        <v>68</v>
      </c>
      <c r="D33" s="106" t="s">
        <v>69</v>
      </c>
      <c r="E33" s="106" t="s">
        <v>70</v>
      </c>
      <c r="F33" s="106" t="s">
        <v>71</v>
      </c>
      <c r="G33" s="106" t="s">
        <v>72</v>
      </c>
      <c r="H33" s="106" t="s">
        <v>73</v>
      </c>
      <c r="I33" s="106" t="s">
        <v>31</v>
      </c>
      <c r="J33" s="106" t="s">
        <v>53</v>
      </c>
      <c r="K33" s="106" t="s">
        <v>74</v>
      </c>
      <c r="M33" s="95" t="s">
        <v>116</v>
      </c>
      <c r="N33" s="95">
        <v>20000.0</v>
      </c>
    </row>
    <row r="34" ht="15.75" customHeight="1">
      <c r="A34" s="194" t="s">
        <v>0</v>
      </c>
      <c r="B34" s="115">
        <v>1606828.4</v>
      </c>
      <c r="C34" s="117">
        <v>1434668.214285714</v>
      </c>
      <c r="D34" s="205">
        <v>401099.33891724306</v>
      </c>
      <c r="E34" s="115">
        <v>256159.75</v>
      </c>
      <c r="F34" s="205">
        <v>387360.4178571428</v>
      </c>
      <c r="G34" s="128">
        <v>35000.0</v>
      </c>
      <c r="H34" s="114">
        <v>35000.0</v>
      </c>
      <c r="I34" s="206"/>
      <c r="J34" s="117">
        <v>312408.846138503</v>
      </c>
      <c r="K34" s="117">
        <v>7639.861372825224</v>
      </c>
      <c r="M34" s="95" t="s">
        <v>117</v>
      </c>
      <c r="N34" s="95">
        <v>35000.0</v>
      </c>
    </row>
    <row r="35" ht="15.75" customHeight="1">
      <c r="A35" s="12"/>
      <c r="B35" s="120"/>
      <c r="C35" s="13"/>
      <c r="D35" s="26"/>
      <c r="E35" s="120"/>
      <c r="F35" s="26"/>
      <c r="G35" s="121"/>
      <c r="H35" s="120"/>
      <c r="I35" s="13"/>
      <c r="J35" s="13"/>
      <c r="K35" s="13"/>
      <c r="M35" s="95" t="s">
        <v>118</v>
      </c>
      <c r="N35" s="95">
        <v>150000.0</v>
      </c>
    </row>
    <row r="36" ht="15.75" customHeight="1">
      <c r="A36" s="122"/>
      <c r="B36" s="106" t="s">
        <v>67</v>
      </c>
      <c r="C36" s="106" t="s">
        <v>68</v>
      </c>
      <c r="D36" s="106" t="s">
        <v>69</v>
      </c>
      <c r="E36" s="106" t="s">
        <v>70</v>
      </c>
      <c r="F36" s="106" t="s">
        <v>71</v>
      </c>
      <c r="G36" s="106" t="s">
        <v>72</v>
      </c>
      <c r="H36" s="106" t="s">
        <v>73</v>
      </c>
      <c r="I36" s="106" t="s">
        <v>31</v>
      </c>
      <c r="J36" s="106" t="s">
        <v>53</v>
      </c>
      <c r="K36" s="106" t="s">
        <v>74</v>
      </c>
      <c r="M36" s="196" t="s">
        <v>119</v>
      </c>
      <c r="N36" s="197">
        <v>13787.839</v>
      </c>
    </row>
    <row r="37" ht="15.75" customHeight="1">
      <c r="A37" s="195" t="s">
        <v>76</v>
      </c>
      <c r="B37" s="115">
        <v>1279770.5999999999</v>
      </c>
      <c r="C37" s="117">
        <v>1142652.3214285714</v>
      </c>
      <c r="D37" s="205">
        <v>360107.80015842104</v>
      </c>
      <c r="E37" s="115">
        <v>169564.75</v>
      </c>
      <c r="F37" s="205">
        <v>308516.1267857143</v>
      </c>
      <c r="G37" s="128">
        <v>35000.0</v>
      </c>
      <c r="H37" s="114">
        <v>35000.0</v>
      </c>
      <c r="I37" s="206"/>
      <c r="J37" s="117">
        <v>248820.38210675123</v>
      </c>
      <c r="K37" s="117">
        <v>-14356.73762231521</v>
      </c>
      <c r="M37" s="95" t="s">
        <v>120</v>
      </c>
      <c r="N37" s="95">
        <v>15000.0</v>
      </c>
    </row>
    <row r="38" ht="15.75" customHeight="1">
      <c r="A38" s="12"/>
      <c r="B38" s="120"/>
      <c r="C38" s="13"/>
      <c r="D38" s="26"/>
      <c r="E38" s="120"/>
      <c r="F38" s="26"/>
      <c r="G38" s="121"/>
      <c r="H38" s="120"/>
      <c r="I38" s="13"/>
      <c r="J38" s="13"/>
      <c r="K38" s="13"/>
      <c r="M38" s="95" t="s">
        <v>121</v>
      </c>
      <c r="N38" s="95">
        <v>50000.0</v>
      </c>
    </row>
    <row r="39" ht="15.75" customHeight="1">
      <c r="A39" s="122"/>
      <c r="B39" s="106" t="s">
        <v>67</v>
      </c>
      <c r="C39" s="106" t="s">
        <v>68</v>
      </c>
      <c r="D39" s="106" t="s">
        <v>69</v>
      </c>
      <c r="E39" s="106" t="s">
        <v>70</v>
      </c>
      <c r="F39" s="106" t="s">
        <v>71</v>
      </c>
      <c r="G39" s="106" t="s">
        <v>72</v>
      </c>
      <c r="H39" s="106" t="s">
        <v>73</v>
      </c>
      <c r="I39" s="106" t="s">
        <v>31</v>
      </c>
      <c r="J39" s="106" t="s">
        <v>53</v>
      </c>
      <c r="K39" s="106" t="s">
        <v>74</v>
      </c>
      <c r="M39" s="95" t="s">
        <v>122</v>
      </c>
      <c r="N39" s="197">
        <v>132241.95629633946</v>
      </c>
    </row>
    <row r="40" ht="15.75" customHeight="1">
      <c r="A40" s="198" t="s">
        <v>77</v>
      </c>
      <c r="B40" s="115">
        <v>714502.1</v>
      </c>
      <c r="C40" s="117">
        <v>637948.3035714285</v>
      </c>
      <c r="D40" s="205">
        <v>218497.43374615134</v>
      </c>
      <c r="E40" s="115">
        <v>122310.5</v>
      </c>
      <c r="F40" s="205">
        <v>172246.04196428572</v>
      </c>
      <c r="G40" s="128">
        <v>35000.0</v>
      </c>
      <c r="H40" s="114">
        <v>35000.0</v>
      </c>
      <c r="I40" s="206"/>
      <c r="J40" s="117">
        <v>138917.61971878097</v>
      </c>
      <c r="K40" s="117">
        <v>-84023.2918577895</v>
      </c>
      <c r="M40" s="95" t="s">
        <v>123</v>
      </c>
      <c r="N40" s="95">
        <v>8500.0</v>
      </c>
    </row>
    <row r="41" ht="15.75" customHeight="1">
      <c r="A41" s="12"/>
      <c r="B41" s="120"/>
      <c r="C41" s="13"/>
      <c r="D41" s="26"/>
      <c r="E41" s="120"/>
      <c r="F41" s="26"/>
      <c r="G41" s="121"/>
      <c r="H41" s="120"/>
      <c r="I41" s="13"/>
      <c r="J41" s="13"/>
      <c r="K41" s="13"/>
    </row>
    <row r="42" ht="15.75" customHeight="1">
      <c r="A42" s="122"/>
      <c r="B42" s="106" t="s">
        <v>67</v>
      </c>
      <c r="C42" s="106" t="s">
        <v>68</v>
      </c>
      <c r="D42" s="106" t="s">
        <v>69</v>
      </c>
      <c r="E42" s="106" t="s">
        <v>70</v>
      </c>
      <c r="F42" s="106" t="s">
        <v>71</v>
      </c>
      <c r="G42" s="106" t="s">
        <v>72</v>
      </c>
      <c r="H42" s="106" t="s">
        <v>73</v>
      </c>
      <c r="I42" s="106" t="s">
        <v>31</v>
      </c>
      <c r="J42" s="106" t="s">
        <v>53</v>
      </c>
      <c r="K42" s="106" t="s">
        <v>74</v>
      </c>
    </row>
    <row r="43" ht="15.75" customHeight="1">
      <c r="A43" s="199" t="s">
        <v>78</v>
      </c>
      <c r="B43" s="115">
        <v>625071.7</v>
      </c>
      <c r="C43" s="117">
        <v>558099.732142857</v>
      </c>
      <c r="D43" s="205">
        <v>251759.2901189032</v>
      </c>
      <c r="E43" s="115">
        <v>119782.0</v>
      </c>
      <c r="F43" s="205">
        <v>150686.9276785714</v>
      </c>
      <c r="G43" s="128">
        <v>35000.0</v>
      </c>
      <c r="H43" s="114">
        <v>35000.0</v>
      </c>
      <c r="I43" s="206"/>
      <c r="J43" s="117">
        <v>121530.04549261919</v>
      </c>
      <c r="K43" s="117">
        <v>-155658.53114723676</v>
      </c>
    </row>
    <row r="44" ht="15.75" customHeight="1">
      <c r="A44" s="12"/>
      <c r="B44" s="120"/>
      <c r="C44" s="13"/>
      <c r="D44" s="26"/>
      <c r="E44" s="120"/>
      <c r="F44" s="26"/>
      <c r="G44" s="121"/>
      <c r="H44" s="120"/>
      <c r="I44" s="13"/>
      <c r="J44" s="13"/>
      <c r="K44" s="13"/>
      <c r="N44" s="95">
        <v>1061529.7952963396</v>
      </c>
    </row>
    <row r="45" ht="15.75" customHeight="1">
      <c r="A45" s="122"/>
      <c r="B45" s="106" t="s">
        <v>67</v>
      </c>
      <c r="C45" s="106" t="s">
        <v>68</v>
      </c>
      <c r="D45" s="106" t="s">
        <v>69</v>
      </c>
      <c r="E45" s="106" t="s">
        <v>70</v>
      </c>
      <c r="F45" s="106" t="s">
        <v>71</v>
      </c>
      <c r="G45" s="106" t="s">
        <v>72</v>
      </c>
      <c r="H45" s="106" t="s">
        <v>73</v>
      </c>
      <c r="I45" s="106" t="s">
        <v>31</v>
      </c>
      <c r="J45" s="106" t="s">
        <v>53</v>
      </c>
      <c r="K45" s="106" t="s">
        <v>74</v>
      </c>
    </row>
    <row r="46" ht="15.75" customHeight="1">
      <c r="A46" s="141" t="s">
        <v>80</v>
      </c>
      <c r="B46" s="200">
        <v>5459820.499999999</v>
      </c>
      <c r="C46" s="207">
        <v>4874839.732142857</v>
      </c>
      <c r="D46" s="201">
        <v>1586903.4755560735</v>
      </c>
      <c r="E46" s="201">
        <v>860412.5</v>
      </c>
      <c r="F46" s="201">
        <v>1316206.7276785714</v>
      </c>
      <c r="G46" s="202">
        <v>175000.0</v>
      </c>
      <c r="H46" s="202">
        <v>175000.0</v>
      </c>
      <c r="I46" s="202">
        <v>0.0</v>
      </c>
      <c r="J46" s="201">
        <v>1061529.7952963393</v>
      </c>
      <c r="K46" s="203">
        <v>-300212.7663881276</v>
      </c>
      <c r="N46" s="204">
        <v>0.21775686045574214</v>
      </c>
    </row>
    <row r="47" ht="15.75" customHeight="1">
      <c r="A47" s="12"/>
      <c r="B47" s="120"/>
      <c r="C47" s="26"/>
      <c r="D47" s="121"/>
      <c r="E47" s="121"/>
      <c r="F47" s="121"/>
      <c r="G47" s="121"/>
      <c r="H47" s="121"/>
      <c r="I47" s="121"/>
      <c r="J47" s="121"/>
      <c r="K47" s="13"/>
    </row>
    <row r="48" ht="15.75" customHeight="1">
      <c r="K48" s="204">
        <v>-0.06158413053225887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8"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  <mergeCell ref="A20:A21"/>
    <mergeCell ref="B20:B21"/>
    <mergeCell ref="C20:C21"/>
    <mergeCell ref="D20:D21"/>
    <mergeCell ref="E20:E21"/>
    <mergeCell ref="F20:F21"/>
    <mergeCell ref="G20:G21"/>
    <mergeCell ref="A23:A24"/>
    <mergeCell ref="B23:B24"/>
    <mergeCell ref="C23:C24"/>
    <mergeCell ref="D23:D24"/>
    <mergeCell ref="E23:E24"/>
    <mergeCell ref="F23:F24"/>
    <mergeCell ref="G23:G24"/>
    <mergeCell ref="H31:H32"/>
    <mergeCell ref="I31:I32"/>
    <mergeCell ref="J31:J32"/>
    <mergeCell ref="K31:K32"/>
    <mergeCell ref="A31:A32"/>
    <mergeCell ref="B31:B32"/>
    <mergeCell ref="C31:C32"/>
    <mergeCell ref="D31:D32"/>
    <mergeCell ref="E31:E32"/>
    <mergeCell ref="F31:F32"/>
    <mergeCell ref="G31:G32"/>
    <mergeCell ref="H34:H35"/>
    <mergeCell ref="I34:I35"/>
    <mergeCell ref="J34:J35"/>
    <mergeCell ref="K34:K35"/>
    <mergeCell ref="A34:A35"/>
    <mergeCell ref="B34:B35"/>
    <mergeCell ref="C34:C35"/>
    <mergeCell ref="D34:D35"/>
    <mergeCell ref="E34:E35"/>
    <mergeCell ref="F34:F35"/>
    <mergeCell ref="G34:G35"/>
    <mergeCell ref="H37:H38"/>
    <mergeCell ref="I37:I38"/>
    <mergeCell ref="J37:J38"/>
    <mergeCell ref="K37:K38"/>
    <mergeCell ref="A37:A38"/>
    <mergeCell ref="B37:B38"/>
    <mergeCell ref="C37:C38"/>
    <mergeCell ref="D37:D38"/>
    <mergeCell ref="E37:E38"/>
    <mergeCell ref="F37:F38"/>
    <mergeCell ref="G37:G38"/>
    <mergeCell ref="H40:H41"/>
    <mergeCell ref="I40:I41"/>
    <mergeCell ref="J40:J41"/>
    <mergeCell ref="K40:K41"/>
    <mergeCell ref="A40:A41"/>
    <mergeCell ref="B40:B41"/>
    <mergeCell ref="C40:C41"/>
    <mergeCell ref="D40:D41"/>
    <mergeCell ref="E40:E41"/>
    <mergeCell ref="F40:F41"/>
    <mergeCell ref="G40:G41"/>
    <mergeCell ref="H43:H44"/>
    <mergeCell ref="I43:I44"/>
    <mergeCell ref="J43:J44"/>
    <mergeCell ref="K43:K44"/>
    <mergeCell ref="A43:A44"/>
    <mergeCell ref="B43:B44"/>
    <mergeCell ref="C43:C44"/>
    <mergeCell ref="D43:D44"/>
    <mergeCell ref="E43:E44"/>
    <mergeCell ref="F43:F44"/>
    <mergeCell ref="G43:G44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H23:H24"/>
    <mergeCell ref="I23:I24"/>
    <mergeCell ref="J23:J24"/>
    <mergeCell ref="K23:K24"/>
    <mergeCell ref="K25:K26"/>
    <mergeCell ref="M25:M27"/>
    <mergeCell ref="N25:N27"/>
    <mergeCell ref="H46:H47"/>
    <mergeCell ref="I46:I47"/>
    <mergeCell ref="J46:J47"/>
    <mergeCell ref="K46:K47"/>
    <mergeCell ref="A46:A47"/>
    <mergeCell ref="B46:B47"/>
    <mergeCell ref="C46:C47"/>
    <mergeCell ref="D46:D47"/>
    <mergeCell ref="E46:E47"/>
    <mergeCell ref="F46:F47"/>
    <mergeCell ref="G46:G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4.25"/>
    <col customWidth="1" min="6" max="6" width="12.63"/>
    <col customWidth="1" min="13" max="13" width="14.13"/>
  </cols>
  <sheetData>
    <row r="1" ht="15.75" customHeight="1">
      <c r="A1" s="93"/>
      <c r="B1" s="93"/>
      <c r="C1" s="93"/>
      <c r="D1" s="93"/>
      <c r="E1" s="107" t="s">
        <v>124</v>
      </c>
      <c r="F1" s="93" t="s">
        <v>52</v>
      </c>
      <c r="G1" s="93"/>
      <c r="H1" s="93"/>
      <c r="I1" s="93"/>
      <c r="J1" s="97" t="s">
        <v>53</v>
      </c>
      <c r="K1" s="93"/>
      <c r="M1" s="95" t="s">
        <v>108</v>
      </c>
      <c r="N1" s="95" t="s">
        <v>109</v>
      </c>
    </row>
    <row r="2" ht="15.75" customHeight="1">
      <c r="A2" s="93"/>
      <c r="B2" s="93"/>
      <c r="C2" s="93" t="s">
        <v>5</v>
      </c>
      <c r="D2" s="93" t="s">
        <v>6</v>
      </c>
      <c r="E2" s="208" t="s">
        <v>125</v>
      </c>
      <c r="F2" s="98">
        <v>0.25</v>
      </c>
      <c r="G2" s="93"/>
      <c r="H2" s="93"/>
      <c r="I2" s="93"/>
      <c r="J2" s="99">
        <f>N23</f>
        <v>5.579540169</v>
      </c>
      <c r="K2" s="93"/>
      <c r="M2" s="95" t="s">
        <v>110</v>
      </c>
      <c r="N2" s="95">
        <v>232000.0</v>
      </c>
    </row>
    <row r="3" ht="15.75" customHeight="1">
      <c r="A3" s="93"/>
      <c r="B3" s="93"/>
      <c r="C3" s="93">
        <v>26.0</v>
      </c>
      <c r="D3" s="93">
        <v>25.0</v>
      </c>
      <c r="E3" s="93">
        <v>30.0</v>
      </c>
      <c r="F3" s="93"/>
      <c r="G3" s="93"/>
      <c r="H3" s="93"/>
      <c r="I3" s="93"/>
      <c r="J3" s="100"/>
      <c r="K3" s="93"/>
    </row>
    <row r="4" ht="15.75" customHeight="1">
      <c r="A4" s="101"/>
      <c r="B4" s="106" t="s">
        <v>67</v>
      </c>
      <c r="C4" s="106" t="s">
        <v>68</v>
      </c>
      <c r="D4" s="106" t="s">
        <v>69</v>
      </c>
      <c r="E4" s="107" t="s">
        <v>70</v>
      </c>
      <c r="F4" s="107" t="s">
        <v>71</v>
      </c>
      <c r="G4" s="106" t="s">
        <v>72</v>
      </c>
      <c r="H4" s="109" t="s">
        <v>73</v>
      </c>
      <c r="I4" s="193" t="s">
        <v>31</v>
      </c>
      <c r="J4" s="109" t="s">
        <v>53</v>
      </c>
      <c r="K4" s="110" t="s">
        <v>74</v>
      </c>
    </row>
    <row r="5" ht="15.75" customHeight="1">
      <c r="A5" s="111" t="s">
        <v>75</v>
      </c>
      <c r="B5" s="115">
        <f>Dashboard!B5</f>
        <v>36317</v>
      </c>
      <c r="C5" s="115">
        <f>B5/112*100</f>
        <v>32425.89286</v>
      </c>
      <c r="D5" s="116">
        <f>Dashboard!C5*C5</f>
        <v>10330.10381</v>
      </c>
      <c r="E5" s="115">
        <f>(Dashboard!L5/100*$C$3+Dashboard!M5/100*$D$3+Dashboard!N5/100*$E$3)</f>
        <v>6704.29</v>
      </c>
      <c r="F5" s="116">
        <f>$F$2*C5</f>
        <v>8106.473214</v>
      </c>
      <c r="G5" s="114">
        <v>35000.0</v>
      </c>
      <c r="H5" s="114">
        <v>35000.0</v>
      </c>
      <c r="I5" s="114"/>
      <c r="J5" s="117">
        <f>$J$2*C5</f>
        <v>180921.5717</v>
      </c>
      <c r="K5" s="117">
        <f>C5-D5-E5-F5-G5-H5-I5-J5</f>
        <v>-243636.5459</v>
      </c>
      <c r="M5" s="95" t="s">
        <v>111</v>
      </c>
      <c r="N5" s="95">
        <v>300000.0</v>
      </c>
    </row>
    <row r="6" ht="15.75" customHeight="1">
      <c r="A6" s="11"/>
      <c r="B6" s="120"/>
      <c r="C6" s="120"/>
      <c r="D6" s="121"/>
      <c r="E6" s="120"/>
      <c r="F6" s="121"/>
      <c r="G6" s="120"/>
      <c r="H6" s="120"/>
      <c r="I6" s="120"/>
      <c r="J6" s="13"/>
      <c r="K6" s="13"/>
      <c r="M6" s="95" t="s">
        <v>112</v>
      </c>
      <c r="N6" s="95">
        <v>20000.0</v>
      </c>
    </row>
    <row r="7" ht="15.75" customHeight="1">
      <c r="A7" s="122"/>
      <c r="B7" s="106" t="str">
        <f t="shared" ref="B7:K7" si="1">B4</f>
        <v>Hrubý obrat</v>
      </c>
      <c r="C7" s="106" t="str">
        <f t="shared" si="1"/>
        <v>Tržba čistá</v>
      </c>
      <c r="D7" s="106" t="str">
        <f t="shared" si="1"/>
        <v>Náklad mzdy</v>
      </c>
      <c r="E7" s="106" t="str">
        <f t="shared" si="1"/>
        <v>Agregatory 25%</v>
      </c>
      <c r="F7" s="106" t="str">
        <f t="shared" si="1"/>
        <v>COS + chemie</v>
      </c>
      <c r="G7" s="106" t="str">
        <f t="shared" si="1"/>
        <v>Nájem + služby</v>
      </c>
      <c r="H7" s="106" t="str">
        <f t="shared" si="1"/>
        <v>Energie</v>
      </c>
      <c r="I7" s="106" t="str">
        <f t="shared" si="1"/>
        <v>Ostatní</v>
      </c>
      <c r="J7" s="106" t="str">
        <f t="shared" si="1"/>
        <v>odvod cent.</v>
      </c>
      <c r="K7" s="106" t="str">
        <f t="shared" si="1"/>
        <v>Zisk</v>
      </c>
      <c r="M7" s="95" t="s">
        <v>113</v>
      </c>
      <c r="N7" s="95">
        <v>15000.0</v>
      </c>
    </row>
    <row r="8" ht="15.75" customHeight="1">
      <c r="A8" s="194" t="s">
        <v>0</v>
      </c>
      <c r="B8" s="115">
        <f>Dashboard!B8</f>
        <v>54069.5</v>
      </c>
      <c r="C8" s="115">
        <f>B8/112*100</f>
        <v>48276.33929</v>
      </c>
      <c r="D8" s="116">
        <f>Dashboard!C8*C8</f>
        <v>12860.39439</v>
      </c>
      <c r="E8" s="115">
        <f>(Dashboard!L8/100*$C$3+Dashboard!M8/100*$D$3+Dashboard!N8/100*$E$3)</f>
        <v>9123.15</v>
      </c>
      <c r="F8" s="116">
        <f>$F$2*C8</f>
        <v>12069.08482</v>
      </c>
      <c r="G8" s="114">
        <v>35000.0</v>
      </c>
      <c r="H8" s="114">
        <v>35000.0</v>
      </c>
      <c r="I8" s="114"/>
      <c r="J8" s="117">
        <f>$J$2*C8</f>
        <v>269359.7742</v>
      </c>
      <c r="K8" s="117">
        <f>C8-D8-E8-F8-G8-H8-I8-J8</f>
        <v>-325136.0642</v>
      </c>
      <c r="M8" s="95" t="s">
        <v>114</v>
      </c>
      <c r="N8" s="95">
        <v>50000.0</v>
      </c>
    </row>
    <row r="9" ht="15.75" customHeight="1">
      <c r="A9" s="12"/>
      <c r="B9" s="120"/>
      <c r="C9" s="120"/>
      <c r="D9" s="121"/>
      <c r="E9" s="120"/>
      <c r="F9" s="121"/>
      <c r="G9" s="120"/>
      <c r="H9" s="120"/>
      <c r="I9" s="120"/>
      <c r="J9" s="13"/>
      <c r="K9" s="13"/>
      <c r="M9" s="95" t="s">
        <v>115</v>
      </c>
      <c r="N9" s="95">
        <v>20000.0</v>
      </c>
    </row>
    <row r="10" ht="15.75" customHeight="1">
      <c r="A10" s="122"/>
      <c r="B10" s="106" t="str">
        <f t="shared" ref="B10:K10" si="2">B7</f>
        <v>Hrubý obrat</v>
      </c>
      <c r="C10" s="106" t="str">
        <f t="shared" si="2"/>
        <v>Tržba čistá</v>
      </c>
      <c r="D10" s="106" t="str">
        <f t="shared" si="2"/>
        <v>Náklad mzdy</v>
      </c>
      <c r="E10" s="106" t="str">
        <f t="shared" si="2"/>
        <v>Agregatory 25%</v>
      </c>
      <c r="F10" s="106" t="str">
        <f t="shared" si="2"/>
        <v>COS + chemie</v>
      </c>
      <c r="G10" s="106" t="str">
        <f t="shared" si="2"/>
        <v>Nájem + služby</v>
      </c>
      <c r="H10" s="106" t="str">
        <f t="shared" si="2"/>
        <v>Energie</v>
      </c>
      <c r="I10" s="106" t="str">
        <f t="shared" si="2"/>
        <v>Ostatní</v>
      </c>
      <c r="J10" s="106" t="str">
        <f t="shared" si="2"/>
        <v>odvod cent.</v>
      </c>
      <c r="K10" s="106" t="str">
        <f t="shared" si="2"/>
        <v>Zisk</v>
      </c>
      <c r="M10" s="95" t="s">
        <v>116</v>
      </c>
      <c r="N10" s="95">
        <v>20000.0</v>
      </c>
    </row>
    <row r="11" ht="15.75" customHeight="1">
      <c r="A11" s="195" t="s">
        <v>76</v>
      </c>
      <c r="B11" s="115">
        <f>Dashboard!B11</f>
        <v>45313</v>
      </c>
      <c r="C11" s="115">
        <f>B11/112*100</f>
        <v>40458.03571</v>
      </c>
      <c r="D11" s="116">
        <f>Dashboard!C11*C11</f>
        <v>15527.31099</v>
      </c>
      <c r="E11" s="115">
        <f>(Dashboard!L11/100*$C$3+Dashboard!M11/100*$D$3+Dashboard!N11/100*$E$3)</f>
        <v>5789.56</v>
      </c>
      <c r="F11" s="116">
        <f>$F$2*C11</f>
        <v>10114.50893</v>
      </c>
      <c r="G11" s="114">
        <v>35000.0</v>
      </c>
      <c r="H11" s="114">
        <v>35000.0</v>
      </c>
      <c r="I11" s="114"/>
      <c r="J11" s="117">
        <f>$J$2*C11</f>
        <v>225737.2354</v>
      </c>
      <c r="K11" s="117">
        <f>C11-D11-E11-F11-G11-H11-I11-J11</f>
        <v>-286710.5796</v>
      </c>
      <c r="M11" s="95" t="s">
        <v>117</v>
      </c>
      <c r="N11" s="95">
        <v>35000.0</v>
      </c>
    </row>
    <row r="12" ht="15.75" customHeight="1">
      <c r="A12" s="12"/>
      <c r="B12" s="120"/>
      <c r="C12" s="120"/>
      <c r="D12" s="121"/>
      <c r="E12" s="120"/>
      <c r="F12" s="121"/>
      <c r="G12" s="120"/>
      <c r="H12" s="120"/>
      <c r="I12" s="120"/>
      <c r="J12" s="13"/>
      <c r="K12" s="13"/>
      <c r="M12" s="95" t="s">
        <v>118</v>
      </c>
      <c r="N12" s="95">
        <v>200000.0</v>
      </c>
    </row>
    <row r="13" ht="15.75" customHeight="1">
      <c r="A13" s="122"/>
      <c r="B13" s="106" t="str">
        <f t="shared" ref="B13:K13" si="3">B10</f>
        <v>Hrubý obrat</v>
      </c>
      <c r="C13" s="106" t="str">
        <f t="shared" si="3"/>
        <v>Tržba čistá</v>
      </c>
      <c r="D13" s="106" t="str">
        <f t="shared" si="3"/>
        <v>Náklad mzdy</v>
      </c>
      <c r="E13" s="106" t="str">
        <f t="shared" si="3"/>
        <v>Agregatory 25%</v>
      </c>
      <c r="F13" s="106" t="str">
        <f t="shared" si="3"/>
        <v>COS + chemie</v>
      </c>
      <c r="G13" s="106" t="str">
        <f t="shared" si="3"/>
        <v>Nájem + služby</v>
      </c>
      <c r="H13" s="106" t="str">
        <f t="shared" si="3"/>
        <v>Energie</v>
      </c>
      <c r="I13" s="106" t="str">
        <f t="shared" si="3"/>
        <v>Ostatní</v>
      </c>
      <c r="J13" s="106" t="str">
        <f t="shared" si="3"/>
        <v>odvod cent.</v>
      </c>
      <c r="K13" s="106" t="str">
        <f t="shared" si="3"/>
        <v>Zisk</v>
      </c>
      <c r="M13" s="196" t="s">
        <v>119</v>
      </c>
      <c r="N13" s="197">
        <f>1%*Dashboard!P23+6%*Dashboard!Q23+1%*Dashboard!O23</f>
        <v>661.02</v>
      </c>
    </row>
    <row r="14" ht="15.75" customHeight="1">
      <c r="A14" s="198" t="s">
        <v>77</v>
      </c>
      <c r="B14" s="115">
        <f>Dashboard!B14</f>
        <v>33988.5</v>
      </c>
      <c r="C14" s="115">
        <f>B14/112*100</f>
        <v>30346.875</v>
      </c>
      <c r="D14" s="116">
        <f>Dashboard!C14*C14</f>
        <v>11479.46858</v>
      </c>
      <c r="E14" s="115">
        <f>(Dashboard!L14/100*$C$3+Dashboard!M14/100*$D$3+Dashboard!N14/100*$E$3)</f>
        <v>4736.88</v>
      </c>
      <c r="F14" s="116">
        <f>$F$2*C14</f>
        <v>7586.71875</v>
      </c>
      <c r="G14" s="114">
        <v>35000.0</v>
      </c>
      <c r="H14" s="114">
        <v>35000.0</v>
      </c>
      <c r="I14" s="114"/>
      <c r="J14" s="117">
        <f>$J$2*C14</f>
        <v>169321.6081</v>
      </c>
      <c r="K14" s="117">
        <f>C14-D14-E14-F14-G14-H14-I14-J14</f>
        <v>-232777.8004</v>
      </c>
      <c r="M14" s="95" t="s">
        <v>120</v>
      </c>
      <c r="N14" s="95">
        <v>15000.0</v>
      </c>
    </row>
    <row r="15" ht="15.75" customHeight="1">
      <c r="A15" s="12"/>
      <c r="B15" s="120"/>
      <c r="C15" s="120"/>
      <c r="D15" s="121"/>
      <c r="E15" s="120"/>
      <c r="F15" s="121"/>
      <c r="G15" s="120"/>
      <c r="H15" s="120"/>
      <c r="I15" s="120"/>
      <c r="J15" s="13"/>
      <c r="K15" s="13"/>
      <c r="M15" s="95" t="s">
        <v>121</v>
      </c>
      <c r="N15" s="95">
        <v>50000.0</v>
      </c>
    </row>
    <row r="16" ht="15.75" customHeight="1">
      <c r="A16" s="122"/>
      <c r="B16" s="106" t="str">
        <f t="shared" ref="B16:K16" si="4">B13</f>
        <v>Hrubý obrat</v>
      </c>
      <c r="C16" s="106" t="str">
        <f t="shared" si="4"/>
        <v>Tržba čistá</v>
      </c>
      <c r="D16" s="106" t="str">
        <f t="shared" si="4"/>
        <v>Náklad mzdy</v>
      </c>
      <c r="E16" s="106" t="str">
        <f t="shared" si="4"/>
        <v>Agregatory 25%</v>
      </c>
      <c r="F16" s="106" t="str">
        <f t="shared" si="4"/>
        <v>COS + chemie</v>
      </c>
      <c r="G16" s="106" t="str">
        <f t="shared" si="4"/>
        <v>Nájem + služby</v>
      </c>
      <c r="H16" s="106" t="str">
        <f t="shared" si="4"/>
        <v>Energie</v>
      </c>
      <c r="I16" s="106" t="str">
        <f t="shared" si="4"/>
        <v>Ostatní</v>
      </c>
      <c r="J16" s="106" t="str">
        <f t="shared" si="4"/>
        <v>odvod cent.</v>
      </c>
      <c r="K16" s="106" t="str">
        <f t="shared" si="4"/>
        <v>Zisk</v>
      </c>
      <c r="M16" s="95" t="s">
        <v>122</v>
      </c>
      <c r="N16" s="197">
        <f>D20/12</f>
        <v>4756.515195</v>
      </c>
    </row>
    <row r="17" ht="15.75" customHeight="1">
      <c r="A17" s="199" t="s">
        <v>78</v>
      </c>
      <c r="B17" s="115">
        <f>Dashboard!B17</f>
        <v>27516</v>
      </c>
      <c r="C17" s="115">
        <f>B17/112*100</f>
        <v>24567.85714</v>
      </c>
      <c r="D17" s="116">
        <f>Dashboard!C17*C17</f>
        <v>6880.904581</v>
      </c>
      <c r="E17" s="115">
        <f>(Dashboard!L17/100*$C$3+Dashboard!M17/100*$D$3+Dashboard!N17/100*$E$3)</f>
        <v>5815.02</v>
      </c>
      <c r="F17" s="116">
        <f>$F$2*C17</f>
        <v>6141.964286</v>
      </c>
      <c r="G17" s="114">
        <v>35000.0</v>
      </c>
      <c r="H17" s="114">
        <v>35000.0</v>
      </c>
      <c r="I17" s="114"/>
      <c r="J17" s="117">
        <f>$J$2*C17</f>
        <v>137077.3458</v>
      </c>
      <c r="K17" s="117">
        <f>C17-D17-E17-F17-G17-H17-I17-J17</f>
        <v>-201347.3775</v>
      </c>
      <c r="M17" s="95" t="s">
        <v>126</v>
      </c>
      <c r="N17" s="95">
        <v>20000.0</v>
      </c>
    </row>
    <row r="18" ht="15.75" customHeight="1">
      <c r="A18" s="12"/>
      <c r="B18" s="120"/>
      <c r="C18" s="120"/>
      <c r="D18" s="121"/>
      <c r="E18" s="120"/>
      <c r="F18" s="121"/>
      <c r="G18" s="120"/>
      <c r="H18" s="120"/>
      <c r="I18" s="120"/>
      <c r="J18" s="13"/>
      <c r="K18" s="13"/>
      <c r="M18" s="95" t="s">
        <v>51</v>
      </c>
    </row>
    <row r="19" ht="15.75" customHeight="1">
      <c r="A19" s="122"/>
      <c r="B19" s="106" t="str">
        <f t="shared" ref="B19:K19" si="5">B16</f>
        <v>Hrubý obrat</v>
      </c>
      <c r="C19" s="106" t="str">
        <f t="shared" si="5"/>
        <v>Tržba čistá</v>
      </c>
      <c r="D19" s="106" t="str">
        <f t="shared" si="5"/>
        <v>Náklad mzdy</v>
      </c>
      <c r="E19" s="106" t="str">
        <f t="shared" si="5"/>
        <v>Agregatory 25%</v>
      </c>
      <c r="F19" s="106" t="str">
        <f t="shared" si="5"/>
        <v>COS + chemie</v>
      </c>
      <c r="G19" s="106" t="str">
        <f t="shared" si="5"/>
        <v>Nájem + služby</v>
      </c>
      <c r="H19" s="106" t="str">
        <f t="shared" si="5"/>
        <v>Energie</v>
      </c>
      <c r="I19" s="106" t="str">
        <f t="shared" si="5"/>
        <v>Ostatní</v>
      </c>
      <c r="J19" s="106" t="str">
        <f t="shared" si="5"/>
        <v>odvod cent.</v>
      </c>
      <c r="K19" s="106" t="str">
        <f t="shared" si="5"/>
        <v>Zisk</v>
      </c>
    </row>
    <row r="20" ht="15.75" customHeight="1">
      <c r="A20" s="141" t="s">
        <v>80</v>
      </c>
      <c r="B20" s="200">
        <f t="shared" ref="B20:K20" si="6">sum(B5+B8+B11+B14+B17)</f>
        <v>197204</v>
      </c>
      <c r="C20" s="201">
        <f t="shared" si="6"/>
        <v>176075</v>
      </c>
      <c r="D20" s="201">
        <f t="shared" si="6"/>
        <v>57078.18234</v>
      </c>
      <c r="E20" s="201">
        <f t="shared" si="6"/>
        <v>32168.9</v>
      </c>
      <c r="F20" s="201">
        <f t="shared" si="6"/>
        <v>44018.75</v>
      </c>
      <c r="G20" s="202">
        <f t="shared" si="6"/>
        <v>175000</v>
      </c>
      <c r="H20" s="202">
        <f t="shared" si="6"/>
        <v>175000</v>
      </c>
      <c r="I20" s="202">
        <f t="shared" si="6"/>
        <v>0</v>
      </c>
      <c r="J20" s="201">
        <f t="shared" si="6"/>
        <v>982417.5352</v>
      </c>
      <c r="K20" s="203">
        <f t="shared" si="6"/>
        <v>-1289608.368</v>
      </c>
    </row>
    <row r="21" ht="15.75" customHeight="1">
      <c r="A21" s="12"/>
      <c r="B21" s="120"/>
      <c r="C21" s="121"/>
      <c r="D21" s="121"/>
      <c r="E21" s="121"/>
      <c r="F21" s="121"/>
      <c r="G21" s="121"/>
      <c r="H21" s="121"/>
      <c r="I21" s="121"/>
      <c r="J21" s="121"/>
      <c r="K21" s="13"/>
      <c r="N21" s="95">
        <f>SUM(N2:N20)</f>
        <v>982417.5352</v>
      </c>
    </row>
    <row r="22" ht="15.75" customHeight="1">
      <c r="D22" s="204">
        <f>D20/C20</f>
        <v>0.3241697137</v>
      </c>
      <c r="E22" s="204">
        <f>E20/C20</f>
        <v>0.1826999858</v>
      </c>
      <c r="F22" s="204">
        <f>F20/C20</f>
        <v>0.25</v>
      </c>
      <c r="K22" s="204">
        <f>K20/C20</f>
        <v>-7.324199162</v>
      </c>
    </row>
    <row r="23" ht="15.75" customHeight="1">
      <c r="D23" s="209"/>
      <c r="N23" s="204">
        <f>N21/C27</f>
        <v>5.579540169</v>
      </c>
    </row>
    <row r="24" ht="15.75" customHeight="1"/>
    <row r="25" ht="15.75" customHeight="1"/>
    <row r="26" ht="15.75" customHeight="1">
      <c r="D26" s="204">
        <v>0.294</v>
      </c>
    </row>
    <row r="27" ht="15.75" customHeight="1">
      <c r="A27" s="141" t="s">
        <v>80</v>
      </c>
      <c r="B27" s="201">
        <f>B20+B29</f>
        <v>197204</v>
      </c>
      <c r="C27" s="210">
        <f>B27/112*100</f>
        <v>176075</v>
      </c>
      <c r="D27" s="207">
        <f>C27*D26</f>
        <v>51766.05</v>
      </c>
      <c r="E27" s="210">
        <f>C27*E22</f>
        <v>32168.9</v>
      </c>
      <c r="F27" s="207">
        <f>C27*F22</f>
        <v>44018.75</v>
      </c>
      <c r="G27" s="201">
        <f t="shared" ref="G27:I27" si="7">G20</f>
        <v>175000</v>
      </c>
      <c r="H27" s="201">
        <f t="shared" si="7"/>
        <v>175000</v>
      </c>
      <c r="I27" s="201">
        <f t="shared" si="7"/>
        <v>0</v>
      </c>
      <c r="J27" s="201">
        <v>1092099.4982969551</v>
      </c>
      <c r="K27" s="203">
        <f>C27-(D27+E27+F27+G27+H27+I27+J27)</f>
        <v>-1393978.198</v>
      </c>
    </row>
    <row r="28" ht="15.75" customHeight="1">
      <c r="A28" s="12"/>
      <c r="B28" s="121"/>
      <c r="C28" s="11"/>
      <c r="D28" s="26"/>
      <c r="E28" s="11"/>
      <c r="F28" s="26"/>
      <c r="G28" s="121"/>
      <c r="H28" s="121"/>
      <c r="I28" s="121"/>
      <c r="J28" s="121"/>
      <c r="K28" s="13"/>
    </row>
    <row r="29" ht="15.75" customHeight="1">
      <c r="B29" s="95">
        <v>0.0</v>
      </c>
      <c r="D29" s="204">
        <f>D27/C27</f>
        <v>0.294</v>
      </c>
      <c r="E29" s="204">
        <f>E27/C27</f>
        <v>0.1826999858</v>
      </c>
      <c r="F29" s="204">
        <f>F27/C27</f>
        <v>0.25</v>
      </c>
      <c r="J29" s="204">
        <f>J27/C27</f>
        <v>6.202467689</v>
      </c>
      <c r="K29" s="211">
        <f>K27/C27</f>
        <v>-7.916956969</v>
      </c>
    </row>
    <row r="30" ht="15.75" customHeight="1">
      <c r="K30" s="11"/>
    </row>
    <row r="31" ht="15.75" customHeight="1"/>
    <row r="32" ht="15.75" customHeight="1"/>
    <row r="33" ht="15.75" customHeight="1">
      <c r="D33" s="95">
        <v>100000.0</v>
      </c>
      <c r="E33" s="95">
        <v>5.0</v>
      </c>
    </row>
    <row r="34" ht="15.75" customHeight="1">
      <c r="E34" s="95">
        <v>30.0</v>
      </c>
    </row>
    <row r="35" ht="15.75" customHeight="1">
      <c r="E35" s="95">
        <f>D33/E33/E34</f>
        <v>666.6666667</v>
      </c>
    </row>
    <row r="36" ht="15.75" customHeight="1">
      <c r="E36" s="95">
        <v>7.0</v>
      </c>
    </row>
    <row r="37" ht="15.75" customHeight="1">
      <c r="E37" s="95">
        <f>E35*E36</f>
        <v>4666.666667</v>
      </c>
      <c r="F37" s="95">
        <v>200.0</v>
      </c>
      <c r="G37" s="95">
        <f>E37/F37</f>
        <v>23.33333333</v>
      </c>
      <c r="H37" s="95">
        <f>G37/E36</f>
        <v>3.333333333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J45" s="95">
        <f>1341+150+2356</f>
        <v>3847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1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K22:K23"/>
    <mergeCell ref="A20:A21"/>
    <mergeCell ref="B20:B21"/>
    <mergeCell ref="C20:C21"/>
    <mergeCell ref="D20:D21"/>
    <mergeCell ref="E20:E21"/>
    <mergeCell ref="F20:F21"/>
    <mergeCell ref="G20:G21"/>
    <mergeCell ref="H27:H28"/>
    <mergeCell ref="I27:I28"/>
    <mergeCell ref="J27:J28"/>
    <mergeCell ref="K27:K28"/>
    <mergeCell ref="K29:K30"/>
    <mergeCell ref="A27:A28"/>
    <mergeCell ref="B27:B28"/>
    <mergeCell ref="C27:C28"/>
    <mergeCell ref="D27:D28"/>
    <mergeCell ref="E27:E28"/>
    <mergeCell ref="F27:F28"/>
    <mergeCell ref="G27:G28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3" width="12.88"/>
    <col customWidth="1" min="4" max="4" width="12.63"/>
    <col customWidth="1" min="5" max="5" width="14.25"/>
    <col customWidth="1" min="6" max="6" width="12.63"/>
    <col customWidth="1" min="13" max="13" width="16.63"/>
  </cols>
  <sheetData>
    <row r="1" ht="15.75" customHeight="1">
      <c r="A1" s="93"/>
      <c r="B1" s="93"/>
      <c r="C1" s="93"/>
      <c r="D1" s="93"/>
      <c r="E1" s="93"/>
      <c r="F1" s="93" t="s">
        <v>52</v>
      </c>
      <c r="G1" s="93"/>
      <c r="H1" s="93"/>
      <c r="I1" s="93"/>
      <c r="J1" s="212" t="s">
        <v>53</v>
      </c>
      <c r="K1" s="93">
        <v>6.0</v>
      </c>
      <c r="M1" s="95" t="s">
        <v>108</v>
      </c>
      <c r="N1" s="95" t="s">
        <v>109</v>
      </c>
    </row>
    <row r="2" ht="15.75" customHeight="1">
      <c r="A2" s="93"/>
      <c r="B2" s="93"/>
      <c r="C2" s="93"/>
      <c r="D2" s="93"/>
      <c r="E2" s="93"/>
      <c r="F2" s="149">
        <v>0.232</v>
      </c>
      <c r="G2" s="93"/>
      <c r="H2" s="93"/>
      <c r="I2" s="93"/>
      <c r="J2" s="213">
        <f>N23</f>
        <v>7.883826959</v>
      </c>
      <c r="K2" s="214">
        <f>N22</f>
        <v>1478661.02</v>
      </c>
      <c r="M2" s="95" t="s">
        <v>110</v>
      </c>
      <c r="N2" s="95">
        <v>414000.0</v>
      </c>
    </row>
    <row r="3" ht="15.75" customHeight="1">
      <c r="A3" s="93"/>
      <c r="B3" s="93"/>
      <c r="C3" s="93"/>
      <c r="D3" s="93"/>
      <c r="E3" s="93"/>
      <c r="F3" s="93"/>
      <c r="G3" s="93"/>
      <c r="H3" s="93"/>
      <c r="I3" s="93"/>
      <c r="J3" s="215"/>
      <c r="K3" s="93"/>
    </row>
    <row r="4" ht="15.75" customHeight="1">
      <c r="A4" s="101"/>
      <c r="B4" s="106" t="s">
        <v>67</v>
      </c>
      <c r="C4" s="106" t="s">
        <v>68</v>
      </c>
      <c r="D4" s="106" t="s">
        <v>69</v>
      </c>
      <c r="E4" s="107" t="s">
        <v>70</v>
      </c>
      <c r="F4" s="107" t="s">
        <v>71</v>
      </c>
      <c r="G4" s="106" t="s">
        <v>72</v>
      </c>
      <c r="H4" s="109" t="s">
        <v>73</v>
      </c>
      <c r="I4" s="193" t="s">
        <v>31</v>
      </c>
      <c r="J4" s="216" t="s">
        <v>53</v>
      </c>
      <c r="K4" s="110" t="s">
        <v>74</v>
      </c>
    </row>
    <row r="5" ht="15.75" customHeight="1">
      <c r="A5" s="111" t="s">
        <v>75</v>
      </c>
      <c r="B5" s="115">
        <f>Dashboard!B5</f>
        <v>36317</v>
      </c>
      <c r="C5" s="115">
        <f>B5/112*100</f>
        <v>32425.89286</v>
      </c>
      <c r="D5" s="116">
        <f>Dashboard!C5*C5</f>
        <v>10330.10381</v>
      </c>
      <c r="E5" s="115">
        <f>(Dashboard!L5+Dashboard!M5+Dashboard!N5)/100*25</f>
        <v>6275.75</v>
      </c>
      <c r="F5" s="116">
        <f>$F$2*C5</f>
        <v>7522.807143</v>
      </c>
      <c r="G5" s="114">
        <v>26000.0</v>
      </c>
      <c r="H5" s="114">
        <v>35000.0</v>
      </c>
      <c r="I5" s="114">
        <v>3000.0</v>
      </c>
      <c r="J5" s="217">
        <f>C5*J$2</f>
        <v>255640.1283</v>
      </c>
      <c r="K5" s="218">
        <f>C5-D5-E5-F5-G5-H5-I5-J5</f>
        <v>-311342.8964</v>
      </c>
      <c r="M5" s="95" t="s">
        <v>111</v>
      </c>
      <c r="N5" s="95">
        <v>255000.0</v>
      </c>
    </row>
    <row r="6" ht="15.75" customHeight="1">
      <c r="A6" s="11"/>
      <c r="B6" s="120"/>
      <c r="C6" s="120"/>
      <c r="D6" s="121"/>
      <c r="E6" s="120"/>
      <c r="F6" s="121"/>
      <c r="G6" s="120"/>
      <c r="H6" s="120"/>
      <c r="I6" s="120"/>
      <c r="J6" s="13"/>
      <c r="K6" s="13"/>
      <c r="M6" s="95" t="s">
        <v>112</v>
      </c>
      <c r="N6" s="95">
        <v>21000.0</v>
      </c>
    </row>
    <row r="7" ht="15.75" customHeight="1">
      <c r="A7" s="122"/>
      <c r="B7" s="106" t="str">
        <f t="shared" ref="B7:K7" si="1">B4</f>
        <v>Hrubý obrat</v>
      </c>
      <c r="C7" s="106" t="str">
        <f t="shared" si="1"/>
        <v>Tržba čistá</v>
      </c>
      <c r="D7" s="106" t="str">
        <f t="shared" si="1"/>
        <v>Náklad mzdy</v>
      </c>
      <c r="E7" s="106" t="str">
        <f t="shared" si="1"/>
        <v>Agregatory 25%</v>
      </c>
      <c r="F7" s="106" t="str">
        <f t="shared" si="1"/>
        <v>COS + chemie</v>
      </c>
      <c r="G7" s="106" t="str">
        <f t="shared" si="1"/>
        <v>Nájem + služby</v>
      </c>
      <c r="H7" s="106" t="str">
        <f t="shared" si="1"/>
        <v>Energie</v>
      </c>
      <c r="I7" s="106" t="str">
        <f t="shared" si="1"/>
        <v>Ostatní</v>
      </c>
      <c r="J7" s="219" t="str">
        <f t="shared" si="1"/>
        <v>odvod cent.</v>
      </c>
      <c r="K7" s="106" t="str">
        <f t="shared" si="1"/>
        <v>Zisk</v>
      </c>
      <c r="M7" s="95" t="s">
        <v>127</v>
      </c>
      <c r="N7" s="95">
        <v>18000.0</v>
      </c>
    </row>
    <row r="8" ht="15.75" customHeight="1">
      <c r="A8" s="194" t="s">
        <v>0</v>
      </c>
      <c r="B8" s="115">
        <f>Dashboard!B8</f>
        <v>54069.5</v>
      </c>
      <c r="C8" s="115">
        <f>B8/112*100</f>
        <v>48276.33929</v>
      </c>
      <c r="D8" s="116">
        <f>Dashboard!C8*C8</f>
        <v>12860.39439</v>
      </c>
      <c r="E8" s="115">
        <f>(Dashboard!L8+Dashboard!M8+Dashboard!N8)/100*25</f>
        <v>8303.25</v>
      </c>
      <c r="F8" s="116">
        <f>$F$2*C8</f>
        <v>11200.11071</v>
      </c>
      <c r="G8" s="114">
        <v>28000.0</v>
      </c>
      <c r="H8" s="114">
        <v>35000.0</v>
      </c>
      <c r="I8" s="114">
        <v>2200.0</v>
      </c>
      <c r="J8" s="217">
        <f>C8*J$2</f>
        <v>380602.3051</v>
      </c>
      <c r="K8" s="218">
        <f>C8-D8-E8-F8-G8-H8-I8-J8</f>
        <v>-429889.7209</v>
      </c>
      <c r="M8" s="95" t="s">
        <v>114</v>
      </c>
      <c r="N8" s="95">
        <v>50000.0</v>
      </c>
    </row>
    <row r="9" ht="15.75" customHeight="1">
      <c r="A9" s="12"/>
      <c r="B9" s="120"/>
      <c r="C9" s="120"/>
      <c r="D9" s="121"/>
      <c r="E9" s="120"/>
      <c r="F9" s="121"/>
      <c r="G9" s="120"/>
      <c r="H9" s="120"/>
      <c r="I9" s="120"/>
      <c r="J9" s="13"/>
      <c r="K9" s="13"/>
      <c r="M9" s="95" t="s">
        <v>115</v>
      </c>
      <c r="N9" s="95">
        <v>20000.0</v>
      </c>
    </row>
    <row r="10" ht="15.75" customHeight="1">
      <c r="A10" s="122"/>
      <c r="B10" s="106" t="str">
        <f t="shared" ref="B10:K10" si="2">B7</f>
        <v>Hrubý obrat</v>
      </c>
      <c r="C10" s="106" t="str">
        <f t="shared" si="2"/>
        <v>Tržba čistá</v>
      </c>
      <c r="D10" s="106" t="str">
        <f t="shared" si="2"/>
        <v>Náklad mzdy</v>
      </c>
      <c r="E10" s="106" t="str">
        <f t="shared" si="2"/>
        <v>Agregatory 25%</v>
      </c>
      <c r="F10" s="106" t="str">
        <f t="shared" si="2"/>
        <v>COS + chemie</v>
      </c>
      <c r="G10" s="106" t="str">
        <f t="shared" si="2"/>
        <v>Nájem + služby</v>
      </c>
      <c r="H10" s="106" t="str">
        <f t="shared" si="2"/>
        <v>Energie</v>
      </c>
      <c r="I10" s="106" t="str">
        <f t="shared" si="2"/>
        <v>Ostatní</v>
      </c>
      <c r="J10" s="219" t="str">
        <f t="shared" si="2"/>
        <v>odvod cent.</v>
      </c>
      <c r="K10" s="106" t="str">
        <f t="shared" si="2"/>
        <v>Zisk</v>
      </c>
      <c r="M10" s="95" t="s">
        <v>116</v>
      </c>
      <c r="N10" s="95">
        <v>20000.0</v>
      </c>
    </row>
    <row r="11" ht="15.75" customHeight="1">
      <c r="A11" s="195" t="s">
        <v>76</v>
      </c>
      <c r="B11" s="115">
        <f>Dashboard!B11</f>
        <v>45313</v>
      </c>
      <c r="C11" s="115">
        <f>B11/112*100</f>
        <v>40458.03571</v>
      </c>
      <c r="D11" s="116">
        <f>Dashboard!C11*C11</f>
        <v>15527.31099</v>
      </c>
      <c r="E11" s="115">
        <f>(Dashboard!L11+Dashboard!M11+Dashboard!N11)/100*25</f>
        <v>5378.75</v>
      </c>
      <c r="F11" s="116">
        <f>$F$2*C11</f>
        <v>9386.264286</v>
      </c>
      <c r="G11" s="114">
        <v>31000.0</v>
      </c>
      <c r="H11" s="114">
        <v>35000.0</v>
      </c>
      <c r="I11" s="114">
        <v>2300.0</v>
      </c>
      <c r="J11" s="217">
        <f>C11*J$2</f>
        <v>318964.1527</v>
      </c>
      <c r="K11" s="218">
        <f>C11-D11-E11-F11-G11-H11-I11-J11</f>
        <v>-377098.4422</v>
      </c>
      <c r="M11" s="95" t="s">
        <v>117</v>
      </c>
      <c r="N11" s="95">
        <v>30000.0</v>
      </c>
    </row>
    <row r="12" ht="15.75" customHeight="1">
      <c r="A12" s="12"/>
      <c r="B12" s="120"/>
      <c r="C12" s="120"/>
      <c r="D12" s="121"/>
      <c r="E12" s="120"/>
      <c r="F12" s="121"/>
      <c r="G12" s="120"/>
      <c r="H12" s="120"/>
      <c r="I12" s="120"/>
      <c r="J12" s="13"/>
      <c r="K12" s="13"/>
      <c r="M12" s="95" t="s">
        <v>118</v>
      </c>
      <c r="N12" s="95">
        <v>250000.0</v>
      </c>
    </row>
    <row r="13" ht="15.75" customHeight="1">
      <c r="A13" s="122"/>
      <c r="B13" s="106" t="str">
        <f t="shared" ref="B13:K13" si="3">B10</f>
        <v>Hrubý obrat</v>
      </c>
      <c r="C13" s="106" t="str">
        <f t="shared" si="3"/>
        <v>Tržba čistá</v>
      </c>
      <c r="D13" s="106" t="str">
        <f t="shared" si="3"/>
        <v>Náklad mzdy</v>
      </c>
      <c r="E13" s="106" t="str">
        <f t="shared" si="3"/>
        <v>Agregatory 25%</v>
      </c>
      <c r="F13" s="106" t="str">
        <f t="shared" si="3"/>
        <v>COS + chemie</v>
      </c>
      <c r="G13" s="106" t="str">
        <f t="shared" si="3"/>
        <v>Nájem + služby</v>
      </c>
      <c r="H13" s="106" t="str">
        <f t="shared" si="3"/>
        <v>Energie</v>
      </c>
      <c r="I13" s="106" t="str">
        <f t="shared" si="3"/>
        <v>Ostatní</v>
      </c>
      <c r="J13" s="219" t="str">
        <f t="shared" si="3"/>
        <v>odvod cent.</v>
      </c>
      <c r="K13" s="106" t="str">
        <f t="shared" si="3"/>
        <v>Zisk</v>
      </c>
      <c r="M13" s="196" t="s">
        <v>119</v>
      </c>
      <c r="N13" s="197">
        <f>1%*Dashboard!P23+6%*Dashboard!Q23+1%*Dashboard!O23</f>
        <v>661.02</v>
      </c>
    </row>
    <row r="14" ht="15.75" customHeight="1">
      <c r="A14" s="198" t="s">
        <v>77</v>
      </c>
      <c r="B14" s="115">
        <f>Dashboard!B14</f>
        <v>33988.5</v>
      </c>
      <c r="C14" s="115">
        <f>B14/112*100</f>
        <v>30346.875</v>
      </c>
      <c r="D14" s="116">
        <f>Dashboard!C14*C14</f>
        <v>11479.46858</v>
      </c>
      <c r="E14" s="115">
        <f>(Dashboard!L14+Dashboard!M14+Dashboard!N14)/100*25</f>
        <v>4277.75</v>
      </c>
      <c r="F14" s="116">
        <f>$F$2*C14</f>
        <v>7040.475</v>
      </c>
      <c r="G14" s="114">
        <v>30000.0</v>
      </c>
      <c r="H14" s="114">
        <v>35000.0</v>
      </c>
      <c r="I14" s="114">
        <v>3000.0</v>
      </c>
      <c r="J14" s="217">
        <f>C14*J$2</f>
        <v>239249.5112</v>
      </c>
      <c r="K14" s="218">
        <f>C14-D14-E14-F14-G14-H14-I14-J14</f>
        <v>-299700.3298</v>
      </c>
      <c r="M14" s="95" t="s">
        <v>120</v>
      </c>
      <c r="N14" s="95">
        <v>18000.0</v>
      </c>
    </row>
    <row r="15" ht="15.75" customHeight="1">
      <c r="A15" s="12"/>
      <c r="B15" s="120"/>
      <c r="C15" s="120"/>
      <c r="D15" s="121"/>
      <c r="E15" s="120"/>
      <c r="F15" s="121"/>
      <c r="G15" s="120"/>
      <c r="H15" s="120"/>
      <c r="I15" s="120"/>
      <c r="J15" s="13"/>
      <c r="K15" s="13"/>
      <c r="M15" s="95" t="s">
        <v>121</v>
      </c>
      <c r="N15" s="95">
        <v>134000.0</v>
      </c>
    </row>
    <row r="16" ht="15.75" customHeight="1">
      <c r="A16" s="122"/>
      <c r="B16" s="106" t="str">
        <f t="shared" ref="B16:K16" si="4">B13</f>
        <v>Hrubý obrat</v>
      </c>
      <c r="C16" s="106" t="str">
        <f t="shared" si="4"/>
        <v>Tržba čistá</v>
      </c>
      <c r="D16" s="106" t="str">
        <f t="shared" si="4"/>
        <v>Náklad mzdy</v>
      </c>
      <c r="E16" s="106" t="str">
        <f t="shared" si="4"/>
        <v>Agregatory 25%</v>
      </c>
      <c r="F16" s="106" t="str">
        <f t="shared" si="4"/>
        <v>COS + chemie</v>
      </c>
      <c r="G16" s="106" t="str">
        <f t="shared" si="4"/>
        <v>Nájem + služby</v>
      </c>
      <c r="H16" s="106" t="str">
        <f t="shared" si="4"/>
        <v>Energie</v>
      </c>
      <c r="I16" s="106" t="str">
        <f t="shared" si="4"/>
        <v>Ostatní</v>
      </c>
      <c r="J16" s="219" t="str">
        <f t="shared" si="4"/>
        <v>odvod cent.</v>
      </c>
      <c r="K16" s="106" t="str">
        <f t="shared" si="4"/>
        <v>Zisk</v>
      </c>
      <c r="M16" s="95" t="s">
        <v>122</v>
      </c>
      <c r="N16" s="95">
        <v>170000.0</v>
      </c>
    </row>
    <row r="17" ht="15.75" customHeight="1">
      <c r="A17" s="199" t="s">
        <v>78</v>
      </c>
      <c r="B17" s="115">
        <f>Dashboard!B17</f>
        <v>27516</v>
      </c>
      <c r="C17" s="115">
        <f>B17/112*100</f>
        <v>24567.85714</v>
      </c>
      <c r="D17" s="116">
        <f>Dashboard!C17*C17</f>
        <v>6880.904581</v>
      </c>
      <c r="E17" s="115">
        <f>(Dashboard!L17+Dashboard!M17+Dashboard!N17)/100*25</f>
        <v>5429</v>
      </c>
      <c r="F17" s="116">
        <f>$F$2*C17</f>
        <v>5699.742857</v>
      </c>
      <c r="G17" s="114">
        <v>54000.0</v>
      </c>
      <c r="H17" s="114">
        <v>35000.0</v>
      </c>
      <c r="I17" s="114">
        <v>2300.0</v>
      </c>
      <c r="J17" s="217">
        <f>C17*J$2</f>
        <v>193688.7345</v>
      </c>
      <c r="K17" s="117">
        <f>C17-D17-E17-F17-G17-H17-I17-J17</f>
        <v>-278430.5248</v>
      </c>
      <c r="M17" s="95" t="s">
        <v>123</v>
      </c>
      <c r="N17" s="95">
        <v>10000.0</v>
      </c>
    </row>
    <row r="18" ht="15.75" customHeight="1">
      <c r="A18" s="12"/>
      <c r="B18" s="120"/>
      <c r="C18" s="120"/>
      <c r="D18" s="121"/>
      <c r="E18" s="120"/>
      <c r="F18" s="121"/>
      <c r="G18" s="120"/>
      <c r="H18" s="120"/>
      <c r="I18" s="120"/>
      <c r="J18" s="13"/>
      <c r="K18" s="13"/>
      <c r="M18" s="95" t="s">
        <v>128</v>
      </c>
      <c r="N18" s="95">
        <v>18000.0</v>
      </c>
    </row>
    <row r="19" ht="15.75" customHeight="1">
      <c r="A19" s="122"/>
      <c r="B19" s="106" t="str">
        <f t="shared" ref="B19:K19" si="5">B16</f>
        <v>Hrubý obrat</v>
      </c>
      <c r="C19" s="106" t="str">
        <f t="shared" si="5"/>
        <v>Tržba čistá</v>
      </c>
      <c r="D19" s="106" t="str">
        <f t="shared" si="5"/>
        <v>Náklad mzdy</v>
      </c>
      <c r="E19" s="106" t="str">
        <f t="shared" si="5"/>
        <v>Agregatory 25%</v>
      </c>
      <c r="F19" s="106" t="str">
        <f t="shared" si="5"/>
        <v>COS + chemie</v>
      </c>
      <c r="G19" s="106" t="str">
        <f t="shared" si="5"/>
        <v>Nájem + služby</v>
      </c>
      <c r="H19" s="106" t="str">
        <f t="shared" si="5"/>
        <v>Energie</v>
      </c>
      <c r="I19" s="106" t="str">
        <f t="shared" si="5"/>
        <v>Ostatní</v>
      </c>
      <c r="J19" s="219" t="str">
        <f t="shared" si="5"/>
        <v>odvod cent.</v>
      </c>
      <c r="K19" s="106" t="str">
        <f t="shared" si="5"/>
        <v>Zisk</v>
      </c>
      <c r="M19" s="95" t="s">
        <v>129</v>
      </c>
      <c r="N19" s="95">
        <v>30000.0</v>
      </c>
    </row>
    <row r="20" ht="15.75" customHeight="1">
      <c r="A20" s="220" t="str">
        <f>Dashboard!A20</f>
        <v>Bolevec</v>
      </c>
      <c r="B20" s="115">
        <f>Dashboard!B20</f>
        <v>12859</v>
      </c>
      <c r="C20" s="115">
        <f>B20/112*100</f>
        <v>11481.25</v>
      </c>
      <c r="D20" s="116">
        <f>Dashboard!C20*C20</f>
        <v>9280.887581</v>
      </c>
      <c r="E20" s="115">
        <f>(Dashboard!L20+Dashboard!M20+Dashboard!N20)/100*17</f>
        <v>911.2</v>
      </c>
      <c r="F20" s="116">
        <f>$F$2*C20</f>
        <v>2663.65</v>
      </c>
      <c r="G20" s="114">
        <v>35000.0</v>
      </c>
      <c r="H20" s="114">
        <v>35000.0</v>
      </c>
      <c r="I20" s="114">
        <v>3500.0</v>
      </c>
      <c r="J20" s="217">
        <f>C20*J$2</f>
        <v>90516.18827</v>
      </c>
      <c r="K20" s="117">
        <f>C20-D20-E20-F20-G20-H20-I20-J20</f>
        <v>-165390.6758</v>
      </c>
    </row>
    <row r="21" ht="15.75" customHeight="1">
      <c r="A21" s="12"/>
      <c r="B21" s="120"/>
      <c r="C21" s="120"/>
      <c r="D21" s="121"/>
      <c r="E21" s="120"/>
      <c r="F21" s="121"/>
      <c r="G21" s="120"/>
      <c r="H21" s="120"/>
      <c r="I21" s="120"/>
      <c r="J21" s="13"/>
      <c r="K21" s="13"/>
      <c r="M21" s="95" t="s">
        <v>130</v>
      </c>
      <c r="N21" s="95">
        <v>20000.0</v>
      </c>
    </row>
    <row r="22" ht="15.75" customHeight="1">
      <c r="A22" s="122"/>
      <c r="B22" s="106" t="str">
        <f t="shared" ref="B22:K22" si="6">B16</f>
        <v>Hrubý obrat</v>
      </c>
      <c r="C22" s="106" t="str">
        <f t="shared" si="6"/>
        <v>Tržba čistá</v>
      </c>
      <c r="D22" s="106" t="str">
        <f t="shared" si="6"/>
        <v>Náklad mzdy</v>
      </c>
      <c r="E22" s="106" t="str">
        <f t="shared" si="6"/>
        <v>Agregatory 25%</v>
      </c>
      <c r="F22" s="106" t="str">
        <f t="shared" si="6"/>
        <v>COS + chemie</v>
      </c>
      <c r="G22" s="106" t="str">
        <f t="shared" si="6"/>
        <v>Nájem + služby</v>
      </c>
      <c r="H22" s="106" t="str">
        <f t="shared" si="6"/>
        <v>Energie</v>
      </c>
      <c r="I22" s="106" t="str">
        <f t="shared" si="6"/>
        <v>Ostatní</v>
      </c>
      <c r="J22" s="219" t="str">
        <f t="shared" si="6"/>
        <v>odvod cent.</v>
      </c>
      <c r="K22" s="106" t="str">
        <f t="shared" si="6"/>
        <v>Zisk</v>
      </c>
      <c r="N22" s="95">
        <f>SUM(N2:N21)</f>
        <v>1478661.02</v>
      </c>
    </row>
    <row r="23" ht="15.75" customHeight="1">
      <c r="A23" s="141" t="s">
        <v>80</v>
      </c>
      <c r="B23" s="201">
        <f t="shared" ref="B23:K23" si="7">sum(B5+B8+B11+B14+B17+B20)</f>
        <v>210063</v>
      </c>
      <c r="C23" s="201">
        <f t="shared" si="7"/>
        <v>187556.25</v>
      </c>
      <c r="D23" s="201">
        <f t="shared" si="7"/>
        <v>66359.06992</v>
      </c>
      <c r="E23" s="201">
        <f t="shared" si="7"/>
        <v>30575.7</v>
      </c>
      <c r="F23" s="201">
        <f t="shared" si="7"/>
        <v>43513.05</v>
      </c>
      <c r="G23" s="202">
        <f t="shared" si="7"/>
        <v>204000</v>
      </c>
      <c r="H23" s="202">
        <f t="shared" si="7"/>
        <v>210000</v>
      </c>
      <c r="I23" s="202">
        <f t="shared" si="7"/>
        <v>16300</v>
      </c>
      <c r="J23" s="221">
        <f t="shared" si="7"/>
        <v>1478661.02</v>
      </c>
      <c r="K23" s="203">
        <f t="shared" si="7"/>
        <v>-1861852.59</v>
      </c>
      <c r="N23" s="204">
        <f>N22/C23</f>
        <v>7.883826959</v>
      </c>
    </row>
    <row r="24" ht="15.75" customHeight="1">
      <c r="A24" s="12"/>
      <c r="B24" s="121"/>
      <c r="C24" s="121"/>
      <c r="D24" s="121"/>
      <c r="E24" s="121"/>
      <c r="F24" s="121"/>
      <c r="G24" s="121"/>
      <c r="H24" s="121"/>
      <c r="I24" s="121"/>
      <c r="J24" s="121"/>
      <c r="K24" s="13"/>
    </row>
    <row r="25" ht="15.75" customHeight="1">
      <c r="J25" s="222"/>
      <c r="K25" s="204">
        <f>K23/C23</f>
        <v>-9.926902409</v>
      </c>
    </row>
    <row r="26" ht="15.75" customHeight="1">
      <c r="J26" s="222"/>
    </row>
    <row r="27" ht="15.75" customHeight="1">
      <c r="J27" s="222"/>
    </row>
    <row r="28" ht="15.75" customHeight="1">
      <c r="J28" s="222"/>
    </row>
    <row r="29" ht="15.75" customHeight="1">
      <c r="J29" s="222"/>
    </row>
    <row r="30" ht="15.75" customHeight="1">
      <c r="J30" s="222"/>
    </row>
    <row r="31" ht="15.75" customHeight="1">
      <c r="J31" s="222"/>
    </row>
    <row r="32" ht="15.75" customHeight="1">
      <c r="J32" s="222"/>
    </row>
    <row r="33" ht="15.75" customHeight="1">
      <c r="J33" s="222"/>
    </row>
    <row r="34" ht="15.75" customHeight="1">
      <c r="J34" s="222"/>
    </row>
    <row r="35" ht="15.75" customHeight="1">
      <c r="J35" s="222"/>
    </row>
    <row r="36" ht="15.75" customHeight="1">
      <c r="J36" s="222"/>
    </row>
    <row r="37" ht="15.75" customHeight="1">
      <c r="J37" s="222"/>
    </row>
    <row r="38" ht="15.75" customHeight="1">
      <c r="J38" s="222"/>
    </row>
    <row r="39" ht="15.75" customHeight="1">
      <c r="J39" s="222"/>
    </row>
    <row r="40" ht="15.75" customHeight="1">
      <c r="J40" s="222"/>
    </row>
    <row r="41" ht="15.75" customHeight="1">
      <c r="J41" s="222"/>
    </row>
    <row r="42" ht="15.75" customHeight="1">
      <c r="J42" s="222"/>
    </row>
    <row r="43" ht="15.75" customHeight="1">
      <c r="J43" s="222"/>
    </row>
    <row r="44" ht="15.75" customHeight="1">
      <c r="J44" s="222"/>
    </row>
    <row r="45" ht="15.75" customHeight="1">
      <c r="J45" s="222"/>
    </row>
    <row r="46" ht="15.75" customHeight="1">
      <c r="J46" s="222"/>
    </row>
    <row r="47" ht="15.75" customHeight="1">
      <c r="J47" s="222"/>
    </row>
    <row r="48" ht="15.75" customHeight="1">
      <c r="J48" s="222"/>
    </row>
    <row r="49" ht="15.75" customHeight="1">
      <c r="J49" s="222"/>
    </row>
    <row r="50" ht="15.75" customHeight="1">
      <c r="J50" s="222"/>
    </row>
    <row r="51" ht="15.75" customHeight="1">
      <c r="J51" s="222"/>
    </row>
    <row r="52" ht="15.75" customHeight="1">
      <c r="J52" s="222"/>
    </row>
    <row r="53" ht="15.75" customHeight="1">
      <c r="J53" s="222"/>
    </row>
    <row r="54" ht="15.75" customHeight="1">
      <c r="J54" s="222"/>
    </row>
    <row r="55" ht="15.75" customHeight="1">
      <c r="J55" s="222"/>
    </row>
    <row r="56" ht="15.75" customHeight="1">
      <c r="J56" s="222"/>
    </row>
    <row r="57" ht="15.75" customHeight="1">
      <c r="J57" s="222"/>
    </row>
    <row r="58" ht="15.75" customHeight="1">
      <c r="J58" s="222"/>
    </row>
    <row r="59" ht="15.75" customHeight="1">
      <c r="G59" s="95">
        <v>59605.0</v>
      </c>
      <c r="J59" s="222"/>
    </row>
    <row r="60" ht="15.75" customHeight="1">
      <c r="J60" s="222"/>
    </row>
    <row r="61" ht="15.75" customHeight="1">
      <c r="J61" s="222"/>
    </row>
    <row r="62" ht="15.75" customHeight="1">
      <c r="J62" s="222"/>
    </row>
    <row r="63" ht="15.75" customHeight="1">
      <c r="J63" s="222"/>
    </row>
    <row r="64" ht="15.75" customHeight="1">
      <c r="J64" s="222"/>
    </row>
    <row r="65" ht="15.75" customHeight="1">
      <c r="J65" s="222"/>
    </row>
    <row r="66" ht="15.75" customHeight="1">
      <c r="J66" s="222"/>
    </row>
    <row r="67" ht="15.75" customHeight="1">
      <c r="J67" s="222"/>
    </row>
    <row r="68" ht="15.75" customHeight="1">
      <c r="J68" s="222"/>
    </row>
    <row r="69" ht="15.75" customHeight="1">
      <c r="J69" s="222"/>
    </row>
    <row r="70" ht="15.75" customHeight="1">
      <c r="J70" s="222"/>
    </row>
    <row r="71" ht="15.75" customHeight="1">
      <c r="J71" s="222"/>
    </row>
    <row r="72" ht="15.75" customHeight="1">
      <c r="J72" s="222"/>
    </row>
    <row r="73" ht="15.75" customHeight="1">
      <c r="J73" s="222"/>
    </row>
    <row r="74" ht="15.75" customHeight="1">
      <c r="J74" s="222"/>
    </row>
    <row r="75" ht="15.75" customHeight="1">
      <c r="J75" s="222"/>
    </row>
    <row r="76" ht="15.75" customHeight="1">
      <c r="J76" s="222"/>
    </row>
    <row r="77" ht="15.75" customHeight="1">
      <c r="J77" s="222"/>
    </row>
    <row r="78" ht="15.75" customHeight="1">
      <c r="J78" s="222"/>
    </row>
    <row r="79" ht="15.75" customHeight="1">
      <c r="J79" s="222"/>
    </row>
    <row r="80" ht="15.75" customHeight="1">
      <c r="J80" s="222"/>
    </row>
    <row r="81" ht="15.75" customHeight="1">
      <c r="J81" s="222"/>
    </row>
    <row r="82" ht="15.75" customHeight="1">
      <c r="J82" s="222"/>
    </row>
    <row r="83" ht="15.75" customHeight="1">
      <c r="J83" s="222"/>
    </row>
    <row r="84" ht="15.75" customHeight="1">
      <c r="J84" s="222"/>
    </row>
    <row r="85" ht="15.75" customHeight="1">
      <c r="J85" s="222"/>
    </row>
    <row r="86" ht="15.75" customHeight="1">
      <c r="J86" s="222"/>
    </row>
    <row r="87" ht="15.75" customHeight="1">
      <c r="J87" s="222"/>
    </row>
    <row r="88" ht="15.75" customHeight="1">
      <c r="J88" s="222"/>
    </row>
    <row r="89" ht="15.75" customHeight="1">
      <c r="J89" s="222"/>
    </row>
    <row r="90" ht="15.75" customHeight="1">
      <c r="J90" s="222"/>
    </row>
    <row r="91" ht="15.75" customHeight="1">
      <c r="J91" s="222"/>
    </row>
    <row r="92" ht="15.75" customHeight="1">
      <c r="J92" s="222"/>
    </row>
    <row r="93" ht="15.75" customHeight="1">
      <c r="J93" s="222"/>
    </row>
    <row r="94" ht="15.75" customHeight="1">
      <c r="J94" s="222"/>
    </row>
    <row r="95" ht="15.75" customHeight="1">
      <c r="J95" s="222"/>
    </row>
    <row r="96" ht="15.75" customHeight="1">
      <c r="J96" s="222"/>
    </row>
    <row r="97" ht="15.75" customHeight="1">
      <c r="J97" s="222"/>
    </row>
    <row r="98" ht="15.75" customHeight="1">
      <c r="J98" s="222"/>
    </row>
    <row r="99" ht="15.75" customHeight="1">
      <c r="J99" s="222"/>
    </row>
    <row r="100" ht="15.75" customHeight="1">
      <c r="J100" s="222"/>
    </row>
    <row r="101" ht="15.75" customHeight="1">
      <c r="J101" s="222"/>
    </row>
    <row r="102" ht="15.75" customHeight="1">
      <c r="J102" s="222"/>
    </row>
    <row r="103" ht="15.75" customHeight="1">
      <c r="J103" s="222"/>
    </row>
    <row r="104" ht="15.75" customHeight="1">
      <c r="J104" s="222"/>
    </row>
    <row r="105" ht="15.75" customHeight="1">
      <c r="J105" s="222"/>
    </row>
    <row r="106" ht="15.75" customHeight="1">
      <c r="J106" s="222"/>
    </row>
    <row r="107" ht="15.75" customHeight="1">
      <c r="J107" s="222"/>
    </row>
    <row r="108" ht="15.75" customHeight="1">
      <c r="J108" s="222"/>
    </row>
    <row r="109" ht="15.75" customHeight="1">
      <c r="J109" s="222"/>
    </row>
    <row r="110" ht="15.75" customHeight="1">
      <c r="J110" s="222"/>
    </row>
    <row r="111" ht="15.75" customHeight="1">
      <c r="J111" s="222"/>
    </row>
    <row r="112" ht="15.75" customHeight="1">
      <c r="J112" s="222"/>
    </row>
    <row r="113" ht="15.75" customHeight="1">
      <c r="J113" s="222"/>
    </row>
    <row r="114" ht="15.75" customHeight="1">
      <c r="J114" s="222"/>
    </row>
    <row r="115" ht="15.75" customHeight="1">
      <c r="J115" s="222"/>
    </row>
    <row r="116" ht="15.75" customHeight="1">
      <c r="J116" s="222"/>
    </row>
    <row r="117" ht="15.75" customHeight="1">
      <c r="J117" s="222"/>
    </row>
    <row r="118" ht="15.75" customHeight="1">
      <c r="J118" s="222"/>
    </row>
    <row r="119" ht="15.75" customHeight="1">
      <c r="J119" s="222"/>
    </row>
    <row r="120" ht="15.75" customHeight="1">
      <c r="J120" s="222"/>
    </row>
    <row r="121" ht="15.75" customHeight="1">
      <c r="J121" s="222"/>
    </row>
    <row r="122" ht="15.75" customHeight="1">
      <c r="J122" s="222"/>
    </row>
    <row r="123" ht="15.75" customHeight="1">
      <c r="J123" s="222"/>
    </row>
    <row r="124" ht="15.75" customHeight="1">
      <c r="J124" s="222"/>
    </row>
    <row r="125" ht="15.75" customHeight="1">
      <c r="J125" s="222"/>
    </row>
    <row r="126" ht="15.75" customHeight="1">
      <c r="J126" s="222"/>
    </row>
    <row r="127" ht="15.75" customHeight="1">
      <c r="J127" s="222"/>
    </row>
    <row r="128" ht="15.75" customHeight="1">
      <c r="J128" s="222"/>
    </row>
    <row r="129" ht="15.75" customHeight="1">
      <c r="J129" s="222"/>
    </row>
    <row r="130" ht="15.75" customHeight="1">
      <c r="J130" s="222"/>
    </row>
    <row r="131" ht="15.75" customHeight="1">
      <c r="J131" s="222"/>
    </row>
    <row r="132" ht="15.75" customHeight="1">
      <c r="J132" s="222"/>
    </row>
    <row r="133" ht="15.75" customHeight="1">
      <c r="J133" s="222"/>
    </row>
    <row r="134" ht="15.75" customHeight="1">
      <c r="J134" s="222"/>
    </row>
    <row r="135" ht="15.75" customHeight="1">
      <c r="J135" s="222"/>
    </row>
    <row r="136" ht="15.75" customHeight="1">
      <c r="J136" s="222"/>
    </row>
    <row r="137" ht="15.75" customHeight="1">
      <c r="J137" s="222"/>
    </row>
    <row r="138" ht="15.75" customHeight="1">
      <c r="J138" s="222"/>
    </row>
    <row r="139" ht="15.75" customHeight="1">
      <c r="J139" s="222"/>
    </row>
    <row r="140" ht="15.75" customHeight="1">
      <c r="J140" s="222"/>
    </row>
    <row r="141" ht="15.75" customHeight="1">
      <c r="J141" s="222"/>
    </row>
    <row r="142" ht="15.75" customHeight="1">
      <c r="J142" s="222"/>
    </row>
    <row r="143" ht="15.75" customHeight="1">
      <c r="J143" s="222"/>
    </row>
    <row r="144" ht="15.75" customHeight="1">
      <c r="J144" s="222"/>
    </row>
    <row r="145" ht="15.75" customHeight="1">
      <c r="J145" s="222"/>
    </row>
    <row r="146" ht="15.75" customHeight="1">
      <c r="J146" s="222"/>
    </row>
    <row r="147" ht="15.75" customHeight="1">
      <c r="J147" s="222"/>
    </row>
    <row r="148" ht="15.75" customHeight="1">
      <c r="J148" s="222"/>
    </row>
    <row r="149" ht="15.75" customHeight="1">
      <c r="J149" s="222"/>
    </row>
    <row r="150" ht="15.75" customHeight="1">
      <c r="J150" s="222"/>
    </row>
    <row r="151" ht="15.75" customHeight="1">
      <c r="J151" s="222"/>
    </row>
    <row r="152" ht="15.75" customHeight="1">
      <c r="J152" s="222"/>
    </row>
    <row r="153" ht="15.75" customHeight="1">
      <c r="J153" s="222"/>
    </row>
    <row r="154" ht="15.75" customHeight="1">
      <c r="J154" s="222"/>
    </row>
    <row r="155" ht="15.75" customHeight="1">
      <c r="J155" s="222"/>
    </row>
    <row r="156" ht="15.75" customHeight="1">
      <c r="J156" s="222"/>
    </row>
    <row r="157" ht="15.75" customHeight="1">
      <c r="J157" s="222"/>
    </row>
    <row r="158" ht="15.75" customHeight="1">
      <c r="J158" s="222"/>
    </row>
    <row r="159" ht="15.75" customHeight="1">
      <c r="J159" s="222"/>
    </row>
    <row r="160" ht="15.75" customHeight="1">
      <c r="J160" s="222"/>
    </row>
    <row r="161" ht="15.75" customHeight="1">
      <c r="J161" s="222"/>
    </row>
    <row r="162" ht="15.75" customHeight="1">
      <c r="J162" s="222"/>
    </row>
    <row r="163" ht="15.75" customHeight="1">
      <c r="J163" s="222"/>
    </row>
    <row r="164" ht="15.75" customHeight="1">
      <c r="J164" s="222"/>
    </row>
    <row r="165" ht="15.75" customHeight="1">
      <c r="J165" s="222"/>
    </row>
    <row r="166" ht="15.75" customHeight="1">
      <c r="J166" s="222"/>
    </row>
    <row r="167" ht="15.75" customHeight="1">
      <c r="J167" s="222"/>
    </row>
    <row r="168" ht="15.75" customHeight="1">
      <c r="J168" s="222"/>
    </row>
    <row r="169" ht="15.75" customHeight="1">
      <c r="J169" s="222"/>
    </row>
    <row r="170" ht="15.75" customHeight="1">
      <c r="J170" s="222"/>
    </row>
    <row r="171" ht="15.75" customHeight="1">
      <c r="J171" s="222"/>
    </row>
    <row r="172" ht="15.75" customHeight="1">
      <c r="J172" s="222"/>
    </row>
    <row r="173" ht="15.75" customHeight="1">
      <c r="J173" s="222"/>
    </row>
    <row r="174" ht="15.75" customHeight="1">
      <c r="J174" s="222"/>
    </row>
    <row r="175" ht="15.75" customHeight="1">
      <c r="J175" s="222"/>
    </row>
    <row r="176" ht="15.75" customHeight="1">
      <c r="J176" s="222"/>
    </row>
    <row r="177" ht="15.75" customHeight="1">
      <c r="J177" s="222"/>
    </row>
    <row r="178" ht="15.75" customHeight="1">
      <c r="J178" s="222"/>
    </row>
    <row r="179" ht="15.75" customHeight="1">
      <c r="J179" s="222"/>
    </row>
    <row r="180" ht="15.75" customHeight="1">
      <c r="J180" s="222"/>
    </row>
    <row r="181" ht="15.75" customHeight="1">
      <c r="J181" s="222"/>
    </row>
    <row r="182" ht="15.75" customHeight="1">
      <c r="J182" s="222"/>
    </row>
    <row r="183" ht="15.75" customHeight="1">
      <c r="J183" s="222"/>
    </row>
    <row r="184" ht="15.75" customHeight="1">
      <c r="J184" s="222"/>
    </row>
    <row r="185" ht="15.75" customHeight="1">
      <c r="J185" s="222"/>
    </row>
    <row r="186" ht="15.75" customHeight="1">
      <c r="J186" s="222"/>
    </row>
    <row r="187" ht="15.75" customHeight="1">
      <c r="J187" s="222"/>
    </row>
    <row r="188" ht="15.75" customHeight="1">
      <c r="J188" s="222"/>
    </row>
    <row r="189" ht="15.75" customHeight="1">
      <c r="J189" s="222"/>
    </row>
    <row r="190" ht="15.75" customHeight="1">
      <c r="J190" s="222"/>
    </row>
    <row r="191" ht="15.75" customHeight="1">
      <c r="J191" s="222"/>
    </row>
    <row r="192" ht="15.75" customHeight="1">
      <c r="J192" s="222"/>
    </row>
    <row r="193" ht="15.75" customHeight="1">
      <c r="J193" s="222"/>
    </row>
    <row r="194" ht="15.75" customHeight="1">
      <c r="J194" s="222"/>
    </row>
    <row r="195" ht="15.75" customHeight="1">
      <c r="J195" s="222"/>
    </row>
    <row r="196" ht="15.75" customHeight="1">
      <c r="J196" s="222"/>
    </row>
    <row r="197" ht="15.75" customHeight="1">
      <c r="J197" s="222"/>
    </row>
    <row r="198" ht="15.75" customHeight="1">
      <c r="J198" s="222"/>
    </row>
    <row r="199" ht="15.75" customHeight="1">
      <c r="J199" s="222"/>
    </row>
    <row r="200" ht="15.75" customHeight="1">
      <c r="J200" s="222"/>
    </row>
    <row r="201" ht="15.75" customHeight="1">
      <c r="J201" s="222"/>
    </row>
    <row r="202" ht="15.75" customHeight="1">
      <c r="J202" s="222"/>
    </row>
    <row r="203" ht="15.75" customHeight="1">
      <c r="J203" s="222"/>
    </row>
    <row r="204" ht="15.75" customHeight="1">
      <c r="J204" s="222"/>
    </row>
    <row r="205" ht="15.75" customHeight="1">
      <c r="J205" s="222"/>
    </row>
    <row r="206" ht="15.75" customHeight="1">
      <c r="J206" s="222"/>
    </row>
    <row r="207" ht="15.75" customHeight="1">
      <c r="J207" s="222"/>
    </row>
    <row r="208" ht="15.75" customHeight="1">
      <c r="J208" s="222"/>
    </row>
    <row r="209" ht="15.75" customHeight="1">
      <c r="J209" s="222"/>
    </row>
    <row r="210" ht="15.75" customHeight="1">
      <c r="J210" s="222"/>
    </row>
    <row r="211" ht="15.75" customHeight="1">
      <c r="J211" s="222"/>
    </row>
    <row r="212" ht="15.75" customHeight="1">
      <c r="J212" s="222"/>
    </row>
    <row r="213" ht="15.75" customHeight="1">
      <c r="J213" s="222"/>
    </row>
    <row r="214" ht="15.75" customHeight="1">
      <c r="J214" s="222"/>
    </row>
    <row r="215" ht="15.75" customHeight="1">
      <c r="J215" s="222"/>
    </row>
    <row r="216" ht="15.75" customHeight="1">
      <c r="J216" s="222"/>
    </row>
    <row r="217" ht="15.75" customHeight="1">
      <c r="J217" s="222"/>
    </row>
    <row r="218" ht="15.75" customHeight="1">
      <c r="J218" s="222"/>
    </row>
    <row r="219" ht="15.75" customHeight="1">
      <c r="J219" s="222"/>
    </row>
    <row r="220" ht="15.75" customHeight="1">
      <c r="J220" s="222"/>
    </row>
    <row r="221" ht="15.75" customHeight="1">
      <c r="J221" s="222"/>
    </row>
    <row r="222" ht="15.75" customHeight="1">
      <c r="J222" s="222"/>
    </row>
    <row r="223" ht="15.75" customHeight="1">
      <c r="J223" s="222"/>
    </row>
    <row r="224" ht="15.75" customHeight="1">
      <c r="J224" s="222"/>
    </row>
    <row r="225" ht="15.75" customHeight="1">
      <c r="J225" s="222"/>
    </row>
    <row r="226" ht="15.75" customHeight="1">
      <c r="J226" s="222"/>
    </row>
    <row r="227" ht="15.75" customHeight="1">
      <c r="J227" s="222"/>
    </row>
    <row r="228" ht="15.75" customHeight="1">
      <c r="J228" s="222"/>
    </row>
    <row r="229" ht="15.75" customHeight="1">
      <c r="J229" s="222"/>
    </row>
    <row r="230" ht="15.75" customHeight="1">
      <c r="J230" s="222"/>
    </row>
    <row r="231" ht="15.75" customHeight="1">
      <c r="J231" s="222"/>
    </row>
    <row r="232" ht="15.75" customHeight="1">
      <c r="J232" s="222"/>
    </row>
    <row r="233" ht="15.75" customHeight="1">
      <c r="J233" s="222"/>
    </row>
    <row r="234" ht="15.75" customHeight="1">
      <c r="J234" s="222"/>
    </row>
    <row r="235" ht="15.75" customHeight="1">
      <c r="J235" s="222"/>
    </row>
    <row r="236" ht="15.75" customHeight="1">
      <c r="J236" s="222"/>
    </row>
    <row r="237" ht="15.75" customHeight="1">
      <c r="J237" s="222"/>
    </row>
    <row r="238" ht="15.75" customHeight="1">
      <c r="J238" s="222"/>
    </row>
    <row r="239" ht="15.75" customHeight="1">
      <c r="J239" s="222"/>
    </row>
    <row r="240" ht="15.75" customHeight="1">
      <c r="J240" s="222"/>
    </row>
    <row r="241" ht="15.75" customHeight="1">
      <c r="J241" s="222"/>
    </row>
    <row r="242" ht="15.75" customHeight="1">
      <c r="J242" s="222"/>
    </row>
    <row r="243" ht="15.75" customHeight="1">
      <c r="J243" s="222"/>
    </row>
    <row r="244" ht="15.75" customHeight="1">
      <c r="J244" s="222"/>
    </row>
    <row r="245" ht="15.75" customHeight="1">
      <c r="J245" s="222"/>
    </row>
    <row r="246" ht="15.75" customHeight="1">
      <c r="J246" s="222"/>
    </row>
    <row r="247" ht="15.75" customHeight="1">
      <c r="J247" s="222"/>
    </row>
    <row r="248" ht="15.75" customHeight="1">
      <c r="J248" s="222"/>
    </row>
    <row r="249" ht="15.75" customHeight="1">
      <c r="J249" s="222"/>
    </row>
    <row r="250" ht="15.75" customHeight="1">
      <c r="J250" s="222"/>
    </row>
    <row r="251" ht="15.75" customHeight="1">
      <c r="J251" s="222"/>
    </row>
    <row r="252" ht="15.75" customHeight="1">
      <c r="J252" s="222"/>
    </row>
    <row r="253" ht="15.75" customHeight="1">
      <c r="J253" s="222"/>
    </row>
    <row r="254" ht="15.75" customHeight="1">
      <c r="J254" s="222"/>
    </row>
    <row r="255" ht="15.75" customHeight="1">
      <c r="J255" s="222"/>
    </row>
    <row r="256" ht="15.75" customHeight="1">
      <c r="J256" s="222"/>
    </row>
    <row r="257" ht="15.75" customHeight="1">
      <c r="J257" s="222"/>
    </row>
    <row r="258" ht="15.75" customHeight="1">
      <c r="J258" s="222"/>
    </row>
    <row r="259" ht="15.75" customHeight="1">
      <c r="J259" s="222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"/>
      <c r="B1" s="111" t="s">
        <v>75</v>
      </c>
      <c r="C1" s="223">
        <v>46099.0</v>
      </c>
      <c r="D1" s="4" t="s">
        <v>1</v>
      </c>
      <c r="E1" s="5">
        <v>46099.0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9.5" customHeight="1">
      <c r="A2" s="1"/>
      <c r="B2" s="11"/>
      <c r="C2" s="12"/>
      <c r="D2" s="11"/>
      <c r="E2" s="13"/>
      <c r="F2" s="14">
        <v>0.3185757706645871</v>
      </c>
      <c r="H2" s="10"/>
      <c r="I2" s="15">
        <v>36317.0</v>
      </c>
      <c r="K2" s="10"/>
      <c r="L2" s="16" t="s">
        <v>5</v>
      </c>
      <c r="M2" s="17">
        <v>12014.0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15.75" customHeight="1">
      <c r="A3" s="20"/>
      <c r="B3" s="21" t="str">
        <f>CHOOSE(WEEKDAY(C1), "Neděle", "Pondělí", "Úterý", "Středa", "Čtvrtek", "Pátek", "Sobota")</f>
        <v>Středa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6921.0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ht="15.75" customHeight="1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6168.0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15.75" customHeight="1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24" t="s">
        <v>10</v>
      </c>
      <c r="M5" s="25">
        <v>8020.0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15.75" customHeight="1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24" t="s">
        <v>11</v>
      </c>
      <c r="M6" s="25">
        <v>0.0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15.75" customHeight="1">
      <c r="A7" s="9"/>
      <c r="B7" s="30">
        <f>TEXT(SUMPRODUCT((IFERROR(LEFT(D10:D30, FIND(":", D10:D30) - 1) * 60, 0) + IFERROR(MID(D10:D30, FIND(":", D10:D30) + 1, LEN(D10:D30) - FIND(":", D10:D30)), 0))), "[h]:mm")/60</f>
        <v>15</v>
      </c>
      <c r="C7" s="26"/>
      <c r="D7" s="26"/>
      <c r="E7" s="13"/>
      <c r="F7" s="31">
        <f>TEXT(SUMPRODUCT((IFERROR(LEFT(H10:H30, FIND(":", H10:H30) - 1) * 60, 0) + IFERROR(MID(H10:H30, FIND(":", H10:H30) + 1, LEN(H10:H30) - FIND(":", H10:H30)), 0))), "[h]:mm")/60</f>
        <v>16</v>
      </c>
      <c r="G7" s="7"/>
      <c r="H7" s="7"/>
      <c r="I7" s="7"/>
      <c r="J7" s="32"/>
      <c r="K7" s="32"/>
      <c r="L7" s="33" t="s">
        <v>12</v>
      </c>
      <c r="M7" s="34">
        <v>0.0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15.75" customHeight="1">
      <c r="A8" s="35"/>
      <c r="B8" s="36" t="s">
        <v>13</v>
      </c>
      <c r="C8" s="22"/>
      <c r="D8" s="22"/>
      <c r="E8" s="23"/>
      <c r="F8" s="37" t="s">
        <v>14</v>
      </c>
      <c r="G8" s="22"/>
      <c r="H8" s="22"/>
      <c r="I8" s="23"/>
      <c r="J8" s="36" t="s">
        <v>15</v>
      </c>
      <c r="K8" s="23"/>
      <c r="L8" s="3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15.75" customHeight="1">
      <c r="A9" s="38"/>
      <c r="B9" s="39" t="s">
        <v>17</v>
      </c>
      <c r="C9" s="40" t="s">
        <v>18</v>
      </c>
      <c r="D9" s="40" t="s">
        <v>19</v>
      </c>
      <c r="E9" s="41"/>
      <c r="F9" s="39" t="s">
        <v>17</v>
      </c>
      <c r="G9" s="40" t="s">
        <v>18</v>
      </c>
      <c r="H9" s="40" t="s">
        <v>19</v>
      </c>
      <c r="I9" s="42" t="s">
        <v>20</v>
      </c>
      <c r="J9" s="43">
        <v>12.0</v>
      </c>
      <c r="K9" s="23"/>
      <c r="L9" s="44" t="s">
        <v>21</v>
      </c>
      <c r="M9" s="25">
        <v>1006.0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18.75" customHeight="1">
      <c r="A10" s="45"/>
      <c r="B10" s="46" t="s">
        <v>131</v>
      </c>
      <c r="C10" s="47">
        <v>1.0</v>
      </c>
      <c r="D10" s="47" t="s">
        <v>132</v>
      </c>
      <c r="E10" s="48" t="s">
        <v>22</v>
      </c>
      <c r="F10" s="46" t="s">
        <v>133</v>
      </c>
      <c r="G10" s="47">
        <v>1.0</v>
      </c>
      <c r="H10" s="47" t="s">
        <v>134</v>
      </c>
      <c r="I10" s="49">
        <v>5.0</v>
      </c>
      <c r="K10" s="10"/>
      <c r="L10" s="44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18.75" customHeight="1">
      <c r="A11" s="45"/>
      <c r="B11" s="46" t="s">
        <v>135</v>
      </c>
      <c r="C11" s="47">
        <v>1.0</v>
      </c>
      <c r="D11" s="47" t="s">
        <v>28</v>
      </c>
      <c r="E11" s="48" t="s">
        <v>24</v>
      </c>
      <c r="F11" s="46" t="s">
        <v>136</v>
      </c>
      <c r="G11" s="47">
        <v>1.0</v>
      </c>
      <c r="H11" s="47" t="s">
        <v>137</v>
      </c>
      <c r="I11" s="49">
        <v>13.0</v>
      </c>
      <c r="K11" s="10"/>
      <c r="L11" s="50" t="s">
        <v>16</v>
      </c>
      <c r="M11" s="51">
        <v>0.0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8.75" customHeight="1">
      <c r="A12" s="45"/>
      <c r="B12" s="46"/>
      <c r="C12" s="47"/>
      <c r="D12" s="47"/>
      <c r="E12" s="48" t="s">
        <v>25</v>
      </c>
      <c r="F12" s="46"/>
      <c r="G12" s="47"/>
      <c r="H12" s="47"/>
      <c r="I12" s="49"/>
      <c r="K12" s="10"/>
      <c r="L12" s="52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18.75" customHeight="1">
      <c r="A13" s="45"/>
      <c r="B13" s="46"/>
      <c r="C13" s="47"/>
      <c r="D13" s="47"/>
      <c r="E13" s="48" t="s">
        <v>25</v>
      </c>
      <c r="F13" s="46"/>
      <c r="G13" s="47"/>
      <c r="H13" s="47"/>
      <c r="I13" s="49"/>
      <c r="K13" s="10"/>
      <c r="L13" s="16" t="s">
        <v>27</v>
      </c>
      <c r="M13" s="17">
        <v>1000.0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18.75" customHeight="1">
      <c r="A14" s="45"/>
      <c r="B14" s="46"/>
      <c r="C14" s="47"/>
      <c r="D14" s="47"/>
      <c r="E14" s="48" t="s">
        <v>28</v>
      </c>
      <c r="F14" s="46"/>
      <c r="G14" s="47"/>
      <c r="H14" s="47"/>
      <c r="I14" s="49"/>
      <c r="K14" s="10"/>
      <c r="L14" s="53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18.75" customHeight="1">
      <c r="A15" s="45"/>
      <c r="B15" s="46"/>
      <c r="C15" s="47"/>
      <c r="D15" s="47"/>
      <c r="E15" s="48" t="s">
        <v>28</v>
      </c>
      <c r="F15" s="46"/>
      <c r="G15" s="47"/>
      <c r="H15" s="47"/>
      <c r="I15" s="49"/>
      <c r="K15" s="10"/>
      <c r="L15" s="53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18.75" customHeight="1">
      <c r="A16" s="45"/>
      <c r="B16" s="46"/>
      <c r="C16" s="47"/>
      <c r="D16" s="47"/>
      <c r="E16" s="54"/>
      <c r="F16" s="46"/>
      <c r="G16" s="47"/>
      <c r="H16" s="47"/>
      <c r="I16" s="49"/>
      <c r="K16" s="10"/>
      <c r="L16" s="53" t="s">
        <v>31</v>
      </c>
      <c r="M16" s="25">
        <v>1000.0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18.75" customHeight="1">
      <c r="A17" s="45"/>
      <c r="B17" s="46"/>
      <c r="C17" s="47"/>
      <c r="D17" s="47"/>
      <c r="E17" s="54"/>
      <c r="F17" s="46"/>
      <c r="G17" s="47"/>
      <c r="H17" s="47"/>
      <c r="I17" s="49"/>
      <c r="J17" s="26"/>
      <c r="K17" s="13"/>
      <c r="L17" s="55" t="s">
        <v>32</v>
      </c>
      <c r="M17" s="51">
        <v>200.0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18.75" customHeight="1">
      <c r="A18" s="45"/>
      <c r="B18" s="46"/>
      <c r="C18" s="47"/>
      <c r="D18" s="47"/>
      <c r="E18" s="54"/>
      <c r="F18" s="46"/>
      <c r="G18" s="47"/>
      <c r="H18" s="47"/>
      <c r="I18" s="49"/>
      <c r="J18" s="56"/>
      <c r="K18" s="7"/>
      <c r="L18" s="7"/>
      <c r="M18" s="8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</row>
    <row r="19" ht="18.75" customHeight="1">
      <c r="A19" s="45"/>
      <c r="B19" s="46"/>
      <c r="C19" s="47"/>
      <c r="D19" s="47"/>
      <c r="E19" s="54"/>
      <c r="F19" s="46"/>
      <c r="G19" s="47"/>
      <c r="H19" s="47"/>
      <c r="I19" s="49"/>
      <c r="J19" s="58" t="s">
        <v>33</v>
      </c>
      <c r="K19" s="59" t="s">
        <v>34</v>
      </c>
      <c r="L19" s="60" t="s">
        <v>35</v>
      </c>
      <c r="M19" s="61" t="s">
        <v>36</v>
      </c>
    </row>
    <row r="20" ht="18.75" customHeight="1">
      <c r="A20" s="45"/>
      <c r="B20" s="46"/>
      <c r="C20" s="47"/>
      <c r="D20" s="47"/>
      <c r="E20" s="54"/>
      <c r="F20" s="46"/>
      <c r="G20" s="47"/>
      <c r="H20" s="47"/>
      <c r="I20" s="49"/>
      <c r="J20" s="62"/>
      <c r="K20" s="63"/>
      <c r="L20" s="63"/>
      <c r="M20" s="64"/>
    </row>
    <row r="21" ht="18.75" customHeight="1">
      <c r="A21" s="45"/>
      <c r="B21" s="46"/>
      <c r="C21" s="47"/>
      <c r="D21" s="47"/>
      <c r="E21" s="54"/>
      <c r="F21" s="46"/>
      <c r="G21" s="47"/>
      <c r="H21" s="47"/>
      <c r="I21" s="49"/>
      <c r="J21" s="65">
        <v>0.0</v>
      </c>
      <c r="K21" s="66">
        <v>0.0</v>
      </c>
      <c r="L21" s="67">
        <v>1.0</v>
      </c>
      <c r="M21" s="68" t="s">
        <v>138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</row>
    <row r="22" ht="18.75" customHeight="1">
      <c r="A22" s="45"/>
      <c r="B22" s="46"/>
      <c r="C22" s="47"/>
      <c r="D22" s="47"/>
      <c r="E22" s="54"/>
      <c r="F22" s="46"/>
      <c r="G22" s="47"/>
      <c r="H22" s="47"/>
      <c r="I22" s="49"/>
      <c r="J22" s="69" t="s">
        <v>37</v>
      </c>
      <c r="K22" s="70" t="s">
        <v>38</v>
      </c>
      <c r="L22" s="71" t="s">
        <v>39</v>
      </c>
      <c r="M22" s="72" t="s">
        <v>40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ht="18.75" customHeight="1">
      <c r="A23" s="45"/>
      <c r="B23" s="46"/>
      <c r="C23" s="47"/>
      <c r="D23" s="47"/>
      <c r="E23" s="54"/>
      <c r="F23" s="46"/>
      <c r="G23" s="47"/>
      <c r="H23" s="47"/>
      <c r="I23" s="49"/>
      <c r="J23" s="62"/>
      <c r="K23" s="63"/>
      <c r="L23" s="63"/>
      <c r="M23" s="64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</row>
    <row r="24" ht="18.75" customHeight="1">
      <c r="A24" s="45"/>
      <c r="B24" s="46"/>
      <c r="C24" s="47"/>
      <c r="D24" s="47"/>
      <c r="E24" s="54"/>
      <c r="F24" s="46"/>
      <c r="G24" s="47"/>
      <c r="H24" s="47"/>
      <c r="I24" s="49"/>
      <c r="J24" s="73">
        <v>1.0</v>
      </c>
      <c r="K24" s="67">
        <v>86.0</v>
      </c>
      <c r="L24" s="67">
        <v>19.0</v>
      </c>
      <c r="M24" s="74">
        <v>0.0</v>
      </c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</row>
    <row r="25" ht="18.75" customHeight="1">
      <c r="A25" s="45"/>
      <c r="B25" s="46"/>
      <c r="C25" s="47"/>
      <c r="D25" s="47"/>
      <c r="E25" s="54"/>
      <c r="F25" s="46"/>
      <c r="G25" s="47"/>
      <c r="H25" s="47"/>
      <c r="I25" s="49"/>
      <c r="J25" s="75" t="s">
        <v>41</v>
      </c>
      <c r="K25" s="76"/>
      <c r="L25" s="71" t="s">
        <v>42</v>
      </c>
      <c r="M25" s="72" t="s">
        <v>43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ht="18.75" customHeight="1">
      <c r="A26" s="45"/>
      <c r="B26" s="46"/>
      <c r="C26" s="47"/>
      <c r="D26" s="47"/>
      <c r="E26" s="54"/>
      <c r="F26" s="46"/>
      <c r="G26" s="47"/>
      <c r="H26" s="47"/>
      <c r="I26" s="49"/>
      <c r="J26" s="77"/>
      <c r="K26" s="78"/>
      <c r="L26" s="63"/>
      <c r="M26" s="64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</row>
    <row r="27" ht="18.75" customHeight="1">
      <c r="A27" s="45"/>
      <c r="B27" s="46"/>
      <c r="C27" s="47"/>
      <c r="D27" s="47"/>
      <c r="E27" s="54"/>
      <c r="F27" s="46"/>
      <c r="G27" s="47"/>
      <c r="H27" s="47"/>
      <c r="I27" s="49"/>
      <c r="J27" s="79">
        <v>0.0</v>
      </c>
      <c r="K27" s="80"/>
      <c r="L27" s="81">
        <v>0.05263157894736842</v>
      </c>
      <c r="M27" s="82">
        <v>0.0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</row>
    <row r="28" ht="18.75" customHeight="1">
      <c r="A28" s="45"/>
      <c r="B28" s="46"/>
      <c r="C28" s="47"/>
      <c r="D28" s="47"/>
      <c r="E28" s="54"/>
      <c r="F28" s="46"/>
      <c r="G28" s="47"/>
      <c r="H28" s="47"/>
      <c r="I28" s="49"/>
      <c r="J28" s="83"/>
      <c r="K28" s="70" t="s">
        <v>139</v>
      </c>
      <c r="L28" s="70" t="s">
        <v>44</v>
      </c>
      <c r="M28" s="72" t="s">
        <v>45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</row>
    <row r="29" ht="18.75" customHeight="1">
      <c r="A29" s="45"/>
      <c r="B29" s="46"/>
      <c r="C29" s="47"/>
      <c r="D29" s="47"/>
      <c r="E29" s="54"/>
      <c r="F29" s="46"/>
      <c r="G29" s="47"/>
      <c r="H29" s="47"/>
      <c r="I29" s="49"/>
      <c r="J29" s="84"/>
      <c r="K29" s="63"/>
      <c r="L29" s="63"/>
      <c r="M29" s="64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</row>
    <row r="30" ht="18.75" customHeight="1">
      <c r="A30" s="45"/>
      <c r="B30" s="85"/>
      <c r="C30" s="86"/>
      <c r="D30" s="86"/>
      <c r="E30" s="87"/>
      <c r="F30" s="85"/>
      <c r="G30" s="86"/>
      <c r="H30" s="86"/>
      <c r="I30" s="88"/>
      <c r="J30" s="12"/>
      <c r="K30" s="224">
        <v>1.0</v>
      </c>
      <c r="L30" s="89">
        <v>0.9473684210526316</v>
      </c>
      <c r="M30" s="90">
        <v>0.0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</row>
    <row r="31" ht="18.75" customHeight="1">
      <c r="A31" s="45"/>
      <c r="B31" s="225" t="s">
        <v>140</v>
      </c>
      <c r="C31" s="225">
        <v>2.0</v>
      </c>
      <c r="D31" s="225" t="s">
        <v>141</v>
      </c>
      <c r="E31" s="226"/>
      <c r="F31" s="225" t="s">
        <v>142</v>
      </c>
      <c r="G31" s="225">
        <v>3.0</v>
      </c>
      <c r="H31" s="225" t="s">
        <v>143</v>
      </c>
      <c r="I31" s="227">
        <v>31.0</v>
      </c>
      <c r="J31" s="228"/>
      <c r="K31" s="229"/>
      <c r="L31" s="230"/>
      <c r="M31" s="230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</row>
    <row r="32" ht="18.75" customHeight="1">
      <c r="A32" s="45"/>
      <c r="B32" s="225" t="s">
        <v>135</v>
      </c>
      <c r="C32" s="225">
        <v>2.0</v>
      </c>
      <c r="D32" s="225" t="s">
        <v>144</v>
      </c>
      <c r="E32" s="226"/>
      <c r="F32" s="225" t="s">
        <v>145</v>
      </c>
      <c r="G32" s="225">
        <v>1.0</v>
      </c>
      <c r="H32" s="225" t="s">
        <v>28</v>
      </c>
      <c r="I32" s="227">
        <v>0.0</v>
      </c>
      <c r="J32" s="228"/>
      <c r="K32" s="229"/>
      <c r="L32" s="230"/>
      <c r="M32" s="230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</row>
    <row r="33" ht="18.75" customHeight="1">
      <c r="A33" s="45"/>
      <c r="B33" s="225"/>
      <c r="C33" s="225"/>
      <c r="D33" s="225"/>
      <c r="E33" s="226"/>
      <c r="F33" s="225" t="s">
        <v>146</v>
      </c>
      <c r="G33" s="225">
        <v>1.0</v>
      </c>
      <c r="H33" s="225" t="s">
        <v>147</v>
      </c>
      <c r="I33" s="227">
        <v>9.0</v>
      </c>
      <c r="J33" s="228"/>
      <c r="K33" s="229"/>
      <c r="L33" s="230"/>
      <c r="M33" s="230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"/>
      <c r="B1" s="127" t="s">
        <v>0</v>
      </c>
      <c r="C1" s="223">
        <v>46099.0</v>
      </c>
      <c r="D1" s="4" t="s">
        <v>1</v>
      </c>
      <c r="E1" s="5">
        <v>46099.0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9.5" customHeight="1">
      <c r="A2" s="1"/>
      <c r="B2" s="11"/>
      <c r="C2" s="12"/>
      <c r="D2" s="11"/>
      <c r="E2" s="13"/>
      <c r="F2" s="14">
        <v>0.26639125040084316</v>
      </c>
      <c r="H2" s="10"/>
      <c r="I2" s="15">
        <v>54069.5</v>
      </c>
      <c r="K2" s="10"/>
      <c r="L2" s="16" t="s">
        <v>5</v>
      </c>
      <c r="M2" s="17">
        <v>13210.0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15.75" customHeight="1">
      <c r="A3" s="20"/>
      <c r="B3" s="21" t="str">
        <f>CHOOSE(WEEKDAY(C1), "Neděle", "Pondělí", "Úterý", "Středa", "Čtvrtek", "Pátek", "Sobota")</f>
        <v>Středa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6247.0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ht="15.75" customHeight="1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13756.0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15.75" customHeight="1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24" t="s">
        <v>10</v>
      </c>
      <c r="M5" s="25">
        <v>11505.0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15.75" customHeight="1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24" t="s">
        <v>11</v>
      </c>
      <c r="M6" s="25">
        <v>0.0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15.75" customHeight="1">
      <c r="A7" s="9"/>
      <c r="B7" s="30">
        <f>TEXT(SUMPRODUCT((IFERROR(LEFT(D10:D30, FIND(":", D10:D30) - 1) * 60, 0) + IFERROR(MID(D10:D30, FIND(":", D10:D30) + 1, LEN(D10:D30) - FIND(":", D10:D30)), 0))), "[h]:mm")/60</f>
        <v>22</v>
      </c>
      <c r="C7" s="26"/>
      <c r="D7" s="26"/>
      <c r="E7" s="13"/>
      <c r="F7" s="31">
        <f>TEXT(SUMPRODUCT((IFERROR(LEFT(H10:H30, FIND(":", H10:H30) - 1) * 60, 0) + IFERROR(MID(H10:H30, FIND(":", H10:H30) + 1, LEN(H10:H30) - FIND(":", H10:H30)), 0))), "[h]:mm")/60</f>
        <v>14</v>
      </c>
      <c r="G7" s="7"/>
      <c r="H7" s="7"/>
      <c r="I7" s="7"/>
      <c r="J7" s="32"/>
      <c r="K7" s="32"/>
      <c r="L7" s="33" t="s">
        <v>12</v>
      </c>
      <c r="M7" s="34">
        <v>823.0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15.75" customHeight="1">
      <c r="A8" s="35"/>
      <c r="B8" s="36" t="s">
        <v>13</v>
      </c>
      <c r="C8" s="22"/>
      <c r="D8" s="22"/>
      <c r="E8" s="23"/>
      <c r="F8" s="37" t="s">
        <v>14</v>
      </c>
      <c r="G8" s="22"/>
      <c r="H8" s="22"/>
      <c r="I8" s="23"/>
      <c r="J8" s="36" t="s">
        <v>15</v>
      </c>
      <c r="K8" s="23"/>
      <c r="L8" s="3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15.75" customHeight="1">
      <c r="A9" s="38"/>
      <c r="B9" s="39" t="s">
        <v>17</v>
      </c>
      <c r="C9" s="40" t="s">
        <v>18</v>
      </c>
      <c r="D9" s="40" t="s">
        <v>19</v>
      </c>
      <c r="E9" s="41"/>
      <c r="F9" s="39" t="s">
        <v>17</v>
      </c>
      <c r="G9" s="40" t="s">
        <v>18</v>
      </c>
      <c r="H9" s="40" t="s">
        <v>19</v>
      </c>
      <c r="I9" s="42" t="s">
        <v>20</v>
      </c>
      <c r="J9" s="43">
        <v>0.5</v>
      </c>
      <c r="K9" s="23"/>
      <c r="L9" s="44" t="s">
        <v>21</v>
      </c>
      <c r="M9" s="25">
        <v>5690.0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18.75" customHeight="1">
      <c r="A10" s="45"/>
      <c r="B10" s="46" t="s">
        <v>148</v>
      </c>
      <c r="C10" s="47">
        <v>1.0</v>
      </c>
      <c r="D10" s="47" t="s">
        <v>28</v>
      </c>
      <c r="E10" s="48" t="s">
        <v>22</v>
      </c>
      <c r="F10" s="46" t="s">
        <v>149</v>
      </c>
      <c r="G10" s="47">
        <v>1.0</v>
      </c>
      <c r="H10" s="47" t="s">
        <v>28</v>
      </c>
      <c r="I10" s="49">
        <v>12.0</v>
      </c>
      <c r="K10" s="10"/>
      <c r="L10" s="44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18.75" customHeight="1">
      <c r="A11" s="45"/>
      <c r="B11" s="46" t="s">
        <v>140</v>
      </c>
      <c r="C11" s="47">
        <v>1.0</v>
      </c>
      <c r="D11" s="47" t="s">
        <v>150</v>
      </c>
      <c r="E11" s="48" t="s">
        <v>24</v>
      </c>
      <c r="F11" s="46" t="s">
        <v>151</v>
      </c>
      <c r="G11" s="47">
        <v>1.0</v>
      </c>
      <c r="H11" s="47" t="s">
        <v>28</v>
      </c>
      <c r="I11" s="49">
        <v>8.0</v>
      </c>
      <c r="K11" s="10"/>
      <c r="L11" s="50" t="s">
        <v>16</v>
      </c>
      <c r="M11" s="51">
        <v>459.0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8.75" customHeight="1">
      <c r="A12" s="45"/>
      <c r="B12" s="46" t="s">
        <v>152</v>
      </c>
      <c r="C12" s="47">
        <v>1.0</v>
      </c>
      <c r="D12" s="47" t="s">
        <v>150</v>
      </c>
      <c r="E12" s="48" t="s">
        <v>25</v>
      </c>
      <c r="F12" s="46"/>
      <c r="G12" s="47"/>
      <c r="H12" s="47"/>
      <c r="I12" s="49"/>
      <c r="K12" s="10"/>
      <c r="L12" s="52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18.75" customHeight="1">
      <c r="A13" s="45"/>
      <c r="B13" s="46"/>
      <c r="C13" s="47"/>
      <c r="D13" s="47"/>
      <c r="E13" s="48" t="s">
        <v>25</v>
      </c>
      <c r="F13" s="46"/>
      <c r="G13" s="47"/>
      <c r="H13" s="47"/>
      <c r="I13" s="49"/>
      <c r="K13" s="10"/>
      <c r="L13" s="16" t="s">
        <v>27</v>
      </c>
      <c r="M13" s="17">
        <v>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18.75" customHeight="1">
      <c r="A14" s="45"/>
      <c r="B14" s="46"/>
      <c r="C14" s="47"/>
      <c r="D14" s="47"/>
      <c r="E14" s="48" t="s">
        <v>28</v>
      </c>
      <c r="F14" s="46"/>
      <c r="G14" s="47"/>
      <c r="H14" s="47"/>
      <c r="I14" s="49"/>
      <c r="K14" s="10"/>
      <c r="L14" s="53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18.75" customHeight="1">
      <c r="A15" s="45"/>
      <c r="B15" s="46"/>
      <c r="C15" s="47"/>
      <c r="D15" s="47"/>
      <c r="E15" s="48" t="s">
        <v>28</v>
      </c>
      <c r="F15" s="46"/>
      <c r="G15" s="47"/>
      <c r="H15" s="47"/>
      <c r="I15" s="49"/>
      <c r="K15" s="10"/>
      <c r="L15" s="53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18.75" customHeight="1">
      <c r="A16" s="45"/>
      <c r="B16" s="46"/>
      <c r="C16" s="47"/>
      <c r="D16" s="47"/>
      <c r="E16" s="54"/>
      <c r="F16" s="46"/>
      <c r="G16" s="47"/>
      <c r="H16" s="47"/>
      <c r="I16" s="49"/>
      <c r="K16" s="10"/>
      <c r="L16" s="53" t="s">
        <v>31</v>
      </c>
      <c r="M16" s="25">
        <v>2403.0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18.75" customHeight="1">
      <c r="A17" s="45"/>
      <c r="B17" s="46"/>
      <c r="C17" s="47"/>
      <c r="D17" s="47"/>
      <c r="E17" s="54"/>
      <c r="F17" s="46"/>
      <c r="G17" s="47"/>
      <c r="H17" s="47"/>
      <c r="I17" s="49"/>
      <c r="J17" s="26"/>
      <c r="K17" s="13"/>
      <c r="L17" s="55" t="s">
        <v>32</v>
      </c>
      <c r="M17" s="51">
        <v>800.0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18.75" customHeight="1">
      <c r="A18" s="45"/>
      <c r="B18" s="46"/>
      <c r="C18" s="47"/>
      <c r="D18" s="47"/>
      <c r="E18" s="54"/>
      <c r="F18" s="46"/>
      <c r="G18" s="47"/>
      <c r="H18" s="47"/>
      <c r="I18" s="49"/>
      <c r="J18" s="56"/>
      <c r="K18" s="7"/>
      <c r="L18" s="7"/>
      <c r="M18" s="8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</row>
    <row r="19" ht="18.75" customHeight="1">
      <c r="A19" s="45"/>
      <c r="B19" s="46"/>
      <c r="C19" s="47"/>
      <c r="D19" s="47"/>
      <c r="E19" s="54"/>
      <c r="F19" s="46"/>
      <c r="G19" s="47"/>
      <c r="H19" s="47"/>
      <c r="I19" s="49"/>
      <c r="J19" s="58" t="s">
        <v>33</v>
      </c>
      <c r="K19" s="59" t="s">
        <v>34</v>
      </c>
      <c r="L19" s="60" t="s">
        <v>35</v>
      </c>
      <c r="M19" s="61" t="s">
        <v>36</v>
      </c>
    </row>
    <row r="20" ht="18.75" customHeight="1">
      <c r="A20" s="45"/>
      <c r="B20" s="46"/>
      <c r="C20" s="47"/>
      <c r="D20" s="47"/>
      <c r="E20" s="54"/>
      <c r="F20" s="46"/>
      <c r="G20" s="47"/>
      <c r="H20" s="47"/>
      <c r="I20" s="49"/>
      <c r="J20" s="62"/>
      <c r="K20" s="63"/>
      <c r="L20" s="63"/>
      <c r="M20" s="64"/>
    </row>
    <row r="21" ht="18.75" customHeight="1">
      <c r="A21" s="45"/>
      <c r="B21" s="46"/>
      <c r="C21" s="47"/>
      <c r="D21" s="47"/>
      <c r="E21" s="54"/>
      <c r="F21" s="46"/>
      <c r="G21" s="47"/>
      <c r="H21" s="47"/>
      <c r="I21" s="49"/>
      <c r="J21" s="65">
        <v>1.0</v>
      </c>
      <c r="K21" s="66">
        <v>0.0</v>
      </c>
      <c r="L21" s="67">
        <v>1.0</v>
      </c>
      <c r="M21" s="68" t="s">
        <v>153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</row>
    <row r="22" ht="18.75" customHeight="1">
      <c r="A22" s="45"/>
      <c r="B22" s="46"/>
      <c r="C22" s="47"/>
      <c r="D22" s="47"/>
      <c r="E22" s="54"/>
      <c r="F22" s="46"/>
      <c r="G22" s="47"/>
      <c r="H22" s="47"/>
      <c r="I22" s="49"/>
      <c r="J22" s="69" t="s">
        <v>37</v>
      </c>
      <c r="K22" s="70" t="s">
        <v>38</v>
      </c>
      <c r="L22" s="71" t="s">
        <v>39</v>
      </c>
      <c r="M22" s="72" t="s">
        <v>40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ht="18.75" customHeight="1">
      <c r="A23" s="45"/>
      <c r="B23" s="46"/>
      <c r="C23" s="47"/>
      <c r="D23" s="47"/>
      <c r="E23" s="54"/>
      <c r="F23" s="46"/>
      <c r="G23" s="47"/>
      <c r="H23" s="47"/>
      <c r="I23" s="49"/>
      <c r="J23" s="62"/>
      <c r="K23" s="63"/>
      <c r="L23" s="63"/>
      <c r="M23" s="64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</row>
    <row r="24" ht="18.75" customHeight="1">
      <c r="A24" s="45"/>
      <c r="B24" s="46"/>
      <c r="C24" s="47"/>
      <c r="D24" s="47"/>
      <c r="E24" s="54"/>
      <c r="F24" s="46"/>
      <c r="G24" s="47"/>
      <c r="H24" s="47"/>
      <c r="I24" s="49"/>
      <c r="J24" s="73">
        <v>2.0</v>
      </c>
      <c r="K24" s="67">
        <v>123.0</v>
      </c>
      <c r="L24" s="67">
        <v>20.0</v>
      </c>
      <c r="M24" s="74">
        <v>0.0</v>
      </c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</row>
    <row r="25" ht="18.75" customHeight="1">
      <c r="A25" s="45"/>
      <c r="B25" s="46"/>
      <c r="C25" s="47"/>
      <c r="D25" s="47"/>
      <c r="E25" s="54"/>
      <c r="F25" s="46"/>
      <c r="G25" s="47"/>
      <c r="H25" s="47"/>
      <c r="I25" s="49"/>
      <c r="J25" s="75" t="s">
        <v>41</v>
      </c>
      <c r="K25" s="76"/>
      <c r="L25" s="71" t="s">
        <v>42</v>
      </c>
      <c r="M25" s="72" t="s">
        <v>43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ht="18.75" customHeight="1">
      <c r="A26" s="45"/>
      <c r="B26" s="46"/>
      <c r="C26" s="47"/>
      <c r="D26" s="47"/>
      <c r="E26" s="54"/>
      <c r="F26" s="46"/>
      <c r="G26" s="47"/>
      <c r="H26" s="47"/>
      <c r="I26" s="49"/>
      <c r="J26" s="77"/>
      <c r="K26" s="78"/>
      <c r="L26" s="63"/>
      <c r="M26" s="64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</row>
    <row r="27" ht="18.75" customHeight="1">
      <c r="A27" s="45"/>
      <c r="B27" s="46"/>
      <c r="C27" s="47"/>
      <c r="D27" s="47"/>
      <c r="E27" s="54"/>
      <c r="F27" s="46"/>
      <c r="G27" s="47"/>
      <c r="H27" s="47"/>
      <c r="I27" s="49"/>
      <c r="J27" s="79">
        <v>0.0</v>
      </c>
      <c r="K27" s="80"/>
      <c r="L27" s="81">
        <v>0.05</v>
      </c>
      <c r="M27" s="82">
        <v>0.0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</row>
    <row r="28" ht="18.75" customHeight="1">
      <c r="A28" s="45"/>
      <c r="B28" s="46"/>
      <c r="C28" s="47"/>
      <c r="D28" s="47"/>
      <c r="E28" s="54"/>
      <c r="F28" s="46"/>
      <c r="G28" s="47"/>
      <c r="H28" s="47"/>
      <c r="I28" s="49"/>
      <c r="J28" s="83"/>
      <c r="K28" s="70" t="s">
        <v>139</v>
      </c>
      <c r="L28" s="70" t="s">
        <v>44</v>
      </c>
      <c r="M28" s="72" t="s">
        <v>45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</row>
    <row r="29" ht="18.75" customHeight="1">
      <c r="A29" s="45"/>
      <c r="B29" s="46"/>
      <c r="C29" s="47"/>
      <c r="D29" s="47"/>
      <c r="E29" s="54"/>
      <c r="F29" s="46"/>
      <c r="G29" s="47"/>
      <c r="H29" s="47"/>
      <c r="I29" s="49"/>
      <c r="J29" s="84"/>
      <c r="K29" s="63"/>
      <c r="L29" s="63"/>
      <c r="M29" s="64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</row>
    <row r="30" ht="18.75" customHeight="1">
      <c r="A30" s="45"/>
      <c r="B30" s="85"/>
      <c r="C30" s="86"/>
      <c r="D30" s="86"/>
      <c r="E30" s="87"/>
      <c r="F30" s="85"/>
      <c r="G30" s="86"/>
      <c r="H30" s="86"/>
      <c r="I30" s="88"/>
      <c r="J30" s="12"/>
      <c r="K30" s="224">
        <v>0.0</v>
      </c>
      <c r="L30" s="89">
        <v>0.95</v>
      </c>
      <c r="M30" s="90">
        <v>0.0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"/>
      <c r="B1" s="129" t="s">
        <v>76</v>
      </c>
      <c r="C1" s="223">
        <v>46099.0</v>
      </c>
      <c r="D1" s="4" t="s">
        <v>1</v>
      </c>
      <c r="E1" s="5">
        <v>46099.0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9.5" customHeight="1">
      <c r="A2" s="1"/>
      <c r="B2" s="11"/>
      <c r="C2" s="12"/>
      <c r="D2" s="11"/>
      <c r="E2" s="13"/>
      <c r="F2" s="14">
        <v>0.3837880587369714</v>
      </c>
      <c r="H2" s="10"/>
      <c r="I2" s="15">
        <v>45313.0</v>
      </c>
      <c r="K2" s="10"/>
      <c r="L2" s="16" t="s">
        <v>5</v>
      </c>
      <c r="M2" s="17">
        <v>11601.0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15.75" customHeight="1">
      <c r="A3" s="20"/>
      <c r="B3" s="21" t="str">
        <f>CHOOSE(WEEKDAY(C1), "Neděle", "Pondělí", "Úterý", "Středa", "Čtvrtek", "Pátek", "Sobota")</f>
        <v>Středa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4018.0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ht="15.75" customHeight="1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5896.0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15.75" customHeight="1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24" t="s">
        <v>10</v>
      </c>
      <c r="M5" s="25">
        <v>16846.0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15.75" customHeight="1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24" t="s">
        <v>11</v>
      </c>
      <c r="M6" s="25">
        <v>0.0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15.75" customHeight="1">
      <c r="A7" s="9"/>
      <c r="B7" s="30">
        <f>TEXT(SUMPRODUCT((IFERROR(LEFT(D10:D30, FIND(":", D10:D30) - 1) * 60, 0) + IFERROR(MID(D10:D30, FIND(":", D10:D30) + 1, LEN(D10:D30) - FIND(":", D10:D30)), 0))), "[h]:mm")/60</f>
        <v>28</v>
      </c>
      <c r="C7" s="26"/>
      <c r="D7" s="26"/>
      <c r="E7" s="13"/>
      <c r="F7" s="31">
        <f>TEXT(SUMPRODUCT((IFERROR(LEFT(H10:H30, FIND(":", H10:H30) - 1) * 60, 0) + IFERROR(MID(H10:H30, FIND(":", H10:H30) + 1, LEN(H10:H30) - FIND(":", H10:H30)), 0))), "[h]:mm")/60</f>
        <v>19</v>
      </c>
      <c r="G7" s="7"/>
      <c r="H7" s="7"/>
      <c r="I7" s="7"/>
      <c r="J7" s="32"/>
      <c r="K7" s="32"/>
      <c r="L7" s="33" t="s">
        <v>12</v>
      </c>
      <c r="M7" s="34">
        <v>1587.0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15.75" customHeight="1">
      <c r="A8" s="35"/>
      <c r="B8" s="36" t="s">
        <v>13</v>
      </c>
      <c r="C8" s="22"/>
      <c r="D8" s="22"/>
      <c r="E8" s="23"/>
      <c r="F8" s="37" t="s">
        <v>14</v>
      </c>
      <c r="G8" s="22"/>
      <c r="H8" s="22"/>
      <c r="I8" s="23"/>
      <c r="J8" s="36" t="s">
        <v>15</v>
      </c>
      <c r="K8" s="23"/>
      <c r="L8" s="3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15.75" customHeight="1">
      <c r="A9" s="38"/>
      <c r="B9" s="39" t="s">
        <v>17</v>
      </c>
      <c r="C9" s="40" t="s">
        <v>18</v>
      </c>
      <c r="D9" s="40" t="s">
        <v>19</v>
      </c>
      <c r="E9" s="41"/>
      <c r="F9" s="39" t="s">
        <v>17</v>
      </c>
      <c r="G9" s="40" t="s">
        <v>18</v>
      </c>
      <c r="H9" s="40" t="s">
        <v>19</v>
      </c>
      <c r="I9" s="42" t="s">
        <v>20</v>
      </c>
      <c r="J9" s="43">
        <v>0.0</v>
      </c>
      <c r="K9" s="23"/>
      <c r="L9" s="44" t="s">
        <v>21</v>
      </c>
      <c r="M9" s="25">
        <v>3432.0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18.75" customHeight="1">
      <c r="A10" s="45"/>
      <c r="B10" s="46" t="s">
        <v>154</v>
      </c>
      <c r="C10" s="47">
        <v>1.0</v>
      </c>
      <c r="D10" s="47" t="s">
        <v>28</v>
      </c>
      <c r="E10" s="48" t="s">
        <v>22</v>
      </c>
      <c r="F10" s="46" t="s">
        <v>155</v>
      </c>
      <c r="G10" s="47">
        <v>1.0</v>
      </c>
      <c r="H10" s="47" t="s">
        <v>132</v>
      </c>
      <c r="I10" s="49">
        <v>10.0</v>
      </c>
      <c r="K10" s="10"/>
      <c r="L10" s="44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18.75" customHeight="1">
      <c r="A11" s="45"/>
      <c r="B11" s="46" t="s">
        <v>156</v>
      </c>
      <c r="C11" s="47">
        <v>1.0</v>
      </c>
      <c r="D11" s="47" t="s">
        <v>157</v>
      </c>
      <c r="E11" s="48" t="s">
        <v>24</v>
      </c>
      <c r="F11" s="46" t="s">
        <v>158</v>
      </c>
      <c r="G11" s="47">
        <v>1.0</v>
      </c>
      <c r="H11" s="47" t="s">
        <v>134</v>
      </c>
      <c r="I11" s="49">
        <v>8.0</v>
      </c>
      <c r="K11" s="10"/>
      <c r="L11" s="50" t="s">
        <v>16</v>
      </c>
      <c r="M11" s="51">
        <v>2560.0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8.75" customHeight="1">
      <c r="A12" s="45"/>
      <c r="B12" s="46" t="s">
        <v>159</v>
      </c>
      <c r="C12" s="47">
        <v>1.0</v>
      </c>
      <c r="D12" s="47" t="s">
        <v>28</v>
      </c>
      <c r="E12" s="48" t="s">
        <v>25</v>
      </c>
      <c r="F12" s="46" t="s">
        <v>160</v>
      </c>
      <c r="G12" s="47">
        <v>1.0</v>
      </c>
      <c r="H12" s="47" t="s">
        <v>161</v>
      </c>
      <c r="I12" s="49">
        <v>16.0</v>
      </c>
      <c r="K12" s="10"/>
      <c r="L12" s="52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18.75" customHeight="1">
      <c r="A13" s="45"/>
      <c r="B13" s="46"/>
      <c r="C13" s="47"/>
      <c r="D13" s="47"/>
      <c r="E13" s="48" t="s">
        <v>25</v>
      </c>
      <c r="F13" s="46"/>
      <c r="G13" s="47"/>
      <c r="H13" s="47"/>
      <c r="I13" s="49"/>
      <c r="K13" s="10"/>
      <c r="L13" s="16" t="s">
        <v>27</v>
      </c>
      <c r="M13" s="17">
        <v>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18.75" customHeight="1">
      <c r="A14" s="45"/>
      <c r="B14" s="46"/>
      <c r="C14" s="47"/>
      <c r="D14" s="47"/>
      <c r="E14" s="48" t="s">
        <v>28</v>
      </c>
      <c r="F14" s="46"/>
      <c r="G14" s="47"/>
      <c r="H14" s="47"/>
      <c r="I14" s="49"/>
      <c r="K14" s="10"/>
      <c r="L14" s="53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18.75" customHeight="1">
      <c r="A15" s="45"/>
      <c r="B15" s="46"/>
      <c r="C15" s="47"/>
      <c r="D15" s="47"/>
      <c r="E15" s="48" t="s">
        <v>28</v>
      </c>
      <c r="F15" s="46"/>
      <c r="G15" s="47"/>
      <c r="H15" s="47"/>
      <c r="I15" s="49"/>
      <c r="K15" s="10"/>
      <c r="L15" s="53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18.75" customHeight="1">
      <c r="A16" s="45"/>
      <c r="B16" s="46"/>
      <c r="C16" s="47"/>
      <c r="D16" s="47"/>
      <c r="E16" s="54"/>
      <c r="F16" s="46"/>
      <c r="G16" s="47"/>
      <c r="H16" s="47"/>
      <c r="I16" s="49"/>
      <c r="K16" s="10"/>
      <c r="L16" s="53" t="s">
        <v>31</v>
      </c>
      <c r="M16" s="25">
        <v>0.0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18.75" customHeight="1">
      <c r="A17" s="45"/>
      <c r="B17" s="46"/>
      <c r="C17" s="47"/>
      <c r="D17" s="47"/>
      <c r="E17" s="54"/>
      <c r="F17" s="46"/>
      <c r="G17" s="47"/>
      <c r="H17" s="47"/>
      <c r="I17" s="49"/>
      <c r="J17" s="26"/>
      <c r="K17" s="13"/>
      <c r="L17" s="55" t="s">
        <v>32</v>
      </c>
      <c r="M17" s="51">
        <v>960.0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18.75" customHeight="1">
      <c r="A18" s="45"/>
      <c r="B18" s="46"/>
      <c r="C18" s="47"/>
      <c r="D18" s="47"/>
      <c r="E18" s="54"/>
      <c r="F18" s="46"/>
      <c r="G18" s="47"/>
      <c r="H18" s="47"/>
      <c r="I18" s="49"/>
      <c r="J18" s="56"/>
      <c r="K18" s="7"/>
      <c r="L18" s="7"/>
      <c r="M18" s="8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</row>
    <row r="19" ht="18.75" customHeight="1">
      <c r="A19" s="45"/>
      <c r="B19" s="46"/>
      <c r="C19" s="47"/>
      <c r="D19" s="47"/>
      <c r="E19" s="54"/>
      <c r="F19" s="46"/>
      <c r="G19" s="47"/>
      <c r="H19" s="47"/>
      <c r="I19" s="49"/>
      <c r="J19" s="58" t="s">
        <v>33</v>
      </c>
      <c r="K19" s="59" t="s">
        <v>34</v>
      </c>
      <c r="L19" s="60" t="s">
        <v>35</v>
      </c>
      <c r="M19" s="61" t="s">
        <v>36</v>
      </c>
    </row>
    <row r="20" ht="18.75" customHeight="1">
      <c r="A20" s="45"/>
      <c r="B20" s="46"/>
      <c r="C20" s="47"/>
      <c r="D20" s="47"/>
      <c r="E20" s="54"/>
      <c r="F20" s="46"/>
      <c r="G20" s="47"/>
      <c r="H20" s="47"/>
      <c r="I20" s="49"/>
      <c r="J20" s="62"/>
      <c r="K20" s="63"/>
      <c r="L20" s="63"/>
      <c r="M20" s="64"/>
    </row>
    <row r="21" ht="18.75" customHeight="1">
      <c r="A21" s="45"/>
      <c r="B21" s="46"/>
      <c r="C21" s="47"/>
      <c r="D21" s="47"/>
      <c r="E21" s="54"/>
      <c r="F21" s="46"/>
      <c r="G21" s="47"/>
      <c r="H21" s="47"/>
      <c r="I21" s="49"/>
      <c r="J21" s="65">
        <v>0.0</v>
      </c>
      <c r="K21" s="66">
        <v>0.0</v>
      </c>
      <c r="L21" s="67">
        <v>4.0</v>
      </c>
      <c r="M21" s="68" t="s">
        <v>88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</row>
    <row r="22" ht="18.75" customHeight="1">
      <c r="A22" s="45"/>
      <c r="B22" s="46"/>
      <c r="C22" s="47"/>
      <c r="D22" s="47"/>
      <c r="E22" s="54"/>
      <c r="F22" s="46"/>
      <c r="G22" s="47"/>
      <c r="H22" s="47"/>
      <c r="I22" s="49"/>
      <c r="J22" s="69" t="s">
        <v>37</v>
      </c>
      <c r="K22" s="70" t="s">
        <v>38</v>
      </c>
      <c r="L22" s="71" t="s">
        <v>39</v>
      </c>
      <c r="M22" s="72" t="s">
        <v>40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ht="18.75" customHeight="1">
      <c r="A23" s="45"/>
      <c r="B23" s="46"/>
      <c r="C23" s="47"/>
      <c r="D23" s="47"/>
      <c r="E23" s="54"/>
      <c r="F23" s="46"/>
      <c r="G23" s="47"/>
      <c r="H23" s="47"/>
      <c r="I23" s="49"/>
      <c r="J23" s="62"/>
      <c r="K23" s="63"/>
      <c r="L23" s="63"/>
      <c r="M23" s="64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</row>
    <row r="24" ht="18.75" customHeight="1">
      <c r="A24" s="45"/>
      <c r="B24" s="46"/>
      <c r="C24" s="47"/>
      <c r="D24" s="47"/>
      <c r="E24" s="54"/>
      <c r="F24" s="46"/>
      <c r="G24" s="47"/>
      <c r="H24" s="47"/>
      <c r="I24" s="49"/>
      <c r="J24" s="73">
        <v>2.0</v>
      </c>
      <c r="K24" s="67">
        <v>115.0</v>
      </c>
      <c r="L24" s="67">
        <v>34.0</v>
      </c>
      <c r="M24" s="74">
        <v>1.0</v>
      </c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</row>
    <row r="25" ht="18.75" customHeight="1">
      <c r="A25" s="45"/>
      <c r="B25" s="46"/>
      <c r="C25" s="47"/>
      <c r="D25" s="47"/>
      <c r="E25" s="54"/>
      <c r="F25" s="46"/>
      <c r="G25" s="47"/>
      <c r="H25" s="47"/>
      <c r="I25" s="49"/>
      <c r="J25" s="75" t="s">
        <v>41</v>
      </c>
      <c r="K25" s="76"/>
      <c r="L25" s="71" t="s">
        <v>42</v>
      </c>
      <c r="M25" s="72" t="s">
        <v>43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ht="18.75" customHeight="1">
      <c r="A26" s="45"/>
      <c r="B26" s="46"/>
      <c r="C26" s="47"/>
      <c r="D26" s="47"/>
      <c r="E26" s="54"/>
      <c r="F26" s="46"/>
      <c r="G26" s="47"/>
      <c r="H26" s="47"/>
      <c r="I26" s="49"/>
      <c r="J26" s="77"/>
      <c r="K26" s="78"/>
      <c r="L26" s="63"/>
      <c r="M26" s="64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</row>
    <row r="27" ht="18.75" customHeight="1">
      <c r="A27" s="45"/>
      <c r="B27" s="46"/>
      <c r="C27" s="47"/>
      <c r="D27" s="47"/>
      <c r="E27" s="54"/>
      <c r="F27" s="46"/>
      <c r="G27" s="47"/>
      <c r="H27" s="47"/>
      <c r="I27" s="49"/>
      <c r="J27" s="79">
        <v>0.0</v>
      </c>
      <c r="K27" s="80"/>
      <c r="L27" s="81">
        <v>0.11764705882352941</v>
      </c>
      <c r="M27" s="82">
        <v>0.0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</row>
    <row r="28" ht="18.75" customHeight="1">
      <c r="A28" s="45"/>
      <c r="B28" s="46"/>
      <c r="C28" s="47"/>
      <c r="D28" s="47"/>
      <c r="E28" s="54"/>
      <c r="F28" s="46"/>
      <c r="G28" s="47"/>
      <c r="H28" s="47"/>
      <c r="I28" s="49"/>
      <c r="J28" s="83"/>
      <c r="K28" s="70" t="s">
        <v>139</v>
      </c>
      <c r="L28" s="70" t="s">
        <v>44</v>
      </c>
      <c r="M28" s="72" t="s">
        <v>45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</row>
    <row r="29" ht="18.75" customHeight="1">
      <c r="A29" s="45"/>
      <c r="B29" s="46"/>
      <c r="C29" s="47"/>
      <c r="D29" s="47"/>
      <c r="E29" s="54"/>
      <c r="F29" s="46"/>
      <c r="G29" s="47"/>
      <c r="H29" s="47"/>
      <c r="I29" s="49"/>
      <c r="J29" s="84"/>
      <c r="K29" s="63"/>
      <c r="L29" s="63"/>
      <c r="M29" s="64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</row>
    <row r="30" ht="18.75" customHeight="1">
      <c r="A30" s="45"/>
      <c r="B30" s="85"/>
      <c r="C30" s="86"/>
      <c r="D30" s="86"/>
      <c r="E30" s="87"/>
      <c r="F30" s="85"/>
      <c r="G30" s="86"/>
      <c r="H30" s="86"/>
      <c r="I30" s="88"/>
      <c r="J30" s="12"/>
      <c r="K30" s="224">
        <v>0.0</v>
      </c>
      <c r="L30" s="89">
        <v>0.8823529411764706</v>
      </c>
      <c r="M30" s="90">
        <v>0.0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</row>
    <row r="31" ht="18.75" customHeight="1">
      <c r="A31" s="45"/>
      <c r="B31" s="225"/>
      <c r="C31" s="225"/>
      <c r="D31" s="225"/>
      <c r="E31" s="226"/>
      <c r="F31" s="225" t="s">
        <v>162</v>
      </c>
      <c r="G31" s="225">
        <v>6.0</v>
      </c>
      <c r="H31" s="225" t="s">
        <v>163</v>
      </c>
      <c r="I31" s="227">
        <v>52.0</v>
      </c>
      <c r="J31" s="228"/>
      <c r="K31" s="229"/>
      <c r="L31" s="230"/>
      <c r="M31" s="230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</row>
    <row r="32" ht="18.75" customHeight="1">
      <c r="A32" s="45"/>
      <c r="B32" s="225"/>
      <c r="C32" s="225"/>
      <c r="D32" s="225"/>
      <c r="E32" s="226"/>
      <c r="F32" s="225" t="s">
        <v>164</v>
      </c>
      <c r="G32" s="225">
        <v>3.0</v>
      </c>
      <c r="H32" s="225" t="s">
        <v>141</v>
      </c>
      <c r="I32" s="227">
        <v>27.0</v>
      </c>
      <c r="J32" s="228"/>
      <c r="K32" s="229"/>
      <c r="L32" s="230"/>
      <c r="M32" s="230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</row>
    <row r="33" ht="18.75" customHeight="1">
      <c r="A33" s="45"/>
      <c r="B33" s="225"/>
      <c r="C33" s="225"/>
      <c r="D33" s="225"/>
      <c r="E33" s="226"/>
      <c r="F33" s="225" t="s">
        <v>165</v>
      </c>
      <c r="G33" s="225">
        <v>6.0</v>
      </c>
      <c r="H33" s="225" t="s">
        <v>166</v>
      </c>
      <c r="I33" s="227">
        <v>82.0</v>
      </c>
      <c r="J33" s="228"/>
      <c r="K33" s="229"/>
      <c r="L33" s="230"/>
      <c r="M33" s="230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</row>
    <row r="34" ht="18.75" customHeight="1">
      <c r="A34" s="45"/>
      <c r="B34" s="225"/>
      <c r="C34" s="225"/>
      <c r="D34" s="225"/>
      <c r="E34" s="226"/>
      <c r="F34" s="225" t="s">
        <v>167</v>
      </c>
      <c r="G34" s="225">
        <v>2.0</v>
      </c>
      <c r="H34" s="225" t="s">
        <v>168</v>
      </c>
      <c r="I34" s="227">
        <v>0.0</v>
      </c>
      <c r="J34" s="228"/>
      <c r="K34" s="229"/>
      <c r="L34" s="230"/>
      <c r="M34" s="230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</row>
    <row r="35" ht="18.75" customHeight="1">
      <c r="A35" s="45"/>
      <c r="B35" s="225"/>
      <c r="C35" s="225"/>
      <c r="D35" s="225"/>
      <c r="E35" s="226"/>
      <c r="F35" s="225" t="s">
        <v>169</v>
      </c>
      <c r="G35" s="225">
        <v>2.0</v>
      </c>
      <c r="H35" s="225" t="s">
        <v>170</v>
      </c>
      <c r="I35" s="227">
        <v>22.0</v>
      </c>
      <c r="J35" s="228"/>
      <c r="K35" s="229"/>
      <c r="L35" s="230"/>
      <c r="M35" s="230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</row>
    <row r="36" ht="18.75" customHeight="1">
      <c r="A36" s="45"/>
      <c r="B36" s="225"/>
      <c r="C36" s="225"/>
      <c r="D36" s="225"/>
      <c r="E36" s="226"/>
      <c r="F36" s="225" t="s">
        <v>171</v>
      </c>
      <c r="G36" s="225">
        <v>1.0</v>
      </c>
      <c r="H36" s="225" t="s">
        <v>161</v>
      </c>
      <c r="I36" s="227">
        <v>6.0</v>
      </c>
      <c r="J36" s="228"/>
      <c r="K36" s="229"/>
      <c r="L36" s="230"/>
      <c r="M36" s="230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</row>
    <row r="37" ht="18.75" customHeight="1">
      <c r="A37" s="45"/>
      <c r="B37" s="225"/>
      <c r="C37" s="225"/>
      <c r="D37" s="225"/>
      <c r="E37" s="226"/>
      <c r="F37" s="225" t="s">
        <v>167</v>
      </c>
      <c r="G37" s="225">
        <v>2.0</v>
      </c>
      <c r="H37" s="225" t="s">
        <v>168</v>
      </c>
      <c r="I37" s="227">
        <v>0.0</v>
      </c>
      <c r="J37" s="228"/>
      <c r="K37" s="229"/>
      <c r="L37" s="230"/>
      <c r="M37" s="230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</row>
    <row r="38" ht="18.75" customHeight="1">
      <c r="A38" s="45"/>
      <c r="B38" s="225"/>
      <c r="C38" s="225"/>
      <c r="D38" s="225"/>
      <c r="E38" s="226"/>
      <c r="F38" s="225" t="s">
        <v>171</v>
      </c>
      <c r="G38" s="225">
        <v>3.0</v>
      </c>
      <c r="H38" s="225" t="s">
        <v>172</v>
      </c>
      <c r="I38" s="227">
        <v>12.0</v>
      </c>
      <c r="J38" s="228"/>
      <c r="K38" s="229"/>
      <c r="L38" s="230"/>
      <c r="M38" s="230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"/>
      <c r="B1" s="130" t="s">
        <v>77</v>
      </c>
      <c r="C1" s="223">
        <v>46099.0</v>
      </c>
      <c r="D1" s="4" t="s">
        <v>1</v>
      </c>
      <c r="E1" s="5">
        <v>46099.0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9.5" customHeight="1">
      <c r="A2" s="1"/>
      <c r="B2" s="11"/>
      <c r="C2" s="12"/>
      <c r="D2" s="11"/>
      <c r="E2" s="13"/>
      <c r="F2" s="14">
        <v>0.3782751463089745</v>
      </c>
      <c r="H2" s="10"/>
      <c r="I2" s="15">
        <v>33988.5</v>
      </c>
      <c r="K2" s="10"/>
      <c r="L2" s="16" t="s">
        <v>5</v>
      </c>
      <c r="M2" s="17">
        <v>8098.0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15.75" customHeight="1">
      <c r="A3" s="20"/>
      <c r="B3" s="21" t="str">
        <f>CHOOSE(WEEKDAY(C1), "Neděle", "Pondělí", "Úterý", "Středa", "Čtvrtek", "Pátek", "Sobota")</f>
        <v>Středa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1450.0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ht="15.75" customHeight="1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7563.0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15.75" customHeight="1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24" t="s">
        <v>10</v>
      </c>
      <c r="M5" s="25">
        <v>10188.0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15.75" customHeight="1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24" t="s">
        <v>11</v>
      </c>
      <c r="M6" s="25">
        <v>1882.0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15.75" customHeight="1">
      <c r="A7" s="9"/>
      <c r="B7" s="30">
        <f>TEXT(SUMPRODUCT((IFERROR(LEFT(D10:D30, FIND(":", D10:D30) - 1) * 60, 0) + IFERROR(MID(D10:D30, FIND(":", D10:D30) + 1, LEN(D10:D30) - FIND(":", D10:D30)), 0))), "[h]:mm")/60</f>
        <v>18.5</v>
      </c>
      <c r="C7" s="26"/>
      <c r="D7" s="26"/>
      <c r="E7" s="13"/>
      <c r="F7" s="31">
        <f>TEXT(SUMPRODUCT((IFERROR(LEFT(H10:H30, FIND(":", H10:H30) - 1) * 60, 0) + IFERROR(MID(H10:H30, FIND(":", H10:H30) + 1, LEN(H10:H30) - FIND(":", H10:H30)), 0))), "[h]:mm")/60</f>
        <v>12.5</v>
      </c>
      <c r="G7" s="7"/>
      <c r="H7" s="7"/>
      <c r="I7" s="7"/>
      <c r="J7" s="32"/>
      <c r="K7" s="32"/>
      <c r="L7" s="33" t="s">
        <v>12</v>
      </c>
      <c r="M7" s="34">
        <v>1853.0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15.75" customHeight="1">
      <c r="A8" s="35"/>
      <c r="B8" s="36" t="s">
        <v>13</v>
      </c>
      <c r="C8" s="22"/>
      <c r="D8" s="22"/>
      <c r="E8" s="23"/>
      <c r="F8" s="37" t="s">
        <v>14</v>
      </c>
      <c r="G8" s="22"/>
      <c r="H8" s="22"/>
      <c r="I8" s="23"/>
      <c r="J8" s="36" t="s">
        <v>15</v>
      </c>
      <c r="K8" s="23"/>
      <c r="L8" s="3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15.75" customHeight="1">
      <c r="A9" s="38"/>
      <c r="B9" s="39" t="s">
        <v>17</v>
      </c>
      <c r="C9" s="40" t="s">
        <v>18</v>
      </c>
      <c r="D9" s="40" t="s">
        <v>19</v>
      </c>
      <c r="E9" s="41"/>
      <c r="F9" s="39" t="s">
        <v>17</v>
      </c>
      <c r="G9" s="40" t="s">
        <v>18</v>
      </c>
      <c r="H9" s="40" t="s">
        <v>19</v>
      </c>
      <c r="I9" s="42" t="s">
        <v>20</v>
      </c>
      <c r="J9" s="43">
        <v>0.5</v>
      </c>
      <c r="K9" s="23"/>
      <c r="L9" s="44" t="s">
        <v>21</v>
      </c>
      <c r="M9" s="25">
        <v>1225.0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18.75" customHeight="1">
      <c r="A10" s="45"/>
      <c r="B10" s="46" t="s">
        <v>173</v>
      </c>
      <c r="C10" s="47">
        <v>1.0</v>
      </c>
      <c r="D10" s="47" t="s">
        <v>28</v>
      </c>
      <c r="E10" s="48" t="s">
        <v>22</v>
      </c>
      <c r="F10" s="46" t="s">
        <v>174</v>
      </c>
      <c r="G10" s="47">
        <v>1.0</v>
      </c>
      <c r="H10" s="47" t="s">
        <v>175</v>
      </c>
      <c r="I10" s="49">
        <v>17.0</v>
      </c>
      <c r="K10" s="10"/>
      <c r="L10" s="44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18.75" customHeight="1">
      <c r="A11" s="45"/>
      <c r="B11" s="46" t="s">
        <v>176</v>
      </c>
      <c r="C11" s="47">
        <v>1.0</v>
      </c>
      <c r="D11" s="47" t="s">
        <v>177</v>
      </c>
      <c r="E11" s="48" t="s">
        <v>24</v>
      </c>
      <c r="F11" s="46"/>
      <c r="G11" s="47"/>
      <c r="H11" s="47"/>
      <c r="I11" s="49"/>
      <c r="K11" s="10"/>
      <c r="L11" s="50" t="s">
        <v>16</v>
      </c>
      <c r="M11" s="51">
        <v>2804.0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8.75" customHeight="1">
      <c r="A12" s="45"/>
      <c r="B12" s="46" t="s">
        <v>145</v>
      </c>
      <c r="C12" s="47">
        <v>1.0</v>
      </c>
      <c r="D12" s="47" t="s">
        <v>178</v>
      </c>
      <c r="E12" s="48" t="s">
        <v>25</v>
      </c>
      <c r="F12" s="46"/>
      <c r="G12" s="47"/>
      <c r="H12" s="47"/>
      <c r="I12" s="49"/>
      <c r="K12" s="10"/>
      <c r="L12" s="52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18.75" customHeight="1">
      <c r="A13" s="45"/>
      <c r="B13" s="46"/>
      <c r="C13" s="47"/>
      <c r="D13" s="47"/>
      <c r="E13" s="48" t="s">
        <v>25</v>
      </c>
      <c r="F13" s="46"/>
      <c r="G13" s="47"/>
      <c r="H13" s="47"/>
      <c r="I13" s="49"/>
      <c r="K13" s="10"/>
      <c r="L13" s="16" t="s">
        <v>27</v>
      </c>
      <c r="M13" s="17">
        <v>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18.75" customHeight="1">
      <c r="A14" s="45"/>
      <c r="B14" s="46"/>
      <c r="C14" s="47"/>
      <c r="D14" s="47"/>
      <c r="E14" s="48" t="s">
        <v>28</v>
      </c>
      <c r="F14" s="46"/>
      <c r="G14" s="47"/>
      <c r="H14" s="47"/>
      <c r="I14" s="49"/>
      <c r="K14" s="10"/>
      <c r="L14" s="53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18.75" customHeight="1">
      <c r="A15" s="45"/>
      <c r="B15" s="46"/>
      <c r="C15" s="47"/>
      <c r="D15" s="47"/>
      <c r="E15" s="48" t="s">
        <v>28</v>
      </c>
      <c r="F15" s="46"/>
      <c r="G15" s="47"/>
      <c r="H15" s="47"/>
      <c r="I15" s="49"/>
      <c r="K15" s="10"/>
      <c r="L15" s="53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18.75" customHeight="1">
      <c r="A16" s="45"/>
      <c r="B16" s="46"/>
      <c r="C16" s="47"/>
      <c r="D16" s="47"/>
      <c r="E16" s="54"/>
      <c r="F16" s="46"/>
      <c r="G16" s="47"/>
      <c r="H16" s="47"/>
      <c r="I16" s="49"/>
      <c r="K16" s="10"/>
      <c r="L16" s="53" t="s">
        <v>31</v>
      </c>
      <c r="M16" s="25">
        <v>99.0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18.75" customHeight="1">
      <c r="A17" s="45"/>
      <c r="B17" s="46"/>
      <c r="C17" s="47"/>
      <c r="D17" s="47"/>
      <c r="E17" s="54"/>
      <c r="F17" s="46"/>
      <c r="G17" s="47"/>
      <c r="H17" s="47"/>
      <c r="I17" s="49"/>
      <c r="J17" s="26"/>
      <c r="K17" s="13"/>
      <c r="L17" s="55" t="s">
        <v>32</v>
      </c>
      <c r="M17" s="51">
        <v>680.0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18.75" customHeight="1">
      <c r="A18" s="45"/>
      <c r="B18" s="46"/>
      <c r="C18" s="47"/>
      <c r="D18" s="47"/>
      <c r="E18" s="54"/>
      <c r="F18" s="46"/>
      <c r="G18" s="47"/>
      <c r="H18" s="47"/>
      <c r="I18" s="49"/>
      <c r="J18" s="56"/>
      <c r="K18" s="7"/>
      <c r="L18" s="7"/>
      <c r="M18" s="8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</row>
    <row r="19" ht="18.75" customHeight="1">
      <c r="A19" s="45"/>
      <c r="B19" s="46"/>
      <c r="C19" s="47"/>
      <c r="D19" s="47"/>
      <c r="E19" s="54"/>
      <c r="F19" s="46"/>
      <c r="G19" s="47"/>
      <c r="H19" s="47"/>
      <c r="I19" s="49"/>
      <c r="J19" s="58" t="s">
        <v>33</v>
      </c>
      <c r="K19" s="59" t="s">
        <v>34</v>
      </c>
      <c r="L19" s="60" t="s">
        <v>35</v>
      </c>
      <c r="M19" s="61" t="s">
        <v>36</v>
      </c>
    </row>
    <row r="20" ht="18.75" customHeight="1">
      <c r="A20" s="45"/>
      <c r="B20" s="46"/>
      <c r="C20" s="47"/>
      <c r="D20" s="47"/>
      <c r="E20" s="54"/>
      <c r="F20" s="46"/>
      <c r="G20" s="47"/>
      <c r="H20" s="47"/>
      <c r="I20" s="49"/>
      <c r="J20" s="62"/>
      <c r="K20" s="63"/>
      <c r="L20" s="63"/>
      <c r="M20" s="64"/>
    </row>
    <row r="21" ht="18.75" customHeight="1">
      <c r="A21" s="45"/>
      <c r="B21" s="46"/>
      <c r="C21" s="47"/>
      <c r="D21" s="47"/>
      <c r="E21" s="54"/>
      <c r="F21" s="46"/>
      <c r="G21" s="47"/>
      <c r="H21" s="47"/>
      <c r="I21" s="49"/>
      <c r="J21" s="65">
        <v>0.0</v>
      </c>
      <c r="K21" s="66">
        <v>0.0</v>
      </c>
      <c r="L21" s="67">
        <v>2.0</v>
      </c>
      <c r="M21" s="68" t="s">
        <v>179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</row>
    <row r="22" ht="18.75" customHeight="1">
      <c r="A22" s="45"/>
      <c r="B22" s="46"/>
      <c r="C22" s="47"/>
      <c r="D22" s="47"/>
      <c r="E22" s="54"/>
      <c r="F22" s="46"/>
      <c r="G22" s="47"/>
      <c r="H22" s="47"/>
      <c r="I22" s="49"/>
      <c r="J22" s="69" t="s">
        <v>37</v>
      </c>
      <c r="K22" s="70" t="s">
        <v>38</v>
      </c>
      <c r="L22" s="71" t="s">
        <v>39</v>
      </c>
      <c r="M22" s="72" t="s">
        <v>40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ht="18.75" customHeight="1">
      <c r="A23" s="45"/>
      <c r="B23" s="46"/>
      <c r="C23" s="47"/>
      <c r="D23" s="47"/>
      <c r="E23" s="54"/>
      <c r="F23" s="46"/>
      <c r="G23" s="47"/>
      <c r="H23" s="47"/>
      <c r="I23" s="49"/>
      <c r="J23" s="62"/>
      <c r="K23" s="63"/>
      <c r="L23" s="63"/>
      <c r="M23" s="64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</row>
    <row r="24" ht="18.75" customHeight="1">
      <c r="A24" s="45"/>
      <c r="B24" s="46"/>
      <c r="C24" s="47"/>
      <c r="D24" s="47"/>
      <c r="E24" s="54"/>
      <c r="F24" s="46"/>
      <c r="G24" s="47"/>
      <c r="H24" s="47"/>
      <c r="I24" s="49"/>
      <c r="J24" s="73">
        <v>1.0</v>
      </c>
      <c r="K24" s="67">
        <v>84.0</v>
      </c>
      <c r="L24" s="67">
        <v>19.0</v>
      </c>
      <c r="M24" s="74">
        <v>3.0</v>
      </c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</row>
    <row r="25" ht="18.75" customHeight="1">
      <c r="A25" s="45"/>
      <c r="B25" s="46"/>
      <c r="C25" s="47"/>
      <c r="D25" s="47"/>
      <c r="E25" s="54"/>
      <c r="F25" s="46"/>
      <c r="G25" s="47"/>
      <c r="H25" s="47"/>
      <c r="I25" s="49"/>
      <c r="J25" s="75" t="s">
        <v>41</v>
      </c>
      <c r="K25" s="76"/>
      <c r="L25" s="71" t="s">
        <v>42</v>
      </c>
      <c r="M25" s="72" t="s">
        <v>43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ht="18.75" customHeight="1">
      <c r="A26" s="45"/>
      <c r="B26" s="46"/>
      <c r="C26" s="47"/>
      <c r="D26" s="47"/>
      <c r="E26" s="54"/>
      <c r="F26" s="46"/>
      <c r="G26" s="47"/>
      <c r="H26" s="47"/>
      <c r="I26" s="49"/>
      <c r="J26" s="77"/>
      <c r="K26" s="78"/>
      <c r="L26" s="63"/>
      <c r="M26" s="64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</row>
    <row r="27" ht="18.75" customHeight="1">
      <c r="A27" s="45"/>
      <c r="B27" s="46"/>
      <c r="C27" s="47"/>
      <c r="D27" s="47"/>
      <c r="E27" s="54"/>
      <c r="F27" s="46"/>
      <c r="G27" s="47"/>
      <c r="H27" s="47"/>
      <c r="I27" s="49"/>
      <c r="J27" s="79">
        <v>1.0</v>
      </c>
      <c r="K27" s="80"/>
      <c r="L27" s="81">
        <v>0.10526315789473684</v>
      </c>
      <c r="M27" s="82">
        <v>1.0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</row>
    <row r="28" ht="18.75" customHeight="1">
      <c r="A28" s="45"/>
      <c r="B28" s="46"/>
      <c r="C28" s="47"/>
      <c r="D28" s="47"/>
      <c r="E28" s="54"/>
      <c r="F28" s="46"/>
      <c r="G28" s="47"/>
      <c r="H28" s="47"/>
      <c r="I28" s="49"/>
      <c r="J28" s="83"/>
      <c r="K28" s="70" t="s">
        <v>139</v>
      </c>
      <c r="L28" s="70" t="s">
        <v>44</v>
      </c>
      <c r="M28" s="72" t="s">
        <v>45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</row>
    <row r="29" ht="18.75" customHeight="1">
      <c r="A29" s="45"/>
      <c r="B29" s="46"/>
      <c r="C29" s="47"/>
      <c r="D29" s="47"/>
      <c r="E29" s="54"/>
      <c r="F29" s="46"/>
      <c r="G29" s="47"/>
      <c r="H29" s="47"/>
      <c r="I29" s="49"/>
      <c r="J29" s="84"/>
      <c r="K29" s="63"/>
      <c r="L29" s="63"/>
      <c r="M29" s="64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</row>
    <row r="30" ht="18.75" customHeight="1">
      <c r="A30" s="45"/>
      <c r="B30" s="85"/>
      <c r="C30" s="86"/>
      <c r="D30" s="86"/>
      <c r="E30" s="87"/>
      <c r="F30" s="85"/>
      <c r="G30" s="86"/>
      <c r="H30" s="86"/>
      <c r="I30" s="88"/>
      <c r="J30" s="12"/>
      <c r="K30" s="224">
        <v>2.0</v>
      </c>
      <c r="L30" s="89">
        <v>0.8947368421052632</v>
      </c>
      <c r="M30" s="90">
        <v>0.05263157894736842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</row>
    <row r="31" ht="18.75" customHeight="1">
      <c r="A31" s="45"/>
      <c r="B31" s="225"/>
      <c r="C31" s="225"/>
      <c r="D31" s="225"/>
      <c r="E31" s="226"/>
      <c r="F31" s="225" t="s">
        <v>174</v>
      </c>
      <c r="G31" s="225">
        <v>24.0</v>
      </c>
      <c r="H31" s="225" t="s">
        <v>180</v>
      </c>
      <c r="I31" s="227">
        <v>268.0</v>
      </c>
      <c r="J31" s="228"/>
      <c r="K31" s="229"/>
      <c r="L31" s="230"/>
      <c r="M31" s="230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</row>
    <row r="32" ht="18.75" customHeight="1">
      <c r="A32" s="45"/>
      <c r="B32" s="225"/>
      <c r="C32" s="225"/>
      <c r="D32" s="225"/>
      <c r="E32" s="226"/>
      <c r="F32" s="225" t="s">
        <v>181</v>
      </c>
      <c r="G32" s="225">
        <v>7.0</v>
      </c>
      <c r="H32" s="225" t="s">
        <v>182</v>
      </c>
      <c r="I32" s="227">
        <v>34.0</v>
      </c>
      <c r="J32" s="228"/>
      <c r="K32" s="229"/>
      <c r="L32" s="230"/>
      <c r="M32" s="230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</row>
    <row r="33" ht="18.75" customHeight="1">
      <c r="A33" s="45"/>
      <c r="B33" s="225"/>
      <c r="C33" s="225"/>
      <c r="D33" s="225"/>
      <c r="E33" s="226"/>
      <c r="F33" s="225" t="s">
        <v>183</v>
      </c>
      <c r="G33" s="225">
        <v>2.0</v>
      </c>
      <c r="H33" s="225" t="s">
        <v>184</v>
      </c>
      <c r="I33" s="227">
        <v>30.0</v>
      </c>
      <c r="J33" s="228"/>
      <c r="K33" s="229"/>
      <c r="L33" s="230"/>
      <c r="M33" s="230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</row>
    <row r="34" ht="18.75" customHeight="1">
      <c r="A34" s="45"/>
      <c r="B34" s="225"/>
      <c r="C34" s="225"/>
      <c r="D34" s="225"/>
      <c r="E34" s="226"/>
      <c r="F34" s="225" t="s">
        <v>133</v>
      </c>
      <c r="G34" s="225">
        <v>1.0</v>
      </c>
      <c r="H34" s="225" t="s">
        <v>185</v>
      </c>
      <c r="I34" s="227">
        <v>7.0</v>
      </c>
      <c r="J34" s="228"/>
      <c r="K34" s="229"/>
      <c r="L34" s="230"/>
      <c r="M34" s="230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</row>
    <row r="35" ht="18.75" customHeight="1">
      <c r="A35" s="45"/>
      <c r="B35" s="225"/>
      <c r="C35" s="225"/>
      <c r="D35" s="225"/>
      <c r="E35" s="226"/>
      <c r="F35" s="225" t="s">
        <v>186</v>
      </c>
      <c r="G35" s="225">
        <v>4.0</v>
      </c>
      <c r="H35" s="225" t="s">
        <v>187</v>
      </c>
      <c r="I35" s="227">
        <v>44.0</v>
      </c>
      <c r="J35" s="228"/>
      <c r="K35" s="229"/>
      <c r="L35" s="230"/>
      <c r="M35" s="230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"/>
      <c r="B1" s="131" t="s">
        <v>78</v>
      </c>
      <c r="C1" s="223">
        <v>46099.0</v>
      </c>
      <c r="D1" s="4" t="s">
        <v>1</v>
      </c>
      <c r="E1" s="5">
        <v>46099.0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9.5" customHeight="1">
      <c r="A2" s="1"/>
      <c r="B2" s="11"/>
      <c r="C2" s="12"/>
      <c r="D2" s="11"/>
      <c r="E2" s="13"/>
      <c r="F2" s="14">
        <v>0.28007752327091806</v>
      </c>
      <c r="H2" s="10"/>
      <c r="I2" s="15">
        <v>27516.0</v>
      </c>
      <c r="K2" s="10"/>
      <c r="L2" s="16" t="s">
        <v>5</v>
      </c>
      <c r="M2" s="17">
        <v>10177.0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15.75" customHeight="1">
      <c r="A3" s="20"/>
      <c r="B3" s="21" t="str">
        <f>CHOOSE(WEEKDAY(C1), "Neděle", "Pondělí", "Úterý", "Středa", "Čtvrtek", "Pátek", "Sobota")</f>
        <v>Středa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5854.0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ht="15.75" customHeight="1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5685.0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15.75" customHeight="1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24" t="s">
        <v>10</v>
      </c>
      <c r="M5" s="25">
        <v>2977.0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15.75" customHeight="1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24" t="s">
        <v>11</v>
      </c>
      <c r="M6" s="25">
        <v>0.0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15.75" customHeight="1">
      <c r="A7" s="9"/>
      <c r="B7" s="30">
        <f>TEXT(SUMPRODUCT((IFERROR(LEFT(D10:D30, FIND(":", D10:D30) - 1) * 60, 0) + IFERROR(MID(D10:D30, FIND(":", D10:D30) + 1, LEN(D10:D30) - FIND(":", D10:D30)), 0))), "[h]:mm")/60</f>
        <v>1</v>
      </c>
      <c r="C7" s="26"/>
      <c r="D7" s="26"/>
      <c r="E7" s="13"/>
      <c r="F7" s="31">
        <f>TEXT(SUMPRODUCT((IFERROR(LEFT(H10:H30, FIND(":", H10:H30) - 1) * 60, 0) + IFERROR(MID(H10:H30, FIND(":", H10:H30) + 1, LEN(H10:H30) - FIND(":", H10:H30)), 0))), "[h]:mm")/60</f>
        <v>14</v>
      </c>
      <c r="G7" s="7"/>
      <c r="H7" s="7"/>
      <c r="I7" s="7"/>
      <c r="J7" s="32"/>
      <c r="K7" s="32"/>
      <c r="L7" s="33" t="s">
        <v>12</v>
      </c>
      <c r="M7" s="34">
        <v>0.0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15.75" customHeight="1">
      <c r="A8" s="35"/>
      <c r="B8" s="36" t="s">
        <v>13</v>
      </c>
      <c r="C8" s="22"/>
      <c r="D8" s="22"/>
      <c r="E8" s="23"/>
      <c r="F8" s="37" t="s">
        <v>14</v>
      </c>
      <c r="G8" s="22"/>
      <c r="H8" s="22"/>
      <c r="I8" s="23"/>
      <c r="J8" s="36" t="s">
        <v>15</v>
      </c>
      <c r="K8" s="23"/>
      <c r="L8" s="3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15.75" customHeight="1">
      <c r="A9" s="38"/>
      <c r="B9" s="39" t="s">
        <v>17</v>
      </c>
      <c r="C9" s="40" t="s">
        <v>18</v>
      </c>
      <c r="D9" s="40" t="s">
        <v>19</v>
      </c>
      <c r="E9" s="41"/>
      <c r="F9" s="39" t="s">
        <v>17</v>
      </c>
      <c r="G9" s="40" t="s">
        <v>18</v>
      </c>
      <c r="H9" s="40" t="s">
        <v>19</v>
      </c>
      <c r="I9" s="42" t="s">
        <v>20</v>
      </c>
      <c r="J9" s="43">
        <v>0.0</v>
      </c>
      <c r="K9" s="23"/>
      <c r="L9" s="44" t="s">
        <v>21</v>
      </c>
      <c r="M9" s="25">
        <v>673.0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18.75" customHeight="1">
      <c r="A10" s="45"/>
      <c r="B10" s="46" t="s">
        <v>188</v>
      </c>
      <c r="C10" s="47">
        <v>1.0</v>
      </c>
      <c r="D10" s="47" t="s">
        <v>189</v>
      </c>
      <c r="E10" s="48" t="s">
        <v>22</v>
      </c>
      <c r="F10" s="46" t="s">
        <v>190</v>
      </c>
      <c r="G10" s="47">
        <v>1.0</v>
      </c>
      <c r="H10" s="47" t="s">
        <v>157</v>
      </c>
      <c r="I10" s="49">
        <v>8.0</v>
      </c>
      <c r="K10" s="10"/>
      <c r="L10" s="44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18.75" customHeight="1">
      <c r="A11" s="45"/>
      <c r="B11" s="46"/>
      <c r="C11" s="47"/>
      <c r="D11" s="47"/>
      <c r="E11" s="48" t="s">
        <v>24</v>
      </c>
      <c r="F11" s="46"/>
      <c r="G11" s="47"/>
      <c r="H11" s="47"/>
      <c r="I11" s="49"/>
      <c r="K11" s="10"/>
      <c r="L11" s="50" t="s">
        <v>16</v>
      </c>
      <c r="M11" s="51">
        <v>0.0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8.75" customHeight="1">
      <c r="A12" s="45"/>
      <c r="B12" s="46"/>
      <c r="C12" s="47"/>
      <c r="D12" s="47"/>
      <c r="E12" s="48" t="s">
        <v>25</v>
      </c>
      <c r="F12" s="46"/>
      <c r="G12" s="47"/>
      <c r="H12" s="47"/>
      <c r="I12" s="49"/>
      <c r="K12" s="10"/>
      <c r="L12" s="52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18.75" customHeight="1">
      <c r="A13" s="45"/>
      <c r="B13" s="46"/>
      <c r="C13" s="47"/>
      <c r="D13" s="47"/>
      <c r="E13" s="48" t="s">
        <v>25</v>
      </c>
      <c r="F13" s="46"/>
      <c r="G13" s="47"/>
      <c r="H13" s="47"/>
      <c r="I13" s="49"/>
      <c r="K13" s="10"/>
      <c r="L13" s="16" t="s">
        <v>27</v>
      </c>
      <c r="M13" s="17">
        <v>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18.75" customHeight="1">
      <c r="A14" s="45"/>
      <c r="B14" s="46"/>
      <c r="C14" s="47"/>
      <c r="D14" s="47"/>
      <c r="E14" s="48" t="s">
        <v>28</v>
      </c>
      <c r="F14" s="46"/>
      <c r="G14" s="47"/>
      <c r="H14" s="47"/>
      <c r="I14" s="49"/>
      <c r="K14" s="10"/>
      <c r="L14" s="53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18.75" customHeight="1">
      <c r="A15" s="45"/>
      <c r="B15" s="46"/>
      <c r="C15" s="47"/>
      <c r="D15" s="47"/>
      <c r="E15" s="48" t="s">
        <v>28</v>
      </c>
      <c r="F15" s="46"/>
      <c r="G15" s="47"/>
      <c r="H15" s="47"/>
      <c r="I15" s="49"/>
      <c r="K15" s="10"/>
      <c r="L15" s="53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18.75" customHeight="1">
      <c r="A16" s="45"/>
      <c r="B16" s="46"/>
      <c r="C16" s="47"/>
      <c r="D16" s="47"/>
      <c r="E16" s="54"/>
      <c r="F16" s="46"/>
      <c r="G16" s="47"/>
      <c r="H16" s="47"/>
      <c r="I16" s="49"/>
      <c r="K16" s="10"/>
      <c r="L16" s="53" t="s">
        <v>31</v>
      </c>
      <c r="M16" s="25">
        <v>1830.0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18.75" customHeight="1">
      <c r="A17" s="45"/>
      <c r="B17" s="46"/>
      <c r="C17" s="47"/>
      <c r="D17" s="47"/>
      <c r="E17" s="54"/>
      <c r="F17" s="46"/>
      <c r="G17" s="47"/>
      <c r="H17" s="47"/>
      <c r="I17" s="49"/>
      <c r="J17" s="26"/>
      <c r="K17" s="13"/>
      <c r="L17" s="55" t="s">
        <v>32</v>
      </c>
      <c r="M17" s="51">
        <v>320.0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18.75" customHeight="1">
      <c r="A18" s="45"/>
      <c r="B18" s="46"/>
      <c r="C18" s="47"/>
      <c r="D18" s="47"/>
      <c r="E18" s="54"/>
      <c r="F18" s="46"/>
      <c r="G18" s="47"/>
      <c r="H18" s="47"/>
      <c r="I18" s="49"/>
      <c r="J18" s="56"/>
      <c r="K18" s="7"/>
      <c r="L18" s="7"/>
      <c r="M18" s="8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</row>
    <row r="19" ht="18.75" customHeight="1">
      <c r="A19" s="45"/>
      <c r="B19" s="46"/>
      <c r="C19" s="47"/>
      <c r="D19" s="47"/>
      <c r="E19" s="54"/>
      <c r="F19" s="46"/>
      <c r="G19" s="47"/>
      <c r="H19" s="47"/>
      <c r="I19" s="49"/>
      <c r="J19" s="58" t="s">
        <v>33</v>
      </c>
      <c r="K19" s="59" t="s">
        <v>34</v>
      </c>
      <c r="L19" s="60" t="s">
        <v>35</v>
      </c>
      <c r="M19" s="61" t="s">
        <v>36</v>
      </c>
    </row>
    <row r="20" ht="18.75" customHeight="1">
      <c r="A20" s="45"/>
      <c r="B20" s="46"/>
      <c r="C20" s="47"/>
      <c r="D20" s="47"/>
      <c r="E20" s="54"/>
      <c r="F20" s="46"/>
      <c r="G20" s="47"/>
      <c r="H20" s="47"/>
      <c r="I20" s="49"/>
      <c r="J20" s="62"/>
      <c r="K20" s="63"/>
      <c r="L20" s="63"/>
      <c r="M20" s="64"/>
    </row>
    <row r="21" ht="18.75" customHeight="1">
      <c r="A21" s="45"/>
      <c r="B21" s="46"/>
      <c r="C21" s="47"/>
      <c r="D21" s="47"/>
      <c r="E21" s="54"/>
      <c r="F21" s="46"/>
      <c r="G21" s="47"/>
      <c r="H21" s="47"/>
      <c r="I21" s="49"/>
      <c r="J21" s="65">
        <v>0.0</v>
      </c>
      <c r="K21" s="66">
        <v>0.0</v>
      </c>
      <c r="L21" s="67">
        <v>0.0</v>
      </c>
      <c r="M21" s="68" t="s">
        <v>191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</row>
    <row r="22" ht="18.75" customHeight="1">
      <c r="A22" s="45"/>
      <c r="B22" s="46"/>
      <c r="C22" s="47"/>
      <c r="D22" s="47"/>
      <c r="E22" s="54"/>
      <c r="F22" s="46"/>
      <c r="G22" s="47"/>
      <c r="H22" s="47"/>
      <c r="I22" s="49"/>
      <c r="J22" s="69" t="s">
        <v>37</v>
      </c>
      <c r="K22" s="70" t="s">
        <v>38</v>
      </c>
      <c r="L22" s="71" t="s">
        <v>39</v>
      </c>
      <c r="M22" s="72" t="s">
        <v>40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ht="18.75" customHeight="1">
      <c r="A23" s="45"/>
      <c r="B23" s="46"/>
      <c r="C23" s="47"/>
      <c r="D23" s="47"/>
      <c r="E23" s="54"/>
      <c r="F23" s="46"/>
      <c r="G23" s="47"/>
      <c r="H23" s="47"/>
      <c r="I23" s="49"/>
      <c r="J23" s="62"/>
      <c r="K23" s="63"/>
      <c r="L23" s="63"/>
      <c r="M23" s="64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</row>
    <row r="24" ht="18.75" customHeight="1">
      <c r="A24" s="45"/>
      <c r="B24" s="46"/>
      <c r="C24" s="47"/>
      <c r="D24" s="47"/>
      <c r="E24" s="54"/>
      <c r="F24" s="46"/>
      <c r="G24" s="47"/>
      <c r="H24" s="47"/>
      <c r="I24" s="49"/>
      <c r="J24" s="73">
        <v>1.0</v>
      </c>
      <c r="K24" s="67">
        <v>63.0</v>
      </c>
      <c r="L24" s="67">
        <v>8.0</v>
      </c>
      <c r="M24" s="74">
        <v>0.0</v>
      </c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</row>
    <row r="25" ht="18.75" customHeight="1">
      <c r="A25" s="45"/>
      <c r="B25" s="46"/>
      <c r="C25" s="47"/>
      <c r="D25" s="47"/>
      <c r="E25" s="54"/>
      <c r="F25" s="46"/>
      <c r="G25" s="47"/>
      <c r="H25" s="47"/>
      <c r="I25" s="49"/>
      <c r="J25" s="75" t="s">
        <v>41</v>
      </c>
      <c r="K25" s="76"/>
      <c r="L25" s="71" t="s">
        <v>42</v>
      </c>
      <c r="M25" s="72" t="s">
        <v>43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ht="18.75" customHeight="1">
      <c r="A26" s="45"/>
      <c r="B26" s="46"/>
      <c r="C26" s="47"/>
      <c r="D26" s="47"/>
      <c r="E26" s="54"/>
      <c r="F26" s="46"/>
      <c r="G26" s="47"/>
      <c r="H26" s="47"/>
      <c r="I26" s="49"/>
      <c r="J26" s="77"/>
      <c r="K26" s="78"/>
      <c r="L26" s="63"/>
      <c r="M26" s="64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</row>
    <row r="27" ht="18.75" customHeight="1">
      <c r="A27" s="45"/>
      <c r="B27" s="46"/>
      <c r="C27" s="47"/>
      <c r="D27" s="47"/>
      <c r="E27" s="54"/>
      <c r="F27" s="46"/>
      <c r="G27" s="47"/>
      <c r="H27" s="47"/>
      <c r="I27" s="49"/>
      <c r="J27" s="79">
        <v>0.0</v>
      </c>
      <c r="K27" s="80"/>
      <c r="L27" s="81">
        <v>0.0</v>
      </c>
      <c r="M27" s="82">
        <v>0.0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</row>
    <row r="28" ht="18.75" customHeight="1">
      <c r="A28" s="45"/>
      <c r="B28" s="46"/>
      <c r="C28" s="47"/>
      <c r="D28" s="47"/>
      <c r="E28" s="54"/>
      <c r="F28" s="46"/>
      <c r="G28" s="47"/>
      <c r="H28" s="47"/>
      <c r="I28" s="49"/>
      <c r="J28" s="83"/>
      <c r="K28" s="70" t="s">
        <v>139</v>
      </c>
      <c r="L28" s="70" t="s">
        <v>44</v>
      </c>
      <c r="M28" s="72" t="s">
        <v>45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</row>
    <row r="29" ht="18.75" customHeight="1">
      <c r="A29" s="45"/>
      <c r="B29" s="46"/>
      <c r="C29" s="47"/>
      <c r="D29" s="47"/>
      <c r="E29" s="54"/>
      <c r="F29" s="46"/>
      <c r="G29" s="47"/>
      <c r="H29" s="47"/>
      <c r="I29" s="49"/>
      <c r="J29" s="84"/>
      <c r="K29" s="63"/>
      <c r="L29" s="63"/>
      <c r="M29" s="64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</row>
    <row r="30" ht="18.75" customHeight="1">
      <c r="A30" s="45"/>
      <c r="B30" s="85"/>
      <c r="C30" s="86"/>
      <c r="D30" s="86"/>
      <c r="E30" s="87"/>
      <c r="F30" s="85"/>
      <c r="G30" s="86"/>
      <c r="H30" s="86"/>
      <c r="I30" s="88"/>
      <c r="J30" s="12"/>
      <c r="K30" s="224">
        <v>0.0</v>
      </c>
      <c r="L30" s="89">
        <v>1.0</v>
      </c>
      <c r="M30" s="90">
        <v>0.0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5" t="s">
        <v>81</v>
      </c>
      <c r="B1" s="95" t="s">
        <v>192</v>
      </c>
      <c r="C1" s="95" t="s">
        <v>193</v>
      </c>
      <c r="D1" s="95" t="s">
        <v>194</v>
      </c>
      <c r="E1" s="95" t="s">
        <v>195</v>
      </c>
      <c r="F1" s="95" t="s">
        <v>196</v>
      </c>
      <c r="G1" s="95" t="s">
        <v>197</v>
      </c>
      <c r="H1" s="95" t="s">
        <v>198</v>
      </c>
      <c r="I1" s="95" t="s">
        <v>199</v>
      </c>
      <c r="J1" s="95" t="s">
        <v>200</v>
      </c>
      <c r="K1" s="95" t="s">
        <v>201</v>
      </c>
      <c r="L1" s="95" t="s">
        <v>202</v>
      </c>
      <c r="M1" s="95" t="s">
        <v>203</v>
      </c>
      <c r="N1" s="95" t="s">
        <v>204</v>
      </c>
      <c r="O1" s="95" t="s">
        <v>205</v>
      </c>
      <c r="P1" s="95" t="s">
        <v>59</v>
      </c>
      <c r="Q1" s="95" t="s">
        <v>206</v>
      </c>
      <c r="R1" s="95" t="s">
        <v>207</v>
      </c>
      <c r="S1" s="95" t="s">
        <v>208</v>
      </c>
      <c r="T1" s="95" t="s">
        <v>209</v>
      </c>
      <c r="U1" s="95" t="s">
        <v>210</v>
      </c>
      <c r="V1" s="95" t="s">
        <v>211</v>
      </c>
      <c r="W1" s="95" t="s">
        <v>212</v>
      </c>
      <c r="X1" s="95" t="s">
        <v>213</v>
      </c>
      <c r="Y1" s="95" t="s">
        <v>21</v>
      </c>
      <c r="Z1" s="95" t="s">
        <v>23</v>
      </c>
      <c r="AA1" s="95" t="s">
        <v>16</v>
      </c>
      <c r="AB1" s="95" t="s">
        <v>3</v>
      </c>
      <c r="AC1" s="95" t="s">
        <v>214</v>
      </c>
      <c r="AD1" s="95" t="s">
        <v>2</v>
      </c>
      <c r="AE1" s="95" t="s">
        <v>27</v>
      </c>
      <c r="AF1" s="95" t="s">
        <v>29</v>
      </c>
      <c r="AG1" s="95" t="s">
        <v>30</v>
      </c>
      <c r="AH1" s="95" t="s">
        <v>31</v>
      </c>
      <c r="AI1" s="95" t="s">
        <v>32</v>
      </c>
      <c r="AJ1" s="95" t="s">
        <v>33</v>
      </c>
      <c r="AK1" s="95" t="s">
        <v>34</v>
      </c>
      <c r="AL1" s="95" t="s">
        <v>215</v>
      </c>
      <c r="AM1" s="95" t="s">
        <v>36</v>
      </c>
      <c r="AN1" s="95" t="s">
        <v>216</v>
      </c>
      <c r="AO1" s="95" t="s">
        <v>38</v>
      </c>
      <c r="AP1" s="95" t="s">
        <v>39</v>
      </c>
      <c r="AQ1" s="95" t="s">
        <v>40</v>
      </c>
      <c r="AR1" s="95" t="s">
        <v>217</v>
      </c>
      <c r="AS1" s="95" t="s">
        <v>42</v>
      </c>
      <c r="AT1" s="95" t="s">
        <v>43</v>
      </c>
      <c r="AU1" s="95" t="s">
        <v>44</v>
      </c>
      <c r="AV1" s="95" t="s">
        <v>45</v>
      </c>
    </row>
    <row r="2" ht="15.75" customHeight="1">
      <c r="A2" s="231">
        <v>45524.0</v>
      </c>
      <c r="B2" s="95" t="s">
        <v>218</v>
      </c>
      <c r="C2" s="95" t="s">
        <v>219</v>
      </c>
      <c r="D2" s="232" t="s">
        <v>220</v>
      </c>
      <c r="E2" s="232" t="s">
        <v>25</v>
      </c>
      <c r="G2" s="232" t="s">
        <v>221</v>
      </c>
    </row>
    <row r="3" ht="15.75" customHeight="1">
      <c r="A3" s="231">
        <v>45524.0</v>
      </c>
      <c r="B3" s="95" t="s">
        <v>218</v>
      </c>
      <c r="C3" s="95" t="s">
        <v>222</v>
      </c>
      <c r="D3" s="232" t="s">
        <v>25</v>
      </c>
      <c r="E3" s="232" t="s">
        <v>223</v>
      </c>
      <c r="G3" s="232" t="s">
        <v>170</v>
      </c>
    </row>
    <row r="4" ht="15.75" customHeight="1">
      <c r="A4" s="231">
        <v>45524.0</v>
      </c>
      <c r="B4" s="95" t="s">
        <v>218</v>
      </c>
      <c r="H4" s="95" t="s">
        <v>224</v>
      </c>
      <c r="I4" s="232" t="s">
        <v>137</v>
      </c>
      <c r="J4" s="232" t="s">
        <v>172</v>
      </c>
      <c r="L4" s="232" t="s">
        <v>225</v>
      </c>
      <c r="M4" s="95"/>
    </row>
    <row r="5" ht="15.75" customHeight="1">
      <c r="A5" s="231">
        <v>45524.0</v>
      </c>
      <c r="B5" s="95" t="s">
        <v>218</v>
      </c>
      <c r="H5" s="95" t="s">
        <v>226</v>
      </c>
      <c r="I5" s="232" t="s">
        <v>172</v>
      </c>
      <c r="J5" s="232" t="s">
        <v>227</v>
      </c>
      <c r="L5" s="232" t="s">
        <v>228</v>
      </c>
      <c r="M5" s="95"/>
      <c r="N5" s="95" t="b">
        <v>1</v>
      </c>
      <c r="O5" s="95">
        <v>520.0</v>
      </c>
    </row>
    <row r="6" ht="15.75" customHeight="1">
      <c r="A6" s="231">
        <v>45524.0</v>
      </c>
      <c r="B6" s="95" t="s">
        <v>218</v>
      </c>
      <c r="H6" s="95" t="s">
        <v>229</v>
      </c>
      <c r="I6" s="232" t="s">
        <v>230</v>
      </c>
      <c r="J6" s="232" t="s">
        <v>223</v>
      </c>
      <c r="L6" s="232" t="s">
        <v>231</v>
      </c>
    </row>
    <row r="7" ht="15.75" customHeight="1">
      <c r="A7" s="231">
        <v>45524.0</v>
      </c>
      <c r="B7" s="95" t="s">
        <v>218</v>
      </c>
      <c r="P7" s="95">
        <v>7.0</v>
      </c>
      <c r="Q7" s="95" t="s">
        <v>219</v>
      </c>
      <c r="R7" s="95" t="s">
        <v>222</v>
      </c>
      <c r="S7" s="95">
        <v>8461.0</v>
      </c>
      <c r="T7" s="95">
        <v>3807.0</v>
      </c>
      <c r="U7" s="95">
        <v>8309.0</v>
      </c>
      <c r="V7" s="95">
        <v>10131.0</v>
      </c>
      <c r="W7" s="95">
        <v>1300.0</v>
      </c>
      <c r="X7" s="95">
        <v>2815.0</v>
      </c>
      <c r="Y7" s="95">
        <v>3723.0</v>
      </c>
      <c r="AA7" s="95">
        <v>1160.0</v>
      </c>
      <c r="AB7" s="95">
        <v>42831.0</v>
      </c>
      <c r="AC7" s="95">
        <v>0.0</v>
      </c>
      <c r="AD7" s="95">
        <v>0.38519359264204933</v>
      </c>
      <c r="AE7" s="95">
        <v>2000.0</v>
      </c>
      <c r="AH7" s="95">
        <v>3420.0</v>
      </c>
      <c r="AI7" s="95">
        <v>520.0</v>
      </c>
      <c r="AJ7" s="95">
        <v>0.0</v>
      </c>
      <c r="AK7" s="95">
        <v>0.0</v>
      </c>
      <c r="AL7" s="95">
        <v>7.0</v>
      </c>
      <c r="AM7" s="95" t="s">
        <v>232</v>
      </c>
      <c r="AN7" s="95">
        <v>1.0</v>
      </c>
      <c r="AO7" s="95">
        <v>107.0</v>
      </c>
      <c r="AP7" s="95">
        <v>29.0</v>
      </c>
      <c r="AQ7" s="95">
        <v>5.0</v>
      </c>
      <c r="AR7" s="95">
        <v>5.0</v>
      </c>
      <c r="AS7" s="95">
        <v>0.2413793103448276</v>
      </c>
      <c r="AT7" s="95">
        <v>5.0</v>
      </c>
      <c r="AU7" s="95">
        <v>0.7586206896551724</v>
      </c>
      <c r="AV7" s="95">
        <v>0.1724137931034483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9" width="25.38"/>
  </cols>
  <sheetData>
    <row r="1" ht="15.75" customHeight="1">
      <c r="A1" s="95" t="s">
        <v>233</v>
      </c>
      <c r="B1" s="95" t="s">
        <v>234</v>
      </c>
      <c r="C1" s="95" t="s">
        <v>235</v>
      </c>
      <c r="D1" s="95" t="s">
        <v>236</v>
      </c>
      <c r="E1" s="95" t="s">
        <v>14</v>
      </c>
      <c r="F1" s="95" t="s">
        <v>237</v>
      </c>
      <c r="G1" s="95" t="s">
        <v>238</v>
      </c>
      <c r="H1" s="95" t="s">
        <v>239</v>
      </c>
      <c r="I1" s="95" t="s">
        <v>240</v>
      </c>
      <c r="J1" s="95" t="s">
        <v>241</v>
      </c>
      <c r="K1" s="95" t="s">
        <v>242</v>
      </c>
      <c r="L1" s="95" t="s">
        <v>243</v>
      </c>
      <c r="M1" s="95" t="s">
        <v>244</v>
      </c>
      <c r="N1" s="95" t="s">
        <v>245</v>
      </c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</row>
    <row r="2" ht="15.75" customHeight="1">
      <c r="A2" s="95" t="s">
        <v>246</v>
      </c>
      <c r="B2" s="95" t="s">
        <v>247</v>
      </c>
      <c r="C2" s="95">
        <v>607.0</v>
      </c>
      <c r="D2" s="95">
        <v>0.0</v>
      </c>
      <c r="E2" s="95"/>
      <c r="F2" s="95"/>
      <c r="G2" s="95" t="s">
        <v>248</v>
      </c>
      <c r="H2" s="95" t="s">
        <v>249</v>
      </c>
      <c r="I2" s="95"/>
      <c r="J2" s="95" t="s">
        <v>250</v>
      </c>
      <c r="K2" s="95"/>
      <c r="L2" s="95">
        <v>-1.0</v>
      </c>
      <c r="M2" s="95"/>
      <c r="N2" s="95">
        <v>11.313166666666667</v>
      </c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</row>
    <row r="3" ht="15.75" customHeight="1">
      <c r="A3" s="95" t="s">
        <v>246</v>
      </c>
      <c r="B3" s="95" t="s">
        <v>247</v>
      </c>
      <c r="C3" s="95">
        <v>472.0</v>
      </c>
      <c r="D3" s="95">
        <v>0.0</v>
      </c>
      <c r="E3" s="95"/>
      <c r="F3" s="95" t="s">
        <v>251</v>
      </c>
      <c r="G3" s="95" t="s">
        <v>252</v>
      </c>
      <c r="H3" s="95" t="s">
        <v>253</v>
      </c>
      <c r="I3" s="95" t="s">
        <v>254</v>
      </c>
      <c r="J3" s="95" t="s">
        <v>254</v>
      </c>
      <c r="K3" s="95"/>
      <c r="L3" s="95">
        <v>-1.0</v>
      </c>
      <c r="M3" s="95"/>
      <c r="N3" s="95">
        <v>10.312016666666667</v>
      </c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</row>
    <row r="4" ht="15.75" customHeight="1">
      <c r="A4" s="95" t="s">
        <v>246</v>
      </c>
      <c r="B4" s="95" t="s">
        <v>255</v>
      </c>
      <c r="C4" s="95">
        <v>254.0</v>
      </c>
      <c r="D4" s="95">
        <v>100.0</v>
      </c>
      <c r="E4" s="95"/>
      <c r="F4" s="95" t="s">
        <v>251</v>
      </c>
      <c r="G4" s="95" t="s">
        <v>248</v>
      </c>
      <c r="H4" s="95" t="s">
        <v>256</v>
      </c>
      <c r="I4" s="95" t="s">
        <v>257</v>
      </c>
      <c r="J4" s="95" t="s">
        <v>257</v>
      </c>
      <c r="K4" s="95"/>
      <c r="L4" s="95">
        <v>2.0</v>
      </c>
      <c r="M4" s="95"/>
      <c r="N4" s="95">
        <v>13.107883333333334</v>
      </c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</row>
    <row r="5" ht="15.75" customHeight="1">
      <c r="A5" s="95" t="s">
        <v>246</v>
      </c>
      <c r="B5" s="95" t="s">
        <v>247</v>
      </c>
      <c r="C5" s="95">
        <v>264.0</v>
      </c>
      <c r="D5" s="95">
        <v>0.0</v>
      </c>
      <c r="E5" s="95"/>
      <c r="F5" s="95" t="s">
        <v>251</v>
      </c>
      <c r="G5" s="95" t="s">
        <v>248</v>
      </c>
      <c r="H5" s="95" t="s">
        <v>258</v>
      </c>
      <c r="I5" s="95" t="s">
        <v>259</v>
      </c>
      <c r="J5" s="95" t="s">
        <v>259</v>
      </c>
      <c r="K5" s="95"/>
      <c r="L5" s="95">
        <v>8.0</v>
      </c>
      <c r="M5" s="95"/>
      <c r="N5" s="95">
        <v>17.910283333333332</v>
      </c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</row>
    <row r="6" ht="15.75" customHeight="1">
      <c r="A6" s="95" t="s">
        <v>246</v>
      </c>
      <c r="B6" s="95" t="s">
        <v>247</v>
      </c>
      <c r="C6" s="95">
        <v>585.0</v>
      </c>
      <c r="D6" s="95">
        <v>0.0</v>
      </c>
      <c r="E6" s="95"/>
      <c r="F6" s="95" t="s">
        <v>251</v>
      </c>
      <c r="G6" s="95" t="s">
        <v>248</v>
      </c>
      <c r="H6" s="95" t="s">
        <v>260</v>
      </c>
      <c r="I6" s="95" t="s">
        <v>261</v>
      </c>
      <c r="J6" s="95" t="s">
        <v>261</v>
      </c>
      <c r="K6" s="95"/>
      <c r="L6" s="95">
        <v>7.0</v>
      </c>
      <c r="M6" s="95"/>
      <c r="N6" s="95">
        <v>19.957466666666665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</row>
    <row r="7" ht="15.75" customHeight="1">
      <c r="A7" s="95" t="s">
        <v>262</v>
      </c>
      <c r="B7" s="95" t="s">
        <v>247</v>
      </c>
      <c r="C7" s="95">
        <v>431.0</v>
      </c>
      <c r="D7" s="95">
        <v>0.0</v>
      </c>
      <c r="E7" s="95" t="s">
        <v>263</v>
      </c>
      <c r="F7" s="95" t="s">
        <v>251</v>
      </c>
      <c r="G7" s="95" t="s">
        <v>248</v>
      </c>
      <c r="H7" s="95" t="s">
        <v>264</v>
      </c>
      <c r="I7" s="95" t="s">
        <v>265</v>
      </c>
      <c r="J7" s="95" t="s">
        <v>265</v>
      </c>
      <c r="K7" s="95"/>
      <c r="L7" s="95">
        <v>-3.0</v>
      </c>
      <c r="M7" s="95"/>
      <c r="N7" s="95">
        <v>11.471166666666667</v>
      </c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</row>
    <row r="8" ht="15.75" customHeight="1">
      <c r="A8" s="95" t="s">
        <v>246</v>
      </c>
      <c r="B8" s="95" t="s">
        <v>247</v>
      </c>
      <c r="C8" s="95">
        <v>593.0</v>
      </c>
      <c r="D8" s="95">
        <v>0.0</v>
      </c>
      <c r="E8" s="95"/>
      <c r="F8" s="95" t="s">
        <v>251</v>
      </c>
      <c r="G8" s="95" t="s">
        <v>252</v>
      </c>
      <c r="H8" s="95" t="s">
        <v>266</v>
      </c>
      <c r="I8" s="95" t="s">
        <v>267</v>
      </c>
      <c r="J8" s="95" t="s">
        <v>267</v>
      </c>
      <c r="K8" s="95"/>
      <c r="L8" s="95">
        <v>10.0</v>
      </c>
      <c r="M8" s="95"/>
      <c r="N8" s="95">
        <v>22.020683333333334</v>
      </c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</row>
    <row r="9" ht="15.75" customHeight="1">
      <c r="A9" s="95" t="s">
        <v>246</v>
      </c>
      <c r="B9" s="95" t="s">
        <v>247</v>
      </c>
      <c r="C9" s="95">
        <v>440.0</v>
      </c>
      <c r="D9" s="95">
        <v>0.0</v>
      </c>
      <c r="E9" s="95"/>
      <c r="F9" s="95" t="s">
        <v>251</v>
      </c>
      <c r="G9" s="95" t="s">
        <v>248</v>
      </c>
      <c r="H9" s="95" t="s">
        <v>268</v>
      </c>
      <c r="I9" s="95" t="s">
        <v>269</v>
      </c>
      <c r="J9" s="95"/>
      <c r="K9" s="95"/>
      <c r="L9" s="95">
        <v>2.0</v>
      </c>
      <c r="M9" s="95"/>
      <c r="N9" s="95">
        <v>13.921683333333334</v>
      </c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</row>
    <row r="10" ht="15.75" customHeight="1">
      <c r="A10" s="95" t="s">
        <v>246</v>
      </c>
      <c r="B10" s="95"/>
      <c r="C10" s="95"/>
      <c r="D10" s="95"/>
      <c r="E10" s="95"/>
      <c r="F10" s="95"/>
      <c r="G10" s="95"/>
      <c r="H10" s="95"/>
      <c r="I10" s="95"/>
      <c r="J10" s="95" t="s">
        <v>270</v>
      </c>
      <c r="K10" s="95"/>
      <c r="L10" s="95">
        <v>-1.0</v>
      </c>
      <c r="M10" s="95"/>
      <c r="N10" s="95">
        <v>9.872616666666667</v>
      </c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</row>
    <row r="11" ht="15.75" customHeight="1">
      <c r="A11" s="95" t="s">
        <v>246</v>
      </c>
      <c r="B11" s="95"/>
      <c r="C11" s="95"/>
      <c r="D11" s="95"/>
      <c r="E11" s="95"/>
      <c r="F11" s="95"/>
      <c r="G11" s="95"/>
      <c r="H11" s="95"/>
      <c r="I11" s="95"/>
      <c r="J11" s="95" t="s">
        <v>271</v>
      </c>
      <c r="K11" s="95"/>
      <c r="L11" s="95">
        <v>2.0</v>
      </c>
      <c r="M11" s="95"/>
      <c r="N11" s="95">
        <v>15.407483333333333</v>
      </c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</row>
    <row r="12" ht="15.75" customHeight="1">
      <c r="A12" s="95" t="s">
        <v>262</v>
      </c>
      <c r="B12" s="95"/>
      <c r="C12" s="95"/>
      <c r="D12" s="95"/>
      <c r="E12" s="95" t="s">
        <v>263</v>
      </c>
      <c r="F12" s="95"/>
      <c r="G12" s="95"/>
      <c r="H12" s="95"/>
      <c r="I12" s="95"/>
      <c r="J12" s="95" t="s">
        <v>272</v>
      </c>
      <c r="K12" s="95"/>
      <c r="L12" s="95">
        <v>-6.0</v>
      </c>
      <c r="M12" s="95"/>
      <c r="N12" s="95">
        <v>8.6211</v>
      </c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</row>
    <row r="13" ht="15.75" customHeight="1">
      <c r="A13" s="95" t="s">
        <v>262</v>
      </c>
      <c r="B13" s="95"/>
      <c r="C13" s="95"/>
      <c r="D13" s="95"/>
      <c r="E13" s="95" t="s">
        <v>263</v>
      </c>
      <c r="F13" s="95"/>
      <c r="G13" s="95"/>
      <c r="H13" s="95"/>
      <c r="I13" s="95"/>
      <c r="J13" s="95" t="s">
        <v>273</v>
      </c>
      <c r="K13" s="95"/>
      <c r="L13" s="95">
        <v>-7.0</v>
      </c>
      <c r="M13" s="95"/>
      <c r="N13" s="95">
        <v>7.631483333333334</v>
      </c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</row>
    <row r="14" ht="15.75" customHeight="1">
      <c r="A14" s="95" t="s">
        <v>262</v>
      </c>
      <c r="B14" s="95"/>
      <c r="C14" s="95"/>
      <c r="D14" s="95"/>
      <c r="E14" s="95" t="s">
        <v>263</v>
      </c>
      <c r="F14" s="95"/>
      <c r="G14" s="95"/>
      <c r="H14" s="95"/>
      <c r="I14" s="95"/>
      <c r="J14" s="95" t="s">
        <v>274</v>
      </c>
      <c r="K14" s="95"/>
      <c r="L14" s="95">
        <v>-10.0</v>
      </c>
      <c r="M14" s="95"/>
      <c r="N14" s="95">
        <v>4.63145</v>
      </c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</row>
    <row r="15" ht="15.75" customHeight="1">
      <c r="A15" s="95" t="s">
        <v>246</v>
      </c>
      <c r="B15" s="95"/>
      <c r="C15" s="95"/>
      <c r="D15" s="95"/>
      <c r="E15" s="95"/>
      <c r="F15" s="95"/>
      <c r="G15" s="95"/>
      <c r="H15" s="95"/>
      <c r="I15" s="95"/>
      <c r="J15" s="95" t="s">
        <v>275</v>
      </c>
      <c r="K15" s="95"/>
      <c r="L15" s="95">
        <v>0.0</v>
      </c>
      <c r="M15" s="95"/>
      <c r="N15" s="95">
        <v>10.719016666666667</v>
      </c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</row>
    <row r="16" ht="15.75" customHeight="1">
      <c r="A16" s="95" t="s">
        <v>246</v>
      </c>
      <c r="B16" s="95"/>
      <c r="C16" s="95"/>
      <c r="D16" s="95"/>
      <c r="E16" s="95"/>
      <c r="F16" s="95"/>
      <c r="G16" s="95"/>
      <c r="H16" s="95"/>
      <c r="I16" s="95"/>
      <c r="J16" s="95" t="s">
        <v>276</v>
      </c>
      <c r="K16" s="95"/>
      <c r="L16" s="95">
        <v>1.0</v>
      </c>
      <c r="M16" s="95"/>
      <c r="N16" s="95">
        <v>10.049033333333334</v>
      </c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</row>
    <row r="17" ht="15.75" customHeight="1">
      <c r="A17" s="95" t="s">
        <v>246</v>
      </c>
      <c r="B17" s="95"/>
      <c r="C17" s="95"/>
      <c r="D17" s="95"/>
      <c r="E17" s="95"/>
      <c r="F17" s="95"/>
      <c r="G17" s="95"/>
      <c r="H17" s="95"/>
      <c r="I17" s="95"/>
      <c r="J17" s="95" t="s">
        <v>277</v>
      </c>
      <c r="K17" s="95"/>
      <c r="L17" s="95">
        <v>0.0</v>
      </c>
      <c r="M17" s="95"/>
      <c r="N17" s="95">
        <v>10.436716666666667</v>
      </c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</row>
    <row r="18" ht="15.75" customHeight="1">
      <c r="A18" s="95" t="s">
        <v>278</v>
      </c>
      <c r="B18" s="95"/>
      <c r="C18" s="95"/>
      <c r="D18" s="95"/>
      <c r="E18" s="95" t="s">
        <v>279</v>
      </c>
      <c r="F18" s="95"/>
      <c r="G18" s="95"/>
      <c r="H18" s="95"/>
      <c r="I18" s="95"/>
      <c r="J18" s="95" t="s">
        <v>280</v>
      </c>
      <c r="K18" s="95"/>
      <c r="L18" s="95">
        <v>-13.0</v>
      </c>
      <c r="M18" s="95"/>
      <c r="N18" s="95">
        <v>1.2670666666666666</v>
      </c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</row>
    <row r="19" ht="15.75" customHeight="1">
      <c r="A19" s="95" t="s">
        <v>246</v>
      </c>
      <c r="B19" s="95"/>
      <c r="C19" s="95"/>
      <c r="D19" s="95"/>
      <c r="E19" s="95"/>
      <c r="F19" s="95"/>
      <c r="G19" s="95"/>
      <c r="H19" s="95"/>
      <c r="I19" s="95"/>
      <c r="J19" s="95" t="s">
        <v>281</v>
      </c>
      <c r="K19" s="95"/>
      <c r="L19" s="95">
        <v>1.0</v>
      </c>
      <c r="M19" s="95"/>
      <c r="N19" s="95">
        <v>12.05605</v>
      </c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</row>
    <row r="20" ht="15.75" customHeight="1">
      <c r="A20" s="95" t="s">
        <v>246</v>
      </c>
      <c r="B20" s="95"/>
      <c r="C20" s="95"/>
      <c r="D20" s="95"/>
      <c r="E20" s="95"/>
      <c r="F20" s="95"/>
      <c r="G20" s="95"/>
      <c r="H20" s="95"/>
      <c r="I20" s="95"/>
      <c r="J20" s="95" t="s">
        <v>282</v>
      </c>
      <c r="K20" s="95"/>
      <c r="L20" s="95">
        <v>5.0</v>
      </c>
      <c r="M20" s="95"/>
      <c r="N20" s="95">
        <v>15.21935</v>
      </c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</row>
    <row r="21" ht="15.75" customHeight="1">
      <c r="A21" s="95" t="s">
        <v>246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>
        <v>12.421783333333334</v>
      </c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</row>
    <row r="22" ht="15.75" customHeight="1">
      <c r="A22" s="95" t="s">
        <v>283</v>
      </c>
      <c r="B22" s="95"/>
      <c r="C22" s="95"/>
      <c r="D22" s="95"/>
      <c r="E22" s="95"/>
      <c r="F22" s="95"/>
      <c r="G22" s="95"/>
      <c r="H22" s="95"/>
      <c r="I22" s="95"/>
      <c r="J22" s="95" t="s">
        <v>284</v>
      </c>
      <c r="K22" s="95"/>
      <c r="L22" s="95">
        <v>2.0</v>
      </c>
      <c r="M22" s="95"/>
      <c r="N22" s="95">
        <v>7.90375</v>
      </c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</row>
    <row r="23" ht="15.75" customHeight="1">
      <c r="A23" s="95" t="s">
        <v>285</v>
      </c>
      <c r="B23" s="95"/>
      <c r="C23" s="95"/>
      <c r="D23" s="95"/>
      <c r="E23" s="95"/>
      <c r="F23" s="95"/>
      <c r="G23" s="95"/>
      <c r="H23" s="95"/>
      <c r="I23" s="95"/>
      <c r="J23" s="95" t="s">
        <v>286</v>
      </c>
      <c r="K23" s="95"/>
      <c r="L23" s="95">
        <v>-10.0</v>
      </c>
      <c r="M23" s="95"/>
      <c r="N23" s="95">
        <v>7.717033333333333</v>
      </c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</row>
    <row r="24" ht="15.75" customHeight="1">
      <c r="A24" s="95" t="s">
        <v>246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>
        <v>7.730316666666667</v>
      </c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</row>
    <row r="25" ht="15.75" customHeight="1">
      <c r="A25" s="95" t="s">
        <v>285</v>
      </c>
      <c r="B25" s="95"/>
      <c r="C25" s="95"/>
      <c r="D25" s="95"/>
      <c r="E25" s="95"/>
      <c r="F25" s="95"/>
      <c r="G25" s="95"/>
      <c r="H25" s="95"/>
      <c r="I25" s="95"/>
      <c r="J25" s="95" t="s">
        <v>287</v>
      </c>
      <c r="K25" s="95"/>
      <c r="L25" s="95">
        <v>-8.0</v>
      </c>
      <c r="M25" s="95"/>
      <c r="N25" s="95">
        <v>10.818733333333334</v>
      </c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</row>
    <row r="26" ht="15.75" customHeight="1">
      <c r="A26" s="95" t="s">
        <v>246</v>
      </c>
      <c r="B26" s="95"/>
      <c r="C26" s="95"/>
      <c r="D26" s="95"/>
      <c r="E26" s="95"/>
      <c r="F26" s="95"/>
      <c r="G26" s="95"/>
      <c r="H26" s="95"/>
      <c r="I26" s="95"/>
      <c r="J26" s="95" t="s">
        <v>288</v>
      </c>
      <c r="K26" s="95"/>
      <c r="L26" s="95">
        <v>0.0</v>
      </c>
      <c r="M26" s="95"/>
      <c r="N26" s="95">
        <v>8.8622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</row>
    <row r="27" ht="15.75" customHeight="1">
      <c r="A27" s="95" t="s">
        <v>262</v>
      </c>
      <c r="B27" s="95"/>
      <c r="C27" s="95"/>
      <c r="D27" s="95"/>
      <c r="E27" s="95" t="s">
        <v>263</v>
      </c>
      <c r="F27" s="95"/>
      <c r="G27" s="95"/>
      <c r="H27" s="95"/>
      <c r="I27" s="95"/>
      <c r="J27" s="95"/>
      <c r="K27" s="95"/>
      <c r="L27" s="95"/>
      <c r="M27" s="95"/>
      <c r="N27" s="95">
        <v>9.513833333333332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</row>
    <row r="28" ht="15.75" customHeight="1">
      <c r="A28" s="95" t="s">
        <v>262</v>
      </c>
      <c r="B28" s="95"/>
      <c r="C28" s="95"/>
      <c r="D28" s="95"/>
      <c r="E28" s="95" t="s">
        <v>263</v>
      </c>
      <c r="F28" s="95"/>
      <c r="G28" s="95"/>
      <c r="H28" s="95"/>
      <c r="I28" s="95"/>
      <c r="J28" s="95" t="s">
        <v>289</v>
      </c>
      <c r="K28" s="95"/>
      <c r="L28" s="95">
        <v>-5.0</v>
      </c>
      <c r="M28" s="95"/>
      <c r="N28" s="95">
        <v>9.426883333333333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</row>
    <row r="29" ht="15.75" customHeight="1">
      <c r="A29" s="95" t="s">
        <v>246</v>
      </c>
      <c r="B29" s="95"/>
      <c r="C29" s="233"/>
      <c r="D29" s="95"/>
      <c r="E29" s="95"/>
      <c r="F29" s="95"/>
      <c r="G29" s="95"/>
      <c r="H29" s="95"/>
      <c r="I29" s="95"/>
      <c r="J29" s="95" t="s">
        <v>290</v>
      </c>
      <c r="K29" s="95"/>
      <c r="L29" s="95">
        <v>-1.0</v>
      </c>
      <c r="M29" s="95"/>
      <c r="N29" s="95">
        <v>10.660566666666666</v>
      </c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</row>
    <row r="30" ht="15.75" customHeight="1">
      <c r="A30" s="95" t="s">
        <v>246</v>
      </c>
      <c r="B30" s="95"/>
      <c r="C30" s="95"/>
      <c r="D30" s="95"/>
      <c r="E30" s="95"/>
      <c r="F30" s="95"/>
      <c r="G30" s="95"/>
      <c r="H30" s="95"/>
      <c r="I30" s="95"/>
      <c r="J30" s="95" t="s">
        <v>291</v>
      </c>
      <c r="K30" s="95"/>
      <c r="L30" s="95"/>
      <c r="M30" s="95"/>
      <c r="N30" s="95">
        <v>7.06655</v>
      </c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</row>
    <row r="31" ht="15.75" customHeight="1">
      <c r="A31" s="95" t="s">
        <v>246</v>
      </c>
      <c r="B31" s="95" t="s">
        <v>247</v>
      </c>
      <c r="C31" s="95">
        <v>324.5</v>
      </c>
      <c r="D31" s="95">
        <v>100.5</v>
      </c>
      <c r="E31" s="95"/>
      <c r="F31" s="95" t="s">
        <v>251</v>
      </c>
      <c r="G31" s="95" t="s">
        <v>248</v>
      </c>
      <c r="H31" s="95" t="s">
        <v>292</v>
      </c>
      <c r="I31" s="95" t="s">
        <v>293</v>
      </c>
      <c r="J31" s="95" t="s">
        <v>293</v>
      </c>
      <c r="K31" s="95"/>
      <c r="L31" s="95">
        <v>3.0</v>
      </c>
      <c r="M31" s="95"/>
      <c r="N31" s="95">
        <v>13.604983333333333</v>
      </c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</row>
    <row r="32" ht="15.75" customHeight="1">
      <c r="A32" s="95" t="s">
        <v>285</v>
      </c>
      <c r="B32" s="95" t="s">
        <v>247</v>
      </c>
      <c r="C32" s="95">
        <v>277.0</v>
      </c>
      <c r="D32" s="95">
        <v>52.0</v>
      </c>
      <c r="E32" s="95" t="s">
        <v>294</v>
      </c>
      <c r="F32" s="95" t="s">
        <v>295</v>
      </c>
      <c r="G32" s="95" t="s">
        <v>248</v>
      </c>
      <c r="H32" s="95" t="s">
        <v>296</v>
      </c>
      <c r="I32" s="95" t="s">
        <v>297</v>
      </c>
      <c r="J32" s="95" t="s">
        <v>298</v>
      </c>
      <c r="K32" s="95" t="s">
        <v>299</v>
      </c>
      <c r="L32" s="95">
        <v>-1.0</v>
      </c>
      <c r="M32" s="95">
        <v>0.012</v>
      </c>
      <c r="N32" s="95">
        <v>11.827516666666666</v>
      </c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</row>
    <row r="33" ht="15.75" customHeight="1">
      <c r="A33" s="95" t="s">
        <v>285</v>
      </c>
      <c r="B33" s="95" t="s">
        <v>247</v>
      </c>
      <c r="C33" s="95">
        <v>394.0</v>
      </c>
      <c r="D33" s="95">
        <v>0.0</v>
      </c>
      <c r="E33" s="95" t="s">
        <v>294</v>
      </c>
      <c r="F33" s="95" t="s">
        <v>295</v>
      </c>
      <c r="G33" s="95" t="s">
        <v>248</v>
      </c>
      <c r="H33" s="95" t="s">
        <v>300</v>
      </c>
      <c r="I33" s="95" t="s">
        <v>301</v>
      </c>
      <c r="J33" s="95" t="s">
        <v>302</v>
      </c>
      <c r="K33" s="95" t="s">
        <v>303</v>
      </c>
      <c r="L33" s="95">
        <v>-10.0</v>
      </c>
      <c r="M33" s="95">
        <v>0.0091</v>
      </c>
      <c r="N33" s="95">
        <v>12.577133333333334</v>
      </c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</row>
    <row r="34" ht="15.75" customHeight="1">
      <c r="A34" s="95" t="s">
        <v>246</v>
      </c>
      <c r="B34" s="95" t="s">
        <v>247</v>
      </c>
      <c r="C34" s="95">
        <v>329.0</v>
      </c>
      <c r="D34" s="95">
        <v>0.0</v>
      </c>
      <c r="E34" s="95"/>
      <c r="F34" s="95" t="s">
        <v>251</v>
      </c>
      <c r="G34" s="95" t="s">
        <v>248</v>
      </c>
      <c r="H34" s="95" t="s">
        <v>304</v>
      </c>
      <c r="I34" s="95" t="s">
        <v>305</v>
      </c>
      <c r="J34" s="95" t="s">
        <v>305</v>
      </c>
      <c r="K34" s="95"/>
      <c r="L34" s="95">
        <v>3.0</v>
      </c>
      <c r="M34" s="95"/>
      <c r="N34" s="95">
        <v>12.988516666666667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</row>
    <row r="35" ht="15.75" customHeight="1">
      <c r="A35" s="95" t="s">
        <v>262</v>
      </c>
      <c r="B35" s="95" t="s">
        <v>247</v>
      </c>
      <c r="C35" s="95">
        <v>364.0</v>
      </c>
      <c r="D35" s="95">
        <v>0.0</v>
      </c>
      <c r="E35" s="95" t="s">
        <v>263</v>
      </c>
      <c r="F35" s="95" t="s">
        <v>251</v>
      </c>
      <c r="G35" s="95" t="s">
        <v>248</v>
      </c>
      <c r="H35" s="95" t="s">
        <v>306</v>
      </c>
      <c r="I35" s="95" t="s">
        <v>307</v>
      </c>
      <c r="J35" s="95" t="s">
        <v>307</v>
      </c>
      <c r="K35" s="95"/>
      <c r="L35" s="95">
        <v>-7.0</v>
      </c>
      <c r="M35" s="95"/>
      <c r="N35" s="95">
        <v>7.975316666666667</v>
      </c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</row>
    <row r="36" ht="15.75" customHeight="1">
      <c r="A36" s="95" t="s">
        <v>262</v>
      </c>
      <c r="B36" s="95" t="s">
        <v>247</v>
      </c>
      <c r="C36" s="95">
        <v>311.0</v>
      </c>
      <c r="D36" s="95">
        <v>0.0</v>
      </c>
      <c r="E36" s="95" t="s">
        <v>263</v>
      </c>
      <c r="F36" s="95" t="s">
        <v>251</v>
      </c>
      <c r="G36" s="95" t="s">
        <v>248</v>
      </c>
      <c r="H36" s="95" t="s">
        <v>308</v>
      </c>
      <c r="I36" s="95" t="s">
        <v>309</v>
      </c>
      <c r="J36" s="95" t="s">
        <v>309</v>
      </c>
      <c r="K36" s="95"/>
      <c r="L36" s="95">
        <v>-4.0</v>
      </c>
      <c r="M36" s="95"/>
      <c r="N36" s="95">
        <v>10.906983333333333</v>
      </c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</row>
    <row r="37" ht="15.75" customHeight="1">
      <c r="A37" s="95" t="s">
        <v>283</v>
      </c>
      <c r="B37" s="95" t="s">
        <v>247</v>
      </c>
      <c r="C37" s="95">
        <v>368.0</v>
      </c>
      <c r="D37" s="95">
        <v>0.0</v>
      </c>
      <c r="E37" s="95"/>
      <c r="F37" s="95" t="s">
        <v>310</v>
      </c>
      <c r="G37" s="95" t="s">
        <v>252</v>
      </c>
      <c r="H37" s="95" t="s">
        <v>311</v>
      </c>
      <c r="I37" s="95" t="s">
        <v>312</v>
      </c>
      <c r="J37" s="95" t="s">
        <v>312</v>
      </c>
      <c r="K37" s="95"/>
      <c r="L37" s="95">
        <v>5.0</v>
      </c>
      <c r="M37" s="95"/>
      <c r="N37" s="95">
        <v>10.051183333333332</v>
      </c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</row>
    <row r="38" ht="15.75" customHeight="1">
      <c r="A38" s="95" t="s">
        <v>262</v>
      </c>
      <c r="B38" s="95" t="s">
        <v>247</v>
      </c>
      <c r="C38" s="95">
        <v>129.0</v>
      </c>
      <c r="D38" s="95">
        <v>0.0</v>
      </c>
      <c r="E38" s="95" t="s">
        <v>263</v>
      </c>
      <c r="F38" s="95" t="s">
        <v>251</v>
      </c>
      <c r="G38" s="95" t="s">
        <v>248</v>
      </c>
      <c r="H38" s="95" t="s">
        <v>313</v>
      </c>
      <c r="I38" s="95" t="s">
        <v>314</v>
      </c>
      <c r="J38" s="95" t="s">
        <v>314</v>
      </c>
      <c r="K38" s="95"/>
      <c r="L38" s="95">
        <v>-13.0</v>
      </c>
      <c r="M38" s="95"/>
      <c r="N38" s="95">
        <v>8.83755</v>
      </c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</row>
    <row r="39" ht="15.75" customHeight="1">
      <c r="A39" s="95" t="s">
        <v>246</v>
      </c>
      <c r="B39" s="95" t="s">
        <v>247</v>
      </c>
      <c r="C39" s="95">
        <v>303.0</v>
      </c>
      <c r="D39" s="95">
        <v>0.0</v>
      </c>
      <c r="E39" s="95"/>
      <c r="F39" s="95" t="s">
        <v>251</v>
      </c>
      <c r="G39" s="95" t="s">
        <v>248</v>
      </c>
      <c r="H39" s="95" t="s">
        <v>315</v>
      </c>
      <c r="I39" s="95" t="s">
        <v>316</v>
      </c>
      <c r="J39" s="95" t="s">
        <v>316</v>
      </c>
      <c r="K39" s="95"/>
      <c r="L39" s="95">
        <v>0.0</v>
      </c>
      <c r="M39" s="95"/>
      <c r="N39" s="95">
        <v>8.487066666666667</v>
      </c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</row>
    <row r="40" ht="15.75" customHeight="1">
      <c r="A40" s="95" t="s">
        <v>262</v>
      </c>
      <c r="B40" s="95" t="s">
        <v>247</v>
      </c>
      <c r="C40" s="95">
        <v>329.0</v>
      </c>
      <c r="D40" s="95">
        <v>0.0</v>
      </c>
      <c r="E40" s="95" t="s">
        <v>263</v>
      </c>
      <c r="F40" s="95" t="s">
        <v>251</v>
      </c>
      <c r="G40" s="95" t="s">
        <v>248</v>
      </c>
      <c r="H40" s="95" t="s">
        <v>317</v>
      </c>
      <c r="I40" s="95" t="s">
        <v>318</v>
      </c>
      <c r="J40" s="95" t="s">
        <v>318</v>
      </c>
      <c r="K40" s="95"/>
      <c r="L40" s="95">
        <v>17.0</v>
      </c>
      <c r="M40" s="95"/>
      <c r="N40" s="95">
        <v>32.000816666666665</v>
      </c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</row>
    <row r="41" ht="15.75" customHeight="1">
      <c r="A41" s="95" t="s">
        <v>246</v>
      </c>
      <c r="B41" s="95" t="s">
        <v>247</v>
      </c>
      <c r="C41" s="95">
        <v>1326.0</v>
      </c>
      <c r="D41" s="95">
        <v>0.0</v>
      </c>
      <c r="E41" s="95"/>
      <c r="F41" s="95" t="s">
        <v>251</v>
      </c>
      <c r="G41" s="95" t="s">
        <v>248</v>
      </c>
      <c r="H41" s="95" t="s">
        <v>319</v>
      </c>
      <c r="I41" s="95" t="s">
        <v>320</v>
      </c>
      <c r="J41" s="95" t="s">
        <v>320</v>
      </c>
      <c r="K41" s="95"/>
      <c r="L41" s="95">
        <v>1.0</v>
      </c>
      <c r="M41" s="95"/>
      <c r="N41" s="95">
        <v>19.5588</v>
      </c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</row>
    <row r="42" ht="15.75" customHeight="1">
      <c r="A42" s="95" t="s">
        <v>246</v>
      </c>
      <c r="B42" s="95" t="s">
        <v>247</v>
      </c>
      <c r="C42" s="95">
        <v>283.5</v>
      </c>
      <c r="D42" s="95">
        <v>100.5</v>
      </c>
      <c r="E42" s="95"/>
      <c r="F42" s="95" t="s">
        <v>251</v>
      </c>
      <c r="G42" s="95" t="s">
        <v>248</v>
      </c>
      <c r="H42" s="95" t="s">
        <v>321</v>
      </c>
      <c r="I42" s="95" t="s">
        <v>322</v>
      </c>
      <c r="J42" s="95" t="s">
        <v>322</v>
      </c>
      <c r="K42" s="95"/>
      <c r="L42" s="95">
        <v>1.0</v>
      </c>
      <c r="M42" s="95"/>
      <c r="N42" s="95">
        <v>11.781766666666666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</row>
    <row r="43" ht="15.75" customHeight="1">
      <c r="A43" s="95" t="s">
        <v>246</v>
      </c>
      <c r="B43" s="95" t="s">
        <v>247</v>
      </c>
      <c r="C43" s="95">
        <v>426.5</v>
      </c>
      <c r="D43" s="95">
        <v>100.5</v>
      </c>
      <c r="E43" s="95"/>
      <c r="F43" s="95" t="s">
        <v>251</v>
      </c>
      <c r="G43" s="95" t="s">
        <v>248</v>
      </c>
      <c r="H43" s="95" t="s">
        <v>323</v>
      </c>
      <c r="I43" s="95" t="s">
        <v>324</v>
      </c>
      <c r="J43" s="95" t="s">
        <v>324</v>
      </c>
      <c r="K43" s="95"/>
      <c r="L43" s="95">
        <v>3.0</v>
      </c>
      <c r="M43" s="95"/>
      <c r="N43" s="95">
        <v>15.13275</v>
      </c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</row>
    <row r="44" ht="15.75" customHeight="1">
      <c r="A44" s="95" t="s">
        <v>278</v>
      </c>
      <c r="B44" s="95" t="s">
        <v>247</v>
      </c>
      <c r="C44" s="95">
        <v>264.0</v>
      </c>
      <c r="D44" s="95">
        <v>0.0</v>
      </c>
      <c r="E44" s="95" t="s">
        <v>325</v>
      </c>
      <c r="F44" s="95" t="s">
        <v>251</v>
      </c>
      <c r="G44" s="95" t="s">
        <v>248</v>
      </c>
      <c r="H44" s="95" t="s">
        <v>326</v>
      </c>
      <c r="I44" s="95" t="s">
        <v>327</v>
      </c>
      <c r="J44" s="95" t="s">
        <v>327</v>
      </c>
      <c r="K44" s="95"/>
      <c r="L44" s="95">
        <v>-3.0</v>
      </c>
      <c r="M44" s="95"/>
      <c r="N44" s="95">
        <v>11.283983333333333</v>
      </c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</row>
    <row r="45" ht="15.75" customHeight="1">
      <c r="A45" s="95" t="s">
        <v>285</v>
      </c>
      <c r="B45" s="95" t="s">
        <v>247</v>
      </c>
      <c r="C45" s="95">
        <v>329.0</v>
      </c>
      <c r="D45" s="95">
        <v>0.0</v>
      </c>
      <c r="E45" s="95" t="s">
        <v>294</v>
      </c>
      <c r="F45" s="95" t="s">
        <v>295</v>
      </c>
      <c r="G45" s="95" t="s">
        <v>248</v>
      </c>
      <c r="H45" s="95" t="s">
        <v>328</v>
      </c>
      <c r="I45" s="95" t="s">
        <v>329</v>
      </c>
      <c r="J45" s="95" t="s">
        <v>330</v>
      </c>
      <c r="K45" s="95" t="s">
        <v>331</v>
      </c>
      <c r="L45" s="95">
        <v>16.0</v>
      </c>
      <c r="M45" s="95">
        <v>0.009166666666666667</v>
      </c>
      <c r="N45" s="95">
        <v>26.490916666666667</v>
      </c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</row>
    <row r="46" ht="15.75" customHeight="1">
      <c r="A46" s="95" t="s">
        <v>285</v>
      </c>
      <c r="B46" s="95" t="s">
        <v>247</v>
      </c>
      <c r="C46" s="95">
        <v>308.0</v>
      </c>
      <c r="D46" s="95">
        <v>0.0</v>
      </c>
      <c r="E46" s="95" t="s">
        <v>294</v>
      </c>
      <c r="F46" s="95" t="s">
        <v>295</v>
      </c>
      <c r="G46" s="95" t="s">
        <v>248</v>
      </c>
      <c r="H46" s="95" t="s">
        <v>332</v>
      </c>
      <c r="I46" s="95" t="s">
        <v>333</v>
      </c>
      <c r="J46" s="95" t="s">
        <v>334</v>
      </c>
      <c r="K46" s="95" t="s">
        <v>335</v>
      </c>
      <c r="L46" s="95">
        <v>0.0</v>
      </c>
      <c r="M46" s="95">
        <v>0.01065</v>
      </c>
      <c r="N46" s="95">
        <v>27.560616666666668</v>
      </c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</row>
    <row r="47" ht="15.75" customHeight="1">
      <c r="A47" s="95" t="s">
        <v>246</v>
      </c>
      <c r="B47" s="95" t="s">
        <v>247</v>
      </c>
      <c r="C47" s="95">
        <v>549.0</v>
      </c>
      <c r="D47" s="95">
        <v>0.0</v>
      </c>
      <c r="E47" s="95"/>
      <c r="F47" s="95" t="s">
        <v>251</v>
      </c>
      <c r="G47" s="95" t="s">
        <v>248</v>
      </c>
      <c r="H47" s="95" t="s">
        <v>336</v>
      </c>
      <c r="I47" s="95" t="s">
        <v>337</v>
      </c>
      <c r="J47" s="95" t="s">
        <v>337</v>
      </c>
      <c r="K47" s="95"/>
      <c r="L47" s="95">
        <v>12.0</v>
      </c>
      <c r="M47" s="95"/>
      <c r="N47" s="95">
        <v>24.038</v>
      </c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</row>
    <row r="48" ht="15.75" customHeight="1">
      <c r="A48" s="95" t="s">
        <v>246</v>
      </c>
      <c r="B48" s="95" t="s">
        <v>247</v>
      </c>
      <c r="C48" s="95">
        <v>452.5</v>
      </c>
      <c r="D48" s="95">
        <v>100.5</v>
      </c>
      <c r="E48" s="95"/>
      <c r="F48" s="95" t="s">
        <v>251</v>
      </c>
      <c r="G48" s="95" t="s">
        <v>248</v>
      </c>
      <c r="H48" s="95" t="s">
        <v>338</v>
      </c>
      <c r="I48" s="95" t="s">
        <v>339</v>
      </c>
      <c r="J48" s="95" t="s">
        <v>339</v>
      </c>
      <c r="K48" s="95"/>
      <c r="L48" s="95">
        <v>5.0</v>
      </c>
      <c r="M48" s="95"/>
      <c r="N48" s="95">
        <v>18.258966666666666</v>
      </c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</row>
    <row r="49" ht="15.75" customHeight="1">
      <c r="A49" s="95" t="s">
        <v>262</v>
      </c>
      <c r="B49" s="95" t="s">
        <v>247</v>
      </c>
      <c r="C49" s="95">
        <v>399.0</v>
      </c>
      <c r="D49" s="95">
        <v>0.0</v>
      </c>
      <c r="E49" s="95" t="s">
        <v>263</v>
      </c>
      <c r="F49" s="95" t="s">
        <v>251</v>
      </c>
      <c r="G49" s="95" t="s">
        <v>248</v>
      </c>
      <c r="H49" s="95" t="s">
        <v>340</v>
      </c>
      <c r="I49" s="95" t="s">
        <v>341</v>
      </c>
      <c r="J49" s="95" t="s">
        <v>341</v>
      </c>
      <c r="K49" s="95"/>
      <c r="L49" s="95">
        <v>-5.0</v>
      </c>
      <c r="M49" s="95"/>
      <c r="N49" s="95">
        <v>9.3978</v>
      </c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</row>
    <row r="50" ht="15.75" customHeight="1">
      <c r="A50" s="95" t="s">
        <v>262</v>
      </c>
      <c r="B50" s="95" t="s">
        <v>247</v>
      </c>
      <c r="C50" s="95">
        <v>987.0</v>
      </c>
      <c r="D50" s="95">
        <v>0.0</v>
      </c>
      <c r="E50" s="95" t="s">
        <v>263</v>
      </c>
      <c r="F50" s="95" t="s">
        <v>251</v>
      </c>
      <c r="G50" s="95" t="s">
        <v>248</v>
      </c>
      <c r="H50" s="95" t="s">
        <v>342</v>
      </c>
      <c r="I50" s="95" t="s">
        <v>343</v>
      </c>
      <c r="J50" s="95" t="s">
        <v>343</v>
      </c>
      <c r="K50" s="95"/>
      <c r="L50" s="95">
        <v>0.0</v>
      </c>
      <c r="M50" s="95"/>
      <c r="N50" s="95">
        <v>14.807483333333334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</row>
    <row r="51" ht="15.75" customHeight="1">
      <c r="A51" s="95" t="s">
        <v>246</v>
      </c>
      <c r="B51" s="95" t="s">
        <v>247</v>
      </c>
      <c r="C51" s="95">
        <v>427.5</v>
      </c>
      <c r="D51" s="95">
        <v>100.5</v>
      </c>
      <c r="E51" s="95"/>
      <c r="F51" s="95" t="s">
        <v>251</v>
      </c>
      <c r="G51" s="95" t="s">
        <v>248</v>
      </c>
      <c r="H51" s="95" t="s">
        <v>344</v>
      </c>
      <c r="I51" s="95" t="s">
        <v>345</v>
      </c>
      <c r="J51" s="95" t="s">
        <v>345</v>
      </c>
      <c r="K51" s="95"/>
      <c r="L51" s="95">
        <v>1.0</v>
      </c>
      <c r="M51" s="95"/>
      <c r="N51" s="95">
        <v>13.15445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</row>
    <row r="52" ht="15.75" customHeight="1">
      <c r="A52" s="95" t="s">
        <v>285</v>
      </c>
      <c r="B52" s="95" t="s">
        <v>247</v>
      </c>
      <c r="C52" s="95">
        <v>326.0</v>
      </c>
      <c r="D52" s="95">
        <v>0.0</v>
      </c>
      <c r="E52" s="95" t="s">
        <v>294</v>
      </c>
      <c r="F52" s="95" t="s">
        <v>295</v>
      </c>
      <c r="G52" s="95" t="s">
        <v>248</v>
      </c>
      <c r="H52" s="95" t="s">
        <v>346</v>
      </c>
      <c r="I52" s="95" t="s">
        <v>347</v>
      </c>
      <c r="J52" s="95" t="s">
        <v>348</v>
      </c>
      <c r="K52" s="95" t="s">
        <v>349</v>
      </c>
      <c r="L52" s="95">
        <v>-7.0</v>
      </c>
      <c r="M52" s="95">
        <v>0.009966666666666667</v>
      </c>
      <c r="N52" s="95">
        <v>10.5951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</row>
    <row r="53" ht="15.75" customHeight="1">
      <c r="A53" s="95" t="s">
        <v>246</v>
      </c>
      <c r="B53" s="95" t="s">
        <v>247</v>
      </c>
      <c r="C53" s="95">
        <v>537.0</v>
      </c>
      <c r="D53" s="95">
        <v>0.0</v>
      </c>
      <c r="E53" s="95"/>
      <c r="F53" s="95" t="s">
        <v>251</v>
      </c>
      <c r="G53" s="95" t="s">
        <v>248</v>
      </c>
      <c r="H53" s="95" t="s">
        <v>350</v>
      </c>
      <c r="I53" s="95" t="s">
        <v>351</v>
      </c>
      <c r="J53" s="95" t="s">
        <v>351</v>
      </c>
      <c r="K53" s="95"/>
      <c r="L53" s="95">
        <v>-1.0</v>
      </c>
      <c r="M53" s="95"/>
      <c r="N53" s="95">
        <v>10.163233333333332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</row>
    <row r="54" ht="15.75" customHeight="1">
      <c r="A54" s="95" t="s">
        <v>285</v>
      </c>
      <c r="B54" s="95" t="s">
        <v>247</v>
      </c>
      <c r="C54" s="95">
        <v>707.0</v>
      </c>
      <c r="D54" s="95">
        <v>177.0</v>
      </c>
      <c r="E54" s="95"/>
      <c r="F54" s="95" t="s">
        <v>310</v>
      </c>
      <c r="G54" s="95" t="s">
        <v>252</v>
      </c>
      <c r="H54" s="95" t="s">
        <v>352</v>
      </c>
      <c r="I54" s="95" t="s">
        <v>353</v>
      </c>
      <c r="J54" s="95" t="s">
        <v>353</v>
      </c>
      <c r="K54" s="95"/>
      <c r="L54" s="95">
        <v>2.0</v>
      </c>
      <c r="M54" s="95"/>
      <c r="N54" s="95">
        <v>44.068733333333334</v>
      </c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</row>
    <row r="55" ht="15.75" customHeight="1">
      <c r="A55" s="95" t="s">
        <v>278</v>
      </c>
      <c r="B55" s="95" t="s">
        <v>247</v>
      </c>
      <c r="C55" s="95">
        <v>987.0</v>
      </c>
      <c r="D55" s="95">
        <v>0.0</v>
      </c>
      <c r="E55" s="95" t="s">
        <v>354</v>
      </c>
      <c r="F55" s="95" t="s">
        <v>251</v>
      </c>
      <c r="G55" s="95" t="s">
        <v>248</v>
      </c>
      <c r="H55" s="95" t="s">
        <v>355</v>
      </c>
      <c r="I55" s="95" t="s">
        <v>356</v>
      </c>
      <c r="J55" s="95" t="s">
        <v>356</v>
      </c>
      <c r="K55" s="95"/>
      <c r="L55" s="95">
        <v>-4.0</v>
      </c>
      <c r="M55" s="95"/>
      <c r="N55" s="95">
        <v>16.452216666666665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</row>
    <row r="56" ht="15.75" customHeight="1">
      <c r="A56" s="95" t="s">
        <v>246</v>
      </c>
      <c r="B56" s="95" t="s">
        <v>247</v>
      </c>
      <c r="C56" s="95">
        <v>357.5</v>
      </c>
      <c r="D56" s="95">
        <v>100.5</v>
      </c>
      <c r="E56" s="95"/>
      <c r="F56" s="95" t="s">
        <v>251</v>
      </c>
      <c r="G56" s="95" t="s">
        <v>248</v>
      </c>
      <c r="H56" s="95" t="s">
        <v>357</v>
      </c>
      <c r="I56" s="95" t="s">
        <v>358</v>
      </c>
      <c r="J56" s="95" t="s">
        <v>358</v>
      </c>
      <c r="K56" s="95"/>
      <c r="L56" s="95">
        <v>0.0</v>
      </c>
      <c r="M56" s="95"/>
      <c r="N56" s="95">
        <v>10.3499</v>
      </c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</row>
    <row r="57" ht="15.75" customHeight="1">
      <c r="A57" s="95" t="s">
        <v>278</v>
      </c>
      <c r="B57" s="95" t="s">
        <v>247</v>
      </c>
      <c r="C57" s="95">
        <v>678.0</v>
      </c>
      <c r="D57" s="95">
        <v>0.0</v>
      </c>
      <c r="E57" s="95" t="s">
        <v>359</v>
      </c>
      <c r="F57" s="95" t="s">
        <v>251</v>
      </c>
      <c r="G57" s="95" t="s">
        <v>248</v>
      </c>
      <c r="H57" s="95" t="s">
        <v>360</v>
      </c>
      <c r="I57" s="95" t="s">
        <v>361</v>
      </c>
      <c r="J57" s="95" t="s">
        <v>361</v>
      </c>
      <c r="K57" s="95"/>
      <c r="L57" s="95">
        <v>-5.0</v>
      </c>
      <c r="M57" s="95"/>
      <c r="N57" s="95">
        <v>11.956816666666667</v>
      </c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</row>
    <row r="58" ht="15.75" customHeight="1">
      <c r="A58" s="95" t="s">
        <v>246</v>
      </c>
      <c r="B58" s="95" t="s">
        <v>247</v>
      </c>
      <c r="C58" s="95">
        <v>712.0</v>
      </c>
      <c r="D58" s="95">
        <v>0.0</v>
      </c>
      <c r="E58" s="95"/>
      <c r="F58" s="95" t="s">
        <v>251</v>
      </c>
      <c r="G58" s="95" t="s">
        <v>248</v>
      </c>
      <c r="H58" s="95" t="s">
        <v>362</v>
      </c>
      <c r="I58" s="95" t="s">
        <v>363</v>
      </c>
      <c r="J58" s="95" t="s">
        <v>363</v>
      </c>
      <c r="K58" s="95"/>
      <c r="L58" s="95">
        <v>5.0</v>
      </c>
      <c r="M58" s="95"/>
      <c r="N58" s="95">
        <v>18.709</v>
      </c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</row>
    <row r="59" ht="15.75" customHeight="1">
      <c r="A59" s="95" t="s">
        <v>246</v>
      </c>
      <c r="B59" s="95" t="s">
        <v>247</v>
      </c>
      <c r="C59" s="95">
        <v>383.0</v>
      </c>
      <c r="D59" s="95">
        <v>0.0</v>
      </c>
      <c r="E59" s="95"/>
      <c r="F59" s="95" t="s">
        <v>251</v>
      </c>
      <c r="G59" s="95" t="s">
        <v>248</v>
      </c>
      <c r="H59" s="95" t="s">
        <v>364</v>
      </c>
      <c r="I59" s="95" t="s">
        <v>365</v>
      </c>
      <c r="J59" s="95" t="s">
        <v>365</v>
      </c>
      <c r="K59" s="95"/>
      <c r="L59" s="95">
        <v>3.0</v>
      </c>
      <c r="M59" s="95"/>
      <c r="N59" s="95">
        <v>14.3078</v>
      </c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</row>
    <row r="60" ht="15.75" customHeight="1">
      <c r="A60" s="95" t="s">
        <v>246</v>
      </c>
      <c r="B60" s="95" t="s">
        <v>247</v>
      </c>
      <c r="C60" s="95">
        <v>284.0</v>
      </c>
      <c r="D60" s="95">
        <v>50.0</v>
      </c>
      <c r="E60" s="95"/>
      <c r="F60" s="95" t="s">
        <v>251</v>
      </c>
      <c r="G60" s="95" t="s">
        <v>252</v>
      </c>
      <c r="H60" s="95" t="s">
        <v>366</v>
      </c>
      <c r="I60" s="95" t="s">
        <v>367</v>
      </c>
      <c r="J60" s="95" t="s">
        <v>367</v>
      </c>
      <c r="K60" s="95"/>
      <c r="L60" s="95">
        <v>2.0</v>
      </c>
      <c r="M60" s="95"/>
      <c r="N60" s="95">
        <v>12.316366666666667</v>
      </c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</row>
    <row r="61" ht="15.75" customHeight="1">
      <c r="A61" s="95" t="s">
        <v>246</v>
      </c>
      <c r="B61" s="95" t="s">
        <v>247</v>
      </c>
      <c r="C61" s="95">
        <v>448.0</v>
      </c>
      <c r="D61" s="95">
        <v>0.0</v>
      </c>
      <c r="E61" s="95"/>
      <c r="F61" s="95" t="s">
        <v>251</v>
      </c>
      <c r="G61" s="95" t="s">
        <v>248</v>
      </c>
      <c r="H61" s="95" t="s">
        <v>368</v>
      </c>
      <c r="I61" s="95" t="s">
        <v>369</v>
      </c>
      <c r="J61" s="95" t="s">
        <v>369</v>
      </c>
      <c r="K61" s="95"/>
      <c r="L61" s="95">
        <v>-1.0</v>
      </c>
      <c r="M61" s="95"/>
      <c r="N61" s="95">
        <v>9.042266666666666</v>
      </c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</row>
    <row r="62" ht="15.75" customHeight="1">
      <c r="A62" s="95" t="s">
        <v>262</v>
      </c>
      <c r="B62" s="95" t="s">
        <v>247</v>
      </c>
      <c r="C62" s="95">
        <v>402.0</v>
      </c>
      <c r="D62" s="95">
        <v>0.0</v>
      </c>
      <c r="E62" s="95" t="s">
        <v>263</v>
      </c>
      <c r="F62" s="95" t="s">
        <v>251</v>
      </c>
      <c r="G62" s="95" t="s">
        <v>248</v>
      </c>
      <c r="H62" s="95" t="s">
        <v>370</v>
      </c>
      <c r="I62" s="95" t="s">
        <v>371</v>
      </c>
      <c r="J62" s="95" t="s">
        <v>371</v>
      </c>
      <c r="K62" s="95"/>
      <c r="L62" s="95">
        <v>-2.0</v>
      </c>
      <c r="M62" s="95"/>
      <c r="N62" s="95">
        <v>15.696683333333333</v>
      </c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</row>
    <row r="63" ht="15.75" customHeight="1">
      <c r="A63" s="95" t="s">
        <v>285</v>
      </c>
      <c r="B63" s="95" t="s">
        <v>247</v>
      </c>
      <c r="C63" s="95">
        <v>630.0</v>
      </c>
      <c r="D63" s="95">
        <v>0.0</v>
      </c>
      <c r="E63" s="95" t="s">
        <v>263</v>
      </c>
      <c r="F63" s="95" t="s">
        <v>295</v>
      </c>
      <c r="G63" s="95" t="s">
        <v>248</v>
      </c>
      <c r="H63" s="95" t="s">
        <v>372</v>
      </c>
      <c r="I63" s="95" t="s">
        <v>373</v>
      </c>
      <c r="J63" s="95" t="s">
        <v>374</v>
      </c>
      <c r="K63" s="95" t="s">
        <v>375</v>
      </c>
      <c r="L63" s="95">
        <v>-11.0</v>
      </c>
      <c r="M63" s="95">
        <v>2.6180833333333333</v>
      </c>
      <c r="N63" s="95">
        <v>9.5263</v>
      </c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</row>
    <row r="64" ht="15.75" customHeight="1">
      <c r="A64" s="95" t="s">
        <v>262</v>
      </c>
      <c r="B64" s="95" t="s">
        <v>247</v>
      </c>
      <c r="C64" s="95">
        <v>456.0</v>
      </c>
      <c r="D64" s="95">
        <v>0.0</v>
      </c>
      <c r="E64" s="95" t="s">
        <v>263</v>
      </c>
      <c r="F64" s="95" t="s">
        <v>251</v>
      </c>
      <c r="G64" s="95" t="s">
        <v>248</v>
      </c>
      <c r="H64" s="95" t="s">
        <v>376</v>
      </c>
      <c r="I64" s="95" t="s">
        <v>377</v>
      </c>
      <c r="J64" s="95" t="s">
        <v>377</v>
      </c>
      <c r="K64" s="95"/>
      <c r="L64" s="95">
        <v>-3.0</v>
      </c>
      <c r="M64" s="95"/>
      <c r="N64" s="95">
        <v>11.079466666666667</v>
      </c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</row>
    <row r="65" ht="15.75" customHeight="1">
      <c r="A65" s="95" t="s">
        <v>246</v>
      </c>
      <c r="B65" s="95" t="s">
        <v>247</v>
      </c>
      <c r="C65" s="95">
        <v>528.0</v>
      </c>
      <c r="D65" s="95">
        <v>0.0</v>
      </c>
      <c r="E65" s="95"/>
      <c r="F65" s="95" t="s">
        <v>251</v>
      </c>
      <c r="G65" s="95" t="s">
        <v>248</v>
      </c>
      <c r="H65" s="95" t="s">
        <v>378</v>
      </c>
      <c r="I65" s="95" t="s">
        <v>379</v>
      </c>
      <c r="J65" s="95" t="s">
        <v>379</v>
      </c>
      <c r="K65" s="95"/>
      <c r="L65" s="95">
        <v>-1.0</v>
      </c>
      <c r="M65" s="95"/>
      <c r="N65" s="95">
        <v>10.781583333333334</v>
      </c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</row>
    <row r="66" ht="15.75" customHeight="1">
      <c r="A66" s="95" t="s">
        <v>262</v>
      </c>
      <c r="B66" s="95" t="s">
        <v>247</v>
      </c>
      <c r="C66" s="95">
        <v>264.0</v>
      </c>
      <c r="D66" s="95">
        <v>0.0</v>
      </c>
      <c r="E66" s="95" t="s">
        <v>263</v>
      </c>
      <c r="F66" s="95" t="s">
        <v>251</v>
      </c>
      <c r="G66" s="95" t="s">
        <v>248</v>
      </c>
      <c r="H66" s="95" t="s">
        <v>380</v>
      </c>
      <c r="I66" s="95" t="s">
        <v>381</v>
      </c>
      <c r="J66" s="95" t="s">
        <v>381</v>
      </c>
      <c r="K66" s="95"/>
      <c r="L66" s="95">
        <v>-6.0</v>
      </c>
      <c r="M66" s="95"/>
      <c r="N66" s="95">
        <v>8.362283333333334</v>
      </c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</row>
    <row r="67" ht="15.75" customHeight="1">
      <c r="A67" s="95" t="s">
        <v>246</v>
      </c>
      <c r="B67" s="95" t="s">
        <v>247</v>
      </c>
      <c r="C67" s="95">
        <v>293.5</v>
      </c>
      <c r="D67" s="95">
        <v>100.5</v>
      </c>
      <c r="E67" s="95"/>
      <c r="F67" s="95" t="s">
        <v>251</v>
      </c>
      <c r="G67" s="95" t="s">
        <v>248</v>
      </c>
      <c r="H67" s="95" t="s">
        <v>382</v>
      </c>
      <c r="I67" s="95" t="s">
        <v>383</v>
      </c>
      <c r="J67" s="95" t="s">
        <v>383</v>
      </c>
      <c r="K67" s="95"/>
      <c r="L67" s="95">
        <v>4.0</v>
      </c>
      <c r="M67" s="95"/>
      <c r="N67" s="95">
        <v>14.248366666666668</v>
      </c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</row>
    <row r="68" ht="15.75" customHeight="1">
      <c r="A68" s="95" t="s">
        <v>246</v>
      </c>
      <c r="B68" s="95" t="s">
        <v>247</v>
      </c>
      <c r="C68" s="95">
        <v>293.5</v>
      </c>
      <c r="D68" s="95">
        <v>100.5</v>
      </c>
      <c r="E68" s="95"/>
      <c r="F68" s="95" t="s">
        <v>251</v>
      </c>
      <c r="G68" s="95" t="s">
        <v>248</v>
      </c>
      <c r="H68" s="95" t="s">
        <v>384</v>
      </c>
      <c r="I68" s="95" t="s">
        <v>385</v>
      </c>
      <c r="J68" s="95" t="s">
        <v>385</v>
      </c>
      <c r="K68" s="95"/>
      <c r="L68" s="95">
        <v>3.0</v>
      </c>
      <c r="M68" s="95"/>
      <c r="N68" s="95">
        <v>13.044416666666667</v>
      </c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</row>
    <row r="69" ht="15.75" customHeight="1">
      <c r="A69" s="95" t="s">
        <v>262</v>
      </c>
      <c r="B69" s="95" t="s">
        <v>247</v>
      </c>
      <c r="C69" s="95">
        <v>264.0</v>
      </c>
      <c r="D69" s="95">
        <v>0.0</v>
      </c>
      <c r="E69" s="95" t="s">
        <v>263</v>
      </c>
      <c r="F69" s="95" t="s">
        <v>251</v>
      </c>
      <c r="G69" s="95" t="s">
        <v>248</v>
      </c>
      <c r="H69" s="95" t="s">
        <v>386</v>
      </c>
      <c r="I69" s="95" t="s">
        <v>387</v>
      </c>
      <c r="J69" s="95" t="s">
        <v>387</v>
      </c>
      <c r="K69" s="95"/>
      <c r="L69" s="95">
        <v>1.0</v>
      </c>
      <c r="M69" s="95"/>
      <c r="N69" s="95">
        <v>16.781583333333334</v>
      </c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</row>
    <row r="70" ht="15.75" customHeight="1">
      <c r="A70" s="95" t="s">
        <v>246</v>
      </c>
      <c r="B70" s="95" t="s">
        <v>247</v>
      </c>
      <c r="C70" s="233">
        <v>298.5</v>
      </c>
      <c r="D70" s="95">
        <v>100.5</v>
      </c>
      <c r="E70" s="95"/>
      <c r="F70" s="95" t="s">
        <v>251</v>
      </c>
      <c r="G70" s="95" t="s">
        <v>248</v>
      </c>
      <c r="H70" s="95" t="s">
        <v>388</v>
      </c>
      <c r="I70" s="95" t="s">
        <v>389</v>
      </c>
      <c r="J70" s="95" t="s">
        <v>389</v>
      </c>
      <c r="K70" s="95"/>
      <c r="L70" s="95">
        <v>6.0</v>
      </c>
      <c r="M70" s="95"/>
      <c r="N70" s="95">
        <v>16.89765</v>
      </c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</row>
    <row r="71" ht="15.75" customHeight="1">
      <c r="A71" s="95" t="s">
        <v>262</v>
      </c>
      <c r="B71" s="95" t="s">
        <v>247</v>
      </c>
      <c r="C71" s="95">
        <v>593.0</v>
      </c>
      <c r="D71" s="95">
        <v>0.0</v>
      </c>
      <c r="E71" s="95" t="s">
        <v>263</v>
      </c>
      <c r="F71" s="95" t="s">
        <v>251</v>
      </c>
      <c r="G71" s="95" t="s">
        <v>248</v>
      </c>
      <c r="H71" s="95" t="s">
        <v>390</v>
      </c>
      <c r="I71" s="95" t="s">
        <v>391</v>
      </c>
      <c r="J71" s="95" t="s">
        <v>391</v>
      </c>
      <c r="K71" s="95"/>
      <c r="L71" s="95">
        <v>0.0</v>
      </c>
      <c r="M71" s="95"/>
      <c r="N71" s="95">
        <v>14.389283333333333</v>
      </c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</row>
    <row r="72" ht="15.75" customHeight="1">
      <c r="A72" s="95" t="s">
        <v>246</v>
      </c>
      <c r="B72" s="95" t="s">
        <v>247</v>
      </c>
      <c r="C72" s="95">
        <v>333.0</v>
      </c>
      <c r="D72" s="95">
        <v>100.0</v>
      </c>
      <c r="E72" s="95"/>
      <c r="F72" s="95" t="s">
        <v>251</v>
      </c>
      <c r="G72" s="95" t="s">
        <v>252</v>
      </c>
      <c r="H72" s="95" t="s">
        <v>392</v>
      </c>
      <c r="I72" s="95" t="s">
        <v>393</v>
      </c>
      <c r="J72" s="95" t="s">
        <v>393</v>
      </c>
      <c r="K72" s="95"/>
      <c r="L72" s="95">
        <v>3.0</v>
      </c>
      <c r="M72" s="95"/>
      <c r="N72" s="95">
        <v>13.765433333333334</v>
      </c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</row>
    <row r="73" ht="15.75" customHeight="1">
      <c r="A73" s="95" t="s">
        <v>262</v>
      </c>
      <c r="B73" s="95" t="s">
        <v>247</v>
      </c>
      <c r="C73" s="95">
        <v>558.0</v>
      </c>
      <c r="D73" s="95">
        <v>0.0</v>
      </c>
      <c r="E73" s="95" t="s">
        <v>263</v>
      </c>
      <c r="F73" s="95" t="s">
        <v>251</v>
      </c>
      <c r="G73" s="95" t="s">
        <v>248</v>
      </c>
      <c r="H73" s="95" t="s">
        <v>394</v>
      </c>
      <c r="I73" s="95" t="s">
        <v>395</v>
      </c>
      <c r="J73" s="95" t="s">
        <v>395</v>
      </c>
      <c r="K73" s="95"/>
      <c r="L73" s="95">
        <v>-2.0</v>
      </c>
      <c r="M73" s="95"/>
      <c r="N73" s="95">
        <v>12.517783333333334</v>
      </c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</row>
    <row r="74" ht="15.75" customHeight="1">
      <c r="A74" s="95" t="s">
        <v>262</v>
      </c>
      <c r="B74" s="95" t="s">
        <v>247</v>
      </c>
      <c r="C74" s="95">
        <v>464.0</v>
      </c>
      <c r="D74" s="95">
        <v>0.0</v>
      </c>
      <c r="E74" s="95" t="s">
        <v>263</v>
      </c>
      <c r="F74" s="95" t="s">
        <v>251</v>
      </c>
      <c r="G74" s="95" t="s">
        <v>248</v>
      </c>
      <c r="H74" s="95" t="s">
        <v>396</v>
      </c>
      <c r="I74" s="95" t="s">
        <v>397</v>
      </c>
      <c r="J74" s="95" t="s">
        <v>397</v>
      </c>
      <c r="K74" s="95"/>
      <c r="L74" s="95">
        <v>-7.0</v>
      </c>
      <c r="M74" s="95"/>
      <c r="N74" s="95">
        <v>12.13565</v>
      </c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</row>
    <row r="75" ht="15.75" customHeight="1">
      <c r="A75" s="95" t="s">
        <v>262</v>
      </c>
      <c r="B75" s="95" t="s">
        <v>247</v>
      </c>
      <c r="C75" s="95">
        <v>403.0</v>
      </c>
      <c r="D75" s="95">
        <v>0.0</v>
      </c>
      <c r="E75" s="95" t="s">
        <v>263</v>
      </c>
      <c r="F75" s="95" t="s">
        <v>251</v>
      </c>
      <c r="G75" s="95" t="s">
        <v>248</v>
      </c>
      <c r="H75" s="95" t="s">
        <v>398</v>
      </c>
      <c r="I75" s="95" t="s">
        <v>399</v>
      </c>
      <c r="J75" s="95" t="s">
        <v>399</v>
      </c>
      <c r="K75" s="95"/>
      <c r="L75" s="95">
        <v>-6.0</v>
      </c>
      <c r="M75" s="95"/>
      <c r="N75" s="95">
        <v>8.775333333333334</v>
      </c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</row>
    <row r="76" ht="15.75" customHeight="1">
      <c r="A76" s="95" t="s">
        <v>285</v>
      </c>
      <c r="B76" s="95" t="s">
        <v>247</v>
      </c>
      <c r="C76" s="95">
        <v>309.0</v>
      </c>
      <c r="D76" s="95">
        <v>0.0</v>
      </c>
      <c r="E76" s="95" t="s">
        <v>263</v>
      </c>
      <c r="F76" s="95" t="s">
        <v>295</v>
      </c>
      <c r="G76" s="95" t="s">
        <v>248</v>
      </c>
      <c r="H76" s="95" t="s">
        <v>400</v>
      </c>
      <c r="I76" s="95" t="s">
        <v>401</v>
      </c>
      <c r="J76" s="95" t="s">
        <v>402</v>
      </c>
      <c r="K76" s="95" t="s">
        <v>403</v>
      </c>
      <c r="L76" s="95">
        <v>-8.0</v>
      </c>
      <c r="M76" s="95">
        <v>0.8526333333333334</v>
      </c>
      <c r="N76" s="95">
        <v>7.347783333333333</v>
      </c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</row>
    <row r="77" ht="15.75" customHeight="1">
      <c r="A77" s="95" t="s">
        <v>246</v>
      </c>
      <c r="B77" s="95" t="s">
        <v>247</v>
      </c>
      <c r="C77" s="95">
        <v>303.0</v>
      </c>
      <c r="D77" s="95">
        <v>0.0</v>
      </c>
      <c r="E77" s="95"/>
      <c r="F77" s="95" t="s">
        <v>251</v>
      </c>
      <c r="G77" s="95" t="s">
        <v>248</v>
      </c>
      <c r="H77" s="95" t="s">
        <v>404</v>
      </c>
      <c r="I77" s="95" t="s">
        <v>405</v>
      </c>
      <c r="J77" s="95" t="s">
        <v>405</v>
      </c>
      <c r="K77" s="95"/>
      <c r="L77" s="95">
        <v>-1.0</v>
      </c>
      <c r="M77" s="95"/>
      <c r="N77" s="95">
        <v>7.26685</v>
      </c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</row>
    <row r="78" ht="15.75" customHeight="1">
      <c r="A78" s="95" t="s">
        <v>262</v>
      </c>
      <c r="B78" s="95" t="s">
        <v>247</v>
      </c>
      <c r="C78" s="95">
        <v>264.0</v>
      </c>
      <c r="D78" s="95">
        <v>0.0</v>
      </c>
      <c r="E78" s="95" t="s">
        <v>263</v>
      </c>
      <c r="F78" s="95" t="s">
        <v>251</v>
      </c>
      <c r="G78" s="95" t="s">
        <v>248</v>
      </c>
      <c r="H78" s="95" t="s">
        <v>406</v>
      </c>
      <c r="I78" s="95" t="s">
        <v>407</v>
      </c>
      <c r="J78" s="95" t="s">
        <v>407</v>
      </c>
      <c r="K78" s="95"/>
      <c r="L78" s="95">
        <v>-6.0</v>
      </c>
      <c r="M78" s="95"/>
      <c r="N78" s="95">
        <v>8.508366666666667</v>
      </c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</row>
    <row r="79" ht="15.75" customHeight="1">
      <c r="A79" s="95" t="s">
        <v>285</v>
      </c>
      <c r="B79" s="95" t="s">
        <v>247</v>
      </c>
      <c r="C79" s="95">
        <v>695.0</v>
      </c>
      <c r="D79" s="95">
        <v>139.0</v>
      </c>
      <c r="E79" s="95"/>
      <c r="F79" s="95" t="s">
        <v>310</v>
      </c>
      <c r="G79" s="95" t="s">
        <v>252</v>
      </c>
      <c r="H79" s="95" t="s">
        <v>408</v>
      </c>
      <c r="I79" s="95" t="s">
        <v>409</v>
      </c>
      <c r="J79" s="95" t="s">
        <v>409</v>
      </c>
      <c r="K79" s="95"/>
      <c r="L79" s="95">
        <v>-3.0</v>
      </c>
      <c r="M79" s="95"/>
      <c r="N79" s="95">
        <v>16.20275</v>
      </c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</row>
    <row r="80" ht="15.75" customHeight="1">
      <c r="A80" s="95" t="s">
        <v>246</v>
      </c>
      <c r="B80" s="95" t="s">
        <v>247</v>
      </c>
      <c r="C80" s="95">
        <v>292.5</v>
      </c>
      <c r="D80" s="95">
        <v>100.5</v>
      </c>
      <c r="E80" s="95"/>
      <c r="F80" s="95" t="s">
        <v>251</v>
      </c>
      <c r="G80" s="95" t="s">
        <v>248</v>
      </c>
      <c r="H80" s="95" t="s">
        <v>410</v>
      </c>
      <c r="I80" s="95" t="s">
        <v>411</v>
      </c>
      <c r="J80" s="95" t="s">
        <v>411</v>
      </c>
      <c r="K80" s="95"/>
      <c r="L80" s="95">
        <v>0.0</v>
      </c>
      <c r="M80" s="95"/>
      <c r="N80" s="95">
        <v>10.396433333333333</v>
      </c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</row>
    <row r="81" ht="15.75" customHeight="1">
      <c r="A81" s="95" t="s">
        <v>285</v>
      </c>
      <c r="B81" s="95" t="s">
        <v>247</v>
      </c>
      <c r="C81" s="95">
        <v>309.0</v>
      </c>
      <c r="D81" s="95">
        <v>0.0</v>
      </c>
      <c r="E81" s="95" t="s">
        <v>263</v>
      </c>
      <c r="F81" s="95" t="s">
        <v>295</v>
      </c>
      <c r="G81" s="95" t="s">
        <v>252</v>
      </c>
      <c r="H81" s="95" t="s">
        <v>412</v>
      </c>
      <c r="I81" s="95" t="s">
        <v>413</v>
      </c>
      <c r="J81" s="95" t="s">
        <v>414</v>
      </c>
      <c r="K81" s="95" t="s">
        <v>415</v>
      </c>
      <c r="L81" s="95">
        <v>-1.0</v>
      </c>
      <c r="M81" s="95">
        <v>16.854333333333333</v>
      </c>
      <c r="N81" s="95">
        <v>17.290283333333335</v>
      </c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</row>
    <row r="82" ht="15.75" customHeight="1">
      <c r="A82" s="95" t="s">
        <v>246</v>
      </c>
      <c r="B82" s="95" t="s">
        <v>247</v>
      </c>
      <c r="C82" s="95">
        <v>1016.0</v>
      </c>
      <c r="D82" s="95">
        <v>0.0</v>
      </c>
      <c r="E82" s="95"/>
      <c r="F82" s="95" t="s">
        <v>251</v>
      </c>
      <c r="G82" s="95" t="s">
        <v>248</v>
      </c>
      <c r="H82" s="95" t="s">
        <v>416</v>
      </c>
      <c r="I82" s="95" t="s">
        <v>417</v>
      </c>
      <c r="J82" s="95" t="s">
        <v>417</v>
      </c>
      <c r="K82" s="95"/>
      <c r="L82" s="95">
        <v>-1.0</v>
      </c>
      <c r="M82" s="95"/>
      <c r="N82" s="95">
        <v>13.9638</v>
      </c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</row>
    <row r="83" ht="15.75" customHeight="1">
      <c r="A83" s="95" t="s">
        <v>285</v>
      </c>
      <c r="B83" s="95" t="s">
        <v>247</v>
      </c>
      <c r="C83" s="95">
        <v>306.0</v>
      </c>
      <c r="D83" s="95">
        <v>0.0</v>
      </c>
      <c r="E83" s="95" t="s">
        <v>263</v>
      </c>
      <c r="F83" s="95" t="s">
        <v>295</v>
      </c>
      <c r="G83" s="95" t="s">
        <v>248</v>
      </c>
      <c r="H83" s="95" t="s">
        <v>418</v>
      </c>
      <c r="I83" s="95" t="s">
        <v>419</v>
      </c>
      <c r="J83" s="95" t="s">
        <v>420</v>
      </c>
      <c r="K83" s="95" t="s">
        <v>421</v>
      </c>
      <c r="L83" s="95">
        <v>-11.0</v>
      </c>
      <c r="M83" s="95">
        <v>0.5023833333333333</v>
      </c>
      <c r="N83" s="95">
        <v>9.14855</v>
      </c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</row>
    <row r="84" ht="15.75" customHeight="1">
      <c r="A84" s="95" t="s">
        <v>285</v>
      </c>
      <c r="B84" s="95" t="s">
        <v>247</v>
      </c>
      <c r="C84" s="95">
        <v>336.0</v>
      </c>
      <c r="D84" s="95">
        <v>0.0</v>
      </c>
      <c r="E84" s="95" t="s">
        <v>263</v>
      </c>
      <c r="F84" s="95" t="s">
        <v>295</v>
      </c>
      <c r="G84" s="95" t="s">
        <v>248</v>
      </c>
      <c r="H84" s="95" t="s">
        <v>422</v>
      </c>
      <c r="I84" s="95" t="s">
        <v>423</v>
      </c>
      <c r="J84" s="95" t="s">
        <v>424</v>
      </c>
      <c r="K84" s="95" t="s">
        <v>425</v>
      </c>
      <c r="L84" s="95">
        <v>-10.0</v>
      </c>
      <c r="M84" s="95">
        <v>0.12811666666666666</v>
      </c>
      <c r="N84" s="95">
        <v>8.895833333333334</v>
      </c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</row>
    <row r="85" ht="15.75" customHeight="1">
      <c r="A85" s="95" t="s">
        <v>262</v>
      </c>
      <c r="B85" s="95" t="s">
        <v>247</v>
      </c>
      <c r="C85" s="95">
        <v>528.0</v>
      </c>
      <c r="D85" s="95">
        <v>0.0</v>
      </c>
      <c r="E85" s="95" t="s">
        <v>263</v>
      </c>
      <c r="F85" s="95" t="s">
        <v>251</v>
      </c>
      <c r="G85" s="95" t="s">
        <v>248</v>
      </c>
      <c r="H85" s="95" t="s">
        <v>426</v>
      </c>
      <c r="I85" s="95" t="s">
        <v>427</v>
      </c>
      <c r="J85" s="95" t="s">
        <v>427</v>
      </c>
      <c r="K85" s="95"/>
      <c r="L85" s="95">
        <v>0.0</v>
      </c>
      <c r="M85" s="95"/>
      <c r="N85" s="95">
        <v>15.798116666666667</v>
      </c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</row>
    <row r="86" ht="15.75" customHeight="1">
      <c r="A86" s="95" t="s">
        <v>262</v>
      </c>
      <c r="B86" s="95" t="s">
        <v>247</v>
      </c>
      <c r="C86" s="95">
        <v>329.0</v>
      </c>
      <c r="D86" s="95">
        <v>0.0</v>
      </c>
      <c r="E86" s="95" t="s">
        <v>263</v>
      </c>
      <c r="F86" s="95" t="s">
        <v>251</v>
      </c>
      <c r="G86" s="95" t="s">
        <v>248</v>
      </c>
      <c r="H86" s="95" t="s">
        <v>428</v>
      </c>
      <c r="I86" s="95" t="s">
        <v>429</v>
      </c>
      <c r="J86" s="95" t="s">
        <v>429</v>
      </c>
      <c r="K86" s="95"/>
      <c r="L86" s="95">
        <v>-2.0</v>
      </c>
      <c r="M86" s="95"/>
      <c r="N86" s="95">
        <v>12.478366666666666</v>
      </c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</row>
    <row r="87" ht="15.75" customHeight="1">
      <c r="A87" s="95" t="s">
        <v>285</v>
      </c>
      <c r="B87" s="95" t="s">
        <v>247</v>
      </c>
      <c r="C87" s="95">
        <v>493.0</v>
      </c>
      <c r="D87" s="95">
        <v>125.0</v>
      </c>
      <c r="E87" s="95" t="s">
        <v>263</v>
      </c>
      <c r="F87" s="95" t="s">
        <v>295</v>
      </c>
      <c r="G87" s="95" t="s">
        <v>248</v>
      </c>
      <c r="H87" s="95" t="s">
        <v>430</v>
      </c>
      <c r="I87" s="95" t="s">
        <v>431</v>
      </c>
      <c r="J87" s="95" t="s">
        <v>432</v>
      </c>
      <c r="K87" s="95" t="s">
        <v>433</v>
      </c>
      <c r="L87" s="95">
        <v>3.0</v>
      </c>
      <c r="M87" s="95">
        <v>0.5833666666666667</v>
      </c>
      <c r="N87" s="95">
        <v>11.399916666666666</v>
      </c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</row>
    <row r="88" ht="15.75" customHeight="1">
      <c r="A88" s="95" t="s">
        <v>246</v>
      </c>
      <c r="B88" s="95" t="s">
        <v>255</v>
      </c>
      <c r="C88" s="95">
        <v>427.5</v>
      </c>
      <c r="D88" s="95">
        <v>100.5</v>
      </c>
      <c r="E88" s="95"/>
      <c r="F88" s="95" t="s">
        <v>251</v>
      </c>
      <c r="G88" s="95" t="s">
        <v>248</v>
      </c>
      <c r="H88" s="95" t="s">
        <v>434</v>
      </c>
      <c r="I88" s="95" t="s">
        <v>435</v>
      </c>
      <c r="J88" s="95" t="s">
        <v>435</v>
      </c>
      <c r="K88" s="95"/>
      <c r="L88" s="95">
        <v>0.0</v>
      </c>
      <c r="M88" s="95"/>
      <c r="N88" s="95">
        <v>11.198333333333334</v>
      </c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</row>
    <row r="89" ht="15.75" customHeight="1">
      <c r="A89" s="95" t="s">
        <v>262</v>
      </c>
      <c r="B89" s="95" t="s">
        <v>247</v>
      </c>
      <c r="C89" s="95">
        <v>329.0</v>
      </c>
      <c r="D89" s="95">
        <v>0.0</v>
      </c>
      <c r="E89" s="95" t="s">
        <v>263</v>
      </c>
      <c r="F89" s="95" t="s">
        <v>251</v>
      </c>
      <c r="G89" s="95" t="s">
        <v>248</v>
      </c>
      <c r="H89" s="95" t="s">
        <v>436</v>
      </c>
      <c r="I89" s="95" t="s">
        <v>437</v>
      </c>
      <c r="J89" s="95" t="s">
        <v>437</v>
      </c>
      <c r="K89" s="95"/>
      <c r="L89" s="95">
        <v>-1.0</v>
      </c>
      <c r="M89" s="95"/>
      <c r="N89" s="95">
        <v>13.030716666666667</v>
      </c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</row>
    <row r="90" ht="15.75" customHeight="1">
      <c r="A90" s="95" t="s">
        <v>246</v>
      </c>
      <c r="B90" s="95" t="s">
        <v>255</v>
      </c>
      <c r="C90" s="233">
        <v>467.0</v>
      </c>
      <c r="D90" s="95">
        <v>150.0</v>
      </c>
      <c r="E90" s="95"/>
      <c r="F90" s="95" t="s">
        <v>251</v>
      </c>
      <c r="G90" s="95" t="s">
        <v>248</v>
      </c>
      <c r="H90" s="95" t="s">
        <v>438</v>
      </c>
      <c r="I90" s="95" t="s">
        <v>439</v>
      </c>
      <c r="J90" s="95" t="s">
        <v>439</v>
      </c>
      <c r="K90" s="95"/>
      <c r="L90" s="95">
        <v>-1.0</v>
      </c>
      <c r="M90" s="95"/>
      <c r="N90" s="95">
        <v>10.490866666666667</v>
      </c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</row>
    <row r="91" ht="15.75" customHeight="1">
      <c r="A91" s="95" t="s">
        <v>262</v>
      </c>
      <c r="B91" s="95" t="s">
        <v>247</v>
      </c>
      <c r="C91" s="95">
        <v>299.0</v>
      </c>
      <c r="D91" s="95">
        <v>0.0</v>
      </c>
      <c r="E91" s="95" t="s">
        <v>263</v>
      </c>
      <c r="F91" s="95" t="s">
        <v>251</v>
      </c>
      <c r="G91" s="95" t="s">
        <v>248</v>
      </c>
      <c r="H91" s="95" t="s">
        <v>440</v>
      </c>
      <c r="I91" s="95" t="s">
        <v>441</v>
      </c>
      <c r="J91" s="95" t="s">
        <v>441</v>
      </c>
      <c r="K91" s="95"/>
      <c r="L91" s="95">
        <v>-8.0</v>
      </c>
      <c r="M91" s="95"/>
      <c r="N91" s="95">
        <v>12.577583333333333</v>
      </c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</row>
    <row r="92" ht="15.75" customHeight="1">
      <c r="A92" s="95" t="s">
        <v>285</v>
      </c>
      <c r="B92" s="95" t="s">
        <v>247</v>
      </c>
      <c r="C92" s="95">
        <v>309.0</v>
      </c>
      <c r="D92" s="95">
        <v>0.0</v>
      </c>
      <c r="E92" s="95" t="s">
        <v>263</v>
      </c>
      <c r="F92" s="95" t="s">
        <v>295</v>
      </c>
      <c r="G92" s="95" t="s">
        <v>248</v>
      </c>
      <c r="H92" s="95" t="s">
        <v>442</v>
      </c>
      <c r="I92" s="95" t="s">
        <v>443</v>
      </c>
      <c r="J92" s="95" t="s">
        <v>444</v>
      </c>
      <c r="K92" s="95" t="s">
        <v>445</v>
      </c>
      <c r="L92" s="95">
        <v>1.0</v>
      </c>
      <c r="M92" s="95">
        <v>0.5753333333333334</v>
      </c>
      <c r="N92" s="95">
        <v>17.276733333333333</v>
      </c>
      <c r="O92" s="95"/>
      <c r="P92" s="95"/>
      <c r="Q92" s="95"/>
      <c r="S92" s="95"/>
      <c r="T92" s="95"/>
      <c r="U92" s="95"/>
      <c r="V92" s="95"/>
      <c r="W92" s="95"/>
      <c r="X92" s="95"/>
      <c r="Y92" s="95"/>
      <c r="Z92" s="95"/>
      <c r="AB92" s="95"/>
      <c r="AC92" s="95"/>
      <c r="AD92" s="95"/>
      <c r="AE92" s="95"/>
      <c r="AF92" s="95"/>
      <c r="AG92" s="95"/>
      <c r="AH92" s="95"/>
    </row>
    <row r="93" ht="15.75" customHeight="1">
      <c r="A93" s="95" t="s">
        <v>246</v>
      </c>
      <c r="B93" s="95" t="s">
        <v>247</v>
      </c>
      <c r="C93" s="95">
        <v>359.0</v>
      </c>
      <c r="D93" s="95">
        <v>150.0</v>
      </c>
      <c r="E93" s="95"/>
      <c r="F93" s="95" t="s">
        <v>251</v>
      </c>
      <c r="G93" s="95" t="s">
        <v>248</v>
      </c>
      <c r="H93" s="95" t="s">
        <v>446</v>
      </c>
      <c r="I93" s="95" t="s">
        <v>447</v>
      </c>
      <c r="J93" s="95" t="s">
        <v>447</v>
      </c>
      <c r="K93" s="95"/>
      <c r="L93" s="95">
        <v>0.0</v>
      </c>
      <c r="M93" s="95"/>
      <c r="N93" s="95">
        <v>11.432483333333334</v>
      </c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</row>
    <row r="94" ht="15.7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</row>
    <row r="95" ht="15.7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</row>
    <row r="96" ht="15.7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</row>
    <row r="97" ht="15.7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</row>
    <row r="98" ht="15.7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</row>
    <row r="99" ht="15.7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</row>
    <row r="100" ht="15.75" customHeight="1">
      <c r="A100" s="95"/>
      <c r="B100" s="95"/>
      <c r="C100" s="233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</row>
    <row r="101" ht="15.7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</row>
    <row r="102" ht="15.7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</row>
    <row r="103" ht="15.7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</row>
    <row r="104" ht="15.7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</row>
    <row r="105" ht="15.7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</row>
    <row r="106" ht="15.7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</row>
    <row r="107" ht="15.7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</row>
    <row r="108" ht="15.7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</row>
    <row r="109" ht="15.7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</row>
    <row r="110" ht="15.7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</row>
    <row r="111" ht="15.7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</row>
    <row r="112" ht="15.7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</row>
    <row r="113" ht="15.7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</row>
    <row r="114" ht="15.7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</row>
    <row r="116" ht="15.7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</row>
    <row r="117" ht="15.7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</row>
    <row r="118" ht="15.7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</row>
    <row r="119" ht="15.7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</row>
    <row r="120" ht="15.7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</row>
    <row r="121" ht="15.7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</row>
    <row r="122" ht="15.7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</row>
    <row r="123" ht="15.7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</row>
    <row r="124" ht="15.7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</row>
    <row r="125" ht="15.7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</row>
    <row r="126" ht="15.7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</row>
    <row r="127" ht="15.7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</row>
    <row r="128" ht="15.75" customHeight="1">
      <c r="A128" s="95"/>
      <c r="B128" s="233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</row>
    <row r="129" ht="15.7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</row>
    <row r="130" ht="15.7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</row>
    <row r="131" ht="15.7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</row>
    <row r="132" ht="15.7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</row>
    <row r="133" ht="15.7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</row>
    <row r="134" ht="15.7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</row>
    <row r="136" ht="15.7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</row>
    <row r="137" ht="15.7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</row>
    <row r="138" ht="15.7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</row>
    <row r="139" ht="15.7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</row>
    <row r="140" ht="15.7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</row>
    <row r="141" ht="15.7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</row>
    <row r="142" ht="15.7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</row>
    <row r="143" ht="15.7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</row>
    <row r="144" ht="15.7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</row>
    <row r="145" ht="15.7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</row>
    <row r="146" ht="15.7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</row>
    <row r="147" ht="15.7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</row>
    <row r="148" ht="15.7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</row>
    <row r="149" ht="15.7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</row>
    <row r="150" ht="15.7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</row>
    <row r="151" ht="15.7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</row>
    <row r="152" ht="15.7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</row>
    <row r="153" ht="15.7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</row>
    <row r="155" ht="15.7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</row>
    <row r="156" ht="15.7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</row>
    <row r="157" ht="15.7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</row>
    <row r="158" ht="15.7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</row>
    <row r="159" ht="15.7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</row>
    <row r="160" ht="15.7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</row>
    <row r="161" ht="15.7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</row>
    <row r="162" ht="15.7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</row>
    <row r="163" ht="15.7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</row>
    <row r="164" ht="15.7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</row>
    <row r="165" ht="15.7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</row>
    <row r="166" ht="15.7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</row>
    <row r="167" ht="15.7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</row>
    <row r="168" ht="15.7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</row>
    <row r="169" ht="15.7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</row>
    <row r="170" ht="15.7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</row>
    <row r="171" ht="15.7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</row>
    <row r="172" ht="15.7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</row>
    <row r="174" ht="15.7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</row>
    <row r="175" ht="15.7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</row>
    <row r="176" ht="15.7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</row>
    <row r="177" ht="15.7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</row>
    <row r="178" ht="15.7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</row>
    <row r="179" ht="15.7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</row>
    <row r="180" ht="15.7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</row>
    <row r="181" ht="15.7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</row>
    <row r="182" ht="15.7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</row>
    <row r="183" ht="15.7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</row>
    <row r="184" ht="15.7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S184" s="95"/>
      <c r="T184" s="95"/>
      <c r="U184" s="95"/>
      <c r="V184" s="95"/>
      <c r="W184" s="95"/>
      <c r="X184" s="95"/>
      <c r="Y184" s="95"/>
      <c r="Z184" s="95"/>
      <c r="AB184" s="95"/>
      <c r="AC184" s="95"/>
      <c r="AD184" s="95"/>
      <c r="AE184" s="95"/>
      <c r="AF184" s="95"/>
      <c r="AG184" s="95"/>
      <c r="AH184" s="95"/>
    </row>
    <row r="185" ht="15.7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</row>
    <row r="186" ht="15.7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</row>
    <row r="187" ht="15.7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</row>
    <row r="188" ht="15.7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</row>
    <row r="189" ht="15.7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</row>
    <row r="190" ht="15.7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</row>
    <row r="191" ht="15.7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</row>
    <row r="193" ht="15.7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</row>
    <row r="194" ht="15.7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</row>
    <row r="195" ht="15.7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</row>
    <row r="196" ht="15.7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</row>
    <row r="197" ht="15.7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</row>
    <row r="198" ht="15.7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</row>
    <row r="199" ht="15.7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</row>
    <row r="200" ht="15.7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</row>
    <row r="201" ht="15.7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</row>
    <row r="202" ht="15.7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</row>
    <row r="203" ht="15.7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</row>
    <row r="204" ht="15.7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</row>
    <row r="205" ht="15.7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</row>
    <row r="206" ht="15.7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</row>
    <row r="207" ht="15.7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</row>
    <row r="208" ht="15.7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</row>
    <row r="209" ht="15.7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</row>
    <row r="210" ht="15.7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</row>
    <row r="212" ht="15.7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</row>
    <row r="213" ht="15.7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</row>
    <row r="214" ht="15.7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</row>
    <row r="215" ht="15.7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</row>
    <row r="216" ht="15.7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S216" s="95"/>
      <c r="T216" s="95"/>
      <c r="U216" s="95"/>
      <c r="V216" s="95"/>
      <c r="W216" s="95"/>
      <c r="X216" s="95"/>
      <c r="Y216" s="95"/>
      <c r="Z216" s="95"/>
      <c r="AB216" s="95"/>
      <c r="AC216" s="95"/>
      <c r="AD216" s="95"/>
      <c r="AE216" s="95"/>
      <c r="AF216" s="95"/>
      <c r="AG216" s="95"/>
      <c r="AH216" s="95"/>
    </row>
    <row r="217" ht="15.7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</row>
    <row r="218" ht="15.7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</row>
    <row r="219" ht="15.7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</row>
    <row r="220" ht="15.7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S232" s="95"/>
      <c r="T232" s="95"/>
      <c r="U232" s="95"/>
      <c r="V232" s="95"/>
      <c r="W232" s="95"/>
      <c r="X232" s="95"/>
      <c r="Y232" s="95"/>
      <c r="Z232" s="95"/>
      <c r="AB232" s="95"/>
      <c r="AC232" s="95"/>
      <c r="AD232" s="95"/>
      <c r="AE232" s="95"/>
      <c r="AF232" s="95"/>
      <c r="AG232" s="95"/>
      <c r="AH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S248" s="95"/>
      <c r="T248" s="95"/>
      <c r="U248" s="95"/>
      <c r="V248" s="95"/>
      <c r="W248" s="95"/>
      <c r="X248" s="95"/>
      <c r="Y248" s="95"/>
      <c r="Z248" s="95"/>
      <c r="AB248" s="95"/>
      <c r="AC248" s="95"/>
      <c r="AD248" s="95"/>
      <c r="AE248" s="95"/>
      <c r="AF248" s="95"/>
      <c r="AG248" s="95"/>
      <c r="AH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</row>
    <row r="260" ht="15.75" customHeight="1">
      <c r="A260" s="95"/>
      <c r="B260" s="95"/>
      <c r="C260" s="233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S260" s="95"/>
      <c r="T260" s="95"/>
      <c r="U260" s="95"/>
      <c r="V260" s="95"/>
      <c r="W260" s="95"/>
      <c r="X260" s="95"/>
      <c r="Y260" s="95"/>
      <c r="Z260" s="95"/>
      <c r="AB260" s="95"/>
      <c r="AC260" s="95"/>
      <c r="AD260" s="95"/>
      <c r="AE260" s="95"/>
      <c r="AF260" s="95"/>
      <c r="AG260" s="95"/>
      <c r="AH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S267" s="95"/>
      <c r="T267" s="95"/>
      <c r="U267" s="95"/>
      <c r="V267" s="95"/>
      <c r="W267" s="95"/>
      <c r="X267" s="95"/>
      <c r="Y267" s="95"/>
      <c r="Z267" s="95"/>
      <c r="AB267" s="95"/>
      <c r="AC267" s="95"/>
      <c r="AD267" s="95"/>
      <c r="AE267" s="95"/>
      <c r="AF267" s="95"/>
      <c r="AG267" s="95"/>
      <c r="AH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S274" s="95"/>
      <c r="T274" s="95"/>
      <c r="U274" s="95"/>
      <c r="V274" s="95"/>
      <c r="W274" s="95"/>
      <c r="X274" s="95"/>
      <c r="Y274" s="95"/>
      <c r="Z274" s="95"/>
      <c r="AB274" s="95"/>
      <c r="AC274" s="95"/>
      <c r="AD274" s="95"/>
      <c r="AE274" s="95"/>
      <c r="AF274" s="95"/>
      <c r="AG274" s="95"/>
      <c r="AH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S277" s="95"/>
      <c r="T277" s="95"/>
      <c r="U277" s="95"/>
      <c r="V277" s="95"/>
      <c r="W277" s="95"/>
      <c r="X277" s="95"/>
      <c r="Y277" s="95"/>
      <c r="Z277" s="95"/>
      <c r="AB277" s="95"/>
      <c r="AC277" s="95"/>
      <c r="AD277" s="95"/>
      <c r="AE277" s="95"/>
      <c r="AF277" s="95"/>
      <c r="AG277" s="95"/>
      <c r="AH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</row>
    <row r="279" ht="15.75" customHeight="1">
      <c r="A279" s="95"/>
      <c r="B279" s="95"/>
      <c r="C279" s="233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</row>
    <row r="286" ht="15.75" customHeight="1">
      <c r="A286" s="95"/>
      <c r="B286" s="95"/>
      <c r="C286" s="233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</row>
    <row r="288" ht="15.75" customHeight="1">
      <c r="A288" s="95"/>
      <c r="B288" s="95"/>
      <c r="C288" s="233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</sheetData>
  <autoFilter ref="$A$1:$M$343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34"/>
      <c r="B1" s="234" t="s">
        <v>448</v>
      </c>
      <c r="C1" s="235" t="str">
        <f>IFERROR(__xludf.DUMMYFUNCTION("IMPORTRANGE(""1TpIiNTfR1pnpn85VWQTTdvQ2Xcr0GStmWJ2UvfKxG_A"", ""Mzdy!A1:Z200"")"),"#REF!")</f>
        <v>#REF!</v>
      </c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6"/>
      <c r="X1" s="234"/>
      <c r="Y1" s="234"/>
      <c r="Z1" s="234"/>
    </row>
    <row r="2" ht="15.75" customHeight="1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6"/>
      <c r="X2" s="234"/>
      <c r="Y2" s="234"/>
      <c r="Z2" s="234"/>
    </row>
    <row r="3" ht="15.75" customHeight="1">
      <c r="A3" s="234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6"/>
      <c r="X3" s="234"/>
      <c r="Y3" s="234"/>
      <c r="Z3" s="234"/>
    </row>
    <row r="4" ht="15.75" customHeight="1">
      <c r="A4" s="237" t="s">
        <v>449</v>
      </c>
      <c r="B4" s="237" t="s">
        <v>450</v>
      </c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6"/>
      <c r="X4" s="234"/>
      <c r="Y4" s="234"/>
      <c r="Z4" s="234"/>
    </row>
    <row r="5" ht="15.75" customHeight="1">
      <c r="A5" s="234" t="str">
        <f t="shared" ref="A5:A43" si="1">IF(AND(B5&lt;&gt;"", C5=TRUE, E5=Report!$B$1), B5, "")</f>
        <v>#REF!</v>
      </c>
      <c r="B5" s="238" t="str">
        <f t="shared" ref="B5:B9" si="2">IF(OR(E5=Report!$B$1, F5=Report!$B$1, G5=Report!$B$1, H5=Report!$B$1), D5, "")</f>
        <v>#REF!</v>
      </c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6"/>
      <c r="X5" s="234"/>
      <c r="Y5" s="234"/>
      <c r="Z5" s="234"/>
    </row>
    <row r="6" ht="15.75" customHeight="1">
      <c r="A6" s="234" t="str">
        <f t="shared" si="1"/>
        <v>#REF!</v>
      </c>
      <c r="B6" s="238" t="str">
        <f t="shared" si="2"/>
        <v>#REF!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6"/>
      <c r="X6" s="234"/>
      <c r="Y6" s="234"/>
      <c r="Z6" s="234"/>
    </row>
    <row r="7" ht="15.75" customHeight="1">
      <c r="A7" s="234" t="str">
        <f t="shared" si="1"/>
        <v>#REF!</v>
      </c>
      <c r="B7" s="238" t="str">
        <f t="shared" si="2"/>
        <v>#REF!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6"/>
      <c r="X7" s="234"/>
      <c r="Y7" s="234"/>
      <c r="Z7" s="234"/>
    </row>
    <row r="8" ht="15.75" customHeight="1">
      <c r="A8" s="234" t="str">
        <f t="shared" si="1"/>
        <v>#REF!</v>
      </c>
      <c r="B8" s="238" t="str">
        <f t="shared" si="2"/>
        <v>#REF!</v>
      </c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6"/>
      <c r="X8" s="234"/>
      <c r="Y8" s="234"/>
      <c r="Z8" s="234"/>
    </row>
    <row r="9" ht="15.75" customHeight="1">
      <c r="A9" s="234" t="str">
        <f t="shared" si="1"/>
        <v>#REF!</v>
      </c>
      <c r="B9" s="238" t="str">
        <f t="shared" si="2"/>
        <v>#REF!</v>
      </c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6"/>
      <c r="X9" s="234"/>
      <c r="Y9" s="234"/>
      <c r="Z9" s="234"/>
    </row>
    <row r="10" ht="15.75" customHeight="1">
      <c r="A10" s="234" t="str">
        <f t="shared" si="1"/>
        <v>#REF!</v>
      </c>
      <c r="B10" s="238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6"/>
      <c r="X10" s="234"/>
      <c r="Y10" s="234"/>
      <c r="Z10" s="234"/>
    </row>
    <row r="11" ht="15.75" customHeight="1">
      <c r="A11" s="234" t="str">
        <f t="shared" si="1"/>
        <v>#REF!</v>
      </c>
      <c r="B11" s="238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6"/>
      <c r="X11" s="234"/>
      <c r="Y11" s="234"/>
      <c r="Z11" s="234"/>
    </row>
    <row r="12" ht="15.75" customHeight="1">
      <c r="A12" s="234" t="str">
        <f t="shared" si="1"/>
        <v>#REF!</v>
      </c>
      <c r="B12" s="238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6"/>
      <c r="X12" s="234"/>
      <c r="Y12" s="234"/>
      <c r="Z12" s="234"/>
    </row>
    <row r="13" ht="15.75" customHeight="1">
      <c r="A13" s="234" t="str">
        <f t="shared" si="1"/>
        <v>#REF!</v>
      </c>
      <c r="B13" s="238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6"/>
      <c r="X13" s="234"/>
      <c r="Y13" s="234"/>
      <c r="Z13" s="234"/>
    </row>
    <row r="14" ht="15.75" customHeight="1">
      <c r="A14" s="234" t="str">
        <f t="shared" si="1"/>
        <v>#REF!</v>
      </c>
      <c r="B14" s="238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6"/>
      <c r="X14" s="234"/>
      <c r="Y14" s="234"/>
      <c r="Z14" s="234"/>
    </row>
    <row r="15" ht="15.75" customHeight="1">
      <c r="A15" s="234" t="str">
        <f t="shared" si="1"/>
        <v>#REF!</v>
      </c>
      <c r="B15" s="238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6"/>
      <c r="X15" s="234"/>
      <c r="Y15" s="234"/>
      <c r="Z15" s="234"/>
    </row>
    <row r="16" ht="15.75" customHeight="1">
      <c r="A16" s="234" t="str">
        <f t="shared" si="1"/>
        <v>#REF!</v>
      </c>
      <c r="B16" s="238"/>
      <c r="C16" s="234"/>
      <c r="D16" s="234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6"/>
      <c r="X16" s="234"/>
      <c r="Y16" s="234"/>
      <c r="Z16" s="234"/>
    </row>
    <row r="17" ht="15.75" customHeight="1">
      <c r="A17" s="234" t="str">
        <f t="shared" si="1"/>
        <v>#REF!</v>
      </c>
      <c r="B17" s="238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6"/>
      <c r="X17" s="234"/>
      <c r="Y17" s="234"/>
      <c r="Z17" s="234"/>
    </row>
    <row r="18" ht="15.75" customHeight="1">
      <c r="A18" s="234" t="str">
        <f t="shared" si="1"/>
        <v>#REF!</v>
      </c>
      <c r="B18" s="238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6"/>
      <c r="X18" s="234"/>
      <c r="Y18" s="234"/>
      <c r="Z18" s="234"/>
    </row>
    <row r="19" ht="15.75" customHeight="1">
      <c r="A19" s="234" t="str">
        <f t="shared" si="1"/>
        <v>#REF!</v>
      </c>
      <c r="B19" s="238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6"/>
      <c r="X19" s="234"/>
      <c r="Y19" s="234"/>
      <c r="Z19" s="234"/>
    </row>
    <row r="20" ht="15.75" customHeight="1">
      <c r="A20" s="234" t="str">
        <f t="shared" si="1"/>
        <v>#REF!</v>
      </c>
      <c r="B20" s="238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6"/>
      <c r="X20" s="234"/>
      <c r="Y20" s="234"/>
      <c r="Z20" s="234"/>
    </row>
    <row r="21" ht="15.75" customHeight="1">
      <c r="A21" s="234" t="str">
        <f t="shared" si="1"/>
        <v>#REF!</v>
      </c>
      <c r="B21" s="238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6"/>
      <c r="X21" s="234"/>
      <c r="Y21" s="234"/>
      <c r="Z21" s="234"/>
    </row>
    <row r="22" ht="15.75" customHeight="1">
      <c r="A22" s="234" t="str">
        <f t="shared" si="1"/>
        <v>#REF!</v>
      </c>
      <c r="B22" s="238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6"/>
      <c r="X22" s="234"/>
      <c r="Y22" s="234"/>
      <c r="Z22" s="234"/>
    </row>
    <row r="23" ht="15.75" customHeight="1">
      <c r="A23" s="234" t="str">
        <f t="shared" si="1"/>
        <v>#REF!</v>
      </c>
      <c r="B23" s="238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6"/>
      <c r="X23" s="234"/>
      <c r="Y23" s="234"/>
      <c r="Z23" s="234"/>
    </row>
    <row r="24" ht="15.75" customHeight="1">
      <c r="A24" s="234" t="str">
        <f t="shared" si="1"/>
        <v>#REF!</v>
      </c>
      <c r="B24" s="238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6"/>
      <c r="X24" s="234"/>
      <c r="Y24" s="234"/>
      <c r="Z24" s="234"/>
    </row>
    <row r="25" ht="15.75" customHeight="1">
      <c r="A25" s="234" t="str">
        <f t="shared" si="1"/>
        <v>#REF!</v>
      </c>
      <c r="B25" s="238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6"/>
      <c r="X25" s="234"/>
      <c r="Y25" s="234"/>
      <c r="Z25" s="234"/>
    </row>
    <row r="26" ht="15.75" customHeight="1">
      <c r="A26" s="234" t="str">
        <f t="shared" si="1"/>
        <v>#REF!</v>
      </c>
      <c r="B26" s="238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6"/>
      <c r="X26" s="234"/>
      <c r="Y26" s="234"/>
      <c r="Z26" s="234"/>
    </row>
    <row r="27" ht="15.75" customHeight="1">
      <c r="A27" s="234" t="str">
        <f t="shared" si="1"/>
        <v>#REF!</v>
      </c>
      <c r="B27" s="238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6"/>
      <c r="X27" s="234"/>
      <c r="Y27" s="234"/>
      <c r="Z27" s="234"/>
    </row>
    <row r="28" ht="15.75" customHeight="1">
      <c r="A28" s="234" t="str">
        <f t="shared" si="1"/>
        <v>#REF!</v>
      </c>
      <c r="B28" s="238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6"/>
      <c r="X28" s="234"/>
      <c r="Y28" s="234"/>
      <c r="Z28" s="234"/>
    </row>
    <row r="29" ht="15.75" customHeight="1">
      <c r="A29" s="234" t="str">
        <f t="shared" si="1"/>
        <v>#REF!</v>
      </c>
      <c r="B29" s="238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6"/>
      <c r="X29" s="234"/>
      <c r="Y29" s="234"/>
      <c r="Z29" s="234"/>
    </row>
    <row r="30" ht="15.75" customHeight="1">
      <c r="A30" s="234" t="str">
        <f t="shared" si="1"/>
        <v>#REF!</v>
      </c>
      <c r="B30" s="238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6"/>
      <c r="X30" s="234"/>
      <c r="Y30" s="234"/>
      <c r="Z30" s="234"/>
    </row>
    <row r="31" ht="15.75" customHeight="1">
      <c r="A31" s="234" t="str">
        <f t="shared" si="1"/>
        <v>#REF!</v>
      </c>
      <c r="B31" s="238" t="str">
        <f t="shared" ref="B31:B179" si="3">IF(OR(E31=Report!$B$1, F31=Report!$B$1, G31=Report!$B$1, H31=Report!$B$1), D31, "")</f>
        <v>#REF!</v>
      </c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6"/>
      <c r="X31" s="234"/>
      <c r="Y31" s="234"/>
      <c r="Z31" s="234"/>
    </row>
    <row r="32" ht="15.75" customHeight="1">
      <c r="A32" s="234" t="str">
        <f t="shared" si="1"/>
        <v>#REF!</v>
      </c>
      <c r="B32" s="238" t="str">
        <f t="shared" si="3"/>
        <v>#REF!</v>
      </c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6"/>
      <c r="X32" s="234"/>
      <c r="Y32" s="234"/>
      <c r="Z32" s="234"/>
    </row>
    <row r="33" ht="15.75" customHeight="1">
      <c r="A33" s="234" t="str">
        <f t="shared" si="1"/>
        <v>#REF!</v>
      </c>
      <c r="B33" s="238" t="str">
        <f t="shared" si="3"/>
        <v>#REF!</v>
      </c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6"/>
      <c r="X33" s="234"/>
      <c r="Y33" s="234"/>
      <c r="Z33" s="234"/>
    </row>
    <row r="34" ht="15.75" customHeight="1">
      <c r="A34" s="234" t="str">
        <f t="shared" si="1"/>
        <v>#REF!</v>
      </c>
      <c r="B34" s="238" t="str">
        <f t="shared" si="3"/>
        <v>#REF!</v>
      </c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6"/>
      <c r="X34" s="234"/>
      <c r="Y34" s="234"/>
      <c r="Z34" s="234"/>
    </row>
    <row r="35" ht="15.75" customHeight="1">
      <c r="A35" s="234" t="str">
        <f t="shared" si="1"/>
        <v>#REF!</v>
      </c>
      <c r="B35" s="238" t="str">
        <f t="shared" si="3"/>
        <v>#REF!</v>
      </c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6"/>
      <c r="X35" s="234"/>
      <c r="Y35" s="234"/>
      <c r="Z35" s="234"/>
    </row>
    <row r="36" ht="15.75" customHeight="1">
      <c r="A36" s="234" t="str">
        <f t="shared" si="1"/>
        <v>#REF!</v>
      </c>
      <c r="B36" s="238" t="str">
        <f t="shared" si="3"/>
        <v>#REF!</v>
      </c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6"/>
      <c r="X36" s="234"/>
      <c r="Y36" s="234"/>
      <c r="Z36" s="234"/>
    </row>
    <row r="37" ht="15.75" customHeight="1">
      <c r="A37" s="234" t="str">
        <f t="shared" si="1"/>
        <v>#REF!</v>
      </c>
      <c r="B37" s="238" t="str">
        <f t="shared" si="3"/>
        <v>#REF!</v>
      </c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6"/>
      <c r="X37" s="234"/>
      <c r="Y37" s="234"/>
      <c r="Z37" s="234"/>
    </row>
    <row r="38" ht="15.75" customHeight="1">
      <c r="A38" s="234" t="str">
        <f t="shared" si="1"/>
        <v>#REF!</v>
      </c>
      <c r="B38" s="238" t="str">
        <f t="shared" si="3"/>
        <v>#REF!</v>
      </c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6"/>
      <c r="X38" s="234"/>
      <c r="Y38" s="234"/>
      <c r="Z38" s="234"/>
    </row>
    <row r="39" ht="15.75" customHeight="1">
      <c r="A39" s="234" t="str">
        <f t="shared" si="1"/>
        <v>#REF!</v>
      </c>
      <c r="B39" s="238" t="str">
        <f t="shared" si="3"/>
        <v>#REF!</v>
      </c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6"/>
      <c r="X39" s="234"/>
      <c r="Y39" s="234"/>
      <c r="Z39" s="234"/>
    </row>
    <row r="40" ht="15.75" customHeight="1">
      <c r="A40" s="234" t="str">
        <f t="shared" si="1"/>
        <v>#REF!</v>
      </c>
      <c r="B40" s="238" t="str">
        <f t="shared" si="3"/>
        <v>#REF!</v>
      </c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6"/>
      <c r="X40" s="234"/>
      <c r="Y40" s="234"/>
      <c r="Z40" s="234"/>
    </row>
    <row r="41" ht="15.75" customHeight="1">
      <c r="A41" s="234" t="str">
        <f t="shared" si="1"/>
        <v>#REF!</v>
      </c>
      <c r="B41" s="238" t="str">
        <f t="shared" si="3"/>
        <v>#REF!</v>
      </c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6"/>
      <c r="X41" s="234"/>
      <c r="Y41" s="234"/>
      <c r="Z41" s="234"/>
    </row>
    <row r="42" ht="15.75" customHeight="1">
      <c r="A42" s="234" t="str">
        <f t="shared" si="1"/>
        <v>#REF!</v>
      </c>
      <c r="B42" s="238" t="str">
        <f t="shared" si="3"/>
        <v>#REF!</v>
      </c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6"/>
      <c r="X42" s="234"/>
      <c r="Y42" s="234"/>
      <c r="Z42" s="234"/>
    </row>
    <row r="43" ht="15.75" customHeight="1">
      <c r="A43" s="234" t="str">
        <f t="shared" si="1"/>
        <v>#REF!</v>
      </c>
      <c r="B43" s="238" t="str">
        <f t="shared" si="3"/>
        <v>#REF!</v>
      </c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6"/>
      <c r="X43" s="234"/>
      <c r="Y43" s="234"/>
      <c r="Z43" s="234"/>
    </row>
    <row r="44" ht="15.75" customHeight="1">
      <c r="A44" s="234"/>
      <c r="B44" s="239" t="str">
        <f t="shared" si="3"/>
        <v>#REF!</v>
      </c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6"/>
      <c r="X44" s="234"/>
      <c r="Y44" s="234"/>
      <c r="Z44" s="234"/>
    </row>
    <row r="45" ht="15.75" customHeight="1">
      <c r="A45" s="234"/>
      <c r="B45" s="239" t="str">
        <f t="shared" si="3"/>
        <v>#REF!</v>
      </c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6"/>
      <c r="X45" s="234"/>
      <c r="Y45" s="234"/>
      <c r="Z45" s="234"/>
    </row>
    <row r="46" ht="15.75" customHeight="1">
      <c r="A46" s="234"/>
      <c r="B46" s="239" t="str">
        <f t="shared" si="3"/>
        <v>#REF!</v>
      </c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6"/>
      <c r="X46" s="234"/>
      <c r="Y46" s="234"/>
      <c r="Z46" s="234"/>
    </row>
    <row r="47" ht="15.75" customHeight="1">
      <c r="A47" s="234"/>
      <c r="B47" s="239" t="str">
        <f t="shared" si="3"/>
        <v>#REF!</v>
      </c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6"/>
      <c r="X47" s="234"/>
      <c r="Y47" s="234"/>
      <c r="Z47" s="234"/>
    </row>
    <row r="48" ht="15.75" customHeight="1">
      <c r="A48" s="234"/>
      <c r="B48" s="239" t="str">
        <f t="shared" si="3"/>
        <v>#REF!</v>
      </c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6"/>
      <c r="X48" s="234"/>
      <c r="Y48" s="234"/>
      <c r="Z48" s="234"/>
    </row>
    <row r="49" ht="15.75" customHeight="1">
      <c r="A49" s="234"/>
      <c r="B49" s="239" t="str">
        <f t="shared" si="3"/>
        <v>#REF!</v>
      </c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6"/>
      <c r="X49" s="234"/>
      <c r="Y49" s="234"/>
      <c r="Z49" s="234"/>
    </row>
    <row r="50" ht="15.75" customHeight="1">
      <c r="A50" s="234"/>
      <c r="B50" s="239" t="str">
        <f t="shared" si="3"/>
        <v>#REF!</v>
      </c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6"/>
      <c r="X50" s="234"/>
      <c r="Y50" s="234"/>
      <c r="Z50" s="234"/>
    </row>
    <row r="51" ht="15.75" customHeight="1">
      <c r="A51" s="234"/>
      <c r="B51" s="239" t="str">
        <f t="shared" si="3"/>
        <v>#REF!</v>
      </c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6"/>
      <c r="X51" s="234"/>
      <c r="Y51" s="234"/>
      <c r="Z51" s="234"/>
    </row>
    <row r="52" ht="15.75" customHeight="1">
      <c r="A52" s="234"/>
      <c r="B52" s="239" t="str">
        <f t="shared" si="3"/>
        <v>#REF!</v>
      </c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6"/>
      <c r="X52" s="234"/>
      <c r="Y52" s="234"/>
      <c r="Z52" s="234"/>
    </row>
    <row r="53" ht="15.75" customHeight="1">
      <c r="A53" s="234"/>
      <c r="B53" s="239" t="str">
        <f t="shared" si="3"/>
        <v>#REF!</v>
      </c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6"/>
      <c r="X53" s="234"/>
      <c r="Y53" s="234"/>
      <c r="Z53" s="234"/>
    </row>
    <row r="54" ht="15.75" customHeight="1">
      <c r="A54" s="234"/>
      <c r="B54" s="239" t="str">
        <f t="shared" si="3"/>
        <v>#REF!</v>
      </c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6"/>
      <c r="X54" s="234"/>
      <c r="Y54" s="234"/>
      <c r="Z54" s="234"/>
    </row>
    <row r="55" ht="15.75" customHeight="1">
      <c r="A55" s="234"/>
      <c r="B55" s="239" t="str">
        <f t="shared" si="3"/>
        <v>#REF!</v>
      </c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6"/>
      <c r="X55" s="234"/>
      <c r="Y55" s="234"/>
      <c r="Z55" s="234"/>
    </row>
    <row r="56" ht="15.75" customHeight="1">
      <c r="A56" s="234"/>
      <c r="B56" s="239" t="str">
        <f t="shared" si="3"/>
        <v>#REF!</v>
      </c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6"/>
      <c r="X56" s="234"/>
      <c r="Y56" s="234"/>
      <c r="Z56" s="234"/>
    </row>
    <row r="57" ht="15.75" customHeight="1">
      <c r="A57" s="234"/>
      <c r="B57" s="239" t="str">
        <f t="shared" si="3"/>
        <v>#REF!</v>
      </c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6"/>
      <c r="X57" s="234"/>
      <c r="Y57" s="234"/>
      <c r="Z57" s="234"/>
    </row>
    <row r="58" ht="15.75" customHeight="1">
      <c r="A58" s="234"/>
      <c r="B58" s="239" t="str">
        <f t="shared" si="3"/>
        <v>#REF!</v>
      </c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6"/>
      <c r="X58" s="234"/>
      <c r="Y58" s="234"/>
      <c r="Z58" s="234"/>
    </row>
    <row r="59" ht="15.75" customHeight="1">
      <c r="A59" s="234"/>
      <c r="B59" s="239" t="str">
        <f t="shared" si="3"/>
        <v>#REF!</v>
      </c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6"/>
      <c r="X59" s="234"/>
      <c r="Y59" s="234"/>
      <c r="Z59" s="234"/>
    </row>
    <row r="60" ht="15.75" customHeight="1">
      <c r="A60" s="234"/>
      <c r="B60" s="239" t="str">
        <f t="shared" si="3"/>
        <v>#REF!</v>
      </c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6"/>
      <c r="X60" s="234"/>
      <c r="Y60" s="234"/>
      <c r="Z60" s="234"/>
    </row>
    <row r="61" ht="15.75" customHeight="1">
      <c r="A61" s="234"/>
      <c r="B61" s="238" t="str">
        <f t="shared" si="3"/>
        <v>#REF!</v>
      </c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6"/>
      <c r="X61" s="234"/>
      <c r="Y61" s="234"/>
      <c r="Z61" s="234"/>
    </row>
    <row r="62" ht="15.75" customHeight="1">
      <c r="A62" s="234"/>
      <c r="B62" s="238" t="str">
        <f t="shared" si="3"/>
        <v>#REF!</v>
      </c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6"/>
      <c r="X62" s="234"/>
      <c r="Y62" s="234"/>
      <c r="Z62" s="234"/>
    </row>
    <row r="63" ht="15.75" customHeight="1">
      <c r="A63" s="234"/>
      <c r="B63" s="238" t="str">
        <f t="shared" si="3"/>
        <v>#REF!</v>
      </c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6"/>
      <c r="X63" s="234"/>
      <c r="Y63" s="234"/>
      <c r="Z63" s="234"/>
    </row>
    <row r="64" ht="15.75" customHeight="1">
      <c r="A64" s="234"/>
      <c r="B64" s="238" t="str">
        <f t="shared" si="3"/>
        <v>#REF!</v>
      </c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6"/>
      <c r="X64" s="234"/>
      <c r="Y64" s="234"/>
      <c r="Z64" s="234"/>
    </row>
    <row r="65" ht="15.75" customHeight="1">
      <c r="A65" s="234"/>
      <c r="B65" s="238" t="str">
        <f t="shared" si="3"/>
        <v>#REF!</v>
      </c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6"/>
      <c r="X65" s="234"/>
      <c r="Y65" s="234"/>
      <c r="Z65" s="234"/>
    </row>
    <row r="66" ht="15.75" customHeight="1">
      <c r="A66" s="234"/>
      <c r="B66" s="238" t="str">
        <f t="shared" si="3"/>
        <v>#REF!</v>
      </c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6"/>
      <c r="X66" s="234"/>
      <c r="Y66" s="234"/>
      <c r="Z66" s="234"/>
    </row>
    <row r="67" ht="15.75" customHeight="1">
      <c r="A67" s="234"/>
      <c r="B67" s="238" t="str">
        <f t="shared" si="3"/>
        <v>#REF!</v>
      </c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6"/>
      <c r="X67" s="234"/>
      <c r="Y67" s="234"/>
      <c r="Z67" s="234"/>
    </row>
    <row r="68" ht="15.75" customHeight="1">
      <c r="A68" s="234"/>
      <c r="B68" s="238" t="str">
        <f t="shared" si="3"/>
        <v>#REF!</v>
      </c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6"/>
      <c r="X68" s="234"/>
      <c r="Y68" s="234"/>
      <c r="Z68" s="234"/>
    </row>
    <row r="69" ht="15.75" customHeight="1">
      <c r="A69" s="234"/>
      <c r="B69" s="238" t="str">
        <f t="shared" si="3"/>
        <v>#REF!</v>
      </c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6"/>
      <c r="X69" s="234"/>
      <c r="Y69" s="234"/>
      <c r="Z69" s="234"/>
    </row>
    <row r="70" ht="15.75" customHeight="1">
      <c r="A70" s="234"/>
      <c r="B70" s="238" t="str">
        <f t="shared" si="3"/>
        <v>#REF!</v>
      </c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6"/>
      <c r="X70" s="234"/>
      <c r="Y70" s="234"/>
      <c r="Z70" s="234"/>
    </row>
    <row r="71" ht="15.75" customHeight="1">
      <c r="A71" s="234"/>
      <c r="B71" s="238" t="str">
        <f t="shared" si="3"/>
        <v>#REF!</v>
      </c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6"/>
      <c r="X71" s="234"/>
      <c r="Y71" s="234"/>
      <c r="Z71" s="234"/>
    </row>
    <row r="72" ht="15.75" customHeight="1">
      <c r="A72" s="234"/>
      <c r="B72" s="238" t="str">
        <f t="shared" si="3"/>
        <v>#REF!</v>
      </c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6"/>
      <c r="X72" s="234"/>
      <c r="Y72" s="234"/>
      <c r="Z72" s="234"/>
    </row>
    <row r="73" ht="15.75" customHeight="1">
      <c r="A73" s="234"/>
      <c r="B73" s="238" t="str">
        <f t="shared" si="3"/>
        <v>#REF!</v>
      </c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6"/>
      <c r="X73" s="234"/>
      <c r="Y73" s="234"/>
      <c r="Z73" s="234"/>
    </row>
    <row r="74" ht="15.75" customHeight="1">
      <c r="A74" s="234"/>
      <c r="B74" s="238" t="str">
        <f t="shared" si="3"/>
        <v>#REF!</v>
      </c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6"/>
      <c r="X74" s="234"/>
      <c r="Y74" s="234"/>
      <c r="Z74" s="234"/>
    </row>
    <row r="75" ht="15.75" customHeight="1">
      <c r="A75" s="234"/>
      <c r="B75" s="238" t="str">
        <f t="shared" si="3"/>
        <v>#REF!</v>
      </c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6"/>
      <c r="X75" s="234"/>
      <c r="Y75" s="234"/>
      <c r="Z75" s="234"/>
    </row>
    <row r="76" ht="15.75" customHeight="1">
      <c r="A76" s="234"/>
      <c r="B76" s="238" t="str">
        <f t="shared" si="3"/>
        <v>#REF!</v>
      </c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6"/>
      <c r="X76" s="234"/>
      <c r="Y76" s="234"/>
      <c r="Z76" s="234"/>
    </row>
    <row r="77" ht="15.75" customHeight="1">
      <c r="A77" s="234"/>
      <c r="B77" s="238" t="str">
        <f t="shared" si="3"/>
        <v>#REF!</v>
      </c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6"/>
      <c r="X77" s="234"/>
      <c r="Y77" s="234"/>
      <c r="Z77" s="234"/>
    </row>
    <row r="78" ht="15.75" customHeight="1">
      <c r="A78" s="234"/>
      <c r="B78" s="238" t="str">
        <f t="shared" si="3"/>
        <v>#REF!</v>
      </c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6"/>
      <c r="X78" s="234"/>
      <c r="Y78" s="234"/>
      <c r="Z78" s="234"/>
    </row>
    <row r="79" ht="15.75" customHeight="1">
      <c r="A79" s="234"/>
      <c r="B79" s="238" t="str">
        <f t="shared" si="3"/>
        <v>#REF!</v>
      </c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6"/>
      <c r="X79" s="234"/>
      <c r="Y79" s="234"/>
      <c r="Z79" s="234"/>
    </row>
    <row r="80" ht="15.75" customHeight="1">
      <c r="A80" s="234"/>
      <c r="B80" s="238" t="str">
        <f t="shared" si="3"/>
        <v>#REF!</v>
      </c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6"/>
      <c r="X80" s="234"/>
      <c r="Y80" s="234"/>
      <c r="Z80" s="234"/>
    </row>
    <row r="81" ht="15.75" customHeight="1">
      <c r="A81" s="234"/>
      <c r="B81" s="238" t="str">
        <f t="shared" si="3"/>
        <v>#REF!</v>
      </c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6"/>
      <c r="X81" s="234"/>
      <c r="Y81" s="234"/>
      <c r="Z81" s="234"/>
    </row>
    <row r="82" ht="15.75" customHeight="1">
      <c r="A82" s="234"/>
      <c r="B82" s="238" t="str">
        <f t="shared" si="3"/>
        <v>#REF!</v>
      </c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6"/>
      <c r="X82" s="234"/>
      <c r="Y82" s="234"/>
      <c r="Z82" s="234"/>
    </row>
    <row r="83" ht="15.75" customHeight="1">
      <c r="A83" s="234"/>
      <c r="B83" s="238" t="str">
        <f t="shared" si="3"/>
        <v>#REF!</v>
      </c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6"/>
      <c r="X83" s="234"/>
      <c r="Y83" s="234"/>
      <c r="Z83" s="234"/>
    </row>
    <row r="84" ht="15.75" customHeight="1">
      <c r="A84" s="234"/>
      <c r="B84" s="238" t="str">
        <f t="shared" si="3"/>
        <v>#REF!</v>
      </c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6"/>
      <c r="X84" s="234"/>
      <c r="Y84" s="234"/>
      <c r="Z84" s="234"/>
    </row>
    <row r="85" ht="15.75" customHeight="1">
      <c r="A85" s="234"/>
      <c r="B85" s="238" t="str">
        <f t="shared" si="3"/>
        <v>#REF!</v>
      </c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6"/>
      <c r="X85" s="234"/>
      <c r="Y85" s="234"/>
      <c r="Z85" s="234"/>
    </row>
    <row r="86" ht="15.75" customHeight="1">
      <c r="A86" s="234"/>
      <c r="B86" s="238" t="str">
        <f t="shared" si="3"/>
        <v>#REF!</v>
      </c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6"/>
      <c r="X86" s="234"/>
      <c r="Y86" s="234"/>
      <c r="Z86" s="234"/>
    </row>
    <row r="87" ht="15.75" customHeight="1">
      <c r="A87" s="234"/>
      <c r="B87" s="238" t="str">
        <f t="shared" si="3"/>
        <v>#REF!</v>
      </c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6"/>
      <c r="X87" s="234"/>
      <c r="Y87" s="234"/>
      <c r="Z87" s="234"/>
    </row>
    <row r="88" ht="15.75" customHeight="1">
      <c r="A88" s="234"/>
      <c r="B88" s="238" t="str">
        <f t="shared" si="3"/>
        <v>#REF!</v>
      </c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6"/>
      <c r="X88" s="234"/>
      <c r="Y88" s="234"/>
      <c r="Z88" s="234"/>
    </row>
    <row r="89" ht="15.75" customHeight="1">
      <c r="A89" s="234"/>
      <c r="B89" s="238" t="str">
        <f t="shared" si="3"/>
        <v>#REF!</v>
      </c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6"/>
      <c r="X89" s="234"/>
      <c r="Y89" s="234"/>
      <c r="Z89" s="234"/>
    </row>
    <row r="90" ht="15.75" customHeight="1">
      <c r="A90" s="234"/>
      <c r="B90" s="238" t="str">
        <f t="shared" si="3"/>
        <v>#REF!</v>
      </c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6"/>
      <c r="X90" s="234"/>
      <c r="Y90" s="234"/>
      <c r="Z90" s="234"/>
    </row>
    <row r="91" ht="15.75" customHeight="1">
      <c r="A91" s="234"/>
      <c r="B91" s="238" t="str">
        <f t="shared" si="3"/>
        <v>#REF!</v>
      </c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6"/>
      <c r="X91" s="234"/>
      <c r="Y91" s="234"/>
      <c r="Z91" s="234"/>
    </row>
    <row r="92" ht="15.75" customHeight="1">
      <c r="A92" s="234"/>
      <c r="B92" s="238" t="str">
        <f t="shared" si="3"/>
        <v>#REF!</v>
      </c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6"/>
      <c r="X92" s="234"/>
      <c r="Y92" s="234"/>
      <c r="Z92" s="234"/>
    </row>
    <row r="93" ht="15.75" customHeight="1">
      <c r="A93" s="234"/>
      <c r="B93" s="238" t="str">
        <f t="shared" si="3"/>
        <v>#REF!</v>
      </c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6"/>
      <c r="X93" s="234"/>
      <c r="Y93" s="234"/>
      <c r="Z93" s="234"/>
    </row>
    <row r="94" ht="15.75" customHeight="1">
      <c r="A94" s="234"/>
      <c r="B94" s="238" t="str">
        <f t="shared" si="3"/>
        <v>#REF!</v>
      </c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6"/>
      <c r="X94" s="234"/>
      <c r="Y94" s="234"/>
      <c r="Z94" s="234"/>
    </row>
    <row r="95" ht="15.75" customHeight="1">
      <c r="A95" s="234"/>
      <c r="B95" s="238" t="str">
        <f t="shared" si="3"/>
        <v>#REF!</v>
      </c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6"/>
      <c r="X95" s="234"/>
      <c r="Y95" s="234"/>
      <c r="Z95" s="234"/>
    </row>
    <row r="96" ht="15.75" customHeight="1">
      <c r="A96" s="234"/>
      <c r="B96" s="238" t="str">
        <f t="shared" si="3"/>
        <v>#REF!</v>
      </c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6"/>
      <c r="X96" s="234"/>
      <c r="Y96" s="234"/>
      <c r="Z96" s="234"/>
    </row>
    <row r="97" ht="15.75" customHeight="1">
      <c r="A97" s="234"/>
      <c r="B97" s="238" t="str">
        <f t="shared" si="3"/>
        <v>#REF!</v>
      </c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6"/>
      <c r="X97" s="234"/>
      <c r="Y97" s="234"/>
      <c r="Z97" s="234"/>
    </row>
    <row r="98" ht="15.75" customHeight="1">
      <c r="A98" s="234"/>
      <c r="B98" s="238" t="str">
        <f t="shared" si="3"/>
        <v>#REF!</v>
      </c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6"/>
      <c r="X98" s="234"/>
      <c r="Y98" s="234"/>
      <c r="Z98" s="234"/>
    </row>
    <row r="99" ht="15.75" customHeight="1">
      <c r="A99" s="234"/>
      <c r="B99" s="238" t="str">
        <f t="shared" si="3"/>
        <v>#REF!</v>
      </c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6"/>
      <c r="X99" s="234"/>
      <c r="Y99" s="234"/>
      <c r="Z99" s="234"/>
    </row>
    <row r="100" ht="15.75" customHeight="1">
      <c r="A100" s="234"/>
      <c r="B100" s="238" t="str">
        <f t="shared" si="3"/>
        <v>#REF!</v>
      </c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6"/>
      <c r="X100" s="234"/>
      <c r="Y100" s="234"/>
      <c r="Z100" s="234"/>
    </row>
    <row r="101" ht="15.75" customHeight="1">
      <c r="A101" s="234"/>
      <c r="B101" s="238" t="str">
        <f t="shared" si="3"/>
        <v>#REF!</v>
      </c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6"/>
      <c r="X101" s="234"/>
      <c r="Y101" s="234"/>
      <c r="Z101" s="234"/>
    </row>
    <row r="102" ht="15.75" customHeight="1">
      <c r="A102" s="234"/>
      <c r="B102" s="238" t="str">
        <f t="shared" si="3"/>
        <v>#REF!</v>
      </c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6"/>
      <c r="X102" s="234"/>
      <c r="Y102" s="234"/>
      <c r="Z102" s="234"/>
    </row>
    <row r="103" ht="15.75" customHeight="1">
      <c r="A103" s="234"/>
      <c r="B103" s="238" t="str">
        <f t="shared" si="3"/>
        <v>#REF!</v>
      </c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6"/>
      <c r="X103" s="234"/>
      <c r="Y103" s="234"/>
      <c r="Z103" s="234"/>
    </row>
    <row r="104" ht="15.75" customHeight="1">
      <c r="A104" s="234"/>
      <c r="B104" s="238" t="str">
        <f t="shared" si="3"/>
        <v>#REF!</v>
      </c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6"/>
      <c r="X104" s="234"/>
      <c r="Y104" s="234"/>
      <c r="Z104" s="234"/>
    </row>
    <row r="105" ht="15.75" customHeight="1">
      <c r="A105" s="234"/>
      <c r="B105" s="238" t="str">
        <f t="shared" si="3"/>
        <v>#REF!</v>
      </c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6"/>
      <c r="X105" s="234"/>
      <c r="Y105" s="234"/>
      <c r="Z105" s="234"/>
    </row>
    <row r="106" ht="15.75" customHeight="1">
      <c r="A106" s="234"/>
      <c r="B106" s="238" t="str">
        <f t="shared" si="3"/>
        <v>#REF!</v>
      </c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6"/>
      <c r="X106" s="234"/>
      <c r="Y106" s="234"/>
      <c r="Z106" s="234"/>
    </row>
    <row r="107" ht="15.75" customHeight="1">
      <c r="A107" s="234"/>
      <c r="B107" s="238" t="str">
        <f t="shared" si="3"/>
        <v>#REF!</v>
      </c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6"/>
      <c r="X107" s="234"/>
      <c r="Y107" s="234"/>
      <c r="Z107" s="234"/>
    </row>
    <row r="108" ht="15.75" customHeight="1">
      <c r="A108" s="234"/>
      <c r="B108" s="238" t="str">
        <f t="shared" si="3"/>
        <v>#REF!</v>
      </c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6"/>
      <c r="X108" s="234"/>
      <c r="Y108" s="234"/>
      <c r="Z108" s="234"/>
    </row>
    <row r="109" ht="15.75" customHeight="1">
      <c r="A109" s="234"/>
      <c r="B109" s="238" t="str">
        <f t="shared" si="3"/>
        <v>#REF!</v>
      </c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6"/>
      <c r="X109" s="234"/>
      <c r="Y109" s="234"/>
      <c r="Z109" s="234"/>
    </row>
    <row r="110" ht="15.75" customHeight="1">
      <c r="A110" s="234"/>
      <c r="B110" s="238" t="str">
        <f t="shared" si="3"/>
        <v>#REF!</v>
      </c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6"/>
      <c r="X110" s="234"/>
      <c r="Y110" s="234"/>
      <c r="Z110" s="234"/>
    </row>
    <row r="111" ht="15.75" customHeight="1">
      <c r="A111" s="234"/>
      <c r="B111" s="238" t="str">
        <f t="shared" si="3"/>
        <v>#REF!</v>
      </c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6"/>
      <c r="X111" s="234"/>
      <c r="Y111" s="234"/>
      <c r="Z111" s="234"/>
    </row>
    <row r="112" ht="15.75" customHeight="1">
      <c r="A112" s="234"/>
      <c r="B112" s="238" t="str">
        <f t="shared" si="3"/>
        <v>#REF!</v>
      </c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6"/>
      <c r="X112" s="234"/>
      <c r="Y112" s="234"/>
      <c r="Z112" s="234"/>
    </row>
    <row r="113" ht="15.75" customHeight="1">
      <c r="A113" s="234"/>
      <c r="B113" s="238" t="str">
        <f t="shared" si="3"/>
        <v>#REF!</v>
      </c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6"/>
      <c r="X113" s="234"/>
      <c r="Y113" s="234"/>
      <c r="Z113" s="234"/>
    </row>
    <row r="114" ht="15.75" customHeight="1">
      <c r="A114" s="234"/>
      <c r="B114" s="238" t="str">
        <f t="shared" si="3"/>
        <v>#REF!</v>
      </c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6"/>
      <c r="X114" s="234"/>
      <c r="Y114" s="234"/>
      <c r="Z114" s="234"/>
    </row>
    <row r="115" ht="15.75" customHeight="1">
      <c r="A115" s="234"/>
      <c r="B115" s="238" t="str">
        <f t="shared" si="3"/>
        <v>#REF!</v>
      </c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6"/>
      <c r="X115" s="234"/>
      <c r="Y115" s="234"/>
      <c r="Z115" s="234"/>
    </row>
    <row r="116" ht="15.75" customHeight="1">
      <c r="A116" s="234"/>
      <c r="B116" s="238" t="str">
        <f t="shared" si="3"/>
        <v>#REF!</v>
      </c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6"/>
      <c r="X116" s="234"/>
      <c r="Y116" s="234"/>
      <c r="Z116" s="234"/>
    </row>
    <row r="117" ht="15.75" customHeight="1">
      <c r="A117" s="234"/>
      <c r="B117" s="238" t="str">
        <f t="shared" si="3"/>
        <v>#REF!</v>
      </c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6"/>
      <c r="X117" s="234"/>
      <c r="Y117" s="234"/>
      <c r="Z117" s="234"/>
    </row>
    <row r="118" ht="15.75" customHeight="1">
      <c r="A118" s="234"/>
      <c r="B118" s="238" t="str">
        <f t="shared" si="3"/>
        <v>#REF!</v>
      </c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6"/>
      <c r="X118" s="234"/>
      <c r="Y118" s="234"/>
      <c r="Z118" s="234"/>
    </row>
    <row r="119" ht="15.75" customHeight="1">
      <c r="A119" s="234"/>
      <c r="B119" s="238" t="str">
        <f t="shared" si="3"/>
        <v>#REF!</v>
      </c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6"/>
      <c r="X119" s="234"/>
      <c r="Y119" s="234"/>
      <c r="Z119" s="234"/>
    </row>
    <row r="120" ht="15.75" customHeight="1">
      <c r="A120" s="234"/>
      <c r="B120" s="238" t="str">
        <f t="shared" si="3"/>
        <v>#REF!</v>
      </c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6"/>
      <c r="X120" s="234"/>
      <c r="Y120" s="234"/>
      <c r="Z120" s="234"/>
    </row>
    <row r="121" ht="15.75" customHeight="1">
      <c r="A121" s="234"/>
      <c r="B121" s="238" t="str">
        <f t="shared" si="3"/>
        <v>#REF!</v>
      </c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6"/>
      <c r="X121" s="234"/>
      <c r="Y121" s="234"/>
      <c r="Z121" s="234"/>
    </row>
    <row r="122" ht="15.75" customHeight="1">
      <c r="A122" s="234"/>
      <c r="B122" s="238" t="str">
        <f t="shared" si="3"/>
        <v>#REF!</v>
      </c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6"/>
      <c r="X122" s="234"/>
      <c r="Y122" s="234"/>
      <c r="Z122" s="234"/>
    </row>
    <row r="123" ht="15.75" customHeight="1">
      <c r="A123" s="234"/>
      <c r="B123" s="238" t="str">
        <f t="shared" si="3"/>
        <v>#REF!</v>
      </c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6"/>
      <c r="X123" s="234"/>
      <c r="Y123" s="234"/>
      <c r="Z123" s="234"/>
    </row>
    <row r="124" ht="15.75" customHeight="1">
      <c r="A124" s="234"/>
      <c r="B124" s="238" t="str">
        <f t="shared" si="3"/>
        <v>#REF!</v>
      </c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6"/>
      <c r="X124" s="234"/>
      <c r="Y124" s="234"/>
      <c r="Z124" s="234"/>
    </row>
    <row r="125" ht="15.75" customHeight="1">
      <c r="A125" s="234"/>
      <c r="B125" s="238" t="str">
        <f t="shared" si="3"/>
        <v>#REF!</v>
      </c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6"/>
      <c r="X125" s="234"/>
      <c r="Y125" s="234"/>
      <c r="Z125" s="234"/>
    </row>
    <row r="126" ht="15.75" customHeight="1">
      <c r="A126" s="234"/>
      <c r="B126" s="238" t="str">
        <f t="shared" si="3"/>
        <v>#REF!</v>
      </c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6"/>
      <c r="X126" s="234"/>
      <c r="Y126" s="234"/>
      <c r="Z126" s="234"/>
    </row>
    <row r="127" ht="15.75" customHeight="1">
      <c r="A127" s="234"/>
      <c r="B127" s="238" t="str">
        <f t="shared" si="3"/>
        <v>#REF!</v>
      </c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6"/>
      <c r="X127" s="234"/>
      <c r="Y127" s="234"/>
      <c r="Z127" s="234"/>
    </row>
    <row r="128" ht="15.75" customHeight="1">
      <c r="A128" s="234"/>
      <c r="B128" s="238" t="str">
        <f t="shared" si="3"/>
        <v>#REF!</v>
      </c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6"/>
      <c r="X128" s="234"/>
      <c r="Y128" s="234"/>
      <c r="Z128" s="234"/>
    </row>
    <row r="129" ht="15.75" customHeight="1">
      <c r="A129" s="234"/>
      <c r="B129" s="238" t="str">
        <f t="shared" si="3"/>
        <v>#REF!</v>
      </c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6"/>
      <c r="X129" s="234"/>
      <c r="Y129" s="234"/>
      <c r="Z129" s="234"/>
    </row>
    <row r="130" ht="15.75" customHeight="1">
      <c r="A130" s="234"/>
      <c r="B130" s="238" t="str">
        <f t="shared" si="3"/>
        <v>#REF!</v>
      </c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6"/>
      <c r="X130" s="234"/>
      <c r="Y130" s="234"/>
      <c r="Z130" s="234"/>
    </row>
    <row r="131" ht="15.75" customHeight="1">
      <c r="A131" s="234"/>
      <c r="B131" s="238" t="str">
        <f t="shared" si="3"/>
        <v>#REF!</v>
      </c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6"/>
      <c r="X131" s="234"/>
      <c r="Y131" s="234"/>
      <c r="Z131" s="234"/>
    </row>
    <row r="132" ht="15.75" customHeight="1">
      <c r="A132" s="234"/>
      <c r="B132" s="238" t="str">
        <f t="shared" si="3"/>
        <v>#REF!</v>
      </c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6"/>
      <c r="X132" s="234"/>
      <c r="Y132" s="234"/>
      <c r="Z132" s="234"/>
    </row>
    <row r="133" ht="15.75" customHeight="1">
      <c r="A133" s="234"/>
      <c r="B133" s="238" t="str">
        <f t="shared" si="3"/>
        <v>#REF!</v>
      </c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6"/>
      <c r="X133" s="234"/>
      <c r="Y133" s="234"/>
      <c r="Z133" s="234"/>
    </row>
    <row r="134" ht="15.75" customHeight="1">
      <c r="A134" s="234"/>
      <c r="B134" s="238" t="str">
        <f t="shared" si="3"/>
        <v>#REF!</v>
      </c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6"/>
      <c r="X134" s="234"/>
      <c r="Y134" s="234"/>
      <c r="Z134" s="234"/>
    </row>
    <row r="135" ht="15.75" customHeight="1">
      <c r="A135" s="234"/>
      <c r="B135" s="238" t="str">
        <f t="shared" si="3"/>
        <v>#REF!</v>
      </c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6"/>
      <c r="X135" s="234"/>
      <c r="Y135" s="234"/>
      <c r="Z135" s="234"/>
    </row>
    <row r="136" ht="15.75" customHeight="1">
      <c r="A136" s="234"/>
      <c r="B136" s="238" t="str">
        <f t="shared" si="3"/>
        <v>#REF!</v>
      </c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6"/>
      <c r="X136" s="234"/>
      <c r="Y136" s="234"/>
      <c r="Z136" s="234"/>
    </row>
    <row r="137" ht="15.75" customHeight="1">
      <c r="A137" s="234"/>
      <c r="B137" s="238" t="str">
        <f t="shared" si="3"/>
        <v>#REF!</v>
      </c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6"/>
      <c r="X137" s="234"/>
      <c r="Y137" s="234"/>
      <c r="Z137" s="234"/>
    </row>
    <row r="138" ht="15.75" customHeight="1">
      <c r="A138" s="234"/>
      <c r="B138" s="238" t="str">
        <f t="shared" si="3"/>
        <v>#REF!</v>
      </c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6"/>
      <c r="X138" s="234"/>
      <c r="Y138" s="234"/>
      <c r="Z138" s="234"/>
    </row>
    <row r="139" ht="15.75" customHeight="1">
      <c r="A139" s="234"/>
      <c r="B139" s="238" t="str">
        <f t="shared" si="3"/>
        <v>#REF!</v>
      </c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6"/>
      <c r="X139" s="234"/>
      <c r="Y139" s="234"/>
      <c r="Z139" s="234"/>
    </row>
    <row r="140" ht="15.75" customHeight="1">
      <c r="A140" s="234"/>
      <c r="B140" s="238" t="str">
        <f t="shared" si="3"/>
        <v>#REF!</v>
      </c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6"/>
      <c r="X140" s="234"/>
      <c r="Y140" s="234"/>
      <c r="Z140" s="234"/>
    </row>
    <row r="141" ht="15.75" customHeight="1">
      <c r="A141" s="234"/>
      <c r="B141" s="238" t="str">
        <f t="shared" si="3"/>
        <v>#REF!</v>
      </c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6"/>
      <c r="X141" s="234"/>
      <c r="Y141" s="234"/>
      <c r="Z141" s="234"/>
    </row>
    <row r="142" ht="15.75" customHeight="1">
      <c r="A142" s="234"/>
      <c r="B142" s="238" t="str">
        <f t="shared" si="3"/>
        <v>#REF!</v>
      </c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6"/>
      <c r="X142" s="234"/>
      <c r="Y142" s="234"/>
      <c r="Z142" s="234"/>
    </row>
    <row r="143" ht="15.75" customHeight="1">
      <c r="A143" s="234"/>
      <c r="B143" s="238" t="str">
        <f t="shared" si="3"/>
        <v>#REF!</v>
      </c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6"/>
      <c r="X143" s="234"/>
      <c r="Y143" s="234"/>
      <c r="Z143" s="234"/>
    </row>
    <row r="144" ht="15.75" customHeight="1">
      <c r="A144" s="234"/>
      <c r="B144" s="238" t="str">
        <f t="shared" si="3"/>
        <v>#REF!</v>
      </c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6"/>
      <c r="X144" s="234"/>
      <c r="Y144" s="234"/>
      <c r="Z144" s="234"/>
    </row>
    <row r="145" ht="15.75" customHeight="1">
      <c r="A145" s="234"/>
      <c r="B145" s="238" t="str">
        <f t="shared" si="3"/>
        <v>#REF!</v>
      </c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6"/>
      <c r="X145" s="234"/>
      <c r="Y145" s="234"/>
      <c r="Z145" s="234"/>
    </row>
    <row r="146" ht="15.75" customHeight="1">
      <c r="A146" s="234"/>
      <c r="B146" s="238" t="str">
        <f t="shared" si="3"/>
        <v>#REF!</v>
      </c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6"/>
      <c r="X146" s="234"/>
      <c r="Y146" s="234"/>
      <c r="Z146" s="234"/>
    </row>
    <row r="147" ht="15.75" customHeight="1">
      <c r="A147" s="234"/>
      <c r="B147" s="238" t="str">
        <f t="shared" si="3"/>
        <v>#REF!</v>
      </c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6"/>
      <c r="X147" s="234"/>
      <c r="Y147" s="234"/>
      <c r="Z147" s="234"/>
    </row>
    <row r="148" ht="15.75" customHeight="1">
      <c r="A148" s="234"/>
      <c r="B148" s="238" t="str">
        <f t="shared" si="3"/>
        <v>#REF!</v>
      </c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6"/>
      <c r="X148" s="234"/>
      <c r="Y148" s="234"/>
      <c r="Z148" s="234"/>
    </row>
    <row r="149" ht="15.75" customHeight="1">
      <c r="A149" s="234"/>
      <c r="B149" s="238" t="str">
        <f t="shared" si="3"/>
        <v>#REF!</v>
      </c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6"/>
      <c r="X149" s="234"/>
      <c r="Y149" s="234"/>
      <c r="Z149" s="234"/>
    </row>
    <row r="150" ht="15.75" customHeight="1">
      <c r="A150" s="234"/>
      <c r="B150" s="238" t="str">
        <f t="shared" si="3"/>
        <v>#REF!</v>
      </c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6"/>
      <c r="X150" s="234"/>
      <c r="Y150" s="234"/>
      <c r="Z150" s="234"/>
    </row>
    <row r="151" ht="15.75" customHeight="1">
      <c r="A151" s="234"/>
      <c r="B151" s="238" t="str">
        <f t="shared" si="3"/>
        <v>#REF!</v>
      </c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6"/>
      <c r="X151" s="234"/>
      <c r="Y151" s="234"/>
      <c r="Z151" s="234"/>
    </row>
    <row r="152" ht="15.75" customHeight="1">
      <c r="A152" s="234"/>
      <c r="B152" s="238" t="str">
        <f t="shared" si="3"/>
        <v>#REF!</v>
      </c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6"/>
      <c r="X152" s="234"/>
      <c r="Y152" s="234"/>
      <c r="Z152" s="234"/>
    </row>
    <row r="153" ht="15.75" customHeight="1">
      <c r="A153" s="234"/>
      <c r="B153" s="238" t="str">
        <f t="shared" si="3"/>
        <v>#REF!</v>
      </c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6"/>
      <c r="X153" s="234"/>
      <c r="Y153" s="234"/>
      <c r="Z153" s="234"/>
    </row>
    <row r="154" ht="15.75" customHeight="1">
      <c r="A154" s="234"/>
      <c r="B154" s="238" t="str">
        <f t="shared" si="3"/>
        <v>#REF!</v>
      </c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6"/>
      <c r="X154" s="234"/>
      <c r="Y154" s="234"/>
      <c r="Z154" s="234"/>
    </row>
    <row r="155" ht="15.75" customHeight="1">
      <c r="A155" s="234"/>
      <c r="B155" s="238" t="str">
        <f t="shared" si="3"/>
        <v>#REF!</v>
      </c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6"/>
      <c r="X155" s="234"/>
      <c r="Y155" s="234"/>
      <c r="Z155" s="234"/>
    </row>
    <row r="156" ht="15.75" customHeight="1">
      <c r="A156" s="234"/>
      <c r="B156" s="238" t="str">
        <f t="shared" si="3"/>
        <v>#REF!</v>
      </c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6"/>
      <c r="X156" s="234"/>
      <c r="Y156" s="234"/>
      <c r="Z156" s="234"/>
    </row>
    <row r="157" ht="15.75" customHeight="1">
      <c r="A157" s="234"/>
      <c r="B157" s="238" t="str">
        <f t="shared" si="3"/>
        <v>#REF!</v>
      </c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6"/>
      <c r="X157" s="234"/>
      <c r="Y157" s="234"/>
      <c r="Z157" s="234"/>
    </row>
    <row r="158" ht="15.75" customHeight="1">
      <c r="A158" s="234"/>
      <c r="B158" s="238" t="str">
        <f t="shared" si="3"/>
        <v>#REF!</v>
      </c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6"/>
      <c r="X158" s="234"/>
      <c r="Y158" s="234"/>
      <c r="Z158" s="234"/>
    </row>
    <row r="159" ht="15.75" customHeight="1">
      <c r="A159" s="234"/>
      <c r="B159" s="238" t="str">
        <f t="shared" si="3"/>
        <v>#REF!</v>
      </c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6"/>
      <c r="X159" s="234"/>
      <c r="Y159" s="234"/>
      <c r="Z159" s="234"/>
    </row>
    <row r="160" ht="15.75" customHeight="1">
      <c r="A160" s="234"/>
      <c r="B160" s="238" t="str">
        <f t="shared" si="3"/>
        <v>#REF!</v>
      </c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6"/>
      <c r="X160" s="234"/>
      <c r="Y160" s="234"/>
      <c r="Z160" s="234"/>
    </row>
    <row r="161" ht="15.75" customHeight="1">
      <c r="A161" s="234"/>
      <c r="B161" s="238" t="str">
        <f t="shared" si="3"/>
        <v>#REF!</v>
      </c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6"/>
      <c r="X161" s="234"/>
      <c r="Y161" s="234"/>
      <c r="Z161" s="234"/>
    </row>
    <row r="162" ht="15.75" customHeight="1">
      <c r="A162" s="234"/>
      <c r="B162" s="238" t="str">
        <f t="shared" si="3"/>
        <v>#REF!</v>
      </c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6"/>
      <c r="X162" s="234"/>
      <c r="Y162" s="234"/>
      <c r="Z162" s="234"/>
    </row>
    <row r="163" ht="15.75" customHeight="1">
      <c r="A163" s="234"/>
      <c r="B163" s="238" t="str">
        <f t="shared" si="3"/>
        <v>#REF!</v>
      </c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6"/>
      <c r="X163" s="234"/>
      <c r="Y163" s="234"/>
      <c r="Z163" s="234"/>
    </row>
    <row r="164" ht="15.75" customHeight="1">
      <c r="A164" s="234"/>
      <c r="B164" s="238" t="str">
        <f t="shared" si="3"/>
        <v>#REF!</v>
      </c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6"/>
      <c r="X164" s="234"/>
      <c r="Y164" s="234"/>
      <c r="Z164" s="234"/>
    </row>
    <row r="165" ht="15.75" customHeight="1">
      <c r="A165" s="234"/>
      <c r="B165" s="238" t="str">
        <f t="shared" si="3"/>
        <v>#REF!</v>
      </c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6"/>
      <c r="X165" s="234"/>
      <c r="Y165" s="234"/>
      <c r="Z165" s="234"/>
    </row>
    <row r="166" ht="15.75" customHeight="1">
      <c r="A166" s="234"/>
      <c r="B166" s="238" t="str">
        <f t="shared" si="3"/>
        <v>#REF!</v>
      </c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6"/>
      <c r="X166" s="234"/>
      <c r="Y166" s="234"/>
      <c r="Z166" s="234"/>
    </row>
    <row r="167" ht="15.75" customHeight="1">
      <c r="A167" s="234"/>
      <c r="B167" s="238" t="str">
        <f t="shared" si="3"/>
        <v>#REF!</v>
      </c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6"/>
      <c r="X167" s="234"/>
      <c r="Y167" s="234"/>
      <c r="Z167" s="234"/>
    </row>
    <row r="168" ht="15.75" customHeight="1">
      <c r="A168" s="234"/>
      <c r="B168" s="238" t="str">
        <f t="shared" si="3"/>
        <v>#REF!</v>
      </c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6"/>
      <c r="X168" s="234"/>
      <c r="Y168" s="234"/>
      <c r="Z168" s="234"/>
    </row>
    <row r="169" ht="15.75" customHeight="1">
      <c r="A169" s="234"/>
      <c r="B169" s="238" t="str">
        <f t="shared" si="3"/>
        <v>#REF!</v>
      </c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6"/>
      <c r="X169" s="234"/>
      <c r="Y169" s="234"/>
      <c r="Z169" s="234"/>
    </row>
    <row r="170" ht="15.75" customHeight="1">
      <c r="A170" s="234"/>
      <c r="B170" s="238" t="str">
        <f t="shared" si="3"/>
        <v>#REF!</v>
      </c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6"/>
      <c r="X170" s="234"/>
      <c r="Y170" s="234"/>
      <c r="Z170" s="234"/>
    </row>
    <row r="171" ht="15.75" customHeight="1">
      <c r="A171" s="234"/>
      <c r="B171" s="238" t="str">
        <f t="shared" si="3"/>
        <v>#REF!</v>
      </c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6"/>
      <c r="X171" s="234"/>
      <c r="Y171" s="234"/>
      <c r="Z171" s="234"/>
    </row>
    <row r="172" ht="15.75" customHeight="1">
      <c r="A172" s="234"/>
      <c r="B172" s="238" t="str">
        <f t="shared" si="3"/>
        <v>#REF!</v>
      </c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6"/>
      <c r="X172" s="234"/>
      <c r="Y172" s="234"/>
      <c r="Z172" s="234"/>
    </row>
    <row r="173" ht="15.75" customHeight="1">
      <c r="A173" s="234"/>
      <c r="B173" s="238" t="str">
        <f t="shared" si="3"/>
        <v>#REF!</v>
      </c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6"/>
      <c r="X173" s="234"/>
      <c r="Y173" s="234"/>
      <c r="Z173" s="234"/>
    </row>
    <row r="174" ht="15.75" customHeight="1">
      <c r="A174" s="234"/>
      <c r="B174" s="238" t="str">
        <f t="shared" si="3"/>
        <v>#REF!</v>
      </c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6"/>
      <c r="X174" s="234"/>
      <c r="Y174" s="234"/>
      <c r="Z174" s="234"/>
    </row>
    <row r="175" ht="15.75" customHeight="1">
      <c r="A175" s="234"/>
      <c r="B175" s="238" t="str">
        <f t="shared" si="3"/>
        <v>#REF!</v>
      </c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6"/>
      <c r="X175" s="234"/>
      <c r="Y175" s="234"/>
      <c r="Z175" s="234"/>
    </row>
    <row r="176" ht="15.75" customHeight="1">
      <c r="A176" s="234"/>
      <c r="B176" s="238" t="str">
        <f t="shared" si="3"/>
        <v>#REF!</v>
      </c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6"/>
      <c r="X176" s="234"/>
      <c r="Y176" s="234"/>
      <c r="Z176" s="234"/>
    </row>
    <row r="177" ht="15.75" customHeight="1">
      <c r="A177" s="234"/>
      <c r="B177" s="238" t="str">
        <f t="shared" si="3"/>
        <v>#REF!</v>
      </c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6"/>
      <c r="X177" s="234"/>
      <c r="Y177" s="234"/>
      <c r="Z177" s="234"/>
    </row>
    <row r="178" ht="15.75" customHeight="1">
      <c r="A178" s="234"/>
      <c r="B178" s="238" t="str">
        <f t="shared" si="3"/>
        <v>#REF!</v>
      </c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6"/>
      <c r="X178" s="234"/>
      <c r="Y178" s="234"/>
      <c r="Z178" s="234"/>
    </row>
    <row r="179" ht="15.75" customHeight="1">
      <c r="A179" s="234"/>
      <c r="B179" s="238" t="str">
        <f t="shared" si="3"/>
        <v>#REF!</v>
      </c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6"/>
      <c r="X179" s="234"/>
      <c r="Y179" s="234"/>
      <c r="Z179" s="234"/>
    </row>
    <row r="180" ht="15.75" customHeight="1">
      <c r="A180" s="234"/>
      <c r="B180" s="234"/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6"/>
      <c r="X180" s="234"/>
      <c r="Y180" s="234"/>
      <c r="Z180" s="234"/>
    </row>
    <row r="181" ht="15.75" customHeight="1">
      <c r="A181" s="234"/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6"/>
      <c r="X181" s="234"/>
      <c r="Y181" s="234"/>
      <c r="Z181" s="234"/>
    </row>
    <row r="182" ht="15.75" customHeight="1">
      <c r="A182" s="234"/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6"/>
      <c r="X182" s="234"/>
      <c r="Y182" s="234"/>
      <c r="Z182" s="234"/>
    </row>
    <row r="183" ht="15.75" customHeight="1">
      <c r="A183" s="234"/>
      <c r="B183" s="234"/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6"/>
      <c r="X183" s="234"/>
      <c r="Y183" s="234"/>
      <c r="Z183" s="234"/>
    </row>
    <row r="184" ht="15.75" customHeight="1">
      <c r="A184" s="234"/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6"/>
      <c r="X184" s="234"/>
      <c r="Y184" s="234"/>
      <c r="Z184" s="234"/>
    </row>
    <row r="185" ht="15.75" customHeight="1">
      <c r="A185" s="234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6"/>
      <c r="X185" s="234"/>
      <c r="Y185" s="234"/>
      <c r="Z185" s="234"/>
    </row>
    <row r="186" ht="15.75" customHeight="1">
      <c r="A186" s="234"/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6"/>
      <c r="X186" s="234"/>
      <c r="Y186" s="234"/>
      <c r="Z186" s="234"/>
    </row>
    <row r="187" ht="15.75" customHeight="1">
      <c r="A187" s="234"/>
      <c r="B187" s="234"/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6"/>
      <c r="X187" s="234"/>
      <c r="Y187" s="234"/>
      <c r="Z187" s="234"/>
    </row>
    <row r="188" ht="15.75" customHeight="1">
      <c r="A188" s="234"/>
      <c r="B188" s="234"/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6"/>
      <c r="X188" s="234"/>
      <c r="Y188" s="234"/>
      <c r="Z188" s="234"/>
    </row>
    <row r="189" ht="15.75" customHeight="1">
      <c r="A189" s="234"/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6"/>
      <c r="X189" s="234"/>
      <c r="Y189" s="234"/>
      <c r="Z189" s="234"/>
    </row>
    <row r="190" ht="15.75" customHeight="1">
      <c r="A190" s="234"/>
      <c r="B190" s="234"/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6"/>
      <c r="X190" s="234"/>
      <c r="Y190" s="234"/>
      <c r="Z190" s="234"/>
    </row>
    <row r="191" ht="15.75" customHeight="1">
      <c r="A191" s="234"/>
      <c r="B191" s="234"/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6"/>
      <c r="X191" s="234"/>
      <c r="Y191" s="234"/>
      <c r="Z191" s="234"/>
    </row>
    <row r="192" ht="15.75" customHeight="1">
      <c r="A192" s="234"/>
      <c r="B192" s="234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6"/>
      <c r="X192" s="234"/>
      <c r="Y192" s="234"/>
      <c r="Z192" s="234"/>
    </row>
    <row r="193" ht="15.75" customHeight="1">
      <c r="A193" s="234"/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6"/>
      <c r="X193" s="234"/>
      <c r="Y193" s="234"/>
      <c r="Z193" s="234"/>
    </row>
    <row r="194" ht="15.75" customHeight="1">
      <c r="A194" s="234"/>
      <c r="B194" s="234"/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6"/>
      <c r="X194" s="234"/>
      <c r="Y194" s="234"/>
      <c r="Z194" s="234"/>
    </row>
    <row r="195" ht="15.75" customHeight="1">
      <c r="A195" s="234"/>
      <c r="B195" s="234"/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6"/>
      <c r="X195" s="234"/>
      <c r="Y195" s="234"/>
      <c r="Z195" s="234"/>
    </row>
    <row r="196" ht="15.75" customHeight="1">
      <c r="A196" s="234"/>
      <c r="B196" s="234"/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6"/>
      <c r="X196" s="234"/>
      <c r="Y196" s="234"/>
      <c r="Z196" s="234"/>
    </row>
    <row r="197" ht="15.75" customHeight="1">
      <c r="A197" s="234"/>
      <c r="B197" s="234"/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6"/>
      <c r="X197" s="234"/>
      <c r="Y197" s="234"/>
      <c r="Z197" s="234"/>
    </row>
    <row r="198" ht="15.75" customHeight="1">
      <c r="A198" s="234"/>
      <c r="B198" s="234"/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6"/>
      <c r="X198" s="234"/>
      <c r="Y198" s="234"/>
      <c r="Z198" s="234"/>
    </row>
    <row r="199" ht="15.75" customHeight="1">
      <c r="A199" s="234"/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6"/>
      <c r="X199" s="234"/>
      <c r="Y199" s="234"/>
      <c r="Z199" s="234"/>
    </row>
    <row r="200" ht="15.75" customHeight="1">
      <c r="A200" s="234"/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6"/>
      <c r="X200" s="234"/>
      <c r="Y200" s="234"/>
      <c r="Z200" s="234"/>
    </row>
    <row r="201" ht="15.75" customHeight="1">
      <c r="A201" s="234"/>
      <c r="B201" s="234"/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6"/>
      <c r="X201" s="234"/>
      <c r="Y201" s="234"/>
      <c r="Z201" s="234"/>
    </row>
    <row r="202" ht="15.75" customHeight="1">
      <c r="A202" s="234"/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6"/>
      <c r="X202" s="234"/>
      <c r="Y202" s="234"/>
      <c r="Z202" s="234"/>
    </row>
    <row r="203" ht="15.75" customHeight="1">
      <c r="A203" s="234"/>
      <c r="B203" s="234"/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6"/>
      <c r="X203" s="234"/>
      <c r="Y203" s="234"/>
      <c r="Z203" s="234"/>
    </row>
    <row r="204" ht="15.75" customHeight="1">
      <c r="A204" s="234"/>
      <c r="B204" s="234"/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6"/>
      <c r="X204" s="234"/>
      <c r="Y204" s="234"/>
      <c r="Z204" s="234"/>
    </row>
    <row r="205" ht="15.75" customHeight="1">
      <c r="A205" s="234"/>
      <c r="B205" s="234"/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6"/>
      <c r="X205" s="234"/>
      <c r="Y205" s="234"/>
      <c r="Z205" s="234"/>
    </row>
    <row r="206" ht="15.75" customHeight="1">
      <c r="A206" s="234"/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6"/>
      <c r="X206" s="234"/>
      <c r="Y206" s="234"/>
      <c r="Z206" s="234"/>
    </row>
    <row r="207" ht="15.75" customHeight="1">
      <c r="A207" s="234"/>
      <c r="B207" s="234"/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6"/>
      <c r="X207" s="234"/>
      <c r="Y207" s="234"/>
      <c r="Z207" s="234"/>
    </row>
    <row r="208" ht="15.75" customHeight="1">
      <c r="A208" s="234"/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6"/>
      <c r="X208" s="234"/>
      <c r="Y208" s="234"/>
      <c r="Z208" s="234"/>
    </row>
    <row r="209" ht="15.75" customHeight="1">
      <c r="A209" s="234"/>
      <c r="B209" s="234"/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6"/>
      <c r="X209" s="234"/>
      <c r="Y209" s="234"/>
      <c r="Z209" s="234"/>
    </row>
    <row r="210" ht="15.75" customHeight="1">
      <c r="A210" s="234"/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6"/>
      <c r="X210" s="234"/>
      <c r="Y210" s="234"/>
      <c r="Z210" s="234"/>
    </row>
    <row r="211" ht="15.75" customHeight="1">
      <c r="A211" s="234"/>
      <c r="B211" s="234"/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6"/>
      <c r="X211" s="234"/>
      <c r="Y211" s="234"/>
      <c r="Z211" s="234"/>
    </row>
    <row r="212" ht="15.75" customHeight="1">
      <c r="A212" s="234"/>
      <c r="B212" s="234"/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6"/>
      <c r="X212" s="234"/>
      <c r="Y212" s="234"/>
      <c r="Z212" s="234"/>
    </row>
    <row r="213" ht="15.75" customHeight="1">
      <c r="A213" s="234"/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6"/>
      <c r="X213" s="234"/>
      <c r="Y213" s="234"/>
      <c r="Z213" s="234"/>
    </row>
    <row r="214" ht="15.75" customHeight="1">
      <c r="A214" s="234"/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6"/>
      <c r="X214" s="234"/>
      <c r="Y214" s="234"/>
      <c r="Z214" s="234"/>
    </row>
    <row r="215" ht="15.75" customHeight="1">
      <c r="A215" s="234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6"/>
      <c r="X215" s="234"/>
      <c r="Y215" s="234"/>
      <c r="Z215" s="234"/>
    </row>
    <row r="216" ht="15.75" customHeight="1">
      <c r="A216" s="234"/>
      <c r="B216" s="234"/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6"/>
      <c r="X216" s="234"/>
      <c r="Y216" s="234"/>
      <c r="Z216" s="234"/>
    </row>
    <row r="217" ht="15.75" customHeight="1">
      <c r="A217" s="234"/>
      <c r="B217" s="234"/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6"/>
      <c r="X217" s="234"/>
      <c r="Y217" s="234"/>
      <c r="Z217" s="234"/>
    </row>
    <row r="218" ht="15.75" customHeight="1">
      <c r="A218" s="234"/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6"/>
      <c r="X218" s="234"/>
      <c r="Y218" s="234"/>
      <c r="Z218" s="234"/>
    </row>
    <row r="219" ht="15.75" customHeight="1">
      <c r="A219" s="234"/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6"/>
      <c r="X219" s="234"/>
      <c r="Y219" s="234"/>
      <c r="Z219" s="234"/>
    </row>
    <row r="220" ht="15.75" customHeight="1">
      <c r="A220" s="234"/>
      <c r="B220" s="234"/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6"/>
      <c r="X220" s="234"/>
      <c r="Y220" s="234"/>
      <c r="Z220" s="234"/>
    </row>
    <row r="221" ht="15.75" customHeight="1">
      <c r="A221" s="234"/>
      <c r="B221" s="234"/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6"/>
      <c r="X221" s="234"/>
      <c r="Y221" s="234"/>
      <c r="Z221" s="234"/>
    </row>
    <row r="222" ht="15.75" customHeight="1">
      <c r="A222" s="234"/>
      <c r="B222" s="234"/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6"/>
      <c r="X222" s="234"/>
      <c r="Y222" s="234"/>
      <c r="Z222" s="234"/>
    </row>
    <row r="223" ht="15.75" customHeight="1">
      <c r="A223" s="234"/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6"/>
      <c r="X223" s="234"/>
      <c r="Y223" s="234"/>
      <c r="Z223" s="234"/>
    </row>
    <row r="224" ht="15.75" customHeight="1">
      <c r="A224" s="234"/>
      <c r="B224" s="234"/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6"/>
      <c r="X224" s="234"/>
      <c r="Y224" s="234"/>
      <c r="Z224" s="234"/>
    </row>
    <row r="225" ht="15.75" customHeight="1">
      <c r="A225" s="234"/>
      <c r="B225" s="234"/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6"/>
      <c r="X225" s="234"/>
      <c r="Y225" s="234"/>
      <c r="Z225" s="234"/>
    </row>
    <row r="226" ht="15.75" customHeight="1">
      <c r="A226" s="234"/>
      <c r="B226" s="234"/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6"/>
      <c r="X226" s="234"/>
      <c r="Y226" s="234"/>
      <c r="Z226" s="234"/>
    </row>
    <row r="227" ht="15.75" customHeight="1">
      <c r="A227" s="234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6"/>
      <c r="X227" s="234"/>
      <c r="Y227" s="234"/>
      <c r="Z227" s="234"/>
    </row>
    <row r="228" ht="15.75" customHeight="1">
      <c r="A228" s="234"/>
      <c r="B228" s="234"/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6"/>
      <c r="X228" s="234"/>
      <c r="Y228" s="234"/>
      <c r="Z228" s="234"/>
    </row>
    <row r="229" ht="15.75" customHeight="1">
      <c r="A229" s="234"/>
      <c r="B229" s="234"/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6"/>
      <c r="X229" s="234"/>
      <c r="Y229" s="234"/>
      <c r="Z229" s="234"/>
    </row>
    <row r="230" ht="15.75" customHeight="1">
      <c r="A230" s="234"/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6"/>
      <c r="X230" s="234"/>
      <c r="Y230" s="234"/>
      <c r="Z230" s="234"/>
    </row>
    <row r="231" ht="15.75" customHeight="1">
      <c r="A231" s="234"/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6"/>
      <c r="X231" s="234"/>
      <c r="Y231" s="234"/>
      <c r="Z231" s="234"/>
    </row>
    <row r="232" ht="15.75" customHeight="1">
      <c r="A232" s="234"/>
      <c r="B232" s="234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6"/>
      <c r="X232" s="234"/>
      <c r="Y232" s="234"/>
      <c r="Z232" s="234"/>
    </row>
    <row r="233" ht="15.75" customHeight="1">
      <c r="A233" s="234"/>
      <c r="B233" s="234"/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6"/>
      <c r="X233" s="234"/>
      <c r="Y233" s="234"/>
      <c r="Z233" s="234"/>
    </row>
    <row r="234" ht="15.75" customHeight="1">
      <c r="A234" s="234"/>
      <c r="B234" s="234"/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6"/>
      <c r="X234" s="234"/>
      <c r="Y234" s="234"/>
      <c r="Z234" s="234"/>
    </row>
    <row r="235" ht="15.75" customHeight="1">
      <c r="A235" s="234"/>
      <c r="B235" s="234"/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6"/>
      <c r="X235" s="234"/>
      <c r="Y235" s="234"/>
      <c r="Z235" s="234"/>
    </row>
    <row r="236" ht="15.75" customHeight="1">
      <c r="A236" s="234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6"/>
      <c r="X236" s="234"/>
      <c r="Y236" s="234"/>
      <c r="Z236" s="234"/>
    </row>
    <row r="237" ht="15.75" customHeight="1">
      <c r="A237" s="234"/>
      <c r="B237" s="234"/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6"/>
      <c r="X237" s="234"/>
      <c r="Y237" s="234"/>
      <c r="Z237" s="234"/>
    </row>
    <row r="238" ht="15.75" customHeight="1">
      <c r="A238" s="234"/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6"/>
      <c r="X238" s="234"/>
      <c r="Y238" s="234"/>
      <c r="Z238" s="234"/>
    </row>
    <row r="239" ht="15.75" customHeight="1">
      <c r="A239" s="234"/>
      <c r="B239" s="234"/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6"/>
      <c r="X239" s="234"/>
      <c r="Y239" s="234"/>
      <c r="Z239" s="234"/>
    </row>
    <row r="240" ht="15.75" customHeight="1">
      <c r="A240" s="234"/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6"/>
      <c r="X240" s="234"/>
      <c r="Y240" s="234"/>
      <c r="Z240" s="234"/>
    </row>
    <row r="241" ht="15.75" customHeight="1">
      <c r="A241" s="234"/>
      <c r="B241" s="234"/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6"/>
      <c r="X241" s="234"/>
      <c r="Y241" s="234"/>
      <c r="Z241" s="234"/>
    </row>
    <row r="242" ht="15.75" customHeight="1">
      <c r="A242" s="234"/>
      <c r="B242" s="234"/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6"/>
      <c r="X242" s="234"/>
      <c r="Y242" s="234"/>
      <c r="Z242" s="234"/>
    </row>
    <row r="243" ht="15.75" customHeight="1">
      <c r="A243" s="234"/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6"/>
      <c r="X243" s="234"/>
      <c r="Y243" s="234"/>
      <c r="Z243" s="234"/>
    </row>
    <row r="244" ht="15.75" customHeight="1">
      <c r="A244" s="234"/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6"/>
      <c r="X244" s="234"/>
      <c r="Y244" s="234"/>
      <c r="Z244" s="234"/>
    </row>
    <row r="245" ht="15.75" customHeight="1">
      <c r="A245" s="234"/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6"/>
      <c r="X245" s="234"/>
      <c r="Y245" s="234"/>
      <c r="Z245" s="234"/>
    </row>
    <row r="246" ht="15.75" customHeight="1">
      <c r="A246" s="234"/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6"/>
      <c r="X246" s="234"/>
      <c r="Y246" s="234"/>
      <c r="Z246" s="234"/>
    </row>
    <row r="247" ht="15.75" customHeight="1">
      <c r="A247" s="234"/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6"/>
      <c r="X247" s="234"/>
      <c r="Y247" s="234"/>
      <c r="Z247" s="234"/>
    </row>
    <row r="248" ht="15.75" customHeight="1">
      <c r="A248" s="234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6"/>
      <c r="X248" s="234"/>
      <c r="Y248" s="234"/>
      <c r="Z248" s="234"/>
    </row>
    <row r="249" ht="15.75" customHeight="1">
      <c r="A249" s="234"/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6"/>
      <c r="X249" s="234"/>
      <c r="Y249" s="234"/>
      <c r="Z249" s="234"/>
    </row>
    <row r="250" ht="15.75" customHeight="1">
      <c r="A250" s="234"/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6"/>
      <c r="X250" s="234"/>
      <c r="Y250" s="234"/>
      <c r="Z250" s="234"/>
    </row>
    <row r="251" ht="15.75" customHeight="1">
      <c r="A251" s="234"/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6"/>
      <c r="X251" s="234"/>
      <c r="Y251" s="234"/>
      <c r="Z251" s="234"/>
    </row>
    <row r="252" ht="15.75" customHeight="1">
      <c r="A252" s="234"/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6"/>
      <c r="X252" s="234"/>
      <c r="Y252" s="234"/>
      <c r="Z252" s="234"/>
    </row>
    <row r="253" ht="15.75" customHeight="1">
      <c r="A253" s="234"/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6"/>
      <c r="X253" s="234"/>
      <c r="Y253" s="234"/>
      <c r="Z253" s="234"/>
    </row>
    <row r="254" ht="15.75" customHeight="1">
      <c r="A254" s="234"/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6"/>
      <c r="X254" s="234"/>
      <c r="Y254" s="234"/>
      <c r="Z254" s="234"/>
    </row>
    <row r="255" ht="15.75" customHeight="1">
      <c r="A255" s="234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6"/>
      <c r="X255" s="234"/>
      <c r="Y255" s="234"/>
      <c r="Z255" s="234"/>
    </row>
    <row r="256" ht="15.75" customHeight="1">
      <c r="A256" s="234"/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6"/>
      <c r="X256" s="234"/>
      <c r="Y256" s="234"/>
      <c r="Z256" s="234"/>
    </row>
    <row r="257" ht="15.75" customHeight="1">
      <c r="A257" s="234"/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6"/>
      <c r="X257" s="234"/>
      <c r="Y257" s="234"/>
      <c r="Z257" s="234"/>
    </row>
    <row r="258" ht="15.75" customHeight="1">
      <c r="A258" s="234"/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6"/>
      <c r="X258" s="234"/>
      <c r="Y258" s="234"/>
      <c r="Z258" s="234"/>
    </row>
    <row r="259" ht="15.75" customHeight="1">
      <c r="A259" s="234"/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6"/>
      <c r="X259" s="234"/>
      <c r="Y259" s="234"/>
      <c r="Z259" s="234"/>
    </row>
    <row r="260" ht="15.75" customHeight="1">
      <c r="A260" s="234"/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6"/>
      <c r="X260" s="234"/>
      <c r="Y260" s="234"/>
      <c r="Z260" s="234"/>
    </row>
    <row r="261" ht="15.75" customHeight="1">
      <c r="A261" s="234"/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6"/>
      <c r="X261" s="234"/>
      <c r="Y261" s="234"/>
      <c r="Z261" s="234"/>
    </row>
    <row r="262" ht="15.75" customHeight="1">
      <c r="A262" s="234"/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6"/>
      <c r="X262" s="234"/>
      <c r="Y262" s="234"/>
      <c r="Z262" s="234"/>
    </row>
    <row r="263" ht="15.75" customHeight="1">
      <c r="A263" s="234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6"/>
      <c r="X263" s="234"/>
      <c r="Y263" s="234"/>
      <c r="Z263" s="234"/>
    </row>
    <row r="264" ht="15.75" customHeight="1">
      <c r="A264" s="234"/>
      <c r="B264" s="234"/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6"/>
      <c r="X264" s="234"/>
      <c r="Y264" s="234"/>
      <c r="Z264" s="234"/>
    </row>
    <row r="265" ht="15.75" customHeight="1">
      <c r="A265" s="234"/>
      <c r="B265" s="234"/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6"/>
      <c r="X265" s="234"/>
      <c r="Y265" s="234"/>
      <c r="Z265" s="234"/>
    </row>
    <row r="266" ht="15.75" customHeight="1">
      <c r="A266" s="234"/>
      <c r="B266" s="234"/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6"/>
      <c r="X266" s="234"/>
      <c r="Y266" s="234"/>
      <c r="Z266" s="234"/>
    </row>
    <row r="267" ht="15.75" customHeight="1">
      <c r="A267" s="234"/>
      <c r="B267" s="234"/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6"/>
      <c r="X267" s="234"/>
      <c r="Y267" s="234"/>
      <c r="Z267" s="234"/>
    </row>
    <row r="268" ht="15.75" customHeight="1">
      <c r="A268" s="234"/>
      <c r="B268" s="234"/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6"/>
      <c r="X268" s="234"/>
      <c r="Y268" s="234"/>
      <c r="Z268" s="234"/>
    </row>
    <row r="269" ht="15.75" customHeight="1">
      <c r="A269" s="234"/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6"/>
      <c r="X269" s="234"/>
      <c r="Y269" s="234"/>
      <c r="Z269" s="234"/>
    </row>
    <row r="270" ht="15.75" customHeight="1">
      <c r="A270" s="234"/>
      <c r="B270" s="234"/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6"/>
      <c r="X270" s="234"/>
      <c r="Y270" s="234"/>
      <c r="Z270" s="234"/>
    </row>
    <row r="271" ht="15.75" customHeight="1">
      <c r="A271" s="234"/>
      <c r="B271" s="234"/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6"/>
      <c r="X271" s="234"/>
      <c r="Y271" s="234"/>
      <c r="Z271" s="234"/>
    </row>
    <row r="272" ht="15.75" customHeight="1">
      <c r="A272" s="234"/>
      <c r="B272" s="234"/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6"/>
      <c r="X272" s="234"/>
      <c r="Y272" s="234"/>
      <c r="Z272" s="234"/>
    </row>
    <row r="273" ht="15.75" customHeight="1">
      <c r="A273" s="234"/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6"/>
      <c r="X273" s="234"/>
      <c r="Y273" s="234"/>
      <c r="Z273" s="234"/>
    </row>
    <row r="274" ht="15.75" customHeight="1">
      <c r="A274" s="234"/>
      <c r="B274" s="234"/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6"/>
      <c r="X274" s="234"/>
      <c r="Y274" s="234"/>
      <c r="Z274" s="234"/>
    </row>
    <row r="275" ht="15.75" customHeight="1">
      <c r="A275" s="234"/>
      <c r="B275" s="234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6"/>
      <c r="X275" s="234"/>
      <c r="Y275" s="234"/>
      <c r="Z275" s="234"/>
    </row>
    <row r="276" ht="15.75" customHeight="1">
      <c r="A276" s="234"/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6"/>
      <c r="X276" s="234"/>
      <c r="Y276" s="234"/>
      <c r="Z276" s="234"/>
    </row>
    <row r="277" ht="15.75" customHeight="1">
      <c r="A277" s="234"/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6"/>
      <c r="X277" s="234"/>
      <c r="Y277" s="234"/>
      <c r="Z277" s="234"/>
    </row>
    <row r="278" ht="15.75" customHeight="1">
      <c r="A278" s="234"/>
      <c r="B278" s="234"/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6"/>
      <c r="X278" s="234"/>
      <c r="Y278" s="234"/>
      <c r="Z278" s="234"/>
    </row>
    <row r="279" ht="15.75" customHeight="1">
      <c r="A279" s="234"/>
      <c r="B279" s="234"/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6"/>
      <c r="X279" s="234"/>
      <c r="Y279" s="234"/>
      <c r="Z279" s="234"/>
    </row>
    <row r="280" ht="15.75" customHeight="1">
      <c r="A280" s="234"/>
      <c r="B280" s="234"/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6"/>
      <c r="X280" s="234"/>
      <c r="Y280" s="234"/>
      <c r="Z280" s="234"/>
    </row>
    <row r="281" ht="15.75" customHeight="1">
      <c r="A281" s="234"/>
      <c r="B281" s="234"/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6"/>
      <c r="X281" s="234"/>
      <c r="Y281" s="234"/>
      <c r="Z281" s="234"/>
    </row>
    <row r="282" ht="15.75" customHeight="1">
      <c r="A282" s="234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6"/>
      <c r="X282" s="234"/>
      <c r="Y282" s="234"/>
      <c r="Z282" s="234"/>
    </row>
    <row r="283" ht="15.75" customHeight="1">
      <c r="A283" s="234"/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6"/>
      <c r="X283" s="234"/>
      <c r="Y283" s="234"/>
      <c r="Z283" s="234"/>
    </row>
    <row r="284" ht="15.75" customHeight="1">
      <c r="A284" s="234"/>
      <c r="B284" s="234"/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6"/>
      <c r="X284" s="234"/>
      <c r="Y284" s="234"/>
      <c r="Z284" s="234"/>
    </row>
    <row r="285" ht="15.75" customHeight="1">
      <c r="A285" s="234"/>
      <c r="B285" s="234"/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6"/>
      <c r="X285" s="234"/>
      <c r="Y285" s="234"/>
      <c r="Z285" s="234"/>
    </row>
    <row r="286" ht="15.75" customHeight="1">
      <c r="A286" s="234"/>
      <c r="B286" s="234"/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6"/>
      <c r="X286" s="234"/>
      <c r="Y286" s="234"/>
      <c r="Z286" s="234"/>
    </row>
    <row r="287" ht="15.75" customHeight="1">
      <c r="A287" s="234"/>
      <c r="B287" s="234"/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6"/>
      <c r="X287" s="234"/>
      <c r="Y287" s="234"/>
      <c r="Z287" s="234"/>
    </row>
    <row r="288" ht="15.75" customHeight="1">
      <c r="A288" s="234"/>
      <c r="B288" s="234"/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6"/>
      <c r="X288" s="234"/>
      <c r="Y288" s="234"/>
      <c r="Z288" s="234"/>
    </row>
    <row r="289" ht="15.75" customHeight="1">
      <c r="A289" s="234"/>
      <c r="B289" s="234"/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6"/>
      <c r="X289" s="234"/>
      <c r="Y289" s="234"/>
      <c r="Z289" s="234"/>
    </row>
    <row r="290" ht="15.75" customHeight="1">
      <c r="A290" s="234"/>
      <c r="B290" s="234"/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6"/>
      <c r="X290" s="234"/>
      <c r="Y290" s="234"/>
      <c r="Z290" s="234"/>
    </row>
    <row r="291" ht="15.75" customHeight="1">
      <c r="A291" s="234"/>
      <c r="B291" s="234"/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6"/>
      <c r="X291" s="234"/>
      <c r="Y291" s="234"/>
      <c r="Z291" s="234"/>
    </row>
    <row r="292" ht="15.75" customHeight="1">
      <c r="A292" s="234"/>
      <c r="B292" s="234"/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6"/>
      <c r="X292" s="234"/>
      <c r="Y292" s="234"/>
      <c r="Z292" s="234"/>
    </row>
    <row r="293" ht="15.75" customHeight="1">
      <c r="A293" s="234"/>
      <c r="B293" s="234"/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6"/>
      <c r="X293" s="234"/>
      <c r="Y293" s="234"/>
      <c r="Z293" s="234"/>
    </row>
    <row r="294" ht="15.75" customHeight="1">
      <c r="A294" s="234"/>
      <c r="B294" s="234"/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6"/>
      <c r="X294" s="234"/>
      <c r="Y294" s="234"/>
      <c r="Z294" s="234"/>
    </row>
    <row r="295" ht="15.75" customHeight="1">
      <c r="A295" s="234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6"/>
      <c r="X295" s="234"/>
      <c r="Y295" s="234"/>
      <c r="Z295" s="234"/>
    </row>
    <row r="296" ht="15.75" customHeight="1">
      <c r="A296" s="234"/>
      <c r="B296" s="234"/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6"/>
      <c r="X296" s="234"/>
      <c r="Y296" s="234"/>
      <c r="Z296" s="234"/>
    </row>
    <row r="297" ht="15.75" customHeight="1">
      <c r="A297" s="234"/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6"/>
      <c r="X297" s="234"/>
      <c r="Y297" s="234"/>
      <c r="Z297" s="234"/>
    </row>
    <row r="298" ht="15.75" customHeight="1">
      <c r="A298" s="234"/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6"/>
      <c r="X298" s="234"/>
      <c r="Y298" s="234"/>
      <c r="Z298" s="234"/>
    </row>
    <row r="299" ht="15.75" customHeight="1">
      <c r="A299" s="234"/>
      <c r="B299" s="234"/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6"/>
      <c r="X299" s="234"/>
      <c r="Y299" s="234"/>
      <c r="Z299" s="234"/>
    </row>
    <row r="300" ht="15.75" customHeight="1">
      <c r="A300" s="234"/>
      <c r="B300" s="234"/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6"/>
      <c r="X300" s="234"/>
      <c r="Y300" s="234"/>
      <c r="Z300" s="234"/>
    </row>
    <row r="301" ht="15.75" customHeight="1">
      <c r="A301" s="234"/>
      <c r="B301" s="234"/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6"/>
      <c r="X301" s="234"/>
      <c r="Y301" s="234"/>
      <c r="Z301" s="234"/>
    </row>
    <row r="302" ht="15.75" customHeight="1">
      <c r="A302" s="234"/>
      <c r="B302" s="234"/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6"/>
      <c r="X302" s="234"/>
      <c r="Y302" s="234"/>
      <c r="Z302" s="234"/>
    </row>
    <row r="303" ht="15.75" customHeight="1">
      <c r="A303" s="234"/>
      <c r="B303" s="234"/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6"/>
      <c r="X303" s="234"/>
      <c r="Y303" s="234"/>
      <c r="Z303" s="234"/>
    </row>
    <row r="304" ht="15.75" customHeight="1">
      <c r="A304" s="234"/>
      <c r="B304" s="234"/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6"/>
      <c r="X304" s="234"/>
      <c r="Y304" s="234"/>
      <c r="Z304" s="234"/>
    </row>
    <row r="305" ht="15.75" customHeight="1">
      <c r="A305" s="234"/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6"/>
      <c r="X305" s="234"/>
      <c r="Y305" s="234"/>
      <c r="Z305" s="234"/>
    </row>
    <row r="306" ht="15.75" customHeight="1">
      <c r="A306" s="234"/>
      <c r="B306" s="234"/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6"/>
      <c r="X306" s="234"/>
      <c r="Y306" s="234"/>
      <c r="Z306" s="234"/>
    </row>
    <row r="307" ht="15.75" customHeight="1">
      <c r="A307" s="234"/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6"/>
      <c r="X307" s="234"/>
      <c r="Y307" s="234"/>
      <c r="Z307" s="234"/>
    </row>
    <row r="308" ht="15.75" customHeight="1">
      <c r="A308" s="234"/>
      <c r="B308" s="234"/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6"/>
      <c r="X308" s="234"/>
      <c r="Y308" s="234"/>
      <c r="Z308" s="234"/>
    </row>
    <row r="309" ht="15.75" customHeight="1">
      <c r="A309" s="234"/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6"/>
      <c r="X309" s="234"/>
      <c r="Y309" s="234"/>
      <c r="Z309" s="234"/>
    </row>
    <row r="310" ht="15.75" customHeight="1">
      <c r="A310" s="234"/>
      <c r="B310" s="234"/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6"/>
      <c r="X310" s="234"/>
      <c r="Y310" s="234"/>
      <c r="Z310" s="234"/>
    </row>
    <row r="311" ht="15.75" customHeight="1">
      <c r="A311" s="234"/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6"/>
      <c r="X311" s="234"/>
      <c r="Y311" s="234"/>
      <c r="Z311" s="234"/>
    </row>
    <row r="312" ht="15.75" customHeight="1">
      <c r="A312" s="234"/>
      <c r="B312" s="234"/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6"/>
      <c r="X312" s="234"/>
      <c r="Y312" s="234"/>
      <c r="Z312" s="234"/>
    </row>
    <row r="313" ht="15.75" customHeight="1">
      <c r="A313" s="234"/>
      <c r="B313" s="234"/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6"/>
      <c r="X313" s="234"/>
      <c r="Y313" s="234"/>
      <c r="Z313" s="234"/>
    </row>
    <row r="314" ht="15.75" customHeight="1">
      <c r="A314" s="234"/>
      <c r="B314" s="234"/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6"/>
      <c r="X314" s="234"/>
      <c r="Y314" s="234"/>
      <c r="Z314" s="234"/>
    </row>
    <row r="315" ht="15.75" customHeight="1">
      <c r="A315" s="234"/>
      <c r="B315" s="234"/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6"/>
      <c r="X315" s="234"/>
      <c r="Y315" s="234"/>
      <c r="Z315" s="234"/>
    </row>
    <row r="316" ht="15.75" customHeight="1">
      <c r="A316" s="234"/>
      <c r="B316" s="234"/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6"/>
      <c r="X316" s="234"/>
      <c r="Y316" s="234"/>
      <c r="Z316" s="234"/>
    </row>
    <row r="317" ht="15.75" customHeight="1">
      <c r="A317" s="234"/>
      <c r="B317" s="234"/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6"/>
      <c r="X317" s="234"/>
      <c r="Y317" s="234"/>
      <c r="Z317" s="234"/>
    </row>
    <row r="318" ht="15.75" customHeight="1">
      <c r="A318" s="234"/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6"/>
      <c r="X318" s="234"/>
      <c r="Y318" s="234"/>
      <c r="Z318" s="234"/>
    </row>
    <row r="319" ht="15.75" customHeight="1">
      <c r="A319" s="234"/>
      <c r="B319" s="234"/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6"/>
      <c r="X319" s="234"/>
      <c r="Y319" s="234"/>
      <c r="Z319" s="234"/>
    </row>
    <row r="320" ht="15.75" customHeight="1">
      <c r="A320" s="234"/>
      <c r="B320" s="234"/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6"/>
      <c r="X320" s="234"/>
      <c r="Y320" s="234"/>
      <c r="Z320" s="234"/>
    </row>
    <row r="321" ht="15.75" customHeight="1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6"/>
      <c r="X321" s="234"/>
      <c r="Y321" s="234"/>
      <c r="Z321" s="234"/>
    </row>
    <row r="322" ht="15.75" customHeight="1">
      <c r="A322" s="234"/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6"/>
      <c r="X322" s="234"/>
      <c r="Y322" s="234"/>
      <c r="Z322" s="234"/>
    </row>
    <row r="323" ht="15.75" customHeight="1">
      <c r="A323" s="234"/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6"/>
      <c r="X323" s="234"/>
      <c r="Y323" s="234"/>
      <c r="Z323" s="234"/>
    </row>
    <row r="324" ht="15.75" customHeight="1">
      <c r="A324" s="234"/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6"/>
      <c r="X324" s="234"/>
      <c r="Y324" s="234"/>
      <c r="Z324" s="234"/>
    </row>
    <row r="325" ht="15.75" customHeight="1">
      <c r="A325" s="234"/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6"/>
      <c r="X325" s="234"/>
      <c r="Y325" s="234"/>
      <c r="Z325" s="234"/>
    </row>
    <row r="326" ht="15.75" customHeight="1">
      <c r="A326" s="234"/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6"/>
      <c r="X326" s="234"/>
      <c r="Y326" s="234"/>
      <c r="Z326" s="234"/>
    </row>
    <row r="327" ht="15.75" customHeight="1">
      <c r="A327" s="234"/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6"/>
      <c r="X327" s="234"/>
      <c r="Y327" s="234"/>
      <c r="Z327" s="234"/>
    </row>
    <row r="328" ht="15.75" customHeight="1">
      <c r="A328" s="234"/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6"/>
      <c r="X328" s="234"/>
      <c r="Y328" s="234"/>
      <c r="Z328" s="234"/>
    </row>
    <row r="329" ht="15.75" customHeight="1">
      <c r="A329" s="234"/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6"/>
      <c r="X329" s="234"/>
      <c r="Y329" s="234"/>
      <c r="Z329" s="234"/>
    </row>
    <row r="330" ht="15.75" customHeight="1">
      <c r="A330" s="234"/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6"/>
      <c r="X330" s="234"/>
      <c r="Y330" s="234"/>
      <c r="Z330" s="234"/>
    </row>
    <row r="331" ht="15.75" customHeight="1">
      <c r="A331" s="234"/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6"/>
      <c r="X331" s="234"/>
      <c r="Y331" s="234"/>
      <c r="Z331" s="234"/>
    </row>
    <row r="332" ht="15.75" customHeight="1">
      <c r="A332" s="234"/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6"/>
      <c r="X332" s="234"/>
      <c r="Y332" s="234"/>
      <c r="Z332" s="234"/>
    </row>
    <row r="333" ht="15.75" customHeight="1">
      <c r="A333" s="234"/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6"/>
      <c r="X333" s="234"/>
      <c r="Y333" s="234"/>
      <c r="Z333" s="234"/>
    </row>
    <row r="334" ht="15.75" customHeight="1">
      <c r="A334" s="234"/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6"/>
      <c r="X334" s="234"/>
      <c r="Y334" s="234"/>
      <c r="Z334" s="234"/>
    </row>
    <row r="335" ht="15.75" customHeight="1">
      <c r="A335" s="234"/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6"/>
      <c r="X335" s="234"/>
      <c r="Y335" s="234"/>
      <c r="Z335" s="234"/>
    </row>
    <row r="336" ht="15.75" customHeight="1">
      <c r="A336" s="234"/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6"/>
      <c r="X336" s="234"/>
      <c r="Y336" s="234"/>
      <c r="Z336" s="234"/>
    </row>
    <row r="337" ht="15.75" customHeight="1">
      <c r="A337" s="234"/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6"/>
      <c r="X337" s="234"/>
      <c r="Y337" s="234"/>
      <c r="Z337" s="234"/>
    </row>
    <row r="338" ht="15.75" customHeight="1">
      <c r="A338" s="234"/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6"/>
      <c r="X338" s="234"/>
      <c r="Y338" s="234"/>
      <c r="Z338" s="234"/>
    </row>
    <row r="339" ht="15.75" customHeight="1">
      <c r="A339" s="234"/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6"/>
      <c r="X339" s="234"/>
      <c r="Y339" s="234"/>
      <c r="Z339" s="234"/>
    </row>
    <row r="340" ht="15.75" customHeight="1">
      <c r="A340" s="234"/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6"/>
      <c r="X340" s="234"/>
      <c r="Y340" s="234"/>
      <c r="Z340" s="234"/>
    </row>
    <row r="341" ht="15.75" customHeight="1">
      <c r="A341" s="234"/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6"/>
      <c r="X341" s="234"/>
      <c r="Y341" s="234"/>
      <c r="Z341" s="234"/>
    </row>
    <row r="342" ht="15.75" customHeight="1">
      <c r="A342" s="234"/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6"/>
      <c r="X342" s="234"/>
      <c r="Y342" s="234"/>
      <c r="Z342" s="234"/>
    </row>
    <row r="343" ht="15.75" customHeight="1">
      <c r="A343" s="234"/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6"/>
      <c r="X343" s="234"/>
      <c r="Y343" s="234"/>
      <c r="Z343" s="234"/>
    </row>
    <row r="344" ht="15.75" customHeight="1">
      <c r="A344" s="234"/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6"/>
      <c r="X344" s="234"/>
      <c r="Y344" s="234"/>
      <c r="Z344" s="234"/>
    </row>
    <row r="345" ht="15.75" customHeight="1">
      <c r="A345" s="234"/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6"/>
      <c r="X345" s="234"/>
      <c r="Y345" s="234"/>
      <c r="Z345" s="234"/>
    </row>
    <row r="346" ht="15.75" customHeight="1">
      <c r="A346" s="234"/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6"/>
      <c r="X346" s="234"/>
      <c r="Y346" s="234"/>
      <c r="Z346" s="234"/>
    </row>
    <row r="347" ht="15.75" customHeight="1">
      <c r="A347" s="234"/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6"/>
      <c r="X347" s="234"/>
      <c r="Y347" s="234"/>
      <c r="Z347" s="234"/>
    </row>
    <row r="348" ht="15.75" customHeight="1">
      <c r="A348" s="234"/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6"/>
      <c r="X348" s="234"/>
      <c r="Y348" s="234"/>
      <c r="Z348" s="234"/>
    </row>
    <row r="349" ht="15.75" customHeight="1">
      <c r="A349" s="234"/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6"/>
      <c r="X349" s="234"/>
      <c r="Y349" s="234"/>
      <c r="Z349" s="234"/>
    </row>
    <row r="350" ht="15.75" customHeight="1">
      <c r="A350" s="234"/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6"/>
      <c r="X350" s="234"/>
      <c r="Y350" s="234"/>
      <c r="Z350" s="234"/>
    </row>
    <row r="351" ht="15.75" customHeight="1">
      <c r="A351" s="234"/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6"/>
      <c r="X351" s="234"/>
      <c r="Y351" s="234"/>
      <c r="Z351" s="234"/>
    </row>
    <row r="352" ht="15.75" customHeight="1">
      <c r="A352" s="234"/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6"/>
      <c r="X352" s="234"/>
      <c r="Y352" s="234"/>
      <c r="Z352" s="234"/>
    </row>
    <row r="353" ht="15.75" customHeight="1">
      <c r="A353" s="234"/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6"/>
      <c r="X353" s="234"/>
      <c r="Y353" s="234"/>
      <c r="Z353" s="234"/>
    </row>
    <row r="354" ht="15.75" customHeight="1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6"/>
      <c r="X354" s="234"/>
      <c r="Y354" s="234"/>
      <c r="Z354" s="234"/>
    </row>
    <row r="355" ht="15.75" customHeight="1">
      <c r="A355" s="234"/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6"/>
      <c r="X355" s="234"/>
      <c r="Y355" s="234"/>
      <c r="Z355" s="234"/>
    </row>
    <row r="356" ht="15.75" customHeight="1">
      <c r="A356" s="234"/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6"/>
      <c r="X356" s="234"/>
      <c r="Y356" s="234"/>
      <c r="Z356" s="234"/>
    </row>
    <row r="357" ht="15.75" customHeight="1">
      <c r="A357" s="234"/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6"/>
      <c r="X357" s="234"/>
      <c r="Y357" s="234"/>
      <c r="Z357" s="234"/>
    </row>
    <row r="358" ht="15.75" customHeight="1">
      <c r="A358" s="234"/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6"/>
      <c r="X358" s="234"/>
      <c r="Y358" s="234"/>
      <c r="Z358" s="234"/>
    </row>
    <row r="359" ht="15.75" customHeight="1">
      <c r="A359" s="234"/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6"/>
      <c r="X359" s="234"/>
      <c r="Y359" s="234"/>
      <c r="Z359" s="234"/>
    </row>
    <row r="360" ht="15.75" customHeight="1">
      <c r="A360" s="234"/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6"/>
      <c r="X360" s="234"/>
      <c r="Y360" s="234"/>
      <c r="Z360" s="234"/>
    </row>
    <row r="361" ht="15.75" customHeight="1">
      <c r="A361" s="234"/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6"/>
      <c r="X361" s="234"/>
      <c r="Y361" s="234"/>
      <c r="Z361" s="234"/>
    </row>
    <row r="362" ht="15.75" customHeight="1">
      <c r="A362" s="234"/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6"/>
      <c r="X362" s="234"/>
      <c r="Y362" s="234"/>
      <c r="Z362" s="234"/>
    </row>
    <row r="363" ht="15.75" customHeight="1">
      <c r="A363" s="234"/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6"/>
      <c r="X363" s="234"/>
      <c r="Y363" s="234"/>
      <c r="Z363" s="234"/>
    </row>
    <row r="364" ht="15.75" customHeight="1">
      <c r="A364" s="234"/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6"/>
      <c r="X364" s="234"/>
      <c r="Y364" s="234"/>
      <c r="Z364" s="234"/>
    </row>
    <row r="365" ht="15.75" customHeight="1">
      <c r="A365" s="234"/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6"/>
      <c r="X365" s="234"/>
      <c r="Y365" s="234"/>
      <c r="Z365" s="234"/>
    </row>
    <row r="366" ht="15.75" customHeight="1">
      <c r="A366" s="234"/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6"/>
      <c r="X366" s="234"/>
      <c r="Y366" s="234"/>
      <c r="Z366" s="234"/>
    </row>
    <row r="367" ht="15.75" customHeight="1">
      <c r="A367" s="234"/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6"/>
      <c r="X367" s="234"/>
      <c r="Y367" s="234"/>
      <c r="Z367" s="234"/>
    </row>
    <row r="368" ht="15.75" customHeight="1">
      <c r="A368" s="234"/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6"/>
      <c r="X368" s="234"/>
      <c r="Y368" s="234"/>
      <c r="Z368" s="234"/>
    </row>
    <row r="369" ht="15.75" customHeight="1">
      <c r="A369" s="234"/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6"/>
      <c r="X369" s="234"/>
      <c r="Y369" s="234"/>
      <c r="Z369" s="234"/>
    </row>
    <row r="370" ht="15.75" customHeight="1">
      <c r="A370" s="234"/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6"/>
      <c r="X370" s="234"/>
      <c r="Y370" s="234"/>
      <c r="Z370" s="234"/>
    </row>
    <row r="371" ht="15.75" customHeight="1">
      <c r="A371" s="234"/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6"/>
      <c r="X371" s="234"/>
      <c r="Y371" s="234"/>
      <c r="Z371" s="234"/>
    </row>
    <row r="372" ht="15.75" customHeight="1">
      <c r="A372" s="234"/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6"/>
      <c r="X372" s="234"/>
      <c r="Y372" s="234"/>
      <c r="Z372" s="234"/>
    </row>
    <row r="373" ht="15.75" customHeight="1">
      <c r="A373" s="234"/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6"/>
      <c r="X373" s="234"/>
      <c r="Y373" s="234"/>
      <c r="Z373" s="234"/>
    </row>
    <row r="374" ht="15.75" customHeight="1">
      <c r="A374" s="234"/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6"/>
      <c r="X374" s="234"/>
      <c r="Y374" s="234"/>
      <c r="Z374" s="234"/>
    </row>
    <row r="375" ht="15.75" customHeight="1">
      <c r="A375" s="234"/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6"/>
      <c r="X375" s="234"/>
      <c r="Y375" s="234"/>
      <c r="Z375" s="234"/>
    </row>
    <row r="376" ht="15.75" customHeight="1">
      <c r="A376" s="234"/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6"/>
      <c r="X376" s="234"/>
      <c r="Y376" s="234"/>
      <c r="Z376" s="234"/>
    </row>
    <row r="377" ht="15.75" customHeight="1">
      <c r="A377" s="234"/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6"/>
      <c r="X377" s="234"/>
      <c r="Y377" s="234"/>
      <c r="Z377" s="234"/>
    </row>
    <row r="378" ht="15.75" customHeight="1">
      <c r="A378" s="234"/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6"/>
      <c r="X378" s="234"/>
      <c r="Y378" s="234"/>
      <c r="Z378" s="234"/>
    </row>
    <row r="379" ht="15.75" customHeight="1">
      <c r="A379" s="234"/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6"/>
      <c r="X379" s="234"/>
      <c r="Y379" s="234"/>
      <c r="Z379" s="234"/>
    </row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hidden="1" min="1" max="1" width="15.5"/>
    <col customWidth="1" min="2" max="2" width="15.5"/>
    <col customWidth="1" min="3" max="3" width="13.88"/>
    <col customWidth="1" min="4" max="4" width="12.63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 ht="15.75" customHeight="1">
      <c r="A1" s="1"/>
      <c r="B1" s="2" t="s">
        <v>79</v>
      </c>
      <c r="C1" s="223">
        <v>46099.0</v>
      </c>
      <c r="D1" s="4" t="s">
        <v>1</v>
      </c>
      <c r="E1" s="5">
        <v>46099.0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19.5" customHeight="1">
      <c r="A2" s="1"/>
      <c r="B2" s="11"/>
      <c r="C2" s="12"/>
      <c r="D2" s="11"/>
      <c r="E2" s="13"/>
      <c r="F2" s="14">
        <v>0.8083516673398071</v>
      </c>
      <c r="H2" s="10"/>
      <c r="I2" s="15">
        <v>12859.0</v>
      </c>
      <c r="K2" s="10"/>
      <c r="L2" s="16" t="s">
        <v>5</v>
      </c>
      <c r="M2" s="17">
        <v>0.0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15.75" customHeight="1">
      <c r="A3" s="20"/>
      <c r="B3" s="21" t="str">
        <f>CHOOSE(WEEKDAY(C1), "Neděle", "Pondělí", "Úterý", "Středa", "Čtvrtek", "Pátek", "Sobota")</f>
        <v>Středa</v>
      </c>
      <c r="C3" s="22"/>
      <c r="D3" s="21" t="str">
        <f>CHOOSE(WEEKDAY(E1), "Neděle", "Pondělí", "Úterý", "Středa", "Čtvrtek", "Pátek", "Sobota")</f>
        <v>Středa</v>
      </c>
      <c r="E3" s="23"/>
      <c r="H3" s="10"/>
      <c r="K3" s="10"/>
      <c r="L3" s="24" t="s">
        <v>6</v>
      </c>
      <c r="M3" s="25">
        <v>1055.0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ht="15.75" customHeight="1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4305.0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15.75" customHeight="1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24" t="s">
        <v>10</v>
      </c>
      <c r="M5" s="25">
        <v>2288.0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15.75" customHeight="1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24" t="s">
        <v>11</v>
      </c>
      <c r="M6" s="25">
        <v>0.0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15.75" customHeight="1">
      <c r="A7" s="9"/>
      <c r="B7" s="30">
        <f>TEXT(SUMPRODUCT((IFERROR(LEFT(D10:D30, FIND(":", D10:D30) - 1) * 60, 0) + IFERROR(MID(D10:D30, FIND(":", D10:D30) + 1, LEN(D10:D30) - FIND(":", D10:D30)), 0))), "[h]:mm")/60</f>
        <v>23.5</v>
      </c>
      <c r="C7" s="26"/>
      <c r="D7" s="26"/>
      <c r="E7" s="13"/>
      <c r="F7" s="31">
        <f>TEXT(SUMPRODUCT((IFERROR(LEFT(H10:H30, FIND(":", H10:H30) - 1) * 60, 0) + IFERROR(MID(H10:H30, FIND(":", H10:H30) + 1, LEN(H10:H30) - FIND(":", H10:H30)), 0))), "[h]:mm")/60</f>
        <v>13</v>
      </c>
      <c r="G7" s="7"/>
      <c r="H7" s="7"/>
      <c r="I7" s="7"/>
      <c r="J7" s="32"/>
      <c r="K7" s="32"/>
      <c r="L7" s="33" t="s">
        <v>12</v>
      </c>
      <c r="M7" s="34">
        <v>692.0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15.75" customHeight="1">
      <c r="A8" s="35"/>
      <c r="B8" s="36" t="s">
        <v>13</v>
      </c>
      <c r="C8" s="22"/>
      <c r="D8" s="22"/>
      <c r="E8" s="23"/>
      <c r="F8" s="37" t="s">
        <v>14</v>
      </c>
      <c r="G8" s="22"/>
      <c r="H8" s="22"/>
      <c r="I8" s="23"/>
      <c r="J8" s="36" t="s">
        <v>15</v>
      </c>
      <c r="K8" s="23"/>
      <c r="L8" s="3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15.75" customHeight="1">
      <c r="A9" s="38"/>
      <c r="B9" s="39"/>
      <c r="C9" s="40"/>
      <c r="D9" s="40"/>
      <c r="E9" s="41"/>
      <c r="F9" s="39" t="s">
        <v>17</v>
      </c>
      <c r="G9" s="40" t="s">
        <v>18</v>
      </c>
      <c r="H9" s="40" t="s">
        <v>19</v>
      </c>
      <c r="I9" s="42" t="s">
        <v>20</v>
      </c>
      <c r="J9" s="43">
        <v>0.0</v>
      </c>
      <c r="K9" s="23"/>
      <c r="L9" s="44" t="s">
        <v>21</v>
      </c>
      <c r="M9" s="25">
        <v>2252.0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18.75" customHeight="1">
      <c r="A10" s="45"/>
      <c r="B10" s="46" t="s">
        <v>451</v>
      </c>
      <c r="C10" s="47">
        <v>1.0</v>
      </c>
      <c r="D10" s="47" t="s">
        <v>220</v>
      </c>
      <c r="E10" s="48" t="s">
        <v>22</v>
      </c>
      <c r="F10" s="46" t="s">
        <v>452</v>
      </c>
      <c r="G10" s="47">
        <v>1.0</v>
      </c>
      <c r="H10" s="47" t="s">
        <v>161</v>
      </c>
      <c r="I10" s="49">
        <v>2.0</v>
      </c>
      <c r="K10" s="10"/>
      <c r="L10" s="44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18.75" customHeight="1">
      <c r="A11" s="45"/>
      <c r="B11" s="46" t="s">
        <v>453</v>
      </c>
      <c r="C11" s="47">
        <v>1.0</v>
      </c>
      <c r="D11" s="47" t="s">
        <v>189</v>
      </c>
      <c r="E11" s="48" t="s">
        <v>24</v>
      </c>
      <c r="F11" s="46" t="s">
        <v>454</v>
      </c>
      <c r="G11" s="47">
        <v>1.0</v>
      </c>
      <c r="H11" s="47" t="s">
        <v>28</v>
      </c>
      <c r="I11" s="49">
        <v>4.0</v>
      </c>
      <c r="K11" s="10"/>
      <c r="L11" s="50" t="s">
        <v>16</v>
      </c>
      <c r="M11" s="51">
        <v>2719.0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8.75" customHeight="1">
      <c r="A12" s="45"/>
      <c r="B12" s="46" t="s">
        <v>455</v>
      </c>
      <c r="C12" s="47">
        <v>1.0</v>
      </c>
      <c r="D12" s="47" t="s">
        <v>456</v>
      </c>
      <c r="E12" s="48" t="s">
        <v>25</v>
      </c>
      <c r="F12" s="46"/>
      <c r="G12" s="47"/>
      <c r="H12" s="47"/>
      <c r="I12" s="49"/>
      <c r="K12" s="10"/>
      <c r="L12" s="52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18.75" customHeight="1">
      <c r="A13" s="45"/>
      <c r="B13" s="46" t="s">
        <v>457</v>
      </c>
      <c r="C13" s="47">
        <v>1.0</v>
      </c>
      <c r="D13" s="47" t="s">
        <v>177</v>
      </c>
      <c r="E13" s="48" t="s">
        <v>25</v>
      </c>
      <c r="F13" s="46"/>
      <c r="G13" s="47"/>
      <c r="H13" s="47"/>
      <c r="I13" s="49"/>
      <c r="K13" s="10"/>
      <c r="L13" s="16" t="s">
        <v>27</v>
      </c>
      <c r="M13" s="17">
        <v>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18.75" customHeight="1">
      <c r="A14" s="45"/>
      <c r="B14" s="46"/>
      <c r="C14" s="47"/>
      <c r="D14" s="47"/>
      <c r="E14" s="48" t="s">
        <v>28</v>
      </c>
      <c r="F14" s="46"/>
      <c r="G14" s="47"/>
      <c r="H14" s="47"/>
      <c r="I14" s="49"/>
      <c r="K14" s="10"/>
      <c r="L14" s="53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18.75" customHeight="1">
      <c r="A15" s="45"/>
      <c r="B15" s="46"/>
      <c r="C15" s="47"/>
      <c r="D15" s="47"/>
      <c r="E15" s="48" t="s">
        <v>28</v>
      </c>
      <c r="F15" s="46"/>
      <c r="G15" s="47"/>
      <c r="H15" s="47"/>
      <c r="I15" s="49"/>
      <c r="K15" s="10"/>
      <c r="L15" s="53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18.75" customHeight="1">
      <c r="A16" s="45"/>
      <c r="B16" s="46"/>
      <c r="C16" s="47"/>
      <c r="D16" s="47"/>
      <c r="E16" s="54"/>
      <c r="F16" s="46"/>
      <c r="G16" s="47"/>
      <c r="H16" s="47"/>
      <c r="I16" s="49"/>
      <c r="K16" s="10"/>
      <c r="L16" s="53" t="s">
        <v>31</v>
      </c>
      <c r="M16" s="25">
        <v>0.0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18.75" customHeight="1">
      <c r="A17" s="45"/>
      <c r="B17" s="46"/>
      <c r="C17" s="47"/>
      <c r="D17" s="47"/>
      <c r="E17" s="54"/>
      <c r="F17" s="46"/>
      <c r="G17" s="47"/>
      <c r="H17" s="47"/>
      <c r="I17" s="49"/>
      <c r="J17" s="26"/>
      <c r="K17" s="13"/>
      <c r="L17" s="55" t="s">
        <v>32</v>
      </c>
      <c r="M17" s="51">
        <v>240.0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18.75" customHeight="1">
      <c r="A18" s="45"/>
      <c r="B18" s="46"/>
      <c r="C18" s="47"/>
      <c r="D18" s="47"/>
      <c r="E18" s="54"/>
      <c r="F18" s="46"/>
      <c r="G18" s="47"/>
      <c r="H18" s="47"/>
      <c r="I18" s="49"/>
      <c r="J18" s="56"/>
      <c r="K18" s="7"/>
      <c r="L18" s="7"/>
      <c r="M18" s="8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</row>
    <row r="19" ht="18.75" customHeight="1">
      <c r="A19" s="45"/>
      <c r="B19" s="46"/>
      <c r="C19" s="47"/>
      <c r="D19" s="47"/>
      <c r="E19" s="54"/>
      <c r="F19" s="46"/>
      <c r="G19" s="47"/>
      <c r="H19" s="47"/>
      <c r="I19" s="49"/>
      <c r="J19" s="58" t="s">
        <v>33</v>
      </c>
      <c r="K19" s="59" t="s">
        <v>34</v>
      </c>
      <c r="L19" s="60" t="s">
        <v>35</v>
      </c>
      <c r="M19" s="61" t="s">
        <v>36</v>
      </c>
    </row>
    <row r="20" ht="18.75" customHeight="1">
      <c r="A20" s="45"/>
      <c r="B20" s="46"/>
      <c r="C20" s="47"/>
      <c r="D20" s="47"/>
      <c r="E20" s="54"/>
      <c r="F20" s="46"/>
      <c r="G20" s="47"/>
      <c r="H20" s="47"/>
      <c r="I20" s="49"/>
      <c r="J20" s="62"/>
      <c r="K20" s="63"/>
      <c r="L20" s="63"/>
      <c r="M20" s="64"/>
    </row>
    <row r="21" ht="18.75" customHeight="1">
      <c r="A21" s="45"/>
      <c r="B21" s="46"/>
      <c r="C21" s="47"/>
      <c r="D21" s="47"/>
      <c r="E21" s="54"/>
      <c r="F21" s="46"/>
      <c r="G21" s="47"/>
      <c r="H21" s="47"/>
      <c r="I21" s="49"/>
      <c r="J21" s="65">
        <v>0.0</v>
      </c>
      <c r="K21" s="66">
        <v>0.0</v>
      </c>
      <c r="L21" s="67">
        <v>1.0</v>
      </c>
      <c r="M21" s="68" t="s">
        <v>458</v>
      </c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</row>
    <row r="22" ht="18.75" customHeight="1">
      <c r="A22" s="45"/>
      <c r="B22" s="46"/>
      <c r="C22" s="47"/>
      <c r="D22" s="47"/>
      <c r="E22" s="54"/>
      <c r="F22" s="46"/>
      <c r="G22" s="47"/>
      <c r="H22" s="47"/>
      <c r="I22" s="49"/>
      <c r="J22" s="69" t="s">
        <v>37</v>
      </c>
      <c r="K22" s="70" t="s">
        <v>38</v>
      </c>
      <c r="L22" s="71" t="s">
        <v>39</v>
      </c>
      <c r="M22" s="72" t="s">
        <v>40</v>
      </c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</row>
    <row r="23" ht="18.75" customHeight="1">
      <c r="A23" s="45"/>
      <c r="B23" s="46"/>
      <c r="C23" s="47"/>
      <c r="D23" s="47"/>
      <c r="E23" s="54"/>
      <c r="F23" s="46"/>
      <c r="G23" s="47"/>
      <c r="H23" s="47"/>
      <c r="I23" s="49"/>
      <c r="J23" s="62"/>
      <c r="K23" s="63"/>
      <c r="L23" s="63"/>
      <c r="M23" s="64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</row>
    <row r="24" ht="18.75" customHeight="1">
      <c r="A24" s="45"/>
      <c r="B24" s="46"/>
      <c r="C24" s="47"/>
      <c r="D24" s="47"/>
      <c r="E24" s="54"/>
      <c r="F24" s="46"/>
      <c r="G24" s="47"/>
      <c r="H24" s="47"/>
      <c r="I24" s="49"/>
      <c r="J24" s="73">
        <v>2.0</v>
      </c>
      <c r="K24" s="67">
        <v>39.0</v>
      </c>
      <c r="L24" s="67">
        <v>6.0</v>
      </c>
      <c r="M24" s="74">
        <v>3.0</v>
      </c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</row>
    <row r="25" ht="18.75" customHeight="1">
      <c r="A25" s="45"/>
      <c r="B25" s="46"/>
      <c r="C25" s="47"/>
      <c r="D25" s="47"/>
      <c r="E25" s="54"/>
      <c r="F25" s="46"/>
      <c r="G25" s="47"/>
      <c r="H25" s="47"/>
      <c r="I25" s="49"/>
      <c r="J25" s="75" t="s">
        <v>41</v>
      </c>
      <c r="K25" s="76"/>
      <c r="L25" s="71" t="s">
        <v>42</v>
      </c>
      <c r="M25" s="72" t="s">
        <v>43</v>
      </c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</row>
    <row r="26" ht="18.75" customHeight="1">
      <c r="A26" s="45"/>
      <c r="B26" s="46"/>
      <c r="C26" s="47"/>
      <c r="D26" s="47"/>
      <c r="E26" s="54"/>
      <c r="F26" s="46"/>
      <c r="G26" s="47"/>
      <c r="H26" s="47"/>
      <c r="I26" s="49"/>
      <c r="J26" s="77"/>
      <c r="K26" s="78"/>
      <c r="L26" s="63"/>
      <c r="M26" s="64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</row>
    <row r="27" ht="18.75" customHeight="1">
      <c r="A27" s="45"/>
      <c r="B27" s="46"/>
      <c r="C27" s="47"/>
      <c r="D27" s="47"/>
      <c r="E27" s="54"/>
      <c r="F27" s="46"/>
      <c r="G27" s="47"/>
      <c r="H27" s="47"/>
      <c r="I27" s="49"/>
      <c r="J27" s="79">
        <v>1.0</v>
      </c>
      <c r="K27" s="80"/>
      <c r="L27" s="81">
        <v>0.16666666666666666</v>
      </c>
      <c r="M27" s="82">
        <v>0.0</v>
      </c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</row>
    <row r="28" ht="18.75" customHeight="1">
      <c r="A28" s="45"/>
      <c r="B28" s="46"/>
      <c r="C28" s="47"/>
      <c r="D28" s="47"/>
      <c r="E28" s="54"/>
      <c r="F28" s="46"/>
      <c r="G28" s="47"/>
      <c r="H28" s="47"/>
      <c r="I28" s="49"/>
      <c r="J28" s="83"/>
      <c r="K28" s="70" t="s">
        <v>139</v>
      </c>
      <c r="L28" s="70" t="s">
        <v>44</v>
      </c>
      <c r="M28" s="72" t="s">
        <v>45</v>
      </c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</row>
    <row r="29" ht="18.75" customHeight="1">
      <c r="A29" s="45"/>
      <c r="B29" s="46"/>
      <c r="C29" s="47"/>
      <c r="D29" s="47"/>
      <c r="E29" s="54"/>
      <c r="F29" s="46"/>
      <c r="G29" s="47"/>
      <c r="H29" s="47"/>
      <c r="I29" s="49"/>
      <c r="J29" s="84"/>
      <c r="K29" s="63"/>
      <c r="L29" s="63"/>
      <c r="M29" s="64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</row>
    <row r="30" ht="18.75" customHeight="1">
      <c r="A30" s="45"/>
      <c r="B30" s="85"/>
      <c r="C30" s="86"/>
      <c r="D30" s="86"/>
      <c r="E30" s="87"/>
      <c r="F30" s="85"/>
      <c r="G30" s="86"/>
      <c r="H30" s="86"/>
      <c r="I30" s="88"/>
      <c r="J30" s="12"/>
      <c r="K30" s="224">
        <v>0.0</v>
      </c>
      <c r="L30" s="89">
        <v>0.8333333333333334</v>
      </c>
      <c r="M30" s="90">
        <v>0.0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