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<sst xmlns="http://schemas.openxmlformats.org/spreadsheetml/2006/main" count="171" uniqueCount="142">
  <si>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</si>
  <si>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</si>
  <si>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</si>
  <si>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</si>
  <si>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</si>
  <si>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</si>
  <si>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</si>
  <si>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</si>
  <si>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</si>
  <si>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</si>
  <si>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</si>
  <si>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</si>
  <si>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</si>
  <si>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</si>
  <si>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</si>
  <si>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</si>
  <si>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</si>
  <si>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</si>
  <si>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</si>
  <si>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</si>
  <si>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</si>
  <si>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</si>
  <si>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</si>
  <si>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</t>
  </si>
  <si>
    <t>David Kropáč</t>
  </si>
  <si>
    <t>Oksana Dynysenko</t>
  </si>
  <si>
    <t>Filip Štěrba</t>
  </si>
  <si>
    <t>Yana Nynyk-x</t>
  </si>
  <si>
    <t>Vojtěch Fux</t>
  </si>
  <si>
    <t>Daniel Fux</t>
  </si>
  <si>
    <t>Radim Dvořák</t>
  </si>
  <si>
    <t>Vladimír Dudkin-x</t>
  </si>
  <si>
    <t>Jakub Kouřimský-x</t>
  </si>
  <si>
    <t>Filip Fux-x</t>
  </si>
  <si>
    <t>Martin Štěpánek-x</t>
  </si>
  <si>
    <t>Jakub Ljuta-x</t>
  </si>
  <si>
    <t>Nadiia Doroshenko-x</t>
  </si>
  <si>
    <t>Lucie Nováková</t>
  </si>
  <si>
    <t>Michal Nedbal</t>
  </si>
  <si>
    <t>Jan Fialka</t>
  </si>
  <si>
    <t>End</t>
  </si>
  <si>
    <t>Suma instor</t>
  </si>
  <si>
    <t>Kurýr</t>
  </si>
  <si>
    <t>Celkem hod.</t>
  </si>
  <si>
    <t>Daniel Dubecký</t>
  </si>
  <si>
    <t>Nikola Adamová-x</t>
  </si>
  <si>
    <t>Václav Černý-x</t>
  </si>
  <si>
    <t>Vojtěch Vrzoň</t>
  </si>
  <si>
    <t>Patrik Vild-x</t>
  </si>
  <si>
    <t>Jakub Staňo</t>
  </si>
  <si>
    <t>Peter Tomko-x</t>
  </si>
  <si>
    <t>Karolína Schejbalová-x</t>
  </si>
  <si>
    <t>Martin Sova</t>
  </si>
  <si>
    <t>Bogdan - Mihai Strajescu-x</t>
  </si>
  <si>
    <t>William Simba-x</t>
  </si>
  <si>
    <t>Jan Pelikán</t>
  </si>
  <si>
    <t>Martin Danč-x</t>
  </si>
  <si>
    <t>Pavel Hochman-x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</si>
  <si>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</si>
  <si>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</si>
  <si>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</si>
  <si>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</si>
  <si>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</si>
  <si>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</si>
  <si>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</si>
  <si>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Chysky-x</t>
  </si>
  <si>
    <t>Dominik Plodek-x</t>
  </si>
  <si>
    <t>Lukáš Viktora-x</t>
  </si>
  <si>
    <t>Jan Jakub Šmejkal</t>
  </si>
  <si>
    <t>Miroslav Majtán-x</t>
  </si>
  <si>
    <t>Blanka Kouřimská-x</t>
  </si>
  <si>
    <t>Jana Hofmanová</t>
  </si>
  <si>
    <t>Daniel Jaroš-x</t>
  </si>
  <si>
    <t>Vojtěch Sukdolák-x</t>
  </si>
  <si>
    <t>Vít Káš-x</t>
  </si>
  <si>
    <t>Tomáš Pavlišín-x</t>
  </si>
  <si>
    <t>Anthony Lightburn-x</t>
  </si>
  <si>
    <t>Adrián Zajac</t>
  </si>
  <si>
    <t>Jan Beneš-x</t>
  </si>
  <si>
    <t>Jan Ťoupal-x</t>
  </si>
  <si>
    <t>Simon Kurčík-x</t>
  </si>
  <si>
    <t>Jiří Frankl-x</t>
  </si>
  <si>
    <t>Matěj Štolba-x</t>
  </si>
  <si>
    <t>Michal Moročilo-x</t>
  </si>
  <si>
    <t>František Matoušek</t>
  </si>
  <si>
    <t>Adam Petr</t>
  </si>
  <si>
    <t>Ondřej Nestrojil</t>
  </si>
  <si>
    <t>Savelij Vasylčenko-x</t>
  </si>
  <si>
    <t>Michal Jiřík-x</t>
  </si>
  <si>
    <t>Kateřina Machková-x</t>
  </si>
  <si>
    <t>Marek Šimek-x</t>
  </si>
  <si>
    <t>Lukáš Volf-x</t>
  </si>
  <si>
    <t>Lucie Vorlíčková</t>
  </si>
  <si>
    <t>Damián Bradáč-x</t>
  </si>
  <si>
    <t>Tomáš Veselý-x</t>
  </si>
  <si>
    <t>Jakub Janout-x</t>
  </si>
  <si>
    <t>Ladislav Koška-x</t>
  </si>
  <si>
    <t>Jiří Pilnáček-x</t>
  </si>
  <si>
    <t>Michal Bandy-x</t>
  </si>
  <si>
    <t>Tereza Šterbová</t>
  </si>
  <si>
    <t>Michal Friml</t>
  </si>
  <si>
    <t>Miroslav Kuchař</t>
  </si>
  <si>
    <t>Aleksandra Fedoseova-x</t>
  </si>
  <si>
    <t>David Kropáč - řidič</t>
  </si>
  <si>
    <t>Petra Čápová-x</t>
  </si>
  <si>
    <t>Ondřej Navrátil</t>
  </si>
  <si>
    <t>Josef Petrásek-x</t>
  </si>
  <si>
    <t>Dominik Vlach</t>
  </si>
  <si>
    <t>Oleksandr Sobolyuk</t>
  </si>
  <si>
    <t>Radim Raulim-x</t>
  </si>
  <si>
    <t>Martin Kumšta-x</t>
  </si>
  <si>
    <t>Tomáš Lukas</t>
  </si>
  <si>
    <t>Dominika Klementová</t>
  </si>
  <si>
    <t>Václav Trojánek-x</t>
  </si>
  <si>
    <t>Jiří Valenta</t>
  </si>
  <si>
    <t>Daniel Kopsa-x</t>
  </si>
  <si>
    <t>Ladislav Hlavatý</t>
  </si>
  <si>
    <t>Matěj Nevyjel</t>
  </si>
  <si>
    <t>Lukáš Karhan</t>
  </si>
  <si>
    <t>Josef Heinisch</t>
  </si>
  <si>
    <t>Jakub Elčkner</t>
  </si>
  <si>
    <t>Roman Aksenyuk-x</t>
  </si>
  <si>
    <t>Aleš Valenta-x</t>
  </si>
  <si>
    <t>Kristýna Salvatore</t>
  </si>
  <si>
    <t>Adéla Janáčková</t>
  </si>
  <si>
    <t>Martin Sajdl</t>
  </si>
  <si>
    <t>Zdeněk Diviš</t>
  </si>
  <si>
    <t>Anna Demčáková</t>
  </si>
  <si>
    <t>Ondřej Hodik-x</t>
  </si>
  <si>
    <t>Martin Horký</t>
  </si>
  <si>
    <t>Martin Mann</t>
  </si>
  <si>
    <t>Jan Svítil</t>
  </si>
  <si>
    <t>Ondřej Huňák</t>
  </si>
  <si>
    <t>Martin Zámečník</t>
  </si>
  <si>
    <t>Pavel Winter-x</t>
  </si>
  <si>
    <t>Milan Fafel</t>
  </si>
  <si>
    <t>Celkem kurýr</t>
  </si>
  <si>
    <t>Celkem inst + kurýr</t>
  </si>
  <si>
    <t>,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</si>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</sst>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 &quot;h&quot;"/>
    <numFmt numFmtId="168" formatCode="#,##0[$ Kč]"/>
    <numFmt numFmtId="169" formatCode="m-yyyy"/>
  </numFmts>
  <fonts count="25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/>
    <font>
      <b/>
      <sz val="10.0"/>
      <color rgb="FFFF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D9D9D9"/>
      <name val="Arial"/>
      <scheme val="minor"/>
    </font>
    <font>
      <sz val="10.0"/>
      <color rgb="FF999999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Inconsolata"/>
    </font>
    <font>
      <u/>
      <sz val="11.0"/>
      <color rgb="FF000000"/>
      <name val="Inconsolata"/>
    </font>
    <font>
      <u/>
      <color rgb="FF0000FF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29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Font="1"/>
    <xf borderId="0" fillId="2" fontId="7" numFmtId="0" xfId="0" applyAlignment="1" applyFill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1" fillId="2" fontId="11" numFmtId="0" xfId="0" applyAlignment="1" applyBorder="1" applyFont="1">
      <alignment readingOrder="0" vertical="bottom"/>
    </xf>
    <xf borderId="2" fillId="3" fontId="11" numFmtId="0" xfId="0" applyAlignment="1" applyBorder="1" applyFill="1" applyFont="1">
      <alignment horizontal="right" readingOrder="0" vertical="bottom"/>
    </xf>
    <xf borderId="3" fillId="0" fontId="12" numFmtId="0" xfId="0" applyBorder="1" applyFont="1"/>
    <xf borderId="4" fillId="3" fontId="11" numFmtId="0" xfId="0" applyAlignment="1" applyBorder="1" applyFont="1">
      <alignment horizontal="right" readingOrder="0" vertical="bottom"/>
    </xf>
    <xf borderId="5" fillId="3" fontId="11" numFmtId="0" xfId="0" applyAlignment="1" applyBorder="1" applyFont="1">
      <alignment horizontal="right" readingOrder="0" shrinkToFit="0" vertical="bottom" wrapText="0"/>
    </xf>
    <xf borderId="2" fillId="4" fontId="11" numFmtId="0" xfId="0" applyAlignment="1" applyBorder="1" applyFill="1" applyFont="1">
      <alignment horizontal="right" readingOrder="0" vertical="bottom"/>
    </xf>
    <xf borderId="4" fillId="4" fontId="11" numFmtId="0" xfId="0" applyAlignment="1" applyBorder="1" applyFont="1">
      <alignment horizontal="right" readingOrder="0" vertical="bottom"/>
    </xf>
    <xf borderId="5" fillId="4" fontId="11" numFmtId="166" xfId="0" applyAlignment="1" applyBorder="1" applyFont="1" applyNumberFormat="1">
      <alignment horizontal="right" readingOrder="0" shrinkToFit="0" vertical="bottom" wrapText="0"/>
    </xf>
    <xf borderId="2" fillId="5" fontId="11" numFmtId="0" xfId="0" applyAlignment="1" applyBorder="1" applyFill="1" applyFont="1">
      <alignment horizontal="right" readingOrder="0" vertical="bottom"/>
    </xf>
    <xf borderId="4" fillId="5" fontId="11" numFmtId="0" xfId="0" applyAlignment="1" applyBorder="1" applyFont="1">
      <alignment horizontal="right" readingOrder="0" vertical="bottom"/>
    </xf>
    <xf borderId="5" fillId="5" fontId="11" numFmtId="166" xfId="0" applyAlignment="1" applyBorder="1" applyFont="1" applyNumberFormat="1">
      <alignment horizontal="right" readingOrder="0" shrinkToFit="0" vertical="bottom" wrapText="0"/>
    </xf>
    <xf borderId="0" fillId="2" fontId="11" numFmtId="0" xfId="0" applyAlignment="1" applyFont="1">
      <alignment horizontal="right" readingOrder="0" vertical="bottom"/>
    </xf>
    <xf borderId="0" fillId="2" fontId="13" numFmtId="0" xfId="0" applyAlignment="1" applyFont="1">
      <alignment horizontal="center" readingOrder="0" vertical="center"/>
    </xf>
    <xf borderId="6" fillId="2" fontId="11" numFmtId="0" xfId="0" applyAlignment="1" applyBorder="1" applyFont="1">
      <alignment horizontal="right" readingOrder="0" vertical="bottom"/>
    </xf>
    <xf borderId="4" fillId="2" fontId="11" numFmtId="0" xfId="0" applyAlignment="1" applyBorder="1" applyFont="1">
      <alignment horizontal="right" readingOrder="0" vertical="bottom"/>
    </xf>
    <xf borderId="4" fillId="2" fontId="11" numFmtId="166" xfId="0" applyAlignment="1" applyBorder="1" applyFont="1" applyNumberFormat="1">
      <alignment horizontal="right" readingOrder="0" vertical="bottom"/>
    </xf>
    <xf borderId="4" fillId="2" fontId="11" numFmtId="0" xfId="0" applyAlignment="1" applyBorder="1" applyFont="1">
      <alignment horizontal="right" vertical="bottom"/>
    </xf>
    <xf borderId="4" fillId="2" fontId="11" numFmtId="0" xfId="0" applyAlignment="1" applyBorder="1" applyFont="1">
      <alignment horizontal="right" readingOrder="0" shrinkToFit="0" vertical="bottom" wrapText="0"/>
    </xf>
    <xf borderId="4" fillId="2" fontId="11" numFmtId="0" xfId="0" applyAlignment="1" applyBorder="1" applyFont="1">
      <alignment horizontal="left"/>
    </xf>
    <xf borderId="5" fillId="2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4" numFmtId="0" xfId="0" applyAlignment="1" applyFont="1">
      <alignment vertical="bottom"/>
    </xf>
    <xf borderId="7" fillId="2" fontId="0" numFmtId="0" xfId="0" applyAlignment="1" applyBorder="1" applyFont="1">
      <alignment readingOrder="0" vertical="bottom"/>
    </xf>
    <xf borderId="8" fillId="3" fontId="11" numFmtId="0" xfId="0" applyAlignment="1" applyBorder="1" applyFont="1">
      <alignment horizontal="center" readingOrder="0" textRotation="90" vertical="center"/>
    </xf>
    <xf borderId="9" fillId="6" fontId="15" numFmtId="167" xfId="0" applyBorder="1" applyFill="1" applyFont="1" applyNumberFormat="1"/>
    <xf borderId="9" fillId="2" fontId="15" numFmtId="0" xfId="0" applyBorder="1" applyFont="1"/>
    <xf borderId="10" fillId="2" fontId="15" numFmtId="0" xfId="0" applyAlignment="1" applyBorder="1" applyFont="1">
      <alignment horizontal="right" readingOrder="0" textRotation="0" vertical="center"/>
    </xf>
    <xf borderId="8" fillId="4" fontId="11" numFmtId="0" xfId="0" applyAlignment="1" applyBorder="1" applyFont="1">
      <alignment horizontal="center" readingOrder="0" textRotation="90" vertical="center"/>
    </xf>
    <xf borderId="0" fillId="6" fontId="0" numFmtId="167" xfId="0" applyFont="1" applyNumberFormat="1"/>
    <xf borderId="10" fillId="2" fontId="15" numFmtId="166" xfId="0" applyAlignment="1" applyBorder="1" applyFont="1" applyNumberFormat="1">
      <alignment horizontal="right" readingOrder="0" vertical="bottom"/>
    </xf>
    <xf borderId="8" fillId="5" fontId="11" numFmtId="0" xfId="0" applyAlignment="1" applyBorder="1" applyFont="1">
      <alignment horizontal="center" readingOrder="0" textRotation="90" vertical="center"/>
    </xf>
    <xf borderId="0" fillId="7" fontId="16" numFmtId="0" xfId="0" applyAlignment="1" applyFill="1" applyFont="1">
      <alignment horizontal="right" readingOrder="0" vertical="bottom"/>
    </xf>
    <xf borderId="0" fillId="2" fontId="16" numFmtId="0" xfId="0" applyAlignment="1" applyFont="1">
      <alignment horizontal="center" readingOrder="0" vertical="center"/>
    </xf>
    <xf borderId="0" fillId="2" fontId="17" numFmtId="0" xfId="0" applyAlignment="1" applyFont="1">
      <alignment readingOrder="0"/>
    </xf>
    <xf borderId="11" fillId="2" fontId="15" numFmtId="167" xfId="0" applyBorder="1" applyFont="1" applyNumberFormat="1"/>
    <xf borderId="9" fillId="2" fontId="15" numFmtId="166" xfId="0" applyAlignment="1" applyBorder="1" applyFont="1" applyNumberFormat="1">
      <alignment readingOrder="0"/>
    </xf>
    <xf borderId="9" fillId="8" fontId="15" numFmtId="166" xfId="0" applyAlignment="1" applyBorder="1" applyFill="1" applyFont="1" applyNumberFormat="1">
      <alignment readingOrder="0"/>
    </xf>
    <xf borderId="9" fillId="8" fontId="15" numFmtId="0" xfId="0" applyAlignment="1" applyBorder="1" applyFont="1">
      <alignment readingOrder="0"/>
    </xf>
    <xf borderId="9" fillId="2" fontId="15" numFmtId="166" xfId="0" applyBorder="1" applyFont="1" applyNumberFormat="1"/>
    <xf borderId="9" fillId="2" fontId="15" numFmtId="0" xfId="0" applyAlignment="1" applyBorder="1" applyFont="1">
      <alignment horizontal="left"/>
    </xf>
    <xf borderId="10" fillId="2" fontId="15" numFmtId="166" xfId="0" applyAlignment="1" applyBorder="1" applyFont="1" applyNumberFormat="1">
      <alignment readingOrder="0"/>
    </xf>
    <xf borderId="0" fillId="0" fontId="15" numFmtId="0" xfId="0" applyAlignment="1" applyFont="1">
      <alignment horizontal="right" vertical="bottom"/>
    </xf>
    <xf borderId="0" fillId="0" fontId="11" numFmtId="166" xfId="0" applyFont="1" applyNumberFormat="1"/>
    <xf borderId="0" fillId="2" fontId="0" numFmtId="166" xfId="0" applyFont="1" applyNumberFormat="1"/>
    <xf borderId="0" fillId="0" fontId="15" numFmtId="166" xfId="0" applyFont="1" applyNumberFormat="1"/>
    <xf borderId="12" fillId="0" fontId="12" numFmtId="0" xfId="0" applyBorder="1" applyFont="1"/>
    <xf borderId="9" fillId="0" fontId="15" numFmtId="167" xfId="0" applyBorder="1" applyFont="1" applyNumberFormat="1"/>
    <xf borderId="9" fillId="2" fontId="15" numFmtId="168" xfId="0" applyBorder="1" applyFont="1" applyNumberFormat="1"/>
    <xf borderId="10" fillId="2" fontId="15" numFmtId="166" xfId="0" applyAlignment="1" applyBorder="1" applyFont="1" applyNumberFormat="1">
      <alignment horizontal="right" readingOrder="0" textRotation="0" vertical="center"/>
    </xf>
    <xf borderId="9" fillId="2" fontId="15" numFmtId="167" xfId="0" applyBorder="1" applyFont="1" applyNumberFormat="1"/>
    <xf borderId="10" fillId="2" fontId="15" numFmtId="166" xfId="0" applyBorder="1" applyFont="1" applyNumberFormat="1"/>
    <xf borderId="7" fillId="2" fontId="0" numFmtId="0" xfId="0" applyAlignment="1" applyBorder="1" applyFont="1">
      <alignment vertical="bottom"/>
    </xf>
    <xf borderId="7" fillId="2" fontId="0" numFmtId="0" xfId="0" applyAlignment="1" applyBorder="1" applyFont="1">
      <alignment readingOrder="0"/>
    </xf>
    <xf borderId="7" fillId="2" fontId="18" numFmtId="0" xfId="0" applyAlignment="1" applyBorder="1" applyFont="1">
      <alignment readingOrder="0"/>
    </xf>
    <xf borderId="0" fillId="2" fontId="15" numFmtId="0" xfId="0" applyFont="1"/>
    <xf borderId="13" fillId="0" fontId="15" numFmtId="167" xfId="0" applyBorder="1" applyFont="1" applyNumberFormat="1"/>
    <xf borderId="13" fillId="2" fontId="15" numFmtId="168" xfId="0" applyBorder="1" applyFont="1" applyNumberFormat="1"/>
    <xf borderId="13" fillId="2" fontId="15" numFmtId="167" xfId="0" applyBorder="1" applyFont="1" applyNumberFormat="1"/>
    <xf borderId="7" fillId="2" fontId="18" numFmtId="0" xfId="0" applyAlignment="1" applyBorder="1" applyFont="1">
      <alignment horizontal="left" readingOrder="0"/>
    </xf>
    <xf borderId="7" fillId="2" fontId="0" numFmtId="0" xfId="0" applyAlignment="1" applyBorder="1" applyFont="1">
      <alignment horizontal="left" readingOrder="0"/>
    </xf>
    <xf borderId="7" fillId="8" fontId="0" numFmtId="0" xfId="0" applyAlignment="1" applyBorder="1" applyFont="1">
      <alignment horizontal="left" readingOrder="0"/>
    </xf>
    <xf borderId="14" fillId="2" fontId="15" numFmtId="168" xfId="0" applyBorder="1" applyFont="1" applyNumberFormat="1"/>
    <xf borderId="15" fillId="8" fontId="0" numFmtId="0" xfId="0" applyAlignment="1" applyBorder="1" applyFont="1">
      <alignment horizontal="left" readingOrder="0"/>
    </xf>
    <xf borderId="16" fillId="0" fontId="12" numFmtId="0" xfId="0" applyBorder="1" applyFont="1"/>
    <xf borderId="17" fillId="0" fontId="15" numFmtId="167" xfId="0" applyBorder="1" applyFont="1" applyNumberFormat="1"/>
    <xf borderId="17" fillId="2" fontId="15" numFmtId="168" xfId="0" applyBorder="1" applyFont="1" applyNumberFormat="1"/>
    <xf borderId="18" fillId="2" fontId="15" numFmtId="0" xfId="0" applyAlignment="1" applyBorder="1" applyFont="1">
      <alignment horizontal="right" readingOrder="0" textRotation="0" vertical="center"/>
    </xf>
    <xf borderId="18" fillId="2" fontId="15" numFmtId="166" xfId="0" applyAlignment="1" applyBorder="1" applyFont="1" applyNumberFormat="1">
      <alignment horizontal="right" readingOrder="0" textRotation="0" vertical="center"/>
    </xf>
    <xf borderId="17" fillId="0" fontId="0" numFmtId="167" xfId="0" applyBorder="1" applyFont="1" applyNumberFormat="1"/>
    <xf borderId="17" fillId="2" fontId="0" numFmtId="168" xfId="0" applyBorder="1" applyFont="1" applyNumberFormat="1"/>
    <xf borderId="18" fillId="2" fontId="0" numFmtId="166" xfId="0" applyAlignment="1" applyBorder="1" applyFont="1" applyNumberFormat="1">
      <alignment horizontal="right" readingOrder="0" textRotation="0" vertical="center"/>
    </xf>
    <xf borderId="19" fillId="0" fontId="11" numFmtId="167" xfId="0" applyBorder="1" applyFont="1" applyNumberFormat="1"/>
    <xf borderId="17" fillId="2" fontId="15" numFmtId="166" xfId="0" applyBorder="1" applyFont="1" applyNumberFormat="1"/>
    <xf borderId="17" fillId="8" fontId="15" numFmtId="166" xfId="0" applyAlignment="1" applyBorder="1" applyFont="1" applyNumberFormat="1">
      <alignment readingOrder="0"/>
    </xf>
    <xf borderId="17" fillId="8" fontId="15" numFmtId="0" xfId="0" applyAlignment="1" applyBorder="1" applyFont="1">
      <alignment readingOrder="0"/>
    </xf>
    <xf borderId="17" fillId="2" fontId="15" numFmtId="0" xfId="0" applyAlignment="1" applyBorder="1" applyFont="1">
      <alignment horizontal="left"/>
    </xf>
    <xf borderId="18" fillId="2" fontId="15" numFmtId="166" xfId="0" applyBorder="1" applyFont="1" applyNumberFormat="1"/>
    <xf borderId="0" fillId="0" fontId="15" numFmtId="0" xfId="0" applyFont="1"/>
    <xf borderId="0" fillId="2" fontId="11" numFmtId="0" xfId="0" applyAlignment="1" applyFont="1">
      <alignment horizontal="center" readingOrder="0" textRotation="90" vertical="center"/>
    </xf>
    <xf borderId="0" fillId="2" fontId="15" numFmtId="0" xfId="0" applyAlignment="1" applyFont="1">
      <alignment horizontal="right" readingOrder="0" textRotation="0" vertical="center"/>
    </xf>
    <xf borderId="0" fillId="2" fontId="15" numFmtId="166" xfId="0" applyAlignment="1" applyFont="1" applyNumberFormat="1">
      <alignment horizontal="right" readingOrder="0" vertical="bottom"/>
    </xf>
    <xf borderId="0" fillId="2" fontId="15" numFmtId="166" xfId="0" applyFont="1" applyNumberFormat="1"/>
    <xf borderId="0" fillId="2" fontId="15" numFmtId="0" xfId="0" applyAlignment="1" applyFont="1">
      <alignment horizontal="left"/>
    </xf>
    <xf borderId="0" fillId="0" fontId="19" numFmtId="0" xfId="0" applyAlignment="1" applyFont="1">
      <alignment horizontal="right" vertical="bottom"/>
    </xf>
    <xf borderId="0" fillId="0" fontId="11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20" fillId="5" fontId="11" numFmtId="0" xfId="0" applyAlignment="1" applyBorder="1" applyFont="1">
      <alignment horizontal="right" readingOrder="0" vertical="bottom"/>
    </xf>
    <xf borderId="21" fillId="0" fontId="12" numFmtId="0" xfId="0" applyBorder="1" applyFont="1"/>
    <xf borderId="0" fillId="2" fontId="11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7" fillId="2" fontId="0" numFmtId="0" xfId="0" applyAlignment="1" applyBorder="1" applyFont="1">
      <alignment readingOrder="0" vertical="center"/>
    </xf>
    <xf borderId="22" fillId="3" fontId="11" numFmtId="0" xfId="0" applyAlignment="1" applyBorder="1" applyFont="1">
      <alignment horizontal="center" readingOrder="0" textRotation="90" vertical="center"/>
    </xf>
    <xf borderId="9" fillId="2" fontId="0" numFmtId="167" xfId="0" applyAlignment="1" applyBorder="1" applyFont="1" applyNumberFormat="1">
      <alignment vertical="center"/>
    </xf>
    <xf borderId="9" fillId="2" fontId="0" numFmtId="168" xfId="0" applyAlignment="1" applyBorder="1" applyFont="1" applyNumberFormat="1">
      <alignment vertical="center"/>
    </xf>
    <xf borderId="12" fillId="4" fontId="11" numFmtId="0" xfId="0" applyAlignment="1" applyBorder="1" applyFont="1">
      <alignment horizontal="center" readingOrder="0" textRotation="90" vertical="center"/>
    </xf>
    <xf borderId="9" fillId="2" fontId="15" numFmtId="167" xfId="0" applyAlignment="1" applyBorder="1" applyFont="1" applyNumberFormat="1">
      <alignment vertical="center"/>
    </xf>
    <xf borderId="9" fillId="2" fontId="15" numFmtId="168" xfId="0" applyAlignment="1" applyBorder="1" applyFont="1" applyNumberFormat="1">
      <alignment vertical="center"/>
    </xf>
    <xf borderId="10" fillId="2" fontId="15" numFmtId="166" xfId="0" applyAlignment="1" applyBorder="1" applyFont="1" applyNumberFormat="1">
      <alignment horizontal="right" readingOrder="0" vertical="center"/>
    </xf>
    <xf borderId="23" fillId="5" fontId="11" numFmtId="0" xfId="0" applyAlignment="1" applyBorder="1" applyFont="1">
      <alignment horizontal="center" readingOrder="0" textRotation="90" vertical="center"/>
    </xf>
    <xf borderId="24" fillId="2" fontId="15" numFmtId="167" xfId="0" applyAlignment="1" applyBorder="1" applyFont="1" applyNumberFormat="1">
      <alignment vertical="center"/>
    </xf>
    <xf borderId="0" fillId="2" fontId="11" numFmtId="0" xfId="0" applyAlignment="1" applyFont="1">
      <alignment horizontal="right" readingOrder="0" vertical="center"/>
    </xf>
    <xf borderId="0" fillId="2" fontId="15" numFmtId="0" xfId="0" applyAlignment="1" applyFont="1">
      <alignment vertical="center"/>
    </xf>
    <xf borderId="0" fillId="2" fontId="15" numFmtId="0" xfId="0" applyAlignment="1" applyFont="1">
      <alignment readingOrder="0" vertical="center"/>
    </xf>
    <xf borderId="11" fillId="2" fontId="15" numFmtId="167" xfId="0" applyAlignment="1" applyBorder="1" applyFont="1" applyNumberFormat="1">
      <alignment vertical="center"/>
    </xf>
    <xf borderId="9" fillId="8" fontId="15" numFmtId="166" xfId="0" applyAlignment="1" applyBorder="1" applyFont="1" applyNumberFormat="1">
      <alignment readingOrder="0" vertical="center"/>
    </xf>
    <xf borderId="9" fillId="8" fontId="15" numFmtId="0" xfId="0" applyAlignment="1" applyBorder="1" applyFont="1">
      <alignment readingOrder="0" vertical="center"/>
    </xf>
    <xf borderId="9" fillId="2" fontId="15" numFmtId="0" xfId="0" applyAlignment="1" applyBorder="1" applyFont="1">
      <alignment horizontal="left" vertical="center"/>
    </xf>
    <xf borderId="10" fillId="2" fontId="15" numFmtId="166" xfId="0" applyAlignment="1" applyBorder="1" applyFont="1" applyNumberFormat="1">
      <alignment vertical="center"/>
    </xf>
    <xf borderId="7" fillId="2" fontId="0" numFmtId="0" xfId="0" applyAlignment="1" applyBorder="1" applyFont="1">
      <alignment horizontal="left" readingOrder="0" vertical="center"/>
    </xf>
    <xf borderId="22" fillId="0" fontId="12" numFmtId="0" xfId="0" applyBorder="1" applyFont="1"/>
    <xf borderId="9" fillId="0" fontId="15" numFmtId="167" xfId="0" applyAlignment="1" applyBorder="1" applyFont="1" applyNumberFormat="1">
      <alignment vertical="center"/>
    </xf>
    <xf borderId="25" fillId="2" fontId="15" numFmtId="168" xfId="0" applyAlignment="1" applyBorder="1" applyFont="1" applyNumberFormat="1">
      <alignment vertical="center"/>
    </xf>
    <xf borderId="26" fillId="0" fontId="12" numFmtId="0" xfId="0" applyBorder="1" applyFont="1"/>
    <xf borderId="7" fillId="2" fontId="18" numFmtId="0" xfId="0" applyAlignment="1" applyBorder="1" applyFont="1">
      <alignment readingOrder="0" vertical="center"/>
    </xf>
    <xf borderId="7" fillId="2" fontId="0" numFmtId="0" xfId="0" applyAlignment="1" applyBorder="1" applyFont="1">
      <alignment vertical="center"/>
    </xf>
    <xf borderId="7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vertical="center"/>
    </xf>
    <xf borderId="7" fillId="2" fontId="15" numFmtId="0" xfId="0" applyAlignment="1" applyBorder="1" applyFont="1">
      <alignment readingOrder="0" vertical="center"/>
    </xf>
    <xf borderId="25" fillId="2" fontId="18" numFmtId="168" xfId="0" applyAlignment="1" applyBorder="1" applyFont="1" applyNumberFormat="1">
      <alignment vertical="center"/>
    </xf>
    <xf borderId="25" fillId="2" fontId="15" numFmtId="168" xfId="0" applyAlignment="1" applyBorder="1" applyFont="1" applyNumberFormat="1">
      <alignment readingOrder="0" vertical="center"/>
    </xf>
    <xf borderId="0" fillId="0" fontId="11" numFmtId="168" xfId="0" applyFont="1" applyNumberFormat="1"/>
    <xf borderId="7" fillId="8" fontId="0" numFmtId="0" xfId="0" applyAlignment="1" applyBorder="1" applyFont="1">
      <alignment readingOrder="0" vertical="center"/>
    </xf>
    <xf borderId="9" fillId="8" fontId="15" numFmtId="166" xfId="0" applyAlignment="1" applyBorder="1" applyFont="1" applyNumberFormat="1">
      <alignment vertical="center"/>
    </xf>
    <xf borderId="9" fillId="8" fontId="15" numFmtId="0" xfId="0" applyAlignment="1" applyBorder="1" applyFont="1">
      <alignment vertical="center"/>
    </xf>
    <xf borderId="9" fillId="0" fontId="15" numFmtId="0" xfId="0" applyAlignment="1" applyBorder="1" applyFont="1">
      <alignment vertical="center"/>
    </xf>
    <xf borderId="25" fillId="0" fontId="15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11" fillId="2" fontId="15" numFmtId="0" xfId="0" applyAlignment="1" applyBorder="1" applyFont="1">
      <alignment vertical="center"/>
    </xf>
    <xf borderId="9" fillId="2" fontId="15" numFmtId="166" xfId="0" applyAlignment="1" applyBorder="1" applyFont="1" applyNumberFormat="1">
      <alignment vertical="center"/>
    </xf>
    <xf borderId="9" fillId="2" fontId="15" numFmtId="0" xfId="0" applyAlignment="1" applyBorder="1" applyFont="1">
      <alignment readingOrder="0" vertical="center"/>
    </xf>
    <xf borderId="0" fillId="0" fontId="6" numFmtId="0" xfId="0" applyAlignment="1" applyFont="1">
      <alignment horizontal="left"/>
    </xf>
    <xf borderId="15" fillId="2" fontId="16" numFmtId="0" xfId="0" applyAlignment="1" applyBorder="1" applyFont="1">
      <alignment readingOrder="0" vertical="center"/>
    </xf>
    <xf borderId="27" fillId="0" fontId="12" numFmtId="0" xfId="0" applyBorder="1" applyFont="1"/>
    <xf borderId="19" fillId="2" fontId="11" numFmtId="167" xfId="0" applyAlignment="1" applyBorder="1" applyFont="1" applyNumberFormat="1">
      <alignment vertical="center"/>
    </xf>
    <xf borderId="17" fillId="2" fontId="11" numFmtId="166" xfId="0" applyAlignment="1" applyBorder="1" applyFont="1" applyNumberFormat="1">
      <alignment vertical="center"/>
    </xf>
    <xf borderId="28" fillId="0" fontId="12" numFmtId="0" xfId="0" applyBorder="1" applyFont="1"/>
    <xf borderId="0" fillId="2" fontId="11" numFmtId="0" xfId="0" applyAlignment="1" applyFont="1">
      <alignment vertical="center"/>
    </xf>
    <xf borderId="17" fillId="2" fontId="11" numFmtId="0" xfId="0" applyAlignment="1" applyBorder="1" applyFont="1">
      <alignment vertical="center"/>
    </xf>
    <xf borderId="17" fillId="2" fontId="11" numFmtId="0" xfId="0" applyAlignment="1" applyBorder="1" applyFont="1">
      <alignment horizontal="left" vertical="center"/>
    </xf>
    <xf borderId="18" fillId="2" fontId="11" numFmtId="166" xfId="0" applyAlignment="1" applyBorder="1" applyFont="1" applyNumberFormat="1">
      <alignment vertical="center"/>
    </xf>
    <xf borderId="0" fillId="0" fontId="15" numFmtId="0" xfId="0" applyAlignment="1" applyFont="1">
      <alignment readingOrder="0"/>
    </xf>
    <xf borderId="0" fillId="0" fontId="15" numFmtId="167" xfId="0" applyFont="1" applyNumberFormat="1"/>
    <xf borderId="0" fillId="0" fontId="6" numFmtId="166" xfId="0" applyFont="1" applyNumberFormat="1"/>
    <xf borderId="0" fillId="2" fontId="20" numFmtId="0" xfId="0" applyAlignment="1" applyFont="1">
      <alignment vertical="bottom"/>
    </xf>
    <xf borderId="0" fillId="2" fontId="20" numFmtId="0" xfId="0" applyAlignment="1" applyFont="1">
      <alignment readingOrder="0" vertical="bottom"/>
    </xf>
    <xf borderId="0" fillId="0" fontId="10" numFmtId="166" xfId="0" applyFont="1" applyNumberFormat="1"/>
    <xf borderId="0" fillId="0" fontId="10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21" numFmtId="0" xfId="0" applyFont="1"/>
    <xf borderId="0" fillId="2" fontId="22" numFmtId="0" xfId="0" applyFont="1"/>
    <xf borderId="0" fillId="0" fontId="23" numFmtId="0" xfId="0" applyAlignment="1" applyFont="1">
      <alignment vertical="bottom"/>
    </xf>
    <xf borderId="0" fillId="6" fontId="21" numFmtId="169" xfId="0" applyAlignment="1" applyFont="1" applyNumberFormat="1">
      <alignment horizontal="right" vertical="bottom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color rgb="FFB7B7B7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A1C7ak5N3IfdH-gvOToPTjrHDYjQVuOSKk3nI04CPnk" TargetMode="External"/><Relationship Id="rId4" Type="http://schemas.openxmlformats.org/officeDocument/2006/relationships/hyperlink" Target="https://docs.google.com/spreadsheets/d/1Njl3bOuzY8rELz-b1KjBVVn-Ynm64wsyjSUp5jqOCUo" TargetMode="External"/><Relationship Id="rId5" Type="http://schemas.openxmlformats.org/officeDocument/2006/relationships/hyperlink" Target="https://docs.google.com/spreadsheets/d/1PDtx4xbbW1zGE-d0eoFuZZkJoXl4i-ZtvXSnllGXFAA" TargetMode="External"/><Relationship Id="rId6" Type="http://schemas.openxmlformats.org/officeDocument/2006/relationships/hyperlink" Target="https://docs.google.com/spreadsheets/d/10dpj9dyO-Yx_vBL6KLud8cLKV95o6fHdHCLuzDT304s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6" width="2.75"/>
    <col customWidth="1" min="37" max="37" width="18.25"/>
    <col customWidth="1" min="38" max="40" width="12.63"/>
    <col customWidth="1" min="41" max="41" width="13.0"/>
    <col customWidth="1" min="42" max="42" width="3.63"/>
    <col customWidth="1" min="43" max="44" width="9.5"/>
    <col customWidth="1" min="45" max="45" width="13.0"/>
    <col customWidth="1" min="46" max="46" width="3.63"/>
    <col customWidth="1" min="47" max="48" width="9.5"/>
    <col customWidth="1" min="49" max="49" width="13.0"/>
    <col customWidth="1" min="53" max="54" width="8.25"/>
    <col customWidth="1" min="55" max="55" width="13.0"/>
    <col customWidth="1" min="56" max="56" width="16.88"/>
  </cols>
  <sheetData>
    <row r="1" ht="22.5" customHeight="1">
      <c r="A1" s="1" t="s">
        <v>0</v>
      </c>
      <c r="E1" s="2">
        <f>H1</f>
        <v>44105</v>
      </c>
      <c r="H1" s="3">
        <v>44105.0</v>
      </c>
      <c r="J1" s="4" t="s">
        <v>1</v>
      </c>
      <c r="K1" s="5">
        <f>H1+M1-1</f>
        <v>44135</v>
      </c>
      <c r="M1" s="6">
        <v>31.0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9"/>
    </row>
    <row r="2" ht="11.25" customHeight="1">
      <c r="A2" s="10"/>
      <c r="B2" s="11"/>
      <c r="C2" s="11"/>
      <c r="D2" s="12"/>
      <c r="E2" s="11"/>
      <c r="F2" s="11"/>
      <c r="G2" s="11"/>
      <c r="H2" s="13"/>
      <c r="I2" s="14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4"/>
      <c r="AF2" s="16"/>
      <c r="AG2" s="16"/>
      <c r="AH2" s="17"/>
      <c r="AI2" s="18"/>
      <c r="AJ2" s="8"/>
      <c r="AK2" s="9"/>
      <c r="AL2" s="19"/>
      <c r="AM2" s="19"/>
      <c r="AN2" s="19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44" si="1">A3</f>
        <v>Instore</v>
      </c>
      <c r="AI3" s="39" t="s">
        <v>16</v>
      </c>
      <c r="AJ3" s="40"/>
      <c r="AK3" s="41" t="s">
        <v>17</v>
      </c>
      <c r="AL3" s="42" t="s">
        <v>18</v>
      </c>
      <c r="AM3" s="42" t="s">
        <v>19</v>
      </c>
      <c r="AN3" s="42" t="s">
        <v>20</v>
      </c>
      <c r="BH3" s="43"/>
    </row>
    <row r="4" ht="15.75" customHeight="1">
      <c r="A4" s="44" t="s">
        <v>21</v>
      </c>
      <c r="B4" s="45" t="s">
        <v>18</v>
      </c>
      <c r="C4" s="46">
        <f>IFERROR(__xludf.DUMMYFUNCTION("IMPORTRANGE(Linkovani!C10, ""rez!D4:E43"")"),235.0)</f>
        <v>235</v>
      </c>
      <c r="D4" s="47"/>
      <c r="E4" s="48" t="str">
        <f>O4</f>
        <v/>
      </c>
      <c r="F4" s="49" t="s">
        <v>19</v>
      </c>
      <c r="G4" s="50">
        <f>IFERROR(__xludf.DUMMYFUNCTION("IMPORTRANGE(Linkovani!C11, ""rez!D4:E43"")"),0.0)</f>
        <v>0</v>
      </c>
      <c r="H4" s="47"/>
      <c r="I4" s="51"/>
      <c r="J4" s="52" t="s">
        <v>20</v>
      </c>
      <c r="K4" s="50">
        <f>IFERROR(__xludf.DUMMYFUNCTION("IMPORTRANGE(Linkovani!C12, ""rez!D4:E43"")"),7.0)</f>
        <v>7</v>
      </c>
      <c r="L4" s="47"/>
      <c r="M4" s="51"/>
      <c r="N4" s="53">
        <v>40000.0</v>
      </c>
      <c r="O4" s="54" t="str">
        <f>IFERROR(__xludf.DUMMYFUNCTION("IMPORTRANGE(Linkovani!C10, ""Přehled mzdy!BN4"")"),"")</f>
        <v/>
      </c>
      <c r="AB4" s="55">
        <v>1.0</v>
      </c>
      <c r="AC4" s="56">
        <f t="shared" ref="AC4:AC43" si="2">C4+G4+K4</f>
        <v>242</v>
      </c>
      <c r="AD4" s="57"/>
      <c r="AE4" s="58">
        <f>N4/M1</f>
        <v>1290.322581</v>
      </c>
      <c r="AF4" s="59">
        <v>1.85</v>
      </c>
      <c r="AG4" s="60">
        <f t="shared" ref="AG4:AG5" si="3">AI4*1.85</f>
        <v>74000</v>
      </c>
      <c r="AH4" s="61" t="str">
        <f t="shared" si="1"/>
        <v>Stanislav Roth</v>
      </c>
      <c r="AI4" s="62">
        <f>N4</f>
        <v>40000</v>
      </c>
      <c r="AJ4" s="63"/>
      <c r="AK4" s="64">
        <f t="shared" ref="AK4:AK43" si="4">SUM(AL4:AN4)</f>
        <v>4400</v>
      </c>
      <c r="AL4" s="65">
        <f>IFERROR(__xludf.DUMMYFUNCTION("IMPORTRANGE(Linkovani!C10, ""rez!F4:F43"")"),4400.0)</f>
        <v>4400</v>
      </c>
      <c r="AM4" s="66">
        <f>IFERROR(__xludf.DUMMYFUNCTION("IMPORTRANGE(Linkovani!C11, ""rez!F4:F43"")"),0.0)</f>
        <v>0</v>
      </c>
      <c r="AN4" s="66">
        <f>IFERROR(__xludf.DUMMYFUNCTION("IMPORTRANGE(Linkovani!C12, ""rez!F4:F43"")"),0.0)</f>
        <v>0</v>
      </c>
      <c r="BH4" s="43"/>
    </row>
    <row r="5" ht="15.75" customHeight="1">
      <c r="A5" s="44" t="s">
        <v>22</v>
      </c>
      <c r="B5" s="67"/>
      <c r="C5" s="68">
        <f>IFERROR(__xludf.DUMMYFUNCTION("""COMPUTED_VALUE"""),0.0)</f>
        <v>0</v>
      </c>
      <c r="D5" s="69">
        <f>IFERROR(__xludf.DUMMYFUNCTION("""COMPUTED_VALUE"""),0.0)</f>
        <v>0</v>
      </c>
      <c r="E5" s="70">
        <f t="shared" ref="E5:E43" si="5">IF(AF5=1.15,C5*AE5/85*100,C5*AE5*AF5)</f>
        <v>0</v>
      </c>
      <c r="F5" s="67"/>
      <c r="G5" s="71">
        <f>IFERROR(__xludf.DUMMYFUNCTION("""COMPUTED_VALUE"""),189.0)</f>
        <v>189</v>
      </c>
      <c r="H5" s="69">
        <f>IFERROR(__xludf.DUMMYFUNCTION("""COMPUTED_VALUE"""),243870.96774193548)</f>
        <v>243870.9677</v>
      </c>
      <c r="I5" s="51">
        <f t="shared" ref="I5:I43" si="6">IF(AF5=1.15,G5*AE5/85*100,G5*AE5*AF5)</f>
        <v>451161.2903</v>
      </c>
      <c r="J5" s="67"/>
      <c r="K5" s="71">
        <f>IFERROR(__xludf.DUMMYFUNCTION("""COMPUTED_VALUE"""),0.0)</f>
        <v>0</v>
      </c>
      <c r="L5" s="69">
        <f>IFERROR(__xludf.DUMMYFUNCTION("""COMPUTED_VALUE"""),0.0)</f>
        <v>0</v>
      </c>
      <c r="M5" s="51">
        <f t="shared" ref="M5:M43" si="7">IF(AF5=1.15,K5*AE5/85*100,K5*AE5*AF5)</f>
        <v>0</v>
      </c>
      <c r="N5" s="31"/>
      <c r="O5" s="32"/>
      <c r="AB5" s="55">
        <f t="shared" ref="AB5:AB43" si="8">AB4+1</f>
        <v>2</v>
      </c>
      <c r="AC5" s="56">
        <f t="shared" si="2"/>
        <v>189</v>
      </c>
      <c r="AD5" s="57"/>
      <c r="AE5" s="58">
        <f>N4/M1</f>
        <v>1290.322581</v>
      </c>
      <c r="AF5" s="59">
        <v>1.85</v>
      </c>
      <c r="AG5" s="60">
        <f t="shared" si="3"/>
        <v>74000</v>
      </c>
      <c r="AH5" s="61" t="str">
        <f t="shared" si="1"/>
        <v>Anastasia Rothová</v>
      </c>
      <c r="AI5" s="72">
        <f>N4</f>
        <v>40000</v>
      </c>
      <c r="AJ5" s="63"/>
      <c r="AK5" s="64">
        <f t="shared" si="4"/>
        <v>3500</v>
      </c>
      <c r="AL5" s="66">
        <f>IFERROR(__xludf.DUMMYFUNCTION("""COMPUTED_VALUE"""),0.0)</f>
        <v>0</v>
      </c>
      <c r="AM5" s="66">
        <f>IFERROR(__xludf.DUMMYFUNCTION("""COMPUTED_VALUE"""),3500.0)</f>
        <v>3500</v>
      </c>
      <c r="AN5" s="66">
        <f>IFERROR(__xludf.DUMMYFUNCTION("""COMPUTED_VALUE"""),0.0)</f>
        <v>0</v>
      </c>
      <c r="BH5" s="43"/>
    </row>
    <row r="6" ht="15.75" customHeight="1">
      <c r="A6" s="73" t="s">
        <v>23</v>
      </c>
      <c r="B6" s="67"/>
      <c r="C6" s="68">
        <f>IFERROR(__xludf.DUMMYFUNCTION("""COMPUTED_VALUE"""),0.0)</f>
        <v>0</v>
      </c>
      <c r="D6" s="69">
        <f>IFERROR(__xludf.DUMMYFUNCTION("""COMPUTED_VALUE"""),0.0)</f>
        <v>0</v>
      </c>
      <c r="E6" s="70">
        <f t="shared" si="5"/>
        <v>0</v>
      </c>
      <c r="F6" s="67"/>
      <c r="G6" s="71">
        <f>IFERROR(__xludf.DUMMYFUNCTION("""COMPUTED_VALUE"""),0.0)</f>
        <v>0</v>
      </c>
      <c r="H6" s="69">
        <f>IFERROR(__xludf.DUMMYFUNCTION("""COMPUTED_VALUE"""),0.0)</f>
        <v>0</v>
      </c>
      <c r="I6" s="51">
        <f t="shared" si="6"/>
        <v>0</v>
      </c>
      <c r="J6" s="67"/>
      <c r="K6" s="71">
        <f>IFERROR(__xludf.DUMMYFUNCTION("""COMPUTED_VALUE"""),186.5)</f>
        <v>186.5</v>
      </c>
      <c r="L6" s="69">
        <f>IFERROR(__xludf.DUMMYFUNCTION("""COMPUTED_VALUE"""),27975.0)</f>
        <v>27975</v>
      </c>
      <c r="M6" s="51">
        <f t="shared" si="7"/>
        <v>51753.75</v>
      </c>
      <c r="N6" s="31"/>
      <c r="O6" s="32"/>
      <c r="AB6" s="55">
        <f t="shared" si="8"/>
        <v>3</v>
      </c>
      <c r="AC6" s="56">
        <f t="shared" si="2"/>
        <v>186.5</v>
      </c>
      <c r="AD6" s="57">
        <f t="shared" ref="AD6:AD43" si="9">D6+H6+L6</f>
        <v>27975</v>
      </c>
      <c r="AE6" s="58">
        <v>150.0</v>
      </c>
      <c r="AF6" s="59">
        <v>1.85</v>
      </c>
      <c r="AG6" s="60">
        <f t="shared" ref="AG6:AG44" si="10">E6+I6+M6</f>
        <v>51753.75</v>
      </c>
      <c r="AH6" s="61" t="str">
        <f t="shared" si="1"/>
        <v>Petr Wolf</v>
      </c>
      <c r="AI6" s="72">
        <f t="shared" ref="AI6:AI43" si="11">AC6*AE6</f>
        <v>27975</v>
      </c>
      <c r="AJ6" s="63"/>
      <c r="AK6" s="64">
        <f t="shared" si="4"/>
        <v>0</v>
      </c>
      <c r="AL6" s="66">
        <f>IFERROR(__xludf.DUMMYFUNCTION("""COMPUTED_VALUE"""),0.0)</f>
        <v>0</v>
      </c>
      <c r="AM6" s="66">
        <f>IFERROR(__xludf.DUMMYFUNCTION("""COMPUTED_VALUE"""),0.0)</f>
        <v>0</v>
      </c>
      <c r="AN6" s="66">
        <f>IFERROR(__xludf.DUMMYFUNCTION("""COMPUTED_VALUE"""),0.0)</f>
        <v>0</v>
      </c>
    </row>
    <row r="7" ht="15.75" customHeight="1">
      <c r="A7" s="74" t="s">
        <v>24</v>
      </c>
      <c r="B7" s="67"/>
      <c r="C7" s="68">
        <f>IFERROR(__xludf.DUMMYFUNCTION("""COMPUTED_VALUE"""),10.0)</f>
        <v>10</v>
      </c>
      <c r="D7" s="69">
        <f>IFERROR(__xludf.DUMMYFUNCTION("""COMPUTED_VALUE"""),1500.0)</f>
        <v>1500</v>
      </c>
      <c r="E7" s="70">
        <f t="shared" si="5"/>
        <v>2775</v>
      </c>
      <c r="F7" s="67"/>
      <c r="G7" s="71">
        <f>IFERROR(__xludf.DUMMYFUNCTION("""COMPUTED_VALUE"""),175.5)</f>
        <v>175.5</v>
      </c>
      <c r="H7" s="69">
        <f>IFERROR(__xludf.DUMMYFUNCTION("""COMPUTED_VALUE"""),26325.0)</f>
        <v>26325</v>
      </c>
      <c r="I7" s="51">
        <f t="shared" si="6"/>
        <v>48701.25</v>
      </c>
      <c r="J7" s="67"/>
      <c r="K7" s="71">
        <f>IFERROR(__xludf.DUMMYFUNCTION("""COMPUTED_VALUE"""),0.0)</f>
        <v>0</v>
      </c>
      <c r="L7" s="69">
        <f>IFERROR(__xludf.DUMMYFUNCTION("""COMPUTED_VALUE"""),0.0)</f>
        <v>0</v>
      </c>
      <c r="M7" s="51">
        <f t="shared" si="7"/>
        <v>0</v>
      </c>
      <c r="N7" s="31"/>
      <c r="O7" s="32"/>
      <c r="AB7" s="55">
        <f t="shared" si="8"/>
        <v>4</v>
      </c>
      <c r="AC7" s="56">
        <f t="shared" si="2"/>
        <v>185.5</v>
      </c>
      <c r="AD7" s="57">
        <f t="shared" si="9"/>
        <v>27825</v>
      </c>
      <c r="AE7" s="58">
        <v>150.0</v>
      </c>
      <c r="AF7" s="59">
        <v>1.85</v>
      </c>
      <c r="AG7" s="60">
        <f t="shared" si="10"/>
        <v>51476.25</v>
      </c>
      <c r="AH7" s="61" t="str">
        <f t="shared" si="1"/>
        <v>David Kropáč</v>
      </c>
      <c r="AI7" s="72">
        <f t="shared" si="11"/>
        <v>27825</v>
      </c>
      <c r="AJ7" s="63"/>
      <c r="AK7" s="64">
        <f t="shared" si="4"/>
        <v>0</v>
      </c>
      <c r="AL7" s="66">
        <f>IFERROR(__xludf.DUMMYFUNCTION("""COMPUTED_VALUE"""),0.0)</f>
        <v>0</v>
      </c>
      <c r="AM7" s="66">
        <f>IFERROR(__xludf.DUMMYFUNCTION("""COMPUTED_VALUE"""),0.0)</f>
        <v>0</v>
      </c>
      <c r="AN7" s="66">
        <f>IFERROR(__xludf.DUMMYFUNCTION("""COMPUTED_VALUE"""),0.0)</f>
        <v>0</v>
      </c>
    </row>
    <row r="8" ht="15.75" customHeight="1">
      <c r="A8" s="44" t="s">
        <v>25</v>
      </c>
      <c r="B8" s="67"/>
      <c r="C8" s="68">
        <f>IFERROR(__xludf.DUMMYFUNCTION("""COMPUTED_VALUE"""),11.5)</f>
        <v>11.5</v>
      </c>
      <c r="D8" s="69">
        <f>IFERROR(__xludf.DUMMYFUNCTION("""COMPUTED_VALUE"""),1725.0)</f>
        <v>1725</v>
      </c>
      <c r="E8" s="70">
        <f t="shared" si="5"/>
        <v>2121.75</v>
      </c>
      <c r="F8" s="67"/>
      <c r="G8" s="71">
        <f>IFERROR(__xludf.DUMMYFUNCTION("""COMPUTED_VALUE"""),221.0)</f>
        <v>221</v>
      </c>
      <c r="H8" s="69">
        <f>IFERROR(__xludf.DUMMYFUNCTION("""COMPUTED_VALUE"""),33150.0)</f>
        <v>33150</v>
      </c>
      <c r="I8" s="51">
        <f t="shared" si="6"/>
        <v>40774.5</v>
      </c>
      <c r="J8" s="67"/>
      <c r="K8" s="71">
        <f>IFERROR(__xludf.DUMMYFUNCTION("""COMPUTED_VALUE"""),0.0)</f>
        <v>0</v>
      </c>
      <c r="L8" s="69">
        <f>IFERROR(__xludf.DUMMYFUNCTION("""COMPUTED_VALUE"""),0.0)</f>
        <v>0</v>
      </c>
      <c r="M8" s="51">
        <f t="shared" si="7"/>
        <v>0</v>
      </c>
      <c r="N8" s="31"/>
      <c r="O8" s="32"/>
      <c r="AB8" s="55">
        <f t="shared" si="8"/>
        <v>5</v>
      </c>
      <c r="AC8" s="56">
        <f t="shared" si="2"/>
        <v>232.5</v>
      </c>
      <c r="AD8" s="57">
        <f t="shared" si="9"/>
        <v>34875</v>
      </c>
      <c r="AE8" s="58">
        <v>150.0</v>
      </c>
      <c r="AF8" s="59">
        <v>1.23</v>
      </c>
      <c r="AG8" s="60">
        <f t="shared" si="10"/>
        <v>42896.25</v>
      </c>
      <c r="AH8" s="61" t="str">
        <f t="shared" si="1"/>
        <v>Oksana Dynysenko</v>
      </c>
      <c r="AI8" s="72">
        <f t="shared" si="11"/>
        <v>34875</v>
      </c>
      <c r="AJ8" s="63"/>
      <c r="AK8" s="64">
        <f t="shared" si="4"/>
        <v>0</v>
      </c>
      <c r="AL8" s="66">
        <f>IFERROR(__xludf.DUMMYFUNCTION("""COMPUTED_VALUE"""),0.0)</f>
        <v>0</v>
      </c>
      <c r="AM8" s="66">
        <f>IFERROR(__xludf.DUMMYFUNCTION("""COMPUTED_VALUE"""),0.0)</f>
        <v>0</v>
      </c>
      <c r="AN8" s="66">
        <f>IFERROR(__xludf.DUMMYFUNCTION("""COMPUTED_VALUE"""),0.0)</f>
        <v>0</v>
      </c>
    </row>
    <row r="9" ht="15.75" customHeight="1">
      <c r="A9" s="44" t="s">
        <v>26</v>
      </c>
      <c r="B9" s="67"/>
      <c r="C9" s="68">
        <f>IFERROR(__xludf.DUMMYFUNCTION("""COMPUTED_VALUE"""),7.0)</f>
        <v>7</v>
      </c>
      <c r="D9" s="69">
        <f>IFERROR(__xludf.DUMMYFUNCTION("""COMPUTED_VALUE"""),1050.0)</f>
        <v>1050</v>
      </c>
      <c r="E9" s="70">
        <f t="shared" si="5"/>
        <v>1942.5</v>
      </c>
      <c r="F9" s="67"/>
      <c r="G9" s="71">
        <f>IFERROR(__xludf.DUMMYFUNCTION("""COMPUTED_VALUE"""),2.5)</f>
        <v>2.5</v>
      </c>
      <c r="H9" s="69">
        <f>IFERROR(__xludf.DUMMYFUNCTION("""COMPUTED_VALUE"""),375.0)</f>
        <v>375</v>
      </c>
      <c r="I9" s="51">
        <f t="shared" si="6"/>
        <v>693.75</v>
      </c>
      <c r="J9" s="67"/>
      <c r="K9" s="71">
        <f>IFERROR(__xludf.DUMMYFUNCTION("""COMPUTED_VALUE"""),241.5)</f>
        <v>241.5</v>
      </c>
      <c r="L9" s="69">
        <f>IFERROR(__xludf.DUMMYFUNCTION("""COMPUTED_VALUE"""),36225.0)</f>
        <v>36225</v>
      </c>
      <c r="M9" s="51">
        <f t="shared" si="7"/>
        <v>67016.25</v>
      </c>
      <c r="N9" s="31"/>
      <c r="O9" s="32"/>
      <c r="AB9" s="55">
        <f t="shared" si="8"/>
        <v>6</v>
      </c>
      <c r="AC9" s="56">
        <f t="shared" si="2"/>
        <v>251</v>
      </c>
      <c r="AD9" s="57">
        <f t="shared" si="9"/>
        <v>37650</v>
      </c>
      <c r="AE9" s="58">
        <v>150.0</v>
      </c>
      <c r="AF9" s="59">
        <v>1.85</v>
      </c>
      <c r="AG9" s="60">
        <f t="shared" si="10"/>
        <v>69652.5</v>
      </c>
      <c r="AH9" s="61" t="str">
        <f t="shared" si="1"/>
        <v>Filip Štěrba</v>
      </c>
      <c r="AI9" s="72">
        <f t="shared" si="11"/>
        <v>37650</v>
      </c>
      <c r="AJ9" s="63"/>
      <c r="AK9" s="64">
        <f t="shared" si="4"/>
        <v>1000</v>
      </c>
      <c r="AL9" s="66">
        <f>IFERROR(__xludf.DUMMYFUNCTION("""COMPUTED_VALUE"""),0.0)</f>
        <v>0</v>
      </c>
      <c r="AM9" s="66">
        <f>IFERROR(__xludf.DUMMYFUNCTION("""COMPUTED_VALUE"""),0.0)</f>
        <v>0</v>
      </c>
      <c r="AN9" s="66">
        <f>IFERROR(__xludf.DUMMYFUNCTION("""COMPUTED_VALUE"""),1000.0)</f>
        <v>1000</v>
      </c>
    </row>
    <row r="10" ht="15.75" customHeight="1">
      <c r="A10" s="75" t="s">
        <v>27</v>
      </c>
      <c r="B10" s="67"/>
      <c r="C10" s="68">
        <f>IFERROR(__xludf.DUMMYFUNCTION("""COMPUTED_VALUE"""),0.0)</f>
        <v>0</v>
      </c>
      <c r="D10" s="69">
        <f>IFERROR(__xludf.DUMMYFUNCTION("""COMPUTED_VALUE"""),0.0)</f>
        <v>0</v>
      </c>
      <c r="E10" s="70">
        <f t="shared" si="5"/>
        <v>0</v>
      </c>
      <c r="F10" s="67"/>
      <c r="G10" s="71">
        <f>IFERROR(__xludf.DUMMYFUNCTION("""COMPUTED_VALUE"""),0.0)</f>
        <v>0</v>
      </c>
      <c r="H10" s="69">
        <f>IFERROR(__xludf.DUMMYFUNCTION("""COMPUTED_VALUE"""),0.0)</f>
        <v>0</v>
      </c>
      <c r="I10" s="51">
        <f t="shared" si="6"/>
        <v>0</v>
      </c>
      <c r="J10" s="67"/>
      <c r="K10" s="71">
        <f>IFERROR(__xludf.DUMMYFUNCTION("""COMPUTED_VALUE"""),0.0)</f>
        <v>0</v>
      </c>
      <c r="L10" s="69">
        <f>IFERROR(__xludf.DUMMYFUNCTION("""COMPUTED_VALUE"""),0.0)</f>
        <v>0</v>
      </c>
      <c r="M10" s="51">
        <f t="shared" si="7"/>
        <v>0</v>
      </c>
      <c r="N10" s="31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55">
        <f t="shared" si="8"/>
        <v>7</v>
      </c>
      <c r="AC10" s="56">
        <f t="shared" si="2"/>
        <v>0</v>
      </c>
      <c r="AD10" s="57">
        <f t="shared" si="9"/>
        <v>0</v>
      </c>
      <c r="AE10" s="58">
        <v>150.0</v>
      </c>
      <c r="AF10" s="59">
        <v>1.2</v>
      </c>
      <c r="AG10" s="60">
        <f t="shared" si="10"/>
        <v>0</v>
      </c>
      <c r="AH10" s="61" t="str">
        <f t="shared" si="1"/>
        <v>Yana Nynyk-x</v>
      </c>
      <c r="AI10" s="72">
        <f t="shared" si="11"/>
        <v>0</v>
      </c>
      <c r="AJ10" s="63"/>
      <c r="AK10" s="64">
        <f t="shared" si="4"/>
        <v>0</v>
      </c>
      <c r="AL10" s="66">
        <f>IFERROR(__xludf.DUMMYFUNCTION("""COMPUTED_VALUE"""),0.0)</f>
        <v>0</v>
      </c>
      <c r="AM10" s="66">
        <f>IFERROR(__xludf.DUMMYFUNCTION("""COMPUTED_VALUE"""),0.0)</f>
        <v>0</v>
      </c>
      <c r="AN10" s="66">
        <f>IFERROR(__xludf.DUMMYFUNCTION("""COMPUTED_VALUE"""),0.0)</f>
        <v>0</v>
      </c>
    </row>
    <row r="11" ht="15.75" customHeight="1">
      <c r="A11" s="73" t="s">
        <v>28</v>
      </c>
      <c r="B11" s="67"/>
      <c r="C11" s="68">
        <f>IFERROR(__xludf.DUMMYFUNCTION("""COMPUTED_VALUE"""),0.0)</f>
        <v>0</v>
      </c>
      <c r="D11" s="69">
        <f>IFERROR(__xludf.DUMMYFUNCTION("""COMPUTED_VALUE"""),0.0)</f>
        <v>0</v>
      </c>
      <c r="E11" s="70">
        <f t="shared" si="5"/>
        <v>0</v>
      </c>
      <c r="F11" s="67"/>
      <c r="G11" s="71">
        <f>IFERROR(__xludf.DUMMYFUNCTION("""COMPUTED_VALUE"""),0.0)</f>
        <v>0</v>
      </c>
      <c r="H11" s="69">
        <f>IFERROR(__xludf.DUMMYFUNCTION("""COMPUTED_VALUE"""),0.0)</f>
        <v>0</v>
      </c>
      <c r="I11" s="51">
        <f t="shared" si="6"/>
        <v>0</v>
      </c>
      <c r="J11" s="67"/>
      <c r="K11" s="71">
        <f>IFERROR(__xludf.DUMMYFUNCTION("""COMPUTED_VALUE"""),0.0)</f>
        <v>0</v>
      </c>
      <c r="L11" s="69">
        <f>IFERROR(__xludf.DUMMYFUNCTION("""COMPUTED_VALUE"""),0.0)</f>
        <v>0</v>
      </c>
      <c r="M11" s="51">
        <f t="shared" si="7"/>
        <v>0</v>
      </c>
      <c r="N11" s="31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55">
        <f t="shared" si="8"/>
        <v>8</v>
      </c>
      <c r="AC11" s="56">
        <f t="shared" si="2"/>
        <v>0</v>
      </c>
      <c r="AD11" s="57">
        <f t="shared" si="9"/>
        <v>0</v>
      </c>
      <c r="AE11" s="58">
        <v>150.0</v>
      </c>
      <c r="AF11" s="59">
        <v>1.15</v>
      </c>
      <c r="AG11" s="60">
        <f t="shared" si="10"/>
        <v>0</v>
      </c>
      <c r="AH11" s="61" t="str">
        <f t="shared" si="1"/>
        <v>Vojtěch Fux</v>
      </c>
      <c r="AI11" s="72">
        <f t="shared" si="11"/>
        <v>0</v>
      </c>
      <c r="AJ11" s="63"/>
      <c r="AK11" s="64">
        <f t="shared" si="4"/>
        <v>0</v>
      </c>
      <c r="AL11" s="66">
        <f>IFERROR(__xludf.DUMMYFUNCTION("""COMPUTED_VALUE"""),0.0)</f>
        <v>0</v>
      </c>
      <c r="AM11" s="66">
        <f>IFERROR(__xludf.DUMMYFUNCTION("""COMPUTED_VALUE"""),0.0)</f>
        <v>0</v>
      </c>
      <c r="AN11" s="66">
        <f>IFERROR(__xludf.DUMMYFUNCTION("""COMPUTED_VALUE"""),0.0)</f>
        <v>0</v>
      </c>
    </row>
    <row r="12" ht="15.75" customHeight="1">
      <c r="A12" s="74" t="s">
        <v>29</v>
      </c>
      <c r="B12" s="67"/>
      <c r="C12" s="68">
        <f>IFERROR(__xludf.DUMMYFUNCTION("""COMPUTED_VALUE"""),11.0)</f>
        <v>11</v>
      </c>
      <c r="D12" s="69">
        <f>IFERROR(__xludf.DUMMYFUNCTION("""COMPUTED_VALUE"""),1320.0)</f>
        <v>1320</v>
      </c>
      <c r="E12" s="70">
        <f t="shared" si="5"/>
        <v>1552.941176</v>
      </c>
      <c r="F12" s="67"/>
      <c r="G12" s="71">
        <f>IFERROR(__xludf.DUMMYFUNCTION("""COMPUTED_VALUE"""),0.0)</f>
        <v>0</v>
      </c>
      <c r="H12" s="69">
        <f>IFERROR(__xludf.DUMMYFUNCTION("""COMPUTED_VALUE"""),0.0)</f>
        <v>0</v>
      </c>
      <c r="I12" s="51">
        <f t="shared" si="6"/>
        <v>0</v>
      </c>
      <c r="J12" s="67"/>
      <c r="K12" s="71">
        <f>IFERROR(__xludf.DUMMYFUNCTION("""COMPUTED_VALUE"""),0.0)</f>
        <v>0</v>
      </c>
      <c r="L12" s="69">
        <f>IFERROR(__xludf.DUMMYFUNCTION("""COMPUTED_VALUE"""),0.0)</f>
        <v>0</v>
      </c>
      <c r="M12" s="51">
        <f t="shared" si="7"/>
        <v>0</v>
      </c>
      <c r="N12" s="31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55">
        <f t="shared" si="8"/>
        <v>9</v>
      </c>
      <c r="AC12" s="56">
        <f t="shared" si="2"/>
        <v>11</v>
      </c>
      <c r="AD12" s="57">
        <f t="shared" si="9"/>
        <v>1320</v>
      </c>
      <c r="AE12" s="58">
        <v>120.0</v>
      </c>
      <c r="AF12" s="59">
        <v>1.15</v>
      </c>
      <c r="AG12" s="60">
        <f t="shared" si="10"/>
        <v>1552.941176</v>
      </c>
      <c r="AH12" s="61" t="str">
        <f t="shared" si="1"/>
        <v>Daniel Fux</v>
      </c>
      <c r="AI12" s="72">
        <f t="shared" si="11"/>
        <v>1320</v>
      </c>
      <c r="AJ12" s="63"/>
      <c r="AK12" s="64">
        <f t="shared" si="4"/>
        <v>1320</v>
      </c>
      <c r="AL12" s="66">
        <f>IFERROR(__xludf.DUMMYFUNCTION("""COMPUTED_VALUE"""),1320.0)</f>
        <v>1320</v>
      </c>
      <c r="AM12" s="66">
        <f>IFERROR(__xludf.DUMMYFUNCTION("""COMPUTED_VALUE"""),0.0)</f>
        <v>0</v>
      </c>
      <c r="AN12" s="66">
        <f>IFERROR(__xludf.DUMMYFUNCTION("""COMPUTED_VALUE"""),0.0)</f>
        <v>0</v>
      </c>
    </row>
    <row r="13" ht="15.75" customHeight="1">
      <c r="A13" s="74" t="s">
        <v>30</v>
      </c>
      <c r="B13" s="67"/>
      <c r="C13" s="77">
        <f>IFERROR(__xludf.DUMMYFUNCTION("""COMPUTED_VALUE"""),278.5)</f>
        <v>278.5</v>
      </c>
      <c r="D13" s="78">
        <f>IFERROR(__xludf.DUMMYFUNCTION("""COMPUTED_VALUE"""),41775.0)</f>
        <v>41775</v>
      </c>
      <c r="E13" s="70">
        <f t="shared" si="5"/>
        <v>77283.75</v>
      </c>
      <c r="F13" s="67"/>
      <c r="G13" s="79">
        <f>IFERROR(__xludf.DUMMYFUNCTION("""COMPUTED_VALUE"""),0.0)</f>
        <v>0</v>
      </c>
      <c r="H13" s="78">
        <f>IFERROR(__xludf.DUMMYFUNCTION("""COMPUTED_VALUE"""),0.0)</f>
        <v>0</v>
      </c>
      <c r="I13" s="51">
        <f t="shared" si="6"/>
        <v>0</v>
      </c>
      <c r="J13" s="67"/>
      <c r="K13" s="79">
        <f>IFERROR(__xludf.DUMMYFUNCTION("""COMPUTED_VALUE"""),0.0)</f>
        <v>0</v>
      </c>
      <c r="L13" s="78">
        <f>IFERROR(__xludf.DUMMYFUNCTION("""COMPUTED_VALUE"""),0.0)</f>
        <v>0</v>
      </c>
      <c r="M13" s="51">
        <f t="shared" si="7"/>
        <v>0</v>
      </c>
      <c r="N13" s="31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55">
        <f t="shared" si="8"/>
        <v>10</v>
      </c>
      <c r="AC13" s="56">
        <f t="shared" si="2"/>
        <v>278.5</v>
      </c>
      <c r="AD13" s="57">
        <f t="shared" si="9"/>
        <v>41775</v>
      </c>
      <c r="AE13" s="58">
        <v>150.0</v>
      </c>
      <c r="AF13" s="59">
        <v>1.85</v>
      </c>
      <c r="AG13" s="60">
        <f t="shared" si="10"/>
        <v>77283.75</v>
      </c>
      <c r="AH13" s="61" t="str">
        <f t="shared" si="1"/>
        <v>Radim Dvořák</v>
      </c>
      <c r="AI13" s="72">
        <f t="shared" si="11"/>
        <v>41775</v>
      </c>
      <c r="AJ13" s="63"/>
      <c r="AK13" s="64">
        <f t="shared" si="4"/>
        <v>4200</v>
      </c>
      <c r="AL13" s="66">
        <f>IFERROR(__xludf.DUMMYFUNCTION("""COMPUTED_VALUE"""),4200.0)</f>
        <v>4200</v>
      </c>
      <c r="AM13" s="66">
        <f>IFERROR(__xludf.DUMMYFUNCTION("""COMPUTED_VALUE"""),0.0)</f>
        <v>0</v>
      </c>
      <c r="AN13" s="66">
        <f>IFERROR(__xludf.DUMMYFUNCTION("""COMPUTED_VALUE"""),0.0)</f>
        <v>0</v>
      </c>
    </row>
    <row r="14" ht="15.75" customHeight="1">
      <c r="A14" s="80" t="s">
        <v>31</v>
      </c>
      <c r="B14" s="67"/>
      <c r="C14" s="77">
        <f>IFERROR(__xludf.DUMMYFUNCTION("""COMPUTED_VALUE"""),0.0)</f>
        <v>0</v>
      </c>
      <c r="D14" s="78">
        <f>IFERROR(__xludf.DUMMYFUNCTION("""COMPUTED_VALUE"""),0.0)</f>
        <v>0</v>
      </c>
      <c r="E14" s="70">
        <f t="shared" si="5"/>
        <v>0</v>
      </c>
      <c r="F14" s="67"/>
      <c r="G14" s="79">
        <f>IFERROR(__xludf.DUMMYFUNCTION("""COMPUTED_VALUE"""),0.0)</f>
        <v>0</v>
      </c>
      <c r="H14" s="78">
        <f>IFERROR(__xludf.DUMMYFUNCTION("""COMPUTED_VALUE"""),0.0)</f>
        <v>0</v>
      </c>
      <c r="I14" s="51">
        <f t="shared" si="6"/>
        <v>0</v>
      </c>
      <c r="J14" s="67"/>
      <c r="K14" s="79">
        <f>IFERROR(__xludf.DUMMYFUNCTION("""COMPUTED_VALUE"""),0.0)</f>
        <v>0</v>
      </c>
      <c r="L14" s="78">
        <f>IFERROR(__xludf.DUMMYFUNCTION("""COMPUTED_VALUE"""),0.0)</f>
        <v>0</v>
      </c>
      <c r="M14" s="51">
        <f t="shared" si="7"/>
        <v>0</v>
      </c>
      <c r="N14" s="31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55">
        <f t="shared" si="8"/>
        <v>11</v>
      </c>
      <c r="AC14" s="56">
        <f t="shared" si="2"/>
        <v>0</v>
      </c>
      <c r="AD14" s="57">
        <f t="shared" si="9"/>
        <v>0</v>
      </c>
      <c r="AE14" s="58">
        <v>100.0</v>
      </c>
      <c r="AF14" s="59">
        <v>1.3</v>
      </c>
      <c r="AG14" s="60">
        <f t="shared" si="10"/>
        <v>0</v>
      </c>
      <c r="AH14" s="61" t="str">
        <f t="shared" si="1"/>
        <v>Vladimír Dudkin-x</v>
      </c>
      <c r="AI14" s="72">
        <f t="shared" si="11"/>
        <v>0</v>
      </c>
      <c r="AJ14" s="63"/>
      <c r="AK14" s="64">
        <f t="shared" si="4"/>
        <v>0</v>
      </c>
      <c r="AL14" s="66">
        <f>IFERROR(__xludf.DUMMYFUNCTION("""COMPUTED_VALUE"""),0.0)</f>
        <v>0</v>
      </c>
      <c r="AM14" s="66">
        <f>IFERROR(__xludf.DUMMYFUNCTION("""COMPUTED_VALUE"""),0.0)</f>
        <v>0</v>
      </c>
      <c r="AN14" s="66">
        <f>IFERROR(__xludf.DUMMYFUNCTION("""COMPUTED_VALUE"""),0.0)</f>
        <v>0</v>
      </c>
    </row>
    <row r="15" ht="15.75" customHeight="1">
      <c r="A15" s="80" t="s">
        <v>32</v>
      </c>
      <c r="B15" s="67"/>
      <c r="C15" s="77">
        <f>IFERROR(__xludf.DUMMYFUNCTION("""COMPUTED_VALUE"""),0.0)</f>
        <v>0</v>
      </c>
      <c r="D15" s="78">
        <f>IFERROR(__xludf.DUMMYFUNCTION("""COMPUTED_VALUE"""),0.0)</f>
        <v>0</v>
      </c>
      <c r="E15" s="70">
        <f t="shared" si="5"/>
        <v>0</v>
      </c>
      <c r="F15" s="67"/>
      <c r="G15" s="79">
        <f>IFERROR(__xludf.DUMMYFUNCTION("""COMPUTED_VALUE"""),0.0)</f>
        <v>0</v>
      </c>
      <c r="H15" s="78">
        <f>IFERROR(__xludf.DUMMYFUNCTION("""COMPUTED_VALUE"""),0.0)</f>
        <v>0</v>
      </c>
      <c r="I15" s="51">
        <f t="shared" si="6"/>
        <v>0</v>
      </c>
      <c r="J15" s="67"/>
      <c r="K15" s="79">
        <f>IFERROR(__xludf.DUMMYFUNCTION("""COMPUTED_VALUE"""),0.0)</f>
        <v>0</v>
      </c>
      <c r="L15" s="78">
        <f>IFERROR(__xludf.DUMMYFUNCTION("""COMPUTED_VALUE"""),0.0)</f>
        <v>0</v>
      </c>
      <c r="M15" s="51">
        <f t="shared" si="7"/>
        <v>0</v>
      </c>
      <c r="N15" s="31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55">
        <f t="shared" si="8"/>
        <v>12</v>
      </c>
      <c r="AC15" s="56">
        <f t="shared" si="2"/>
        <v>0</v>
      </c>
      <c r="AD15" s="57">
        <f t="shared" si="9"/>
        <v>0</v>
      </c>
      <c r="AE15" s="58">
        <v>100.0</v>
      </c>
      <c r="AF15" s="59">
        <v>1.15</v>
      </c>
      <c r="AG15" s="60">
        <f t="shared" si="10"/>
        <v>0</v>
      </c>
      <c r="AH15" s="61" t="str">
        <f t="shared" si="1"/>
        <v>Jakub Kouřimský-x</v>
      </c>
      <c r="AI15" s="72">
        <f t="shared" si="11"/>
        <v>0</v>
      </c>
      <c r="AJ15" s="63"/>
      <c r="AK15" s="64">
        <f t="shared" si="4"/>
        <v>0</v>
      </c>
      <c r="AL15" s="66">
        <f>IFERROR(__xludf.DUMMYFUNCTION("""COMPUTED_VALUE"""),0.0)</f>
        <v>0</v>
      </c>
      <c r="AM15" s="66">
        <f>IFERROR(__xludf.DUMMYFUNCTION("""COMPUTED_VALUE"""),0.0)</f>
        <v>0</v>
      </c>
      <c r="AN15" s="66">
        <f>IFERROR(__xludf.DUMMYFUNCTION("""COMPUTED_VALUE"""),0.0)</f>
        <v>0</v>
      </c>
    </row>
    <row r="16" ht="15.75" customHeight="1">
      <c r="A16" s="80" t="s">
        <v>33</v>
      </c>
      <c r="B16" s="67"/>
      <c r="C16" s="77">
        <f>IFERROR(__xludf.DUMMYFUNCTION("""COMPUTED_VALUE"""),0.0)</f>
        <v>0</v>
      </c>
      <c r="D16" s="78">
        <f>IFERROR(__xludf.DUMMYFUNCTION("""COMPUTED_VALUE"""),0.0)</f>
        <v>0</v>
      </c>
      <c r="E16" s="70">
        <f t="shared" si="5"/>
        <v>0</v>
      </c>
      <c r="F16" s="67"/>
      <c r="G16" s="79">
        <f>IFERROR(__xludf.DUMMYFUNCTION("""COMPUTED_VALUE"""),0.0)</f>
        <v>0</v>
      </c>
      <c r="H16" s="78">
        <f>IFERROR(__xludf.DUMMYFUNCTION("""COMPUTED_VALUE"""),0.0)</f>
        <v>0</v>
      </c>
      <c r="I16" s="51">
        <f t="shared" si="6"/>
        <v>0</v>
      </c>
      <c r="J16" s="67"/>
      <c r="K16" s="79">
        <f>IFERROR(__xludf.DUMMYFUNCTION("""COMPUTED_VALUE"""),0.0)</f>
        <v>0</v>
      </c>
      <c r="L16" s="78">
        <f>IFERROR(__xludf.DUMMYFUNCTION("""COMPUTED_VALUE"""),0.0)</f>
        <v>0</v>
      </c>
      <c r="M16" s="51">
        <f t="shared" si="7"/>
        <v>0</v>
      </c>
      <c r="N16" s="31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55">
        <f t="shared" si="8"/>
        <v>13</v>
      </c>
      <c r="AC16" s="56">
        <f t="shared" si="2"/>
        <v>0</v>
      </c>
      <c r="AD16" s="57">
        <f t="shared" si="9"/>
        <v>0</v>
      </c>
      <c r="AE16" s="58">
        <v>100.0</v>
      </c>
      <c r="AF16" s="59">
        <v>1.15</v>
      </c>
      <c r="AG16" s="60">
        <f t="shared" si="10"/>
        <v>0</v>
      </c>
      <c r="AH16" s="61" t="str">
        <f t="shared" si="1"/>
        <v>Filip Fux-x</v>
      </c>
      <c r="AI16" s="72">
        <f t="shared" si="11"/>
        <v>0</v>
      </c>
      <c r="AJ16" s="63"/>
      <c r="AK16" s="64">
        <f t="shared" si="4"/>
        <v>0</v>
      </c>
      <c r="AL16" s="66">
        <f>IFERROR(__xludf.DUMMYFUNCTION("""COMPUTED_VALUE"""),0.0)</f>
        <v>0</v>
      </c>
      <c r="AM16" s="66">
        <f>IFERROR(__xludf.DUMMYFUNCTION("""COMPUTED_VALUE"""),0.0)</f>
        <v>0</v>
      </c>
      <c r="AN16" s="66">
        <f>IFERROR(__xludf.DUMMYFUNCTION("""COMPUTED_VALUE"""),0.0)</f>
        <v>0</v>
      </c>
    </row>
    <row r="17" ht="15.75" customHeight="1">
      <c r="A17" s="80" t="s">
        <v>34</v>
      </c>
      <c r="B17" s="67"/>
      <c r="C17" s="77">
        <f>IFERROR(__xludf.DUMMYFUNCTION("""COMPUTED_VALUE"""),0.0)</f>
        <v>0</v>
      </c>
      <c r="D17" s="78">
        <f>IFERROR(__xludf.DUMMYFUNCTION("""COMPUTED_VALUE"""),0.0)</f>
        <v>0</v>
      </c>
      <c r="E17" s="70">
        <f t="shared" si="5"/>
        <v>0</v>
      </c>
      <c r="F17" s="67"/>
      <c r="G17" s="79">
        <f>IFERROR(__xludf.DUMMYFUNCTION("""COMPUTED_VALUE"""),0.0)</f>
        <v>0</v>
      </c>
      <c r="H17" s="78">
        <f>IFERROR(__xludf.DUMMYFUNCTION("""COMPUTED_VALUE"""),0.0)</f>
        <v>0</v>
      </c>
      <c r="I17" s="51">
        <f t="shared" si="6"/>
        <v>0</v>
      </c>
      <c r="J17" s="67"/>
      <c r="K17" s="79">
        <f>IFERROR(__xludf.DUMMYFUNCTION("""COMPUTED_VALUE"""),0.0)</f>
        <v>0</v>
      </c>
      <c r="L17" s="78">
        <f>IFERROR(__xludf.DUMMYFUNCTION("""COMPUTED_VALUE"""),0.0)</f>
        <v>0</v>
      </c>
      <c r="M17" s="51">
        <f t="shared" si="7"/>
        <v>0</v>
      </c>
      <c r="N17" s="31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55">
        <f t="shared" si="8"/>
        <v>14</v>
      </c>
      <c r="AC17" s="56">
        <f t="shared" si="2"/>
        <v>0</v>
      </c>
      <c r="AD17" s="57">
        <f t="shared" si="9"/>
        <v>0</v>
      </c>
      <c r="AE17" s="58">
        <v>100.0</v>
      </c>
      <c r="AF17" s="59">
        <v>1.15</v>
      </c>
      <c r="AG17" s="60">
        <f t="shared" si="10"/>
        <v>0</v>
      </c>
      <c r="AH17" s="61" t="str">
        <f t="shared" si="1"/>
        <v>Martin Štěpánek-x</v>
      </c>
      <c r="AI17" s="72">
        <f t="shared" si="11"/>
        <v>0</v>
      </c>
      <c r="AJ17" s="63"/>
      <c r="AK17" s="64">
        <f t="shared" si="4"/>
        <v>0</v>
      </c>
      <c r="AL17" s="66">
        <f>IFERROR(__xludf.DUMMYFUNCTION("""COMPUTED_VALUE"""),0.0)</f>
        <v>0</v>
      </c>
      <c r="AM17" s="66">
        <f>IFERROR(__xludf.DUMMYFUNCTION("""COMPUTED_VALUE"""),0.0)</f>
        <v>0</v>
      </c>
      <c r="AN17" s="66">
        <f>IFERROR(__xludf.DUMMYFUNCTION("""COMPUTED_VALUE"""),0.0)</f>
        <v>0</v>
      </c>
    </row>
    <row r="18" ht="15.75" customHeight="1">
      <c r="A18" s="80" t="s">
        <v>35</v>
      </c>
      <c r="B18" s="67"/>
      <c r="C18" s="77">
        <f>IFERROR(__xludf.DUMMYFUNCTION("""COMPUTED_VALUE"""),0.0)</f>
        <v>0</v>
      </c>
      <c r="D18" s="78">
        <f>IFERROR(__xludf.DUMMYFUNCTION("""COMPUTED_VALUE"""),0.0)</f>
        <v>0</v>
      </c>
      <c r="E18" s="70">
        <f t="shared" si="5"/>
        <v>0</v>
      </c>
      <c r="F18" s="67"/>
      <c r="G18" s="79">
        <f>IFERROR(__xludf.DUMMYFUNCTION("""COMPUTED_VALUE"""),0.0)</f>
        <v>0</v>
      </c>
      <c r="H18" s="78">
        <f>IFERROR(__xludf.DUMMYFUNCTION("""COMPUTED_VALUE"""),0.0)</f>
        <v>0</v>
      </c>
      <c r="I18" s="51">
        <f t="shared" si="6"/>
        <v>0</v>
      </c>
      <c r="J18" s="67"/>
      <c r="K18" s="79">
        <f>IFERROR(__xludf.DUMMYFUNCTION("""COMPUTED_VALUE"""),0.0)</f>
        <v>0</v>
      </c>
      <c r="L18" s="78">
        <f>IFERROR(__xludf.DUMMYFUNCTION("""COMPUTED_VALUE"""),0.0)</f>
        <v>0</v>
      </c>
      <c r="M18" s="51">
        <f t="shared" si="7"/>
        <v>0</v>
      </c>
      <c r="N18" s="31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55">
        <f t="shared" si="8"/>
        <v>15</v>
      </c>
      <c r="AC18" s="56">
        <f t="shared" si="2"/>
        <v>0</v>
      </c>
      <c r="AD18" s="57">
        <f t="shared" si="9"/>
        <v>0</v>
      </c>
      <c r="AE18" s="58">
        <v>100.0</v>
      </c>
      <c r="AF18" s="59">
        <v>1.15</v>
      </c>
      <c r="AG18" s="60">
        <f t="shared" si="10"/>
        <v>0</v>
      </c>
      <c r="AH18" s="61" t="str">
        <f t="shared" si="1"/>
        <v>Jakub Ljuta-x</v>
      </c>
      <c r="AI18" s="72">
        <f t="shared" si="11"/>
        <v>0</v>
      </c>
      <c r="AJ18" s="63"/>
      <c r="AK18" s="64">
        <f t="shared" si="4"/>
        <v>0</v>
      </c>
      <c r="AL18" s="66">
        <f>IFERROR(__xludf.DUMMYFUNCTION("""COMPUTED_VALUE"""),0.0)</f>
        <v>0</v>
      </c>
      <c r="AM18" s="66">
        <f>IFERROR(__xludf.DUMMYFUNCTION("""COMPUTED_VALUE"""),0.0)</f>
        <v>0</v>
      </c>
      <c r="AN18" s="66">
        <f>IFERROR(__xludf.DUMMYFUNCTION("""COMPUTED_VALUE"""),0.0)</f>
        <v>0</v>
      </c>
    </row>
    <row r="19" ht="15.75" customHeight="1">
      <c r="A19" s="81" t="s">
        <v>36</v>
      </c>
      <c r="B19" s="67"/>
      <c r="C19" s="77">
        <f>IFERROR(__xludf.DUMMYFUNCTION("""COMPUTED_VALUE"""),0.0)</f>
        <v>0</v>
      </c>
      <c r="D19" s="78">
        <f>IFERROR(__xludf.DUMMYFUNCTION("""COMPUTED_VALUE"""),0.0)</f>
        <v>0</v>
      </c>
      <c r="E19" s="70">
        <f t="shared" si="5"/>
        <v>0</v>
      </c>
      <c r="F19" s="67"/>
      <c r="G19" s="79">
        <f>IFERROR(__xludf.DUMMYFUNCTION("""COMPUTED_VALUE"""),0.0)</f>
        <v>0</v>
      </c>
      <c r="H19" s="78">
        <f>IFERROR(__xludf.DUMMYFUNCTION("""COMPUTED_VALUE"""),0.0)</f>
        <v>0</v>
      </c>
      <c r="I19" s="51">
        <f t="shared" si="6"/>
        <v>0</v>
      </c>
      <c r="J19" s="67"/>
      <c r="K19" s="79">
        <f>IFERROR(__xludf.DUMMYFUNCTION("""COMPUTED_VALUE"""),0.0)</f>
        <v>0</v>
      </c>
      <c r="L19" s="78">
        <f>IFERROR(__xludf.DUMMYFUNCTION("""COMPUTED_VALUE"""),0.0)</f>
        <v>0</v>
      </c>
      <c r="M19" s="51">
        <f t="shared" si="7"/>
        <v>0</v>
      </c>
      <c r="N19" s="31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55">
        <f t="shared" si="8"/>
        <v>16</v>
      </c>
      <c r="AC19" s="56">
        <f t="shared" si="2"/>
        <v>0</v>
      </c>
      <c r="AD19" s="57">
        <f t="shared" si="9"/>
        <v>0</v>
      </c>
      <c r="AE19" s="58">
        <v>100.0</v>
      </c>
      <c r="AF19" s="59">
        <v>1.15</v>
      </c>
      <c r="AG19" s="60">
        <f t="shared" si="10"/>
        <v>0</v>
      </c>
      <c r="AH19" s="61" t="str">
        <f t="shared" si="1"/>
        <v>Nadiia Doroshenko-x</v>
      </c>
      <c r="AI19" s="72">
        <f t="shared" si="11"/>
        <v>0</v>
      </c>
      <c r="AJ19" s="63"/>
      <c r="AK19" s="64">
        <f t="shared" si="4"/>
        <v>0</v>
      </c>
      <c r="AL19" s="66">
        <f>IFERROR(__xludf.DUMMYFUNCTION("""COMPUTED_VALUE"""),0.0)</f>
        <v>0</v>
      </c>
      <c r="AM19" s="66">
        <f>IFERROR(__xludf.DUMMYFUNCTION("""COMPUTED_VALUE"""),0.0)</f>
        <v>0</v>
      </c>
      <c r="AN19" s="66">
        <f>IFERROR(__xludf.DUMMYFUNCTION("""COMPUTED_VALUE"""),0.0)</f>
        <v>0</v>
      </c>
    </row>
    <row r="20" ht="15.75" customHeight="1">
      <c r="A20" s="81" t="s">
        <v>37</v>
      </c>
      <c r="B20" s="67"/>
      <c r="C20" s="77">
        <f>IFERROR(__xludf.DUMMYFUNCTION("""COMPUTED_VALUE"""),15.5)</f>
        <v>15.5</v>
      </c>
      <c r="D20" s="78">
        <f>IFERROR(__xludf.DUMMYFUNCTION("""COMPUTED_VALUE"""),1550.0)</f>
        <v>1550</v>
      </c>
      <c r="E20" s="70">
        <f t="shared" si="5"/>
        <v>1823.529412</v>
      </c>
      <c r="F20" s="67"/>
      <c r="G20" s="79">
        <f>IFERROR(__xludf.DUMMYFUNCTION("""COMPUTED_VALUE"""),110.0)</f>
        <v>110</v>
      </c>
      <c r="H20" s="78">
        <f>IFERROR(__xludf.DUMMYFUNCTION("""COMPUTED_VALUE"""),11000.0)</f>
        <v>11000</v>
      </c>
      <c r="I20" s="51">
        <f t="shared" si="6"/>
        <v>12941.17647</v>
      </c>
      <c r="J20" s="67"/>
      <c r="K20" s="79">
        <f>IFERROR(__xludf.DUMMYFUNCTION("""COMPUTED_VALUE"""),0.0)</f>
        <v>0</v>
      </c>
      <c r="L20" s="78">
        <f>IFERROR(__xludf.DUMMYFUNCTION("""COMPUTED_VALUE"""),0.0)</f>
        <v>0</v>
      </c>
      <c r="M20" s="51">
        <f t="shared" si="7"/>
        <v>0</v>
      </c>
      <c r="N20" s="31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55">
        <f t="shared" si="8"/>
        <v>17</v>
      </c>
      <c r="AC20" s="56">
        <f t="shared" si="2"/>
        <v>125.5</v>
      </c>
      <c r="AD20" s="57">
        <f t="shared" si="9"/>
        <v>12550</v>
      </c>
      <c r="AE20" s="58">
        <v>100.0</v>
      </c>
      <c r="AF20" s="59">
        <v>1.15</v>
      </c>
      <c r="AG20" s="60">
        <f t="shared" si="10"/>
        <v>14764.70588</v>
      </c>
      <c r="AH20" s="61" t="str">
        <f t="shared" si="1"/>
        <v>Lucie Nováková</v>
      </c>
      <c r="AI20" s="72">
        <f t="shared" si="11"/>
        <v>12550</v>
      </c>
      <c r="AJ20" s="63"/>
      <c r="AK20" s="64">
        <f t="shared" si="4"/>
        <v>0</v>
      </c>
      <c r="AL20" s="66">
        <f>IFERROR(__xludf.DUMMYFUNCTION("""COMPUTED_VALUE"""),0.0)</f>
        <v>0</v>
      </c>
      <c r="AM20" s="66">
        <f>IFERROR(__xludf.DUMMYFUNCTION("""COMPUTED_VALUE"""),0.0)</f>
        <v>0</v>
      </c>
      <c r="AN20" s="66">
        <f>IFERROR(__xludf.DUMMYFUNCTION("""COMPUTED_VALUE"""),0.0)</f>
        <v>0</v>
      </c>
    </row>
    <row r="21" ht="15.75" customHeight="1">
      <c r="A21" s="81" t="s">
        <v>38</v>
      </c>
      <c r="B21" s="67"/>
      <c r="C21" s="77">
        <f>IFERROR(__xludf.DUMMYFUNCTION("""COMPUTED_VALUE"""),0.0)</f>
        <v>0</v>
      </c>
      <c r="D21" s="78">
        <f>IFERROR(__xludf.DUMMYFUNCTION("""COMPUTED_VALUE"""),0.0)</f>
        <v>0</v>
      </c>
      <c r="E21" s="70">
        <f t="shared" si="5"/>
        <v>0</v>
      </c>
      <c r="F21" s="67"/>
      <c r="G21" s="79">
        <f>IFERROR(__xludf.DUMMYFUNCTION("""COMPUTED_VALUE"""),11.0)</f>
        <v>11</v>
      </c>
      <c r="H21" s="78">
        <f>IFERROR(__xludf.DUMMYFUNCTION("""COMPUTED_VALUE"""),1430.0)</f>
        <v>1430</v>
      </c>
      <c r="I21" s="51">
        <f t="shared" si="6"/>
        <v>2645.5</v>
      </c>
      <c r="J21" s="67"/>
      <c r="K21" s="79">
        <f>IFERROR(__xludf.DUMMYFUNCTION("""COMPUTED_VALUE"""),211.0)</f>
        <v>211</v>
      </c>
      <c r="L21" s="78">
        <f>IFERROR(__xludf.DUMMYFUNCTION("""COMPUTED_VALUE"""),27430.0)</f>
        <v>27430</v>
      </c>
      <c r="M21" s="51">
        <f t="shared" si="7"/>
        <v>50745.5</v>
      </c>
      <c r="N21" s="31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55">
        <f t="shared" si="8"/>
        <v>18</v>
      </c>
      <c r="AC21" s="56">
        <f t="shared" si="2"/>
        <v>222</v>
      </c>
      <c r="AD21" s="57">
        <f t="shared" si="9"/>
        <v>28860</v>
      </c>
      <c r="AE21" s="58">
        <v>130.0</v>
      </c>
      <c r="AF21" s="59">
        <v>1.85</v>
      </c>
      <c r="AG21" s="60">
        <f t="shared" si="10"/>
        <v>53391</v>
      </c>
      <c r="AH21" s="61" t="str">
        <f t="shared" si="1"/>
        <v>Michal Nedbal</v>
      </c>
      <c r="AI21" s="72">
        <f t="shared" si="11"/>
        <v>28860</v>
      </c>
      <c r="AJ21" s="63"/>
      <c r="AK21" s="64">
        <f t="shared" si="4"/>
        <v>18500</v>
      </c>
      <c r="AL21" s="66">
        <f>IFERROR(__xludf.DUMMYFUNCTION("""COMPUTED_VALUE"""),0.0)</f>
        <v>0</v>
      </c>
      <c r="AM21" s="66">
        <f>IFERROR(__xludf.DUMMYFUNCTION("""COMPUTED_VALUE"""),1000.0)</f>
        <v>1000</v>
      </c>
      <c r="AN21" s="66">
        <f>IFERROR(__xludf.DUMMYFUNCTION("""COMPUTED_VALUE"""),17500.0)</f>
        <v>17500</v>
      </c>
    </row>
    <row r="22" ht="15.75" customHeight="1">
      <c r="A22" s="81" t="s">
        <v>39</v>
      </c>
      <c r="B22" s="67"/>
      <c r="C22" s="77">
        <f>IFERROR(__xludf.DUMMYFUNCTION("""COMPUTED_VALUE"""),0.0)</f>
        <v>0</v>
      </c>
      <c r="D22" s="78">
        <f>IFERROR(__xludf.DUMMYFUNCTION("""COMPUTED_VALUE"""),0.0)</f>
        <v>0</v>
      </c>
      <c r="E22" s="70">
        <f t="shared" si="5"/>
        <v>0</v>
      </c>
      <c r="F22" s="67"/>
      <c r="G22" s="79">
        <f>IFERROR(__xludf.DUMMYFUNCTION("""COMPUTED_VALUE"""),212.0)</f>
        <v>212</v>
      </c>
      <c r="H22" s="78">
        <f>IFERROR(__xludf.DUMMYFUNCTION("""COMPUTED_VALUE"""),21200.0)</f>
        <v>21200</v>
      </c>
      <c r="I22" s="51">
        <f t="shared" si="6"/>
        <v>24941.17647</v>
      </c>
      <c r="J22" s="67"/>
      <c r="K22" s="79">
        <f>IFERROR(__xludf.DUMMYFUNCTION("""COMPUTED_VALUE"""),0.0)</f>
        <v>0</v>
      </c>
      <c r="L22" s="78">
        <f>IFERROR(__xludf.DUMMYFUNCTION("""COMPUTED_VALUE"""),0.0)</f>
        <v>0</v>
      </c>
      <c r="M22" s="51">
        <f t="shared" si="7"/>
        <v>0</v>
      </c>
      <c r="N22" s="31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55">
        <f t="shared" si="8"/>
        <v>19</v>
      </c>
      <c r="AC22" s="56">
        <f t="shared" si="2"/>
        <v>212</v>
      </c>
      <c r="AD22" s="57">
        <f t="shared" si="9"/>
        <v>21200</v>
      </c>
      <c r="AE22" s="58">
        <v>100.0</v>
      </c>
      <c r="AF22" s="59">
        <v>1.15</v>
      </c>
      <c r="AG22" s="60">
        <f t="shared" si="10"/>
        <v>24941.17647</v>
      </c>
      <c r="AH22" s="61" t="str">
        <f t="shared" si="1"/>
        <v>Jan Fialka</v>
      </c>
      <c r="AI22" s="72">
        <f t="shared" si="11"/>
        <v>21200</v>
      </c>
      <c r="AJ22" s="63"/>
      <c r="AK22" s="64">
        <f t="shared" si="4"/>
        <v>0</v>
      </c>
      <c r="AL22" s="66">
        <f>IFERROR(__xludf.DUMMYFUNCTION("""COMPUTED_VALUE"""),0.0)</f>
        <v>0</v>
      </c>
      <c r="AM22" s="66">
        <f>IFERROR(__xludf.DUMMYFUNCTION("""COMPUTED_VALUE"""),0.0)</f>
        <v>0</v>
      </c>
      <c r="AN22" s="66">
        <f>IFERROR(__xludf.DUMMYFUNCTION("""COMPUTED_VALUE"""),0.0)</f>
        <v>0</v>
      </c>
    </row>
    <row r="23" ht="15.75" customHeight="1">
      <c r="A23" s="82"/>
      <c r="B23" s="67"/>
      <c r="C23" s="77">
        <f>IFERROR(__xludf.DUMMYFUNCTION("""COMPUTED_VALUE"""),0.0)</f>
        <v>0</v>
      </c>
      <c r="D23" s="78">
        <f>IFERROR(__xludf.DUMMYFUNCTION("""COMPUTED_VALUE"""),0.0)</f>
        <v>0</v>
      </c>
      <c r="E23" s="70">
        <f t="shared" si="5"/>
        <v>0</v>
      </c>
      <c r="F23" s="67"/>
      <c r="G23" s="79">
        <f>IFERROR(__xludf.DUMMYFUNCTION("""COMPUTED_VALUE"""),0.0)</f>
        <v>0</v>
      </c>
      <c r="H23" s="78">
        <f>IFERROR(__xludf.DUMMYFUNCTION("""COMPUTED_VALUE"""),0.0)</f>
        <v>0</v>
      </c>
      <c r="I23" s="51">
        <f t="shared" si="6"/>
        <v>0</v>
      </c>
      <c r="J23" s="67"/>
      <c r="K23" s="79">
        <f>IFERROR(__xludf.DUMMYFUNCTION("""COMPUTED_VALUE"""),0.0)</f>
        <v>0</v>
      </c>
      <c r="L23" s="78">
        <f>IFERROR(__xludf.DUMMYFUNCTION("""COMPUTED_VALUE"""),0.0)</f>
        <v>0</v>
      </c>
      <c r="M23" s="51">
        <f t="shared" si="7"/>
        <v>0</v>
      </c>
      <c r="N23" s="31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55">
        <f t="shared" si="8"/>
        <v>20</v>
      </c>
      <c r="AC23" s="56">
        <f t="shared" si="2"/>
        <v>0</v>
      </c>
      <c r="AD23" s="57">
        <f t="shared" si="9"/>
        <v>0</v>
      </c>
      <c r="AE23" s="58"/>
      <c r="AF23" s="59"/>
      <c r="AG23" s="60">
        <f t="shared" si="10"/>
        <v>0</v>
      </c>
      <c r="AH23" s="61" t="str">
        <f t="shared" si="1"/>
        <v/>
      </c>
      <c r="AI23" s="72">
        <f t="shared" si="11"/>
        <v>0</v>
      </c>
      <c r="AJ23" s="63"/>
      <c r="AK23" s="64">
        <f t="shared" si="4"/>
        <v>0</v>
      </c>
      <c r="AL23" s="66">
        <f>IFERROR(__xludf.DUMMYFUNCTION("""COMPUTED_VALUE"""),0.0)</f>
        <v>0</v>
      </c>
      <c r="AM23" s="66">
        <f>IFERROR(__xludf.DUMMYFUNCTION("""COMPUTED_VALUE"""),0.0)</f>
        <v>0</v>
      </c>
      <c r="AN23" s="66">
        <f>IFERROR(__xludf.DUMMYFUNCTION("""COMPUTED_VALUE"""),0.0)</f>
        <v>0</v>
      </c>
    </row>
    <row r="24" ht="15.75" customHeight="1">
      <c r="A24" s="82"/>
      <c r="B24" s="67"/>
      <c r="C24" s="77">
        <f>IFERROR(__xludf.DUMMYFUNCTION("""COMPUTED_VALUE"""),0.0)</f>
        <v>0</v>
      </c>
      <c r="D24" s="78">
        <f>IFERROR(__xludf.DUMMYFUNCTION("""COMPUTED_VALUE"""),0.0)</f>
        <v>0</v>
      </c>
      <c r="E24" s="70">
        <f t="shared" si="5"/>
        <v>0</v>
      </c>
      <c r="F24" s="67"/>
      <c r="G24" s="79">
        <f>IFERROR(__xludf.DUMMYFUNCTION("""COMPUTED_VALUE"""),0.0)</f>
        <v>0</v>
      </c>
      <c r="H24" s="78">
        <f>IFERROR(__xludf.DUMMYFUNCTION("""COMPUTED_VALUE"""),0.0)</f>
        <v>0</v>
      </c>
      <c r="I24" s="51">
        <f t="shared" si="6"/>
        <v>0</v>
      </c>
      <c r="J24" s="67"/>
      <c r="K24" s="79">
        <f>IFERROR(__xludf.DUMMYFUNCTION("""COMPUTED_VALUE"""),0.0)</f>
        <v>0</v>
      </c>
      <c r="L24" s="78">
        <f>IFERROR(__xludf.DUMMYFUNCTION("""COMPUTED_VALUE"""),0.0)</f>
        <v>0</v>
      </c>
      <c r="M24" s="51">
        <f t="shared" si="7"/>
        <v>0</v>
      </c>
      <c r="N24" s="31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55">
        <f t="shared" si="8"/>
        <v>21</v>
      </c>
      <c r="AC24" s="56">
        <f t="shared" si="2"/>
        <v>0</v>
      </c>
      <c r="AD24" s="57">
        <f t="shared" si="9"/>
        <v>0</v>
      </c>
      <c r="AE24" s="58"/>
      <c r="AF24" s="59"/>
      <c r="AG24" s="60">
        <f t="shared" si="10"/>
        <v>0</v>
      </c>
      <c r="AH24" s="61" t="str">
        <f t="shared" si="1"/>
        <v/>
      </c>
      <c r="AI24" s="72">
        <f t="shared" si="11"/>
        <v>0</v>
      </c>
      <c r="AJ24" s="63"/>
      <c r="AK24" s="64">
        <f t="shared" si="4"/>
        <v>0</v>
      </c>
      <c r="AL24" s="66">
        <f>IFERROR(__xludf.DUMMYFUNCTION("""COMPUTED_VALUE"""),0.0)</f>
        <v>0</v>
      </c>
      <c r="AM24" s="66">
        <f>IFERROR(__xludf.DUMMYFUNCTION("""COMPUTED_VALUE"""),0.0)</f>
        <v>0</v>
      </c>
      <c r="AN24" s="66">
        <f>IFERROR(__xludf.DUMMYFUNCTION("""COMPUTED_VALUE"""),0.0)</f>
        <v>0</v>
      </c>
    </row>
    <row r="25" ht="15.75" customHeight="1">
      <c r="A25" s="82"/>
      <c r="B25" s="67"/>
      <c r="C25" s="77">
        <f>IFERROR(__xludf.DUMMYFUNCTION("""COMPUTED_VALUE"""),0.0)</f>
        <v>0</v>
      </c>
      <c r="D25" s="78">
        <f>IFERROR(__xludf.DUMMYFUNCTION("""COMPUTED_VALUE"""),0.0)</f>
        <v>0</v>
      </c>
      <c r="E25" s="70">
        <f t="shared" si="5"/>
        <v>0</v>
      </c>
      <c r="F25" s="67"/>
      <c r="G25" s="79">
        <f>IFERROR(__xludf.DUMMYFUNCTION("""COMPUTED_VALUE"""),0.0)</f>
        <v>0</v>
      </c>
      <c r="H25" s="78">
        <f>IFERROR(__xludf.DUMMYFUNCTION("""COMPUTED_VALUE"""),0.0)</f>
        <v>0</v>
      </c>
      <c r="I25" s="51">
        <f t="shared" si="6"/>
        <v>0</v>
      </c>
      <c r="J25" s="67"/>
      <c r="K25" s="79">
        <f>IFERROR(__xludf.DUMMYFUNCTION("""COMPUTED_VALUE"""),0.0)</f>
        <v>0</v>
      </c>
      <c r="L25" s="78">
        <f>IFERROR(__xludf.DUMMYFUNCTION("""COMPUTED_VALUE"""),0.0)</f>
        <v>0</v>
      </c>
      <c r="M25" s="51">
        <f t="shared" si="7"/>
        <v>0</v>
      </c>
      <c r="N25" s="31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55">
        <f t="shared" si="8"/>
        <v>22</v>
      </c>
      <c r="AC25" s="56">
        <f t="shared" si="2"/>
        <v>0</v>
      </c>
      <c r="AD25" s="57">
        <f t="shared" si="9"/>
        <v>0</v>
      </c>
      <c r="AE25" s="58"/>
      <c r="AF25" s="59"/>
      <c r="AG25" s="60">
        <f t="shared" si="10"/>
        <v>0</v>
      </c>
      <c r="AH25" s="61" t="str">
        <f t="shared" si="1"/>
        <v/>
      </c>
      <c r="AI25" s="72">
        <f t="shared" si="11"/>
        <v>0</v>
      </c>
      <c r="AJ25" s="63"/>
      <c r="AK25" s="64">
        <f t="shared" si="4"/>
        <v>0</v>
      </c>
      <c r="AL25" s="66">
        <f>IFERROR(__xludf.DUMMYFUNCTION("""COMPUTED_VALUE"""),0.0)</f>
        <v>0</v>
      </c>
      <c r="AM25" s="66">
        <f>IFERROR(__xludf.DUMMYFUNCTION("""COMPUTED_VALUE"""),0.0)</f>
        <v>0</v>
      </c>
      <c r="AN25" s="66">
        <f>IFERROR(__xludf.DUMMYFUNCTION("""COMPUTED_VALUE"""),0.0)</f>
        <v>0</v>
      </c>
    </row>
    <row r="26" ht="15.75" customHeight="1">
      <c r="A26" s="82"/>
      <c r="B26" s="67"/>
      <c r="C26" s="77">
        <f>IFERROR(__xludf.DUMMYFUNCTION("""COMPUTED_VALUE"""),0.0)</f>
        <v>0</v>
      </c>
      <c r="D26" s="78">
        <f>IFERROR(__xludf.DUMMYFUNCTION("""COMPUTED_VALUE"""),0.0)</f>
        <v>0</v>
      </c>
      <c r="E26" s="70">
        <f t="shared" si="5"/>
        <v>0</v>
      </c>
      <c r="F26" s="67"/>
      <c r="G26" s="79">
        <f>IFERROR(__xludf.DUMMYFUNCTION("""COMPUTED_VALUE"""),0.0)</f>
        <v>0</v>
      </c>
      <c r="H26" s="78">
        <f>IFERROR(__xludf.DUMMYFUNCTION("""COMPUTED_VALUE"""),0.0)</f>
        <v>0</v>
      </c>
      <c r="I26" s="51">
        <f t="shared" si="6"/>
        <v>0</v>
      </c>
      <c r="J26" s="67"/>
      <c r="K26" s="79">
        <f>IFERROR(__xludf.DUMMYFUNCTION("""COMPUTED_VALUE"""),0.0)</f>
        <v>0</v>
      </c>
      <c r="L26" s="78">
        <f>IFERROR(__xludf.DUMMYFUNCTION("""COMPUTED_VALUE"""),0.0)</f>
        <v>0</v>
      </c>
      <c r="M26" s="51">
        <f t="shared" si="7"/>
        <v>0</v>
      </c>
      <c r="N26" s="31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55">
        <f t="shared" si="8"/>
        <v>23</v>
      </c>
      <c r="AC26" s="56">
        <f t="shared" si="2"/>
        <v>0</v>
      </c>
      <c r="AD26" s="57">
        <f t="shared" si="9"/>
        <v>0</v>
      </c>
      <c r="AE26" s="58"/>
      <c r="AF26" s="59"/>
      <c r="AG26" s="60">
        <f t="shared" si="10"/>
        <v>0</v>
      </c>
      <c r="AH26" s="61" t="str">
        <f t="shared" si="1"/>
        <v/>
      </c>
      <c r="AI26" s="72">
        <f t="shared" si="11"/>
        <v>0</v>
      </c>
      <c r="AJ26" s="63"/>
      <c r="AK26" s="64">
        <f t="shared" si="4"/>
        <v>0</v>
      </c>
      <c r="AL26" s="66">
        <f>IFERROR(__xludf.DUMMYFUNCTION("""COMPUTED_VALUE"""),0.0)</f>
        <v>0</v>
      </c>
      <c r="AM26" s="66">
        <f>IFERROR(__xludf.DUMMYFUNCTION("""COMPUTED_VALUE"""),0.0)</f>
        <v>0</v>
      </c>
      <c r="AN26" s="66">
        <f>IFERROR(__xludf.DUMMYFUNCTION("""COMPUTED_VALUE"""),0.0)</f>
        <v>0</v>
      </c>
    </row>
    <row r="27" ht="15.75" customHeight="1">
      <c r="A27" s="82"/>
      <c r="B27" s="67"/>
      <c r="C27" s="77">
        <f>IFERROR(__xludf.DUMMYFUNCTION("""COMPUTED_VALUE"""),0.0)</f>
        <v>0</v>
      </c>
      <c r="D27" s="78">
        <f>IFERROR(__xludf.DUMMYFUNCTION("""COMPUTED_VALUE"""),0.0)</f>
        <v>0</v>
      </c>
      <c r="E27" s="70">
        <f t="shared" si="5"/>
        <v>0</v>
      </c>
      <c r="F27" s="67"/>
      <c r="G27" s="79">
        <f>IFERROR(__xludf.DUMMYFUNCTION("""COMPUTED_VALUE"""),0.0)</f>
        <v>0</v>
      </c>
      <c r="H27" s="78">
        <f>IFERROR(__xludf.DUMMYFUNCTION("""COMPUTED_VALUE"""),0.0)</f>
        <v>0</v>
      </c>
      <c r="I27" s="51">
        <f t="shared" si="6"/>
        <v>0</v>
      </c>
      <c r="J27" s="67"/>
      <c r="K27" s="79">
        <f>IFERROR(__xludf.DUMMYFUNCTION("""COMPUTED_VALUE"""),0.0)</f>
        <v>0</v>
      </c>
      <c r="L27" s="78">
        <f>IFERROR(__xludf.DUMMYFUNCTION("""COMPUTED_VALUE"""),0.0)</f>
        <v>0</v>
      </c>
      <c r="M27" s="51">
        <f t="shared" si="7"/>
        <v>0</v>
      </c>
      <c r="N27" s="31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55">
        <f t="shared" si="8"/>
        <v>24</v>
      </c>
      <c r="AC27" s="56">
        <f t="shared" si="2"/>
        <v>0</v>
      </c>
      <c r="AD27" s="57">
        <f t="shared" si="9"/>
        <v>0</v>
      </c>
      <c r="AE27" s="58"/>
      <c r="AF27" s="59"/>
      <c r="AG27" s="60">
        <f t="shared" si="10"/>
        <v>0</v>
      </c>
      <c r="AH27" s="61" t="str">
        <f t="shared" si="1"/>
        <v/>
      </c>
      <c r="AI27" s="72">
        <f t="shared" si="11"/>
        <v>0</v>
      </c>
      <c r="AJ27" s="63"/>
      <c r="AK27" s="64">
        <f t="shared" si="4"/>
        <v>0</v>
      </c>
      <c r="AL27" s="66">
        <f>IFERROR(__xludf.DUMMYFUNCTION("""COMPUTED_VALUE"""),0.0)</f>
        <v>0</v>
      </c>
      <c r="AM27" s="66">
        <f>IFERROR(__xludf.DUMMYFUNCTION("""COMPUTED_VALUE"""),0.0)</f>
        <v>0</v>
      </c>
      <c r="AN27" s="66">
        <f>IFERROR(__xludf.DUMMYFUNCTION("""COMPUTED_VALUE"""),0.0)</f>
        <v>0</v>
      </c>
    </row>
    <row r="28" ht="15.75" customHeight="1">
      <c r="A28" s="82"/>
      <c r="B28" s="67"/>
      <c r="C28" s="77">
        <f>IFERROR(__xludf.DUMMYFUNCTION("""COMPUTED_VALUE"""),0.0)</f>
        <v>0</v>
      </c>
      <c r="D28" s="78">
        <f>IFERROR(__xludf.DUMMYFUNCTION("""COMPUTED_VALUE"""),0.0)</f>
        <v>0</v>
      </c>
      <c r="E28" s="70">
        <f t="shared" si="5"/>
        <v>0</v>
      </c>
      <c r="F28" s="67"/>
      <c r="G28" s="79">
        <f>IFERROR(__xludf.DUMMYFUNCTION("""COMPUTED_VALUE"""),0.0)</f>
        <v>0</v>
      </c>
      <c r="H28" s="78">
        <f>IFERROR(__xludf.DUMMYFUNCTION("""COMPUTED_VALUE"""),0.0)</f>
        <v>0</v>
      </c>
      <c r="I28" s="51">
        <f t="shared" si="6"/>
        <v>0</v>
      </c>
      <c r="J28" s="67"/>
      <c r="K28" s="79">
        <f>IFERROR(__xludf.DUMMYFUNCTION("""COMPUTED_VALUE"""),0.0)</f>
        <v>0</v>
      </c>
      <c r="L28" s="78">
        <f>IFERROR(__xludf.DUMMYFUNCTION("""COMPUTED_VALUE"""),0.0)</f>
        <v>0</v>
      </c>
      <c r="M28" s="51">
        <f t="shared" si="7"/>
        <v>0</v>
      </c>
      <c r="N28" s="31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55">
        <f t="shared" si="8"/>
        <v>25</v>
      </c>
      <c r="AC28" s="56">
        <f t="shared" si="2"/>
        <v>0</v>
      </c>
      <c r="AD28" s="57">
        <f t="shared" si="9"/>
        <v>0</v>
      </c>
      <c r="AE28" s="58"/>
      <c r="AF28" s="59"/>
      <c r="AG28" s="60">
        <f t="shared" si="10"/>
        <v>0</v>
      </c>
      <c r="AH28" s="61" t="str">
        <f t="shared" si="1"/>
        <v/>
      </c>
      <c r="AI28" s="72">
        <f t="shared" si="11"/>
        <v>0</v>
      </c>
      <c r="AJ28" s="63"/>
      <c r="AK28" s="64">
        <f t="shared" si="4"/>
        <v>0</v>
      </c>
      <c r="AL28" s="66">
        <f>IFERROR(__xludf.DUMMYFUNCTION("""COMPUTED_VALUE"""),0.0)</f>
        <v>0</v>
      </c>
      <c r="AM28" s="66">
        <f>IFERROR(__xludf.DUMMYFUNCTION("""COMPUTED_VALUE"""),0.0)</f>
        <v>0</v>
      </c>
      <c r="AN28" s="66">
        <f>IFERROR(__xludf.DUMMYFUNCTION("""COMPUTED_VALUE"""),0.0)</f>
        <v>0</v>
      </c>
    </row>
    <row r="29" ht="15.75" customHeight="1">
      <c r="A29" s="82"/>
      <c r="B29" s="67"/>
      <c r="C29" s="77">
        <f>IFERROR(__xludf.DUMMYFUNCTION("""COMPUTED_VALUE"""),0.0)</f>
        <v>0</v>
      </c>
      <c r="D29" s="78">
        <f>IFERROR(__xludf.DUMMYFUNCTION("""COMPUTED_VALUE"""),0.0)</f>
        <v>0</v>
      </c>
      <c r="E29" s="70">
        <f t="shared" si="5"/>
        <v>0</v>
      </c>
      <c r="F29" s="67"/>
      <c r="G29" s="79">
        <f>IFERROR(__xludf.DUMMYFUNCTION("""COMPUTED_VALUE"""),0.0)</f>
        <v>0</v>
      </c>
      <c r="H29" s="78">
        <f>IFERROR(__xludf.DUMMYFUNCTION("""COMPUTED_VALUE"""),0.0)</f>
        <v>0</v>
      </c>
      <c r="I29" s="51">
        <f t="shared" si="6"/>
        <v>0</v>
      </c>
      <c r="J29" s="67"/>
      <c r="K29" s="79">
        <f>IFERROR(__xludf.DUMMYFUNCTION("""COMPUTED_VALUE"""),0.0)</f>
        <v>0</v>
      </c>
      <c r="L29" s="78">
        <f>IFERROR(__xludf.DUMMYFUNCTION("""COMPUTED_VALUE"""),0.0)</f>
        <v>0</v>
      </c>
      <c r="M29" s="51">
        <f t="shared" si="7"/>
        <v>0</v>
      </c>
      <c r="N29" s="31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55">
        <f t="shared" si="8"/>
        <v>26</v>
      </c>
      <c r="AC29" s="56">
        <f t="shared" si="2"/>
        <v>0</v>
      </c>
      <c r="AD29" s="57">
        <f t="shared" si="9"/>
        <v>0</v>
      </c>
      <c r="AE29" s="58"/>
      <c r="AF29" s="59"/>
      <c r="AG29" s="60">
        <f t="shared" si="10"/>
        <v>0</v>
      </c>
      <c r="AH29" s="61" t="str">
        <f t="shared" si="1"/>
        <v/>
      </c>
      <c r="AI29" s="72">
        <f t="shared" si="11"/>
        <v>0</v>
      </c>
      <c r="AJ29" s="63"/>
      <c r="AK29" s="64">
        <f t="shared" si="4"/>
        <v>0</v>
      </c>
      <c r="AL29" s="66">
        <f>IFERROR(__xludf.DUMMYFUNCTION("""COMPUTED_VALUE"""),0.0)</f>
        <v>0</v>
      </c>
      <c r="AM29" s="66">
        <f>IFERROR(__xludf.DUMMYFUNCTION("""COMPUTED_VALUE"""),0.0)</f>
        <v>0</v>
      </c>
      <c r="AN29" s="66">
        <f>IFERROR(__xludf.DUMMYFUNCTION("""COMPUTED_VALUE"""),0.0)</f>
        <v>0</v>
      </c>
    </row>
    <row r="30" ht="15.75" customHeight="1">
      <c r="A30" s="82"/>
      <c r="B30" s="67"/>
      <c r="C30" s="77">
        <f>IFERROR(__xludf.DUMMYFUNCTION("""COMPUTED_VALUE"""),0.0)</f>
        <v>0</v>
      </c>
      <c r="D30" s="78">
        <f>IFERROR(__xludf.DUMMYFUNCTION("""COMPUTED_VALUE"""),0.0)</f>
        <v>0</v>
      </c>
      <c r="E30" s="70">
        <f t="shared" si="5"/>
        <v>0</v>
      </c>
      <c r="F30" s="67"/>
      <c r="G30" s="79">
        <f>IFERROR(__xludf.DUMMYFUNCTION("""COMPUTED_VALUE"""),0.0)</f>
        <v>0</v>
      </c>
      <c r="H30" s="78">
        <f>IFERROR(__xludf.DUMMYFUNCTION("""COMPUTED_VALUE"""),0.0)</f>
        <v>0</v>
      </c>
      <c r="I30" s="51">
        <f t="shared" si="6"/>
        <v>0</v>
      </c>
      <c r="J30" s="67"/>
      <c r="K30" s="79">
        <f>IFERROR(__xludf.DUMMYFUNCTION("""COMPUTED_VALUE"""),0.0)</f>
        <v>0</v>
      </c>
      <c r="L30" s="78">
        <f>IFERROR(__xludf.DUMMYFUNCTION("""COMPUTED_VALUE"""),0.0)</f>
        <v>0</v>
      </c>
      <c r="M30" s="51">
        <f t="shared" si="7"/>
        <v>0</v>
      </c>
      <c r="N30" s="31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55">
        <f t="shared" si="8"/>
        <v>27</v>
      </c>
      <c r="AC30" s="56">
        <f t="shared" si="2"/>
        <v>0</v>
      </c>
      <c r="AD30" s="57">
        <f t="shared" si="9"/>
        <v>0</v>
      </c>
      <c r="AE30" s="58"/>
      <c r="AF30" s="59"/>
      <c r="AG30" s="60">
        <f t="shared" si="10"/>
        <v>0</v>
      </c>
      <c r="AH30" s="61" t="str">
        <f t="shared" si="1"/>
        <v/>
      </c>
      <c r="AI30" s="72">
        <f t="shared" si="11"/>
        <v>0</v>
      </c>
      <c r="AJ30" s="63"/>
      <c r="AK30" s="64">
        <f t="shared" si="4"/>
        <v>0</v>
      </c>
      <c r="AL30" s="66">
        <f>IFERROR(__xludf.DUMMYFUNCTION("""COMPUTED_VALUE"""),0.0)</f>
        <v>0</v>
      </c>
      <c r="AM30" s="66">
        <f>IFERROR(__xludf.DUMMYFUNCTION("""COMPUTED_VALUE"""),0.0)</f>
        <v>0</v>
      </c>
      <c r="AN30" s="66">
        <f>IFERROR(__xludf.DUMMYFUNCTION("""COMPUTED_VALUE"""),0.0)</f>
        <v>0</v>
      </c>
    </row>
    <row r="31" ht="15.75" customHeight="1">
      <c r="A31" s="82"/>
      <c r="B31" s="67"/>
      <c r="C31" s="77">
        <f>IFERROR(__xludf.DUMMYFUNCTION("""COMPUTED_VALUE"""),0.0)</f>
        <v>0</v>
      </c>
      <c r="D31" s="78">
        <f>IFERROR(__xludf.DUMMYFUNCTION("""COMPUTED_VALUE"""),0.0)</f>
        <v>0</v>
      </c>
      <c r="E31" s="70">
        <f t="shared" si="5"/>
        <v>0</v>
      </c>
      <c r="F31" s="67"/>
      <c r="G31" s="79">
        <f>IFERROR(__xludf.DUMMYFUNCTION("""COMPUTED_VALUE"""),0.0)</f>
        <v>0</v>
      </c>
      <c r="H31" s="78">
        <f>IFERROR(__xludf.DUMMYFUNCTION("""COMPUTED_VALUE"""),0.0)</f>
        <v>0</v>
      </c>
      <c r="I31" s="51">
        <f t="shared" si="6"/>
        <v>0</v>
      </c>
      <c r="J31" s="67"/>
      <c r="K31" s="79">
        <f>IFERROR(__xludf.DUMMYFUNCTION("""COMPUTED_VALUE"""),0.0)</f>
        <v>0</v>
      </c>
      <c r="L31" s="78">
        <f>IFERROR(__xludf.DUMMYFUNCTION("""COMPUTED_VALUE"""),0.0)</f>
        <v>0</v>
      </c>
      <c r="M31" s="51">
        <f t="shared" si="7"/>
        <v>0</v>
      </c>
      <c r="N31" s="31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55">
        <f t="shared" si="8"/>
        <v>28</v>
      </c>
      <c r="AC31" s="56">
        <f t="shared" si="2"/>
        <v>0</v>
      </c>
      <c r="AD31" s="57">
        <f t="shared" si="9"/>
        <v>0</v>
      </c>
      <c r="AE31" s="58"/>
      <c r="AF31" s="59"/>
      <c r="AG31" s="60">
        <f t="shared" si="10"/>
        <v>0</v>
      </c>
      <c r="AH31" s="61" t="str">
        <f t="shared" si="1"/>
        <v/>
      </c>
      <c r="AI31" s="72">
        <f t="shared" si="11"/>
        <v>0</v>
      </c>
      <c r="AJ31" s="63"/>
      <c r="AK31" s="64">
        <f t="shared" si="4"/>
        <v>0</v>
      </c>
      <c r="AL31" s="66">
        <f>IFERROR(__xludf.DUMMYFUNCTION("""COMPUTED_VALUE"""),0.0)</f>
        <v>0</v>
      </c>
      <c r="AM31" s="66">
        <f>IFERROR(__xludf.DUMMYFUNCTION("""COMPUTED_VALUE"""),0.0)</f>
        <v>0</v>
      </c>
      <c r="AN31" s="66">
        <f>IFERROR(__xludf.DUMMYFUNCTION("""COMPUTED_VALUE"""),0.0)</f>
        <v>0</v>
      </c>
    </row>
    <row r="32" ht="15.75" customHeight="1">
      <c r="A32" s="82"/>
      <c r="B32" s="67"/>
      <c r="C32" s="77">
        <f>IFERROR(__xludf.DUMMYFUNCTION("""COMPUTED_VALUE"""),0.0)</f>
        <v>0</v>
      </c>
      <c r="D32" s="78">
        <f>IFERROR(__xludf.DUMMYFUNCTION("""COMPUTED_VALUE"""),0.0)</f>
        <v>0</v>
      </c>
      <c r="E32" s="70">
        <f t="shared" si="5"/>
        <v>0</v>
      </c>
      <c r="F32" s="67"/>
      <c r="G32" s="79">
        <f>IFERROR(__xludf.DUMMYFUNCTION("""COMPUTED_VALUE"""),0.0)</f>
        <v>0</v>
      </c>
      <c r="H32" s="78">
        <f>IFERROR(__xludf.DUMMYFUNCTION("""COMPUTED_VALUE"""),0.0)</f>
        <v>0</v>
      </c>
      <c r="I32" s="51">
        <f t="shared" si="6"/>
        <v>0</v>
      </c>
      <c r="J32" s="67"/>
      <c r="K32" s="79">
        <f>IFERROR(__xludf.DUMMYFUNCTION("""COMPUTED_VALUE"""),0.0)</f>
        <v>0</v>
      </c>
      <c r="L32" s="78">
        <f>IFERROR(__xludf.DUMMYFUNCTION("""COMPUTED_VALUE"""),0.0)</f>
        <v>0</v>
      </c>
      <c r="M32" s="51">
        <f t="shared" si="7"/>
        <v>0</v>
      </c>
      <c r="N32" s="31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55">
        <f t="shared" si="8"/>
        <v>29</v>
      </c>
      <c r="AC32" s="56">
        <f t="shared" si="2"/>
        <v>0</v>
      </c>
      <c r="AD32" s="57">
        <f t="shared" si="9"/>
        <v>0</v>
      </c>
      <c r="AE32" s="58"/>
      <c r="AF32" s="59"/>
      <c r="AG32" s="60">
        <f t="shared" si="10"/>
        <v>0</v>
      </c>
      <c r="AH32" s="61" t="str">
        <f t="shared" si="1"/>
        <v/>
      </c>
      <c r="AI32" s="72">
        <f t="shared" si="11"/>
        <v>0</v>
      </c>
      <c r="AJ32" s="63"/>
      <c r="AK32" s="64">
        <f t="shared" si="4"/>
        <v>0</v>
      </c>
      <c r="AL32" s="66">
        <f>IFERROR(__xludf.DUMMYFUNCTION("""COMPUTED_VALUE"""),0.0)</f>
        <v>0</v>
      </c>
      <c r="AM32" s="66">
        <f>IFERROR(__xludf.DUMMYFUNCTION("""COMPUTED_VALUE"""),0.0)</f>
        <v>0</v>
      </c>
      <c r="AN32" s="66">
        <f>IFERROR(__xludf.DUMMYFUNCTION("""COMPUTED_VALUE"""),0.0)</f>
        <v>0</v>
      </c>
    </row>
    <row r="33" ht="15.75" customHeight="1">
      <c r="A33" s="82"/>
      <c r="B33" s="67"/>
      <c r="C33" s="77">
        <f>IFERROR(__xludf.DUMMYFUNCTION("""COMPUTED_VALUE"""),0.0)</f>
        <v>0</v>
      </c>
      <c r="D33" s="78">
        <f>IFERROR(__xludf.DUMMYFUNCTION("""COMPUTED_VALUE"""),0.0)</f>
        <v>0</v>
      </c>
      <c r="E33" s="70">
        <f t="shared" si="5"/>
        <v>0</v>
      </c>
      <c r="F33" s="67"/>
      <c r="G33" s="79">
        <f>IFERROR(__xludf.DUMMYFUNCTION("""COMPUTED_VALUE"""),0.0)</f>
        <v>0</v>
      </c>
      <c r="H33" s="78">
        <f>IFERROR(__xludf.DUMMYFUNCTION("""COMPUTED_VALUE"""),0.0)</f>
        <v>0</v>
      </c>
      <c r="I33" s="51">
        <f t="shared" si="6"/>
        <v>0</v>
      </c>
      <c r="J33" s="67"/>
      <c r="K33" s="79">
        <f>IFERROR(__xludf.DUMMYFUNCTION("""COMPUTED_VALUE"""),0.0)</f>
        <v>0</v>
      </c>
      <c r="L33" s="78">
        <f>IFERROR(__xludf.DUMMYFUNCTION("""COMPUTED_VALUE"""),0.0)</f>
        <v>0</v>
      </c>
      <c r="M33" s="51">
        <f t="shared" si="7"/>
        <v>0</v>
      </c>
      <c r="N33" s="31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55">
        <f t="shared" si="8"/>
        <v>30</v>
      </c>
      <c r="AC33" s="56">
        <f t="shared" si="2"/>
        <v>0</v>
      </c>
      <c r="AD33" s="57">
        <f t="shared" si="9"/>
        <v>0</v>
      </c>
      <c r="AE33" s="58"/>
      <c r="AF33" s="59"/>
      <c r="AG33" s="60">
        <f t="shared" si="10"/>
        <v>0</v>
      </c>
      <c r="AH33" s="61" t="str">
        <f t="shared" si="1"/>
        <v/>
      </c>
      <c r="AI33" s="72">
        <f t="shared" si="11"/>
        <v>0</v>
      </c>
      <c r="AJ33" s="63"/>
      <c r="AK33" s="64">
        <f t="shared" si="4"/>
        <v>0</v>
      </c>
      <c r="AL33" s="66">
        <f>IFERROR(__xludf.DUMMYFUNCTION("""COMPUTED_VALUE"""),0.0)</f>
        <v>0</v>
      </c>
      <c r="AM33" s="66">
        <f>IFERROR(__xludf.DUMMYFUNCTION("""COMPUTED_VALUE"""),0.0)</f>
        <v>0</v>
      </c>
      <c r="AN33" s="66">
        <f>IFERROR(__xludf.DUMMYFUNCTION("""COMPUTED_VALUE"""),0.0)</f>
        <v>0</v>
      </c>
    </row>
    <row r="34" ht="15.75" customHeight="1">
      <c r="A34" s="82"/>
      <c r="B34" s="67"/>
      <c r="C34" s="77">
        <f>IFERROR(__xludf.DUMMYFUNCTION("""COMPUTED_VALUE"""),0.0)</f>
        <v>0</v>
      </c>
      <c r="D34" s="78">
        <f>IFERROR(__xludf.DUMMYFUNCTION("""COMPUTED_VALUE"""),0.0)</f>
        <v>0</v>
      </c>
      <c r="E34" s="70">
        <f t="shared" si="5"/>
        <v>0</v>
      </c>
      <c r="F34" s="67"/>
      <c r="G34" s="79">
        <f>IFERROR(__xludf.DUMMYFUNCTION("""COMPUTED_VALUE"""),0.0)</f>
        <v>0</v>
      </c>
      <c r="H34" s="78">
        <f>IFERROR(__xludf.DUMMYFUNCTION("""COMPUTED_VALUE"""),0.0)</f>
        <v>0</v>
      </c>
      <c r="I34" s="51">
        <f t="shared" si="6"/>
        <v>0</v>
      </c>
      <c r="J34" s="67"/>
      <c r="K34" s="79">
        <f>IFERROR(__xludf.DUMMYFUNCTION("""COMPUTED_VALUE"""),0.0)</f>
        <v>0</v>
      </c>
      <c r="L34" s="78">
        <f>IFERROR(__xludf.DUMMYFUNCTION("""COMPUTED_VALUE"""),0.0)</f>
        <v>0</v>
      </c>
      <c r="M34" s="51">
        <f t="shared" si="7"/>
        <v>0</v>
      </c>
      <c r="N34" s="31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55">
        <f t="shared" si="8"/>
        <v>31</v>
      </c>
      <c r="AC34" s="56">
        <f t="shared" si="2"/>
        <v>0</v>
      </c>
      <c r="AD34" s="57">
        <f t="shared" si="9"/>
        <v>0</v>
      </c>
      <c r="AE34" s="58"/>
      <c r="AF34" s="59"/>
      <c r="AG34" s="60">
        <f t="shared" si="10"/>
        <v>0</v>
      </c>
      <c r="AH34" s="61" t="str">
        <f t="shared" si="1"/>
        <v/>
      </c>
      <c r="AI34" s="72">
        <f t="shared" si="11"/>
        <v>0</v>
      </c>
      <c r="AJ34" s="63"/>
      <c r="AK34" s="64">
        <f t="shared" si="4"/>
        <v>0</v>
      </c>
      <c r="AL34" s="66">
        <f>IFERROR(__xludf.DUMMYFUNCTION("""COMPUTED_VALUE"""),0.0)</f>
        <v>0</v>
      </c>
      <c r="AM34" s="66">
        <f>IFERROR(__xludf.DUMMYFUNCTION("""COMPUTED_VALUE"""),0.0)</f>
        <v>0</v>
      </c>
      <c r="AN34" s="66">
        <f>IFERROR(__xludf.DUMMYFUNCTION("""COMPUTED_VALUE"""),0.0)</f>
        <v>0</v>
      </c>
    </row>
    <row r="35" ht="15.75" customHeight="1">
      <c r="A35" s="82"/>
      <c r="B35" s="67"/>
      <c r="C35" s="77">
        <f>IFERROR(__xludf.DUMMYFUNCTION("""COMPUTED_VALUE"""),0.0)</f>
        <v>0</v>
      </c>
      <c r="D35" s="78">
        <f>IFERROR(__xludf.DUMMYFUNCTION("""COMPUTED_VALUE"""),0.0)</f>
        <v>0</v>
      </c>
      <c r="E35" s="70">
        <f t="shared" si="5"/>
        <v>0</v>
      </c>
      <c r="F35" s="67"/>
      <c r="G35" s="79">
        <f>IFERROR(__xludf.DUMMYFUNCTION("""COMPUTED_VALUE"""),0.0)</f>
        <v>0</v>
      </c>
      <c r="H35" s="78">
        <f>IFERROR(__xludf.DUMMYFUNCTION("""COMPUTED_VALUE"""),0.0)</f>
        <v>0</v>
      </c>
      <c r="I35" s="51">
        <f t="shared" si="6"/>
        <v>0</v>
      </c>
      <c r="J35" s="67"/>
      <c r="K35" s="79">
        <f>IFERROR(__xludf.DUMMYFUNCTION("""COMPUTED_VALUE"""),0.0)</f>
        <v>0</v>
      </c>
      <c r="L35" s="78">
        <f>IFERROR(__xludf.DUMMYFUNCTION("""COMPUTED_VALUE"""),0.0)</f>
        <v>0</v>
      </c>
      <c r="M35" s="51">
        <f t="shared" si="7"/>
        <v>0</v>
      </c>
      <c r="N35" s="31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55">
        <f t="shared" si="8"/>
        <v>32</v>
      </c>
      <c r="AC35" s="56">
        <f t="shared" si="2"/>
        <v>0</v>
      </c>
      <c r="AD35" s="57">
        <f t="shared" si="9"/>
        <v>0</v>
      </c>
      <c r="AE35" s="58"/>
      <c r="AF35" s="59"/>
      <c r="AG35" s="60">
        <f t="shared" si="10"/>
        <v>0</v>
      </c>
      <c r="AH35" s="61" t="str">
        <f t="shared" si="1"/>
        <v/>
      </c>
      <c r="AI35" s="72">
        <f t="shared" si="11"/>
        <v>0</v>
      </c>
      <c r="AJ35" s="63"/>
      <c r="AK35" s="64">
        <f t="shared" si="4"/>
        <v>0</v>
      </c>
      <c r="AL35" s="66">
        <f>IFERROR(__xludf.DUMMYFUNCTION("""COMPUTED_VALUE"""),0.0)</f>
        <v>0</v>
      </c>
      <c r="AM35" s="66">
        <f>IFERROR(__xludf.DUMMYFUNCTION("""COMPUTED_VALUE"""),0.0)</f>
        <v>0</v>
      </c>
      <c r="AN35" s="66">
        <f>IFERROR(__xludf.DUMMYFUNCTION("""COMPUTED_VALUE"""),0.0)</f>
        <v>0</v>
      </c>
    </row>
    <row r="36" ht="15.75" customHeight="1">
      <c r="A36" s="82"/>
      <c r="B36" s="67"/>
      <c r="C36" s="77">
        <f>IFERROR(__xludf.DUMMYFUNCTION("""COMPUTED_VALUE"""),0.0)</f>
        <v>0</v>
      </c>
      <c r="D36" s="78">
        <f>IFERROR(__xludf.DUMMYFUNCTION("""COMPUTED_VALUE"""),0.0)</f>
        <v>0</v>
      </c>
      <c r="E36" s="70">
        <f t="shared" si="5"/>
        <v>0</v>
      </c>
      <c r="F36" s="67"/>
      <c r="G36" s="79">
        <f>IFERROR(__xludf.DUMMYFUNCTION("""COMPUTED_VALUE"""),0.0)</f>
        <v>0</v>
      </c>
      <c r="H36" s="78">
        <f>IFERROR(__xludf.DUMMYFUNCTION("""COMPUTED_VALUE"""),0.0)</f>
        <v>0</v>
      </c>
      <c r="I36" s="51">
        <f t="shared" si="6"/>
        <v>0</v>
      </c>
      <c r="J36" s="67"/>
      <c r="K36" s="79">
        <f>IFERROR(__xludf.DUMMYFUNCTION("""COMPUTED_VALUE"""),0.0)</f>
        <v>0</v>
      </c>
      <c r="L36" s="78">
        <f>IFERROR(__xludf.DUMMYFUNCTION("""COMPUTED_VALUE"""),0.0)</f>
        <v>0</v>
      </c>
      <c r="M36" s="51">
        <f t="shared" si="7"/>
        <v>0</v>
      </c>
      <c r="N36" s="31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55">
        <f t="shared" si="8"/>
        <v>33</v>
      </c>
      <c r="AC36" s="56">
        <f t="shared" si="2"/>
        <v>0</v>
      </c>
      <c r="AD36" s="57">
        <f t="shared" si="9"/>
        <v>0</v>
      </c>
      <c r="AE36" s="58"/>
      <c r="AF36" s="59"/>
      <c r="AG36" s="60">
        <f t="shared" si="10"/>
        <v>0</v>
      </c>
      <c r="AH36" s="61" t="str">
        <f t="shared" si="1"/>
        <v/>
      </c>
      <c r="AI36" s="72">
        <f t="shared" si="11"/>
        <v>0</v>
      </c>
      <c r="AJ36" s="63"/>
      <c r="AK36" s="64">
        <f t="shared" si="4"/>
        <v>0</v>
      </c>
      <c r="AL36" s="66">
        <f>IFERROR(__xludf.DUMMYFUNCTION("""COMPUTED_VALUE"""),0.0)</f>
        <v>0</v>
      </c>
      <c r="AM36" s="66">
        <f>IFERROR(__xludf.DUMMYFUNCTION("""COMPUTED_VALUE"""),0.0)</f>
        <v>0</v>
      </c>
      <c r="AN36" s="66">
        <f>IFERROR(__xludf.DUMMYFUNCTION("""COMPUTED_VALUE"""),0.0)</f>
        <v>0</v>
      </c>
    </row>
    <row r="37" ht="15.75" customHeight="1">
      <c r="A37" s="82"/>
      <c r="B37" s="67"/>
      <c r="C37" s="77">
        <f>IFERROR(__xludf.DUMMYFUNCTION("""COMPUTED_VALUE"""),0.0)</f>
        <v>0</v>
      </c>
      <c r="D37" s="78">
        <f>IFERROR(__xludf.DUMMYFUNCTION("""COMPUTED_VALUE"""),0.0)</f>
        <v>0</v>
      </c>
      <c r="E37" s="70">
        <f t="shared" si="5"/>
        <v>0</v>
      </c>
      <c r="F37" s="67"/>
      <c r="G37" s="79">
        <f>IFERROR(__xludf.DUMMYFUNCTION("""COMPUTED_VALUE"""),0.0)</f>
        <v>0</v>
      </c>
      <c r="H37" s="78">
        <f>IFERROR(__xludf.DUMMYFUNCTION("""COMPUTED_VALUE"""),0.0)</f>
        <v>0</v>
      </c>
      <c r="I37" s="51">
        <f t="shared" si="6"/>
        <v>0</v>
      </c>
      <c r="J37" s="67"/>
      <c r="K37" s="79">
        <f>IFERROR(__xludf.DUMMYFUNCTION("""COMPUTED_VALUE"""),0.0)</f>
        <v>0</v>
      </c>
      <c r="L37" s="78">
        <f>IFERROR(__xludf.DUMMYFUNCTION("""COMPUTED_VALUE"""),0.0)</f>
        <v>0</v>
      </c>
      <c r="M37" s="51">
        <f t="shared" si="7"/>
        <v>0</v>
      </c>
      <c r="N37" s="31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55">
        <f t="shared" si="8"/>
        <v>34</v>
      </c>
      <c r="AC37" s="56">
        <f t="shared" si="2"/>
        <v>0</v>
      </c>
      <c r="AD37" s="57">
        <f t="shared" si="9"/>
        <v>0</v>
      </c>
      <c r="AE37" s="58"/>
      <c r="AF37" s="59"/>
      <c r="AG37" s="60">
        <f t="shared" si="10"/>
        <v>0</v>
      </c>
      <c r="AH37" s="61" t="str">
        <f t="shared" si="1"/>
        <v/>
      </c>
      <c r="AI37" s="72">
        <f t="shared" si="11"/>
        <v>0</v>
      </c>
      <c r="AJ37" s="63"/>
      <c r="AK37" s="64">
        <f t="shared" si="4"/>
        <v>0</v>
      </c>
      <c r="AL37" s="66">
        <f>IFERROR(__xludf.DUMMYFUNCTION("""COMPUTED_VALUE"""),0.0)</f>
        <v>0</v>
      </c>
      <c r="AM37" s="66">
        <f>IFERROR(__xludf.DUMMYFUNCTION("""COMPUTED_VALUE"""),0.0)</f>
        <v>0</v>
      </c>
      <c r="AN37" s="66">
        <f>IFERROR(__xludf.DUMMYFUNCTION("""COMPUTED_VALUE"""),0.0)</f>
        <v>0</v>
      </c>
    </row>
    <row r="38" ht="15.75" customHeight="1">
      <c r="A38" s="82"/>
      <c r="B38" s="67"/>
      <c r="C38" s="77">
        <f>IFERROR(__xludf.DUMMYFUNCTION("""COMPUTED_VALUE"""),0.0)</f>
        <v>0</v>
      </c>
      <c r="D38" s="78">
        <f>IFERROR(__xludf.DUMMYFUNCTION("""COMPUTED_VALUE"""),0.0)</f>
        <v>0</v>
      </c>
      <c r="E38" s="70">
        <f t="shared" si="5"/>
        <v>0</v>
      </c>
      <c r="F38" s="67"/>
      <c r="G38" s="79">
        <f>IFERROR(__xludf.DUMMYFUNCTION("""COMPUTED_VALUE"""),0.0)</f>
        <v>0</v>
      </c>
      <c r="H38" s="78">
        <f>IFERROR(__xludf.DUMMYFUNCTION("""COMPUTED_VALUE"""),0.0)</f>
        <v>0</v>
      </c>
      <c r="I38" s="51">
        <f t="shared" si="6"/>
        <v>0</v>
      </c>
      <c r="J38" s="67"/>
      <c r="K38" s="79">
        <f>IFERROR(__xludf.DUMMYFUNCTION("""COMPUTED_VALUE"""),0.0)</f>
        <v>0</v>
      </c>
      <c r="L38" s="78">
        <f>IFERROR(__xludf.DUMMYFUNCTION("""COMPUTED_VALUE"""),0.0)</f>
        <v>0</v>
      </c>
      <c r="M38" s="51">
        <f t="shared" si="7"/>
        <v>0</v>
      </c>
      <c r="N38" s="31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55">
        <f t="shared" si="8"/>
        <v>35</v>
      </c>
      <c r="AC38" s="56">
        <f t="shared" si="2"/>
        <v>0</v>
      </c>
      <c r="AD38" s="57">
        <f t="shared" si="9"/>
        <v>0</v>
      </c>
      <c r="AE38" s="58"/>
      <c r="AF38" s="59"/>
      <c r="AG38" s="60">
        <f t="shared" si="10"/>
        <v>0</v>
      </c>
      <c r="AH38" s="61" t="str">
        <f t="shared" si="1"/>
        <v/>
      </c>
      <c r="AI38" s="72">
        <f t="shared" si="11"/>
        <v>0</v>
      </c>
      <c r="AJ38" s="63"/>
      <c r="AK38" s="64">
        <f t="shared" si="4"/>
        <v>0</v>
      </c>
      <c r="AL38" s="66">
        <f>IFERROR(__xludf.DUMMYFUNCTION("""COMPUTED_VALUE"""),0.0)</f>
        <v>0</v>
      </c>
      <c r="AM38" s="66">
        <f>IFERROR(__xludf.DUMMYFUNCTION("""COMPUTED_VALUE"""),0.0)</f>
        <v>0</v>
      </c>
      <c r="AN38" s="66">
        <f>IFERROR(__xludf.DUMMYFUNCTION("""COMPUTED_VALUE"""),0.0)</f>
        <v>0</v>
      </c>
    </row>
    <row r="39" ht="15.75" customHeight="1">
      <c r="A39" s="82"/>
      <c r="B39" s="67"/>
      <c r="C39" s="77">
        <f>IFERROR(__xludf.DUMMYFUNCTION("""COMPUTED_VALUE"""),0.0)</f>
        <v>0</v>
      </c>
      <c r="D39" s="78">
        <f>IFERROR(__xludf.DUMMYFUNCTION("""COMPUTED_VALUE"""),0.0)</f>
        <v>0</v>
      </c>
      <c r="E39" s="70">
        <f t="shared" si="5"/>
        <v>0</v>
      </c>
      <c r="F39" s="67"/>
      <c r="G39" s="79">
        <f>IFERROR(__xludf.DUMMYFUNCTION("""COMPUTED_VALUE"""),0.0)</f>
        <v>0</v>
      </c>
      <c r="H39" s="78">
        <f>IFERROR(__xludf.DUMMYFUNCTION("""COMPUTED_VALUE"""),0.0)</f>
        <v>0</v>
      </c>
      <c r="I39" s="51">
        <f t="shared" si="6"/>
        <v>0</v>
      </c>
      <c r="J39" s="67"/>
      <c r="K39" s="79">
        <f>IFERROR(__xludf.DUMMYFUNCTION("""COMPUTED_VALUE"""),0.0)</f>
        <v>0</v>
      </c>
      <c r="L39" s="78">
        <f>IFERROR(__xludf.DUMMYFUNCTION("""COMPUTED_VALUE"""),0.0)</f>
        <v>0</v>
      </c>
      <c r="M39" s="51">
        <f t="shared" si="7"/>
        <v>0</v>
      </c>
      <c r="N39" s="31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55">
        <f t="shared" si="8"/>
        <v>36</v>
      </c>
      <c r="AC39" s="56">
        <f t="shared" si="2"/>
        <v>0</v>
      </c>
      <c r="AD39" s="57">
        <f t="shared" si="9"/>
        <v>0</v>
      </c>
      <c r="AE39" s="58"/>
      <c r="AF39" s="59"/>
      <c r="AG39" s="60">
        <f t="shared" si="10"/>
        <v>0</v>
      </c>
      <c r="AH39" s="61" t="str">
        <f t="shared" si="1"/>
        <v/>
      </c>
      <c r="AI39" s="72">
        <f t="shared" si="11"/>
        <v>0</v>
      </c>
      <c r="AJ39" s="63"/>
      <c r="AK39" s="64">
        <f t="shared" si="4"/>
        <v>0</v>
      </c>
      <c r="AL39" s="66">
        <f>IFERROR(__xludf.DUMMYFUNCTION("""COMPUTED_VALUE"""),0.0)</f>
        <v>0</v>
      </c>
      <c r="AM39" s="66">
        <f>IFERROR(__xludf.DUMMYFUNCTION("""COMPUTED_VALUE"""),0.0)</f>
        <v>0</v>
      </c>
      <c r="AN39" s="66">
        <f>IFERROR(__xludf.DUMMYFUNCTION("""COMPUTED_VALUE"""),0.0)</f>
        <v>0</v>
      </c>
    </row>
    <row r="40" ht="15.75" customHeight="1">
      <c r="A40" s="82"/>
      <c r="B40" s="67"/>
      <c r="C40" s="77">
        <f>IFERROR(__xludf.DUMMYFUNCTION("""COMPUTED_VALUE"""),0.0)</f>
        <v>0</v>
      </c>
      <c r="D40" s="78">
        <f>IFERROR(__xludf.DUMMYFUNCTION("""COMPUTED_VALUE"""),0.0)</f>
        <v>0</v>
      </c>
      <c r="E40" s="70">
        <f t="shared" si="5"/>
        <v>0</v>
      </c>
      <c r="F40" s="67"/>
      <c r="G40" s="79">
        <f>IFERROR(__xludf.DUMMYFUNCTION("""COMPUTED_VALUE"""),0.0)</f>
        <v>0</v>
      </c>
      <c r="H40" s="78">
        <f>IFERROR(__xludf.DUMMYFUNCTION("""COMPUTED_VALUE"""),0.0)</f>
        <v>0</v>
      </c>
      <c r="I40" s="51">
        <f t="shared" si="6"/>
        <v>0</v>
      </c>
      <c r="J40" s="67"/>
      <c r="K40" s="79">
        <f>IFERROR(__xludf.DUMMYFUNCTION("""COMPUTED_VALUE"""),0.0)</f>
        <v>0</v>
      </c>
      <c r="L40" s="78">
        <f>IFERROR(__xludf.DUMMYFUNCTION("""COMPUTED_VALUE"""),0.0)</f>
        <v>0</v>
      </c>
      <c r="M40" s="51">
        <f t="shared" si="7"/>
        <v>0</v>
      </c>
      <c r="N40" s="31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55">
        <f t="shared" si="8"/>
        <v>37</v>
      </c>
      <c r="AC40" s="56">
        <f t="shared" si="2"/>
        <v>0</v>
      </c>
      <c r="AD40" s="57">
        <f t="shared" si="9"/>
        <v>0</v>
      </c>
      <c r="AE40" s="58"/>
      <c r="AF40" s="59"/>
      <c r="AG40" s="60">
        <f t="shared" si="10"/>
        <v>0</v>
      </c>
      <c r="AH40" s="61" t="str">
        <f t="shared" si="1"/>
        <v/>
      </c>
      <c r="AI40" s="72">
        <f t="shared" si="11"/>
        <v>0</v>
      </c>
      <c r="AJ40" s="63"/>
      <c r="AK40" s="64">
        <f t="shared" si="4"/>
        <v>0</v>
      </c>
      <c r="AL40" s="66">
        <f>IFERROR(__xludf.DUMMYFUNCTION("""COMPUTED_VALUE"""),0.0)</f>
        <v>0</v>
      </c>
      <c r="AM40" s="66">
        <f>IFERROR(__xludf.DUMMYFUNCTION("""COMPUTED_VALUE"""),0.0)</f>
        <v>0</v>
      </c>
      <c r="AN40" s="66">
        <f>IFERROR(__xludf.DUMMYFUNCTION("""COMPUTED_VALUE"""),0.0)</f>
        <v>0</v>
      </c>
    </row>
    <row r="41" ht="15.75" customHeight="1">
      <c r="A41" s="82"/>
      <c r="B41" s="67"/>
      <c r="C41" s="77">
        <f>IFERROR(__xludf.DUMMYFUNCTION("""COMPUTED_VALUE"""),0.0)</f>
        <v>0</v>
      </c>
      <c r="D41" s="78">
        <f>IFERROR(__xludf.DUMMYFUNCTION("""COMPUTED_VALUE"""),0.0)</f>
        <v>0</v>
      </c>
      <c r="E41" s="70">
        <f t="shared" si="5"/>
        <v>0</v>
      </c>
      <c r="F41" s="67"/>
      <c r="G41" s="79">
        <f>IFERROR(__xludf.DUMMYFUNCTION("""COMPUTED_VALUE"""),0.0)</f>
        <v>0</v>
      </c>
      <c r="H41" s="78">
        <f>IFERROR(__xludf.DUMMYFUNCTION("""COMPUTED_VALUE"""),0.0)</f>
        <v>0</v>
      </c>
      <c r="I41" s="51">
        <f t="shared" si="6"/>
        <v>0</v>
      </c>
      <c r="J41" s="67"/>
      <c r="K41" s="79">
        <f>IFERROR(__xludf.DUMMYFUNCTION("""COMPUTED_VALUE"""),0.0)</f>
        <v>0</v>
      </c>
      <c r="L41" s="83">
        <f>IFERROR(__xludf.DUMMYFUNCTION("""COMPUTED_VALUE"""),0.0)</f>
        <v>0</v>
      </c>
      <c r="M41" s="51">
        <f t="shared" si="7"/>
        <v>0</v>
      </c>
      <c r="N41" s="31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55">
        <f t="shared" si="8"/>
        <v>38</v>
      </c>
      <c r="AC41" s="56">
        <f t="shared" si="2"/>
        <v>0</v>
      </c>
      <c r="AD41" s="57">
        <f t="shared" si="9"/>
        <v>0</v>
      </c>
      <c r="AE41" s="58"/>
      <c r="AF41" s="59"/>
      <c r="AG41" s="60">
        <f t="shared" si="10"/>
        <v>0</v>
      </c>
      <c r="AH41" s="61" t="str">
        <f t="shared" si="1"/>
        <v/>
      </c>
      <c r="AI41" s="72">
        <f t="shared" si="11"/>
        <v>0</v>
      </c>
      <c r="AJ41" s="63"/>
      <c r="AK41" s="64">
        <f t="shared" si="4"/>
        <v>0</v>
      </c>
      <c r="AL41" s="66">
        <f>IFERROR(__xludf.DUMMYFUNCTION("""COMPUTED_VALUE"""),0.0)</f>
        <v>0</v>
      </c>
      <c r="AM41" s="66">
        <f>IFERROR(__xludf.DUMMYFUNCTION("""COMPUTED_VALUE"""),0.0)</f>
        <v>0</v>
      </c>
      <c r="AN41" s="66">
        <f>IFERROR(__xludf.DUMMYFUNCTION("""COMPUTED_VALUE"""),0.0)</f>
        <v>0</v>
      </c>
    </row>
    <row r="42" ht="15.75" customHeight="1">
      <c r="A42" s="82"/>
      <c r="B42" s="67"/>
      <c r="C42" s="77">
        <f>IFERROR(__xludf.DUMMYFUNCTION("""COMPUTED_VALUE"""),0.0)</f>
        <v>0</v>
      </c>
      <c r="D42" s="78">
        <f>IFERROR(__xludf.DUMMYFUNCTION("""COMPUTED_VALUE"""),0.0)</f>
        <v>0</v>
      </c>
      <c r="E42" s="70">
        <f t="shared" si="5"/>
        <v>0</v>
      </c>
      <c r="F42" s="67"/>
      <c r="G42" s="79">
        <f>IFERROR(__xludf.DUMMYFUNCTION("""COMPUTED_VALUE"""),0.0)</f>
        <v>0</v>
      </c>
      <c r="H42" s="78">
        <f>IFERROR(__xludf.DUMMYFUNCTION("""COMPUTED_VALUE"""),0.0)</f>
        <v>0</v>
      </c>
      <c r="I42" s="51">
        <f t="shared" si="6"/>
        <v>0</v>
      </c>
      <c r="J42" s="67"/>
      <c r="K42" s="79">
        <f>IFERROR(__xludf.DUMMYFUNCTION("""COMPUTED_VALUE"""),0.0)</f>
        <v>0</v>
      </c>
      <c r="L42" s="78">
        <f>IFERROR(__xludf.DUMMYFUNCTION("""COMPUTED_VALUE"""),0.0)</f>
        <v>0</v>
      </c>
      <c r="M42" s="51">
        <f t="shared" si="7"/>
        <v>0</v>
      </c>
      <c r="N42" s="31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55">
        <f t="shared" si="8"/>
        <v>39</v>
      </c>
      <c r="AC42" s="56">
        <f t="shared" si="2"/>
        <v>0</v>
      </c>
      <c r="AD42" s="57">
        <f t="shared" si="9"/>
        <v>0</v>
      </c>
      <c r="AE42" s="58"/>
      <c r="AF42" s="59"/>
      <c r="AG42" s="60">
        <f t="shared" si="10"/>
        <v>0</v>
      </c>
      <c r="AH42" s="61" t="str">
        <f t="shared" si="1"/>
        <v/>
      </c>
      <c r="AI42" s="72">
        <f t="shared" si="11"/>
        <v>0</v>
      </c>
      <c r="AJ42" s="63"/>
      <c r="AK42" s="64">
        <f t="shared" si="4"/>
        <v>0</v>
      </c>
      <c r="AL42" s="66">
        <f>IFERROR(__xludf.DUMMYFUNCTION("""COMPUTED_VALUE"""),0.0)</f>
        <v>0</v>
      </c>
      <c r="AM42" s="66">
        <f>IFERROR(__xludf.DUMMYFUNCTION("""COMPUTED_VALUE"""),0.0)</f>
        <v>0</v>
      </c>
      <c r="AN42" s="66">
        <f>IFERROR(__xludf.DUMMYFUNCTION("""COMPUTED_VALUE"""),0.0)</f>
        <v>0</v>
      </c>
    </row>
    <row r="43" ht="15.75" customHeight="1">
      <c r="A43" s="82" t="s">
        <v>40</v>
      </c>
      <c r="B43" s="67"/>
      <c r="C43" s="77">
        <f>IFERROR(__xludf.DUMMYFUNCTION("""COMPUTED_VALUE"""),0.0)</f>
        <v>0</v>
      </c>
      <c r="D43" s="78">
        <f>IFERROR(__xludf.DUMMYFUNCTION("""COMPUTED_VALUE"""),0.0)</f>
        <v>0</v>
      </c>
      <c r="E43" s="70">
        <f t="shared" si="5"/>
        <v>0</v>
      </c>
      <c r="F43" s="67"/>
      <c r="G43" s="79">
        <f>IFERROR(__xludf.DUMMYFUNCTION("""COMPUTED_VALUE"""),0.0)</f>
        <v>0</v>
      </c>
      <c r="H43" s="78">
        <f>IFERROR(__xludf.DUMMYFUNCTION("""COMPUTED_VALUE"""),0.0)</f>
        <v>0</v>
      </c>
      <c r="I43" s="51">
        <f t="shared" si="6"/>
        <v>0</v>
      </c>
      <c r="J43" s="67"/>
      <c r="K43" s="79">
        <f>IFERROR(__xludf.DUMMYFUNCTION("""COMPUTED_VALUE"""),0.0)</f>
        <v>0</v>
      </c>
      <c r="L43" s="78">
        <f>IFERROR(__xludf.DUMMYFUNCTION("""COMPUTED_VALUE"""),0.0)</f>
        <v>0</v>
      </c>
      <c r="M43" s="51">
        <f t="shared" si="7"/>
        <v>0</v>
      </c>
      <c r="N43" s="31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55">
        <f t="shared" si="8"/>
        <v>40</v>
      </c>
      <c r="AC43" s="56">
        <f t="shared" si="2"/>
        <v>0</v>
      </c>
      <c r="AD43" s="57">
        <f t="shared" si="9"/>
        <v>0</v>
      </c>
      <c r="AE43" s="58"/>
      <c r="AF43" s="59"/>
      <c r="AG43" s="60">
        <f t="shared" si="10"/>
        <v>0</v>
      </c>
      <c r="AH43" s="61" t="str">
        <f t="shared" si="1"/>
        <v>End</v>
      </c>
      <c r="AI43" s="72">
        <f t="shared" si="11"/>
        <v>0</v>
      </c>
      <c r="AJ43" s="63"/>
      <c r="AK43" s="64">
        <f t="shared" si="4"/>
        <v>0</v>
      </c>
      <c r="AL43" s="66">
        <f>IFERROR(__xludf.DUMMYFUNCTION("""COMPUTED_VALUE"""),0.0)</f>
        <v>0</v>
      </c>
      <c r="AM43" s="66">
        <f>IFERROR(__xludf.DUMMYFUNCTION("""COMPUTED_VALUE"""),0.0)</f>
        <v>0</v>
      </c>
      <c r="AN43" s="66">
        <f>IFERROR(__xludf.DUMMYFUNCTION("""COMPUTED_VALUE"""),0.0)</f>
        <v>0</v>
      </c>
    </row>
    <row r="44" ht="15.75" customHeight="1">
      <c r="A44" s="84" t="s">
        <v>41</v>
      </c>
      <c r="B44" s="85"/>
      <c r="C44" s="86">
        <f t="shared" ref="C44:E44" si="12">SUM(C4:C43)</f>
        <v>568.5</v>
      </c>
      <c r="D44" s="87">
        <f t="shared" si="12"/>
        <v>48920</v>
      </c>
      <c r="E44" s="88">
        <f t="shared" si="12"/>
        <v>87499.47059</v>
      </c>
      <c r="F44" s="85"/>
      <c r="G44" s="86">
        <f t="shared" ref="G44:I44" si="13">SUM(G4:G43)</f>
        <v>921</v>
      </c>
      <c r="H44" s="87">
        <f t="shared" si="13"/>
        <v>337350.9677</v>
      </c>
      <c r="I44" s="89">
        <f t="shared" si="13"/>
        <v>581858.6433</v>
      </c>
      <c r="J44" s="85"/>
      <c r="K44" s="90">
        <f t="shared" ref="K44:M44" si="14">SUM(K4:K43)</f>
        <v>646</v>
      </c>
      <c r="L44" s="91">
        <f t="shared" si="14"/>
        <v>91630</v>
      </c>
      <c r="M44" s="92">
        <f t="shared" si="14"/>
        <v>169515.5</v>
      </c>
      <c r="N44" s="31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93">
        <f>SUM(AC4:AC43)</f>
        <v>2135.5</v>
      </c>
      <c r="AD44" s="94">
        <f>SUM(AD5:AD43)</f>
        <v>234030</v>
      </c>
      <c r="AE44" s="95"/>
      <c r="AF44" s="96"/>
      <c r="AG44" s="94">
        <f t="shared" si="10"/>
        <v>838873.6139</v>
      </c>
      <c r="AH44" s="97" t="str">
        <f t="shared" si="1"/>
        <v>Suma instor</v>
      </c>
      <c r="AI44" s="98">
        <f>SUM(AI4:AI43)</f>
        <v>314030</v>
      </c>
      <c r="AJ44" s="63"/>
      <c r="AK44" s="9"/>
      <c r="BH44" s="43"/>
    </row>
    <row r="45" ht="15.75" customHeight="1">
      <c r="A45" s="99"/>
      <c r="B45" s="100"/>
      <c r="C45" s="99"/>
      <c r="D45" s="76"/>
      <c r="E45" s="101"/>
      <c r="F45" s="100"/>
      <c r="G45" s="76"/>
      <c r="H45" s="76"/>
      <c r="I45" s="102"/>
      <c r="J45" s="31"/>
      <c r="K45" s="31"/>
      <c r="L45" s="31"/>
      <c r="M45" s="31"/>
      <c r="N45" s="31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103"/>
      <c r="AE45" s="66"/>
      <c r="AF45" s="99"/>
      <c r="AG45" s="76"/>
      <c r="AH45" s="104"/>
      <c r="AI45" s="103"/>
      <c r="AJ45" s="63"/>
      <c r="AK45" s="9"/>
      <c r="BH45" s="43"/>
    </row>
    <row r="46" ht="15.75" hidden="1" customHeight="1">
      <c r="A46" s="99"/>
      <c r="B46" s="100"/>
      <c r="C46" s="99"/>
      <c r="D46" s="76"/>
      <c r="E46" s="101"/>
      <c r="F46" s="100"/>
      <c r="G46" s="76"/>
      <c r="H46" s="76"/>
      <c r="I46" s="102"/>
      <c r="J46" s="31"/>
      <c r="K46" s="31"/>
      <c r="L46" s="31"/>
      <c r="M46" s="31"/>
      <c r="N46" s="31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103"/>
      <c r="AE46" s="66"/>
      <c r="AF46" s="99"/>
      <c r="AG46" s="76"/>
      <c r="AH46" s="104"/>
      <c r="AI46" s="103"/>
      <c r="AJ46" s="63"/>
      <c r="AK46" s="9"/>
      <c r="BH46" s="43"/>
    </row>
    <row r="47" ht="15.75" hidden="1" customHeight="1">
      <c r="A47" s="99"/>
      <c r="B47" s="100"/>
      <c r="C47" s="99"/>
      <c r="D47" s="76"/>
      <c r="E47" s="101"/>
      <c r="F47" s="100"/>
      <c r="G47" s="76"/>
      <c r="H47" s="76"/>
      <c r="I47" s="102"/>
      <c r="J47" s="31"/>
      <c r="K47" s="31"/>
      <c r="L47" s="31"/>
      <c r="M47" s="31"/>
      <c r="N47" s="31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3"/>
      <c r="AE47" s="66"/>
      <c r="AF47" s="99"/>
      <c r="AG47" s="76"/>
      <c r="AH47" s="104"/>
      <c r="AI47" s="103"/>
      <c r="AJ47" s="63"/>
      <c r="AK47" s="9"/>
      <c r="BH47" s="43"/>
    </row>
    <row r="48" ht="15.75" hidden="1" customHeight="1">
      <c r="A48" s="99"/>
      <c r="B48" s="100"/>
      <c r="C48" s="99"/>
      <c r="D48" s="76"/>
      <c r="E48" s="101"/>
      <c r="F48" s="100"/>
      <c r="G48" s="76"/>
      <c r="H48" s="76"/>
      <c r="I48" s="102"/>
      <c r="J48" s="31"/>
      <c r="K48" s="31"/>
      <c r="L48" s="31"/>
      <c r="M48" s="31"/>
      <c r="N48" s="31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103"/>
      <c r="AE48" s="66"/>
      <c r="AF48" s="99"/>
      <c r="AG48" s="76"/>
      <c r="AH48" s="104"/>
      <c r="AI48" s="103"/>
      <c r="AJ48" s="105"/>
      <c r="AK48" s="9"/>
      <c r="BH48" s="43"/>
    </row>
    <row r="49" ht="15.75" hidden="1" customHeight="1">
      <c r="A49" s="99"/>
      <c r="B49" s="100"/>
      <c r="C49" s="99"/>
      <c r="D49" s="76"/>
      <c r="E49" s="101"/>
      <c r="F49" s="100"/>
      <c r="G49" s="76"/>
      <c r="H49" s="76"/>
      <c r="I49" s="102"/>
      <c r="J49" s="31"/>
      <c r="K49" s="31"/>
      <c r="L49" s="31"/>
      <c r="M49" s="31"/>
      <c r="N49" s="31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103"/>
      <c r="AE49" s="66"/>
      <c r="AF49" s="99"/>
      <c r="AG49" s="76"/>
      <c r="AH49" s="104"/>
      <c r="AI49" s="103"/>
      <c r="AJ49" s="105"/>
      <c r="AK49" s="9"/>
      <c r="BH49" s="43"/>
    </row>
    <row r="50" ht="15.75" hidden="1" customHeight="1">
      <c r="A50" s="99"/>
      <c r="B50" s="100"/>
      <c r="C50" s="99"/>
      <c r="D50" s="76"/>
      <c r="E50" s="101"/>
      <c r="F50" s="100"/>
      <c r="G50" s="76"/>
      <c r="H50" s="76"/>
      <c r="I50" s="102"/>
      <c r="J50" s="31"/>
      <c r="K50" s="31"/>
      <c r="L50" s="31"/>
      <c r="M50" s="31"/>
      <c r="N50" s="31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103"/>
      <c r="AE50" s="66"/>
      <c r="AF50" s="99"/>
      <c r="AG50" s="76"/>
      <c r="AH50" s="104"/>
      <c r="AI50" s="103"/>
      <c r="AJ50" s="105"/>
      <c r="AK50" s="9"/>
      <c r="BH50" s="43"/>
    </row>
    <row r="51" ht="15.75" hidden="1" customHeight="1">
      <c r="A51" s="99"/>
      <c r="B51" s="100"/>
      <c r="C51" s="99"/>
      <c r="D51" s="76"/>
      <c r="E51" s="101"/>
      <c r="F51" s="100"/>
      <c r="G51" s="76"/>
      <c r="H51" s="76"/>
      <c r="I51" s="102"/>
      <c r="J51" s="31"/>
      <c r="K51" s="31"/>
      <c r="L51" s="31"/>
      <c r="M51" s="31"/>
      <c r="N51" s="31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103"/>
      <c r="AE51" s="66"/>
      <c r="AF51" s="99"/>
      <c r="AG51" s="76"/>
      <c r="AH51" s="104"/>
      <c r="AI51" s="103"/>
      <c r="AJ51" s="105"/>
      <c r="AK51" s="9"/>
      <c r="BH51" s="43"/>
    </row>
    <row r="52" ht="15.75" hidden="1" customHeight="1">
      <c r="A52" s="99"/>
      <c r="B52" s="100"/>
      <c r="C52" s="99"/>
      <c r="D52" s="76"/>
      <c r="E52" s="101"/>
      <c r="F52" s="100"/>
      <c r="G52" s="76"/>
      <c r="H52" s="76"/>
      <c r="I52" s="102"/>
      <c r="J52" s="31"/>
      <c r="K52" s="31"/>
      <c r="L52" s="31"/>
      <c r="M52" s="31"/>
      <c r="N52" s="31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3"/>
      <c r="AE52" s="66"/>
      <c r="AF52" s="99"/>
      <c r="AG52" s="76"/>
      <c r="AH52" s="104"/>
      <c r="AI52" s="103"/>
      <c r="AJ52" s="105"/>
      <c r="AK52" s="9"/>
      <c r="BH52" s="43"/>
    </row>
    <row r="53" ht="15.75" hidden="1" customHeight="1">
      <c r="A53" s="99"/>
      <c r="B53" s="100"/>
      <c r="C53" s="99"/>
      <c r="D53" s="76"/>
      <c r="E53" s="101"/>
      <c r="F53" s="100"/>
      <c r="G53" s="76"/>
      <c r="H53" s="76"/>
      <c r="I53" s="102"/>
      <c r="J53" s="31"/>
      <c r="K53" s="31"/>
      <c r="L53" s="31"/>
      <c r="M53" s="31"/>
      <c r="N53" s="31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103"/>
      <c r="AE53" s="66"/>
      <c r="AF53" s="99"/>
      <c r="AG53" s="76"/>
      <c r="AH53" s="104"/>
      <c r="AI53" s="103"/>
      <c r="AJ53" s="105"/>
      <c r="AK53" s="9"/>
      <c r="BH53" s="43"/>
    </row>
    <row r="54" ht="15.75" hidden="1" customHeight="1">
      <c r="A54" s="99"/>
      <c r="B54" s="100"/>
      <c r="C54" s="99"/>
      <c r="D54" s="76"/>
      <c r="E54" s="101"/>
      <c r="F54" s="100"/>
      <c r="G54" s="76"/>
      <c r="H54" s="76"/>
      <c r="I54" s="102"/>
      <c r="J54" s="31"/>
      <c r="K54" s="31"/>
      <c r="L54" s="31"/>
      <c r="M54" s="31"/>
      <c r="N54" s="31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103"/>
      <c r="AE54" s="66"/>
      <c r="AF54" s="99"/>
      <c r="AG54" s="76"/>
      <c r="AH54" s="104"/>
      <c r="AI54" s="103"/>
      <c r="AJ54" s="105"/>
      <c r="AK54" s="9"/>
      <c r="BH54" s="43"/>
    </row>
    <row r="55" ht="15.75" hidden="1" customHeight="1">
      <c r="A55" s="99"/>
      <c r="B55" s="100"/>
      <c r="C55" s="99"/>
      <c r="D55" s="76"/>
      <c r="E55" s="101"/>
      <c r="F55" s="100"/>
      <c r="G55" s="76"/>
      <c r="H55" s="76"/>
      <c r="I55" s="102"/>
      <c r="J55" s="31"/>
      <c r="K55" s="31"/>
      <c r="L55" s="31"/>
      <c r="M55" s="31"/>
      <c r="N55" s="31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103"/>
      <c r="AE55" s="66"/>
      <c r="AF55" s="99"/>
      <c r="AG55" s="76"/>
      <c r="AH55" s="104"/>
      <c r="AI55" s="103"/>
      <c r="AJ55" s="105"/>
      <c r="AK55" s="9"/>
      <c r="BH55" s="43"/>
    </row>
    <row r="56" ht="15.75" hidden="1" customHeight="1">
      <c r="A56" s="99"/>
      <c r="B56" s="100"/>
      <c r="C56" s="99"/>
      <c r="D56" s="76"/>
      <c r="E56" s="101"/>
      <c r="F56" s="100"/>
      <c r="G56" s="76"/>
      <c r="H56" s="76"/>
      <c r="I56" s="102"/>
      <c r="J56" s="31"/>
      <c r="K56" s="31"/>
      <c r="L56" s="31"/>
      <c r="M56" s="31"/>
      <c r="N56" s="31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103"/>
      <c r="AE56" s="66"/>
      <c r="AF56" s="99"/>
      <c r="AG56" s="76"/>
      <c r="AH56" s="104"/>
      <c r="AI56" s="103"/>
      <c r="AJ56" s="105"/>
      <c r="AK56" s="9"/>
      <c r="BH56" s="43"/>
    </row>
    <row r="57" ht="15.75" hidden="1" customHeight="1">
      <c r="A57" s="99"/>
      <c r="B57" s="100"/>
      <c r="C57" s="99"/>
      <c r="D57" s="76"/>
      <c r="E57" s="101"/>
      <c r="F57" s="100"/>
      <c r="G57" s="76"/>
      <c r="H57" s="76"/>
      <c r="I57" s="102"/>
      <c r="J57" s="31"/>
      <c r="K57" s="31"/>
      <c r="L57" s="31"/>
      <c r="M57" s="31"/>
      <c r="N57" s="31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103"/>
      <c r="AE57" s="66"/>
      <c r="AF57" s="99"/>
      <c r="AG57" s="76"/>
      <c r="AH57" s="104"/>
      <c r="AI57" s="103"/>
      <c r="AJ57" s="105"/>
      <c r="AK57" s="9"/>
      <c r="BH57" s="43"/>
    </row>
    <row r="58" ht="15.75" hidden="1" customHeight="1">
      <c r="A58" s="99"/>
      <c r="B58" s="100"/>
      <c r="C58" s="99"/>
      <c r="D58" s="76"/>
      <c r="E58" s="101"/>
      <c r="F58" s="100"/>
      <c r="G58" s="76"/>
      <c r="H58" s="76"/>
      <c r="I58" s="102"/>
      <c r="J58" s="31"/>
      <c r="K58" s="31"/>
      <c r="L58" s="31"/>
      <c r="M58" s="31"/>
      <c r="N58" s="31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103"/>
      <c r="AE58" s="66"/>
      <c r="AF58" s="99"/>
      <c r="AG58" s="76"/>
      <c r="AH58" s="104"/>
      <c r="AI58" s="103"/>
      <c r="AJ58" s="105"/>
      <c r="AK58" s="9"/>
      <c r="BH58" s="43"/>
    </row>
    <row r="59" ht="15.75" hidden="1" customHeight="1">
      <c r="A59" s="99"/>
      <c r="B59" s="100"/>
      <c r="C59" s="99"/>
      <c r="D59" s="76"/>
      <c r="E59" s="101"/>
      <c r="F59" s="100"/>
      <c r="G59" s="76"/>
      <c r="H59" s="76"/>
      <c r="I59" s="102"/>
      <c r="J59" s="31"/>
      <c r="K59" s="31"/>
      <c r="L59" s="31"/>
      <c r="M59" s="31"/>
      <c r="N59" s="31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103"/>
      <c r="AE59" s="66"/>
      <c r="AF59" s="99"/>
      <c r="AG59" s="76"/>
      <c r="AH59" s="104"/>
      <c r="AI59" s="103"/>
      <c r="AJ59" s="105"/>
      <c r="AK59" s="9"/>
      <c r="BH59" s="43"/>
    </row>
    <row r="60" ht="15.75" hidden="1" customHeight="1">
      <c r="A60" s="99"/>
      <c r="B60" s="100"/>
      <c r="C60" s="99"/>
      <c r="D60" s="76"/>
      <c r="E60" s="101"/>
      <c r="F60" s="100"/>
      <c r="G60" s="76"/>
      <c r="H60" s="76"/>
      <c r="I60" s="102"/>
      <c r="J60" s="31"/>
      <c r="K60" s="31"/>
      <c r="L60" s="31"/>
      <c r="M60" s="31"/>
      <c r="N60" s="31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103"/>
      <c r="AE60" s="66"/>
      <c r="AF60" s="99"/>
      <c r="AG60" s="76"/>
      <c r="AH60" s="104"/>
      <c r="AI60" s="103"/>
      <c r="AJ60" s="105"/>
      <c r="AK60" s="9"/>
      <c r="BH60" s="43"/>
    </row>
    <row r="61" ht="15.75" hidden="1" customHeight="1">
      <c r="A61" s="99"/>
      <c r="B61" s="100"/>
      <c r="C61" s="99"/>
      <c r="D61" s="76"/>
      <c r="E61" s="101"/>
      <c r="F61" s="100"/>
      <c r="G61" s="76"/>
      <c r="H61" s="76"/>
      <c r="I61" s="102"/>
      <c r="J61" s="31"/>
      <c r="K61" s="31"/>
      <c r="L61" s="31"/>
      <c r="M61" s="31"/>
      <c r="N61" s="31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103"/>
      <c r="AE61" s="66"/>
      <c r="AF61" s="99"/>
      <c r="AG61" s="76"/>
      <c r="AH61" s="104"/>
      <c r="AI61" s="103"/>
      <c r="AJ61" s="105"/>
      <c r="AK61" s="9"/>
      <c r="BH61" s="43"/>
    </row>
    <row r="62" ht="15.75" hidden="1" customHeight="1">
      <c r="A62" s="99"/>
      <c r="B62" s="100"/>
      <c r="C62" s="99"/>
      <c r="D62" s="76"/>
      <c r="E62" s="101"/>
      <c r="F62" s="100"/>
      <c r="G62" s="76"/>
      <c r="H62" s="76"/>
      <c r="I62" s="102"/>
      <c r="J62" s="31"/>
      <c r="K62" s="31"/>
      <c r="L62" s="31"/>
      <c r="M62" s="31"/>
      <c r="N62" s="31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103"/>
      <c r="AE62" s="66"/>
      <c r="AF62" s="99"/>
      <c r="AG62" s="76"/>
      <c r="AH62" s="104"/>
      <c r="AI62" s="103"/>
      <c r="AJ62" s="105"/>
      <c r="AK62" s="9"/>
      <c r="BH62" s="43"/>
    </row>
    <row r="63" ht="15.75" hidden="1" customHeight="1">
      <c r="A63" s="99"/>
      <c r="B63" s="100"/>
      <c r="C63" s="99"/>
      <c r="D63" s="76"/>
      <c r="E63" s="101"/>
      <c r="F63" s="100"/>
      <c r="G63" s="76"/>
      <c r="H63" s="76"/>
      <c r="I63" s="102"/>
      <c r="J63" s="31"/>
      <c r="K63" s="31"/>
      <c r="L63" s="31"/>
      <c r="M63" s="31"/>
      <c r="N63" s="31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103"/>
      <c r="AE63" s="66"/>
      <c r="AF63" s="99"/>
      <c r="AG63" s="76"/>
      <c r="AH63" s="104"/>
      <c r="AI63" s="103"/>
      <c r="AJ63" s="105"/>
      <c r="AK63" s="9"/>
      <c r="BH63" s="43"/>
    </row>
    <row r="64" ht="15.75" hidden="1" customHeight="1">
      <c r="A64" s="99"/>
      <c r="B64" s="100"/>
      <c r="C64" s="99"/>
      <c r="D64" s="76"/>
      <c r="E64" s="101"/>
      <c r="F64" s="100"/>
      <c r="G64" s="76"/>
      <c r="H64" s="76"/>
      <c r="I64" s="102"/>
      <c r="J64" s="31"/>
      <c r="K64" s="31"/>
      <c r="L64" s="31"/>
      <c r="M64" s="31"/>
      <c r="N64" s="31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103"/>
      <c r="AE64" s="66"/>
      <c r="AF64" s="99"/>
      <c r="AG64" s="76"/>
      <c r="AH64" s="104"/>
      <c r="AI64" s="103"/>
      <c r="AJ64" s="105"/>
      <c r="AK64" s="9"/>
      <c r="BH64" s="43"/>
    </row>
    <row r="65" ht="15.75" hidden="1" customHeight="1">
      <c r="A65" s="99"/>
      <c r="B65" s="100"/>
      <c r="C65" s="99"/>
      <c r="D65" s="76"/>
      <c r="E65" s="101"/>
      <c r="F65" s="100"/>
      <c r="G65" s="76"/>
      <c r="H65" s="76"/>
      <c r="I65" s="102"/>
      <c r="J65" s="31"/>
      <c r="K65" s="31"/>
      <c r="L65" s="31"/>
      <c r="M65" s="31"/>
      <c r="N65" s="31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103"/>
      <c r="AE65" s="66"/>
      <c r="AF65" s="99"/>
      <c r="AG65" s="76"/>
      <c r="AH65" s="104"/>
      <c r="AI65" s="103"/>
      <c r="AJ65" s="105"/>
      <c r="AK65" s="9"/>
      <c r="BH65" s="43"/>
    </row>
    <row r="66" ht="15.75" hidden="1" customHeight="1">
      <c r="A66" s="99"/>
      <c r="B66" s="100"/>
      <c r="C66" s="99"/>
      <c r="D66" s="76"/>
      <c r="E66" s="101"/>
      <c r="F66" s="100"/>
      <c r="G66" s="76"/>
      <c r="H66" s="76"/>
      <c r="I66" s="102"/>
      <c r="J66" s="31"/>
      <c r="K66" s="31"/>
      <c r="L66" s="31"/>
      <c r="M66" s="31"/>
      <c r="N66" s="31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103"/>
      <c r="AE66" s="66"/>
      <c r="AF66" s="99"/>
      <c r="AG66" s="76"/>
      <c r="AH66" s="104"/>
      <c r="AI66" s="103"/>
      <c r="AJ66" s="105"/>
      <c r="AK66" s="9"/>
      <c r="BH66" s="43"/>
    </row>
    <row r="67" ht="15.75" hidden="1" customHeight="1">
      <c r="A67" s="99"/>
      <c r="B67" s="100"/>
      <c r="C67" s="99"/>
      <c r="D67" s="76"/>
      <c r="E67" s="101"/>
      <c r="F67" s="100"/>
      <c r="G67" s="76"/>
      <c r="H67" s="76"/>
      <c r="I67" s="102"/>
      <c r="J67" s="31"/>
      <c r="K67" s="31"/>
      <c r="L67" s="31"/>
      <c r="M67" s="31"/>
      <c r="N67" s="31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103"/>
      <c r="AE67" s="66"/>
      <c r="AF67" s="99"/>
      <c r="AG67" s="76"/>
      <c r="AH67" s="104"/>
      <c r="AI67" s="103"/>
      <c r="AJ67" s="105"/>
      <c r="AK67" s="9"/>
      <c r="BH67" s="43"/>
    </row>
    <row r="68" ht="15.75" hidden="1" customHeight="1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K68" s="9"/>
      <c r="BH68" s="43"/>
    </row>
    <row r="69" ht="15.75" hidden="1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K69" s="9"/>
      <c r="BH69" s="43"/>
    </row>
    <row r="70" ht="15.75" hidden="1" customHeight="1">
      <c r="A70" s="106"/>
      <c r="B70" s="107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99"/>
      <c r="AF70" s="99"/>
      <c r="AG70" s="99"/>
      <c r="AH70" s="99"/>
      <c r="AI70" s="99"/>
      <c r="AK70" s="9"/>
    </row>
    <row r="71" ht="15.75" customHeight="1">
      <c r="A71" s="106"/>
      <c r="B71" s="107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99"/>
      <c r="AF71" s="99"/>
      <c r="AG71" s="99"/>
      <c r="AH71" s="99"/>
      <c r="AI71" s="99"/>
      <c r="AK71" s="9"/>
    </row>
    <row r="72" ht="15.75" customHeight="1">
      <c r="A72" s="109" t="s">
        <v>42</v>
      </c>
      <c r="B72" s="21" t="s">
        <v>7</v>
      </c>
      <c r="C72" s="22"/>
      <c r="D72" s="23" t="str">
        <f>D3</f>
        <v>Mzda</v>
      </c>
      <c r="E72" s="24" t="s">
        <v>9</v>
      </c>
      <c r="F72" s="25" t="s">
        <v>7</v>
      </c>
      <c r="G72" s="22"/>
      <c r="H72" s="26" t="str">
        <f>D3</f>
        <v>Mzda</v>
      </c>
      <c r="I72" s="27" t="s">
        <v>9</v>
      </c>
      <c r="J72" s="110" t="s">
        <v>7</v>
      </c>
      <c r="K72" s="111"/>
      <c r="L72" s="29" t="str">
        <f>H3</f>
        <v>Mzda</v>
      </c>
      <c r="M72" s="30" t="s">
        <v>9</v>
      </c>
      <c r="N72" s="112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3" t="s">
        <v>43</v>
      </c>
      <c r="AD72" s="34" t="str">
        <f>AD3</f>
        <v>Mzda</v>
      </c>
      <c r="AE72" s="35" t="s">
        <v>14</v>
      </c>
      <c r="AF72" s="36" t="s">
        <v>15</v>
      </c>
      <c r="AG72" s="37" t="s">
        <v>9</v>
      </c>
      <c r="AH72" s="38" t="str">
        <f t="shared" ref="AH72:AH172" si="16">A72</f>
        <v>Kurýr</v>
      </c>
      <c r="AI72" s="39" t="s">
        <v>16</v>
      </c>
      <c r="AJ72" s="105"/>
      <c r="AK72" s="113" t="s">
        <v>17</v>
      </c>
      <c r="AL72" s="114" t="s">
        <v>18</v>
      </c>
      <c r="AM72" s="114" t="s">
        <v>19</v>
      </c>
      <c r="AN72" s="114" t="s">
        <v>20</v>
      </c>
    </row>
    <row r="73" ht="15.75" customHeight="1">
      <c r="A73" s="115" t="s">
        <v>29</v>
      </c>
      <c r="B73" s="116" t="str">
        <f>B4</f>
        <v>Petrovice</v>
      </c>
      <c r="C73" s="117">
        <f>IFERROR(__xludf.DUMMYFUNCTION("IMPORTRANGE(Linkovani!C10, ""rez!Q4:R103"")"),11.5)</f>
        <v>11.5</v>
      </c>
      <c r="D73" s="118">
        <f>IFERROR(__xludf.DUMMYFUNCTION("""COMPUTED_VALUE"""),1150.0)</f>
        <v>1150</v>
      </c>
      <c r="E73" s="70">
        <f t="shared" ref="E73:E172" si="17">IF(AF73=1.15,C73*AE73/85*100,C73*AE73*AF73)</f>
        <v>1352.941176</v>
      </c>
      <c r="F73" s="119" t="str">
        <f>F4</f>
        <v>Malešice</v>
      </c>
      <c r="G73" s="120">
        <f>IFERROR(__xludf.DUMMYFUNCTION("IMPORTRANGE(Linkovani!C11, ""rez!Q4:R103"")"),5.0)</f>
        <v>5</v>
      </c>
      <c r="H73" s="121">
        <f>IFERROR(__xludf.DUMMYFUNCTION("""COMPUTED_VALUE"""),500.0)</f>
        <v>500</v>
      </c>
      <c r="I73" s="122">
        <f t="shared" ref="I73:I172" si="18">IF(AF73=1.15,(G73*AE73)/85*100,G73*AE73*AF73)</f>
        <v>588.2352941</v>
      </c>
      <c r="J73" s="123" t="str">
        <f>J4</f>
        <v>Stodůlky</v>
      </c>
      <c r="K73" s="124">
        <f>IFERROR(__xludf.DUMMYFUNCTION("IMPORTRANGE(Linkovani!C12, ""rez!Q4:R103"")"),0.0)</f>
        <v>0</v>
      </c>
      <c r="L73" s="121">
        <f>IFERROR(__xludf.DUMMYFUNCTION("""COMPUTED_VALUE"""),0.0)</f>
        <v>0</v>
      </c>
      <c r="M73" s="122">
        <f t="shared" ref="M73:M172" si="19">IF(AF73=1.15,(K73*AE73)/85*100,K73*AE73*AF73)</f>
        <v>0</v>
      </c>
      <c r="N73" s="125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7">
        <v>1.0</v>
      </c>
      <c r="AC73" s="128">
        <f t="shared" ref="AC73:AD73" si="15">C73+G73+K73</f>
        <v>16.5</v>
      </c>
      <c r="AD73" s="57">
        <f t="shared" si="15"/>
        <v>1650</v>
      </c>
      <c r="AE73" s="129">
        <v>100.0</v>
      </c>
      <c r="AF73" s="130">
        <v>1.15</v>
      </c>
      <c r="AG73" s="60">
        <f t="shared" ref="AG73:AG172" si="21">E73+I73+M73</f>
        <v>1941.176471</v>
      </c>
      <c r="AH73" s="131" t="str">
        <f t="shared" si="16"/>
        <v>Daniel Fux</v>
      </c>
      <c r="AI73" s="132">
        <f t="shared" ref="AI73:AI172" si="22">AC73*AE73</f>
        <v>1650</v>
      </c>
      <c r="AJ73" s="105"/>
      <c r="AK73" s="64">
        <f t="shared" ref="AK73:AK172" si="23">SUM(AL73:AN73)</f>
        <v>1650</v>
      </c>
      <c r="AL73" s="66">
        <f>IFERROR(__xludf.DUMMYFUNCTION("IMPORTRANGE(Linkovani!C10, ""rez!S4:S103"")"),1150.0)</f>
        <v>1150</v>
      </c>
      <c r="AM73" s="66">
        <f>IFERROR(__xludf.DUMMYFUNCTION("IMPORTRANGE(Linkovani!C11, ""rez!S4:S103"")"),500.0)</f>
        <v>500</v>
      </c>
      <c r="AN73" s="66">
        <f>IFERROR(__xludf.DUMMYFUNCTION("IMPORTRANGE(Linkovani!C12, ""rez!S4:S103"")"),0.0)</f>
        <v>0</v>
      </c>
    </row>
    <row r="74" ht="15.75" customHeight="1">
      <c r="A74" s="133" t="s">
        <v>30</v>
      </c>
      <c r="B74" s="134"/>
      <c r="C74" s="135">
        <f>IFERROR(__xludf.DUMMYFUNCTION("""COMPUTED_VALUE"""),0.0)</f>
        <v>0</v>
      </c>
      <c r="D74" s="136">
        <f>IFERROR(__xludf.DUMMYFUNCTION("""COMPUTED_VALUE"""),0.0)</f>
        <v>0</v>
      </c>
      <c r="E74" s="70">
        <f t="shared" si="17"/>
        <v>0</v>
      </c>
      <c r="F74" s="67"/>
      <c r="G74" s="120">
        <f>IFERROR(__xludf.DUMMYFUNCTION("""COMPUTED_VALUE"""),0.0)</f>
        <v>0</v>
      </c>
      <c r="H74" s="121">
        <f>IFERROR(__xludf.DUMMYFUNCTION("""COMPUTED_VALUE"""),0.0)</f>
        <v>0</v>
      </c>
      <c r="I74" s="122">
        <f t="shared" si="18"/>
        <v>0</v>
      </c>
      <c r="J74" s="137"/>
      <c r="K74" s="124">
        <f>IFERROR(__xludf.DUMMYFUNCTION("""COMPUTED_VALUE"""),0.0)</f>
        <v>0</v>
      </c>
      <c r="L74" s="121">
        <f>IFERROR(__xludf.DUMMYFUNCTION("""COMPUTED_VALUE"""),0.0)</f>
        <v>0</v>
      </c>
      <c r="M74" s="122">
        <f t="shared" si="19"/>
        <v>0</v>
      </c>
      <c r="N74" s="125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>
        <f t="shared" ref="AB74:AB172" si="24">AB73+1</f>
        <v>2</v>
      </c>
      <c r="AC74" s="128">
        <f t="shared" ref="AC74:AD74" si="20">C74+G74+K74</f>
        <v>0</v>
      </c>
      <c r="AD74" s="57">
        <f t="shared" si="20"/>
        <v>0</v>
      </c>
      <c r="AE74" s="129">
        <v>100.0</v>
      </c>
      <c r="AF74" s="130">
        <v>1.75</v>
      </c>
      <c r="AG74" s="60">
        <f t="shared" si="21"/>
        <v>0</v>
      </c>
      <c r="AH74" s="131" t="str">
        <f t="shared" si="16"/>
        <v>Radim Dvořák</v>
      </c>
      <c r="AI74" s="132">
        <f t="shared" si="22"/>
        <v>0</v>
      </c>
      <c r="AJ74" s="105"/>
      <c r="AK74" s="64">
        <f t="shared" si="23"/>
        <v>0</v>
      </c>
      <c r="AL74" s="66">
        <f>IFERROR(__xludf.DUMMYFUNCTION("""COMPUTED_VALUE"""),0.0)</f>
        <v>0</v>
      </c>
      <c r="AM74" s="66">
        <f>IFERROR(__xludf.DUMMYFUNCTION("""COMPUTED_VALUE"""),0.0)</f>
        <v>0</v>
      </c>
      <c r="AN74" s="66">
        <f>IFERROR(__xludf.DUMMYFUNCTION("""COMPUTED_VALUE"""),0.0)</f>
        <v>0</v>
      </c>
    </row>
    <row r="75" ht="15.75" customHeight="1">
      <c r="A75" s="115" t="s">
        <v>44</v>
      </c>
      <c r="B75" s="134"/>
      <c r="C75" s="135">
        <f>IFERROR(__xludf.DUMMYFUNCTION("""COMPUTED_VALUE"""),17.5)</f>
        <v>17.5</v>
      </c>
      <c r="D75" s="136">
        <f>IFERROR(__xludf.DUMMYFUNCTION("""COMPUTED_VALUE"""),1750.0)</f>
        <v>1750</v>
      </c>
      <c r="E75" s="70">
        <f t="shared" si="17"/>
        <v>2058.823529</v>
      </c>
      <c r="F75" s="67"/>
      <c r="G75" s="120">
        <f>IFERROR(__xludf.DUMMYFUNCTION("""COMPUTED_VALUE"""),103.0)</f>
        <v>103</v>
      </c>
      <c r="H75" s="121">
        <f>IFERROR(__xludf.DUMMYFUNCTION("""COMPUTED_VALUE"""),10300.0)</f>
        <v>10300</v>
      </c>
      <c r="I75" s="122">
        <f t="shared" si="18"/>
        <v>12117.64706</v>
      </c>
      <c r="J75" s="137"/>
      <c r="K75" s="124">
        <f>IFERROR(__xludf.DUMMYFUNCTION("""COMPUTED_VALUE"""),0.0)</f>
        <v>0</v>
      </c>
      <c r="L75" s="121">
        <f>IFERROR(__xludf.DUMMYFUNCTION("""COMPUTED_VALUE"""),0.0)</f>
        <v>0</v>
      </c>
      <c r="M75" s="122">
        <f t="shared" si="19"/>
        <v>0</v>
      </c>
      <c r="N75" s="125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>
        <f t="shared" si="24"/>
        <v>3</v>
      </c>
      <c r="AC75" s="128">
        <f t="shared" ref="AC75:AD75" si="25">C75+G75+K75</f>
        <v>120.5</v>
      </c>
      <c r="AD75" s="57">
        <f t="shared" si="25"/>
        <v>12050</v>
      </c>
      <c r="AE75" s="129">
        <v>100.0</v>
      </c>
      <c r="AF75" s="130">
        <v>1.15</v>
      </c>
      <c r="AG75" s="60">
        <f t="shared" si="21"/>
        <v>14176.47059</v>
      </c>
      <c r="AH75" s="131" t="str">
        <f t="shared" si="16"/>
        <v>Daniel Dubecký</v>
      </c>
      <c r="AI75" s="132">
        <f t="shared" si="22"/>
        <v>12050</v>
      </c>
      <c r="AJ75" s="105"/>
      <c r="AK75" s="64">
        <f t="shared" si="23"/>
        <v>0</v>
      </c>
      <c r="AL75" s="66">
        <f>IFERROR(__xludf.DUMMYFUNCTION("""COMPUTED_VALUE"""),0.0)</f>
        <v>0</v>
      </c>
      <c r="AM75" s="66">
        <f>IFERROR(__xludf.DUMMYFUNCTION("""COMPUTED_VALUE"""),0.0)</f>
        <v>0</v>
      </c>
      <c r="AN75" s="66">
        <f>IFERROR(__xludf.DUMMYFUNCTION("""COMPUTED_VALUE"""),0.0)</f>
        <v>0</v>
      </c>
    </row>
    <row r="76" ht="15.75" customHeight="1">
      <c r="A76" s="138" t="s">
        <v>45</v>
      </c>
      <c r="B76" s="134"/>
      <c r="C76" s="135">
        <f>IFERROR(__xludf.DUMMYFUNCTION("""COMPUTED_VALUE"""),0.0)</f>
        <v>0</v>
      </c>
      <c r="D76" s="136">
        <f>IFERROR(__xludf.DUMMYFUNCTION("""COMPUTED_VALUE"""),0.0)</f>
        <v>0</v>
      </c>
      <c r="E76" s="70">
        <f t="shared" si="17"/>
        <v>0</v>
      </c>
      <c r="F76" s="67"/>
      <c r="G76" s="120">
        <f>IFERROR(__xludf.DUMMYFUNCTION("""COMPUTED_VALUE"""),0.0)</f>
        <v>0</v>
      </c>
      <c r="H76" s="121">
        <f>IFERROR(__xludf.DUMMYFUNCTION("""COMPUTED_VALUE"""),0.0)</f>
        <v>0</v>
      </c>
      <c r="I76" s="122">
        <f t="shared" si="18"/>
        <v>0</v>
      </c>
      <c r="J76" s="137"/>
      <c r="K76" s="124">
        <f>IFERROR(__xludf.DUMMYFUNCTION("""COMPUTED_VALUE"""),0.0)</f>
        <v>0</v>
      </c>
      <c r="L76" s="121">
        <f>IFERROR(__xludf.DUMMYFUNCTION("""COMPUTED_VALUE"""),0.0)</f>
        <v>0</v>
      </c>
      <c r="M76" s="122">
        <f t="shared" si="19"/>
        <v>0</v>
      </c>
      <c r="N76" s="125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>
        <f t="shared" si="24"/>
        <v>4</v>
      </c>
      <c r="AC76" s="128">
        <f t="shared" ref="AC76:AD76" si="26">C76+G76+K76</f>
        <v>0</v>
      </c>
      <c r="AD76" s="57">
        <f t="shared" si="26"/>
        <v>0</v>
      </c>
      <c r="AE76" s="129">
        <v>100.0</v>
      </c>
      <c r="AF76" s="130">
        <v>1.15</v>
      </c>
      <c r="AG76" s="60">
        <f t="shared" si="21"/>
        <v>0</v>
      </c>
      <c r="AH76" s="131" t="str">
        <f t="shared" si="16"/>
        <v>Nikola Adamová-x</v>
      </c>
      <c r="AI76" s="132">
        <f t="shared" si="22"/>
        <v>0</v>
      </c>
      <c r="AJ76" s="105"/>
      <c r="AK76" s="64">
        <f t="shared" si="23"/>
        <v>0</v>
      </c>
      <c r="AL76" s="66">
        <f>IFERROR(__xludf.DUMMYFUNCTION("""COMPUTED_VALUE"""),0.0)</f>
        <v>0</v>
      </c>
      <c r="AM76" s="66">
        <f>IFERROR(__xludf.DUMMYFUNCTION("""COMPUTED_VALUE"""),0.0)</f>
        <v>0</v>
      </c>
      <c r="AN76" s="66">
        <f>IFERROR(__xludf.DUMMYFUNCTION("""COMPUTED_VALUE"""),0.0)</f>
        <v>0</v>
      </c>
    </row>
    <row r="77" ht="15.75" customHeight="1">
      <c r="A77" s="138" t="s">
        <v>46</v>
      </c>
      <c r="B77" s="134"/>
      <c r="C77" s="135">
        <f>IFERROR(__xludf.DUMMYFUNCTION("""COMPUTED_VALUE"""),0.0)</f>
        <v>0</v>
      </c>
      <c r="D77" s="136">
        <f>IFERROR(__xludf.DUMMYFUNCTION("""COMPUTED_VALUE"""),0.0)</f>
        <v>0</v>
      </c>
      <c r="E77" s="70">
        <f t="shared" si="17"/>
        <v>0</v>
      </c>
      <c r="F77" s="67"/>
      <c r="G77" s="120">
        <f>IFERROR(__xludf.DUMMYFUNCTION("""COMPUTED_VALUE"""),0.0)</f>
        <v>0</v>
      </c>
      <c r="H77" s="121">
        <f>IFERROR(__xludf.DUMMYFUNCTION("""COMPUTED_VALUE"""),0.0)</f>
        <v>0</v>
      </c>
      <c r="I77" s="122">
        <f t="shared" si="18"/>
        <v>0</v>
      </c>
      <c r="J77" s="137"/>
      <c r="K77" s="124">
        <f>IFERROR(__xludf.DUMMYFUNCTION("""COMPUTED_VALUE"""),0.0)</f>
        <v>0</v>
      </c>
      <c r="L77" s="121">
        <f>IFERROR(__xludf.DUMMYFUNCTION("""COMPUTED_VALUE"""),0.0)</f>
        <v>0</v>
      </c>
      <c r="M77" s="122">
        <f t="shared" si="19"/>
        <v>0</v>
      </c>
      <c r="N77" s="125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>
        <f t="shared" si="24"/>
        <v>5</v>
      </c>
      <c r="AC77" s="128">
        <f t="shared" ref="AC77:AD77" si="27">C77+G77+K77</f>
        <v>0</v>
      </c>
      <c r="AD77" s="57">
        <f t="shared" si="27"/>
        <v>0</v>
      </c>
      <c r="AE77" s="129">
        <v>100.0</v>
      </c>
      <c r="AF77" s="130">
        <v>1.15</v>
      </c>
      <c r="AG77" s="60">
        <f t="shared" si="21"/>
        <v>0</v>
      </c>
      <c r="AH77" s="131" t="str">
        <f t="shared" si="16"/>
        <v>Václav Černý-x</v>
      </c>
      <c r="AI77" s="132">
        <f t="shared" si="22"/>
        <v>0</v>
      </c>
      <c r="AJ77" s="105"/>
      <c r="AK77" s="64">
        <f t="shared" si="23"/>
        <v>0</v>
      </c>
      <c r="AL77" s="66">
        <f>IFERROR(__xludf.DUMMYFUNCTION("""COMPUTED_VALUE"""),0.0)</f>
        <v>0</v>
      </c>
      <c r="AM77" s="66">
        <f>IFERROR(__xludf.DUMMYFUNCTION("""COMPUTED_VALUE"""),0.0)</f>
        <v>0</v>
      </c>
      <c r="AN77" s="66">
        <f>IFERROR(__xludf.DUMMYFUNCTION("""COMPUTED_VALUE"""),0.0)</f>
        <v>0</v>
      </c>
    </row>
    <row r="78" ht="15.75" customHeight="1">
      <c r="A78" s="139" t="s">
        <v>47</v>
      </c>
      <c r="B78" s="134"/>
      <c r="C78" s="135">
        <f>IFERROR(__xludf.DUMMYFUNCTION("""COMPUTED_VALUE"""),0.0)</f>
        <v>0</v>
      </c>
      <c r="D78" s="136">
        <f>IFERROR(__xludf.DUMMYFUNCTION("""COMPUTED_VALUE"""),0.0)</f>
        <v>0</v>
      </c>
      <c r="E78" s="70">
        <f t="shared" si="17"/>
        <v>0</v>
      </c>
      <c r="F78" s="67"/>
      <c r="G78" s="120">
        <f>IFERROR(__xludf.DUMMYFUNCTION("""COMPUTED_VALUE"""),46.0)</f>
        <v>46</v>
      </c>
      <c r="H78" s="121">
        <f>IFERROR(__xludf.DUMMYFUNCTION("""COMPUTED_VALUE"""),4600.0)</f>
        <v>4600</v>
      </c>
      <c r="I78" s="122">
        <f t="shared" si="18"/>
        <v>5411.764706</v>
      </c>
      <c r="J78" s="137"/>
      <c r="K78" s="124">
        <f>IFERROR(__xludf.DUMMYFUNCTION("""COMPUTED_VALUE"""),0.0)</f>
        <v>0</v>
      </c>
      <c r="L78" s="121">
        <f>IFERROR(__xludf.DUMMYFUNCTION("""COMPUTED_VALUE"""),0.0)</f>
        <v>0</v>
      </c>
      <c r="M78" s="122">
        <f t="shared" si="19"/>
        <v>0</v>
      </c>
      <c r="N78" s="125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>
        <f t="shared" si="24"/>
        <v>6</v>
      </c>
      <c r="AC78" s="128">
        <f t="shared" ref="AC78:AD78" si="28">C78+G78+K78</f>
        <v>46</v>
      </c>
      <c r="AD78" s="57">
        <f t="shared" si="28"/>
        <v>4600</v>
      </c>
      <c r="AE78" s="129">
        <v>100.0</v>
      </c>
      <c r="AF78" s="130">
        <v>1.15</v>
      </c>
      <c r="AG78" s="60">
        <f t="shared" si="21"/>
        <v>5411.764706</v>
      </c>
      <c r="AH78" s="131" t="str">
        <f t="shared" si="16"/>
        <v>Vojtěch Vrzoň</v>
      </c>
      <c r="AI78" s="132">
        <f t="shared" si="22"/>
        <v>4600</v>
      </c>
      <c r="AJ78" s="105"/>
      <c r="AK78" s="64">
        <f t="shared" si="23"/>
        <v>0</v>
      </c>
      <c r="AL78" s="66">
        <f>IFERROR(__xludf.DUMMYFUNCTION("""COMPUTED_VALUE"""),0.0)</f>
        <v>0</v>
      </c>
      <c r="AM78" s="66">
        <f>IFERROR(__xludf.DUMMYFUNCTION("""COMPUTED_VALUE"""),0.0)</f>
        <v>0</v>
      </c>
      <c r="AN78" s="66">
        <f>IFERROR(__xludf.DUMMYFUNCTION("""COMPUTED_VALUE"""),0.0)</f>
        <v>0</v>
      </c>
    </row>
    <row r="79" ht="15.75" customHeight="1">
      <c r="A79" s="138" t="s">
        <v>48</v>
      </c>
      <c r="B79" s="134"/>
      <c r="C79" s="135">
        <f>IFERROR(__xludf.DUMMYFUNCTION("""COMPUTED_VALUE"""),0.0)</f>
        <v>0</v>
      </c>
      <c r="D79" s="136">
        <f>IFERROR(__xludf.DUMMYFUNCTION("""COMPUTED_VALUE"""),0.0)</f>
        <v>0</v>
      </c>
      <c r="E79" s="70">
        <f t="shared" si="17"/>
        <v>0</v>
      </c>
      <c r="F79" s="67"/>
      <c r="G79" s="120">
        <f>IFERROR(__xludf.DUMMYFUNCTION("""COMPUTED_VALUE"""),22.0)</f>
        <v>22</v>
      </c>
      <c r="H79" s="121">
        <f>IFERROR(__xludf.DUMMYFUNCTION("""COMPUTED_VALUE"""),2200.0)</f>
        <v>2200</v>
      </c>
      <c r="I79" s="122">
        <f t="shared" si="18"/>
        <v>2588.235294</v>
      </c>
      <c r="J79" s="137"/>
      <c r="K79" s="124">
        <f>IFERROR(__xludf.DUMMYFUNCTION("""COMPUTED_VALUE"""),0.0)</f>
        <v>0</v>
      </c>
      <c r="L79" s="121">
        <f>IFERROR(__xludf.DUMMYFUNCTION("""COMPUTED_VALUE"""),0.0)</f>
        <v>0</v>
      </c>
      <c r="M79" s="122">
        <f t="shared" si="19"/>
        <v>0</v>
      </c>
      <c r="N79" s="125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>
        <f t="shared" si="24"/>
        <v>7</v>
      </c>
      <c r="AC79" s="128">
        <f t="shared" ref="AC79:AD79" si="29">C79+G79+K79</f>
        <v>22</v>
      </c>
      <c r="AD79" s="57">
        <f t="shared" si="29"/>
        <v>2200</v>
      </c>
      <c r="AE79" s="129">
        <v>100.0</v>
      </c>
      <c r="AF79" s="130">
        <v>1.15</v>
      </c>
      <c r="AG79" s="60">
        <f t="shared" si="21"/>
        <v>2588.235294</v>
      </c>
      <c r="AH79" s="131" t="str">
        <f t="shared" si="16"/>
        <v>Patrik Vild-x</v>
      </c>
      <c r="AI79" s="132">
        <f t="shared" si="22"/>
        <v>2200</v>
      </c>
      <c r="AJ79" s="105"/>
      <c r="AK79" s="64">
        <f t="shared" si="23"/>
        <v>0</v>
      </c>
      <c r="AL79" s="66">
        <f>IFERROR(__xludf.DUMMYFUNCTION("""COMPUTED_VALUE"""),0.0)</f>
        <v>0</v>
      </c>
      <c r="AM79" s="66">
        <f>IFERROR(__xludf.DUMMYFUNCTION("""COMPUTED_VALUE"""),0.0)</f>
        <v>0</v>
      </c>
      <c r="AN79" s="66">
        <f>IFERROR(__xludf.DUMMYFUNCTION("""COMPUTED_VALUE"""),0.0)</f>
        <v>0</v>
      </c>
    </row>
    <row r="80" ht="15.75" customHeight="1">
      <c r="A80" s="139" t="s">
        <v>49</v>
      </c>
      <c r="B80" s="134"/>
      <c r="C80" s="135">
        <f>IFERROR(__xludf.DUMMYFUNCTION("""COMPUTED_VALUE"""),2.5)</f>
        <v>2.5</v>
      </c>
      <c r="D80" s="136">
        <f>IFERROR(__xludf.DUMMYFUNCTION("""COMPUTED_VALUE"""),250.0)</f>
        <v>250</v>
      </c>
      <c r="E80" s="70">
        <f t="shared" si="17"/>
        <v>294.1176471</v>
      </c>
      <c r="F80" s="67"/>
      <c r="G80" s="120">
        <f>IFERROR(__xludf.DUMMYFUNCTION("""COMPUTED_VALUE"""),104.0)</f>
        <v>104</v>
      </c>
      <c r="H80" s="121">
        <f>IFERROR(__xludf.DUMMYFUNCTION("""COMPUTED_VALUE"""),10400.0)</f>
        <v>10400</v>
      </c>
      <c r="I80" s="122">
        <f t="shared" si="18"/>
        <v>12235.29412</v>
      </c>
      <c r="J80" s="137"/>
      <c r="K80" s="124">
        <f>IFERROR(__xludf.DUMMYFUNCTION("""COMPUTED_VALUE"""),0.0)</f>
        <v>0</v>
      </c>
      <c r="L80" s="121">
        <f>IFERROR(__xludf.DUMMYFUNCTION("""COMPUTED_VALUE"""),0.0)</f>
        <v>0</v>
      </c>
      <c r="M80" s="122">
        <f t="shared" si="19"/>
        <v>0</v>
      </c>
      <c r="N80" s="125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>
        <f t="shared" si="24"/>
        <v>8</v>
      </c>
      <c r="AC80" s="128">
        <f t="shared" ref="AC80:AD80" si="30">C80+G80+K80</f>
        <v>106.5</v>
      </c>
      <c r="AD80" s="57">
        <f t="shared" si="30"/>
        <v>10650</v>
      </c>
      <c r="AE80" s="129">
        <v>100.0</v>
      </c>
      <c r="AF80" s="130">
        <v>1.15</v>
      </c>
      <c r="AG80" s="60">
        <f t="shared" si="21"/>
        <v>12529.41176</v>
      </c>
      <c r="AH80" s="131" t="str">
        <f t="shared" si="16"/>
        <v>Jakub Staňo</v>
      </c>
      <c r="AI80" s="132">
        <f t="shared" si="22"/>
        <v>10650</v>
      </c>
      <c r="AJ80" s="105"/>
      <c r="AK80" s="64">
        <f t="shared" si="23"/>
        <v>0</v>
      </c>
      <c r="AL80" s="66">
        <f>IFERROR(__xludf.DUMMYFUNCTION("""COMPUTED_VALUE"""),0.0)</f>
        <v>0</v>
      </c>
      <c r="AM80" s="66">
        <f>IFERROR(__xludf.DUMMYFUNCTION("""COMPUTED_VALUE"""),0.0)</f>
        <v>0</v>
      </c>
      <c r="AN80" s="66">
        <f>IFERROR(__xludf.DUMMYFUNCTION("""COMPUTED_VALUE"""),0.0)</f>
        <v>0</v>
      </c>
    </row>
    <row r="81" ht="15.75" customHeight="1">
      <c r="A81" s="139" t="s">
        <v>29</v>
      </c>
      <c r="B81" s="134"/>
      <c r="C81" s="135">
        <f>IFERROR(__xludf.DUMMYFUNCTION("""COMPUTED_VALUE"""),0.0)</f>
        <v>0</v>
      </c>
      <c r="D81" s="136">
        <f>IFERROR(__xludf.DUMMYFUNCTION("""COMPUTED_VALUE"""),0.0)</f>
        <v>0</v>
      </c>
      <c r="E81" s="70">
        <f t="shared" si="17"/>
        <v>0</v>
      </c>
      <c r="F81" s="67"/>
      <c r="G81" s="120">
        <f>IFERROR(__xludf.DUMMYFUNCTION("""COMPUTED_VALUE"""),0.0)</f>
        <v>0</v>
      </c>
      <c r="H81" s="121">
        <f>IFERROR(__xludf.DUMMYFUNCTION("""COMPUTED_VALUE"""),0.0)</f>
        <v>0</v>
      </c>
      <c r="I81" s="122">
        <f t="shared" si="18"/>
        <v>0</v>
      </c>
      <c r="J81" s="137"/>
      <c r="K81" s="124">
        <f>IFERROR(__xludf.DUMMYFUNCTION("""COMPUTED_VALUE"""),0.0)</f>
        <v>0</v>
      </c>
      <c r="L81" s="121">
        <f>IFERROR(__xludf.DUMMYFUNCTION("""COMPUTED_VALUE"""),0.0)</f>
        <v>0</v>
      </c>
      <c r="M81" s="122">
        <f t="shared" si="19"/>
        <v>0</v>
      </c>
      <c r="N81" s="125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>
        <f t="shared" si="24"/>
        <v>9</v>
      </c>
      <c r="AC81" s="128">
        <f t="shared" ref="AC81:AD81" si="31">C81+G81+K81</f>
        <v>0</v>
      </c>
      <c r="AD81" s="57">
        <f t="shared" si="31"/>
        <v>0</v>
      </c>
      <c r="AE81" s="129">
        <v>100.0</v>
      </c>
      <c r="AF81" s="130">
        <v>1.15</v>
      </c>
      <c r="AG81" s="60">
        <f t="shared" si="21"/>
        <v>0</v>
      </c>
      <c r="AH81" s="131" t="str">
        <f t="shared" si="16"/>
        <v>Daniel Fux</v>
      </c>
      <c r="AI81" s="132">
        <f t="shared" si="22"/>
        <v>0</v>
      </c>
      <c r="AJ81" s="105"/>
      <c r="AK81" s="64">
        <f t="shared" si="23"/>
        <v>0</v>
      </c>
      <c r="AL81" s="66">
        <f>IFERROR(__xludf.DUMMYFUNCTION("""COMPUTED_VALUE"""),0.0)</f>
        <v>0</v>
      </c>
      <c r="AM81" s="66">
        <f>IFERROR(__xludf.DUMMYFUNCTION("""COMPUTED_VALUE"""),0.0)</f>
        <v>0</v>
      </c>
      <c r="AN81" s="66">
        <f>IFERROR(__xludf.DUMMYFUNCTION("""COMPUTED_VALUE"""),0.0)</f>
        <v>0</v>
      </c>
    </row>
    <row r="82" ht="15.75" customHeight="1">
      <c r="A82" s="115" t="s">
        <v>50</v>
      </c>
      <c r="B82" s="134"/>
      <c r="C82" s="135">
        <f>IFERROR(__xludf.DUMMYFUNCTION("""COMPUTED_VALUE"""),0.0)</f>
        <v>0</v>
      </c>
      <c r="D82" s="136">
        <f>IFERROR(__xludf.DUMMYFUNCTION("""COMPUTED_VALUE"""),0.0)</f>
        <v>0</v>
      </c>
      <c r="E82" s="70">
        <f t="shared" si="17"/>
        <v>0</v>
      </c>
      <c r="F82" s="67"/>
      <c r="G82" s="120">
        <f>IFERROR(__xludf.DUMMYFUNCTION("""COMPUTED_VALUE"""),0.0)</f>
        <v>0</v>
      </c>
      <c r="H82" s="121">
        <f>IFERROR(__xludf.DUMMYFUNCTION("""COMPUTED_VALUE"""),0.0)</f>
        <v>0</v>
      </c>
      <c r="I82" s="122">
        <f t="shared" si="18"/>
        <v>0</v>
      </c>
      <c r="J82" s="137"/>
      <c r="K82" s="124">
        <f>IFERROR(__xludf.DUMMYFUNCTION("""COMPUTED_VALUE"""),0.0)</f>
        <v>0</v>
      </c>
      <c r="L82" s="121">
        <f>IFERROR(__xludf.DUMMYFUNCTION("""COMPUTED_VALUE"""),0.0)</f>
        <v>0</v>
      </c>
      <c r="M82" s="122">
        <f t="shared" si="19"/>
        <v>0</v>
      </c>
      <c r="N82" s="125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>
        <f t="shared" si="24"/>
        <v>10</v>
      </c>
      <c r="AC82" s="128">
        <f t="shared" ref="AC82:AD82" si="32">C82+G82+K82</f>
        <v>0</v>
      </c>
      <c r="AD82" s="57">
        <f t="shared" si="32"/>
        <v>0</v>
      </c>
      <c r="AE82" s="129">
        <v>100.0</v>
      </c>
      <c r="AF82" s="130">
        <v>1.15</v>
      </c>
      <c r="AG82" s="60">
        <f t="shared" si="21"/>
        <v>0</v>
      </c>
      <c r="AH82" s="131" t="str">
        <f t="shared" si="16"/>
        <v>Peter Tomko-x</v>
      </c>
      <c r="AI82" s="132">
        <f t="shared" si="22"/>
        <v>0</v>
      </c>
      <c r="AJ82" s="105"/>
      <c r="AK82" s="64">
        <f t="shared" si="23"/>
        <v>0</v>
      </c>
      <c r="AL82" s="66">
        <f>IFERROR(__xludf.DUMMYFUNCTION("""COMPUTED_VALUE"""),0.0)</f>
        <v>0</v>
      </c>
      <c r="AM82" s="66">
        <f>IFERROR(__xludf.DUMMYFUNCTION("""COMPUTED_VALUE"""),0.0)</f>
        <v>0</v>
      </c>
      <c r="AN82" s="66">
        <f>IFERROR(__xludf.DUMMYFUNCTION("""COMPUTED_VALUE"""),0.0)</f>
        <v>0</v>
      </c>
    </row>
    <row r="83" ht="15.75" customHeight="1">
      <c r="A83" s="138" t="s">
        <v>51</v>
      </c>
      <c r="B83" s="134"/>
      <c r="C83" s="135">
        <f>IFERROR(__xludf.DUMMYFUNCTION("""COMPUTED_VALUE"""),0.0)</f>
        <v>0</v>
      </c>
      <c r="D83" s="136">
        <f>IFERROR(__xludf.DUMMYFUNCTION("""COMPUTED_VALUE"""),0.0)</f>
        <v>0</v>
      </c>
      <c r="E83" s="70">
        <f t="shared" si="17"/>
        <v>0</v>
      </c>
      <c r="F83" s="67"/>
      <c r="G83" s="120">
        <f>IFERROR(__xludf.DUMMYFUNCTION("""COMPUTED_VALUE"""),0.0)</f>
        <v>0</v>
      </c>
      <c r="H83" s="121">
        <f>IFERROR(__xludf.DUMMYFUNCTION("""COMPUTED_VALUE"""),0.0)</f>
        <v>0</v>
      </c>
      <c r="I83" s="122">
        <f t="shared" si="18"/>
        <v>0</v>
      </c>
      <c r="J83" s="137"/>
      <c r="K83" s="124">
        <f>IFERROR(__xludf.DUMMYFUNCTION("""COMPUTED_VALUE"""),0.0)</f>
        <v>0</v>
      </c>
      <c r="L83" s="121">
        <f>IFERROR(__xludf.DUMMYFUNCTION("""COMPUTED_VALUE"""),0.0)</f>
        <v>0</v>
      </c>
      <c r="M83" s="122">
        <f t="shared" si="19"/>
        <v>0</v>
      </c>
      <c r="N83" s="125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>
        <f t="shared" si="24"/>
        <v>11</v>
      </c>
      <c r="AC83" s="128">
        <f t="shared" ref="AC83:AD83" si="33">C83+G83+K83</f>
        <v>0</v>
      </c>
      <c r="AD83" s="57">
        <f t="shared" si="33"/>
        <v>0</v>
      </c>
      <c r="AE83" s="129">
        <v>100.0</v>
      </c>
      <c r="AF83" s="130">
        <v>1.15</v>
      </c>
      <c r="AG83" s="60">
        <f t="shared" si="21"/>
        <v>0</v>
      </c>
      <c r="AH83" s="131" t="str">
        <f t="shared" si="16"/>
        <v>Karolína Schejbalová-x</v>
      </c>
      <c r="AI83" s="132">
        <f t="shared" si="22"/>
        <v>0</v>
      </c>
      <c r="AJ83" s="105"/>
      <c r="AK83" s="64">
        <f t="shared" si="23"/>
        <v>0</v>
      </c>
      <c r="AL83" s="66">
        <f>IFERROR(__xludf.DUMMYFUNCTION("""COMPUTED_VALUE"""),0.0)</f>
        <v>0</v>
      </c>
      <c r="AM83" s="66">
        <f>IFERROR(__xludf.DUMMYFUNCTION("""COMPUTED_VALUE"""),0.0)</f>
        <v>0</v>
      </c>
      <c r="AN83" s="66">
        <f>IFERROR(__xludf.DUMMYFUNCTION("""COMPUTED_VALUE"""),0.0)</f>
        <v>0</v>
      </c>
    </row>
    <row r="84" ht="15.75" customHeight="1">
      <c r="A84" s="139" t="s">
        <v>52</v>
      </c>
      <c r="B84" s="134"/>
      <c r="C84" s="135">
        <f>IFERROR(__xludf.DUMMYFUNCTION("""COMPUTED_VALUE"""),122.5)</f>
        <v>122.5</v>
      </c>
      <c r="D84" s="136">
        <f>IFERROR(__xludf.DUMMYFUNCTION("""COMPUTED_VALUE"""),12250.0)</f>
        <v>12250</v>
      </c>
      <c r="E84" s="70">
        <f t="shared" si="17"/>
        <v>14411.76471</v>
      </c>
      <c r="F84" s="67"/>
      <c r="G84" s="120">
        <f>IFERROR(__xludf.DUMMYFUNCTION("""COMPUTED_VALUE"""),49.0)</f>
        <v>49</v>
      </c>
      <c r="H84" s="121">
        <f>IFERROR(__xludf.DUMMYFUNCTION("""COMPUTED_VALUE"""),4900.0)</f>
        <v>4900</v>
      </c>
      <c r="I84" s="122">
        <f t="shared" si="18"/>
        <v>5764.705882</v>
      </c>
      <c r="J84" s="137"/>
      <c r="K84" s="124">
        <f>IFERROR(__xludf.DUMMYFUNCTION("""COMPUTED_VALUE"""),2.0)</f>
        <v>2</v>
      </c>
      <c r="L84" s="121">
        <f>IFERROR(__xludf.DUMMYFUNCTION("""COMPUTED_VALUE"""),200.0)</f>
        <v>200</v>
      </c>
      <c r="M84" s="122">
        <f t="shared" si="19"/>
        <v>235.2941176</v>
      </c>
      <c r="N84" s="125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>
        <f t="shared" si="24"/>
        <v>12</v>
      </c>
      <c r="AC84" s="128">
        <f t="shared" ref="AC84:AD84" si="34">C84+G84+K84</f>
        <v>173.5</v>
      </c>
      <c r="AD84" s="57">
        <f t="shared" si="34"/>
        <v>17350</v>
      </c>
      <c r="AE84" s="129">
        <v>100.0</v>
      </c>
      <c r="AF84" s="130">
        <v>1.15</v>
      </c>
      <c r="AG84" s="60">
        <f t="shared" si="21"/>
        <v>20411.76471</v>
      </c>
      <c r="AH84" s="131" t="str">
        <f t="shared" si="16"/>
        <v>Martin Sova</v>
      </c>
      <c r="AI84" s="132">
        <f t="shared" si="22"/>
        <v>17350</v>
      </c>
      <c r="AJ84" s="105"/>
      <c r="AK84" s="64">
        <f t="shared" si="23"/>
        <v>0</v>
      </c>
      <c r="AL84" s="66">
        <f>IFERROR(__xludf.DUMMYFUNCTION("""COMPUTED_VALUE"""),0.0)</f>
        <v>0</v>
      </c>
      <c r="AM84" s="66">
        <f>IFERROR(__xludf.DUMMYFUNCTION("""COMPUTED_VALUE"""),0.0)</f>
        <v>0</v>
      </c>
      <c r="AN84" s="66">
        <f>IFERROR(__xludf.DUMMYFUNCTION("""COMPUTED_VALUE"""),0.0)</f>
        <v>0</v>
      </c>
    </row>
    <row r="85" ht="15.75" customHeight="1">
      <c r="A85" s="140" t="s">
        <v>53</v>
      </c>
      <c r="B85" s="134"/>
      <c r="C85" s="135">
        <f>IFERROR(__xludf.DUMMYFUNCTION("""COMPUTED_VALUE"""),0.0)</f>
        <v>0</v>
      </c>
      <c r="D85" s="136">
        <f>IFERROR(__xludf.DUMMYFUNCTION("""COMPUTED_VALUE"""),0.0)</f>
        <v>0</v>
      </c>
      <c r="E85" s="70">
        <f t="shared" si="17"/>
        <v>0</v>
      </c>
      <c r="F85" s="67"/>
      <c r="G85" s="120">
        <f>IFERROR(__xludf.DUMMYFUNCTION("""COMPUTED_VALUE"""),0.0)</f>
        <v>0</v>
      </c>
      <c r="H85" s="121">
        <f>IFERROR(__xludf.DUMMYFUNCTION("""COMPUTED_VALUE"""),0.0)</f>
        <v>0</v>
      </c>
      <c r="I85" s="122">
        <f t="shared" si="18"/>
        <v>0</v>
      </c>
      <c r="J85" s="137"/>
      <c r="K85" s="124">
        <f>IFERROR(__xludf.DUMMYFUNCTION("""COMPUTED_VALUE"""),0.0)</f>
        <v>0</v>
      </c>
      <c r="L85" s="121">
        <f>IFERROR(__xludf.DUMMYFUNCTION("""COMPUTED_VALUE"""),0.0)</f>
        <v>0</v>
      </c>
      <c r="M85" s="122">
        <f t="shared" si="19"/>
        <v>0</v>
      </c>
      <c r="N85" s="125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>
        <f t="shared" si="24"/>
        <v>13</v>
      </c>
      <c r="AC85" s="128">
        <f t="shared" ref="AC85:AD85" si="35">C85+G85+K85</f>
        <v>0</v>
      </c>
      <c r="AD85" s="57">
        <f t="shared" si="35"/>
        <v>0</v>
      </c>
      <c r="AE85" s="129">
        <v>100.0</v>
      </c>
      <c r="AF85" s="130">
        <v>1.15</v>
      </c>
      <c r="AG85" s="60">
        <f t="shared" si="21"/>
        <v>0</v>
      </c>
      <c r="AH85" s="131" t="str">
        <f t="shared" si="16"/>
        <v>Bogdan - Mihai Strajescu-x</v>
      </c>
      <c r="AI85" s="132">
        <f t="shared" si="22"/>
        <v>0</v>
      </c>
      <c r="AJ85" s="105"/>
      <c r="AK85" s="64">
        <f t="shared" si="23"/>
        <v>0</v>
      </c>
      <c r="AL85" s="66">
        <f>IFERROR(__xludf.DUMMYFUNCTION("""COMPUTED_VALUE"""),0.0)</f>
        <v>0</v>
      </c>
      <c r="AM85" s="66">
        <f>IFERROR(__xludf.DUMMYFUNCTION("""COMPUTED_VALUE"""),0.0)</f>
        <v>0</v>
      </c>
      <c r="AN85" s="66">
        <f>IFERROR(__xludf.DUMMYFUNCTION("""COMPUTED_VALUE"""),0.0)</f>
        <v>0</v>
      </c>
    </row>
    <row r="86" ht="15.75" customHeight="1">
      <c r="A86" s="138" t="s">
        <v>54</v>
      </c>
      <c r="B86" s="134"/>
      <c r="C86" s="135">
        <f>IFERROR(__xludf.DUMMYFUNCTION("""COMPUTED_VALUE"""),0.0)</f>
        <v>0</v>
      </c>
      <c r="D86" s="136">
        <f>IFERROR(__xludf.DUMMYFUNCTION("""COMPUTED_VALUE"""),0.0)</f>
        <v>0</v>
      </c>
      <c r="E86" s="70">
        <f t="shared" si="17"/>
        <v>0</v>
      </c>
      <c r="F86" s="67"/>
      <c r="G86" s="120">
        <f>IFERROR(__xludf.DUMMYFUNCTION("""COMPUTED_VALUE"""),9.0)</f>
        <v>9</v>
      </c>
      <c r="H86" s="121">
        <f>IFERROR(__xludf.DUMMYFUNCTION("""COMPUTED_VALUE"""),900.0)</f>
        <v>900</v>
      </c>
      <c r="I86" s="122">
        <f t="shared" si="18"/>
        <v>1058.823529</v>
      </c>
      <c r="J86" s="137"/>
      <c r="K86" s="124">
        <f>IFERROR(__xludf.DUMMYFUNCTION("""COMPUTED_VALUE"""),0.0)</f>
        <v>0</v>
      </c>
      <c r="L86" s="121">
        <f>IFERROR(__xludf.DUMMYFUNCTION("""COMPUTED_VALUE"""),0.0)</f>
        <v>0</v>
      </c>
      <c r="M86" s="122">
        <f t="shared" si="19"/>
        <v>0</v>
      </c>
      <c r="N86" s="125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>
        <f t="shared" si="24"/>
        <v>14</v>
      </c>
      <c r="AC86" s="128">
        <f t="shared" ref="AC86:AD86" si="36">C86+G86+K86</f>
        <v>9</v>
      </c>
      <c r="AD86" s="57">
        <f t="shared" si="36"/>
        <v>900</v>
      </c>
      <c r="AE86" s="129">
        <v>100.0</v>
      </c>
      <c r="AF86" s="130">
        <v>1.15</v>
      </c>
      <c r="AG86" s="60">
        <f t="shared" si="21"/>
        <v>1058.823529</v>
      </c>
      <c r="AH86" s="131" t="str">
        <f t="shared" si="16"/>
        <v>William Simba-x</v>
      </c>
      <c r="AI86" s="132">
        <f t="shared" si="22"/>
        <v>900</v>
      </c>
      <c r="AJ86" s="105"/>
      <c r="AK86" s="64">
        <f t="shared" si="23"/>
        <v>900</v>
      </c>
      <c r="AL86" s="66">
        <f>IFERROR(__xludf.DUMMYFUNCTION("""COMPUTED_VALUE"""),0.0)</f>
        <v>0</v>
      </c>
      <c r="AM86" s="66">
        <f>IFERROR(__xludf.DUMMYFUNCTION("""COMPUTED_VALUE"""),900.0)</f>
        <v>900</v>
      </c>
      <c r="AN86" s="66">
        <f>IFERROR(__xludf.DUMMYFUNCTION("""COMPUTED_VALUE"""),0.0)</f>
        <v>0</v>
      </c>
    </row>
    <row r="87" ht="15.75" customHeight="1">
      <c r="A87" s="115" t="s">
        <v>55</v>
      </c>
      <c r="B87" s="134"/>
      <c r="C87" s="135">
        <f>IFERROR(__xludf.DUMMYFUNCTION("""COMPUTED_VALUE"""),46.0)</f>
        <v>46</v>
      </c>
      <c r="D87" s="136">
        <f>IFERROR(__xludf.DUMMYFUNCTION("""COMPUTED_VALUE"""),4600.0)</f>
        <v>4600</v>
      </c>
      <c r="E87" s="70">
        <f t="shared" si="17"/>
        <v>5411.764706</v>
      </c>
      <c r="F87" s="67"/>
      <c r="G87" s="120">
        <f>IFERROR(__xludf.DUMMYFUNCTION("""COMPUTED_VALUE"""),0.0)</f>
        <v>0</v>
      </c>
      <c r="H87" s="121">
        <f>IFERROR(__xludf.DUMMYFUNCTION("""COMPUTED_VALUE"""),0.0)</f>
        <v>0</v>
      </c>
      <c r="I87" s="122">
        <f t="shared" si="18"/>
        <v>0</v>
      </c>
      <c r="J87" s="137"/>
      <c r="K87" s="124">
        <f>IFERROR(__xludf.DUMMYFUNCTION("""COMPUTED_VALUE"""),0.0)</f>
        <v>0</v>
      </c>
      <c r="L87" s="121">
        <f>IFERROR(__xludf.DUMMYFUNCTION("""COMPUTED_VALUE"""),0.0)</f>
        <v>0</v>
      </c>
      <c r="M87" s="122">
        <f t="shared" si="19"/>
        <v>0</v>
      </c>
      <c r="N87" s="125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>
        <f t="shared" si="24"/>
        <v>15</v>
      </c>
      <c r="AC87" s="128">
        <f t="shared" ref="AC87:AD87" si="37">C87+G87+K87</f>
        <v>46</v>
      </c>
      <c r="AD87" s="57">
        <f t="shared" si="37"/>
        <v>4600</v>
      </c>
      <c r="AE87" s="129">
        <v>100.0</v>
      </c>
      <c r="AF87" s="130">
        <v>1.15</v>
      </c>
      <c r="AG87" s="60">
        <f t="shared" si="21"/>
        <v>5411.764706</v>
      </c>
      <c r="AH87" s="131" t="str">
        <f t="shared" si="16"/>
        <v>Jan Pelikán</v>
      </c>
      <c r="AI87" s="132">
        <f t="shared" si="22"/>
        <v>4600</v>
      </c>
      <c r="AJ87" s="105"/>
      <c r="AK87" s="64">
        <f t="shared" si="23"/>
        <v>0</v>
      </c>
      <c r="AL87" s="66">
        <f>IFERROR(__xludf.DUMMYFUNCTION("""COMPUTED_VALUE"""),0.0)</f>
        <v>0</v>
      </c>
      <c r="AM87" s="66">
        <f>IFERROR(__xludf.DUMMYFUNCTION("""COMPUTED_VALUE"""),0.0)</f>
        <v>0</v>
      </c>
      <c r="AN87" s="66">
        <f>IFERROR(__xludf.DUMMYFUNCTION("""COMPUTED_VALUE"""),0.0)</f>
        <v>0</v>
      </c>
    </row>
    <row r="88" ht="15.75" customHeight="1">
      <c r="A88" s="138" t="s">
        <v>56</v>
      </c>
      <c r="B88" s="134"/>
      <c r="C88" s="135">
        <f>IFERROR(__xludf.DUMMYFUNCTION("""COMPUTED_VALUE"""),3.0)</f>
        <v>3</v>
      </c>
      <c r="D88" s="136">
        <f>IFERROR(__xludf.DUMMYFUNCTION("""COMPUTED_VALUE"""),300.0)</f>
        <v>300</v>
      </c>
      <c r="E88" s="70">
        <f t="shared" si="17"/>
        <v>352.9411765</v>
      </c>
      <c r="F88" s="67"/>
      <c r="G88" s="120">
        <f>IFERROR(__xludf.DUMMYFUNCTION("""COMPUTED_VALUE"""),0.0)</f>
        <v>0</v>
      </c>
      <c r="H88" s="121">
        <f>IFERROR(__xludf.DUMMYFUNCTION("""COMPUTED_VALUE"""),0.0)</f>
        <v>0</v>
      </c>
      <c r="I88" s="122">
        <f t="shared" si="18"/>
        <v>0</v>
      </c>
      <c r="J88" s="137"/>
      <c r="K88" s="124">
        <f>IFERROR(__xludf.DUMMYFUNCTION("""COMPUTED_VALUE"""),0.0)</f>
        <v>0</v>
      </c>
      <c r="L88" s="121">
        <f>IFERROR(__xludf.DUMMYFUNCTION("""COMPUTED_VALUE"""),0.0)</f>
        <v>0</v>
      </c>
      <c r="M88" s="122">
        <f t="shared" si="19"/>
        <v>0</v>
      </c>
      <c r="N88" s="125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>
        <f t="shared" si="24"/>
        <v>16</v>
      </c>
      <c r="AC88" s="128">
        <f t="shared" ref="AC88:AD88" si="38">C88+G88+K88</f>
        <v>3</v>
      </c>
      <c r="AD88" s="57">
        <f t="shared" si="38"/>
        <v>300</v>
      </c>
      <c r="AE88" s="129">
        <v>100.0</v>
      </c>
      <c r="AF88" s="130">
        <v>1.15</v>
      </c>
      <c r="AG88" s="60">
        <f t="shared" si="21"/>
        <v>352.9411765</v>
      </c>
      <c r="AH88" s="131" t="str">
        <f t="shared" si="16"/>
        <v>Martin Danč-x</v>
      </c>
      <c r="AI88" s="132">
        <f t="shared" si="22"/>
        <v>300</v>
      </c>
      <c r="AJ88" s="105"/>
      <c r="AK88" s="64">
        <f t="shared" si="23"/>
        <v>0</v>
      </c>
      <c r="AL88" s="66">
        <f>IFERROR(__xludf.DUMMYFUNCTION("""COMPUTED_VALUE"""),0.0)</f>
        <v>0</v>
      </c>
      <c r="AM88" s="66">
        <f>IFERROR(__xludf.DUMMYFUNCTION("""COMPUTED_VALUE"""),0.0)</f>
        <v>0</v>
      </c>
      <c r="AN88" s="66">
        <f>IFERROR(__xludf.DUMMYFUNCTION("""COMPUTED_VALUE"""),0.0)</f>
        <v>0</v>
      </c>
    </row>
    <row r="89" ht="15.75" customHeight="1">
      <c r="A89" s="138" t="s">
        <v>57</v>
      </c>
      <c r="B89" s="134"/>
      <c r="C89" s="135">
        <f>IFERROR(__xludf.DUMMYFUNCTION("""COMPUTED_VALUE"""),0.0)</f>
        <v>0</v>
      </c>
      <c r="D89" s="136">
        <f>IFERROR(__xludf.DUMMYFUNCTION("""COMPUTED_VALUE"""),0.0)</f>
        <v>0</v>
      </c>
      <c r="E89" s="70">
        <f t="shared" si="17"/>
        <v>0</v>
      </c>
      <c r="F89" s="67"/>
      <c r="G89" s="120">
        <f>IFERROR(__xludf.DUMMYFUNCTION("""COMPUTED_VALUE"""),0.0)</f>
        <v>0</v>
      </c>
      <c r="H89" s="121">
        <f>IFERROR(__xludf.DUMMYFUNCTION("""COMPUTED_VALUE"""),0.0)</f>
        <v>0</v>
      </c>
      <c r="I89" s="122">
        <f t="shared" si="18"/>
        <v>0</v>
      </c>
      <c r="J89" s="137"/>
      <c r="K89" s="124">
        <f>IFERROR(__xludf.DUMMYFUNCTION("""COMPUTED_VALUE"""),0.0)</f>
        <v>0</v>
      </c>
      <c r="L89" s="121">
        <f>IFERROR(__xludf.DUMMYFUNCTION("""COMPUTED_VALUE"""),0.0)</f>
        <v>0</v>
      </c>
      <c r="M89" s="122">
        <f t="shared" si="19"/>
        <v>0</v>
      </c>
      <c r="N89" s="125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>
        <f t="shared" si="24"/>
        <v>17</v>
      </c>
      <c r="AC89" s="128">
        <f t="shared" ref="AC89:AD89" si="39">C89+G89+K89</f>
        <v>0</v>
      </c>
      <c r="AD89" s="57">
        <f t="shared" si="39"/>
        <v>0</v>
      </c>
      <c r="AE89" s="129">
        <v>100.0</v>
      </c>
      <c r="AF89" s="130">
        <v>1.15</v>
      </c>
      <c r="AG89" s="60">
        <f t="shared" si="21"/>
        <v>0</v>
      </c>
      <c r="AH89" s="131" t="str">
        <f t="shared" si="16"/>
        <v>Pavel Hochman-x</v>
      </c>
      <c r="AI89" s="132">
        <f t="shared" si="22"/>
        <v>0</v>
      </c>
      <c r="AJ89" s="105"/>
      <c r="AK89" s="64">
        <f t="shared" si="23"/>
        <v>0</v>
      </c>
      <c r="AL89" s="66">
        <f>IFERROR(__xludf.DUMMYFUNCTION("""COMPUTED_VALUE"""),0.0)</f>
        <v>0</v>
      </c>
      <c r="AM89" s="66">
        <f>IFERROR(__xludf.DUMMYFUNCTION("""COMPUTED_VALUE"""),0.0)</f>
        <v>0</v>
      </c>
      <c r="AN89" s="66">
        <f>IFERROR(__xludf.DUMMYFUNCTION("""COMPUTED_VALUE"""),0.0)</f>
        <v>0</v>
      </c>
    </row>
    <row r="90" ht="15.75" customHeight="1">
      <c r="A90" s="115" t="s">
        <v>58</v>
      </c>
      <c r="B90" s="134"/>
      <c r="C90" s="135">
        <f>IFERROR(__xludf.DUMMYFUNCTION("""COMPUTED_VALUE"""),4.5)</f>
        <v>4.5</v>
      </c>
      <c r="D90" s="136">
        <f>IFERROR(__xludf.DUMMYFUNCTION("""COMPUTED_VALUE"""),450.0)</f>
        <v>450</v>
      </c>
      <c r="E90" s="70">
        <f t="shared" si="17"/>
        <v>529.4117647</v>
      </c>
      <c r="F90" s="67"/>
      <c r="G90" s="120">
        <f>IFERROR(__xludf.DUMMYFUNCTION("""COMPUTED_VALUE"""),183.0)</f>
        <v>183</v>
      </c>
      <c r="H90" s="121">
        <f>IFERROR(__xludf.DUMMYFUNCTION("""COMPUTED_VALUE"""),18300.0)</f>
        <v>18300</v>
      </c>
      <c r="I90" s="122">
        <f t="shared" si="18"/>
        <v>21529.41176</v>
      </c>
      <c r="J90" s="137"/>
      <c r="K90" s="124">
        <f>IFERROR(__xludf.DUMMYFUNCTION("""COMPUTED_VALUE"""),0.0)</f>
        <v>0</v>
      </c>
      <c r="L90" s="121">
        <f>IFERROR(__xludf.DUMMYFUNCTION("""COMPUTED_VALUE"""),0.0)</f>
        <v>0</v>
      </c>
      <c r="M90" s="122">
        <f t="shared" si="19"/>
        <v>0</v>
      </c>
      <c r="N90" s="125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>
        <f t="shared" si="24"/>
        <v>18</v>
      </c>
      <c r="AC90" s="128">
        <f t="shared" ref="AC90:AD90" si="40">C90+G90+K90</f>
        <v>187.5</v>
      </c>
      <c r="AD90" s="57">
        <f t="shared" si="40"/>
        <v>18750</v>
      </c>
      <c r="AE90" s="129">
        <v>100.0</v>
      </c>
      <c r="AF90" s="130">
        <v>1.15</v>
      </c>
      <c r="AG90" s="60">
        <f t="shared" si="21"/>
        <v>22058.82353</v>
      </c>
      <c r="AH90" s="131" t="str">
        <f t="shared" si="16"/>
        <v>Marek Šos</v>
      </c>
      <c r="AI90" s="132">
        <f t="shared" si="22"/>
        <v>18750</v>
      </c>
      <c r="AJ90" s="105"/>
      <c r="AK90" s="64">
        <f t="shared" si="23"/>
        <v>2250</v>
      </c>
      <c r="AL90" s="66">
        <f>IFERROR(__xludf.DUMMYFUNCTION("""COMPUTED_VALUE"""),450.0)</f>
        <v>450</v>
      </c>
      <c r="AM90" s="66">
        <f>IFERROR(__xludf.DUMMYFUNCTION("""COMPUTED_VALUE"""),1800.0)</f>
        <v>1800</v>
      </c>
      <c r="AN90" s="66">
        <f>IFERROR(__xludf.DUMMYFUNCTION("""COMPUTED_VALUE"""),0.0)</f>
        <v>0</v>
      </c>
    </row>
    <row r="91" ht="15.75" customHeight="1">
      <c r="A91" s="139" t="s">
        <v>59</v>
      </c>
      <c r="B91" s="134"/>
      <c r="C91" s="135">
        <f>IFERROR(__xludf.DUMMYFUNCTION("""COMPUTED_VALUE"""),44.0)</f>
        <v>44</v>
      </c>
      <c r="D91" s="136">
        <f>IFERROR(__xludf.DUMMYFUNCTION("""COMPUTED_VALUE"""),4400.0)</f>
        <v>4400</v>
      </c>
      <c r="E91" s="70">
        <f t="shared" si="17"/>
        <v>5176.470588</v>
      </c>
      <c r="F91" s="67"/>
      <c r="G91" s="120">
        <f>IFERROR(__xludf.DUMMYFUNCTION("""COMPUTED_VALUE"""),0.0)</f>
        <v>0</v>
      </c>
      <c r="H91" s="121">
        <f>IFERROR(__xludf.DUMMYFUNCTION("""COMPUTED_VALUE"""),0.0)</f>
        <v>0</v>
      </c>
      <c r="I91" s="122">
        <f t="shared" si="18"/>
        <v>0</v>
      </c>
      <c r="J91" s="137"/>
      <c r="K91" s="124">
        <f>IFERROR(__xludf.DUMMYFUNCTION("""COMPUTED_VALUE"""),0.0)</f>
        <v>0</v>
      </c>
      <c r="L91" s="121">
        <f>IFERROR(__xludf.DUMMYFUNCTION("""COMPUTED_VALUE"""),0.0)</f>
        <v>0</v>
      </c>
      <c r="M91" s="122">
        <f t="shared" si="19"/>
        <v>0</v>
      </c>
      <c r="N91" s="125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>
        <f t="shared" si="24"/>
        <v>19</v>
      </c>
      <c r="AC91" s="128">
        <f t="shared" ref="AC91:AD91" si="41">C91+G91+K91</f>
        <v>44</v>
      </c>
      <c r="AD91" s="57">
        <f t="shared" si="41"/>
        <v>4400</v>
      </c>
      <c r="AE91" s="129">
        <v>100.0</v>
      </c>
      <c r="AF91" s="130">
        <v>1.15</v>
      </c>
      <c r="AG91" s="60">
        <f t="shared" si="21"/>
        <v>5176.470588</v>
      </c>
      <c r="AH91" s="131" t="str">
        <f t="shared" si="16"/>
        <v>Martin Jurkovič</v>
      </c>
      <c r="AI91" s="132">
        <f t="shared" si="22"/>
        <v>4400</v>
      </c>
      <c r="AJ91" s="105"/>
      <c r="AK91" s="64">
        <f t="shared" si="23"/>
        <v>0</v>
      </c>
      <c r="AL91" s="66">
        <f>IFERROR(__xludf.DUMMYFUNCTION("""COMPUTED_VALUE"""),0.0)</f>
        <v>0</v>
      </c>
      <c r="AM91" s="66">
        <f>IFERROR(__xludf.DUMMYFUNCTION("""COMPUTED_VALUE"""),0.0)</f>
        <v>0</v>
      </c>
      <c r="AN91" s="66">
        <f>IFERROR(__xludf.DUMMYFUNCTION("""COMPUTED_VALUE"""),0.0)</f>
        <v>0</v>
      </c>
    </row>
    <row r="92" ht="15.75" customHeight="1">
      <c r="A92" s="139" t="s">
        <v>60</v>
      </c>
      <c r="B92" s="134"/>
      <c r="C92" s="135">
        <f>IFERROR(__xludf.DUMMYFUNCTION("""COMPUTED_VALUE"""),89.5)</f>
        <v>89.5</v>
      </c>
      <c r="D92" s="136">
        <f>IFERROR(__xludf.DUMMYFUNCTION("""COMPUTED_VALUE"""),8950.0)</f>
        <v>8950</v>
      </c>
      <c r="E92" s="70">
        <f t="shared" si="17"/>
        <v>10529.41176</v>
      </c>
      <c r="F92" s="67"/>
      <c r="G92" s="120">
        <f>IFERROR(__xludf.DUMMYFUNCTION("""COMPUTED_VALUE"""),0.0)</f>
        <v>0</v>
      </c>
      <c r="H92" s="121">
        <f>IFERROR(__xludf.DUMMYFUNCTION("""COMPUTED_VALUE"""),0.0)</f>
        <v>0</v>
      </c>
      <c r="I92" s="122">
        <f t="shared" si="18"/>
        <v>0</v>
      </c>
      <c r="J92" s="137"/>
      <c r="K92" s="124">
        <f>IFERROR(__xludf.DUMMYFUNCTION("""COMPUTED_VALUE"""),0.0)</f>
        <v>0</v>
      </c>
      <c r="L92" s="121">
        <f>IFERROR(__xludf.DUMMYFUNCTION("""COMPUTED_VALUE"""),0.0)</f>
        <v>0</v>
      </c>
      <c r="M92" s="122">
        <f t="shared" si="19"/>
        <v>0</v>
      </c>
      <c r="N92" s="125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>
        <f t="shared" si="24"/>
        <v>20</v>
      </c>
      <c r="AC92" s="128">
        <f t="shared" ref="AC92:AD92" si="42">C92+G92+K92</f>
        <v>89.5</v>
      </c>
      <c r="AD92" s="57">
        <f t="shared" si="42"/>
        <v>8950</v>
      </c>
      <c r="AE92" s="129">
        <v>100.0</v>
      </c>
      <c r="AF92" s="130">
        <v>1.15</v>
      </c>
      <c r="AG92" s="60">
        <f t="shared" si="21"/>
        <v>10529.41176</v>
      </c>
      <c r="AH92" s="131" t="str">
        <f t="shared" si="16"/>
        <v>Václav Schejbal</v>
      </c>
      <c r="AI92" s="132">
        <f t="shared" si="22"/>
        <v>8950</v>
      </c>
      <c r="AJ92" s="105"/>
      <c r="AK92" s="64">
        <f t="shared" si="23"/>
        <v>0</v>
      </c>
      <c r="AL92" s="66">
        <f>IFERROR(__xludf.DUMMYFUNCTION("""COMPUTED_VALUE"""),0.0)</f>
        <v>0</v>
      </c>
      <c r="AM92" s="66">
        <f>IFERROR(__xludf.DUMMYFUNCTION("""COMPUTED_VALUE"""),0.0)</f>
        <v>0</v>
      </c>
      <c r="AN92" s="66">
        <f>IFERROR(__xludf.DUMMYFUNCTION("""COMPUTED_VALUE"""),0.0)</f>
        <v>0</v>
      </c>
    </row>
    <row r="93" ht="15.75" customHeight="1">
      <c r="A93" s="139" t="s">
        <v>61</v>
      </c>
      <c r="B93" s="134"/>
      <c r="C93" s="135">
        <f>IFERROR(__xludf.DUMMYFUNCTION("""COMPUTED_VALUE"""),5.0)</f>
        <v>5</v>
      </c>
      <c r="D93" s="136">
        <f>IFERROR(__xludf.DUMMYFUNCTION("""COMPUTED_VALUE"""),500.0)</f>
        <v>500</v>
      </c>
      <c r="E93" s="70">
        <f t="shared" si="17"/>
        <v>588.2352941</v>
      </c>
      <c r="F93" s="67"/>
      <c r="G93" s="120">
        <f>IFERROR(__xludf.DUMMYFUNCTION("""COMPUTED_VALUE"""),167.5)</f>
        <v>167.5</v>
      </c>
      <c r="H93" s="121">
        <f>IFERROR(__xludf.DUMMYFUNCTION("""COMPUTED_VALUE"""),16750.0)</f>
        <v>16750</v>
      </c>
      <c r="I93" s="122">
        <f t="shared" si="18"/>
        <v>19705.88235</v>
      </c>
      <c r="J93" s="137"/>
      <c r="K93" s="124">
        <f>IFERROR(__xludf.DUMMYFUNCTION("""COMPUTED_VALUE"""),0.0)</f>
        <v>0</v>
      </c>
      <c r="L93" s="121">
        <f>IFERROR(__xludf.DUMMYFUNCTION("""COMPUTED_VALUE"""),0.0)</f>
        <v>0</v>
      </c>
      <c r="M93" s="122">
        <f t="shared" si="19"/>
        <v>0</v>
      </c>
      <c r="N93" s="125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>
        <f t="shared" si="24"/>
        <v>21</v>
      </c>
      <c r="AC93" s="128">
        <f t="shared" ref="AC93:AD93" si="43">C93+G93+K93</f>
        <v>172.5</v>
      </c>
      <c r="AD93" s="57">
        <f t="shared" si="43"/>
        <v>17250</v>
      </c>
      <c r="AE93" s="129">
        <v>100.0</v>
      </c>
      <c r="AF93" s="130">
        <v>1.15</v>
      </c>
      <c r="AG93" s="60">
        <f t="shared" si="21"/>
        <v>20294.11765</v>
      </c>
      <c r="AH93" s="131" t="str">
        <f t="shared" si="16"/>
        <v>Zbyněk Hyský</v>
      </c>
      <c r="AI93" s="132">
        <f t="shared" si="22"/>
        <v>17250</v>
      </c>
      <c r="AJ93" s="105"/>
      <c r="AK93" s="64">
        <f t="shared" si="23"/>
        <v>1950</v>
      </c>
      <c r="AL93" s="66">
        <f>IFERROR(__xludf.DUMMYFUNCTION("""COMPUTED_VALUE"""),0.0)</f>
        <v>0</v>
      </c>
      <c r="AM93" s="66">
        <f>IFERROR(__xludf.DUMMYFUNCTION("""COMPUTED_VALUE"""),1950.0)</f>
        <v>1950</v>
      </c>
      <c r="AN93" s="66">
        <f>IFERROR(__xludf.DUMMYFUNCTION("""COMPUTED_VALUE"""),0.0)</f>
        <v>0</v>
      </c>
    </row>
    <row r="94" ht="15.75" customHeight="1">
      <c r="A94" s="115" t="s">
        <v>62</v>
      </c>
      <c r="B94" s="134"/>
      <c r="C94" s="135">
        <f>IFERROR(__xludf.DUMMYFUNCTION("""COMPUTED_VALUE"""),4.5)</f>
        <v>4.5</v>
      </c>
      <c r="D94" s="136">
        <f>IFERROR(__xludf.DUMMYFUNCTION("""COMPUTED_VALUE"""),450.0)</f>
        <v>450</v>
      </c>
      <c r="E94" s="70">
        <f t="shared" si="17"/>
        <v>529.4117647</v>
      </c>
      <c r="F94" s="67"/>
      <c r="G94" s="120">
        <f>IFERROR(__xludf.DUMMYFUNCTION("""COMPUTED_VALUE"""),3.0)</f>
        <v>3</v>
      </c>
      <c r="H94" s="121">
        <f>IFERROR(__xludf.DUMMYFUNCTION("""COMPUTED_VALUE"""),300.0)</f>
        <v>300</v>
      </c>
      <c r="I94" s="122">
        <f t="shared" si="18"/>
        <v>352.9411765</v>
      </c>
      <c r="J94" s="137"/>
      <c r="K94" s="124">
        <f>IFERROR(__xludf.DUMMYFUNCTION("""COMPUTED_VALUE"""),0.0)</f>
        <v>0</v>
      </c>
      <c r="L94" s="121">
        <f>IFERROR(__xludf.DUMMYFUNCTION("""COMPUTED_VALUE"""),0.0)</f>
        <v>0</v>
      </c>
      <c r="M94" s="122">
        <f t="shared" si="19"/>
        <v>0</v>
      </c>
      <c r="N94" s="125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>
        <f t="shared" si="24"/>
        <v>22</v>
      </c>
      <c r="AC94" s="128">
        <f t="shared" ref="AC94:AD94" si="44">C94+G94+K94</f>
        <v>7.5</v>
      </c>
      <c r="AD94" s="57">
        <f t="shared" si="44"/>
        <v>750</v>
      </c>
      <c r="AE94" s="129">
        <v>100.0</v>
      </c>
      <c r="AF94" s="130">
        <v>1.15</v>
      </c>
      <c r="AG94" s="60">
        <f t="shared" si="21"/>
        <v>882.3529412</v>
      </c>
      <c r="AH94" s="131" t="str">
        <f t="shared" si="16"/>
        <v>Stanislav Roth st.</v>
      </c>
      <c r="AI94" s="132">
        <f t="shared" si="22"/>
        <v>750</v>
      </c>
      <c r="AJ94" s="105"/>
      <c r="AK94" s="64">
        <f t="shared" si="23"/>
        <v>0</v>
      </c>
      <c r="AL94" s="66">
        <f>IFERROR(__xludf.DUMMYFUNCTION("""COMPUTED_VALUE"""),0.0)</f>
        <v>0</v>
      </c>
      <c r="AM94" s="66">
        <f>IFERROR(__xludf.DUMMYFUNCTION("""COMPUTED_VALUE"""),0.0)</f>
        <v>0</v>
      </c>
      <c r="AN94" s="66">
        <f>IFERROR(__xludf.DUMMYFUNCTION("""COMPUTED_VALUE"""),0.0)</f>
        <v>0</v>
      </c>
    </row>
    <row r="95" ht="15.75" customHeight="1">
      <c r="A95" s="115" t="s">
        <v>63</v>
      </c>
      <c r="B95" s="134"/>
      <c r="C95" s="135">
        <f>IFERROR(__xludf.DUMMYFUNCTION("""COMPUTED_VALUE"""),160.0)</f>
        <v>160</v>
      </c>
      <c r="D95" s="136">
        <f>IFERROR(__xludf.DUMMYFUNCTION("""COMPUTED_VALUE"""),16000.0)</f>
        <v>16000</v>
      </c>
      <c r="E95" s="70">
        <f t="shared" si="17"/>
        <v>18823.52941</v>
      </c>
      <c r="F95" s="67"/>
      <c r="G95" s="120">
        <f>IFERROR(__xludf.DUMMYFUNCTION("""COMPUTED_VALUE"""),23.0)</f>
        <v>23</v>
      </c>
      <c r="H95" s="121">
        <f>IFERROR(__xludf.DUMMYFUNCTION("""COMPUTED_VALUE"""),2300.0)</f>
        <v>2300</v>
      </c>
      <c r="I95" s="122">
        <f t="shared" si="18"/>
        <v>2705.882353</v>
      </c>
      <c r="J95" s="137"/>
      <c r="K95" s="124">
        <f>IFERROR(__xludf.DUMMYFUNCTION("""COMPUTED_VALUE"""),0.0)</f>
        <v>0</v>
      </c>
      <c r="L95" s="121">
        <f>IFERROR(__xludf.DUMMYFUNCTION("""COMPUTED_VALUE"""),0.0)</f>
        <v>0</v>
      </c>
      <c r="M95" s="122">
        <f t="shared" si="19"/>
        <v>0</v>
      </c>
      <c r="N95" s="125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>
        <f t="shared" si="24"/>
        <v>23</v>
      </c>
      <c r="AC95" s="128">
        <f t="shared" ref="AC95:AD95" si="45">C95+G95+K95</f>
        <v>183</v>
      </c>
      <c r="AD95" s="57">
        <f t="shared" si="45"/>
        <v>18300</v>
      </c>
      <c r="AE95" s="129">
        <v>100.0</v>
      </c>
      <c r="AF95" s="130">
        <v>1.15</v>
      </c>
      <c r="AG95" s="60">
        <f t="shared" si="21"/>
        <v>21529.41176</v>
      </c>
      <c r="AH95" s="131" t="str">
        <f t="shared" si="16"/>
        <v>Vojtěch Olejník</v>
      </c>
      <c r="AI95" s="132">
        <f t="shared" si="22"/>
        <v>18300</v>
      </c>
      <c r="AJ95" s="105"/>
      <c r="AK95" s="64">
        <f t="shared" si="23"/>
        <v>17050</v>
      </c>
      <c r="AL95" s="66">
        <f>IFERROR(__xludf.DUMMYFUNCTION("""COMPUTED_VALUE"""),14750.0)</f>
        <v>14750</v>
      </c>
      <c r="AM95" s="66">
        <f>IFERROR(__xludf.DUMMYFUNCTION("""COMPUTED_VALUE"""),2300.0)</f>
        <v>2300</v>
      </c>
      <c r="AN95" s="66">
        <f>IFERROR(__xludf.DUMMYFUNCTION("""COMPUTED_VALUE"""),0.0)</f>
        <v>0</v>
      </c>
    </row>
    <row r="96" ht="15.75" customHeight="1">
      <c r="A96" s="115" t="s">
        <v>64</v>
      </c>
      <c r="B96" s="134"/>
      <c r="C96" s="135">
        <f>IFERROR(__xludf.DUMMYFUNCTION("""COMPUTED_VALUE"""),0.0)</f>
        <v>0</v>
      </c>
      <c r="D96" s="136">
        <f>IFERROR(__xludf.DUMMYFUNCTION("""COMPUTED_VALUE"""),0.0)</f>
        <v>0</v>
      </c>
      <c r="E96" s="70">
        <f t="shared" si="17"/>
        <v>0</v>
      </c>
      <c r="F96" s="67"/>
      <c r="G96" s="120">
        <f>IFERROR(__xludf.DUMMYFUNCTION("""COMPUTED_VALUE"""),239.5)</f>
        <v>239.5</v>
      </c>
      <c r="H96" s="121">
        <f>IFERROR(__xludf.DUMMYFUNCTION("""COMPUTED_VALUE"""),28740.0)</f>
        <v>28740</v>
      </c>
      <c r="I96" s="122">
        <f t="shared" si="18"/>
        <v>28740</v>
      </c>
      <c r="J96" s="137"/>
      <c r="K96" s="124">
        <f>IFERROR(__xludf.DUMMYFUNCTION("""COMPUTED_VALUE"""),0.0)</f>
        <v>0</v>
      </c>
      <c r="L96" s="121">
        <f>IFERROR(__xludf.DUMMYFUNCTION("""COMPUTED_VALUE"""),0.0)</f>
        <v>0</v>
      </c>
      <c r="M96" s="122">
        <f t="shared" si="19"/>
        <v>0</v>
      </c>
      <c r="N96" s="125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>
        <f t="shared" si="24"/>
        <v>24</v>
      </c>
      <c r="AC96" s="128">
        <f t="shared" ref="AC96:AD96" si="46">C96+G96+K96</f>
        <v>239.5</v>
      </c>
      <c r="AD96" s="57">
        <f t="shared" si="46"/>
        <v>28740</v>
      </c>
      <c r="AE96" s="129">
        <v>120.0</v>
      </c>
      <c r="AF96" s="130">
        <v>1.0</v>
      </c>
      <c r="AG96" s="60">
        <f t="shared" si="21"/>
        <v>28740</v>
      </c>
      <c r="AH96" s="131" t="str">
        <f t="shared" si="16"/>
        <v>Jakub Malík</v>
      </c>
      <c r="AI96" s="132">
        <f t="shared" si="22"/>
        <v>28740</v>
      </c>
      <c r="AJ96" s="105"/>
      <c r="AK96" s="64">
        <f t="shared" si="23"/>
        <v>3000</v>
      </c>
      <c r="AL96" s="66">
        <f>IFERROR(__xludf.DUMMYFUNCTION("""COMPUTED_VALUE"""),0.0)</f>
        <v>0</v>
      </c>
      <c r="AM96" s="66">
        <f>IFERROR(__xludf.DUMMYFUNCTION("""COMPUTED_VALUE"""),3000.0)</f>
        <v>3000</v>
      </c>
      <c r="AN96" s="66">
        <f>IFERROR(__xludf.DUMMYFUNCTION("""COMPUTED_VALUE"""),0.0)</f>
        <v>0</v>
      </c>
    </row>
    <row r="97" ht="15.75" customHeight="1">
      <c r="A97" s="138" t="s">
        <v>65</v>
      </c>
      <c r="B97" s="134"/>
      <c r="C97" s="135">
        <f>IFERROR(__xludf.DUMMYFUNCTION("""COMPUTED_VALUE"""),0.0)</f>
        <v>0</v>
      </c>
      <c r="D97" s="136">
        <f>IFERROR(__xludf.DUMMYFUNCTION("""COMPUTED_VALUE"""),0.0)</f>
        <v>0</v>
      </c>
      <c r="E97" s="70">
        <f t="shared" si="17"/>
        <v>0</v>
      </c>
      <c r="F97" s="67"/>
      <c r="G97" s="120">
        <f>IFERROR(__xludf.DUMMYFUNCTION("""COMPUTED_VALUE"""),0.0)</f>
        <v>0</v>
      </c>
      <c r="H97" s="121">
        <f>IFERROR(__xludf.DUMMYFUNCTION("""COMPUTED_VALUE"""),0.0)</f>
        <v>0</v>
      </c>
      <c r="I97" s="122">
        <f t="shared" si="18"/>
        <v>0</v>
      </c>
      <c r="J97" s="137"/>
      <c r="K97" s="124">
        <f>IFERROR(__xludf.DUMMYFUNCTION("""COMPUTED_VALUE"""),0.0)</f>
        <v>0</v>
      </c>
      <c r="L97" s="121">
        <f>IFERROR(__xludf.DUMMYFUNCTION("""COMPUTED_VALUE"""),0.0)</f>
        <v>0</v>
      </c>
      <c r="M97" s="122">
        <f t="shared" si="19"/>
        <v>0</v>
      </c>
      <c r="N97" s="125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>
        <f t="shared" si="24"/>
        <v>25</v>
      </c>
      <c r="AC97" s="128">
        <f t="shared" ref="AC97:AD97" si="47">C97+G97+K97</f>
        <v>0</v>
      </c>
      <c r="AD97" s="57">
        <f t="shared" si="47"/>
        <v>0</v>
      </c>
      <c r="AE97" s="129">
        <v>120.0</v>
      </c>
      <c r="AF97" s="130">
        <v>1.0</v>
      </c>
      <c r="AG97" s="60">
        <f t="shared" si="21"/>
        <v>0</v>
      </c>
      <c r="AH97" s="131" t="str">
        <f t="shared" si="16"/>
        <v>David Chysky-x</v>
      </c>
      <c r="AI97" s="132">
        <f t="shared" si="22"/>
        <v>0</v>
      </c>
      <c r="AJ97" s="105"/>
      <c r="AK97" s="64">
        <f t="shared" si="23"/>
        <v>0</v>
      </c>
      <c r="AL97" s="66">
        <f>IFERROR(__xludf.DUMMYFUNCTION("""COMPUTED_VALUE"""),0.0)</f>
        <v>0</v>
      </c>
      <c r="AM97" s="66">
        <f>IFERROR(__xludf.DUMMYFUNCTION("""COMPUTED_VALUE"""),0.0)</f>
        <v>0</v>
      </c>
      <c r="AN97" s="66">
        <f>IFERROR(__xludf.DUMMYFUNCTION("""COMPUTED_VALUE"""),0.0)</f>
        <v>0</v>
      </c>
    </row>
    <row r="98" ht="15.75" customHeight="1">
      <c r="A98" s="141" t="s">
        <v>66</v>
      </c>
      <c r="B98" s="134"/>
      <c r="C98" s="135">
        <f>IFERROR(__xludf.DUMMYFUNCTION("""COMPUTED_VALUE"""),0.0)</f>
        <v>0</v>
      </c>
      <c r="D98" s="136">
        <f>IFERROR(__xludf.DUMMYFUNCTION("""COMPUTED_VALUE"""),0.0)</f>
        <v>0</v>
      </c>
      <c r="E98" s="70">
        <f t="shared" si="17"/>
        <v>0</v>
      </c>
      <c r="F98" s="67"/>
      <c r="G98" s="120">
        <f>IFERROR(__xludf.DUMMYFUNCTION("""COMPUTED_VALUE"""),0.0)</f>
        <v>0</v>
      </c>
      <c r="H98" s="121">
        <f>IFERROR(__xludf.DUMMYFUNCTION("""COMPUTED_VALUE"""),0.0)</f>
        <v>0</v>
      </c>
      <c r="I98" s="122">
        <f t="shared" si="18"/>
        <v>0</v>
      </c>
      <c r="J98" s="137"/>
      <c r="K98" s="124">
        <f>IFERROR(__xludf.DUMMYFUNCTION("""COMPUTED_VALUE"""),0.0)</f>
        <v>0</v>
      </c>
      <c r="L98" s="121">
        <f>IFERROR(__xludf.DUMMYFUNCTION("""COMPUTED_VALUE"""),0.0)</f>
        <v>0</v>
      </c>
      <c r="M98" s="122">
        <f t="shared" si="19"/>
        <v>0</v>
      </c>
      <c r="N98" s="125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>
        <f t="shared" si="24"/>
        <v>26</v>
      </c>
      <c r="AC98" s="128">
        <f t="shared" ref="AC98:AD98" si="48">C98+G98+K98</f>
        <v>0</v>
      </c>
      <c r="AD98" s="57">
        <f t="shared" si="48"/>
        <v>0</v>
      </c>
      <c r="AE98" s="129">
        <v>100.0</v>
      </c>
      <c r="AF98" s="130">
        <v>1.15</v>
      </c>
      <c r="AG98" s="60">
        <f t="shared" si="21"/>
        <v>0</v>
      </c>
      <c r="AH98" s="131" t="str">
        <f t="shared" si="16"/>
        <v>Dominik Plodek-x</v>
      </c>
      <c r="AI98" s="132">
        <f t="shared" si="22"/>
        <v>0</v>
      </c>
      <c r="AJ98" s="105"/>
      <c r="AK98" s="64">
        <f t="shared" si="23"/>
        <v>0</v>
      </c>
      <c r="AL98" s="66">
        <f>IFERROR(__xludf.DUMMYFUNCTION("""COMPUTED_VALUE"""),0.0)</f>
        <v>0</v>
      </c>
      <c r="AM98" s="66">
        <f>IFERROR(__xludf.DUMMYFUNCTION("""COMPUTED_VALUE"""),0.0)</f>
        <v>0</v>
      </c>
      <c r="AN98" s="66">
        <f>IFERROR(__xludf.DUMMYFUNCTION("""COMPUTED_VALUE"""),0.0)</f>
        <v>0</v>
      </c>
    </row>
    <row r="99" ht="15.75" customHeight="1">
      <c r="A99" s="138" t="s">
        <v>67</v>
      </c>
      <c r="B99" s="134"/>
      <c r="C99" s="135">
        <f>IFERROR(__xludf.DUMMYFUNCTION("""COMPUTED_VALUE"""),0.0)</f>
        <v>0</v>
      </c>
      <c r="D99" s="136">
        <f>IFERROR(__xludf.DUMMYFUNCTION("""COMPUTED_VALUE"""),0.0)</f>
        <v>0</v>
      </c>
      <c r="E99" s="70">
        <f t="shared" si="17"/>
        <v>0</v>
      </c>
      <c r="F99" s="67"/>
      <c r="G99" s="120">
        <f>IFERROR(__xludf.DUMMYFUNCTION("""COMPUTED_VALUE"""),0.0)</f>
        <v>0</v>
      </c>
      <c r="H99" s="121">
        <f>IFERROR(__xludf.DUMMYFUNCTION("""COMPUTED_VALUE"""),0.0)</f>
        <v>0</v>
      </c>
      <c r="I99" s="122">
        <f t="shared" si="18"/>
        <v>0</v>
      </c>
      <c r="J99" s="137"/>
      <c r="K99" s="124">
        <f>IFERROR(__xludf.DUMMYFUNCTION("""COMPUTED_VALUE"""),0.0)</f>
        <v>0</v>
      </c>
      <c r="L99" s="121">
        <f>IFERROR(__xludf.DUMMYFUNCTION("""COMPUTED_VALUE"""),0.0)</f>
        <v>0</v>
      </c>
      <c r="M99" s="122">
        <f t="shared" si="19"/>
        <v>0</v>
      </c>
      <c r="N99" s="125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>
        <f t="shared" si="24"/>
        <v>27</v>
      </c>
      <c r="AC99" s="128">
        <f t="shared" ref="AC99:AD99" si="49">C99+G99+K99</f>
        <v>0</v>
      </c>
      <c r="AD99" s="57">
        <f t="shared" si="49"/>
        <v>0</v>
      </c>
      <c r="AE99" s="129">
        <v>100.0</v>
      </c>
      <c r="AF99" s="130">
        <v>1.15</v>
      </c>
      <c r="AG99" s="60">
        <f t="shared" si="21"/>
        <v>0</v>
      </c>
      <c r="AH99" s="131" t="str">
        <f t="shared" si="16"/>
        <v>Lukáš Viktora-x</v>
      </c>
      <c r="AI99" s="132">
        <f t="shared" si="22"/>
        <v>0</v>
      </c>
      <c r="AJ99" s="105"/>
      <c r="AK99" s="64">
        <f t="shared" si="23"/>
        <v>0</v>
      </c>
      <c r="AL99" s="66">
        <f>IFERROR(__xludf.DUMMYFUNCTION("""COMPUTED_VALUE"""),0.0)</f>
        <v>0</v>
      </c>
      <c r="AM99" s="66">
        <f>IFERROR(__xludf.DUMMYFUNCTION("""COMPUTED_VALUE"""),0.0)</f>
        <v>0</v>
      </c>
      <c r="AN99" s="66">
        <f>IFERROR(__xludf.DUMMYFUNCTION("""COMPUTED_VALUE"""),0.0)</f>
        <v>0</v>
      </c>
    </row>
    <row r="100" ht="15.75" customHeight="1">
      <c r="A100" s="115" t="s">
        <v>68</v>
      </c>
      <c r="B100" s="134"/>
      <c r="C100" s="135">
        <f>IFERROR(__xludf.DUMMYFUNCTION("""COMPUTED_VALUE"""),25.0)</f>
        <v>25</v>
      </c>
      <c r="D100" s="136">
        <f>IFERROR(__xludf.DUMMYFUNCTION("""COMPUTED_VALUE"""),2500.0)</f>
        <v>2500</v>
      </c>
      <c r="E100" s="70">
        <f t="shared" si="17"/>
        <v>2941.176471</v>
      </c>
      <c r="F100" s="67"/>
      <c r="G100" s="120">
        <f>IFERROR(__xludf.DUMMYFUNCTION("""COMPUTED_VALUE"""),0.0)</f>
        <v>0</v>
      </c>
      <c r="H100" s="121">
        <f>IFERROR(__xludf.DUMMYFUNCTION("""COMPUTED_VALUE"""),0.0)</f>
        <v>0</v>
      </c>
      <c r="I100" s="122">
        <f t="shared" si="18"/>
        <v>0</v>
      </c>
      <c r="J100" s="137"/>
      <c r="K100" s="124">
        <f>IFERROR(__xludf.DUMMYFUNCTION("""COMPUTED_VALUE"""),0.0)</f>
        <v>0</v>
      </c>
      <c r="L100" s="121">
        <f>IFERROR(__xludf.DUMMYFUNCTION("""COMPUTED_VALUE"""),0.0)</f>
        <v>0</v>
      </c>
      <c r="M100" s="122">
        <f t="shared" si="19"/>
        <v>0</v>
      </c>
      <c r="N100" s="125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>
        <f t="shared" si="24"/>
        <v>28</v>
      </c>
      <c r="AC100" s="128">
        <f t="shared" ref="AC100:AD100" si="50">C100+G100+K100</f>
        <v>25</v>
      </c>
      <c r="AD100" s="57">
        <f t="shared" si="50"/>
        <v>2500</v>
      </c>
      <c r="AE100" s="129">
        <v>100.0</v>
      </c>
      <c r="AF100" s="130">
        <v>1.15</v>
      </c>
      <c r="AG100" s="60">
        <f t="shared" si="21"/>
        <v>2941.176471</v>
      </c>
      <c r="AH100" s="131" t="str">
        <f t="shared" si="16"/>
        <v>Jan Jakub Šmejkal</v>
      </c>
      <c r="AI100" s="132">
        <f t="shared" si="22"/>
        <v>2500</v>
      </c>
      <c r="AJ100" s="105"/>
      <c r="AK100" s="64">
        <f t="shared" si="23"/>
        <v>0</v>
      </c>
      <c r="AL100" s="66">
        <f>IFERROR(__xludf.DUMMYFUNCTION("""COMPUTED_VALUE"""),0.0)</f>
        <v>0</v>
      </c>
      <c r="AM100" s="66">
        <f>IFERROR(__xludf.DUMMYFUNCTION("""COMPUTED_VALUE"""),0.0)</f>
        <v>0</v>
      </c>
      <c r="AN100" s="66">
        <f>IFERROR(__xludf.DUMMYFUNCTION("""COMPUTED_VALUE"""),0.0)</f>
        <v>0</v>
      </c>
    </row>
    <row r="101" ht="15.75" customHeight="1">
      <c r="A101" s="138" t="s">
        <v>69</v>
      </c>
      <c r="B101" s="134"/>
      <c r="C101" s="135">
        <f>IFERROR(__xludf.DUMMYFUNCTION("""COMPUTED_VALUE"""),0.0)</f>
        <v>0</v>
      </c>
      <c r="D101" s="136">
        <f>IFERROR(__xludf.DUMMYFUNCTION("""COMPUTED_VALUE"""),0.0)</f>
        <v>0</v>
      </c>
      <c r="E101" s="70">
        <f t="shared" si="17"/>
        <v>0</v>
      </c>
      <c r="F101" s="67"/>
      <c r="G101" s="120">
        <f>IFERROR(__xludf.DUMMYFUNCTION("""COMPUTED_VALUE"""),0.0)</f>
        <v>0</v>
      </c>
      <c r="H101" s="121">
        <f>IFERROR(__xludf.DUMMYFUNCTION("""COMPUTED_VALUE"""),0.0)</f>
        <v>0</v>
      </c>
      <c r="I101" s="122">
        <f t="shared" si="18"/>
        <v>0</v>
      </c>
      <c r="J101" s="137"/>
      <c r="K101" s="124">
        <f>IFERROR(__xludf.DUMMYFUNCTION("""COMPUTED_VALUE"""),0.0)</f>
        <v>0</v>
      </c>
      <c r="L101" s="121">
        <f>IFERROR(__xludf.DUMMYFUNCTION("""COMPUTED_VALUE"""),0.0)</f>
        <v>0</v>
      </c>
      <c r="M101" s="122">
        <f t="shared" si="19"/>
        <v>0</v>
      </c>
      <c r="N101" s="125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>
        <f t="shared" si="24"/>
        <v>29</v>
      </c>
      <c r="AC101" s="128">
        <f t="shared" ref="AC101:AD101" si="51">C101+G101+K101</f>
        <v>0</v>
      </c>
      <c r="AD101" s="57">
        <f t="shared" si="51"/>
        <v>0</v>
      </c>
      <c r="AE101" s="129">
        <v>100.0</v>
      </c>
      <c r="AF101" s="130">
        <v>1.15</v>
      </c>
      <c r="AG101" s="60">
        <f t="shared" si="21"/>
        <v>0</v>
      </c>
      <c r="AH101" s="131" t="str">
        <f t="shared" si="16"/>
        <v>Miroslav Majtán-x</v>
      </c>
      <c r="AI101" s="132">
        <f t="shared" si="22"/>
        <v>0</v>
      </c>
      <c r="AJ101" s="105"/>
      <c r="AK101" s="64">
        <f t="shared" si="23"/>
        <v>0</v>
      </c>
      <c r="AL101" s="66">
        <f>IFERROR(__xludf.DUMMYFUNCTION("""COMPUTED_VALUE"""),0.0)</f>
        <v>0</v>
      </c>
      <c r="AM101" s="66">
        <f>IFERROR(__xludf.DUMMYFUNCTION("""COMPUTED_VALUE"""),0.0)</f>
        <v>0</v>
      </c>
      <c r="AN101" s="66">
        <f>IFERROR(__xludf.DUMMYFUNCTION("""COMPUTED_VALUE"""),0.0)</f>
        <v>0</v>
      </c>
    </row>
    <row r="102" ht="15.75" customHeight="1">
      <c r="A102" s="138" t="s">
        <v>70</v>
      </c>
      <c r="B102" s="134"/>
      <c r="C102" s="135">
        <f>IFERROR(__xludf.DUMMYFUNCTION("""COMPUTED_VALUE"""),0.0)</f>
        <v>0</v>
      </c>
      <c r="D102" s="136">
        <f>IFERROR(__xludf.DUMMYFUNCTION("""COMPUTED_VALUE"""),0.0)</f>
        <v>0</v>
      </c>
      <c r="E102" s="70">
        <f t="shared" si="17"/>
        <v>0</v>
      </c>
      <c r="F102" s="67"/>
      <c r="G102" s="120">
        <f>IFERROR(__xludf.DUMMYFUNCTION("""COMPUTED_VALUE"""),0.0)</f>
        <v>0</v>
      </c>
      <c r="H102" s="121">
        <f>IFERROR(__xludf.DUMMYFUNCTION("""COMPUTED_VALUE"""),0.0)</f>
        <v>0</v>
      </c>
      <c r="I102" s="122">
        <f t="shared" si="18"/>
        <v>0</v>
      </c>
      <c r="J102" s="137"/>
      <c r="K102" s="124">
        <f>IFERROR(__xludf.DUMMYFUNCTION("""COMPUTED_VALUE"""),0.0)</f>
        <v>0</v>
      </c>
      <c r="L102" s="121">
        <f>IFERROR(__xludf.DUMMYFUNCTION("""COMPUTED_VALUE"""),0.0)</f>
        <v>0</v>
      </c>
      <c r="M102" s="122">
        <f t="shared" si="19"/>
        <v>0</v>
      </c>
      <c r="N102" s="125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>
        <f t="shared" si="24"/>
        <v>30</v>
      </c>
      <c r="AC102" s="128">
        <f t="shared" ref="AC102:AD102" si="52">C102+G102+K102</f>
        <v>0</v>
      </c>
      <c r="AD102" s="57">
        <f t="shared" si="52"/>
        <v>0</v>
      </c>
      <c r="AE102" s="129">
        <v>100.0</v>
      </c>
      <c r="AF102" s="130">
        <v>1.15</v>
      </c>
      <c r="AG102" s="60">
        <f t="shared" si="21"/>
        <v>0</v>
      </c>
      <c r="AH102" s="131" t="str">
        <f t="shared" si="16"/>
        <v>Blanka Kouřimská-x</v>
      </c>
      <c r="AI102" s="132">
        <f t="shared" si="22"/>
        <v>0</v>
      </c>
      <c r="AJ102" s="105"/>
      <c r="AK102" s="64">
        <f t="shared" si="23"/>
        <v>0</v>
      </c>
      <c r="AL102" s="66">
        <f>IFERROR(__xludf.DUMMYFUNCTION("""COMPUTED_VALUE"""),0.0)</f>
        <v>0</v>
      </c>
      <c r="AM102" s="66">
        <f>IFERROR(__xludf.DUMMYFUNCTION("""COMPUTED_VALUE"""),0.0)</f>
        <v>0</v>
      </c>
      <c r="AN102" s="66">
        <f>IFERROR(__xludf.DUMMYFUNCTION("""COMPUTED_VALUE"""),0.0)</f>
        <v>0</v>
      </c>
    </row>
    <row r="103" ht="15.75" customHeight="1">
      <c r="A103" s="138" t="s">
        <v>31</v>
      </c>
      <c r="B103" s="134"/>
      <c r="C103" s="135">
        <f>IFERROR(__xludf.DUMMYFUNCTION("""COMPUTED_VALUE"""),0.0)</f>
        <v>0</v>
      </c>
      <c r="D103" s="136">
        <f>IFERROR(__xludf.DUMMYFUNCTION("""COMPUTED_VALUE"""),0.0)</f>
        <v>0</v>
      </c>
      <c r="E103" s="70">
        <f t="shared" si="17"/>
        <v>0</v>
      </c>
      <c r="F103" s="67"/>
      <c r="G103" s="120">
        <f>IFERROR(__xludf.DUMMYFUNCTION("""COMPUTED_VALUE"""),0.0)</f>
        <v>0</v>
      </c>
      <c r="H103" s="121">
        <f>IFERROR(__xludf.DUMMYFUNCTION("""COMPUTED_VALUE"""),0.0)</f>
        <v>0</v>
      </c>
      <c r="I103" s="122">
        <f t="shared" si="18"/>
        <v>0</v>
      </c>
      <c r="J103" s="137"/>
      <c r="K103" s="124">
        <f>IFERROR(__xludf.DUMMYFUNCTION("""COMPUTED_VALUE"""),0.0)</f>
        <v>0</v>
      </c>
      <c r="L103" s="121">
        <f>IFERROR(__xludf.DUMMYFUNCTION("""COMPUTED_VALUE"""),0.0)</f>
        <v>0</v>
      </c>
      <c r="M103" s="122">
        <f t="shared" si="19"/>
        <v>0</v>
      </c>
      <c r="N103" s="125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>
        <f t="shared" si="24"/>
        <v>31</v>
      </c>
      <c r="AC103" s="128">
        <f t="shared" ref="AC103:AD103" si="53">C103+G103+K103</f>
        <v>0</v>
      </c>
      <c r="AD103" s="57">
        <f t="shared" si="53"/>
        <v>0</v>
      </c>
      <c r="AE103" s="129">
        <v>100.0</v>
      </c>
      <c r="AF103" s="130">
        <v>1.3</v>
      </c>
      <c r="AG103" s="60">
        <f t="shared" si="21"/>
        <v>0</v>
      </c>
      <c r="AH103" s="131" t="str">
        <f t="shared" si="16"/>
        <v>Vladimír Dudkin-x</v>
      </c>
      <c r="AI103" s="132">
        <f t="shared" si="22"/>
        <v>0</v>
      </c>
      <c r="AJ103" s="105"/>
      <c r="AK103" s="64">
        <f t="shared" si="23"/>
        <v>0</v>
      </c>
      <c r="AL103" s="66">
        <f>IFERROR(__xludf.DUMMYFUNCTION("""COMPUTED_VALUE"""),0.0)</f>
        <v>0</v>
      </c>
      <c r="AM103" s="66">
        <f>IFERROR(__xludf.DUMMYFUNCTION("""COMPUTED_VALUE"""),0.0)</f>
        <v>0</v>
      </c>
      <c r="AN103" s="66">
        <f>IFERROR(__xludf.DUMMYFUNCTION("""COMPUTED_VALUE"""),0.0)</f>
        <v>0</v>
      </c>
    </row>
    <row r="104" ht="15.75" customHeight="1">
      <c r="A104" s="142" t="s">
        <v>71</v>
      </c>
      <c r="B104" s="134"/>
      <c r="C104" s="135">
        <f>IFERROR(__xludf.DUMMYFUNCTION("""COMPUTED_VALUE"""),78.0)</f>
        <v>78</v>
      </c>
      <c r="D104" s="143">
        <f>IFERROR(__xludf.DUMMYFUNCTION("""COMPUTED_VALUE"""),7800.0)</f>
        <v>7800</v>
      </c>
      <c r="E104" s="70">
        <f t="shared" si="17"/>
        <v>9176.470588</v>
      </c>
      <c r="F104" s="67"/>
      <c r="G104" s="120">
        <f>IFERROR(__xludf.DUMMYFUNCTION("""COMPUTED_VALUE"""),0.0)</f>
        <v>0</v>
      </c>
      <c r="H104" s="121">
        <f>IFERROR(__xludf.DUMMYFUNCTION("""COMPUTED_VALUE"""),0.0)</f>
        <v>0</v>
      </c>
      <c r="I104" s="122">
        <f t="shared" si="18"/>
        <v>0</v>
      </c>
      <c r="J104" s="137"/>
      <c r="K104" s="124">
        <f>IFERROR(__xludf.DUMMYFUNCTION("""COMPUTED_VALUE"""),0.0)</f>
        <v>0</v>
      </c>
      <c r="L104" s="121">
        <f>IFERROR(__xludf.DUMMYFUNCTION("""COMPUTED_VALUE"""),0.0)</f>
        <v>0</v>
      </c>
      <c r="M104" s="122">
        <f t="shared" si="19"/>
        <v>0</v>
      </c>
      <c r="N104" s="125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>
        <f t="shared" si="24"/>
        <v>32</v>
      </c>
      <c r="AC104" s="128">
        <f t="shared" ref="AC104:AD104" si="54">C104+G104+K104</f>
        <v>78</v>
      </c>
      <c r="AD104" s="57">
        <f t="shared" si="54"/>
        <v>7800</v>
      </c>
      <c r="AE104" s="129">
        <v>100.0</v>
      </c>
      <c r="AF104" s="130">
        <v>1.15</v>
      </c>
      <c r="AG104" s="60">
        <f t="shared" si="21"/>
        <v>9176.470588</v>
      </c>
      <c r="AH104" s="131" t="str">
        <f t="shared" si="16"/>
        <v>Jana Hofmanová</v>
      </c>
      <c r="AI104" s="132">
        <f t="shared" si="22"/>
        <v>7800</v>
      </c>
      <c r="AJ104" s="105"/>
      <c r="AK104" s="64">
        <f t="shared" si="23"/>
        <v>0</v>
      </c>
      <c r="AL104" s="66">
        <f>IFERROR(__xludf.DUMMYFUNCTION("""COMPUTED_VALUE"""),0.0)</f>
        <v>0</v>
      </c>
      <c r="AM104" s="66">
        <f>IFERROR(__xludf.DUMMYFUNCTION("""COMPUTED_VALUE"""),0.0)</f>
        <v>0</v>
      </c>
      <c r="AN104" s="66">
        <f>IFERROR(__xludf.DUMMYFUNCTION("""COMPUTED_VALUE"""),0.0)</f>
        <v>0</v>
      </c>
    </row>
    <row r="105" ht="15.75" customHeight="1">
      <c r="A105" s="138" t="s">
        <v>72</v>
      </c>
      <c r="B105" s="134"/>
      <c r="C105" s="135">
        <f>IFERROR(__xludf.DUMMYFUNCTION("""COMPUTED_VALUE"""),0.0)</f>
        <v>0</v>
      </c>
      <c r="D105" s="136">
        <f>IFERROR(__xludf.DUMMYFUNCTION("""COMPUTED_VALUE"""),0.0)</f>
        <v>0</v>
      </c>
      <c r="E105" s="70">
        <f t="shared" si="17"/>
        <v>0</v>
      </c>
      <c r="F105" s="67"/>
      <c r="G105" s="120">
        <f>IFERROR(__xludf.DUMMYFUNCTION("""COMPUTED_VALUE"""),0.0)</f>
        <v>0</v>
      </c>
      <c r="H105" s="121">
        <f>IFERROR(__xludf.DUMMYFUNCTION("""COMPUTED_VALUE"""),0.0)</f>
        <v>0</v>
      </c>
      <c r="I105" s="122">
        <f t="shared" si="18"/>
        <v>0</v>
      </c>
      <c r="J105" s="137"/>
      <c r="K105" s="124">
        <f>IFERROR(__xludf.DUMMYFUNCTION("""COMPUTED_VALUE"""),0.0)</f>
        <v>0</v>
      </c>
      <c r="L105" s="121">
        <f>IFERROR(__xludf.DUMMYFUNCTION("""COMPUTED_VALUE"""),0.0)</f>
        <v>0</v>
      </c>
      <c r="M105" s="122">
        <f t="shared" si="19"/>
        <v>0</v>
      </c>
      <c r="N105" s="125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>
        <f t="shared" si="24"/>
        <v>33</v>
      </c>
      <c r="AC105" s="128">
        <f t="shared" ref="AC105:AD105" si="55">C105+G105+K105</f>
        <v>0</v>
      </c>
      <c r="AD105" s="57">
        <f t="shared" si="55"/>
        <v>0</v>
      </c>
      <c r="AE105" s="129">
        <v>100.0</v>
      </c>
      <c r="AF105" s="130">
        <v>1.15</v>
      </c>
      <c r="AG105" s="60">
        <f t="shared" si="21"/>
        <v>0</v>
      </c>
      <c r="AH105" s="131" t="str">
        <f t="shared" si="16"/>
        <v>Daniel Jaroš-x</v>
      </c>
      <c r="AI105" s="132">
        <f t="shared" si="22"/>
        <v>0</v>
      </c>
      <c r="AJ105" s="105"/>
      <c r="AK105" s="64">
        <f t="shared" si="23"/>
        <v>0</v>
      </c>
      <c r="AL105" s="66">
        <f>IFERROR(__xludf.DUMMYFUNCTION("""COMPUTED_VALUE"""),0.0)</f>
        <v>0</v>
      </c>
      <c r="AM105" s="66">
        <f>IFERROR(__xludf.DUMMYFUNCTION("""COMPUTED_VALUE"""),0.0)</f>
        <v>0</v>
      </c>
      <c r="AN105" s="66">
        <f>IFERROR(__xludf.DUMMYFUNCTION("""COMPUTED_VALUE"""),0.0)</f>
        <v>0</v>
      </c>
    </row>
    <row r="106" ht="15.75" customHeight="1">
      <c r="A106" s="138" t="s">
        <v>73</v>
      </c>
      <c r="B106" s="134"/>
      <c r="C106" s="135">
        <f>IFERROR(__xludf.DUMMYFUNCTION("""COMPUTED_VALUE"""),0.0)</f>
        <v>0</v>
      </c>
      <c r="D106" s="136">
        <f>IFERROR(__xludf.DUMMYFUNCTION("""COMPUTED_VALUE"""),0.0)</f>
        <v>0</v>
      </c>
      <c r="E106" s="70">
        <f t="shared" si="17"/>
        <v>0</v>
      </c>
      <c r="F106" s="67"/>
      <c r="G106" s="120">
        <f>IFERROR(__xludf.DUMMYFUNCTION("""COMPUTED_VALUE"""),0.0)</f>
        <v>0</v>
      </c>
      <c r="H106" s="121">
        <f>IFERROR(__xludf.DUMMYFUNCTION("""COMPUTED_VALUE"""),0.0)</f>
        <v>0</v>
      </c>
      <c r="I106" s="122">
        <f t="shared" si="18"/>
        <v>0</v>
      </c>
      <c r="J106" s="137"/>
      <c r="K106" s="124">
        <f>IFERROR(__xludf.DUMMYFUNCTION("""COMPUTED_VALUE"""),0.0)</f>
        <v>0</v>
      </c>
      <c r="L106" s="121">
        <f>IFERROR(__xludf.DUMMYFUNCTION("""COMPUTED_VALUE"""),0.0)</f>
        <v>0</v>
      </c>
      <c r="M106" s="122">
        <f t="shared" si="19"/>
        <v>0</v>
      </c>
      <c r="N106" s="125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>
        <f t="shared" si="24"/>
        <v>34</v>
      </c>
      <c r="AC106" s="128">
        <f t="shared" ref="AC106:AD106" si="56">C106+G106+K106</f>
        <v>0</v>
      </c>
      <c r="AD106" s="57">
        <f t="shared" si="56"/>
        <v>0</v>
      </c>
      <c r="AE106" s="129">
        <v>100.0</v>
      </c>
      <c r="AF106" s="130">
        <v>1.15</v>
      </c>
      <c r="AG106" s="60">
        <f t="shared" si="21"/>
        <v>0</v>
      </c>
      <c r="AH106" s="131" t="str">
        <f t="shared" si="16"/>
        <v>Vojtěch Sukdolák-x</v>
      </c>
      <c r="AI106" s="132">
        <f t="shared" si="22"/>
        <v>0</v>
      </c>
      <c r="AJ106" s="105"/>
      <c r="AK106" s="64">
        <f t="shared" si="23"/>
        <v>0</v>
      </c>
      <c r="AL106" s="66">
        <f>IFERROR(__xludf.DUMMYFUNCTION("""COMPUTED_VALUE"""),0.0)</f>
        <v>0</v>
      </c>
      <c r="AM106" s="66">
        <f>IFERROR(__xludf.DUMMYFUNCTION("""COMPUTED_VALUE"""),0.0)</f>
        <v>0</v>
      </c>
      <c r="AN106" s="66">
        <f>IFERROR(__xludf.DUMMYFUNCTION("""COMPUTED_VALUE"""),0.0)</f>
        <v>0</v>
      </c>
    </row>
    <row r="107" ht="15.75" customHeight="1">
      <c r="A107" s="138" t="s">
        <v>74</v>
      </c>
      <c r="B107" s="134"/>
      <c r="C107" s="135">
        <f>IFERROR(__xludf.DUMMYFUNCTION("""COMPUTED_VALUE"""),0.0)</f>
        <v>0</v>
      </c>
      <c r="D107" s="136">
        <f>IFERROR(__xludf.DUMMYFUNCTION("""COMPUTED_VALUE"""),0.0)</f>
        <v>0</v>
      </c>
      <c r="E107" s="70">
        <f t="shared" si="17"/>
        <v>0</v>
      </c>
      <c r="F107" s="67"/>
      <c r="G107" s="120">
        <f>IFERROR(__xludf.DUMMYFUNCTION("""COMPUTED_VALUE"""),0.0)</f>
        <v>0</v>
      </c>
      <c r="H107" s="121">
        <f>IFERROR(__xludf.DUMMYFUNCTION("""COMPUTED_VALUE"""),0.0)</f>
        <v>0</v>
      </c>
      <c r="I107" s="122">
        <f t="shared" si="18"/>
        <v>0</v>
      </c>
      <c r="J107" s="137"/>
      <c r="K107" s="124">
        <f>IFERROR(__xludf.DUMMYFUNCTION("""COMPUTED_VALUE"""),0.0)</f>
        <v>0</v>
      </c>
      <c r="L107" s="121">
        <f>IFERROR(__xludf.DUMMYFUNCTION("""COMPUTED_VALUE"""),0.0)</f>
        <v>0</v>
      </c>
      <c r="M107" s="122">
        <f t="shared" si="19"/>
        <v>0</v>
      </c>
      <c r="N107" s="125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>
        <f t="shared" si="24"/>
        <v>35</v>
      </c>
      <c r="AC107" s="128">
        <f t="shared" ref="AC107:AD107" si="57">C107+G107+K107</f>
        <v>0</v>
      </c>
      <c r="AD107" s="57">
        <f t="shared" si="57"/>
        <v>0</v>
      </c>
      <c r="AE107" s="129">
        <v>100.0</v>
      </c>
      <c r="AF107" s="130">
        <v>1.15</v>
      </c>
      <c r="AG107" s="60">
        <f t="shared" si="21"/>
        <v>0</v>
      </c>
      <c r="AH107" s="131" t="str">
        <f t="shared" si="16"/>
        <v>Vít Káš-x</v>
      </c>
      <c r="AI107" s="132">
        <f t="shared" si="22"/>
        <v>0</v>
      </c>
      <c r="AJ107" s="105"/>
      <c r="AK107" s="64">
        <f t="shared" si="23"/>
        <v>0</v>
      </c>
      <c r="AL107" s="66">
        <f>IFERROR(__xludf.DUMMYFUNCTION("""COMPUTED_VALUE"""),0.0)</f>
        <v>0</v>
      </c>
      <c r="AM107" s="66">
        <f>IFERROR(__xludf.DUMMYFUNCTION("""COMPUTED_VALUE"""),0.0)</f>
        <v>0</v>
      </c>
      <c r="AN107" s="66">
        <f>IFERROR(__xludf.DUMMYFUNCTION("""COMPUTED_VALUE"""),0.0)</f>
        <v>0</v>
      </c>
    </row>
    <row r="108" ht="15.75" customHeight="1">
      <c r="A108" s="138" t="s">
        <v>75</v>
      </c>
      <c r="B108" s="134"/>
      <c r="C108" s="135">
        <f>IFERROR(__xludf.DUMMYFUNCTION("""COMPUTED_VALUE"""),0.0)</f>
        <v>0</v>
      </c>
      <c r="D108" s="136">
        <f>IFERROR(__xludf.DUMMYFUNCTION("""COMPUTED_VALUE"""),0.0)</f>
        <v>0</v>
      </c>
      <c r="E108" s="70">
        <f t="shared" si="17"/>
        <v>0</v>
      </c>
      <c r="F108" s="67"/>
      <c r="G108" s="120">
        <f>IFERROR(__xludf.DUMMYFUNCTION("""COMPUTED_VALUE"""),0.0)</f>
        <v>0</v>
      </c>
      <c r="H108" s="121">
        <f>IFERROR(__xludf.DUMMYFUNCTION("""COMPUTED_VALUE"""),0.0)</f>
        <v>0</v>
      </c>
      <c r="I108" s="122">
        <f t="shared" si="18"/>
        <v>0</v>
      </c>
      <c r="J108" s="137"/>
      <c r="K108" s="124">
        <f>IFERROR(__xludf.DUMMYFUNCTION("""COMPUTED_VALUE"""),0.0)</f>
        <v>0</v>
      </c>
      <c r="L108" s="121">
        <f>IFERROR(__xludf.DUMMYFUNCTION("""COMPUTED_VALUE"""),0.0)</f>
        <v>0</v>
      </c>
      <c r="M108" s="122">
        <f t="shared" si="19"/>
        <v>0</v>
      </c>
      <c r="N108" s="125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>
        <f t="shared" si="24"/>
        <v>36</v>
      </c>
      <c r="AC108" s="128">
        <f t="shared" ref="AC108:AD108" si="58">C108+G108+K108</f>
        <v>0</v>
      </c>
      <c r="AD108" s="57">
        <f t="shared" si="58"/>
        <v>0</v>
      </c>
      <c r="AE108" s="129">
        <v>100.0</v>
      </c>
      <c r="AF108" s="130">
        <v>1.15</v>
      </c>
      <c r="AG108" s="60">
        <f t="shared" si="21"/>
        <v>0</v>
      </c>
      <c r="AH108" s="131" t="str">
        <f t="shared" si="16"/>
        <v>Tomáš Pavlišín-x</v>
      </c>
      <c r="AI108" s="132">
        <f t="shared" si="22"/>
        <v>0</v>
      </c>
      <c r="AJ108" s="105"/>
      <c r="AK108" s="64">
        <f t="shared" si="23"/>
        <v>0</v>
      </c>
      <c r="AL108" s="66">
        <f>IFERROR(__xludf.DUMMYFUNCTION("""COMPUTED_VALUE"""),0.0)</f>
        <v>0</v>
      </c>
      <c r="AM108" s="66">
        <f>IFERROR(__xludf.DUMMYFUNCTION("""COMPUTED_VALUE"""),0.0)</f>
        <v>0</v>
      </c>
      <c r="AN108" s="66">
        <f>IFERROR(__xludf.DUMMYFUNCTION("""COMPUTED_VALUE"""),0.0)</f>
        <v>0</v>
      </c>
    </row>
    <row r="109" ht="15.75" customHeight="1">
      <c r="A109" s="138" t="s">
        <v>76</v>
      </c>
      <c r="B109" s="134"/>
      <c r="C109" s="135">
        <f>IFERROR(__xludf.DUMMYFUNCTION("""COMPUTED_VALUE"""),0.0)</f>
        <v>0</v>
      </c>
      <c r="D109" s="136">
        <f>IFERROR(__xludf.DUMMYFUNCTION("""COMPUTED_VALUE"""),0.0)</f>
        <v>0</v>
      </c>
      <c r="E109" s="70">
        <f t="shared" si="17"/>
        <v>0</v>
      </c>
      <c r="F109" s="67"/>
      <c r="G109" s="120">
        <f>IFERROR(__xludf.DUMMYFUNCTION("""COMPUTED_VALUE"""),0.0)</f>
        <v>0</v>
      </c>
      <c r="H109" s="121">
        <f>IFERROR(__xludf.DUMMYFUNCTION("""COMPUTED_VALUE"""),0.0)</f>
        <v>0</v>
      </c>
      <c r="I109" s="122">
        <f t="shared" si="18"/>
        <v>0</v>
      </c>
      <c r="J109" s="137"/>
      <c r="K109" s="124">
        <f>IFERROR(__xludf.DUMMYFUNCTION("""COMPUTED_VALUE"""),0.0)</f>
        <v>0</v>
      </c>
      <c r="L109" s="121">
        <f>IFERROR(__xludf.DUMMYFUNCTION("""COMPUTED_VALUE"""),0.0)</f>
        <v>0</v>
      </c>
      <c r="M109" s="122">
        <f t="shared" si="19"/>
        <v>0</v>
      </c>
      <c r="N109" s="125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>
        <f t="shared" si="24"/>
        <v>37</v>
      </c>
      <c r="AC109" s="128">
        <f t="shared" ref="AC109:AD109" si="59">C109+G109+K109</f>
        <v>0</v>
      </c>
      <c r="AD109" s="57">
        <f t="shared" si="59"/>
        <v>0</v>
      </c>
      <c r="AE109" s="129">
        <v>100.0</v>
      </c>
      <c r="AF109" s="130">
        <v>1.15</v>
      </c>
      <c r="AG109" s="60">
        <f t="shared" si="21"/>
        <v>0</v>
      </c>
      <c r="AH109" s="131" t="str">
        <f t="shared" si="16"/>
        <v>Anthony Lightburn-x</v>
      </c>
      <c r="AI109" s="132">
        <f t="shared" si="22"/>
        <v>0</v>
      </c>
      <c r="AJ109" s="105"/>
      <c r="AK109" s="64">
        <f t="shared" si="23"/>
        <v>0</v>
      </c>
      <c r="AL109" s="66">
        <f>IFERROR(__xludf.DUMMYFUNCTION("""COMPUTED_VALUE"""),0.0)</f>
        <v>0</v>
      </c>
      <c r="AM109" s="66">
        <f>IFERROR(__xludf.DUMMYFUNCTION("""COMPUTED_VALUE"""),0.0)</f>
        <v>0</v>
      </c>
      <c r="AN109" s="66">
        <f>IFERROR(__xludf.DUMMYFUNCTION("""COMPUTED_VALUE"""),0.0)</f>
        <v>0</v>
      </c>
    </row>
    <row r="110" ht="15.75" customHeight="1">
      <c r="A110" s="115" t="s">
        <v>77</v>
      </c>
      <c r="B110" s="134"/>
      <c r="C110" s="135">
        <f>IFERROR(__xludf.DUMMYFUNCTION("""COMPUTED_VALUE"""),0.0)</f>
        <v>0</v>
      </c>
      <c r="D110" s="136">
        <f>IFERROR(__xludf.DUMMYFUNCTION("""COMPUTED_VALUE"""),0.0)</f>
        <v>0</v>
      </c>
      <c r="E110" s="70">
        <f t="shared" si="17"/>
        <v>0</v>
      </c>
      <c r="F110" s="67"/>
      <c r="G110" s="120">
        <f>IFERROR(__xludf.DUMMYFUNCTION("""COMPUTED_VALUE"""),211.0)</f>
        <v>211</v>
      </c>
      <c r="H110" s="121">
        <f>IFERROR(__xludf.DUMMYFUNCTION("""COMPUTED_VALUE"""),25320.0)</f>
        <v>25320</v>
      </c>
      <c r="I110" s="122">
        <f t="shared" si="18"/>
        <v>25320</v>
      </c>
      <c r="J110" s="137"/>
      <c r="K110" s="124">
        <f>IFERROR(__xludf.DUMMYFUNCTION("""COMPUTED_VALUE"""),0.0)</f>
        <v>0</v>
      </c>
      <c r="L110" s="121">
        <f>IFERROR(__xludf.DUMMYFUNCTION("""COMPUTED_VALUE"""),0.0)</f>
        <v>0</v>
      </c>
      <c r="M110" s="122">
        <f t="shared" si="19"/>
        <v>0</v>
      </c>
      <c r="N110" s="125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>
        <f t="shared" si="24"/>
        <v>38</v>
      </c>
      <c r="AC110" s="128">
        <f t="shared" ref="AC110:AD110" si="60">C110+G110+K110</f>
        <v>211</v>
      </c>
      <c r="AD110" s="57">
        <f t="shared" si="60"/>
        <v>25320</v>
      </c>
      <c r="AE110" s="129">
        <v>120.0</v>
      </c>
      <c r="AF110" s="130">
        <v>1.0</v>
      </c>
      <c r="AG110" s="60">
        <f t="shared" si="21"/>
        <v>25320</v>
      </c>
      <c r="AH110" s="131" t="str">
        <f t="shared" si="16"/>
        <v>Adrián Zajac</v>
      </c>
      <c r="AI110" s="132">
        <f t="shared" si="22"/>
        <v>25320</v>
      </c>
      <c r="AJ110" s="105"/>
      <c r="AK110" s="64">
        <f t="shared" si="23"/>
        <v>0</v>
      </c>
      <c r="AL110" s="66">
        <f>IFERROR(__xludf.DUMMYFUNCTION("""COMPUTED_VALUE"""),0.0)</f>
        <v>0</v>
      </c>
      <c r="AM110" s="66">
        <f>IFERROR(__xludf.DUMMYFUNCTION("""COMPUTED_VALUE"""),0.0)</f>
        <v>0</v>
      </c>
      <c r="AN110" s="66">
        <f>IFERROR(__xludf.DUMMYFUNCTION("""COMPUTED_VALUE"""),0.0)</f>
        <v>0</v>
      </c>
    </row>
    <row r="111" ht="15.75" customHeight="1">
      <c r="A111" s="138" t="s">
        <v>78</v>
      </c>
      <c r="B111" s="134"/>
      <c r="C111" s="135">
        <f>IFERROR(__xludf.DUMMYFUNCTION("""COMPUTED_VALUE"""),0.0)</f>
        <v>0</v>
      </c>
      <c r="D111" s="136">
        <f>IFERROR(__xludf.DUMMYFUNCTION("""COMPUTED_VALUE"""),0.0)</f>
        <v>0</v>
      </c>
      <c r="E111" s="70">
        <f t="shared" si="17"/>
        <v>0</v>
      </c>
      <c r="F111" s="67"/>
      <c r="G111" s="120">
        <f>IFERROR(__xludf.DUMMYFUNCTION("""COMPUTED_VALUE"""),0.0)</f>
        <v>0</v>
      </c>
      <c r="H111" s="121">
        <f>IFERROR(__xludf.DUMMYFUNCTION("""COMPUTED_VALUE"""),0.0)</f>
        <v>0</v>
      </c>
      <c r="I111" s="122">
        <f t="shared" si="18"/>
        <v>0</v>
      </c>
      <c r="J111" s="137"/>
      <c r="K111" s="124">
        <f>IFERROR(__xludf.DUMMYFUNCTION("""COMPUTED_VALUE"""),0.0)</f>
        <v>0</v>
      </c>
      <c r="L111" s="121">
        <f>IFERROR(__xludf.DUMMYFUNCTION("""COMPUTED_VALUE"""),0.0)</f>
        <v>0</v>
      </c>
      <c r="M111" s="122">
        <f t="shared" si="19"/>
        <v>0</v>
      </c>
      <c r="N111" s="125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>
        <f t="shared" si="24"/>
        <v>39</v>
      </c>
      <c r="AC111" s="128">
        <f t="shared" ref="AC111:AD111" si="61">C111+G111+K111</f>
        <v>0</v>
      </c>
      <c r="AD111" s="57">
        <f t="shared" si="61"/>
        <v>0</v>
      </c>
      <c r="AE111" s="129">
        <v>100.0</v>
      </c>
      <c r="AF111" s="130">
        <v>1.15</v>
      </c>
      <c r="AG111" s="60">
        <f t="shared" si="21"/>
        <v>0</v>
      </c>
      <c r="AH111" s="131" t="str">
        <f t="shared" si="16"/>
        <v>Jan Beneš-x</v>
      </c>
      <c r="AI111" s="132">
        <f t="shared" si="22"/>
        <v>0</v>
      </c>
      <c r="AJ111" s="105"/>
      <c r="AK111" s="64">
        <f t="shared" si="23"/>
        <v>0</v>
      </c>
      <c r="AL111" s="66">
        <f>IFERROR(__xludf.DUMMYFUNCTION("""COMPUTED_VALUE"""),0.0)</f>
        <v>0</v>
      </c>
      <c r="AM111" s="66">
        <f>IFERROR(__xludf.DUMMYFUNCTION("""COMPUTED_VALUE"""),0.0)</f>
        <v>0</v>
      </c>
      <c r="AN111" s="66">
        <f>IFERROR(__xludf.DUMMYFUNCTION("""COMPUTED_VALUE"""),0.0)</f>
        <v>0</v>
      </c>
    </row>
    <row r="112" ht="15.75" customHeight="1">
      <c r="A112" s="138" t="s">
        <v>79</v>
      </c>
      <c r="B112" s="134"/>
      <c r="C112" s="135">
        <f>IFERROR(__xludf.DUMMYFUNCTION("""COMPUTED_VALUE"""),0.0)</f>
        <v>0</v>
      </c>
      <c r="D112" s="136">
        <f>IFERROR(__xludf.DUMMYFUNCTION("""COMPUTED_VALUE"""),0.0)</f>
        <v>0</v>
      </c>
      <c r="E112" s="70">
        <f t="shared" si="17"/>
        <v>0</v>
      </c>
      <c r="F112" s="67"/>
      <c r="G112" s="120">
        <f>IFERROR(__xludf.DUMMYFUNCTION("""COMPUTED_VALUE"""),0.0)</f>
        <v>0</v>
      </c>
      <c r="H112" s="121">
        <f>IFERROR(__xludf.DUMMYFUNCTION("""COMPUTED_VALUE"""),0.0)</f>
        <v>0</v>
      </c>
      <c r="I112" s="122">
        <f t="shared" si="18"/>
        <v>0</v>
      </c>
      <c r="J112" s="137"/>
      <c r="K112" s="124">
        <f>IFERROR(__xludf.DUMMYFUNCTION("""COMPUTED_VALUE"""),0.0)</f>
        <v>0</v>
      </c>
      <c r="L112" s="121">
        <f>IFERROR(__xludf.DUMMYFUNCTION("""COMPUTED_VALUE"""),0.0)</f>
        <v>0</v>
      </c>
      <c r="M112" s="122">
        <f t="shared" si="19"/>
        <v>0</v>
      </c>
      <c r="N112" s="125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>
        <f t="shared" si="24"/>
        <v>40</v>
      </c>
      <c r="AC112" s="128">
        <f t="shared" ref="AC112:AD112" si="62">C112+G112+K112</f>
        <v>0</v>
      </c>
      <c r="AD112" s="57">
        <f t="shared" si="62"/>
        <v>0</v>
      </c>
      <c r="AE112" s="129">
        <v>100.0</v>
      </c>
      <c r="AF112" s="130">
        <v>1.15</v>
      </c>
      <c r="AG112" s="60">
        <f t="shared" si="21"/>
        <v>0</v>
      </c>
      <c r="AH112" s="131" t="str">
        <f t="shared" si="16"/>
        <v>Jan Ťoupal-x</v>
      </c>
      <c r="AI112" s="132">
        <f t="shared" si="22"/>
        <v>0</v>
      </c>
      <c r="AJ112" s="105"/>
      <c r="AK112" s="64">
        <f t="shared" si="23"/>
        <v>0</v>
      </c>
      <c r="AL112" s="66">
        <f>IFERROR(__xludf.DUMMYFUNCTION("""COMPUTED_VALUE"""),0.0)</f>
        <v>0</v>
      </c>
      <c r="AM112" s="66">
        <f>IFERROR(__xludf.DUMMYFUNCTION("""COMPUTED_VALUE"""),0.0)</f>
        <v>0</v>
      </c>
      <c r="AN112" s="66">
        <f>IFERROR(__xludf.DUMMYFUNCTION("""COMPUTED_VALUE"""),0.0)</f>
        <v>0</v>
      </c>
    </row>
    <row r="113" ht="15.75" customHeight="1">
      <c r="A113" s="138" t="s">
        <v>80</v>
      </c>
      <c r="B113" s="134"/>
      <c r="C113" s="135">
        <f>IFERROR(__xludf.DUMMYFUNCTION("""COMPUTED_VALUE"""),0.0)</f>
        <v>0</v>
      </c>
      <c r="D113" s="136">
        <f>IFERROR(__xludf.DUMMYFUNCTION("""COMPUTED_VALUE"""),0.0)</f>
        <v>0</v>
      </c>
      <c r="E113" s="70">
        <f t="shared" si="17"/>
        <v>0</v>
      </c>
      <c r="F113" s="67"/>
      <c r="G113" s="120">
        <f>IFERROR(__xludf.DUMMYFUNCTION("""COMPUTED_VALUE"""),0.0)</f>
        <v>0</v>
      </c>
      <c r="H113" s="121">
        <f>IFERROR(__xludf.DUMMYFUNCTION("""COMPUTED_VALUE"""),0.0)</f>
        <v>0</v>
      </c>
      <c r="I113" s="122">
        <f t="shared" si="18"/>
        <v>0</v>
      </c>
      <c r="J113" s="137"/>
      <c r="K113" s="124">
        <f>IFERROR(__xludf.DUMMYFUNCTION("""COMPUTED_VALUE"""),0.0)</f>
        <v>0</v>
      </c>
      <c r="L113" s="121">
        <f>IFERROR(__xludf.DUMMYFUNCTION("""COMPUTED_VALUE"""),0.0)</f>
        <v>0</v>
      </c>
      <c r="M113" s="122">
        <f t="shared" si="19"/>
        <v>0</v>
      </c>
      <c r="N113" s="125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>
        <f t="shared" si="24"/>
        <v>41</v>
      </c>
      <c r="AC113" s="128">
        <f t="shared" ref="AC113:AD113" si="63">C113+G113+K113</f>
        <v>0</v>
      </c>
      <c r="AD113" s="57">
        <f t="shared" si="63"/>
        <v>0</v>
      </c>
      <c r="AE113" s="129">
        <v>100.0</v>
      </c>
      <c r="AF113" s="130">
        <v>1.15</v>
      </c>
      <c r="AG113" s="60">
        <f t="shared" si="21"/>
        <v>0</v>
      </c>
      <c r="AH113" s="131" t="str">
        <f t="shared" si="16"/>
        <v>Simon Kurčík-x</v>
      </c>
      <c r="AI113" s="132">
        <f t="shared" si="22"/>
        <v>0</v>
      </c>
      <c r="AJ113" s="105"/>
      <c r="AK113" s="64">
        <f t="shared" si="23"/>
        <v>0</v>
      </c>
      <c r="AL113" s="66">
        <f>IFERROR(__xludf.DUMMYFUNCTION("""COMPUTED_VALUE"""),0.0)</f>
        <v>0</v>
      </c>
      <c r="AM113" s="66">
        <f>IFERROR(__xludf.DUMMYFUNCTION("""COMPUTED_VALUE"""),0.0)</f>
        <v>0</v>
      </c>
      <c r="AN113" s="66">
        <f>IFERROR(__xludf.DUMMYFUNCTION("""COMPUTED_VALUE"""),0.0)</f>
        <v>0</v>
      </c>
    </row>
    <row r="114" ht="15.75" customHeight="1">
      <c r="A114" s="138" t="s">
        <v>81</v>
      </c>
      <c r="B114" s="134"/>
      <c r="C114" s="135">
        <f>IFERROR(__xludf.DUMMYFUNCTION("""COMPUTED_VALUE"""),0.0)</f>
        <v>0</v>
      </c>
      <c r="D114" s="136">
        <f>IFERROR(__xludf.DUMMYFUNCTION("""COMPUTED_VALUE"""),0.0)</f>
        <v>0</v>
      </c>
      <c r="E114" s="70">
        <f t="shared" si="17"/>
        <v>0</v>
      </c>
      <c r="F114" s="67"/>
      <c r="G114" s="120">
        <f>IFERROR(__xludf.DUMMYFUNCTION("""COMPUTED_VALUE"""),0.0)</f>
        <v>0</v>
      </c>
      <c r="H114" s="121">
        <f>IFERROR(__xludf.DUMMYFUNCTION("""COMPUTED_VALUE"""),0.0)</f>
        <v>0</v>
      </c>
      <c r="I114" s="122">
        <f t="shared" si="18"/>
        <v>0</v>
      </c>
      <c r="J114" s="137"/>
      <c r="K114" s="124">
        <f>IFERROR(__xludf.DUMMYFUNCTION("""COMPUTED_VALUE"""),0.0)</f>
        <v>0</v>
      </c>
      <c r="L114" s="121">
        <f>IFERROR(__xludf.DUMMYFUNCTION("""COMPUTED_VALUE"""),0.0)</f>
        <v>0</v>
      </c>
      <c r="M114" s="122">
        <f t="shared" si="19"/>
        <v>0</v>
      </c>
      <c r="N114" s="125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>
        <f t="shared" si="24"/>
        <v>42</v>
      </c>
      <c r="AC114" s="128">
        <f t="shared" ref="AC114:AD114" si="64">C114+G114+K114</f>
        <v>0</v>
      </c>
      <c r="AD114" s="57">
        <f t="shared" si="64"/>
        <v>0</v>
      </c>
      <c r="AE114" s="129">
        <v>100.0</v>
      </c>
      <c r="AF114" s="130">
        <v>1.15</v>
      </c>
      <c r="AG114" s="60">
        <f t="shared" si="21"/>
        <v>0</v>
      </c>
      <c r="AH114" s="131" t="str">
        <f t="shared" si="16"/>
        <v>Jiří Frankl-x</v>
      </c>
      <c r="AI114" s="132">
        <f t="shared" si="22"/>
        <v>0</v>
      </c>
      <c r="AJ114" s="105"/>
      <c r="AK114" s="64">
        <f t="shared" si="23"/>
        <v>0</v>
      </c>
      <c r="AL114" s="66">
        <f>IFERROR(__xludf.DUMMYFUNCTION("""COMPUTED_VALUE"""),0.0)</f>
        <v>0</v>
      </c>
      <c r="AM114" s="66">
        <f>IFERROR(__xludf.DUMMYFUNCTION("""COMPUTED_VALUE"""),0.0)</f>
        <v>0</v>
      </c>
      <c r="AN114" s="66">
        <f>IFERROR(__xludf.DUMMYFUNCTION("""COMPUTED_VALUE"""),0.0)</f>
        <v>0</v>
      </c>
    </row>
    <row r="115" ht="15.75" customHeight="1">
      <c r="A115" s="138" t="s">
        <v>82</v>
      </c>
      <c r="B115" s="134"/>
      <c r="C115" s="135">
        <f>IFERROR(__xludf.DUMMYFUNCTION("""COMPUTED_VALUE"""),0.0)</f>
        <v>0</v>
      </c>
      <c r="D115" s="136">
        <f>IFERROR(__xludf.DUMMYFUNCTION("""COMPUTED_VALUE"""),0.0)</f>
        <v>0</v>
      </c>
      <c r="E115" s="70">
        <f t="shared" si="17"/>
        <v>0</v>
      </c>
      <c r="F115" s="67"/>
      <c r="G115" s="120">
        <f>IFERROR(__xludf.DUMMYFUNCTION("""COMPUTED_VALUE"""),0.0)</f>
        <v>0</v>
      </c>
      <c r="H115" s="121">
        <f>IFERROR(__xludf.DUMMYFUNCTION("""COMPUTED_VALUE"""),0.0)</f>
        <v>0</v>
      </c>
      <c r="I115" s="122">
        <f t="shared" si="18"/>
        <v>0</v>
      </c>
      <c r="J115" s="137"/>
      <c r="K115" s="124">
        <f>IFERROR(__xludf.DUMMYFUNCTION("""COMPUTED_VALUE"""),0.0)</f>
        <v>0</v>
      </c>
      <c r="L115" s="121">
        <f>IFERROR(__xludf.DUMMYFUNCTION("""COMPUTED_VALUE"""),0.0)</f>
        <v>0</v>
      </c>
      <c r="M115" s="122">
        <f t="shared" si="19"/>
        <v>0</v>
      </c>
      <c r="N115" s="125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>
        <f t="shared" si="24"/>
        <v>43</v>
      </c>
      <c r="AC115" s="128">
        <f t="shared" ref="AC115:AD115" si="65">C115+G115+K115</f>
        <v>0</v>
      </c>
      <c r="AD115" s="57">
        <f t="shared" si="65"/>
        <v>0</v>
      </c>
      <c r="AE115" s="129">
        <v>100.0</v>
      </c>
      <c r="AF115" s="130">
        <v>1.15</v>
      </c>
      <c r="AG115" s="60">
        <f t="shared" si="21"/>
        <v>0</v>
      </c>
      <c r="AH115" s="131" t="str">
        <f t="shared" si="16"/>
        <v>Matěj Štolba-x</v>
      </c>
      <c r="AI115" s="132">
        <f t="shared" si="22"/>
        <v>0</v>
      </c>
      <c r="AJ115" s="105"/>
      <c r="AK115" s="64">
        <f t="shared" si="23"/>
        <v>0</v>
      </c>
      <c r="AL115" s="66">
        <f>IFERROR(__xludf.DUMMYFUNCTION("""COMPUTED_VALUE"""),0.0)</f>
        <v>0</v>
      </c>
      <c r="AM115" s="66">
        <f>IFERROR(__xludf.DUMMYFUNCTION("""COMPUTED_VALUE"""),0.0)</f>
        <v>0</v>
      </c>
      <c r="AN115" s="66">
        <f>IFERROR(__xludf.DUMMYFUNCTION("""COMPUTED_VALUE"""),0.0)</f>
        <v>0</v>
      </c>
    </row>
    <row r="116" ht="15.75" customHeight="1">
      <c r="A116" s="138" t="s">
        <v>83</v>
      </c>
      <c r="B116" s="134"/>
      <c r="C116" s="135">
        <f>IFERROR(__xludf.DUMMYFUNCTION("""COMPUTED_VALUE"""),0.0)</f>
        <v>0</v>
      </c>
      <c r="D116" s="136">
        <f>IFERROR(__xludf.DUMMYFUNCTION("""COMPUTED_VALUE"""),0.0)</f>
        <v>0</v>
      </c>
      <c r="E116" s="70">
        <f t="shared" si="17"/>
        <v>0</v>
      </c>
      <c r="F116" s="67"/>
      <c r="G116" s="120">
        <f>IFERROR(__xludf.DUMMYFUNCTION("""COMPUTED_VALUE"""),0.0)</f>
        <v>0</v>
      </c>
      <c r="H116" s="121">
        <f>IFERROR(__xludf.DUMMYFUNCTION("""COMPUTED_VALUE"""),0.0)</f>
        <v>0</v>
      </c>
      <c r="I116" s="122">
        <f t="shared" si="18"/>
        <v>0</v>
      </c>
      <c r="J116" s="137"/>
      <c r="K116" s="124">
        <f>IFERROR(__xludf.DUMMYFUNCTION("""COMPUTED_VALUE"""),0.0)</f>
        <v>0</v>
      </c>
      <c r="L116" s="121">
        <f>IFERROR(__xludf.DUMMYFUNCTION("""COMPUTED_VALUE"""),0.0)</f>
        <v>0</v>
      </c>
      <c r="M116" s="122">
        <f t="shared" si="19"/>
        <v>0</v>
      </c>
      <c r="N116" s="125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>
        <f t="shared" si="24"/>
        <v>44</v>
      </c>
      <c r="AC116" s="128">
        <f t="shared" ref="AC116:AD116" si="66">C116+G116+K116</f>
        <v>0</v>
      </c>
      <c r="AD116" s="57">
        <f t="shared" si="66"/>
        <v>0</v>
      </c>
      <c r="AE116" s="129">
        <v>100.0</v>
      </c>
      <c r="AF116" s="130">
        <v>1.15</v>
      </c>
      <c r="AG116" s="60">
        <f t="shared" si="21"/>
        <v>0</v>
      </c>
      <c r="AH116" s="131" t="str">
        <f t="shared" si="16"/>
        <v>Michal Moročilo-x</v>
      </c>
      <c r="AI116" s="132">
        <f t="shared" si="22"/>
        <v>0</v>
      </c>
      <c r="AJ116" s="105"/>
      <c r="AK116" s="64">
        <f t="shared" si="23"/>
        <v>0</v>
      </c>
      <c r="AL116" s="66">
        <f>IFERROR(__xludf.DUMMYFUNCTION("""COMPUTED_VALUE"""),0.0)</f>
        <v>0</v>
      </c>
      <c r="AM116" s="66">
        <f>IFERROR(__xludf.DUMMYFUNCTION("""COMPUTED_VALUE"""),0.0)</f>
        <v>0</v>
      </c>
      <c r="AN116" s="66">
        <f>IFERROR(__xludf.DUMMYFUNCTION("""COMPUTED_VALUE"""),0.0)</f>
        <v>0</v>
      </c>
    </row>
    <row r="117" ht="15.75" customHeight="1">
      <c r="A117" s="115" t="s">
        <v>84</v>
      </c>
      <c r="B117" s="134"/>
      <c r="C117" s="135">
        <f>IFERROR(__xludf.DUMMYFUNCTION("""COMPUTED_VALUE"""),0.0)</f>
        <v>0</v>
      </c>
      <c r="D117" s="136">
        <f>IFERROR(__xludf.DUMMYFUNCTION("""COMPUTED_VALUE"""),0.0)</f>
        <v>0</v>
      </c>
      <c r="E117" s="70">
        <f t="shared" si="17"/>
        <v>0</v>
      </c>
      <c r="F117" s="67"/>
      <c r="G117" s="120">
        <f>IFERROR(__xludf.DUMMYFUNCTION("""COMPUTED_VALUE"""),0.0)</f>
        <v>0</v>
      </c>
      <c r="H117" s="121">
        <f>IFERROR(__xludf.DUMMYFUNCTION("""COMPUTED_VALUE"""),0.0)</f>
        <v>0</v>
      </c>
      <c r="I117" s="122">
        <f t="shared" si="18"/>
        <v>0</v>
      </c>
      <c r="J117" s="137"/>
      <c r="K117" s="124">
        <f>IFERROR(__xludf.DUMMYFUNCTION("""COMPUTED_VALUE"""),161.0)</f>
        <v>161</v>
      </c>
      <c r="L117" s="121">
        <f>IFERROR(__xludf.DUMMYFUNCTION("""COMPUTED_VALUE"""),16100.0)</f>
        <v>16100</v>
      </c>
      <c r="M117" s="122">
        <f t="shared" si="19"/>
        <v>18941.17647</v>
      </c>
      <c r="N117" s="125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>
        <f t="shared" si="24"/>
        <v>45</v>
      </c>
      <c r="AC117" s="128">
        <f t="shared" ref="AC117:AD117" si="67">C117+G117+K117</f>
        <v>161</v>
      </c>
      <c r="AD117" s="57">
        <f t="shared" si="67"/>
        <v>16100</v>
      </c>
      <c r="AE117" s="129">
        <v>100.0</v>
      </c>
      <c r="AF117" s="130">
        <v>1.15</v>
      </c>
      <c r="AG117" s="60">
        <f t="shared" si="21"/>
        <v>18941.17647</v>
      </c>
      <c r="AH117" s="131" t="str">
        <f t="shared" si="16"/>
        <v>František Matoušek</v>
      </c>
      <c r="AI117" s="132">
        <f t="shared" si="22"/>
        <v>16100</v>
      </c>
      <c r="AJ117" s="105"/>
      <c r="AK117" s="64">
        <f t="shared" si="23"/>
        <v>3200</v>
      </c>
      <c r="AL117" s="66">
        <f>IFERROR(__xludf.DUMMYFUNCTION("""COMPUTED_VALUE"""),0.0)</f>
        <v>0</v>
      </c>
      <c r="AM117" s="66">
        <f>IFERROR(__xludf.DUMMYFUNCTION("""COMPUTED_VALUE"""),0.0)</f>
        <v>0</v>
      </c>
      <c r="AN117" s="66">
        <f>IFERROR(__xludf.DUMMYFUNCTION("""COMPUTED_VALUE"""),3200.0)</f>
        <v>3200</v>
      </c>
    </row>
    <row r="118" ht="15.75" customHeight="1">
      <c r="A118" s="115" t="s">
        <v>85</v>
      </c>
      <c r="B118" s="134"/>
      <c r="C118" s="135">
        <f>IFERROR(__xludf.DUMMYFUNCTION("""COMPUTED_VALUE"""),37.5)</f>
        <v>37.5</v>
      </c>
      <c r="D118" s="136">
        <f>IFERROR(__xludf.DUMMYFUNCTION("""COMPUTED_VALUE"""),3750.0)</f>
        <v>3750</v>
      </c>
      <c r="E118" s="70">
        <f t="shared" si="17"/>
        <v>4411.764706</v>
      </c>
      <c r="F118" s="67"/>
      <c r="G118" s="120">
        <f>IFERROR(__xludf.DUMMYFUNCTION("""COMPUTED_VALUE"""),0.0)</f>
        <v>0</v>
      </c>
      <c r="H118" s="121">
        <f>IFERROR(__xludf.DUMMYFUNCTION("""COMPUTED_VALUE"""),0.0)</f>
        <v>0</v>
      </c>
      <c r="I118" s="122">
        <f t="shared" si="18"/>
        <v>0</v>
      </c>
      <c r="J118" s="137"/>
      <c r="K118" s="124">
        <f>IFERROR(__xludf.DUMMYFUNCTION("""COMPUTED_VALUE"""),0.0)</f>
        <v>0</v>
      </c>
      <c r="L118" s="121">
        <f>IFERROR(__xludf.DUMMYFUNCTION("""COMPUTED_VALUE"""),0.0)</f>
        <v>0</v>
      </c>
      <c r="M118" s="122">
        <f t="shared" si="19"/>
        <v>0</v>
      </c>
      <c r="N118" s="125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>
        <f t="shared" si="24"/>
        <v>46</v>
      </c>
      <c r="AC118" s="128">
        <f t="shared" ref="AC118:AD118" si="68">C118+G118+K118</f>
        <v>37.5</v>
      </c>
      <c r="AD118" s="57">
        <f t="shared" si="68"/>
        <v>3750</v>
      </c>
      <c r="AE118" s="129">
        <v>100.0</v>
      </c>
      <c r="AF118" s="130">
        <v>1.15</v>
      </c>
      <c r="AG118" s="60">
        <f t="shared" si="21"/>
        <v>4411.764706</v>
      </c>
      <c r="AH118" s="131" t="str">
        <f t="shared" si="16"/>
        <v>Adam Petr</v>
      </c>
      <c r="AI118" s="132">
        <f t="shared" si="22"/>
        <v>3750</v>
      </c>
      <c r="AJ118" s="105"/>
      <c r="AK118" s="64">
        <f t="shared" si="23"/>
        <v>0</v>
      </c>
      <c r="AL118" s="66">
        <f>IFERROR(__xludf.DUMMYFUNCTION("""COMPUTED_VALUE"""),0.0)</f>
        <v>0</v>
      </c>
      <c r="AM118" s="66">
        <f>IFERROR(__xludf.DUMMYFUNCTION("""COMPUTED_VALUE"""),0.0)</f>
        <v>0</v>
      </c>
      <c r="AN118" s="66">
        <f>IFERROR(__xludf.DUMMYFUNCTION("""COMPUTED_VALUE"""),0.0)</f>
        <v>0</v>
      </c>
    </row>
    <row r="119" ht="15.75" customHeight="1">
      <c r="A119" s="115" t="s">
        <v>86</v>
      </c>
      <c r="B119" s="134"/>
      <c r="C119" s="135">
        <f>IFERROR(__xludf.DUMMYFUNCTION("""COMPUTED_VALUE"""),0.0)</f>
        <v>0</v>
      </c>
      <c r="D119" s="136">
        <f>IFERROR(__xludf.DUMMYFUNCTION("""COMPUTED_VALUE"""),0.0)</f>
        <v>0</v>
      </c>
      <c r="E119" s="70">
        <f t="shared" si="17"/>
        <v>0</v>
      </c>
      <c r="F119" s="67"/>
      <c r="G119" s="120">
        <f>IFERROR(__xludf.DUMMYFUNCTION("""COMPUTED_VALUE"""),0.0)</f>
        <v>0</v>
      </c>
      <c r="H119" s="121">
        <f>IFERROR(__xludf.DUMMYFUNCTION("""COMPUTED_VALUE"""),0.0)</f>
        <v>0</v>
      </c>
      <c r="I119" s="122">
        <f t="shared" si="18"/>
        <v>0</v>
      </c>
      <c r="J119" s="137"/>
      <c r="K119" s="124">
        <f>IFERROR(__xludf.DUMMYFUNCTION("""COMPUTED_VALUE"""),0.0)</f>
        <v>0</v>
      </c>
      <c r="L119" s="121">
        <f>IFERROR(__xludf.DUMMYFUNCTION("""COMPUTED_VALUE"""),0.0)</f>
        <v>0</v>
      </c>
      <c r="M119" s="122">
        <f t="shared" si="19"/>
        <v>0</v>
      </c>
      <c r="N119" s="125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>
        <f t="shared" si="24"/>
        <v>47</v>
      </c>
      <c r="AC119" s="128">
        <f t="shared" ref="AC119:AD119" si="69">C119+G119+K119</f>
        <v>0</v>
      </c>
      <c r="AD119" s="57">
        <f t="shared" si="69"/>
        <v>0</v>
      </c>
      <c r="AE119" s="129">
        <v>100.0</v>
      </c>
      <c r="AF119" s="130">
        <v>1.15</v>
      </c>
      <c r="AG119" s="60">
        <f t="shared" si="21"/>
        <v>0</v>
      </c>
      <c r="AH119" s="131" t="str">
        <f t="shared" si="16"/>
        <v>Ondřej Nestrojil</v>
      </c>
      <c r="AI119" s="132">
        <f t="shared" si="22"/>
        <v>0</v>
      </c>
      <c r="AJ119" s="105"/>
      <c r="AK119" s="64">
        <f t="shared" si="23"/>
        <v>0</v>
      </c>
      <c r="AL119" s="66">
        <f>IFERROR(__xludf.DUMMYFUNCTION("""COMPUTED_VALUE"""),0.0)</f>
        <v>0</v>
      </c>
      <c r="AM119" s="66">
        <f>IFERROR(__xludf.DUMMYFUNCTION("""COMPUTED_VALUE"""),0.0)</f>
        <v>0</v>
      </c>
      <c r="AN119" s="66">
        <f>IFERROR(__xludf.DUMMYFUNCTION("""COMPUTED_VALUE"""),0.0)</f>
        <v>0</v>
      </c>
    </row>
    <row r="120" ht="15.75" customHeight="1">
      <c r="A120" s="138" t="s">
        <v>87</v>
      </c>
      <c r="B120" s="134"/>
      <c r="C120" s="135">
        <f>IFERROR(__xludf.DUMMYFUNCTION("""COMPUTED_VALUE"""),0.0)</f>
        <v>0</v>
      </c>
      <c r="D120" s="136">
        <f>IFERROR(__xludf.DUMMYFUNCTION("""COMPUTED_VALUE"""),0.0)</f>
        <v>0</v>
      </c>
      <c r="E120" s="70">
        <f t="shared" si="17"/>
        <v>0</v>
      </c>
      <c r="F120" s="67"/>
      <c r="G120" s="120">
        <f>IFERROR(__xludf.DUMMYFUNCTION("""COMPUTED_VALUE"""),0.0)</f>
        <v>0</v>
      </c>
      <c r="H120" s="121">
        <f>IFERROR(__xludf.DUMMYFUNCTION("""COMPUTED_VALUE"""),0.0)</f>
        <v>0</v>
      </c>
      <c r="I120" s="122">
        <f t="shared" si="18"/>
        <v>0</v>
      </c>
      <c r="J120" s="137"/>
      <c r="K120" s="124">
        <f>IFERROR(__xludf.DUMMYFUNCTION("""COMPUTED_VALUE"""),0.0)</f>
        <v>0</v>
      </c>
      <c r="L120" s="121">
        <f>IFERROR(__xludf.DUMMYFUNCTION("""COMPUTED_VALUE"""),0.0)</f>
        <v>0</v>
      </c>
      <c r="M120" s="122">
        <f t="shared" si="19"/>
        <v>0</v>
      </c>
      <c r="N120" s="125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>
        <f t="shared" si="24"/>
        <v>48</v>
      </c>
      <c r="AC120" s="128">
        <f t="shared" ref="AC120:AD120" si="70">C120+G120+K120</f>
        <v>0</v>
      </c>
      <c r="AD120" s="57">
        <f t="shared" si="70"/>
        <v>0</v>
      </c>
      <c r="AE120" s="129">
        <v>100.0</v>
      </c>
      <c r="AF120" s="130">
        <v>1.15</v>
      </c>
      <c r="AG120" s="60">
        <f t="shared" si="21"/>
        <v>0</v>
      </c>
      <c r="AH120" s="131" t="str">
        <f t="shared" si="16"/>
        <v>Savelij Vasylčenko-x</v>
      </c>
      <c r="AI120" s="132">
        <f t="shared" si="22"/>
        <v>0</v>
      </c>
      <c r="AJ120" s="105"/>
      <c r="AK120" s="64">
        <f t="shared" si="23"/>
        <v>0</v>
      </c>
      <c r="AL120" s="66">
        <f>IFERROR(__xludf.DUMMYFUNCTION("""COMPUTED_VALUE"""),0.0)</f>
        <v>0</v>
      </c>
      <c r="AM120" s="66">
        <f>IFERROR(__xludf.DUMMYFUNCTION("""COMPUTED_VALUE"""),0.0)</f>
        <v>0</v>
      </c>
      <c r="AN120" s="66">
        <f>IFERROR(__xludf.DUMMYFUNCTION("""COMPUTED_VALUE"""),0.0)</f>
        <v>0</v>
      </c>
    </row>
    <row r="121" ht="15.75" customHeight="1">
      <c r="A121" s="115" t="s">
        <v>28</v>
      </c>
      <c r="B121" s="134"/>
      <c r="C121" s="135">
        <f>IFERROR(__xludf.DUMMYFUNCTION("""COMPUTED_VALUE"""),10.5)</f>
        <v>10.5</v>
      </c>
      <c r="D121" s="136">
        <f>IFERROR(__xludf.DUMMYFUNCTION("""COMPUTED_VALUE"""),1050.0)</f>
        <v>1050</v>
      </c>
      <c r="E121" s="70">
        <f t="shared" si="17"/>
        <v>1235.294118</v>
      </c>
      <c r="F121" s="67"/>
      <c r="G121" s="120">
        <f>IFERROR(__xludf.DUMMYFUNCTION("""COMPUTED_VALUE"""),8.0)</f>
        <v>8</v>
      </c>
      <c r="H121" s="121">
        <f>IFERROR(__xludf.DUMMYFUNCTION("""COMPUTED_VALUE"""),800.0)</f>
        <v>800</v>
      </c>
      <c r="I121" s="122">
        <f t="shared" si="18"/>
        <v>941.1764706</v>
      </c>
      <c r="J121" s="137"/>
      <c r="K121" s="124">
        <f>IFERROR(__xludf.DUMMYFUNCTION("""COMPUTED_VALUE"""),0.0)</f>
        <v>0</v>
      </c>
      <c r="L121" s="121">
        <f>IFERROR(__xludf.DUMMYFUNCTION("""COMPUTED_VALUE"""),0.0)</f>
        <v>0</v>
      </c>
      <c r="M121" s="122">
        <f t="shared" si="19"/>
        <v>0</v>
      </c>
      <c r="N121" s="125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>
        <f t="shared" si="24"/>
        <v>49</v>
      </c>
      <c r="AC121" s="128">
        <f t="shared" ref="AC121:AD121" si="71">C121+G121+K121</f>
        <v>18.5</v>
      </c>
      <c r="AD121" s="57">
        <f t="shared" si="71"/>
        <v>1850</v>
      </c>
      <c r="AE121" s="129">
        <v>100.0</v>
      </c>
      <c r="AF121" s="130">
        <v>1.15</v>
      </c>
      <c r="AG121" s="60">
        <f t="shared" si="21"/>
        <v>2176.470588</v>
      </c>
      <c r="AH121" s="131" t="str">
        <f t="shared" si="16"/>
        <v>Vojtěch Fux</v>
      </c>
      <c r="AI121" s="132">
        <f t="shared" si="22"/>
        <v>1850</v>
      </c>
      <c r="AJ121" s="105"/>
      <c r="AK121" s="64">
        <f t="shared" si="23"/>
        <v>1850</v>
      </c>
      <c r="AL121" s="66">
        <f>IFERROR(__xludf.DUMMYFUNCTION("""COMPUTED_VALUE"""),1050.0)</f>
        <v>1050</v>
      </c>
      <c r="AM121" s="66">
        <f>IFERROR(__xludf.DUMMYFUNCTION("""COMPUTED_VALUE"""),800.0)</f>
        <v>800</v>
      </c>
      <c r="AN121" s="66">
        <f>IFERROR(__xludf.DUMMYFUNCTION("""COMPUTED_VALUE"""),0.0)</f>
        <v>0</v>
      </c>
    </row>
    <row r="122" ht="15.75" customHeight="1">
      <c r="A122" s="138" t="s">
        <v>88</v>
      </c>
      <c r="B122" s="134"/>
      <c r="C122" s="135">
        <f>IFERROR(__xludf.DUMMYFUNCTION("""COMPUTED_VALUE"""),0.0)</f>
        <v>0</v>
      </c>
      <c r="D122" s="136">
        <f>IFERROR(__xludf.DUMMYFUNCTION("""COMPUTED_VALUE"""),0.0)</f>
        <v>0</v>
      </c>
      <c r="E122" s="70">
        <f t="shared" si="17"/>
        <v>0</v>
      </c>
      <c r="F122" s="67"/>
      <c r="G122" s="120">
        <f>IFERROR(__xludf.DUMMYFUNCTION("""COMPUTED_VALUE"""),0.0)</f>
        <v>0</v>
      </c>
      <c r="H122" s="121">
        <f>IFERROR(__xludf.DUMMYFUNCTION("""COMPUTED_VALUE"""),0.0)</f>
        <v>0</v>
      </c>
      <c r="I122" s="122">
        <f t="shared" si="18"/>
        <v>0</v>
      </c>
      <c r="J122" s="137"/>
      <c r="K122" s="124">
        <f>IFERROR(__xludf.DUMMYFUNCTION("""COMPUTED_VALUE"""),0.0)</f>
        <v>0</v>
      </c>
      <c r="L122" s="121">
        <f>IFERROR(__xludf.DUMMYFUNCTION("""COMPUTED_VALUE"""),0.0)</f>
        <v>0</v>
      </c>
      <c r="M122" s="122">
        <f t="shared" si="19"/>
        <v>0</v>
      </c>
      <c r="N122" s="125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>
        <f t="shared" si="24"/>
        <v>50</v>
      </c>
      <c r="AC122" s="128">
        <f t="shared" ref="AC122:AD122" si="72">C122+G122+K122</f>
        <v>0</v>
      </c>
      <c r="AD122" s="57">
        <f t="shared" si="72"/>
        <v>0</v>
      </c>
      <c r="AE122" s="129">
        <v>120.0</v>
      </c>
      <c r="AF122" s="130">
        <v>1.0</v>
      </c>
      <c r="AG122" s="60">
        <f t="shared" si="21"/>
        <v>0</v>
      </c>
      <c r="AH122" s="131" t="str">
        <f t="shared" si="16"/>
        <v>Michal Jiřík-x</v>
      </c>
      <c r="AI122" s="132">
        <f t="shared" si="22"/>
        <v>0</v>
      </c>
      <c r="AJ122" s="105"/>
      <c r="AK122" s="64">
        <f t="shared" si="23"/>
        <v>0</v>
      </c>
      <c r="AL122" s="66">
        <f>IFERROR(__xludf.DUMMYFUNCTION("""COMPUTED_VALUE"""),0.0)</f>
        <v>0</v>
      </c>
      <c r="AM122" s="66">
        <f>IFERROR(__xludf.DUMMYFUNCTION("""COMPUTED_VALUE"""),0.0)</f>
        <v>0</v>
      </c>
      <c r="AN122" s="66">
        <f>IFERROR(__xludf.DUMMYFUNCTION("""COMPUTED_VALUE"""),0.0)</f>
        <v>0</v>
      </c>
    </row>
    <row r="123" ht="15.75" customHeight="1">
      <c r="A123" s="138" t="s">
        <v>89</v>
      </c>
      <c r="B123" s="134"/>
      <c r="C123" s="135">
        <f>IFERROR(__xludf.DUMMYFUNCTION("""COMPUTED_VALUE"""),0.0)</f>
        <v>0</v>
      </c>
      <c r="D123" s="136">
        <f>IFERROR(__xludf.DUMMYFUNCTION("""COMPUTED_VALUE"""),0.0)</f>
        <v>0</v>
      </c>
      <c r="E123" s="70">
        <f t="shared" si="17"/>
        <v>0</v>
      </c>
      <c r="F123" s="67"/>
      <c r="G123" s="120">
        <f>IFERROR(__xludf.DUMMYFUNCTION("""COMPUTED_VALUE"""),0.0)</f>
        <v>0</v>
      </c>
      <c r="H123" s="121">
        <f>IFERROR(__xludf.DUMMYFUNCTION("""COMPUTED_VALUE"""),0.0)</f>
        <v>0</v>
      </c>
      <c r="I123" s="122">
        <f t="shared" si="18"/>
        <v>0</v>
      </c>
      <c r="J123" s="137"/>
      <c r="K123" s="124">
        <f>IFERROR(__xludf.DUMMYFUNCTION("""COMPUTED_VALUE"""),0.0)</f>
        <v>0</v>
      </c>
      <c r="L123" s="121">
        <f>IFERROR(__xludf.DUMMYFUNCTION("""COMPUTED_VALUE"""),0.0)</f>
        <v>0</v>
      </c>
      <c r="M123" s="122">
        <f t="shared" si="19"/>
        <v>0</v>
      </c>
      <c r="N123" s="125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>
        <f t="shared" si="24"/>
        <v>51</v>
      </c>
      <c r="AC123" s="128">
        <f t="shared" ref="AC123:AD123" si="73">C123+G123+K123</f>
        <v>0</v>
      </c>
      <c r="AD123" s="57">
        <f t="shared" si="73"/>
        <v>0</v>
      </c>
      <c r="AE123" s="129">
        <v>100.0</v>
      </c>
      <c r="AF123" s="130">
        <v>1.85</v>
      </c>
      <c r="AG123" s="60">
        <f t="shared" si="21"/>
        <v>0</v>
      </c>
      <c r="AH123" s="131" t="str">
        <f t="shared" si="16"/>
        <v>Kateřina Machková-x</v>
      </c>
      <c r="AI123" s="132">
        <f t="shared" si="22"/>
        <v>0</v>
      </c>
      <c r="AJ123" s="105"/>
      <c r="AK123" s="64">
        <f t="shared" si="23"/>
        <v>0</v>
      </c>
      <c r="AL123" s="66">
        <f>IFERROR(__xludf.DUMMYFUNCTION("""COMPUTED_VALUE"""),0.0)</f>
        <v>0</v>
      </c>
      <c r="AM123" s="66">
        <f>IFERROR(__xludf.DUMMYFUNCTION("""COMPUTED_VALUE"""),0.0)</f>
        <v>0</v>
      </c>
      <c r="AN123" s="66">
        <f>IFERROR(__xludf.DUMMYFUNCTION("""COMPUTED_VALUE"""),0.0)</f>
        <v>0</v>
      </c>
    </row>
    <row r="124" ht="15.75" customHeight="1">
      <c r="A124" s="138" t="s">
        <v>90</v>
      </c>
      <c r="B124" s="134"/>
      <c r="C124" s="135">
        <f>IFERROR(__xludf.DUMMYFUNCTION("""COMPUTED_VALUE"""),0.0)</f>
        <v>0</v>
      </c>
      <c r="D124" s="136">
        <f>IFERROR(__xludf.DUMMYFUNCTION("""COMPUTED_VALUE"""),0.0)</f>
        <v>0</v>
      </c>
      <c r="E124" s="70">
        <f t="shared" si="17"/>
        <v>0</v>
      </c>
      <c r="F124" s="67"/>
      <c r="G124" s="120">
        <f>IFERROR(__xludf.DUMMYFUNCTION("""COMPUTED_VALUE"""),0.0)</f>
        <v>0</v>
      </c>
      <c r="H124" s="121">
        <f>IFERROR(__xludf.DUMMYFUNCTION("""COMPUTED_VALUE"""),0.0)</f>
        <v>0</v>
      </c>
      <c r="I124" s="122">
        <f t="shared" si="18"/>
        <v>0</v>
      </c>
      <c r="J124" s="137"/>
      <c r="K124" s="124">
        <f>IFERROR(__xludf.DUMMYFUNCTION("""COMPUTED_VALUE"""),0.0)</f>
        <v>0</v>
      </c>
      <c r="L124" s="121">
        <f>IFERROR(__xludf.DUMMYFUNCTION("""COMPUTED_VALUE"""),0.0)</f>
        <v>0</v>
      </c>
      <c r="M124" s="122">
        <f t="shared" si="19"/>
        <v>0</v>
      </c>
      <c r="N124" s="125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>
        <f t="shared" si="24"/>
        <v>52</v>
      </c>
      <c r="AC124" s="128">
        <f t="shared" ref="AC124:AD124" si="74">C124+G124+K124</f>
        <v>0</v>
      </c>
      <c r="AD124" s="57">
        <f t="shared" si="74"/>
        <v>0</v>
      </c>
      <c r="AE124" s="129">
        <v>100.0</v>
      </c>
      <c r="AF124" s="130">
        <v>1.15</v>
      </c>
      <c r="AG124" s="60">
        <f t="shared" si="21"/>
        <v>0</v>
      </c>
      <c r="AH124" s="131" t="str">
        <f t="shared" si="16"/>
        <v>Marek Šimek-x</v>
      </c>
      <c r="AI124" s="132">
        <f t="shared" si="22"/>
        <v>0</v>
      </c>
      <c r="AJ124" s="105"/>
      <c r="AK124" s="64">
        <f t="shared" si="23"/>
        <v>0</v>
      </c>
      <c r="AL124" s="66">
        <f>IFERROR(__xludf.DUMMYFUNCTION("""COMPUTED_VALUE"""),0.0)</f>
        <v>0</v>
      </c>
      <c r="AM124" s="66">
        <f>IFERROR(__xludf.DUMMYFUNCTION("""COMPUTED_VALUE"""),0.0)</f>
        <v>0</v>
      </c>
      <c r="AN124" s="66">
        <f>IFERROR(__xludf.DUMMYFUNCTION("""COMPUTED_VALUE"""),0.0)</f>
        <v>0</v>
      </c>
    </row>
    <row r="125" ht="15.75" customHeight="1">
      <c r="A125" s="138" t="s">
        <v>91</v>
      </c>
      <c r="B125" s="134"/>
      <c r="C125" s="135">
        <f>IFERROR(__xludf.DUMMYFUNCTION("""COMPUTED_VALUE"""),0.0)</f>
        <v>0</v>
      </c>
      <c r="D125" s="136">
        <f>IFERROR(__xludf.DUMMYFUNCTION("""COMPUTED_VALUE"""),0.0)</f>
        <v>0</v>
      </c>
      <c r="E125" s="70">
        <f t="shared" si="17"/>
        <v>0</v>
      </c>
      <c r="F125" s="67"/>
      <c r="G125" s="120">
        <f>IFERROR(__xludf.DUMMYFUNCTION("""COMPUTED_VALUE"""),0.0)</f>
        <v>0</v>
      </c>
      <c r="H125" s="121">
        <f>IFERROR(__xludf.DUMMYFUNCTION("""COMPUTED_VALUE"""),0.0)</f>
        <v>0</v>
      </c>
      <c r="I125" s="122">
        <f t="shared" si="18"/>
        <v>0</v>
      </c>
      <c r="J125" s="137"/>
      <c r="K125" s="124">
        <f>IFERROR(__xludf.DUMMYFUNCTION("""COMPUTED_VALUE"""),0.0)</f>
        <v>0</v>
      </c>
      <c r="L125" s="121">
        <f>IFERROR(__xludf.DUMMYFUNCTION("""COMPUTED_VALUE"""),0.0)</f>
        <v>0</v>
      </c>
      <c r="M125" s="122">
        <f t="shared" si="19"/>
        <v>0</v>
      </c>
      <c r="N125" s="125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>
        <f t="shared" si="24"/>
        <v>53</v>
      </c>
      <c r="AC125" s="128">
        <f t="shared" ref="AC125:AD125" si="75">C125+G125+K125</f>
        <v>0</v>
      </c>
      <c r="AD125" s="57">
        <f t="shared" si="75"/>
        <v>0</v>
      </c>
      <c r="AE125" s="129">
        <v>100.0</v>
      </c>
      <c r="AF125" s="130">
        <v>1.15</v>
      </c>
      <c r="AG125" s="60">
        <f t="shared" si="21"/>
        <v>0</v>
      </c>
      <c r="AH125" s="131" t="str">
        <f t="shared" si="16"/>
        <v>Lukáš Volf-x</v>
      </c>
      <c r="AI125" s="132">
        <f t="shared" si="22"/>
        <v>0</v>
      </c>
      <c r="AJ125" s="105"/>
      <c r="AK125" s="64">
        <f t="shared" si="23"/>
        <v>0</v>
      </c>
      <c r="AL125" s="66">
        <f>IFERROR(__xludf.DUMMYFUNCTION("""COMPUTED_VALUE"""),0.0)</f>
        <v>0</v>
      </c>
      <c r="AM125" s="66">
        <f>IFERROR(__xludf.DUMMYFUNCTION("""COMPUTED_VALUE"""),0.0)</f>
        <v>0</v>
      </c>
      <c r="AN125" s="66">
        <f>IFERROR(__xludf.DUMMYFUNCTION("""COMPUTED_VALUE"""),0.0)</f>
        <v>0</v>
      </c>
    </row>
    <row r="126" ht="15.75" customHeight="1">
      <c r="A126" s="115" t="s">
        <v>92</v>
      </c>
      <c r="B126" s="134"/>
      <c r="C126" s="135">
        <f>IFERROR(__xludf.DUMMYFUNCTION("""COMPUTED_VALUE"""),66.0)</f>
        <v>66</v>
      </c>
      <c r="D126" s="136">
        <f>IFERROR(__xludf.DUMMYFUNCTION("""COMPUTED_VALUE"""),6600.0)</f>
        <v>6600</v>
      </c>
      <c r="E126" s="70">
        <f t="shared" si="17"/>
        <v>7764.705882</v>
      </c>
      <c r="F126" s="67"/>
      <c r="G126" s="120">
        <f>IFERROR(__xludf.DUMMYFUNCTION("""COMPUTED_VALUE"""),0.0)</f>
        <v>0</v>
      </c>
      <c r="H126" s="121">
        <f>IFERROR(__xludf.DUMMYFUNCTION("""COMPUTED_VALUE"""),0.0)</f>
        <v>0</v>
      </c>
      <c r="I126" s="122">
        <f t="shared" si="18"/>
        <v>0</v>
      </c>
      <c r="J126" s="137"/>
      <c r="K126" s="124">
        <f>IFERROR(__xludf.DUMMYFUNCTION("""COMPUTED_VALUE"""),0.0)</f>
        <v>0</v>
      </c>
      <c r="L126" s="121">
        <f>IFERROR(__xludf.DUMMYFUNCTION("""COMPUTED_VALUE"""),0.0)</f>
        <v>0</v>
      </c>
      <c r="M126" s="122">
        <f t="shared" si="19"/>
        <v>0</v>
      </c>
      <c r="N126" s="125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>
        <f t="shared" si="24"/>
        <v>54</v>
      </c>
      <c r="AC126" s="128">
        <f t="shared" ref="AC126:AD126" si="76">C126+G126+K126</f>
        <v>66</v>
      </c>
      <c r="AD126" s="57">
        <f t="shared" si="76"/>
        <v>6600</v>
      </c>
      <c r="AE126" s="129">
        <v>100.0</v>
      </c>
      <c r="AF126" s="130">
        <v>1.15</v>
      </c>
      <c r="AG126" s="60">
        <f t="shared" si="21"/>
        <v>7764.705882</v>
      </c>
      <c r="AH126" s="131" t="str">
        <f t="shared" si="16"/>
        <v>Lucie Vorlíčková</v>
      </c>
      <c r="AI126" s="132">
        <f t="shared" si="22"/>
        <v>6600</v>
      </c>
      <c r="AJ126" s="105"/>
      <c r="AK126" s="64">
        <f t="shared" si="23"/>
        <v>6150</v>
      </c>
      <c r="AL126" s="66">
        <f>IFERROR(__xludf.DUMMYFUNCTION("""COMPUTED_VALUE"""),6150.0)</f>
        <v>6150</v>
      </c>
      <c r="AM126" s="66">
        <f>IFERROR(__xludf.DUMMYFUNCTION("""COMPUTED_VALUE"""),0.0)</f>
        <v>0</v>
      </c>
      <c r="AN126" s="66">
        <f>IFERROR(__xludf.DUMMYFUNCTION("""COMPUTED_VALUE"""),0.0)</f>
        <v>0</v>
      </c>
    </row>
    <row r="127" ht="15.75" customHeight="1">
      <c r="A127" s="115" t="s">
        <v>93</v>
      </c>
      <c r="B127" s="134"/>
      <c r="C127" s="135">
        <f>IFERROR(__xludf.DUMMYFUNCTION("""COMPUTED_VALUE"""),0.0)</f>
        <v>0</v>
      </c>
      <c r="D127" s="136">
        <f>IFERROR(__xludf.DUMMYFUNCTION("""COMPUTED_VALUE"""),0.0)</f>
        <v>0</v>
      </c>
      <c r="E127" s="70">
        <f t="shared" si="17"/>
        <v>0</v>
      </c>
      <c r="F127" s="67"/>
      <c r="G127" s="120">
        <f>IFERROR(__xludf.DUMMYFUNCTION("""COMPUTED_VALUE"""),0.0)</f>
        <v>0</v>
      </c>
      <c r="H127" s="121">
        <f>IFERROR(__xludf.DUMMYFUNCTION("""COMPUTED_VALUE"""),0.0)</f>
        <v>0</v>
      </c>
      <c r="I127" s="122">
        <f t="shared" si="18"/>
        <v>0</v>
      </c>
      <c r="J127" s="137"/>
      <c r="K127" s="124">
        <f>IFERROR(__xludf.DUMMYFUNCTION("""COMPUTED_VALUE"""),0.0)</f>
        <v>0</v>
      </c>
      <c r="L127" s="121">
        <f>IFERROR(__xludf.DUMMYFUNCTION("""COMPUTED_VALUE"""),0.0)</f>
        <v>0</v>
      </c>
      <c r="M127" s="122">
        <f t="shared" si="19"/>
        <v>0</v>
      </c>
      <c r="N127" s="125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>
        <f t="shared" si="24"/>
        <v>55</v>
      </c>
      <c r="AC127" s="128">
        <f t="shared" ref="AC127:AD127" si="77">C127+G127+K127</f>
        <v>0</v>
      </c>
      <c r="AD127" s="57">
        <f t="shared" si="77"/>
        <v>0</v>
      </c>
      <c r="AE127" s="129">
        <v>100.0</v>
      </c>
      <c r="AF127" s="130">
        <v>1.15</v>
      </c>
      <c r="AG127" s="60">
        <f t="shared" si="21"/>
        <v>0</v>
      </c>
      <c r="AH127" s="131" t="str">
        <f t="shared" si="16"/>
        <v>Damián Bradáč-x</v>
      </c>
      <c r="AI127" s="132">
        <f t="shared" si="22"/>
        <v>0</v>
      </c>
      <c r="AJ127" s="105"/>
      <c r="AK127" s="64">
        <f t="shared" si="23"/>
        <v>0</v>
      </c>
      <c r="AL127" s="66">
        <f>IFERROR(__xludf.DUMMYFUNCTION("""COMPUTED_VALUE"""),0.0)</f>
        <v>0</v>
      </c>
      <c r="AM127" s="66">
        <f>IFERROR(__xludf.DUMMYFUNCTION("""COMPUTED_VALUE"""),0.0)</f>
        <v>0</v>
      </c>
      <c r="AN127" s="66">
        <f>IFERROR(__xludf.DUMMYFUNCTION("""COMPUTED_VALUE"""),0.0)</f>
        <v>0</v>
      </c>
    </row>
    <row r="128" ht="15.75" customHeight="1">
      <c r="A128" s="138" t="s">
        <v>94</v>
      </c>
      <c r="B128" s="134"/>
      <c r="C128" s="135">
        <f>IFERROR(__xludf.DUMMYFUNCTION("""COMPUTED_VALUE"""),0.0)</f>
        <v>0</v>
      </c>
      <c r="D128" s="136">
        <f>IFERROR(__xludf.DUMMYFUNCTION("""COMPUTED_VALUE"""),0.0)</f>
        <v>0</v>
      </c>
      <c r="E128" s="70">
        <f t="shared" si="17"/>
        <v>0</v>
      </c>
      <c r="F128" s="67"/>
      <c r="G128" s="120">
        <f>IFERROR(__xludf.DUMMYFUNCTION("""COMPUTED_VALUE"""),0.0)</f>
        <v>0</v>
      </c>
      <c r="H128" s="121">
        <f>IFERROR(__xludf.DUMMYFUNCTION("""COMPUTED_VALUE"""),0.0)</f>
        <v>0</v>
      </c>
      <c r="I128" s="122">
        <f t="shared" si="18"/>
        <v>0</v>
      </c>
      <c r="J128" s="137"/>
      <c r="K128" s="124">
        <f>IFERROR(__xludf.DUMMYFUNCTION("""COMPUTED_VALUE"""),0.0)</f>
        <v>0</v>
      </c>
      <c r="L128" s="121">
        <f>IFERROR(__xludf.DUMMYFUNCTION("""COMPUTED_VALUE"""),0.0)</f>
        <v>0</v>
      </c>
      <c r="M128" s="122">
        <f t="shared" si="19"/>
        <v>0</v>
      </c>
      <c r="N128" s="125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>
        <f t="shared" si="24"/>
        <v>56</v>
      </c>
      <c r="AC128" s="128">
        <f t="shared" ref="AC128:AD128" si="78">C128+G128+K128</f>
        <v>0</v>
      </c>
      <c r="AD128" s="57">
        <f t="shared" si="78"/>
        <v>0</v>
      </c>
      <c r="AE128" s="129">
        <v>100.0</v>
      </c>
      <c r="AF128" s="130">
        <v>1.15</v>
      </c>
      <c r="AG128" s="60">
        <f t="shared" si="21"/>
        <v>0</v>
      </c>
      <c r="AH128" s="131" t="str">
        <f t="shared" si="16"/>
        <v>Tomáš Veselý-x</v>
      </c>
      <c r="AI128" s="132">
        <f t="shared" si="22"/>
        <v>0</v>
      </c>
      <c r="AJ128" s="105"/>
      <c r="AK128" s="64">
        <f t="shared" si="23"/>
        <v>0</v>
      </c>
      <c r="AL128" s="66">
        <f>IFERROR(__xludf.DUMMYFUNCTION("""COMPUTED_VALUE"""),0.0)</f>
        <v>0</v>
      </c>
      <c r="AM128" s="66">
        <f>IFERROR(__xludf.DUMMYFUNCTION("""COMPUTED_VALUE"""),0.0)</f>
        <v>0</v>
      </c>
      <c r="AN128" s="66">
        <f>IFERROR(__xludf.DUMMYFUNCTION("""COMPUTED_VALUE"""),0.0)</f>
        <v>0</v>
      </c>
    </row>
    <row r="129" ht="15.75" customHeight="1">
      <c r="A129" s="138" t="s">
        <v>95</v>
      </c>
      <c r="B129" s="134"/>
      <c r="C129" s="135">
        <f>IFERROR(__xludf.DUMMYFUNCTION("""COMPUTED_VALUE"""),0.0)</f>
        <v>0</v>
      </c>
      <c r="D129" s="136">
        <f>IFERROR(__xludf.DUMMYFUNCTION("""COMPUTED_VALUE"""),0.0)</f>
        <v>0</v>
      </c>
      <c r="E129" s="70">
        <f t="shared" si="17"/>
        <v>0</v>
      </c>
      <c r="F129" s="67"/>
      <c r="G129" s="120">
        <f>IFERROR(__xludf.DUMMYFUNCTION("""COMPUTED_VALUE"""),0.0)</f>
        <v>0</v>
      </c>
      <c r="H129" s="121">
        <f>IFERROR(__xludf.DUMMYFUNCTION("""COMPUTED_VALUE"""),0.0)</f>
        <v>0</v>
      </c>
      <c r="I129" s="122">
        <f t="shared" si="18"/>
        <v>0</v>
      </c>
      <c r="J129" s="137"/>
      <c r="K129" s="124">
        <f>IFERROR(__xludf.DUMMYFUNCTION("""COMPUTED_VALUE"""),0.0)</f>
        <v>0</v>
      </c>
      <c r="L129" s="121">
        <f>IFERROR(__xludf.DUMMYFUNCTION("""COMPUTED_VALUE"""),0.0)</f>
        <v>0</v>
      </c>
      <c r="M129" s="122">
        <f t="shared" si="19"/>
        <v>0</v>
      </c>
      <c r="N129" s="125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>
        <f t="shared" si="24"/>
        <v>57</v>
      </c>
      <c r="AC129" s="128">
        <f t="shared" ref="AC129:AD129" si="79">C129+G129+K129</f>
        <v>0</v>
      </c>
      <c r="AD129" s="57">
        <f t="shared" si="79"/>
        <v>0</v>
      </c>
      <c r="AE129" s="129">
        <v>100.0</v>
      </c>
      <c r="AF129" s="130">
        <v>1.15</v>
      </c>
      <c r="AG129" s="60">
        <f t="shared" si="21"/>
        <v>0</v>
      </c>
      <c r="AH129" s="131" t="str">
        <f t="shared" si="16"/>
        <v>Jakub Janout-x</v>
      </c>
      <c r="AI129" s="132">
        <f t="shared" si="22"/>
        <v>0</v>
      </c>
      <c r="AJ129" s="105"/>
      <c r="AK129" s="64">
        <f t="shared" si="23"/>
        <v>0</v>
      </c>
      <c r="AL129" s="66">
        <f>IFERROR(__xludf.DUMMYFUNCTION("""COMPUTED_VALUE"""),0.0)</f>
        <v>0</v>
      </c>
      <c r="AM129" s="66">
        <f>IFERROR(__xludf.DUMMYFUNCTION("""COMPUTED_VALUE"""),0.0)</f>
        <v>0</v>
      </c>
      <c r="AN129" s="66">
        <f>IFERROR(__xludf.DUMMYFUNCTION("""COMPUTED_VALUE"""),0.0)</f>
        <v>0</v>
      </c>
    </row>
    <row r="130" ht="15.75" customHeight="1">
      <c r="A130" s="115" t="s">
        <v>96</v>
      </c>
      <c r="B130" s="134"/>
      <c r="C130" s="135">
        <f>IFERROR(__xludf.DUMMYFUNCTION("""COMPUTED_VALUE"""),6.0)</f>
        <v>6</v>
      </c>
      <c r="D130" s="136">
        <f>IFERROR(__xludf.DUMMYFUNCTION("""COMPUTED_VALUE"""),600.0)</f>
        <v>600</v>
      </c>
      <c r="E130" s="70">
        <f t="shared" si="17"/>
        <v>705.8823529</v>
      </c>
      <c r="F130" s="67"/>
      <c r="G130" s="120">
        <f>IFERROR(__xludf.DUMMYFUNCTION("""COMPUTED_VALUE"""),3.5)</f>
        <v>3.5</v>
      </c>
      <c r="H130" s="121">
        <f>IFERROR(__xludf.DUMMYFUNCTION("""COMPUTED_VALUE"""),350.0)</f>
        <v>350</v>
      </c>
      <c r="I130" s="122">
        <f t="shared" si="18"/>
        <v>411.7647059</v>
      </c>
      <c r="J130" s="137"/>
      <c r="K130" s="124">
        <f>IFERROR(__xludf.DUMMYFUNCTION("""COMPUTED_VALUE"""),0.0)</f>
        <v>0</v>
      </c>
      <c r="L130" s="121">
        <f>IFERROR(__xludf.DUMMYFUNCTION("""COMPUTED_VALUE"""),0.0)</f>
        <v>0</v>
      </c>
      <c r="M130" s="122">
        <f t="shared" si="19"/>
        <v>0</v>
      </c>
      <c r="N130" s="125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>
        <f t="shared" si="24"/>
        <v>58</v>
      </c>
      <c r="AC130" s="128">
        <f t="shared" ref="AC130:AD130" si="80">C130+G130+K130</f>
        <v>9.5</v>
      </c>
      <c r="AD130" s="57">
        <f t="shared" si="80"/>
        <v>950</v>
      </c>
      <c r="AE130" s="129">
        <v>100.0</v>
      </c>
      <c r="AF130" s="130">
        <v>1.15</v>
      </c>
      <c r="AG130" s="60">
        <f t="shared" si="21"/>
        <v>1117.647059</v>
      </c>
      <c r="AH130" s="131" t="str">
        <f t="shared" si="16"/>
        <v>Ladislav Koška-x</v>
      </c>
      <c r="AI130" s="132">
        <f t="shared" si="22"/>
        <v>950</v>
      </c>
      <c r="AJ130" s="105"/>
      <c r="AK130" s="64">
        <f t="shared" si="23"/>
        <v>0</v>
      </c>
      <c r="AL130" s="66">
        <f>IFERROR(__xludf.DUMMYFUNCTION("""COMPUTED_VALUE"""),0.0)</f>
        <v>0</v>
      </c>
      <c r="AM130" s="66">
        <f>IFERROR(__xludf.DUMMYFUNCTION("""COMPUTED_VALUE"""),0.0)</f>
        <v>0</v>
      </c>
      <c r="AN130" s="66">
        <f>IFERROR(__xludf.DUMMYFUNCTION("""COMPUTED_VALUE"""),0.0)</f>
        <v>0</v>
      </c>
    </row>
    <row r="131" ht="15.75" customHeight="1">
      <c r="A131" s="138" t="s">
        <v>97</v>
      </c>
      <c r="B131" s="134"/>
      <c r="C131" s="135">
        <f>IFERROR(__xludf.DUMMYFUNCTION("""COMPUTED_VALUE"""),0.0)</f>
        <v>0</v>
      </c>
      <c r="D131" s="136">
        <f>IFERROR(__xludf.DUMMYFUNCTION("""COMPUTED_VALUE"""),0.0)</f>
        <v>0</v>
      </c>
      <c r="E131" s="70">
        <f t="shared" si="17"/>
        <v>0</v>
      </c>
      <c r="F131" s="67"/>
      <c r="G131" s="120">
        <f>IFERROR(__xludf.DUMMYFUNCTION("""COMPUTED_VALUE"""),0.0)</f>
        <v>0</v>
      </c>
      <c r="H131" s="121">
        <f>IFERROR(__xludf.DUMMYFUNCTION("""COMPUTED_VALUE"""),0.0)</f>
        <v>0</v>
      </c>
      <c r="I131" s="122">
        <f t="shared" si="18"/>
        <v>0</v>
      </c>
      <c r="J131" s="137"/>
      <c r="K131" s="124">
        <f>IFERROR(__xludf.DUMMYFUNCTION("""COMPUTED_VALUE"""),0.0)</f>
        <v>0</v>
      </c>
      <c r="L131" s="121">
        <f>IFERROR(__xludf.DUMMYFUNCTION("""COMPUTED_VALUE"""),0.0)</f>
        <v>0</v>
      </c>
      <c r="M131" s="122">
        <f t="shared" si="19"/>
        <v>0</v>
      </c>
      <c r="N131" s="125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>
        <f t="shared" si="24"/>
        <v>59</v>
      </c>
      <c r="AC131" s="128">
        <f t="shared" ref="AC131:AD131" si="81">C131+G131+K131</f>
        <v>0</v>
      </c>
      <c r="AD131" s="57">
        <f t="shared" si="81"/>
        <v>0</v>
      </c>
      <c r="AE131" s="129">
        <v>100.0</v>
      </c>
      <c r="AF131" s="130">
        <v>1.15</v>
      </c>
      <c r="AG131" s="60">
        <f t="shared" si="21"/>
        <v>0</v>
      </c>
      <c r="AH131" s="131" t="str">
        <f t="shared" si="16"/>
        <v>Jiří Pilnáček-x</v>
      </c>
      <c r="AI131" s="132">
        <f t="shared" si="22"/>
        <v>0</v>
      </c>
      <c r="AJ131" s="105"/>
      <c r="AK131" s="64">
        <f t="shared" si="23"/>
        <v>0</v>
      </c>
      <c r="AL131" s="66">
        <f>IFERROR(__xludf.DUMMYFUNCTION("""COMPUTED_VALUE"""),0.0)</f>
        <v>0</v>
      </c>
      <c r="AM131" s="66">
        <f>IFERROR(__xludf.DUMMYFUNCTION("""COMPUTED_VALUE"""),0.0)</f>
        <v>0</v>
      </c>
      <c r="AN131" s="66">
        <f>IFERROR(__xludf.DUMMYFUNCTION("""COMPUTED_VALUE"""),0.0)</f>
        <v>0</v>
      </c>
    </row>
    <row r="132" ht="15.75" customHeight="1">
      <c r="A132" s="138" t="s">
        <v>98</v>
      </c>
      <c r="B132" s="134"/>
      <c r="C132" s="135">
        <f>IFERROR(__xludf.DUMMYFUNCTION("""COMPUTED_VALUE"""),0.0)</f>
        <v>0</v>
      </c>
      <c r="D132" s="136">
        <f>IFERROR(__xludf.DUMMYFUNCTION("""COMPUTED_VALUE"""),0.0)</f>
        <v>0</v>
      </c>
      <c r="E132" s="70">
        <f t="shared" si="17"/>
        <v>0</v>
      </c>
      <c r="F132" s="67"/>
      <c r="G132" s="120">
        <f>IFERROR(__xludf.DUMMYFUNCTION("""COMPUTED_VALUE"""),0.0)</f>
        <v>0</v>
      </c>
      <c r="H132" s="121">
        <f>IFERROR(__xludf.DUMMYFUNCTION("""COMPUTED_VALUE"""),0.0)</f>
        <v>0</v>
      </c>
      <c r="I132" s="122">
        <f t="shared" si="18"/>
        <v>0</v>
      </c>
      <c r="J132" s="137"/>
      <c r="K132" s="124">
        <f>IFERROR(__xludf.DUMMYFUNCTION("""COMPUTED_VALUE"""),0.0)</f>
        <v>0</v>
      </c>
      <c r="L132" s="121">
        <f>IFERROR(__xludf.DUMMYFUNCTION("""COMPUTED_VALUE"""),0.0)</f>
        <v>0</v>
      </c>
      <c r="M132" s="122">
        <f t="shared" si="19"/>
        <v>0</v>
      </c>
      <c r="N132" s="125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>
        <f t="shared" si="24"/>
        <v>60</v>
      </c>
      <c r="AC132" s="128">
        <f t="shared" ref="AC132:AD132" si="82">C132+G132+K132</f>
        <v>0</v>
      </c>
      <c r="AD132" s="57">
        <f t="shared" si="82"/>
        <v>0</v>
      </c>
      <c r="AE132" s="129">
        <v>100.0</v>
      </c>
      <c r="AF132" s="130">
        <v>1.15</v>
      </c>
      <c r="AG132" s="60">
        <f t="shared" si="21"/>
        <v>0</v>
      </c>
      <c r="AH132" s="131" t="str">
        <f t="shared" si="16"/>
        <v>Michal Bandy-x</v>
      </c>
      <c r="AI132" s="132">
        <f t="shared" si="22"/>
        <v>0</v>
      </c>
      <c r="AJ132" s="105"/>
      <c r="AK132" s="64">
        <f t="shared" si="23"/>
        <v>0</v>
      </c>
      <c r="AL132" s="66">
        <f>IFERROR(__xludf.DUMMYFUNCTION("""COMPUTED_VALUE"""),0.0)</f>
        <v>0</v>
      </c>
      <c r="AM132" s="66">
        <f>IFERROR(__xludf.DUMMYFUNCTION("""COMPUTED_VALUE"""),0.0)</f>
        <v>0</v>
      </c>
      <c r="AN132" s="66">
        <f>IFERROR(__xludf.DUMMYFUNCTION("""COMPUTED_VALUE"""),0.0)</f>
        <v>0</v>
      </c>
    </row>
    <row r="133" ht="15.75" customHeight="1">
      <c r="A133" s="115" t="s">
        <v>99</v>
      </c>
      <c r="B133" s="134"/>
      <c r="C133" s="135">
        <f>IFERROR(__xludf.DUMMYFUNCTION("""COMPUTED_VALUE"""),0.0)</f>
        <v>0</v>
      </c>
      <c r="D133" s="136">
        <f>IFERROR(__xludf.DUMMYFUNCTION("""COMPUTED_VALUE"""),0.0)</f>
        <v>0</v>
      </c>
      <c r="E133" s="70">
        <f t="shared" si="17"/>
        <v>0</v>
      </c>
      <c r="F133" s="67"/>
      <c r="G133" s="120">
        <f>IFERROR(__xludf.DUMMYFUNCTION("""COMPUTED_VALUE"""),0.0)</f>
        <v>0</v>
      </c>
      <c r="H133" s="121">
        <f>IFERROR(__xludf.DUMMYFUNCTION("""COMPUTED_VALUE"""),0.0)</f>
        <v>0</v>
      </c>
      <c r="I133" s="122">
        <f t="shared" si="18"/>
        <v>0</v>
      </c>
      <c r="J133" s="137"/>
      <c r="K133" s="124">
        <f>IFERROR(__xludf.DUMMYFUNCTION("""COMPUTED_VALUE"""),25.0)</f>
        <v>25</v>
      </c>
      <c r="L133" s="121">
        <f>IFERROR(__xludf.DUMMYFUNCTION("""COMPUTED_VALUE"""),2500.0)</f>
        <v>2500</v>
      </c>
      <c r="M133" s="122">
        <f t="shared" si="19"/>
        <v>2941.176471</v>
      </c>
      <c r="N133" s="125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>
        <f t="shared" si="24"/>
        <v>61</v>
      </c>
      <c r="AC133" s="128">
        <f t="shared" ref="AC133:AD133" si="83">C133+G133+K133</f>
        <v>25</v>
      </c>
      <c r="AD133" s="57">
        <f t="shared" si="83"/>
        <v>2500</v>
      </c>
      <c r="AE133" s="129">
        <v>100.0</v>
      </c>
      <c r="AF133" s="130">
        <v>1.15</v>
      </c>
      <c r="AG133" s="60">
        <f t="shared" si="21"/>
        <v>2941.176471</v>
      </c>
      <c r="AH133" s="131" t="str">
        <f t="shared" si="16"/>
        <v>Tereza Šterbová</v>
      </c>
      <c r="AI133" s="132">
        <f t="shared" si="22"/>
        <v>2500</v>
      </c>
      <c r="AJ133" s="105"/>
      <c r="AK133" s="64">
        <f t="shared" si="23"/>
        <v>0</v>
      </c>
      <c r="AL133" s="66">
        <f>IFERROR(__xludf.DUMMYFUNCTION("""COMPUTED_VALUE"""),0.0)</f>
        <v>0</v>
      </c>
      <c r="AM133" s="66">
        <f>IFERROR(__xludf.DUMMYFUNCTION("""COMPUTED_VALUE"""),0.0)</f>
        <v>0</v>
      </c>
      <c r="AN133" s="66">
        <f>IFERROR(__xludf.DUMMYFUNCTION("""COMPUTED_VALUE"""),0.0)</f>
        <v>0</v>
      </c>
    </row>
    <row r="134" ht="15.75" customHeight="1">
      <c r="A134" s="115" t="s">
        <v>100</v>
      </c>
      <c r="B134" s="134"/>
      <c r="C134" s="135">
        <f>IFERROR(__xludf.DUMMYFUNCTION("""COMPUTED_VALUE"""),2.0)</f>
        <v>2</v>
      </c>
      <c r="D134" s="136">
        <f>IFERROR(__xludf.DUMMYFUNCTION("""COMPUTED_VALUE"""),200.0)</f>
        <v>200</v>
      </c>
      <c r="E134" s="70">
        <f t="shared" si="17"/>
        <v>235.2941176</v>
      </c>
      <c r="F134" s="67"/>
      <c r="G134" s="120">
        <f>IFERROR(__xludf.DUMMYFUNCTION("""COMPUTED_VALUE"""),59.0)</f>
        <v>59</v>
      </c>
      <c r="H134" s="121">
        <f>IFERROR(__xludf.DUMMYFUNCTION("""COMPUTED_VALUE"""),5900.0)</f>
        <v>5900</v>
      </c>
      <c r="I134" s="122">
        <f t="shared" si="18"/>
        <v>6941.176471</v>
      </c>
      <c r="J134" s="137"/>
      <c r="K134" s="124">
        <f>IFERROR(__xludf.DUMMYFUNCTION("""COMPUTED_VALUE"""),0.0)</f>
        <v>0</v>
      </c>
      <c r="L134" s="121">
        <f>IFERROR(__xludf.DUMMYFUNCTION("""COMPUTED_VALUE"""),0.0)</f>
        <v>0</v>
      </c>
      <c r="M134" s="122">
        <f t="shared" si="19"/>
        <v>0</v>
      </c>
      <c r="N134" s="125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>
        <f t="shared" si="24"/>
        <v>62</v>
      </c>
      <c r="AC134" s="128">
        <f t="shared" ref="AC134:AD134" si="84">C134+G134+K134</f>
        <v>61</v>
      </c>
      <c r="AD134" s="57">
        <f t="shared" si="84"/>
        <v>6100</v>
      </c>
      <c r="AE134" s="129">
        <v>100.0</v>
      </c>
      <c r="AF134" s="130">
        <v>1.15</v>
      </c>
      <c r="AG134" s="60">
        <f t="shared" si="21"/>
        <v>7176.470588</v>
      </c>
      <c r="AH134" s="131" t="str">
        <f t="shared" si="16"/>
        <v>Michal Friml</v>
      </c>
      <c r="AI134" s="132">
        <f t="shared" si="22"/>
        <v>6100</v>
      </c>
      <c r="AJ134" s="105"/>
      <c r="AK134" s="64">
        <f t="shared" si="23"/>
        <v>300</v>
      </c>
      <c r="AL134" s="66">
        <f>IFERROR(__xludf.DUMMYFUNCTION("""COMPUTED_VALUE"""),0.0)</f>
        <v>0</v>
      </c>
      <c r="AM134" s="66">
        <f>IFERROR(__xludf.DUMMYFUNCTION("""COMPUTED_VALUE"""),300.0)</f>
        <v>300</v>
      </c>
      <c r="AN134" s="66">
        <f>IFERROR(__xludf.DUMMYFUNCTION("""COMPUTED_VALUE"""),0.0)</f>
        <v>0</v>
      </c>
    </row>
    <row r="135" ht="15.75" customHeight="1">
      <c r="A135" s="115" t="s">
        <v>101</v>
      </c>
      <c r="B135" s="134"/>
      <c r="C135" s="135">
        <f>IFERROR(__xludf.DUMMYFUNCTION("""COMPUTED_VALUE"""),0.0)</f>
        <v>0</v>
      </c>
      <c r="D135" s="144">
        <f>IFERROR(__xludf.DUMMYFUNCTION("""COMPUTED_VALUE"""),0.0)</f>
        <v>0</v>
      </c>
      <c r="E135" s="70">
        <f t="shared" si="17"/>
        <v>0</v>
      </c>
      <c r="F135" s="67"/>
      <c r="G135" s="120">
        <f>IFERROR(__xludf.DUMMYFUNCTION("""COMPUTED_VALUE"""),4.5)</f>
        <v>4.5</v>
      </c>
      <c r="H135" s="121">
        <f>IFERROR(__xludf.DUMMYFUNCTION("""COMPUTED_VALUE"""),450.0)</f>
        <v>450</v>
      </c>
      <c r="I135" s="122">
        <f t="shared" si="18"/>
        <v>529.4117647</v>
      </c>
      <c r="J135" s="137"/>
      <c r="K135" s="124">
        <f>IFERROR(__xludf.DUMMYFUNCTION("""COMPUTED_VALUE"""),213.5)</f>
        <v>213.5</v>
      </c>
      <c r="L135" s="121">
        <f>IFERROR(__xludf.DUMMYFUNCTION("""COMPUTED_VALUE"""),21350.0)</f>
        <v>21350</v>
      </c>
      <c r="M135" s="122">
        <f t="shared" si="19"/>
        <v>25117.64706</v>
      </c>
      <c r="N135" s="125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>
        <f t="shared" si="24"/>
        <v>63</v>
      </c>
      <c r="AC135" s="128">
        <f t="shared" ref="AC135:AD135" si="85">C135+G135+K135</f>
        <v>218</v>
      </c>
      <c r="AD135" s="57">
        <f t="shared" si="85"/>
        <v>21800</v>
      </c>
      <c r="AE135" s="129">
        <v>100.0</v>
      </c>
      <c r="AF135" s="130">
        <v>1.15</v>
      </c>
      <c r="AG135" s="60">
        <f t="shared" si="21"/>
        <v>25647.05882</v>
      </c>
      <c r="AH135" s="131" t="str">
        <f t="shared" si="16"/>
        <v>Miroslav Kuchař</v>
      </c>
      <c r="AI135" s="132">
        <f t="shared" si="22"/>
        <v>21800</v>
      </c>
      <c r="AJ135" s="105"/>
      <c r="AK135" s="64">
        <f t="shared" si="23"/>
        <v>1000</v>
      </c>
      <c r="AL135" s="66">
        <f>IFERROR(__xludf.DUMMYFUNCTION("""COMPUTED_VALUE"""),0.0)</f>
        <v>0</v>
      </c>
      <c r="AM135" s="66">
        <f>IFERROR(__xludf.DUMMYFUNCTION("""COMPUTED_VALUE"""),0.0)</f>
        <v>0</v>
      </c>
      <c r="AN135" s="66">
        <f>IFERROR(__xludf.DUMMYFUNCTION("""COMPUTED_VALUE"""),1000.0)</f>
        <v>1000</v>
      </c>
    </row>
    <row r="136" ht="15.75" customHeight="1">
      <c r="A136" s="115" t="s">
        <v>102</v>
      </c>
      <c r="B136" s="134"/>
      <c r="C136" s="135">
        <f>IFERROR(__xludf.DUMMYFUNCTION("""COMPUTED_VALUE"""),0.0)</f>
        <v>0</v>
      </c>
      <c r="D136" s="136">
        <f>IFERROR(__xludf.DUMMYFUNCTION("""COMPUTED_VALUE"""),0.0)</f>
        <v>0</v>
      </c>
      <c r="E136" s="70">
        <f t="shared" si="17"/>
        <v>0</v>
      </c>
      <c r="F136" s="67"/>
      <c r="G136" s="120">
        <f>IFERROR(__xludf.DUMMYFUNCTION("""COMPUTED_VALUE"""),0.0)</f>
        <v>0</v>
      </c>
      <c r="H136" s="121">
        <f>IFERROR(__xludf.DUMMYFUNCTION("""COMPUTED_VALUE"""),0.0)</f>
        <v>0</v>
      </c>
      <c r="I136" s="122">
        <f t="shared" si="18"/>
        <v>0</v>
      </c>
      <c r="J136" s="137"/>
      <c r="K136" s="124">
        <f>IFERROR(__xludf.DUMMYFUNCTION("""COMPUTED_VALUE"""),0.0)</f>
        <v>0</v>
      </c>
      <c r="L136" s="121">
        <f>IFERROR(__xludf.DUMMYFUNCTION("""COMPUTED_VALUE"""),0.0)</f>
        <v>0</v>
      </c>
      <c r="M136" s="122">
        <f t="shared" si="19"/>
        <v>0</v>
      </c>
      <c r="N136" s="125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>
        <f t="shared" si="24"/>
        <v>64</v>
      </c>
      <c r="AC136" s="128">
        <f t="shared" ref="AC136:AD136" si="86">C136+G136+K136</f>
        <v>0</v>
      </c>
      <c r="AD136" s="57">
        <f t="shared" si="86"/>
        <v>0</v>
      </c>
      <c r="AE136" s="129">
        <v>100.0</v>
      </c>
      <c r="AF136" s="130">
        <v>1.15</v>
      </c>
      <c r="AG136" s="60">
        <f t="shared" si="21"/>
        <v>0</v>
      </c>
      <c r="AH136" s="131" t="str">
        <f t="shared" si="16"/>
        <v>Aleksandra Fedoseova-x</v>
      </c>
      <c r="AI136" s="132">
        <f t="shared" si="22"/>
        <v>0</v>
      </c>
      <c r="AJ136" s="105"/>
      <c r="AK136" s="64">
        <f t="shared" si="23"/>
        <v>0</v>
      </c>
      <c r="AL136" s="66">
        <f>IFERROR(__xludf.DUMMYFUNCTION("""COMPUTED_VALUE"""),0.0)</f>
        <v>0</v>
      </c>
      <c r="AM136" s="66">
        <f>IFERROR(__xludf.DUMMYFUNCTION("""COMPUTED_VALUE"""),0.0)</f>
        <v>0</v>
      </c>
      <c r="AN136" s="66">
        <f>IFERROR(__xludf.DUMMYFUNCTION("""COMPUTED_VALUE"""),0.0)</f>
        <v>0</v>
      </c>
    </row>
    <row r="137" ht="15.75" customHeight="1">
      <c r="A137" s="115" t="s">
        <v>103</v>
      </c>
      <c r="B137" s="134"/>
      <c r="C137" s="135">
        <f>IFERROR(__xludf.DUMMYFUNCTION("""COMPUTED_VALUE"""),4.5)</f>
        <v>4.5</v>
      </c>
      <c r="D137" s="136">
        <f>IFERROR(__xludf.DUMMYFUNCTION("""COMPUTED_VALUE"""),450.0)</f>
        <v>450</v>
      </c>
      <c r="E137" s="70">
        <f t="shared" si="17"/>
        <v>529.4117647</v>
      </c>
      <c r="F137" s="67"/>
      <c r="G137" s="120">
        <f>IFERROR(__xludf.DUMMYFUNCTION("""COMPUTED_VALUE"""),18.0)</f>
        <v>18</v>
      </c>
      <c r="H137" s="121">
        <f>IFERROR(__xludf.DUMMYFUNCTION("""COMPUTED_VALUE"""),1800.0)</f>
        <v>1800</v>
      </c>
      <c r="I137" s="122">
        <f t="shared" si="18"/>
        <v>2117.647059</v>
      </c>
      <c r="J137" s="137"/>
      <c r="K137" s="124">
        <f>IFERROR(__xludf.DUMMYFUNCTION("""COMPUTED_VALUE"""),0.0)</f>
        <v>0</v>
      </c>
      <c r="L137" s="121">
        <f>IFERROR(__xludf.DUMMYFUNCTION("""COMPUTED_VALUE"""),0.0)</f>
        <v>0</v>
      </c>
      <c r="M137" s="122">
        <f t="shared" si="19"/>
        <v>0</v>
      </c>
      <c r="N137" s="125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>
        <f t="shared" si="24"/>
        <v>65</v>
      </c>
      <c r="AC137" s="128">
        <f t="shared" ref="AC137:AD137" si="87">C137+G137+K137</f>
        <v>22.5</v>
      </c>
      <c r="AD137" s="57">
        <f t="shared" si="87"/>
        <v>2250</v>
      </c>
      <c r="AE137" s="129">
        <v>100.0</v>
      </c>
      <c r="AF137" s="130">
        <v>1.15</v>
      </c>
      <c r="AG137" s="60">
        <f t="shared" si="21"/>
        <v>2647.058824</v>
      </c>
      <c r="AH137" s="131" t="str">
        <f t="shared" si="16"/>
        <v>David Kropáč - řidič</v>
      </c>
      <c r="AI137" s="132">
        <f t="shared" si="22"/>
        <v>2250</v>
      </c>
      <c r="AJ137" s="105"/>
      <c r="AK137" s="64">
        <f t="shared" si="23"/>
        <v>0</v>
      </c>
      <c r="AL137" s="66">
        <f>IFERROR(__xludf.DUMMYFUNCTION("""COMPUTED_VALUE"""),0.0)</f>
        <v>0</v>
      </c>
      <c r="AM137" s="66">
        <f>IFERROR(__xludf.DUMMYFUNCTION("""COMPUTED_VALUE"""),0.0)</f>
        <v>0</v>
      </c>
      <c r="AN137" s="66">
        <f>IFERROR(__xludf.DUMMYFUNCTION("""COMPUTED_VALUE"""),0.0)</f>
        <v>0</v>
      </c>
    </row>
    <row r="138" ht="15.75" customHeight="1">
      <c r="A138" s="138" t="s">
        <v>104</v>
      </c>
      <c r="B138" s="134"/>
      <c r="C138" s="135">
        <f>IFERROR(__xludf.DUMMYFUNCTION("""COMPUTED_VALUE"""),0.0)</f>
        <v>0</v>
      </c>
      <c r="D138" s="136">
        <f>IFERROR(__xludf.DUMMYFUNCTION("""COMPUTED_VALUE"""),0.0)</f>
        <v>0</v>
      </c>
      <c r="E138" s="70">
        <f t="shared" si="17"/>
        <v>0</v>
      </c>
      <c r="F138" s="67"/>
      <c r="G138" s="120">
        <f>IFERROR(__xludf.DUMMYFUNCTION("""COMPUTED_VALUE"""),0.0)</f>
        <v>0</v>
      </c>
      <c r="H138" s="121">
        <f>IFERROR(__xludf.DUMMYFUNCTION("""COMPUTED_VALUE"""),0.0)</f>
        <v>0</v>
      </c>
      <c r="I138" s="122">
        <f t="shared" si="18"/>
        <v>0</v>
      </c>
      <c r="J138" s="137"/>
      <c r="K138" s="124">
        <f>IFERROR(__xludf.DUMMYFUNCTION("""COMPUTED_VALUE"""),0.0)</f>
        <v>0</v>
      </c>
      <c r="L138" s="121">
        <f>IFERROR(__xludf.DUMMYFUNCTION("""COMPUTED_VALUE"""),0.0)</f>
        <v>0</v>
      </c>
      <c r="M138" s="122">
        <f t="shared" si="19"/>
        <v>0</v>
      </c>
      <c r="N138" s="125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>
        <f t="shared" si="24"/>
        <v>66</v>
      </c>
      <c r="AC138" s="128">
        <f t="shared" ref="AC138:AD138" si="88">C138+G138+K138</f>
        <v>0</v>
      </c>
      <c r="AD138" s="57">
        <f t="shared" si="88"/>
        <v>0</v>
      </c>
      <c r="AE138" s="129">
        <v>100.0</v>
      </c>
      <c r="AF138" s="130">
        <v>1.15</v>
      </c>
      <c r="AG138" s="60">
        <f t="shared" si="21"/>
        <v>0</v>
      </c>
      <c r="AH138" s="131" t="str">
        <f t="shared" si="16"/>
        <v>Petra Čápová-x</v>
      </c>
      <c r="AI138" s="132">
        <f t="shared" si="22"/>
        <v>0</v>
      </c>
      <c r="AJ138" s="105"/>
      <c r="AK138" s="64">
        <f t="shared" si="23"/>
        <v>0</v>
      </c>
      <c r="AL138" s="66">
        <f>IFERROR(__xludf.DUMMYFUNCTION("""COMPUTED_VALUE"""),0.0)</f>
        <v>0</v>
      </c>
      <c r="AM138" s="66">
        <f>IFERROR(__xludf.DUMMYFUNCTION("""COMPUTED_VALUE"""),0.0)</f>
        <v>0</v>
      </c>
      <c r="AN138" s="66">
        <f>IFERROR(__xludf.DUMMYFUNCTION("""COMPUTED_VALUE"""),0.0)</f>
        <v>0</v>
      </c>
    </row>
    <row r="139" ht="15.75" customHeight="1">
      <c r="A139" s="115" t="s">
        <v>105</v>
      </c>
      <c r="B139" s="134"/>
      <c r="C139" s="135">
        <f>IFERROR(__xludf.DUMMYFUNCTION("""COMPUTED_VALUE"""),78.0)</f>
        <v>78</v>
      </c>
      <c r="D139" s="136">
        <f>IFERROR(__xludf.DUMMYFUNCTION("""COMPUTED_VALUE"""),7800.0)</f>
        <v>7800</v>
      </c>
      <c r="E139" s="70">
        <f t="shared" si="17"/>
        <v>9176.470588</v>
      </c>
      <c r="F139" s="67"/>
      <c r="G139" s="120">
        <f>IFERROR(__xludf.DUMMYFUNCTION("""COMPUTED_VALUE"""),0.0)</f>
        <v>0</v>
      </c>
      <c r="H139" s="121">
        <f>IFERROR(__xludf.DUMMYFUNCTION("""COMPUTED_VALUE"""),0.0)</f>
        <v>0</v>
      </c>
      <c r="I139" s="122">
        <f t="shared" si="18"/>
        <v>0</v>
      </c>
      <c r="J139" s="137"/>
      <c r="K139" s="124">
        <f>IFERROR(__xludf.DUMMYFUNCTION("""COMPUTED_VALUE"""),0.0)</f>
        <v>0</v>
      </c>
      <c r="L139" s="121">
        <f>IFERROR(__xludf.DUMMYFUNCTION("""COMPUTED_VALUE"""),0.0)</f>
        <v>0</v>
      </c>
      <c r="M139" s="122">
        <f t="shared" si="19"/>
        <v>0</v>
      </c>
      <c r="N139" s="125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>
        <f t="shared" si="24"/>
        <v>67</v>
      </c>
      <c r="AC139" s="128">
        <f t="shared" ref="AC139:AD139" si="89">C139+G139+K139</f>
        <v>78</v>
      </c>
      <c r="AD139" s="57">
        <f t="shared" si="89"/>
        <v>7800</v>
      </c>
      <c r="AE139" s="129">
        <v>100.0</v>
      </c>
      <c r="AF139" s="130">
        <v>1.15</v>
      </c>
      <c r="AG139" s="60">
        <f t="shared" si="21"/>
        <v>9176.470588</v>
      </c>
      <c r="AH139" s="131" t="str">
        <f t="shared" si="16"/>
        <v>Ondřej Navrátil</v>
      </c>
      <c r="AI139" s="132">
        <f t="shared" si="22"/>
        <v>7800</v>
      </c>
      <c r="AJ139" s="105"/>
      <c r="AK139" s="64">
        <f t="shared" si="23"/>
        <v>0</v>
      </c>
      <c r="AL139" s="66">
        <f>IFERROR(__xludf.DUMMYFUNCTION("""COMPUTED_VALUE"""),0.0)</f>
        <v>0</v>
      </c>
      <c r="AM139" s="66">
        <f>IFERROR(__xludf.DUMMYFUNCTION("""COMPUTED_VALUE"""),0.0)</f>
        <v>0</v>
      </c>
      <c r="AN139" s="66">
        <f>IFERROR(__xludf.DUMMYFUNCTION("""COMPUTED_VALUE"""),0.0)</f>
        <v>0</v>
      </c>
    </row>
    <row r="140" ht="15.75" customHeight="1">
      <c r="A140" s="138" t="s">
        <v>106</v>
      </c>
      <c r="B140" s="134"/>
      <c r="C140" s="135">
        <f>IFERROR(__xludf.DUMMYFUNCTION("""COMPUTED_VALUE"""),9.0)</f>
        <v>9</v>
      </c>
      <c r="D140" s="136">
        <f>IFERROR(__xludf.DUMMYFUNCTION("""COMPUTED_VALUE"""),900.0)</f>
        <v>900</v>
      </c>
      <c r="E140" s="70">
        <f t="shared" si="17"/>
        <v>1058.823529</v>
      </c>
      <c r="F140" s="67"/>
      <c r="G140" s="120">
        <f>IFERROR(__xludf.DUMMYFUNCTION("""COMPUTED_VALUE"""),0.0)</f>
        <v>0</v>
      </c>
      <c r="H140" s="121">
        <f>IFERROR(__xludf.DUMMYFUNCTION("""COMPUTED_VALUE"""),0.0)</f>
        <v>0</v>
      </c>
      <c r="I140" s="122">
        <f t="shared" si="18"/>
        <v>0</v>
      </c>
      <c r="J140" s="137"/>
      <c r="K140" s="124">
        <f>IFERROR(__xludf.DUMMYFUNCTION("""COMPUTED_VALUE"""),0.0)</f>
        <v>0</v>
      </c>
      <c r="L140" s="121">
        <f>IFERROR(__xludf.DUMMYFUNCTION("""COMPUTED_VALUE"""),0.0)</f>
        <v>0</v>
      </c>
      <c r="M140" s="122">
        <f t="shared" si="19"/>
        <v>0</v>
      </c>
      <c r="N140" s="125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>
        <f t="shared" si="24"/>
        <v>68</v>
      </c>
      <c r="AC140" s="128">
        <f t="shared" ref="AC140:AD140" si="90">C140+G140+K140</f>
        <v>9</v>
      </c>
      <c r="AD140" s="57">
        <f t="shared" si="90"/>
        <v>900</v>
      </c>
      <c r="AE140" s="129">
        <v>100.0</v>
      </c>
      <c r="AF140" s="130">
        <v>1.15</v>
      </c>
      <c r="AG140" s="60">
        <f t="shared" si="21"/>
        <v>1058.823529</v>
      </c>
      <c r="AH140" s="131" t="str">
        <f t="shared" si="16"/>
        <v>Josef Petrásek-x</v>
      </c>
      <c r="AI140" s="132">
        <f t="shared" si="22"/>
        <v>900</v>
      </c>
      <c r="AJ140" s="105"/>
      <c r="AK140" s="64">
        <f t="shared" si="23"/>
        <v>0</v>
      </c>
      <c r="AL140" s="66">
        <f>IFERROR(__xludf.DUMMYFUNCTION("""COMPUTED_VALUE"""),0.0)</f>
        <v>0</v>
      </c>
      <c r="AM140" s="66">
        <f>IFERROR(__xludf.DUMMYFUNCTION("""COMPUTED_VALUE"""),0.0)</f>
        <v>0</v>
      </c>
      <c r="AN140" s="66">
        <f>IFERROR(__xludf.DUMMYFUNCTION("""COMPUTED_VALUE"""),0.0)</f>
        <v>0</v>
      </c>
    </row>
    <row r="141" ht="15.75" customHeight="1">
      <c r="A141" s="115" t="s">
        <v>107</v>
      </c>
      <c r="B141" s="134"/>
      <c r="C141" s="135">
        <f>IFERROR(__xludf.DUMMYFUNCTION("""COMPUTED_VALUE"""),87.0)</f>
        <v>87</v>
      </c>
      <c r="D141" s="136">
        <f>IFERROR(__xludf.DUMMYFUNCTION("""COMPUTED_VALUE"""),8700.0)</f>
        <v>8700</v>
      </c>
      <c r="E141" s="70">
        <f t="shared" si="17"/>
        <v>10235.29412</v>
      </c>
      <c r="F141" s="67"/>
      <c r="G141" s="120">
        <f>IFERROR(__xludf.DUMMYFUNCTION("""COMPUTED_VALUE"""),23.5)</f>
        <v>23.5</v>
      </c>
      <c r="H141" s="121">
        <f>IFERROR(__xludf.DUMMYFUNCTION("""COMPUTED_VALUE"""),2350.0)</f>
        <v>2350</v>
      </c>
      <c r="I141" s="122">
        <f t="shared" si="18"/>
        <v>2764.705882</v>
      </c>
      <c r="J141" s="137"/>
      <c r="K141" s="124">
        <f>IFERROR(__xludf.DUMMYFUNCTION("""COMPUTED_VALUE"""),0.0)</f>
        <v>0</v>
      </c>
      <c r="L141" s="121">
        <f>IFERROR(__xludf.DUMMYFUNCTION("""COMPUTED_VALUE"""),0.0)</f>
        <v>0</v>
      </c>
      <c r="M141" s="122">
        <f t="shared" si="19"/>
        <v>0</v>
      </c>
      <c r="N141" s="125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>
        <f t="shared" si="24"/>
        <v>69</v>
      </c>
      <c r="AC141" s="128">
        <f t="shared" ref="AC141:AD141" si="91">C141+G141+K141</f>
        <v>110.5</v>
      </c>
      <c r="AD141" s="57">
        <f t="shared" si="91"/>
        <v>11050</v>
      </c>
      <c r="AE141" s="129">
        <v>100.0</v>
      </c>
      <c r="AF141" s="130">
        <v>1.15</v>
      </c>
      <c r="AG141" s="60">
        <f t="shared" si="21"/>
        <v>13000</v>
      </c>
      <c r="AH141" s="131" t="str">
        <f t="shared" si="16"/>
        <v>Dominik Vlach</v>
      </c>
      <c r="AI141" s="132">
        <f t="shared" si="22"/>
        <v>11050</v>
      </c>
      <c r="AJ141" s="105"/>
      <c r="AK141" s="64">
        <f t="shared" si="23"/>
        <v>10450</v>
      </c>
      <c r="AL141" s="66">
        <f>IFERROR(__xludf.DUMMYFUNCTION("""COMPUTED_VALUE"""),8100.0)</f>
        <v>8100</v>
      </c>
      <c r="AM141" s="66">
        <f>IFERROR(__xludf.DUMMYFUNCTION("""COMPUTED_VALUE"""),2350.0)</f>
        <v>2350</v>
      </c>
      <c r="AN141" s="66">
        <f>IFERROR(__xludf.DUMMYFUNCTION("""COMPUTED_VALUE"""),0.0)</f>
        <v>0</v>
      </c>
    </row>
    <row r="142" ht="15.75" customHeight="1">
      <c r="A142" s="115" t="s">
        <v>108</v>
      </c>
      <c r="B142" s="134"/>
      <c r="C142" s="135">
        <f>IFERROR(__xludf.DUMMYFUNCTION("""COMPUTED_VALUE"""),0.0)</f>
        <v>0</v>
      </c>
      <c r="D142" s="136">
        <f>IFERROR(__xludf.DUMMYFUNCTION("""COMPUTED_VALUE"""),0.0)</f>
        <v>0</v>
      </c>
      <c r="E142" s="70">
        <f t="shared" si="17"/>
        <v>0</v>
      </c>
      <c r="F142" s="67"/>
      <c r="G142" s="120">
        <f>IFERROR(__xludf.DUMMYFUNCTION("""COMPUTED_VALUE"""),0.0)</f>
        <v>0</v>
      </c>
      <c r="H142" s="121">
        <f>IFERROR(__xludf.DUMMYFUNCTION("""COMPUTED_VALUE"""),0.0)</f>
        <v>0</v>
      </c>
      <c r="I142" s="122">
        <f t="shared" si="18"/>
        <v>0</v>
      </c>
      <c r="J142" s="137"/>
      <c r="K142" s="124">
        <f>IFERROR(__xludf.DUMMYFUNCTION("""COMPUTED_VALUE"""),226.0)</f>
        <v>226</v>
      </c>
      <c r="L142" s="121">
        <f>IFERROR(__xludf.DUMMYFUNCTION("""COMPUTED_VALUE"""),22600.0)</f>
        <v>22600</v>
      </c>
      <c r="M142" s="122">
        <f t="shared" si="19"/>
        <v>26588.23529</v>
      </c>
      <c r="N142" s="125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>
        <f t="shared" si="24"/>
        <v>70</v>
      </c>
      <c r="AC142" s="128">
        <f t="shared" ref="AC142:AD142" si="92">C142+G142+K142</f>
        <v>226</v>
      </c>
      <c r="AD142" s="57">
        <f t="shared" si="92"/>
        <v>22600</v>
      </c>
      <c r="AE142" s="129">
        <v>100.0</v>
      </c>
      <c r="AF142" s="130">
        <v>1.15</v>
      </c>
      <c r="AG142" s="60">
        <f t="shared" si="21"/>
        <v>26588.23529</v>
      </c>
      <c r="AH142" s="131" t="str">
        <f t="shared" si="16"/>
        <v>Oleksandr Sobolyuk</v>
      </c>
      <c r="AI142" s="132">
        <f t="shared" si="22"/>
        <v>22600</v>
      </c>
      <c r="AJ142" s="105"/>
      <c r="AK142" s="64">
        <f t="shared" si="23"/>
        <v>0</v>
      </c>
      <c r="AL142" s="66">
        <f>IFERROR(__xludf.DUMMYFUNCTION("""COMPUTED_VALUE"""),0.0)</f>
        <v>0</v>
      </c>
      <c r="AM142" s="66">
        <f>IFERROR(__xludf.DUMMYFUNCTION("""COMPUTED_VALUE"""),0.0)</f>
        <v>0</v>
      </c>
      <c r="AN142" s="66">
        <f>IFERROR(__xludf.DUMMYFUNCTION("""COMPUTED_VALUE"""),0.0)</f>
        <v>0</v>
      </c>
    </row>
    <row r="143" ht="15.75" customHeight="1">
      <c r="A143" s="138" t="s">
        <v>109</v>
      </c>
      <c r="B143" s="134"/>
      <c r="C143" s="135">
        <f>IFERROR(__xludf.DUMMYFUNCTION("""COMPUTED_VALUE"""),0.0)</f>
        <v>0</v>
      </c>
      <c r="D143" s="136">
        <f>IFERROR(__xludf.DUMMYFUNCTION("""COMPUTED_VALUE"""),0.0)</f>
        <v>0</v>
      </c>
      <c r="E143" s="70">
        <f t="shared" si="17"/>
        <v>0</v>
      </c>
      <c r="F143" s="67"/>
      <c r="G143" s="120">
        <f>IFERROR(__xludf.DUMMYFUNCTION("""COMPUTED_VALUE"""),0.0)</f>
        <v>0</v>
      </c>
      <c r="H143" s="121">
        <f>IFERROR(__xludf.DUMMYFUNCTION("""COMPUTED_VALUE"""),0.0)</f>
        <v>0</v>
      </c>
      <c r="I143" s="122">
        <f t="shared" si="18"/>
        <v>0</v>
      </c>
      <c r="J143" s="137"/>
      <c r="K143" s="124">
        <f>IFERROR(__xludf.DUMMYFUNCTION("""COMPUTED_VALUE"""),0.0)</f>
        <v>0</v>
      </c>
      <c r="L143" s="121">
        <f>IFERROR(__xludf.DUMMYFUNCTION("""COMPUTED_VALUE"""),0.0)</f>
        <v>0</v>
      </c>
      <c r="M143" s="122">
        <f t="shared" si="19"/>
        <v>0</v>
      </c>
      <c r="N143" s="125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>
        <f t="shared" si="24"/>
        <v>71</v>
      </c>
      <c r="AC143" s="128">
        <f t="shared" ref="AC143:AD143" si="93">C143+G143+K143</f>
        <v>0</v>
      </c>
      <c r="AD143" s="57">
        <f t="shared" si="93"/>
        <v>0</v>
      </c>
      <c r="AE143" s="129">
        <v>100.0</v>
      </c>
      <c r="AF143" s="130">
        <v>1.15</v>
      </c>
      <c r="AG143" s="60">
        <f t="shared" si="21"/>
        <v>0</v>
      </c>
      <c r="AH143" s="131" t="str">
        <f t="shared" si="16"/>
        <v>Radim Raulim-x</v>
      </c>
      <c r="AI143" s="132">
        <f t="shared" si="22"/>
        <v>0</v>
      </c>
      <c r="AJ143" s="105"/>
      <c r="AK143" s="64">
        <f t="shared" si="23"/>
        <v>0</v>
      </c>
      <c r="AL143" s="66">
        <f>IFERROR(__xludf.DUMMYFUNCTION("""COMPUTED_VALUE"""),0.0)</f>
        <v>0</v>
      </c>
      <c r="AM143" s="66">
        <f>IFERROR(__xludf.DUMMYFUNCTION("""COMPUTED_VALUE"""),0.0)</f>
        <v>0</v>
      </c>
      <c r="AN143" s="66">
        <f>IFERROR(__xludf.DUMMYFUNCTION("""COMPUTED_VALUE"""),0.0)</f>
        <v>0</v>
      </c>
    </row>
    <row r="144" ht="15.75" customHeight="1">
      <c r="A144" s="138" t="s">
        <v>110</v>
      </c>
      <c r="B144" s="134"/>
      <c r="C144" s="135">
        <f>IFERROR(__xludf.DUMMYFUNCTION("""COMPUTED_VALUE"""),0.0)</f>
        <v>0</v>
      </c>
      <c r="D144" s="136">
        <f>IFERROR(__xludf.DUMMYFUNCTION("""COMPUTED_VALUE"""),0.0)</f>
        <v>0</v>
      </c>
      <c r="E144" s="70">
        <f t="shared" si="17"/>
        <v>0</v>
      </c>
      <c r="F144" s="67"/>
      <c r="G144" s="120">
        <f>IFERROR(__xludf.DUMMYFUNCTION("""COMPUTED_VALUE"""),0.0)</f>
        <v>0</v>
      </c>
      <c r="H144" s="121">
        <f>IFERROR(__xludf.DUMMYFUNCTION("""COMPUTED_VALUE"""),0.0)</f>
        <v>0</v>
      </c>
      <c r="I144" s="122">
        <f t="shared" si="18"/>
        <v>0</v>
      </c>
      <c r="J144" s="137"/>
      <c r="K144" s="124">
        <f>IFERROR(__xludf.DUMMYFUNCTION("""COMPUTED_VALUE"""),0.0)</f>
        <v>0</v>
      </c>
      <c r="L144" s="121">
        <f>IFERROR(__xludf.DUMMYFUNCTION("""COMPUTED_VALUE"""),0.0)</f>
        <v>0</v>
      </c>
      <c r="M144" s="122">
        <f t="shared" si="19"/>
        <v>0</v>
      </c>
      <c r="N144" s="125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>
        <f t="shared" si="24"/>
        <v>72</v>
      </c>
      <c r="AC144" s="128">
        <f t="shared" ref="AC144:AD144" si="94">C144+G144+K144</f>
        <v>0</v>
      </c>
      <c r="AD144" s="57">
        <f t="shared" si="94"/>
        <v>0</v>
      </c>
      <c r="AE144" s="129">
        <v>100.0</v>
      </c>
      <c r="AF144" s="130">
        <v>1.15</v>
      </c>
      <c r="AG144" s="60">
        <f t="shared" si="21"/>
        <v>0</v>
      </c>
      <c r="AH144" s="131" t="str">
        <f t="shared" si="16"/>
        <v>Martin Kumšta-x</v>
      </c>
      <c r="AI144" s="132">
        <f t="shared" si="22"/>
        <v>0</v>
      </c>
      <c r="AJ144" s="105"/>
      <c r="AK144" s="64">
        <f t="shared" si="23"/>
        <v>0</v>
      </c>
      <c r="AL144" s="66">
        <f>IFERROR(__xludf.DUMMYFUNCTION("""COMPUTED_VALUE"""),0.0)</f>
        <v>0</v>
      </c>
      <c r="AM144" s="66">
        <f>IFERROR(__xludf.DUMMYFUNCTION("""COMPUTED_VALUE"""),0.0)</f>
        <v>0</v>
      </c>
      <c r="AN144" s="66">
        <f>IFERROR(__xludf.DUMMYFUNCTION("""COMPUTED_VALUE"""),0.0)</f>
        <v>0</v>
      </c>
    </row>
    <row r="145" ht="15.75" customHeight="1">
      <c r="A145" s="115" t="s">
        <v>111</v>
      </c>
      <c r="B145" s="134"/>
      <c r="C145" s="135">
        <f>IFERROR(__xludf.DUMMYFUNCTION("""COMPUTED_VALUE"""),101.5)</f>
        <v>101.5</v>
      </c>
      <c r="D145" s="136">
        <f>IFERROR(__xludf.DUMMYFUNCTION("""COMPUTED_VALUE"""),10150.0)</f>
        <v>10150</v>
      </c>
      <c r="E145" s="70">
        <f t="shared" si="17"/>
        <v>11941.17647</v>
      </c>
      <c r="F145" s="67"/>
      <c r="G145" s="120">
        <f>IFERROR(__xludf.DUMMYFUNCTION("""COMPUTED_VALUE"""),25.0)</f>
        <v>25</v>
      </c>
      <c r="H145" s="121">
        <f>IFERROR(__xludf.DUMMYFUNCTION("""COMPUTED_VALUE"""),2500.0)</f>
        <v>2500</v>
      </c>
      <c r="I145" s="122">
        <f t="shared" si="18"/>
        <v>2941.176471</v>
      </c>
      <c r="J145" s="137"/>
      <c r="K145" s="124">
        <f>IFERROR(__xludf.DUMMYFUNCTION("""COMPUTED_VALUE"""),0.0)</f>
        <v>0</v>
      </c>
      <c r="L145" s="121">
        <f>IFERROR(__xludf.DUMMYFUNCTION("""COMPUTED_VALUE"""),0.0)</f>
        <v>0</v>
      </c>
      <c r="M145" s="122">
        <f t="shared" si="19"/>
        <v>0</v>
      </c>
      <c r="N145" s="125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>
        <f t="shared" si="24"/>
        <v>73</v>
      </c>
      <c r="AC145" s="128">
        <f t="shared" ref="AC145:AD145" si="95">C145+G145+K145</f>
        <v>126.5</v>
      </c>
      <c r="AD145" s="57">
        <f t="shared" si="95"/>
        <v>12650</v>
      </c>
      <c r="AE145" s="129">
        <v>100.0</v>
      </c>
      <c r="AF145" s="130">
        <v>1.15</v>
      </c>
      <c r="AG145" s="60">
        <f t="shared" si="21"/>
        <v>14882.35294</v>
      </c>
      <c r="AH145" s="131" t="str">
        <f t="shared" si="16"/>
        <v>Tomáš Lukas</v>
      </c>
      <c r="AI145" s="132">
        <f t="shared" si="22"/>
        <v>12650</v>
      </c>
      <c r="AJ145" s="105"/>
      <c r="AK145" s="64">
        <f t="shared" si="23"/>
        <v>12650</v>
      </c>
      <c r="AL145" s="66">
        <f>IFERROR(__xludf.DUMMYFUNCTION("""COMPUTED_VALUE"""),10150.0)</f>
        <v>10150</v>
      </c>
      <c r="AM145" s="66">
        <f>IFERROR(__xludf.DUMMYFUNCTION("""COMPUTED_VALUE"""),2500.0)</f>
        <v>2500</v>
      </c>
      <c r="AN145" s="66">
        <f>IFERROR(__xludf.DUMMYFUNCTION("""COMPUTED_VALUE"""),0.0)</f>
        <v>0</v>
      </c>
    </row>
    <row r="146" ht="15.75" customHeight="1">
      <c r="A146" s="115" t="s">
        <v>112</v>
      </c>
      <c r="B146" s="134"/>
      <c r="C146" s="135">
        <f>IFERROR(__xludf.DUMMYFUNCTION("""COMPUTED_VALUE"""),0.0)</f>
        <v>0</v>
      </c>
      <c r="D146" s="136">
        <f>IFERROR(__xludf.DUMMYFUNCTION("""COMPUTED_VALUE"""),0.0)</f>
        <v>0</v>
      </c>
      <c r="E146" s="70">
        <f t="shared" si="17"/>
        <v>0</v>
      </c>
      <c r="F146" s="67"/>
      <c r="G146" s="120">
        <f>IFERROR(__xludf.DUMMYFUNCTION("""COMPUTED_VALUE"""),0.0)</f>
        <v>0</v>
      </c>
      <c r="H146" s="121">
        <f>IFERROR(__xludf.DUMMYFUNCTION("""COMPUTED_VALUE"""),0.0)</f>
        <v>0</v>
      </c>
      <c r="I146" s="122">
        <f t="shared" si="18"/>
        <v>0</v>
      </c>
      <c r="J146" s="137"/>
      <c r="K146" s="124">
        <f>IFERROR(__xludf.DUMMYFUNCTION("""COMPUTED_VALUE"""),152.5)</f>
        <v>152.5</v>
      </c>
      <c r="L146" s="121">
        <f>IFERROR(__xludf.DUMMYFUNCTION("""COMPUTED_VALUE"""),15250.0)</f>
        <v>15250</v>
      </c>
      <c r="M146" s="122">
        <f t="shared" si="19"/>
        <v>17941.17647</v>
      </c>
      <c r="N146" s="125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>
        <f t="shared" si="24"/>
        <v>74</v>
      </c>
      <c r="AC146" s="128">
        <f t="shared" ref="AC146:AD146" si="96">C146+G146+K146</f>
        <v>152.5</v>
      </c>
      <c r="AD146" s="57">
        <f t="shared" si="96"/>
        <v>15250</v>
      </c>
      <c r="AE146" s="129">
        <v>100.0</v>
      </c>
      <c r="AF146" s="130">
        <v>1.15</v>
      </c>
      <c r="AG146" s="60">
        <f t="shared" si="21"/>
        <v>17941.17647</v>
      </c>
      <c r="AH146" s="131" t="str">
        <f t="shared" si="16"/>
        <v>Dominika Klementová</v>
      </c>
      <c r="AI146" s="132">
        <f t="shared" si="22"/>
        <v>15250</v>
      </c>
      <c r="AJ146" s="105"/>
      <c r="AK146" s="64">
        <f t="shared" si="23"/>
        <v>3000</v>
      </c>
      <c r="AL146" s="66">
        <f>IFERROR(__xludf.DUMMYFUNCTION("""COMPUTED_VALUE"""),0.0)</f>
        <v>0</v>
      </c>
      <c r="AM146" s="66">
        <f>IFERROR(__xludf.DUMMYFUNCTION("""COMPUTED_VALUE"""),0.0)</f>
        <v>0</v>
      </c>
      <c r="AN146" s="66">
        <f>IFERROR(__xludf.DUMMYFUNCTION("""COMPUTED_VALUE"""),3000.0)</f>
        <v>3000</v>
      </c>
    </row>
    <row r="147" ht="15.75" customHeight="1">
      <c r="A147" s="138" t="s">
        <v>113</v>
      </c>
      <c r="B147" s="134"/>
      <c r="C147" s="135">
        <f>IFERROR(__xludf.DUMMYFUNCTION("""COMPUTED_VALUE"""),22.0)</f>
        <v>22</v>
      </c>
      <c r="D147" s="136">
        <f>IFERROR(__xludf.DUMMYFUNCTION("""COMPUTED_VALUE"""),2200.0)</f>
        <v>2200</v>
      </c>
      <c r="E147" s="70">
        <f t="shared" si="17"/>
        <v>2588.235294</v>
      </c>
      <c r="F147" s="67"/>
      <c r="G147" s="120">
        <f>IFERROR(__xludf.DUMMYFUNCTION("""COMPUTED_VALUE"""),0.0)</f>
        <v>0</v>
      </c>
      <c r="H147" s="121">
        <f>IFERROR(__xludf.DUMMYFUNCTION("""COMPUTED_VALUE"""),0.0)</f>
        <v>0</v>
      </c>
      <c r="I147" s="122">
        <f t="shared" si="18"/>
        <v>0</v>
      </c>
      <c r="J147" s="137"/>
      <c r="K147" s="124">
        <f>IFERROR(__xludf.DUMMYFUNCTION("""COMPUTED_VALUE"""),0.0)</f>
        <v>0</v>
      </c>
      <c r="L147" s="121">
        <f>IFERROR(__xludf.DUMMYFUNCTION("""COMPUTED_VALUE"""),0.0)</f>
        <v>0</v>
      </c>
      <c r="M147" s="122">
        <f t="shared" si="19"/>
        <v>0</v>
      </c>
      <c r="N147" s="125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>
        <f t="shared" si="24"/>
        <v>75</v>
      </c>
      <c r="AC147" s="128">
        <f t="shared" ref="AC147:AD147" si="97">C147+G147+K147</f>
        <v>22</v>
      </c>
      <c r="AD147" s="57">
        <f t="shared" si="97"/>
        <v>2200</v>
      </c>
      <c r="AE147" s="129">
        <v>100.0</v>
      </c>
      <c r="AF147" s="130">
        <v>1.15</v>
      </c>
      <c r="AG147" s="60">
        <f t="shared" si="21"/>
        <v>2588.235294</v>
      </c>
      <c r="AH147" s="131" t="str">
        <f t="shared" si="16"/>
        <v>Václav Trojánek-x</v>
      </c>
      <c r="AI147" s="132">
        <f t="shared" si="22"/>
        <v>2200</v>
      </c>
      <c r="AJ147" s="105"/>
      <c r="AK147" s="64">
        <f t="shared" si="23"/>
        <v>2200</v>
      </c>
      <c r="AL147" s="66">
        <f>IFERROR(__xludf.DUMMYFUNCTION("""COMPUTED_VALUE"""),2200.0)</f>
        <v>2200</v>
      </c>
      <c r="AM147" s="66">
        <f>IFERROR(__xludf.DUMMYFUNCTION("""COMPUTED_VALUE"""),0.0)</f>
        <v>0</v>
      </c>
      <c r="AN147" s="66">
        <f>IFERROR(__xludf.DUMMYFUNCTION("""COMPUTED_VALUE"""),0.0)</f>
        <v>0</v>
      </c>
    </row>
    <row r="148" ht="15.75" customHeight="1">
      <c r="A148" s="115" t="s">
        <v>114</v>
      </c>
      <c r="B148" s="134"/>
      <c r="C148" s="135">
        <f>IFERROR(__xludf.DUMMYFUNCTION("""COMPUTED_VALUE"""),8.0)</f>
        <v>8</v>
      </c>
      <c r="D148" s="136">
        <f>IFERROR(__xludf.DUMMYFUNCTION("""COMPUTED_VALUE"""),800.0)</f>
        <v>800</v>
      </c>
      <c r="E148" s="70">
        <f t="shared" si="17"/>
        <v>941.1764706</v>
      </c>
      <c r="F148" s="67"/>
      <c r="G148" s="120">
        <f>IFERROR(__xludf.DUMMYFUNCTION("""COMPUTED_VALUE"""),14.0)</f>
        <v>14</v>
      </c>
      <c r="H148" s="121">
        <f>IFERROR(__xludf.DUMMYFUNCTION("""COMPUTED_VALUE"""),1400.0)</f>
        <v>1400</v>
      </c>
      <c r="I148" s="122">
        <f t="shared" si="18"/>
        <v>1647.058824</v>
      </c>
      <c r="J148" s="137"/>
      <c r="K148" s="124">
        <f>IFERROR(__xludf.DUMMYFUNCTION("""COMPUTED_VALUE"""),63.5)</f>
        <v>63.5</v>
      </c>
      <c r="L148" s="121">
        <f>IFERROR(__xludf.DUMMYFUNCTION("""COMPUTED_VALUE"""),6350.0)</f>
        <v>6350</v>
      </c>
      <c r="M148" s="122">
        <f t="shared" si="19"/>
        <v>7470.588235</v>
      </c>
      <c r="N148" s="125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>
        <f t="shared" si="24"/>
        <v>76</v>
      </c>
      <c r="AC148" s="128">
        <f t="shared" ref="AC148:AD148" si="98">C148+G148+K148</f>
        <v>85.5</v>
      </c>
      <c r="AD148" s="57">
        <f t="shared" si="98"/>
        <v>8550</v>
      </c>
      <c r="AE148" s="129">
        <v>100.0</v>
      </c>
      <c r="AF148" s="130">
        <v>1.15</v>
      </c>
      <c r="AG148" s="60">
        <f t="shared" si="21"/>
        <v>10058.82353</v>
      </c>
      <c r="AH148" s="131" t="str">
        <f t="shared" si="16"/>
        <v>Jiří Valenta</v>
      </c>
      <c r="AI148" s="132">
        <f t="shared" si="22"/>
        <v>8550</v>
      </c>
      <c r="AJ148" s="105"/>
      <c r="AK148" s="64">
        <f t="shared" si="23"/>
        <v>900</v>
      </c>
      <c r="AL148" s="66">
        <f>IFERROR(__xludf.DUMMYFUNCTION("""COMPUTED_VALUE"""),400.0)</f>
        <v>400</v>
      </c>
      <c r="AM148" s="66">
        <f>IFERROR(__xludf.DUMMYFUNCTION("""COMPUTED_VALUE"""),0.0)</f>
        <v>0</v>
      </c>
      <c r="AN148" s="66">
        <f>IFERROR(__xludf.DUMMYFUNCTION("""COMPUTED_VALUE"""),500.0)</f>
        <v>500</v>
      </c>
    </row>
    <row r="149" ht="15.75" customHeight="1">
      <c r="A149" s="138" t="s">
        <v>115</v>
      </c>
      <c r="B149" s="134"/>
      <c r="C149" s="135">
        <f>IFERROR(__xludf.DUMMYFUNCTION("""COMPUTED_VALUE"""),0.0)</f>
        <v>0</v>
      </c>
      <c r="D149" s="136">
        <f>IFERROR(__xludf.DUMMYFUNCTION("""COMPUTED_VALUE"""),0.0)</f>
        <v>0</v>
      </c>
      <c r="E149" s="70">
        <f t="shared" si="17"/>
        <v>0</v>
      </c>
      <c r="F149" s="67"/>
      <c r="G149" s="120">
        <f>IFERROR(__xludf.DUMMYFUNCTION("""COMPUTED_VALUE"""),0.0)</f>
        <v>0</v>
      </c>
      <c r="H149" s="121">
        <f>IFERROR(__xludf.DUMMYFUNCTION("""COMPUTED_VALUE"""),0.0)</f>
        <v>0</v>
      </c>
      <c r="I149" s="122">
        <f t="shared" si="18"/>
        <v>0</v>
      </c>
      <c r="J149" s="137"/>
      <c r="K149" s="124">
        <f>IFERROR(__xludf.DUMMYFUNCTION("""COMPUTED_VALUE"""),0.0)</f>
        <v>0</v>
      </c>
      <c r="L149" s="121">
        <f>IFERROR(__xludf.DUMMYFUNCTION("""COMPUTED_VALUE"""),0.0)</f>
        <v>0</v>
      </c>
      <c r="M149" s="122">
        <f t="shared" si="19"/>
        <v>0</v>
      </c>
      <c r="N149" s="125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>
        <f t="shared" si="24"/>
        <v>77</v>
      </c>
      <c r="AC149" s="128">
        <f t="shared" ref="AC149:AD149" si="99">C149+G149+K149</f>
        <v>0</v>
      </c>
      <c r="AD149" s="57">
        <f t="shared" si="99"/>
        <v>0</v>
      </c>
      <c r="AE149" s="129">
        <v>100.0</v>
      </c>
      <c r="AF149" s="130">
        <v>1.15</v>
      </c>
      <c r="AG149" s="60">
        <f t="shared" si="21"/>
        <v>0</v>
      </c>
      <c r="AH149" s="131" t="str">
        <f t="shared" si="16"/>
        <v>Daniel Kopsa-x</v>
      </c>
      <c r="AI149" s="132">
        <f t="shared" si="22"/>
        <v>0</v>
      </c>
      <c r="AJ149" s="105"/>
      <c r="AK149" s="64">
        <f t="shared" si="23"/>
        <v>0</v>
      </c>
      <c r="AL149" s="66">
        <f>IFERROR(__xludf.DUMMYFUNCTION("""COMPUTED_VALUE"""),0.0)</f>
        <v>0</v>
      </c>
      <c r="AM149" s="66">
        <f>IFERROR(__xludf.DUMMYFUNCTION("""COMPUTED_VALUE"""),0.0)</f>
        <v>0</v>
      </c>
      <c r="AN149" s="66">
        <f>IFERROR(__xludf.DUMMYFUNCTION("""COMPUTED_VALUE"""),0.0)</f>
        <v>0</v>
      </c>
    </row>
    <row r="150" ht="15.75" customHeight="1">
      <c r="A150" s="115" t="s">
        <v>116</v>
      </c>
      <c r="B150" s="134"/>
      <c r="C150" s="135">
        <f>IFERROR(__xludf.DUMMYFUNCTION("""COMPUTED_VALUE"""),36.0)</f>
        <v>36</v>
      </c>
      <c r="D150" s="136">
        <f>IFERROR(__xludf.DUMMYFUNCTION("""COMPUTED_VALUE"""),3600.0)</f>
        <v>3600</v>
      </c>
      <c r="E150" s="70">
        <f t="shared" si="17"/>
        <v>4235.294118</v>
      </c>
      <c r="F150" s="67"/>
      <c r="G150" s="120">
        <f>IFERROR(__xludf.DUMMYFUNCTION("""COMPUTED_VALUE"""),0.0)</f>
        <v>0</v>
      </c>
      <c r="H150" s="121">
        <f>IFERROR(__xludf.DUMMYFUNCTION("""COMPUTED_VALUE"""),0.0)</f>
        <v>0</v>
      </c>
      <c r="I150" s="122">
        <f t="shared" si="18"/>
        <v>0</v>
      </c>
      <c r="J150" s="137"/>
      <c r="K150" s="124">
        <f>IFERROR(__xludf.DUMMYFUNCTION("""COMPUTED_VALUE"""),0.0)</f>
        <v>0</v>
      </c>
      <c r="L150" s="121">
        <f>IFERROR(__xludf.DUMMYFUNCTION("""COMPUTED_VALUE"""),0.0)</f>
        <v>0</v>
      </c>
      <c r="M150" s="122">
        <f t="shared" si="19"/>
        <v>0</v>
      </c>
      <c r="N150" s="125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>
        <f t="shared" si="24"/>
        <v>78</v>
      </c>
      <c r="AC150" s="128">
        <f t="shared" ref="AC150:AD150" si="100">C150+G150+K150</f>
        <v>36</v>
      </c>
      <c r="AD150" s="57">
        <f t="shared" si="100"/>
        <v>3600</v>
      </c>
      <c r="AE150" s="129">
        <v>100.0</v>
      </c>
      <c r="AF150" s="130">
        <v>1.15</v>
      </c>
      <c r="AG150" s="60">
        <f t="shared" si="21"/>
        <v>4235.294118</v>
      </c>
      <c r="AH150" s="131" t="str">
        <f t="shared" si="16"/>
        <v>Ladislav Hlavatý</v>
      </c>
      <c r="AI150" s="132">
        <f t="shared" si="22"/>
        <v>3600</v>
      </c>
      <c r="AJ150" s="105"/>
      <c r="AK150" s="64">
        <f t="shared" si="23"/>
        <v>3100</v>
      </c>
      <c r="AL150" s="66">
        <f>IFERROR(__xludf.DUMMYFUNCTION("""COMPUTED_VALUE"""),3100.0)</f>
        <v>3100</v>
      </c>
      <c r="AM150" s="66">
        <f>IFERROR(__xludf.DUMMYFUNCTION("""COMPUTED_VALUE"""),0.0)</f>
        <v>0</v>
      </c>
      <c r="AN150" s="66">
        <f>IFERROR(__xludf.DUMMYFUNCTION("""COMPUTED_VALUE"""),0.0)</f>
        <v>0</v>
      </c>
    </row>
    <row r="151" ht="15.75" customHeight="1">
      <c r="A151" s="115" t="s">
        <v>117</v>
      </c>
      <c r="B151" s="134"/>
      <c r="C151" s="135">
        <f>IFERROR(__xludf.DUMMYFUNCTION("""COMPUTED_VALUE"""),5.5)</f>
        <v>5.5</v>
      </c>
      <c r="D151" s="136">
        <f>IFERROR(__xludf.DUMMYFUNCTION("""COMPUTED_VALUE"""),550.0)</f>
        <v>550</v>
      </c>
      <c r="E151" s="70">
        <f t="shared" si="17"/>
        <v>647.0588235</v>
      </c>
      <c r="F151" s="67"/>
      <c r="G151" s="120">
        <f>IFERROR(__xludf.DUMMYFUNCTION("""COMPUTED_VALUE"""),48.5)</f>
        <v>48.5</v>
      </c>
      <c r="H151" s="121">
        <f>IFERROR(__xludf.DUMMYFUNCTION("""COMPUTED_VALUE"""),4850.0)</f>
        <v>4850</v>
      </c>
      <c r="I151" s="122">
        <f t="shared" si="18"/>
        <v>5705.882353</v>
      </c>
      <c r="J151" s="137"/>
      <c r="K151" s="124">
        <f>IFERROR(__xludf.DUMMYFUNCTION("""COMPUTED_VALUE"""),46.0)</f>
        <v>46</v>
      </c>
      <c r="L151" s="121">
        <f>IFERROR(__xludf.DUMMYFUNCTION("""COMPUTED_VALUE"""),4600.0)</f>
        <v>4600</v>
      </c>
      <c r="M151" s="122">
        <f t="shared" si="19"/>
        <v>5411.764706</v>
      </c>
      <c r="N151" s="125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>
        <f t="shared" si="24"/>
        <v>79</v>
      </c>
      <c r="AC151" s="128">
        <f t="shared" ref="AC151:AD151" si="101">C151+G151+K151</f>
        <v>100</v>
      </c>
      <c r="AD151" s="57">
        <f t="shared" si="101"/>
        <v>10000</v>
      </c>
      <c r="AE151" s="129">
        <v>100.0</v>
      </c>
      <c r="AF151" s="130">
        <v>1.15</v>
      </c>
      <c r="AG151" s="60">
        <f t="shared" si="21"/>
        <v>11764.70588</v>
      </c>
      <c r="AH151" s="131" t="str">
        <f t="shared" si="16"/>
        <v>Matěj Nevyjel</v>
      </c>
      <c r="AI151" s="132">
        <f t="shared" si="22"/>
        <v>10000</v>
      </c>
      <c r="AJ151" s="105"/>
      <c r="AK151" s="64">
        <f t="shared" si="23"/>
        <v>0</v>
      </c>
      <c r="AL151" s="66">
        <f>IFERROR(__xludf.DUMMYFUNCTION("""COMPUTED_VALUE"""),0.0)</f>
        <v>0</v>
      </c>
      <c r="AM151" s="66">
        <f>IFERROR(__xludf.DUMMYFUNCTION("""COMPUTED_VALUE"""),0.0)</f>
        <v>0</v>
      </c>
      <c r="AN151" s="66">
        <f>IFERROR(__xludf.DUMMYFUNCTION("""COMPUTED_VALUE"""),0.0)</f>
        <v>0</v>
      </c>
    </row>
    <row r="152" ht="15.75" customHeight="1">
      <c r="A152" s="115" t="s">
        <v>118</v>
      </c>
      <c r="B152" s="134"/>
      <c r="C152" s="135">
        <f>IFERROR(__xludf.DUMMYFUNCTION("""COMPUTED_VALUE"""),0.0)</f>
        <v>0</v>
      </c>
      <c r="D152" s="136">
        <f>IFERROR(__xludf.DUMMYFUNCTION("""COMPUTED_VALUE"""),0.0)</f>
        <v>0</v>
      </c>
      <c r="E152" s="70">
        <f t="shared" si="17"/>
        <v>0</v>
      </c>
      <c r="F152" s="67"/>
      <c r="G152" s="120">
        <f>IFERROR(__xludf.DUMMYFUNCTION("""COMPUTED_VALUE"""),11.0)</f>
        <v>11</v>
      </c>
      <c r="H152" s="121">
        <f>IFERROR(__xludf.DUMMYFUNCTION("""COMPUTED_VALUE"""),1100.0)</f>
        <v>1100</v>
      </c>
      <c r="I152" s="122">
        <f t="shared" si="18"/>
        <v>1294.117647</v>
      </c>
      <c r="J152" s="137"/>
      <c r="K152" s="124">
        <f>IFERROR(__xludf.DUMMYFUNCTION("""COMPUTED_VALUE"""),52.0)</f>
        <v>52</v>
      </c>
      <c r="L152" s="121">
        <f>IFERROR(__xludf.DUMMYFUNCTION("""COMPUTED_VALUE"""),5200.0)</f>
        <v>5200</v>
      </c>
      <c r="M152" s="122">
        <f t="shared" si="19"/>
        <v>6117.647059</v>
      </c>
      <c r="N152" s="125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>
        <f t="shared" si="24"/>
        <v>80</v>
      </c>
      <c r="AC152" s="128">
        <f t="shared" ref="AC152:AD152" si="102">C152+G152+K152</f>
        <v>63</v>
      </c>
      <c r="AD152" s="57">
        <f t="shared" si="102"/>
        <v>6300</v>
      </c>
      <c r="AE152" s="129">
        <v>100.0</v>
      </c>
      <c r="AF152" s="130">
        <v>1.15</v>
      </c>
      <c r="AG152" s="60">
        <f t="shared" si="21"/>
        <v>7411.764706</v>
      </c>
      <c r="AH152" s="131" t="str">
        <f t="shared" si="16"/>
        <v>Lukáš Karhan</v>
      </c>
      <c r="AI152" s="132">
        <f t="shared" si="22"/>
        <v>6300</v>
      </c>
      <c r="AJ152" s="105"/>
      <c r="AK152" s="64">
        <f t="shared" si="23"/>
        <v>0</v>
      </c>
      <c r="AL152" s="66">
        <f>IFERROR(__xludf.DUMMYFUNCTION("""COMPUTED_VALUE"""),0.0)</f>
        <v>0</v>
      </c>
      <c r="AM152" s="66">
        <f>IFERROR(__xludf.DUMMYFUNCTION("""COMPUTED_VALUE"""),0.0)</f>
        <v>0</v>
      </c>
      <c r="AN152" s="66">
        <f>IFERROR(__xludf.DUMMYFUNCTION("""COMPUTED_VALUE"""),0.0)</f>
        <v>0</v>
      </c>
    </row>
    <row r="153" ht="15.75" customHeight="1">
      <c r="A153" s="115" t="s">
        <v>119</v>
      </c>
      <c r="B153" s="134"/>
      <c r="C153" s="135">
        <f>IFERROR(__xludf.DUMMYFUNCTION("""COMPUTED_VALUE"""),8.0)</f>
        <v>8</v>
      </c>
      <c r="D153" s="136">
        <f>IFERROR(__xludf.DUMMYFUNCTION("""COMPUTED_VALUE"""),800.0)</f>
        <v>800</v>
      </c>
      <c r="E153" s="70">
        <f t="shared" si="17"/>
        <v>941.1764706</v>
      </c>
      <c r="F153" s="67"/>
      <c r="G153" s="120">
        <f>IFERROR(__xludf.DUMMYFUNCTION("""COMPUTED_VALUE"""),0.0)</f>
        <v>0</v>
      </c>
      <c r="H153" s="121">
        <f>IFERROR(__xludf.DUMMYFUNCTION("""COMPUTED_VALUE"""),0.0)</f>
        <v>0</v>
      </c>
      <c r="I153" s="122">
        <f t="shared" si="18"/>
        <v>0</v>
      </c>
      <c r="J153" s="137"/>
      <c r="K153" s="124">
        <f>IFERROR(__xludf.DUMMYFUNCTION("""COMPUTED_VALUE"""),7.5)</f>
        <v>7.5</v>
      </c>
      <c r="L153" s="121">
        <f>IFERROR(__xludf.DUMMYFUNCTION("""COMPUTED_VALUE"""),750.0)</f>
        <v>750</v>
      </c>
      <c r="M153" s="122">
        <f t="shared" si="19"/>
        <v>882.3529412</v>
      </c>
      <c r="N153" s="125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>
        <f t="shared" si="24"/>
        <v>81</v>
      </c>
      <c r="AC153" s="128">
        <f t="shared" ref="AC153:AD153" si="103">C153+G153+K153</f>
        <v>15.5</v>
      </c>
      <c r="AD153" s="57">
        <f t="shared" si="103"/>
        <v>1550</v>
      </c>
      <c r="AE153" s="129">
        <v>100.0</v>
      </c>
      <c r="AF153" s="130">
        <v>1.15</v>
      </c>
      <c r="AG153" s="60">
        <f t="shared" si="21"/>
        <v>1823.529412</v>
      </c>
      <c r="AH153" s="131" t="str">
        <f t="shared" si="16"/>
        <v>Josef Heinisch</v>
      </c>
      <c r="AI153" s="132">
        <f t="shared" si="22"/>
        <v>1550</v>
      </c>
      <c r="AJ153" s="105"/>
      <c r="AK153" s="64">
        <f t="shared" si="23"/>
        <v>0</v>
      </c>
      <c r="AL153" s="66">
        <f>IFERROR(__xludf.DUMMYFUNCTION("""COMPUTED_VALUE"""),0.0)</f>
        <v>0</v>
      </c>
      <c r="AM153" s="66">
        <f>IFERROR(__xludf.DUMMYFUNCTION("""COMPUTED_VALUE"""),0.0)</f>
        <v>0</v>
      </c>
      <c r="AN153" s="66">
        <f>IFERROR(__xludf.DUMMYFUNCTION("""COMPUTED_VALUE"""),0.0)</f>
        <v>0</v>
      </c>
    </row>
    <row r="154" ht="15.75" customHeight="1">
      <c r="A154" s="115" t="s">
        <v>120</v>
      </c>
      <c r="B154" s="134"/>
      <c r="C154" s="135">
        <f>IFERROR(__xludf.DUMMYFUNCTION("""COMPUTED_VALUE"""),17.0)</f>
        <v>17</v>
      </c>
      <c r="D154" s="136">
        <f>IFERROR(__xludf.DUMMYFUNCTION("""COMPUTED_VALUE"""),1700.0)</f>
        <v>1700</v>
      </c>
      <c r="E154" s="70">
        <f t="shared" si="17"/>
        <v>2000</v>
      </c>
      <c r="F154" s="67"/>
      <c r="G154" s="120">
        <f>IFERROR(__xludf.DUMMYFUNCTION("""COMPUTED_VALUE"""),5.0)</f>
        <v>5</v>
      </c>
      <c r="H154" s="121">
        <f>IFERROR(__xludf.DUMMYFUNCTION("""COMPUTED_VALUE"""),500.0)</f>
        <v>500</v>
      </c>
      <c r="I154" s="122">
        <f t="shared" si="18"/>
        <v>588.2352941</v>
      </c>
      <c r="J154" s="137"/>
      <c r="K154" s="124">
        <f>IFERROR(__xludf.DUMMYFUNCTION("""COMPUTED_VALUE"""),0.0)</f>
        <v>0</v>
      </c>
      <c r="L154" s="121">
        <f>IFERROR(__xludf.DUMMYFUNCTION("""COMPUTED_VALUE"""),0.0)</f>
        <v>0</v>
      </c>
      <c r="M154" s="122">
        <f t="shared" si="19"/>
        <v>0</v>
      </c>
      <c r="N154" s="125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>
        <f t="shared" si="24"/>
        <v>82</v>
      </c>
      <c r="AC154" s="128">
        <f t="shared" ref="AC154:AD154" si="104">C154+G154+K154</f>
        <v>22</v>
      </c>
      <c r="AD154" s="57">
        <f t="shared" si="104"/>
        <v>2200</v>
      </c>
      <c r="AE154" s="129">
        <v>100.0</v>
      </c>
      <c r="AF154" s="130">
        <v>1.15</v>
      </c>
      <c r="AG154" s="60">
        <f t="shared" si="21"/>
        <v>2588.235294</v>
      </c>
      <c r="AH154" s="131" t="str">
        <f t="shared" si="16"/>
        <v>Jakub Elčkner</v>
      </c>
      <c r="AI154" s="132">
        <f t="shared" si="22"/>
        <v>2200</v>
      </c>
      <c r="AJ154" s="105"/>
      <c r="AK154" s="145">
        <f t="shared" si="23"/>
        <v>0</v>
      </c>
      <c r="AL154" s="66">
        <f>IFERROR(__xludf.DUMMYFUNCTION("""COMPUTED_VALUE"""),0.0)</f>
        <v>0</v>
      </c>
      <c r="AM154" s="66">
        <f>IFERROR(__xludf.DUMMYFUNCTION("""COMPUTED_VALUE"""),0.0)</f>
        <v>0</v>
      </c>
      <c r="AN154" s="66">
        <f>IFERROR(__xludf.DUMMYFUNCTION("""COMPUTED_VALUE"""),0.0)</f>
        <v>0</v>
      </c>
    </row>
    <row r="155" ht="15.75" customHeight="1">
      <c r="A155" s="138" t="s">
        <v>121</v>
      </c>
      <c r="B155" s="134"/>
      <c r="C155" s="135">
        <f>IFERROR(__xludf.DUMMYFUNCTION("""COMPUTED_VALUE"""),0.0)</f>
        <v>0</v>
      </c>
      <c r="D155" s="136">
        <f>IFERROR(__xludf.DUMMYFUNCTION("""COMPUTED_VALUE"""),0.0)</f>
        <v>0</v>
      </c>
      <c r="E155" s="70">
        <f t="shared" si="17"/>
        <v>0</v>
      </c>
      <c r="F155" s="67"/>
      <c r="G155" s="120">
        <f>IFERROR(__xludf.DUMMYFUNCTION("""COMPUTED_VALUE"""),10.0)</f>
        <v>10</v>
      </c>
      <c r="H155" s="121">
        <f>IFERROR(__xludf.DUMMYFUNCTION("""COMPUTED_VALUE"""),1000.0)</f>
        <v>1000</v>
      </c>
      <c r="I155" s="122">
        <f t="shared" si="18"/>
        <v>1176.470588</v>
      </c>
      <c r="J155" s="137"/>
      <c r="K155" s="124">
        <f>IFERROR(__xludf.DUMMYFUNCTION("""COMPUTED_VALUE"""),0.0)</f>
        <v>0</v>
      </c>
      <c r="L155" s="121">
        <f>IFERROR(__xludf.DUMMYFUNCTION("""COMPUTED_VALUE"""),0.0)</f>
        <v>0</v>
      </c>
      <c r="M155" s="122">
        <f t="shared" si="19"/>
        <v>0</v>
      </c>
      <c r="N155" s="125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>
        <f t="shared" si="24"/>
        <v>83</v>
      </c>
      <c r="AC155" s="128">
        <f t="shared" ref="AC155:AD155" si="105">C155+G155+K155</f>
        <v>10</v>
      </c>
      <c r="AD155" s="57">
        <f t="shared" si="105"/>
        <v>1000</v>
      </c>
      <c r="AE155" s="129">
        <v>100.0</v>
      </c>
      <c r="AF155" s="130">
        <v>1.15</v>
      </c>
      <c r="AG155" s="60">
        <f t="shared" si="21"/>
        <v>1176.470588</v>
      </c>
      <c r="AH155" s="131" t="str">
        <f t="shared" si="16"/>
        <v>Roman Aksenyuk-x</v>
      </c>
      <c r="AI155" s="132">
        <f t="shared" si="22"/>
        <v>1000</v>
      </c>
      <c r="AJ155" s="105"/>
      <c r="AK155" s="145">
        <f t="shared" si="23"/>
        <v>1000</v>
      </c>
      <c r="AL155" s="66">
        <f>IFERROR(__xludf.DUMMYFUNCTION("""COMPUTED_VALUE"""),0.0)</f>
        <v>0</v>
      </c>
      <c r="AM155" s="66">
        <f>IFERROR(__xludf.DUMMYFUNCTION("""COMPUTED_VALUE"""),1000.0)</f>
        <v>1000</v>
      </c>
      <c r="AN155" s="66">
        <f>IFERROR(__xludf.DUMMYFUNCTION("""COMPUTED_VALUE"""),0.0)</f>
        <v>0</v>
      </c>
    </row>
    <row r="156" ht="15.75" customHeight="1">
      <c r="A156" s="115" t="s">
        <v>122</v>
      </c>
      <c r="B156" s="134"/>
      <c r="C156" s="135">
        <f>IFERROR(__xludf.DUMMYFUNCTION("""COMPUTED_VALUE"""),0.0)</f>
        <v>0</v>
      </c>
      <c r="D156" s="136">
        <f>IFERROR(__xludf.DUMMYFUNCTION("""COMPUTED_VALUE"""),0.0)</f>
        <v>0</v>
      </c>
      <c r="E156" s="70">
        <f t="shared" si="17"/>
        <v>0</v>
      </c>
      <c r="F156" s="67"/>
      <c r="G156" s="120">
        <f>IFERROR(__xludf.DUMMYFUNCTION("""COMPUTED_VALUE"""),13.0)</f>
        <v>13</v>
      </c>
      <c r="H156" s="121">
        <f>IFERROR(__xludf.DUMMYFUNCTION("""COMPUTED_VALUE"""),1300.0)</f>
        <v>1300</v>
      </c>
      <c r="I156" s="122">
        <f t="shared" si="18"/>
        <v>1529.411765</v>
      </c>
      <c r="J156" s="137"/>
      <c r="K156" s="124">
        <f>IFERROR(__xludf.DUMMYFUNCTION("""COMPUTED_VALUE"""),8.0)</f>
        <v>8</v>
      </c>
      <c r="L156" s="121">
        <f>IFERROR(__xludf.DUMMYFUNCTION("""COMPUTED_VALUE"""),800.0)</f>
        <v>800</v>
      </c>
      <c r="M156" s="122">
        <f t="shared" si="19"/>
        <v>941.1764706</v>
      </c>
      <c r="N156" s="125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>
        <f t="shared" si="24"/>
        <v>84</v>
      </c>
      <c r="AC156" s="128">
        <f t="shared" ref="AC156:AD156" si="106">C156+G156+K156</f>
        <v>21</v>
      </c>
      <c r="AD156" s="57">
        <f t="shared" si="106"/>
        <v>2100</v>
      </c>
      <c r="AE156" s="129">
        <v>100.0</v>
      </c>
      <c r="AF156" s="130">
        <v>1.15</v>
      </c>
      <c r="AG156" s="60">
        <f t="shared" si="21"/>
        <v>2470.588235</v>
      </c>
      <c r="AH156" s="131" t="str">
        <f t="shared" si="16"/>
        <v>Aleš Valenta-x</v>
      </c>
      <c r="AI156" s="132">
        <f t="shared" si="22"/>
        <v>2100</v>
      </c>
      <c r="AJ156" s="105"/>
      <c r="AK156" s="145">
        <f t="shared" si="23"/>
        <v>0</v>
      </c>
      <c r="AL156" s="66">
        <f>IFERROR(__xludf.DUMMYFUNCTION("""COMPUTED_VALUE"""),0.0)</f>
        <v>0</v>
      </c>
      <c r="AM156" s="66">
        <f>IFERROR(__xludf.DUMMYFUNCTION("""COMPUTED_VALUE"""),0.0)</f>
        <v>0</v>
      </c>
      <c r="AN156" s="66">
        <f>IFERROR(__xludf.DUMMYFUNCTION("""COMPUTED_VALUE"""),0.0)</f>
        <v>0</v>
      </c>
    </row>
    <row r="157" ht="15.75" customHeight="1">
      <c r="A157" s="115" t="s">
        <v>123</v>
      </c>
      <c r="B157" s="134"/>
      <c r="C157" s="135">
        <f>IFERROR(__xludf.DUMMYFUNCTION("""COMPUTED_VALUE"""),4.5)</f>
        <v>4.5</v>
      </c>
      <c r="D157" s="136">
        <f>IFERROR(__xludf.DUMMYFUNCTION("""COMPUTED_VALUE"""),450.0)</f>
        <v>450</v>
      </c>
      <c r="E157" s="70">
        <f t="shared" si="17"/>
        <v>529.4117647</v>
      </c>
      <c r="F157" s="67"/>
      <c r="G157" s="120">
        <f>IFERROR(__xludf.DUMMYFUNCTION("""COMPUTED_VALUE"""),103.5)</f>
        <v>103.5</v>
      </c>
      <c r="H157" s="121">
        <f>IFERROR(__xludf.DUMMYFUNCTION("""COMPUTED_VALUE"""),10350.0)</f>
        <v>10350</v>
      </c>
      <c r="I157" s="122">
        <f t="shared" si="18"/>
        <v>12176.47059</v>
      </c>
      <c r="J157" s="137"/>
      <c r="K157" s="124">
        <f>IFERROR(__xludf.DUMMYFUNCTION("""COMPUTED_VALUE"""),3.0)</f>
        <v>3</v>
      </c>
      <c r="L157" s="121">
        <f>IFERROR(__xludf.DUMMYFUNCTION("""COMPUTED_VALUE"""),300.0)</f>
        <v>300</v>
      </c>
      <c r="M157" s="122">
        <f t="shared" si="19"/>
        <v>352.9411765</v>
      </c>
      <c r="N157" s="125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>
        <f t="shared" si="24"/>
        <v>85</v>
      </c>
      <c r="AC157" s="128">
        <f t="shared" ref="AC157:AD157" si="107">C157+G157+K157</f>
        <v>111</v>
      </c>
      <c r="AD157" s="57">
        <f t="shared" si="107"/>
        <v>11100</v>
      </c>
      <c r="AE157" s="129">
        <v>100.0</v>
      </c>
      <c r="AF157" s="130">
        <v>1.15</v>
      </c>
      <c r="AG157" s="60">
        <f t="shared" si="21"/>
        <v>13058.82353</v>
      </c>
      <c r="AH157" s="131" t="str">
        <f t="shared" si="16"/>
        <v>Kristýna Salvatore</v>
      </c>
      <c r="AI157" s="132">
        <f t="shared" si="22"/>
        <v>11100</v>
      </c>
      <c r="AJ157" s="105"/>
      <c r="AK157" s="145">
        <f t="shared" si="23"/>
        <v>0</v>
      </c>
      <c r="AL157" s="66">
        <f>IFERROR(__xludf.DUMMYFUNCTION("""COMPUTED_VALUE"""),0.0)</f>
        <v>0</v>
      </c>
      <c r="AM157" s="66">
        <f>IFERROR(__xludf.DUMMYFUNCTION("""COMPUTED_VALUE"""),0.0)</f>
        <v>0</v>
      </c>
      <c r="AN157" s="66">
        <f>IFERROR(__xludf.DUMMYFUNCTION("""COMPUTED_VALUE"""),0.0)</f>
        <v>0</v>
      </c>
    </row>
    <row r="158" ht="15.75" customHeight="1">
      <c r="A158" s="115" t="s">
        <v>124</v>
      </c>
      <c r="B158" s="134"/>
      <c r="C158" s="135">
        <f>IFERROR(__xludf.DUMMYFUNCTION("""COMPUTED_VALUE"""),15.5)</f>
        <v>15.5</v>
      </c>
      <c r="D158" s="136">
        <f>IFERROR(__xludf.DUMMYFUNCTION("""COMPUTED_VALUE"""),1550.0)</f>
        <v>1550</v>
      </c>
      <c r="E158" s="70">
        <f t="shared" si="17"/>
        <v>1823.529412</v>
      </c>
      <c r="F158" s="67"/>
      <c r="G158" s="120">
        <f>IFERROR(__xludf.DUMMYFUNCTION("""COMPUTED_VALUE"""),0.0)</f>
        <v>0</v>
      </c>
      <c r="H158" s="121">
        <f>IFERROR(__xludf.DUMMYFUNCTION("""COMPUTED_VALUE"""),0.0)</f>
        <v>0</v>
      </c>
      <c r="I158" s="122">
        <f t="shared" si="18"/>
        <v>0</v>
      </c>
      <c r="J158" s="137"/>
      <c r="K158" s="124">
        <f>IFERROR(__xludf.DUMMYFUNCTION("""COMPUTED_VALUE"""),0.0)</f>
        <v>0</v>
      </c>
      <c r="L158" s="121">
        <f>IFERROR(__xludf.DUMMYFUNCTION("""COMPUTED_VALUE"""),0.0)</f>
        <v>0</v>
      </c>
      <c r="M158" s="122">
        <f t="shared" si="19"/>
        <v>0</v>
      </c>
      <c r="N158" s="125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>
        <f t="shared" si="24"/>
        <v>86</v>
      </c>
      <c r="AC158" s="128">
        <f t="shared" ref="AC158:AD158" si="108">C158+G158+K158</f>
        <v>15.5</v>
      </c>
      <c r="AD158" s="57">
        <f t="shared" si="108"/>
        <v>1550</v>
      </c>
      <c r="AE158" s="129">
        <v>100.0</v>
      </c>
      <c r="AF158" s="130">
        <v>1.15</v>
      </c>
      <c r="AG158" s="60">
        <f t="shared" si="21"/>
        <v>1823.529412</v>
      </c>
      <c r="AH158" s="131" t="str">
        <f t="shared" si="16"/>
        <v>Adéla Janáčková</v>
      </c>
      <c r="AI158" s="132">
        <f t="shared" si="22"/>
        <v>1550</v>
      </c>
      <c r="AJ158" s="105"/>
      <c r="AK158" s="145">
        <f t="shared" si="23"/>
        <v>0</v>
      </c>
      <c r="AL158" s="66">
        <f>IFERROR(__xludf.DUMMYFUNCTION("""COMPUTED_VALUE"""),0.0)</f>
        <v>0</v>
      </c>
      <c r="AM158" s="66">
        <f>IFERROR(__xludf.DUMMYFUNCTION("""COMPUTED_VALUE"""),0.0)</f>
        <v>0</v>
      </c>
      <c r="AN158" s="66">
        <f>IFERROR(__xludf.DUMMYFUNCTION("""COMPUTED_VALUE"""),0.0)</f>
        <v>0</v>
      </c>
    </row>
    <row r="159" ht="15.75" customHeight="1">
      <c r="A159" s="115" t="s">
        <v>125</v>
      </c>
      <c r="B159" s="134"/>
      <c r="C159" s="135">
        <f>IFERROR(__xludf.DUMMYFUNCTION("""COMPUTED_VALUE"""),4.5)</f>
        <v>4.5</v>
      </c>
      <c r="D159" s="136">
        <f>IFERROR(__xludf.DUMMYFUNCTION("""COMPUTED_VALUE"""),450.0)</f>
        <v>450</v>
      </c>
      <c r="E159" s="70">
        <f t="shared" si="17"/>
        <v>529.4117647</v>
      </c>
      <c r="F159" s="67"/>
      <c r="G159" s="120">
        <f>IFERROR(__xludf.DUMMYFUNCTION("""COMPUTED_VALUE"""),0.0)</f>
        <v>0</v>
      </c>
      <c r="H159" s="121">
        <f>IFERROR(__xludf.DUMMYFUNCTION("""COMPUTED_VALUE"""),0.0)</f>
        <v>0</v>
      </c>
      <c r="I159" s="122">
        <f t="shared" si="18"/>
        <v>0</v>
      </c>
      <c r="J159" s="137"/>
      <c r="K159" s="124">
        <f>IFERROR(__xludf.DUMMYFUNCTION("""COMPUTED_VALUE"""),0.0)</f>
        <v>0</v>
      </c>
      <c r="L159" s="121">
        <f>IFERROR(__xludf.DUMMYFUNCTION("""COMPUTED_VALUE"""),0.0)</f>
        <v>0</v>
      </c>
      <c r="M159" s="122">
        <f t="shared" si="19"/>
        <v>0</v>
      </c>
      <c r="N159" s="125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>
        <f t="shared" si="24"/>
        <v>87</v>
      </c>
      <c r="AC159" s="128">
        <f t="shared" ref="AC159:AD159" si="109">C159+G159+K159</f>
        <v>4.5</v>
      </c>
      <c r="AD159" s="57">
        <f t="shared" si="109"/>
        <v>450</v>
      </c>
      <c r="AE159" s="129">
        <v>100.0</v>
      </c>
      <c r="AF159" s="130">
        <v>1.15</v>
      </c>
      <c r="AG159" s="60">
        <f t="shared" si="21"/>
        <v>529.4117647</v>
      </c>
      <c r="AH159" s="131" t="str">
        <f t="shared" si="16"/>
        <v>Martin Sajdl</v>
      </c>
      <c r="AI159" s="132">
        <f t="shared" si="22"/>
        <v>450</v>
      </c>
      <c r="AJ159" s="105"/>
      <c r="AK159" s="145">
        <f t="shared" si="23"/>
        <v>450</v>
      </c>
      <c r="AL159" s="66">
        <f>IFERROR(__xludf.DUMMYFUNCTION("""COMPUTED_VALUE"""),450.0)</f>
        <v>450</v>
      </c>
      <c r="AM159" s="66">
        <f>IFERROR(__xludf.DUMMYFUNCTION("""COMPUTED_VALUE"""),0.0)</f>
        <v>0</v>
      </c>
      <c r="AN159" s="66">
        <f>IFERROR(__xludf.DUMMYFUNCTION("""COMPUTED_VALUE"""),0.0)</f>
        <v>0</v>
      </c>
    </row>
    <row r="160" ht="15.75" customHeight="1">
      <c r="A160" s="115" t="s">
        <v>126</v>
      </c>
      <c r="B160" s="134"/>
      <c r="C160" s="135">
        <f>IFERROR(__xludf.DUMMYFUNCTION("""COMPUTED_VALUE"""),0.0)</f>
        <v>0</v>
      </c>
      <c r="D160" s="136">
        <f>IFERROR(__xludf.DUMMYFUNCTION("""COMPUTED_VALUE"""),0.0)</f>
        <v>0</v>
      </c>
      <c r="E160" s="70">
        <f t="shared" si="17"/>
        <v>0</v>
      </c>
      <c r="F160" s="67"/>
      <c r="G160" s="120">
        <f>IFERROR(__xludf.DUMMYFUNCTION("""COMPUTED_VALUE"""),34.0)</f>
        <v>34</v>
      </c>
      <c r="H160" s="121">
        <f>IFERROR(__xludf.DUMMYFUNCTION("""COMPUTED_VALUE"""),3400.0)</f>
        <v>3400</v>
      </c>
      <c r="I160" s="122">
        <f t="shared" si="18"/>
        <v>4000</v>
      </c>
      <c r="J160" s="137"/>
      <c r="K160" s="124">
        <f>IFERROR(__xludf.DUMMYFUNCTION("""COMPUTED_VALUE"""),0.0)</f>
        <v>0</v>
      </c>
      <c r="L160" s="121">
        <f>IFERROR(__xludf.DUMMYFUNCTION("""COMPUTED_VALUE"""),0.0)</f>
        <v>0</v>
      </c>
      <c r="M160" s="122">
        <f t="shared" si="19"/>
        <v>0</v>
      </c>
      <c r="N160" s="125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>
        <f t="shared" si="24"/>
        <v>88</v>
      </c>
      <c r="AC160" s="128">
        <f t="shared" ref="AC160:AD160" si="110">C160+G160+K160</f>
        <v>34</v>
      </c>
      <c r="AD160" s="57">
        <f t="shared" si="110"/>
        <v>3400</v>
      </c>
      <c r="AE160" s="129">
        <v>100.0</v>
      </c>
      <c r="AF160" s="130">
        <v>1.15</v>
      </c>
      <c r="AG160" s="60">
        <f t="shared" si="21"/>
        <v>4000</v>
      </c>
      <c r="AH160" s="131" t="str">
        <f t="shared" si="16"/>
        <v>Zdeněk Diviš</v>
      </c>
      <c r="AI160" s="132">
        <f t="shared" si="22"/>
        <v>3400</v>
      </c>
      <c r="AJ160" s="105"/>
      <c r="AK160" s="145">
        <f t="shared" si="23"/>
        <v>0</v>
      </c>
      <c r="AL160" s="66">
        <f>IFERROR(__xludf.DUMMYFUNCTION("""COMPUTED_VALUE"""),0.0)</f>
        <v>0</v>
      </c>
      <c r="AM160" s="66">
        <f>IFERROR(__xludf.DUMMYFUNCTION("""COMPUTED_VALUE"""),0.0)</f>
        <v>0</v>
      </c>
      <c r="AN160" s="66">
        <f>IFERROR(__xludf.DUMMYFUNCTION("""COMPUTED_VALUE"""),0.0)</f>
        <v>0</v>
      </c>
    </row>
    <row r="161" ht="15.75" customHeight="1">
      <c r="A161" s="115" t="s">
        <v>127</v>
      </c>
      <c r="B161" s="134"/>
      <c r="C161" s="135">
        <f>IFERROR(__xludf.DUMMYFUNCTION("""COMPUTED_VALUE"""),32.0)</f>
        <v>32</v>
      </c>
      <c r="D161" s="136">
        <f>IFERROR(__xludf.DUMMYFUNCTION("""COMPUTED_VALUE"""),3200.0)</f>
        <v>3200</v>
      </c>
      <c r="E161" s="70">
        <f t="shared" si="17"/>
        <v>3764.705882</v>
      </c>
      <c r="F161" s="67"/>
      <c r="G161" s="120">
        <f>IFERROR(__xludf.DUMMYFUNCTION("""COMPUTED_VALUE"""),27.5)</f>
        <v>27.5</v>
      </c>
      <c r="H161" s="121">
        <f>IFERROR(__xludf.DUMMYFUNCTION("""COMPUTED_VALUE"""),2750.0)</f>
        <v>2750</v>
      </c>
      <c r="I161" s="122">
        <f t="shared" si="18"/>
        <v>3235.294118</v>
      </c>
      <c r="J161" s="137"/>
      <c r="K161" s="124">
        <f>IFERROR(__xludf.DUMMYFUNCTION("""COMPUTED_VALUE"""),22.0)</f>
        <v>22</v>
      </c>
      <c r="L161" s="121">
        <f>IFERROR(__xludf.DUMMYFUNCTION("""COMPUTED_VALUE"""),2200.0)</f>
        <v>2200</v>
      </c>
      <c r="M161" s="122">
        <f t="shared" si="19"/>
        <v>2588.235294</v>
      </c>
      <c r="N161" s="125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>
        <f t="shared" si="24"/>
        <v>89</v>
      </c>
      <c r="AC161" s="128">
        <f t="shared" ref="AC161:AD161" si="111">C161+G161+K161</f>
        <v>81.5</v>
      </c>
      <c r="AD161" s="57">
        <f t="shared" si="111"/>
        <v>8150</v>
      </c>
      <c r="AE161" s="129">
        <v>100.0</v>
      </c>
      <c r="AF161" s="130">
        <v>1.15</v>
      </c>
      <c r="AG161" s="60">
        <f t="shared" si="21"/>
        <v>9588.235294</v>
      </c>
      <c r="AH161" s="131" t="str">
        <f t="shared" si="16"/>
        <v>Anna Demčáková</v>
      </c>
      <c r="AI161" s="132">
        <f t="shared" si="22"/>
        <v>8150</v>
      </c>
      <c r="AJ161" s="105"/>
      <c r="AK161" s="145">
        <f t="shared" si="23"/>
        <v>0</v>
      </c>
      <c r="AL161" s="66">
        <f>IFERROR(__xludf.DUMMYFUNCTION("""COMPUTED_VALUE"""),0.0)</f>
        <v>0</v>
      </c>
      <c r="AM161" s="66">
        <f>IFERROR(__xludf.DUMMYFUNCTION("""COMPUTED_VALUE"""),0.0)</f>
        <v>0</v>
      </c>
      <c r="AN161" s="66">
        <f>IFERROR(__xludf.DUMMYFUNCTION("""COMPUTED_VALUE"""),0.0)</f>
        <v>0</v>
      </c>
    </row>
    <row r="162" ht="15.75" customHeight="1">
      <c r="A162" s="115" t="s">
        <v>128</v>
      </c>
      <c r="B162" s="134"/>
      <c r="C162" s="135">
        <f>IFERROR(__xludf.DUMMYFUNCTION("""COMPUTED_VALUE"""),0.0)</f>
        <v>0</v>
      </c>
      <c r="D162" s="136">
        <f>IFERROR(__xludf.DUMMYFUNCTION("""COMPUTED_VALUE"""),0.0)</f>
        <v>0</v>
      </c>
      <c r="E162" s="70">
        <f t="shared" si="17"/>
        <v>0</v>
      </c>
      <c r="F162" s="67"/>
      <c r="G162" s="120">
        <f>IFERROR(__xludf.DUMMYFUNCTION("""COMPUTED_VALUE"""),3.0)</f>
        <v>3</v>
      </c>
      <c r="H162" s="121">
        <f>IFERROR(__xludf.DUMMYFUNCTION("""COMPUTED_VALUE"""),300.0)</f>
        <v>300</v>
      </c>
      <c r="I162" s="122">
        <f t="shared" si="18"/>
        <v>352.9411765</v>
      </c>
      <c r="J162" s="137"/>
      <c r="K162" s="124">
        <f>IFERROR(__xludf.DUMMYFUNCTION("""COMPUTED_VALUE"""),0.0)</f>
        <v>0</v>
      </c>
      <c r="L162" s="121">
        <f>IFERROR(__xludf.DUMMYFUNCTION("""COMPUTED_VALUE"""),0.0)</f>
        <v>0</v>
      </c>
      <c r="M162" s="122">
        <f t="shared" si="19"/>
        <v>0</v>
      </c>
      <c r="N162" s="125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>
        <f t="shared" si="24"/>
        <v>90</v>
      </c>
      <c r="AC162" s="128">
        <f t="shared" ref="AC162:AD162" si="112">C162+G162+K162</f>
        <v>3</v>
      </c>
      <c r="AD162" s="57">
        <f t="shared" si="112"/>
        <v>300</v>
      </c>
      <c r="AE162" s="129">
        <v>100.0</v>
      </c>
      <c r="AF162" s="130">
        <v>1.15</v>
      </c>
      <c r="AG162" s="60">
        <f t="shared" si="21"/>
        <v>352.9411765</v>
      </c>
      <c r="AH162" s="131" t="str">
        <f t="shared" si="16"/>
        <v>Ondřej Hodik-x</v>
      </c>
      <c r="AI162" s="132">
        <f t="shared" si="22"/>
        <v>300</v>
      </c>
      <c r="AJ162" s="105"/>
      <c r="AK162" s="145">
        <f t="shared" si="23"/>
        <v>300</v>
      </c>
      <c r="AL162" s="66">
        <f>IFERROR(__xludf.DUMMYFUNCTION("""COMPUTED_VALUE"""),0.0)</f>
        <v>0</v>
      </c>
      <c r="AM162" s="66">
        <f>IFERROR(__xludf.DUMMYFUNCTION("""COMPUTED_VALUE"""),300.0)</f>
        <v>300</v>
      </c>
      <c r="AN162" s="66">
        <f>IFERROR(__xludf.DUMMYFUNCTION("""COMPUTED_VALUE"""),0.0)</f>
        <v>0</v>
      </c>
    </row>
    <row r="163" ht="15.75" customHeight="1">
      <c r="A163" s="115" t="s">
        <v>129</v>
      </c>
      <c r="B163" s="134"/>
      <c r="C163" s="135">
        <f>IFERROR(__xludf.DUMMYFUNCTION("""COMPUTED_VALUE"""),49.0)</f>
        <v>49</v>
      </c>
      <c r="D163" s="136">
        <f>IFERROR(__xludf.DUMMYFUNCTION("""COMPUTED_VALUE"""),4900.0)</f>
        <v>4900</v>
      </c>
      <c r="E163" s="70">
        <f t="shared" si="17"/>
        <v>5764.705882</v>
      </c>
      <c r="F163" s="67"/>
      <c r="G163" s="120">
        <f>IFERROR(__xludf.DUMMYFUNCTION("""COMPUTED_VALUE"""),46.0)</f>
        <v>46</v>
      </c>
      <c r="H163" s="121">
        <f>IFERROR(__xludf.DUMMYFUNCTION("""COMPUTED_VALUE"""),4600.0)</f>
        <v>4600</v>
      </c>
      <c r="I163" s="122">
        <f t="shared" si="18"/>
        <v>5411.764706</v>
      </c>
      <c r="J163" s="137"/>
      <c r="K163" s="124">
        <f>IFERROR(__xludf.DUMMYFUNCTION("""COMPUTED_VALUE"""),0.0)</f>
        <v>0</v>
      </c>
      <c r="L163" s="121">
        <f>IFERROR(__xludf.DUMMYFUNCTION("""COMPUTED_VALUE"""),0.0)</f>
        <v>0</v>
      </c>
      <c r="M163" s="122">
        <f t="shared" si="19"/>
        <v>0</v>
      </c>
      <c r="N163" s="125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>
        <f t="shared" si="24"/>
        <v>91</v>
      </c>
      <c r="AC163" s="128">
        <f t="shared" ref="AC163:AD163" si="113">C163+G163+K163</f>
        <v>95</v>
      </c>
      <c r="AD163" s="57">
        <f t="shared" si="113"/>
        <v>9500</v>
      </c>
      <c r="AE163" s="129">
        <v>100.0</v>
      </c>
      <c r="AF163" s="130">
        <v>1.15</v>
      </c>
      <c r="AG163" s="60">
        <f t="shared" si="21"/>
        <v>11176.47059</v>
      </c>
      <c r="AH163" s="131" t="str">
        <f t="shared" si="16"/>
        <v>Martin Horký</v>
      </c>
      <c r="AI163" s="132">
        <f t="shared" si="22"/>
        <v>9500</v>
      </c>
      <c r="AJ163" s="105"/>
      <c r="AK163" s="145">
        <f t="shared" si="23"/>
        <v>1600</v>
      </c>
      <c r="AL163" s="66">
        <f>IFERROR(__xludf.DUMMYFUNCTION("""COMPUTED_VALUE"""),0.0)</f>
        <v>0</v>
      </c>
      <c r="AM163" s="66">
        <f>IFERROR(__xludf.DUMMYFUNCTION("""COMPUTED_VALUE"""),1600.0)</f>
        <v>1600</v>
      </c>
      <c r="AN163" s="66">
        <f>IFERROR(__xludf.DUMMYFUNCTION("""COMPUTED_VALUE"""),0.0)</f>
        <v>0</v>
      </c>
    </row>
    <row r="164" ht="15.75" customHeight="1">
      <c r="A164" s="115" t="s">
        <v>130</v>
      </c>
      <c r="B164" s="134"/>
      <c r="C164" s="135">
        <f>IFERROR(__xludf.DUMMYFUNCTION("""COMPUTED_VALUE"""),26.0)</f>
        <v>26</v>
      </c>
      <c r="D164" s="136">
        <f>IFERROR(__xludf.DUMMYFUNCTION("""COMPUTED_VALUE"""),2600.0)</f>
        <v>2600</v>
      </c>
      <c r="E164" s="70">
        <f t="shared" si="17"/>
        <v>3058.823529</v>
      </c>
      <c r="F164" s="67"/>
      <c r="G164" s="120">
        <f>IFERROR(__xludf.DUMMYFUNCTION("""COMPUTED_VALUE"""),0.0)</f>
        <v>0</v>
      </c>
      <c r="H164" s="121">
        <f>IFERROR(__xludf.DUMMYFUNCTION("""COMPUTED_VALUE"""),0.0)</f>
        <v>0</v>
      </c>
      <c r="I164" s="122">
        <f t="shared" si="18"/>
        <v>0</v>
      </c>
      <c r="J164" s="137"/>
      <c r="K164" s="124">
        <f>IFERROR(__xludf.DUMMYFUNCTION("""COMPUTED_VALUE"""),0.0)</f>
        <v>0</v>
      </c>
      <c r="L164" s="121">
        <f>IFERROR(__xludf.DUMMYFUNCTION("""COMPUTED_VALUE"""),0.0)</f>
        <v>0</v>
      </c>
      <c r="M164" s="122">
        <f t="shared" si="19"/>
        <v>0</v>
      </c>
      <c r="N164" s="125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>
        <f t="shared" si="24"/>
        <v>92</v>
      </c>
      <c r="AC164" s="128">
        <f t="shared" ref="AC164:AD164" si="114">C164+G164+K164</f>
        <v>26</v>
      </c>
      <c r="AD164" s="57">
        <f t="shared" si="114"/>
        <v>2600</v>
      </c>
      <c r="AE164" s="129">
        <v>100.0</v>
      </c>
      <c r="AF164" s="130">
        <v>1.15</v>
      </c>
      <c r="AG164" s="60">
        <f t="shared" si="21"/>
        <v>3058.823529</v>
      </c>
      <c r="AH164" s="131" t="str">
        <f t="shared" si="16"/>
        <v>Martin Mann</v>
      </c>
      <c r="AI164" s="132">
        <f t="shared" si="22"/>
        <v>2600</v>
      </c>
      <c r="AJ164" s="105"/>
      <c r="AK164" s="145">
        <f t="shared" si="23"/>
        <v>1150</v>
      </c>
      <c r="AL164" s="66">
        <f>IFERROR(__xludf.DUMMYFUNCTION("""COMPUTED_VALUE"""),1150.0)</f>
        <v>1150</v>
      </c>
      <c r="AM164" s="66">
        <f>IFERROR(__xludf.DUMMYFUNCTION("""COMPUTED_VALUE"""),0.0)</f>
        <v>0</v>
      </c>
      <c r="AN164" s="66">
        <f>IFERROR(__xludf.DUMMYFUNCTION("""COMPUTED_VALUE"""),0.0)</f>
        <v>0</v>
      </c>
    </row>
    <row r="165" ht="15.75" customHeight="1">
      <c r="A165" s="115" t="s">
        <v>131</v>
      </c>
      <c r="B165" s="134"/>
      <c r="C165" s="135">
        <f>IFERROR(__xludf.DUMMYFUNCTION("""COMPUTED_VALUE"""),0.0)</f>
        <v>0</v>
      </c>
      <c r="D165" s="136">
        <f>IFERROR(__xludf.DUMMYFUNCTION("""COMPUTED_VALUE"""),0.0)</f>
        <v>0</v>
      </c>
      <c r="E165" s="70">
        <f t="shared" si="17"/>
        <v>0</v>
      </c>
      <c r="F165" s="67"/>
      <c r="G165" s="120">
        <f>IFERROR(__xludf.DUMMYFUNCTION("""COMPUTED_VALUE"""),0.0)</f>
        <v>0</v>
      </c>
      <c r="H165" s="121">
        <f>IFERROR(__xludf.DUMMYFUNCTION("""COMPUTED_VALUE"""),0.0)</f>
        <v>0</v>
      </c>
      <c r="I165" s="122">
        <f t="shared" si="18"/>
        <v>0</v>
      </c>
      <c r="J165" s="137"/>
      <c r="K165" s="124">
        <f>IFERROR(__xludf.DUMMYFUNCTION("""COMPUTED_VALUE"""),6.5)</f>
        <v>6.5</v>
      </c>
      <c r="L165" s="121">
        <f>IFERROR(__xludf.DUMMYFUNCTION("""COMPUTED_VALUE"""),650.0)</f>
        <v>650</v>
      </c>
      <c r="M165" s="122">
        <f t="shared" si="19"/>
        <v>764.7058824</v>
      </c>
      <c r="N165" s="125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>
        <f t="shared" si="24"/>
        <v>93</v>
      </c>
      <c r="AC165" s="128">
        <f t="shared" ref="AC165:AD165" si="115">C165+G165+K165</f>
        <v>6.5</v>
      </c>
      <c r="AD165" s="57">
        <f t="shared" si="115"/>
        <v>650</v>
      </c>
      <c r="AE165" s="129">
        <v>100.0</v>
      </c>
      <c r="AF165" s="130">
        <v>1.15</v>
      </c>
      <c r="AG165" s="60">
        <f t="shared" si="21"/>
        <v>764.7058824</v>
      </c>
      <c r="AH165" s="131" t="str">
        <f t="shared" si="16"/>
        <v>Jan Svítil</v>
      </c>
      <c r="AI165" s="132">
        <f t="shared" si="22"/>
        <v>650</v>
      </c>
      <c r="AJ165" s="105"/>
      <c r="AK165" s="145">
        <f t="shared" si="23"/>
        <v>0</v>
      </c>
      <c r="AL165" s="66">
        <f>IFERROR(__xludf.DUMMYFUNCTION("""COMPUTED_VALUE"""),0.0)</f>
        <v>0</v>
      </c>
      <c r="AM165" s="66">
        <f>IFERROR(__xludf.DUMMYFUNCTION("""COMPUTED_VALUE"""),0.0)</f>
        <v>0</v>
      </c>
      <c r="AN165" s="66">
        <f>IFERROR(__xludf.DUMMYFUNCTION("""COMPUTED_VALUE"""),0.0)</f>
        <v>0</v>
      </c>
    </row>
    <row r="166" ht="15.75" customHeight="1">
      <c r="A166" s="115" t="s">
        <v>132</v>
      </c>
      <c r="B166" s="134"/>
      <c r="C166" s="135">
        <f>IFERROR(__xludf.DUMMYFUNCTION("""COMPUTED_VALUE"""),0.0)</f>
        <v>0</v>
      </c>
      <c r="D166" s="136">
        <f>IFERROR(__xludf.DUMMYFUNCTION("""COMPUTED_VALUE"""),0.0)</f>
        <v>0</v>
      </c>
      <c r="E166" s="70">
        <f t="shared" si="17"/>
        <v>0</v>
      </c>
      <c r="F166" s="67"/>
      <c r="G166" s="120">
        <f>IFERROR(__xludf.DUMMYFUNCTION("""COMPUTED_VALUE"""),8.0)</f>
        <v>8</v>
      </c>
      <c r="H166" s="121">
        <f>IFERROR(__xludf.DUMMYFUNCTION("""COMPUTED_VALUE"""),800.0)</f>
        <v>800</v>
      </c>
      <c r="I166" s="122">
        <f t="shared" si="18"/>
        <v>941.1764706</v>
      </c>
      <c r="J166" s="137"/>
      <c r="K166" s="124">
        <f>IFERROR(__xludf.DUMMYFUNCTION("""COMPUTED_VALUE"""),0.0)</f>
        <v>0</v>
      </c>
      <c r="L166" s="121">
        <f>IFERROR(__xludf.DUMMYFUNCTION("""COMPUTED_VALUE"""),0.0)</f>
        <v>0</v>
      </c>
      <c r="M166" s="122">
        <f t="shared" si="19"/>
        <v>0</v>
      </c>
      <c r="N166" s="125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>
        <f t="shared" si="24"/>
        <v>94</v>
      </c>
      <c r="AC166" s="128">
        <f t="shared" ref="AC166:AD166" si="116">C166+G166+K166</f>
        <v>8</v>
      </c>
      <c r="AD166" s="57">
        <f t="shared" si="116"/>
        <v>800</v>
      </c>
      <c r="AE166" s="129">
        <v>100.0</v>
      </c>
      <c r="AF166" s="130">
        <v>1.15</v>
      </c>
      <c r="AG166" s="60">
        <f t="shared" si="21"/>
        <v>941.1764706</v>
      </c>
      <c r="AH166" s="131" t="str">
        <f t="shared" si="16"/>
        <v>Ondřej Huňák</v>
      </c>
      <c r="AI166" s="132">
        <f t="shared" si="22"/>
        <v>800</v>
      </c>
      <c r="AJ166" s="105"/>
      <c r="AK166" s="145">
        <f t="shared" si="23"/>
        <v>0</v>
      </c>
      <c r="AL166" s="66">
        <f>IFERROR(__xludf.DUMMYFUNCTION("""COMPUTED_VALUE"""),0.0)</f>
        <v>0</v>
      </c>
      <c r="AM166" s="66">
        <f>IFERROR(__xludf.DUMMYFUNCTION("""COMPUTED_VALUE"""),0.0)</f>
        <v>0</v>
      </c>
      <c r="AN166" s="66">
        <f>IFERROR(__xludf.DUMMYFUNCTION("""COMPUTED_VALUE"""),0.0)</f>
        <v>0</v>
      </c>
    </row>
    <row r="167" ht="15.75" customHeight="1">
      <c r="A167" s="115" t="s">
        <v>133</v>
      </c>
      <c r="B167" s="134"/>
      <c r="C167" s="135">
        <f>IFERROR(__xludf.DUMMYFUNCTION("""COMPUTED_VALUE"""),0.0)</f>
        <v>0</v>
      </c>
      <c r="D167" s="136">
        <f>IFERROR(__xludf.DUMMYFUNCTION("""COMPUTED_VALUE"""),0.0)</f>
        <v>0</v>
      </c>
      <c r="E167" s="70">
        <f t="shared" si="17"/>
        <v>0</v>
      </c>
      <c r="F167" s="67"/>
      <c r="G167" s="120">
        <f>IFERROR(__xludf.DUMMYFUNCTION("""COMPUTED_VALUE"""),4.5)</f>
        <v>4.5</v>
      </c>
      <c r="H167" s="121">
        <f>IFERROR(__xludf.DUMMYFUNCTION("""COMPUTED_VALUE"""),450.0)</f>
        <v>450</v>
      </c>
      <c r="I167" s="122">
        <f t="shared" si="18"/>
        <v>529.4117647</v>
      </c>
      <c r="J167" s="137"/>
      <c r="K167" s="124">
        <f>IFERROR(__xludf.DUMMYFUNCTION("""COMPUTED_VALUE"""),0.0)</f>
        <v>0</v>
      </c>
      <c r="L167" s="121">
        <f>IFERROR(__xludf.DUMMYFUNCTION("""COMPUTED_VALUE"""),0.0)</f>
        <v>0</v>
      </c>
      <c r="M167" s="122">
        <f t="shared" si="19"/>
        <v>0</v>
      </c>
      <c r="N167" s="125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>
        <f t="shared" si="24"/>
        <v>95</v>
      </c>
      <c r="AC167" s="128">
        <f t="shared" ref="AC167:AD167" si="117">C167+G167+K167</f>
        <v>4.5</v>
      </c>
      <c r="AD167" s="57">
        <f t="shared" si="117"/>
        <v>450</v>
      </c>
      <c r="AE167" s="129">
        <v>100.0</v>
      </c>
      <c r="AF167" s="130">
        <v>1.15</v>
      </c>
      <c r="AG167" s="60">
        <f t="shared" si="21"/>
        <v>529.4117647</v>
      </c>
      <c r="AH167" s="131" t="str">
        <f t="shared" si="16"/>
        <v>Martin Zámečník</v>
      </c>
      <c r="AI167" s="132">
        <f t="shared" si="22"/>
        <v>450</v>
      </c>
      <c r="AJ167" s="105"/>
      <c r="AK167" s="145">
        <f t="shared" si="23"/>
        <v>0</v>
      </c>
      <c r="AL167" s="66">
        <f>IFERROR(__xludf.DUMMYFUNCTION("""COMPUTED_VALUE"""),0.0)</f>
        <v>0</v>
      </c>
      <c r="AM167" s="66">
        <f>IFERROR(__xludf.DUMMYFUNCTION("""COMPUTED_VALUE"""),0.0)</f>
        <v>0</v>
      </c>
      <c r="AN167" s="66">
        <f>IFERROR(__xludf.DUMMYFUNCTION("""COMPUTED_VALUE"""),0.0)</f>
        <v>0</v>
      </c>
    </row>
    <row r="168" ht="15.75" customHeight="1">
      <c r="A168" s="115" t="s">
        <v>134</v>
      </c>
      <c r="B168" s="134"/>
      <c r="C168" s="135">
        <f>IFERROR(__xludf.DUMMYFUNCTION("""COMPUTED_VALUE"""),3.5)</f>
        <v>3.5</v>
      </c>
      <c r="D168" s="136">
        <f>IFERROR(__xludf.DUMMYFUNCTION("""COMPUTED_VALUE"""),350.0)</f>
        <v>350</v>
      </c>
      <c r="E168" s="70">
        <f t="shared" si="17"/>
        <v>411.7647059</v>
      </c>
      <c r="F168" s="67"/>
      <c r="G168" s="120">
        <f>IFERROR(__xludf.DUMMYFUNCTION("""COMPUTED_VALUE"""),0.0)</f>
        <v>0</v>
      </c>
      <c r="H168" s="121">
        <f>IFERROR(__xludf.DUMMYFUNCTION("""COMPUTED_VALUE"""),0.0)</f>
        <v>0</v>
      </c>
      <c r="I168" s="122">
        <f t="shared" si="18"/>
        <v>0</v>
      </c>
      <c r="J168" s="137"/>
      <c r="K168" s="124">
        <f>IFERROR(__xludf.DUMMYFUNCTION("""COMPUTED_VALUE"""),0.0)</f>
        <v>0</v>
      </c>
      <c r="L168" s="121">
        <f>IFERROR(__xludf.DUMMYFUNCTION("""COMPUTED_VALUE"""),0.0)</f>
        <v>0</v>
      </c>
      <c r="M168" s="122">
        <f t="shared" si="19"/>
        <v>0</v>
      </c>
      <c r="N168" s="125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>
        <f t="shared" si="24"/>
        <v>96</v>
      </c>
      <c r="AC168" s="128">
        <f t="shared" ref="AC168:AD168" si="118">C168+G168+K168</f>
        <v>3.5</v>
      </c>
      <c r="AD168" s="57">
        <f t="shared" si="118"/>
        <v>350</v>
      </c>
      <c r="AE168" s="129">
        <v>100.0</v>
      </c>
      <c r="AF168" s="130">
        <v>1.15</v>
      </c>
      <c r="AG168" s="60">
        <f t="shared" si="21"/>
        <v>411.7647059</v>
      </c>
      <c r="AH168" s="131" t="str">
        <f t="shared" si="16"/>
        <v>Pavel Winter-x</v>
      </c>
      <c r="AI168" s="132">
        <f t="shared" si="22"/>
        <v>350</v>
      </c>
      <c r="AJ168" s="105"/>
      <c r="AK168" s="145">
        <f t="shared" si="23"/>
        <v>350</v>
      </c>
      <c r="AL168" s="66">
        <f>IFERROR(__xludf.DUMMYFUNCTION("""COMPUTED_VALUE"""),350.0)</f>
        <v>350</v>
      </c>
      <c r="AM168" s="66">
        <f>IFERROR(__xludf.DUMMYFUNCTION("""COMPUTED_VALUE"""),0.0)</f>
        <v>0</v>
      </c>
      <c r="AN168" s="66">
        <f>IFERROR(__xludf.DUMMYFUNCTION("""COMPUTED_VALUE"""),0.0)</f>
        <v>0</v>
      </c>
    </row>
    <row r="169" ht="15.75" customHeight="1">
      <c r="A169" s="115" t="s">
        <v>135</v>
      </c>
      <c r="B169" s="134"/>
      <c r="C169" s="135">
        <f>IFERROR(__xludf.DUMMYFUNCTION("""COMPUTED_VALUE"""),0.0)</f>
        <v>0</v>
      </c>
      <c r="D169" s="136">
        <f>IFERROR(__xludf.DUMMYFUNCTION("""COMPUTED_VALUE"""),0.0)</f>
        <v>0</v>
      </c>
      <c r="E169" s="70">
        <f t="shared" si="17"/>
        <v>0</v>
      </c>
      <c r="F169" s="67"/>
      <c r="G169" s="120">
        <f>IFERROR(__xludf.DUMMYFUNCTION("""COMPUTED_VALUE"""),0.0)</f>
        <v>0</v>
      </c>
      <c r="H169" s="121">
        <f>IFERROR(__xludf.DUMMYFUNCTION("""COMPUTED_VALUE"""),0.0)</f>
        <v>0</v>
      </c>
      <c r="I169" s="122">
        <f t="shared" si="18"/>
        <v>0</v>
      </c>
      <c r="J169" s="137"/>
      <c r="K169" s="124">
        <f>IFERROR(__xludf.DUMMYFUNCTION("""COMPUTED_VALUE"""),0.0)</f>
        <v>0</v>
      </c>
      <c r="L169" s="121">
        <f>IFERROR(__xludf.DUMMYFUNCTION("""COMPUTED_VALUE"""),0.0)</f>
        <v>0</v>
      </c>
      <c r="M169" s="122">
        <f t="shared" si="19"/>
        <v>0</v>
      </c>
      <c r="N169" s="125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>
        <f t="shared" si="24"/>
        <v>97</v>
      </c>
      <c r="AC169" s="128">
        <f t="shared" ref="AC169:AD169" si="119">C169+G169+K169</f>
        <v>0</v>
      </c>
      <c r="AD169" s="57">
        <f t="shared" si="119"/>
        <v>0</v>
      </c>
      <c r="AE169" s="129">
        <v>100.0</v>
      </c>
      <c r="AF169" s="130">
        <v>1.15</v>
      </c>
      <c r="AG169" s="60">
        <f t="shared" si="21"/>
        <v>0</v>
      </c>
      <c r="AH169" s="131" t="str">
        <f t="shared" si="16"/>
        <v>Milan Fafel</v>
      </c>
      <c r="AI169" s="132">
        <f t="shared" si="22"/>
        <v>0</v>
      </c>
      <c r="AJ169" s="105"/>
      <c r="AK169" s="145">
        <f t="shared" si="23"/>
        <v>0</v>
      </c>
      <c r="AL169" s="66">
        <f>IFERROR(__xludf.DUMMYFUNCTION("""COMPUTED_VALUE"""),0.0)</f>
        <v>0</v>
      </c>
      <c r="AM169" s="66">
        <f>IFERROR(__xludf.DUMMYFUNCTION("""COMPUTED_VALUE"""),0.0)</f>
        <v>0</v>
      </c>
      <c r="AN169" s="66">
        <f>IFERROR(__xludf.DUMMYFUNCTION("""COMPUTED_VALUE"""),0.0)</f>
        <v>0</v>
      </c>
    </row>
    <row r="170" ht="15.75" customHeight="1">
      <c r="A170" s="146"/>
      <c r="B170" s="134"/>
      <c r="C170" s="135">
        <f>IFERROR(__xludf.DUMMYFUNCTION("""COMPUTED_VALUE"""),0.0)</f>
        <v>0</v>
      </c>
      <c r="D170" s="136">
        <f>IFERROR(__xludf.DUMMYFUNCTION("""COMPUTED_VALUE"""),0.0)</f>
        <v>0</v>
      </c>
      <c r="E170" s="70">
        <f t="shared" si="17"/>
        <v>0</v>
      </c>
      <c r="F170" s="67"/>
      <c r="G170" s="120">
        <f>IFERROR(__xludf.DUMMYFUNCTION("""COMPUTED_VALUE"""),0.0)</f>
        <v>0</v>
      </c>
      <c r="H170" s="121">
        <f>IFERROR(__xludf.DUMMYFUNCTION("""COMPUTED_VALUE"""),0.0)</f>
        <v>0</v>
      </c>
      <c r="I170" s="122">
        <f t="shared" si="18"/>
        <v>0</v>
      </c>
      <c r="J170" s="137"/>
      <c r="K170" s="124">
        <f>IFERROR(__xludf.DUMMYFUNCTION("""COMPUTED_VALUE"""),0.0)</f>
        <v>0</v>
      </c>
      <c r="L170" s="121">
        <f>IFERROR(__xludf.DUMMYFUNCTION("""COMPUTED_VALUE"""),0.0)</f>
        <v>0</v>
      </c>
      <c r="M170" s="122">
        <f t="shared" si="19"/>
        <v>0</v>
      </c>
      <c r="N170" s="125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>
        <f t="shared" si="24"/>
        <v>98</v>
      </c>
      <c r="AC170" s="128">
        <f t="shared" ref="AC170:AD170" si="120">C170+G170+K170</f>
        <v>0</v>
      </c>
      <c r="AD170" s="57">
        <f t="shared" si="120"/>
        <v>0</v>
      </c>
      <c r="AE170" s="147"/>
      <c r="AF170" s="148"/>
      <c r="AG170" s="60">
        <f t="shared" si="21"/>
        <v>0</v>
      </c>
      <c r="AH170" s="131" t="str">
        <f t="shared" si="16"/>
        <v/>
      </c>
      <c r="AI170" s="132">
        <f t="shared" si="22"/>
        <v>0</v>
      </c>
      <c r="AJ170" s="105"/>
      <c r="AK170" s="145">
        <f t="shared" si="23"/>
        <v>0</v>
      </c>
      <c r="AL170" s="66">
        <f>IFERROR(__xludf.DUMMYFUNCTION("""COMPUTED_VALUE"""),0.0)</f>
        <v>0</v>
      </c>
      <c r="AM170" s="66">
        <f>IFERROR(__xludf.DUMMYFUNCTION("""COMPUTED_VALUE"""),0.0)</f>
        <v>0</v>
      </c>
      <c r="AN170" s="66">
        <f>IFERROR(__xludf.DUMMYFUNCTION("""COMPUTED_VALUE"""),0.0)</f>
        <v>0</v>
      </c>
    </row>
    <row r="171" ht="15.75" customHeight="1">
      <c r="A171" s="146"/>
      <c r="B171" s="134"/>
      <c r="C171" s="135">
        <f>IFERROR(__xludf.DUMMYFUNCTION("""COMPUTED_VALUE"""),0.0)</f>
        <v>0</v>
      </c>
      <c r="D171" s="136">
        <f>IFERROR(__xludf.DUMMYFUNCTION("""COMPUTED_VALUE"""),0.0)</f>
        <v>0</v>
      </c>
      <c r="E171" s="70">
        <f t="shared" si="17"/>
        <v>0</v>
      </c>
      <c r="F171" s="67"/>
      <c r="G171" s="120">
        <f>IFERROR(__xludf.DUMMYFUNCTION("""COMPUTED_VALUE"""),0.0)</f>
        <v>0</v>
      </c>
      <c r="H171" s="121">
        <f>IFERROR(__xludf.DUMMYFUNCTION("""COMPUTED_VALUE"""),0.0)</f>
        <v>0</v>
      </c>
      <c r="I171" s="122">
        <f t="shared" si="18"/>
        <v>0</v>
      </c>
      <c r="J171" s="137"/>
      <c r="K171" s="124">
        <f>IFERROR(__xludf.DUMMYFUNCTION("""COMPUTED_VALUE"""),0.0)</f>
        <v>0</v>
      </c>
      <c r="L171" s="121">
        <f>IFERROR(__xludf.DUMMYFUNCTION("""COMPUTED_VALUE"""),0.0)</f>
        <v>0</v>
      </c>
      <c r="M171" s="122">
        <f t="shared" si="19"/>
        <v>0</v>
      </c>
      <c r="N171" s="125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>
        <f t="shared" si="24"/>
        <v>99</v>
      </c>
      <c r="AC171" s="128">
        <f t="shared" ref="AC171:AD171" si="121">C171+G171+K171</f>
        <v>0</v>
      </c>
      <c r="AD171" s="57">
        <f t="shared" si="121"/>
        <v>0</v>
      </c>
      <c r="AE171" s="147"/>
      <c r="AF171" s="148"/>
      <c r="AG171" s="60">
        <f t="shared" si="21"/>
        <v>0</v>
      </c>
      <c r="AH171" s="131" t="str">
        <f t="shared" si="16"/>
        <v/>
      </c>
      <c r="AI171" s="132">
        <f t="shared" si="22"/>
        <v>0</v>
      </c>
      <c r="AJ171" s="105"/>
      <c r="AK171" s="145">
        <f t="shared" si="23"/>
        <v>0</v>
      </c>
      <c r="AL171" s="66">
        <f>IFERROR(__xludf.DUMMYFUNCTION("""COMPUTED_VALUE"""),0.0)</f>
        <v>0</v>
      </c>
      <c r="AM171" s="66">
        <f>IFERROR(__xludf.DUMMYFUNCTION("""COMPUTED_VALUE"""),0.0)</f>
        <v>0</v>
      </c>
      <c r="AN171" s="66">
        <f>IFERROR(__xludf.DUMMYFUNCTION("""COMPUTED_VALUE"""),0.0)</f>
        <v>0</v>
      </c>
    </row>
    <row r="172" ht="15.75" customHeight="1">
      <c r="A172" s="146" t="s">
        <v>40</v>
      </c>
      <c r="B172" s="134"/>
      <c r="C172" s="135">
        <f>IFERROR(__xludf.DUMMYFUNCTION("""COMPUTED_VALUE"""),0.0)</f>
        <v>0</v>
      </c>
      <c r="D172" s="136">
        <f>IFERROR(__xludf.DUMMYFUNCTION("""COMPUTED_VALUE"""),0.0)</f>
        <v>0</v>
      </c>
      <c r="E172" s="70">
        <f t="shared" si="17"/>
        <v>0</v>
      </c>
      <c r="F172" s="67"/>
      <c r="G172" s="120">
        <f>IFERROR(__xludf.DUMMYFUNCTION("""COMPUTED_VALUE"""),0.0)</f>
        <v>0</v>
      </c>
      <c r="H172" s="121">
        <f>IFERROR(__xludf.DUMMYFUNCTION("""COMPUTED_VALUE"""),0.0)</f>
        <v>0</v>
      </c>
      <c r="I172" s="122">
        <f t="shared" si="18"/>
        <v>0</v>
      </c>
      <c r="J172" s="137"/>
      <c r="K172" s="124">
        <f>IFERROR(__xludf.DUMMYFUNCTION("""COMPUTED_VALUE"""),0.0)</f>
        <v>0</v>
      </c>
      <c r="L172" s="121">
        <f>IFERROR(__xludf.DUMMYFUNCTION("""COMPUTED_VALUE"""),0.0)</f>
        <v>0</v>
      </c>
      <c r="M172" s="122">
        <f t="shared" si="19"/>
        <v>0</v>
      </c>
      <c r="N172" s="125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>
        <f t="shared" si="24"/>
        <v>100</v>
      </c>
      <c r="AC172" s="128">
        <f t="shared" ref="AC172:AD172" si="122">C172+G172+K172</f>
        <v>0</v>
      </c>
      <c r="AD172" s="57">
        <f t="shared" si="122"/>
        <v>0</v>
      </c>
      <c r="AE172" s="147"/>
      <c r="AF172" s="148"/>
      <c r="AG172" s="60">
        <f t="shared" si="21"/>
        <v>0</v>
      </c>
      <c r="AH172" s="131" t="str">
        <f t="shared" si="16"/>
        <v>End</v>
      </c>
      <c r="AI172" s="132">
        <f t="shared" si="22"/>
        <v>0</v>
      </c>
      <c r="AJ172" s="105"/>
      <c r="AK172" s="145">
        <f t="shared" si="23"/>
        <v>0</v>
      </c>
      <c r="AL172" s="66">
        <f>IFERROR(__xludf.DUMMYFUNCTION("""COMPUTED_VALUE"""),0.0)</f>
        <v>0</v>
      </c>
      <c r="AM172" s="66">
        <f>IFERROR(__xludf.DUMMYFUNCTION("""COMPUTED_VALUE"""),0.0)</f>
        <v>0</v>
      </c>
      <c r="AN172" s="66">
        <f>IFERROR(__xludf.DUMMYFUNCTION("""COMPUTED_VALUE"""),0.0)</f>
        <v>0</v>
      </c>
    </row>
    <row r="173" ht="15.75" customHeight="1">
      <c r="A173" s="146"/>
      <c r="B173" s="134"/>
      <c r="C173" s="149"/>
      <c r="D173" s="149"/>
      <c r="E173" s="149"/>
      <c r="F173" s="67"/>
      <c r="G173" s="149"/>
      <c r="H173" s="149"/>
      <c r="I173" s="150"/>
      <c r="J173" s="137"/>
      <c r="K173" s="149"/>
      <c r="L173" s="149"/>
      <c r="M173" s="151"/>
      <c r="N173" s="125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52"/>
      <c r="AD173" s="153"/>
      <c r="AE173" s="129"/>
      <c r="AF173" s="130"/>
      <c r="AG173" s="154"/>
      <c r="AH173" s="131"/>
      <c r="AI173" s="132"/>
      <c r="AJ173" s="105"/>
      <c r="AK173" s="155"/>
    </row>
    <row r="174" ht="15.75" customHeight="1">
      <c r="A174" s="156" t="s">
        <v>136</v>
      </c>
      <c r="B174" s="157"/>
      <c r="C174" s="158">
        <f t="shared" ref="C174:E174" si="123">SUM(C73:C172)</f>
        <v>1247</v>
      </c>
      <c r="D174" s="159">
        <f t="shared" si="123"/>
        <v>124700</v>
      </c>
      <c r="E174" s="159">
        <f t="shared" si="123"/>
        <v>146705.8824</v>
      </c>
      <c r="F174" s="85"/>
      <c r="G174" s="158">
        <f t="shared" ref="G174:I174" si="124">SUM(G73:G172)</f>
        <v>1634.5</v>
      </c>
      <c r="H174" s="159">
        <f t="shared" si="124"/>
        <v>172460</v>
      </c>
      <c r="I174" s="159">
        <f t="shared" si="124"/>
        <v>193354.1176</v>
      </c>
      <c r="J174" s="160"/>
      <c r="K174" s="158">
        <f t="shared" ref="K174:M174" si="125">SUM(K73:K172)</f>
        <v>988.5</v>
      </c>
      <c r="L174" s="159">
        <f t="shared" si="125"/>
        <v>98850</v>
      </c>
      <c r="M174" s="159">
        <f t="shared" si="125"/>
        <v>116294.1176</v>
      </c>
      <c r="N174" s="125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58">
        <f>SUM(AC73:AC173)</f>
        <v>3870</v>
      </c>
      <c r="AD174" s="159">
        <f>SUM(AD73:AD172)</f>
        <v>396010</v>
      </c>
      <c r="AE174" s="159"/>
      <c r="AF174" s="162"/>
      <c r="AG174" s="159">
        <f>SUM(AG73:AG172)</f>
        <v>456354.1176</v>
      </c>
      <c r="AH174" s="163" t="str">
        <f>A174</f>
        <v>Celkem kurýr</v>
      </c>
      <c r="AI174" s="164">
        <f>SUM(AI73:AI172)</f>
        <v>396010</v>
      </c>
      <c r="AJ174" s="19"/>
      <c r="AK174" s="155"/>
    </row>
    <row r="175" ht="15.75" customHeight="1">
      <c r="A175" s="165" t="s">
        <v>137</v>
      </c>
      <c r="B175" s="99"/>
      <c r="C175" s="166">
        <f t="shared" ref="C175:E175" si="126">C174+C44</f>
        <v>1815.5</v>
      </c>
      <c r="D175" s="66">
        <f t="shared" si="126"/>
        <v>173620</v>
      </c>
      <c r="E175" s="66">
        <f t="shared" si="126"/>
        <v>234205.3529</v>
      </c>
      <c r="F175" s="99"/>
      <c r="G175" s="166">
        <f t="shared" ref="G175:I175" si="127">G174+G44</f>
        <v>2555.5</v>
      </c>
      <c r="H175" s="66">
        <f t="shared" si="127"/>
        <v>509810.9677</v>
      </c>
      <c r="I175" s="66">
        <f t="shared" si="127"/>
        <v>775212.7609</v>
      </c>
      <c r="J175" s="99"/>
      <c r="K175" s="166">
        <f t="shared" ref="K175:M175" si="128">K174+K44</f>
        <v>1634.5</v>
      </c>
      <c r="L175" s="66">
        <f t="shared" si="128"/>
        <v>190480</v>
      </c>
      <c r="M175" s="66">
        <f t="shared" si="128"/>
        <v>285809.6176</v>
      </c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165" t="s">
        <v>138</v>
      </c>
      <c r="AD175" s="66">
        <f>AD174+AD44</f>
        <v>630040</v>
      </c>
      <c r="AE175" s="99"/>
      <c r="AF175" s="99"/>
      <c r="AG175" s="66">
        <f>AG174+AG44</f>
        <v>1295227.731</v>
      </c>
      <c r="AH175" s="99"/>
      <c r="AI175" s="66">
        <f>AI174+AI44</f>
        <v>710040</v>
      </c>
      <c r="AK175" s="167">
        <f t="shared" ref="AK175:AN175" si="129">SUM(AK4:AK173)</f>
        <v>109370</v>
      </c>
      <c r="AL175" s="167">
        <f t="shared" si="129"/>
        <v>59370</v>
      </c>
      <c r="AM175" s="167">
        <f t="shared" si="129"/>
        <v>23800</v>
      </c>
      <c r="AN175" s="167">
        <f t="shared" si="129"/>
        <v>26200</v>
      </c>
    </row>
    <row r="176" ht="15.75" customHeight="1">
      <c r="A176" s="168"/>
      <c r="B176" s="168"/>
      <c r="C176" s="168"/>
      <c r="D176" s="168"/>
      <c r="E176" s="169"/>
      <c r="F176" s="168"/>
      <c r="G176" s="168"/>
      <c r="H176" s="168"/>
      <c r="I176" s="170"/>
      <c r="AE176" s="170"/>
      <c r="AH176" s="171"/>
      <c r="AI176" s="171"/>
      <c r="AJ176" s="19"/>
      <c r="AK176" s="155"/>
    </row>
    <row r="177" ht="15.75" customHeight="1">
      <c r="E177" s="19"/>
      <c r="I177" s="170"/>
      <c r="AE177" s="170"/>
      <c r="AH177" s="171"/>
      <c r="AI177" s="171"/>
      <c r="AJ177" s="19"/>
      <c r="AK177" s="155"/>
    </row>
    <row r="178" ht="15.75" customHeight="1">
      <c r="E178" s="19"/>
      <c r="I178" s="170"/>
      <c r="AE178" s="170"/>
      <c r="AH178" s="171"/>
      <c r="AI178" s="171"/>
      <c r="AJ178" s="19"/>
      <c r="AK178" s="155"/>
    </row>
    <row r="179" ht="15.75" customHeight="1">
      <c r="E179" s="19"/>
      <c r="I179" s="170"/>
      <c r="AE179" s="170"/>
      <c r="AH179" s="171"/>
      <c r="AI179" s="171"/>
      <c r="AJ179" s="19"/>
      <c r="AK179" s="155"/>
    </row>
    <row r="180" ht="15.75" customHeight="1">
      <c r="E180" s="19"/>
      <c r="I180" s="170"/>
      <c r="AE180" s="170"/>
      <c r="AH180" s="171"/>
      <c r="AI180" s="171"/>
      <c r="AJ180" s="19"/>
      <c r="AK180" s="155"/>
    </row>
    <row r="181" ht="15.75" customHeight="1">
      <c r="E181" s="19"/>
      <c r="I181" s="170"/>
      <c r="AE181" s="170"/>
      <c r="AH181" s="171"/>
      <c r="AI181" s="171"/>
      <c r="AJ181" s="19"/>
      <c r="AK181" s="155"/>
    </row>
    <row r="182" ht="15.75" customHeight="1">
      <c r="E182" s="19"/>
      <c r="I182" s="170"/>
      <c r="AE182" s="170"/>
      <c r="AH182" s="171"/>
      <c r="AI182" s="171"/>
      <c r="AJ182" s="19"/>
      <c r="AK182" s="155"/>
    </row>
    <row r="183" ht="15.75" customHeight="1">
      <c r="E183" s="19"/>
      <c r="I183" s="170"/>
      <c r="AE183" s="170"/>
      <c r="AH183" s="171"/>
      <c r="AI183" s="171"/>
      <c r="AJ183" s="19"/>
      <c r="AK183" s="155"/>
    </row>
    <row r="184" ht="15.75" customHeight="1">
      <c r="E184" s="19"/>
      <c r="I184" s="170"/>
      <c r="AE184" s="170"/>
      <c r="AH184" s="171"/>
      <c r="AI184" s="171"/>
      <c r="AJ184" s="19"/>
      <c r="AK184" s="155"/>
    </row>
    <row r="185" ht="15.75" customHeight="1">
      <c r="E185" s="19"/>
      <c r="I185" s="170"/>
      <c r="AE185" s="170"/>
      <c r="AH185" s="171"/>
      <c r="AI185" s="171"/>
      <c r="AJ185" s="19"/>
      <c r="AK185" s="155"/>
    </row>
    <row r="186" ht="15.75" customHeight="1">
      <c r="E186" s="19"/>
      <c r="I186" s="170"/>
      <c r="AE186" s="170"/>
      <c r="AH186" s="171"/>
      <c r="AI186" s="171"/>
      <c r="AJ186" s="19"/>
      <c r="AK186" s="155"/>
    </row>
    <row r="187" ht="15.75" customHeight="1">
      <c r="E187" s="19"/>
      <c r="I187" s="170"/>
      <c r="AE187" s="170"/>
      <c r="AH187" s="171"/>
      <c r="AI187" s="171"/>
      <c r="AJ187" s="19"/>
      <c r="AK187" s="155"/>
    </row>
    <row r="188" ht="15.75" customHeight="1">
      <c r="E188" s="19"/>
      <c r="I188" s="170"/>
      <c r="AE188" s="170"/>
      <c r="AH188" s="171"/>
      <c r="AI188" s="171"/>
      <c r="AJ188" s="19"/>
      <c r="AK188" s="155"/>
    </row>
    <row r="189" ht="15.75" customHeight="1">
      <c r="E189" s="19"/>
      <c r="I189" s="170"/>
      <c r="AE189" s="170"/>
      <c r="AH189" s="171"/>
      <c r="AI189" s="171"/>
      <c r="AJ189" s="19"/>
      <c r="AK189" s="155"/>
    </row>
    <row r="190" ht="15.75" customHeight="1">
      <c r="E190" s="19"/>
      <c r="I190" s="170"/>
      <c r="AE190" s="170"/>
      <c r="AH190" s="171"/>
      <c r="AI190" s="171"/>
      <c r="AJ190" s="19"/>
      <c r="AK190" s="155"/>
    </row>
    <row r="191" ht="15.75" customHeight="1">
      <c r="E191" s="19"/>
      <c r="I191" s="170"/>
      <c r="AE191" s="170"/>
      <c r="AH191" s="171"/>
      <c r="AI191" s="171"/>
      <c r="AJ191" s="19"/>
      <c r="AK191" s="155"/>
    </row>
    <row r="192">
      <c r="E192" s="19"/>
      <c r="I192" s="170"/>
      <c r="AE192" s="170"/>
      <c r="AH192" s="171"/>
      <c r="AI192" s="171"/>
      <c r="AJ192" s="19"/>
      <c r="AK192" s="155"/>
    </row>
    <row r="193">
      <c r="E193" s="19"/>
      <c r="I193" s="170"/>
      <c r="AE193" s="170"/>
      <c r="AH193" s="171"/>
      <c r="AI193" s="171"/>
      <c r="AJ193" s="19"/>
      <c r="AK193" s="155"/>
    </row>
    <row r="194">
      <c r="E194" s="19"/>
      <c r="I194" s="170"/>
      <c r="AE194" s="170"/>
      <c r="AH194" s="171"/>
      <c r="AI194" s="171"/>
      <c r="AJ194" s="19"/>
      <c r="AK194" s="155"/>
    </row>
    <row r="195">
      <c r="E195" s="19"/>
      <c r="I195" s="170"/>
      <c r="AE195" s="170"/>
      <c r="AH195" s="171"/>
      <c r="AI195" s="171"/>
      <c r="AJ195" s="19"/>
      <c r="AK195" s="155"/>
    </row>
    <row r="196">
      <c r="E196" s="19"/>
      <c r="I196" s="170"/>
      <c r="AE196" s="170"/>
      <c r="AH196" s="171"/>
      <c r="AI196" s="171"/>
      <c r="AJ196" s="19"/>
      <c r="AK196" s="155"/>
    </row>
    <row r="197">
      <c r="E197" s="19"/>
      <c r="I197" s="170"/>
      <c r="AE197" s="170"/>
      <c r="AH197" s="171"/>
      <c r="AI197" s="171"/>
      <c r="AJ197" s="19"/>
      <c r="AK197" s="155"/>
    </row>
    <row r="198">
      <c r="E198" s="19"/>
      <c r="I198" s="170"/>
      <c r="AE198" s="170"/>
      <c r="AH198" s="171"/>
      <c r="AI198" s="171"/>
      <c r="AJ198" s="19"/>
      <c r="AK198" s="155"/>
    </row>
    <row r="199">
      <c r="E199" s="19"/>
      <c r="I199" s="170"/>
      <c r="AE199" s="170"/>
      <c r="AH199" s="171"/>
      <c r="AI199" s="171"/>
      <c r="AJ199" s="19"/>
      <c r="AK199" s="155"/>
    </row>
    <row r="200">
      <c r="E200" s="19"/>
      <c r="I200" s="170"/>
      <c r="AE200" s="170"/>
      <c r="AH200" s="171"/>
      <c r="AI200" s="171"/>
      <c r="AJ200" s="19"/>
      <c r="AK200" s="155"/>
    </row>
    <row r="201">
      <c r="E201" s="19"/>
      <c r="I201" s="170"/>
      <c r="AE201" s="170"/>
      <c r="AH201" s="171"/>
      <c r="AI201" s="171"/>
      <c r="AJ201" s="19"/>
      <c r="AK201" s="155"/>
    </row>
    <row r="202">
      <c r="E202" s="19"/>
      <c r="I202" s="170"/>
      <c r="AE202" s="170"/>
      <c r="AH202" s="171"/>
      <c r="AI202" s="171"/>
      <c r="AJ202" s="19"/>
      <c r="AK202" s="155"/>
    </row>
    <row r="203">
      <c r="E203" s="19"/>
      <c r="I203" s="170"/>
      <c r="AE203" s="170"/>
      <c r="AH203" s="171"/>
      <c r="AI203" s="171"/>
      <c r="AJ203" s="19"/>
      <c r="AK203" s="155"/>
    </row>
    <row r="204">
      <c r="E204" s="19"/>
      <c r="I204" s="170"/>
      <c r="AE204" s="170"/>
      <c r="AH204" s="171"/>
      <c r="AI204" s="171"/>
      <c r="AJ204" s="19"/>
      <c r="AK204" s="155"/>
    </row>
    <row r="205">
      <c r="E205" s="19"/>
      <c r="I205" s="170"/>
      <c r="AE205" s="170"/>
      <c r="AH205" s="171"/>
      <c r="AI205" s="171"/>
      <c r="AJ205" s="19"/>
      <c r="AK205" s="155"/>
    </row>
    <row r="206">
      <c r="E206" s="19"/>
      <c r="I206" s="170"/>
      <c r="AE206" s="170"/>
      <c r="AH206" s="171"/>
      <c r="AI206" s="171"/>
      <c r="AJ206" s="19"/>
      <c r="AK206" s="155"/>
    </row>
    <row r="207">
      <c r="E207" s="19"/>
      <c r="I207" s="170"/>
      <c r="AE207" s="170"/>
      <c r="AH207" s="171"/>
      <c r="AI207" s="171"/>
      <c r="AJ207" s="19"/>
      <c r="AK207" s="155"/>
    </row>
    <row r="208">
      <c r="E208" s="19"/>
      <c r="I208" s="170"/>
      <c r="AE208" s="170"/>
      <c r="AH208" s="171"/>
      <c r="AI208" s="171"/>
      <c r="AJ208" s="19"/>
      <c r="AK208" s="155"/>
    </row>
    <row r="209">
      <c r="E209" s="19"/>
      <c r="I209" s="170"/>
      <c r="AE209" s="170"/>
      <c r="AH209" s="171"/>
      <c r="AI209" s="171"/>
      <c r="AJ209" s="19"/>
      <c r="AK209" s="155"/>
    </row>
    <row r="210">
      <c r="E210" s="19"/>
      <c r="I210" s="170"/>
      <c r="AE210" s="170"/>
      <c r="AH210" s="171"/>
      <c r="AI210" s="171"/>
      <c r="AJ210" s="19"/>
      <c r="AK210" s="155"/>
    </row>
    <row r="211">
      <c r="E211" s="19"/>
      <c r="I211" s="170"/>
      <c r="AE211" s="170"/>
      <c r="AH211" s="171"/>
      <c r="AI211" s="171"/>
      <c r="AJ211" s="19"/>
      <c r="AK211" s="155"/>
    </row>
    <row r="212">
      <c r="E212" s="19"/>
      <c r="I212" s="170"/>
      <c r="AE212" s="170"/>
      <c r="AH212" s="171"/>
      <c r="AI212" s="171"/>
      <c r="AJ212" s="19"/>
      <c r="AK212" s="155"/>
    </row>
    <row r="213">
      <c r="E213" s="19"/>
      <c r="I213" s="170"/>
      <c r="AE213" s="170"/>
      <c r="AH213" s="171"/>
      <c r="AI213" s="171"/>
      <c r="AJ213" s="19"/>
      <c r="AK213" s="155"/>
    </row>
    <row r="214">
      <c r="E214" s="19"/>
      <c r="I214" s="170"/>
      <c r="AE214" s="170"/>
      <c r="AH214" s="171"/>
      <c r="AI214" s="171"/>
      <c r="AJ214" s="19"/>
      <c r="AK214" s="155"/>
    </row>
    <row r="215">
      <c r="E215" s="19"/>
      <c r="I215" s="170"/>
      <c r="AE215" s="170"/>
      <c r="AH215" s="171"/>
      <c r="AI215" s="171"/>
      <c r="AJ215" s="19"/>
      <c r="AK215" s="155"/>
    </row>
    <row r="216">
      <c r="E216" s="19"/>
      <c r="I216" s="170"/>
      <c r="AE216" s="170"/>
      <c r="AH216" s="171"/>
      <c r="AI216" s="171"/>
      <c r="AJ216" s="19"/>
      <c r="AK216" s="155"/>
    </row>
    <row r="217">
      <c r="E217" s="19"/>
      <c r="I217" s="170"/>
      <c r="AE217" s="170"/>
      <c r="AH217" s="171"/>
      <c r="AI217" s="171"/>
      <c r="AJ217" s="19"/>
      <c r="AK217" s="155"/>
    </row>
    <row r="218">
      <c r="E218" s="19"/>
      <c r="I218" s="170"/>
      <c r="AE218" s="170"/>
      <c r="AH218" s="171"/>
      <c r="AI218" s="171"/>
      <c r="AJ218" s="19"/>
      <c r="AK218" s="155"/>
    </row>
    <row r="219">
      <c r="E219" s="19"/>
      <c r="I219" s="170"/>
      <c r="AE219" s="170"/>
      <c r="AH219" s="171"/>
      <c r="AI219" s="171"/>
      <c r="AJ219" s="19"/>
      <c r="AK219" s="155"/>
    </row>
    <row r="220">
      <c r="E220" s="19"/>
      <c r="I220" s="170"/>
      <c r="AE220" s="170"/>
      <c r="AH220" s="171"/>
      <c r="AI220" s="171"/>
      <c r="AJ220" s="19"/>
      <c r="AK220" s="155"/>
    </row>
    <row r="221">
      <c r="E221" s="19"/>
      <c r="I221" s="170"/>
      <c r="AE221" s="170"/>
      <c r="AH221" s="171"/>
      <c r="AI221" s="171"/>
      <c r="AJ221" s="19"/>
      <c r="AK221" s="155"/>
    </row>
    <row r="222">
      <c r="E222" s="19"/>
      <c r="I222" s="170"/>
      <c r="AE222" s="170"/>
      <c r="AH222" s="171"/>
      <c r="AI222" s="171"/>
      <c r="AJ222" s="19"/>
      <c r="AK222" s="155"/>
    </row>
    <row r="223">
      <c r="E223" s="19"/>
      <c r="I223" s="170"/>
      <c r="AE223" s="170"/>
      <c r="AH223" s="171"/>
      <c r="AI223" s="171"/>
      <c r="AJ223" s="19"/>
      <c r="AK223" s="155"/>
    </row>
    <row r="224">
      <c r="E224" s="19"/>
      <c r="I224" s="170"/>
      <c r="AE224" s="170"/>
      <c r="AH224" s="171"/>
      <c r="AI224" s="171"/>
      <c r="AJ224" s="19"/>
      <c r="AK224" s="155"/>
    </row>
    <row r="225">
      <c r="E225" s="19"/>
      <c r="I225" s="170"/>
      <c r="AE225" s="170"/>
      <c r="AH225" s="171"/>
      <c r="AI225" s="171"/>
      <c r="AJ225" s="19"/>
      <c r="AK225" s="155"/>
    </row>
    <row r="226">
      <c r="E226" s="19"/>
      <c r="I226" s="170"/>
      <c r="AE226" s="170"/>
      <c r="AH226" s="171"/>
      <c r="AI226" s="171"/>
      <c r="AJ226" s="19"/>
      <c r="AK226" s="155"/>
    </row>
    <row r="227">
      <c r="E227" s="19"/>
      <c r="I227" s="170"/>
      <c r="AE227" s="170"/>
      <c r="AH227" s="171"/>
      <c r="AI227" s="171"/>
      <c r="AJ227" s="19"/>
      <c r="AK227" s="155"/>
    </row>
    <row r="228">
      <c r="E228" s="19"/>
      <c r="I228" s="170"/>
      <c r="AE228" s="170"/>
      <c r="AH228" s="171"/>
      <c r="AI228" s="171"/>
      <c r="AJ228" s="19"/>
      <c r="AK228" s="155"/>
    </row>
    <row r="229">
      <c r="E229" s="19"/>
      <c r="I229" s="170"/>
      <c r="AE229" s="170"/>
      <c r="AH229" s="171"/>
      <c r="AI229" s="171"/>
      <c r="AJ229" s="19"/>
      <c r="AK229" s="155"/>
    </row>
    <row r="230">
      <c r="E230" s="19"/>
      <c r="I230" s="170"/>
      <c r="AE230" s="170"/>
      <c r="AH230" s="171"/>
      <c r="AI230" s="171"/>
      <c r="AJ230" s="19"/>
      <c r="AK230" s="155"/>
    </row>
    <row r="231">
      <c r="E231" s="19"/>
      <c r="I231" s="170"/>
      <c r="AE231" s="170"/>
      <c r="AH231" s="171"/>
      <c r="AI231" s="171"/>
      <c r="AJ231" s="19"/>
      <c r="AK231" s="155"/>
    </row>
    <row r="232">
      <c r="E232" s="19"/>
      <c r="I232" s="170"/>
      <c r="AE232" s="170"/>
      <c r="AH232" s="171"/>
      <c r="AI232" s="171"/>
      <c r="AJ232" s="19"/>
      <c r="AK232" s="155"/>
    </row>
    <row r="233">
      <c r="E233" s="19"/>
      <c r="I233" s="170"/>
      <c r="AE233" s="170"/>
      <c r="AH233" s="171"/>
      <c r="AI233" s="171"/>
      <c r="AJ233" s="19"/>
      <c r="AK233" s="155"/>
    </row>
    <row r="234">
      <c r="E234" s="19"/>
      <c r="I234" s="170"/>
      <c r="AE234" s="170"/>
      <c r="AH234" s="171"/>
      <c r="AI234" s="171"/>
      <c r="AJ234" s="19"/>
      <c r="AK234" s="155"/>
    </row>
    <row r="235">
      <c r="E235" s="19"/>
      <c r="I235" s="170"/>
      <c r="AE235" s="170"/>
      <c r="AH235" s="171"/>
      <c r="AI235" s="171"/>
      <c r="AJ235" s="19"/>
      <c r="AK235" s="155"/>
    </row>
    <row r="236">
      <c r="E236" s="19"/>
      <c r="I236" s="170"/>
      <c r="AE236" s="170"/>
      <c r="AH236" s="171"/>
      <c r="AI236" s="171"/>
      <c r="AJ236" s="19"/>
      <c r="AK236" s="155"/>
    </row>
    <row r="237">
      <c r="E237" s="19"/>
      <c r="I237" s="170"/>
      <c r="AE237" s="170"/>
      <c r="AH237" s="171"/>
      <c r="AI237" s="171"/>
      <c r="AJ237" s="19"/>
      <c r="AK237" s="155"/>
    </row>
    <row r="238">
      <c r="E238" s="19"/>
      <c r="I238" s="170"/>
      <c r="AE238" s="170"/>
      <c r="AH238" s="171"/>
      <c r="AI238" s="171"/>
      <c r="AJ238" s="19"/>
      <c r="AK238" s="155"/>
    </row>
    <row r="239">
      <c r="E239" s="19"/>
      <c r="I239" s="170"/>
      <c r="AE239" s="170"/>
      <c r="AH239" s="171"/>
      <c r="AI239" s="171"/>
      <c r="AJ239" s="19"/>
      <c r="AK239" s="155"/>
    </row>
    <row r="240">
      <c r="E240" s="19"/>
      <c r="I240" s="170"/>
      <c r="AE240" s="170"/>
      <c r="AH240" s="171"/>
      <c r="AI240" s="171"/>
      <c r="AJ240" s="19"/>
      <c r="AK240" s="155"/>
    </row>
    <row r="241">
      <c r="E241" s="19"/>
      <c r="I241" s="170"/>
      <c r="AE241" s="170"/>
      <c r="AH241" s="171"/>
      <c r="AI241" s="171"/>
      <c r="AJ241" s="19"/>
      <c r="AK241" s="155"/>
    </row>
    <row r="242">
      <c r="E242" s="19"/>
      <c r="I242" s="170"/>
      <c r="AE242" s="170"/>
      <c r="AH242" s="171"/>
      <c r="AI242" s="171"/>
      <c r="AJ242" s="19"/>
      <c r="AK242" s="155"/>
    </row>
    <row r="243">
      <c r="E243" s="19"/>
      <c r="I243" s="170"/>
      <c r="AE243" s="170"/>
      <c r="AH243" s="171"/>
      <c r="AI243" s="171"/>
      <c r="AJ243" s="19"/>
      <c r="AK243" s="155"/>
    </row>
    <row r="244">
      <c r="E244" s="19"/>
      <c r="I244" s="170"/>
      <c r="AE244" s="170"/>
      <c r="AH244" s="171"/>
      <c r="AI244" s="171"/>
      <c r="AJ244" s="19"/>
      <c r="AK244" s="155"/>
    </row>
    <row r="245">
      <c r="E245" s="19"/>
      <c r="I245" s="170"/>
      <c r="AE245" s="170"/>
      <c r="AH245" s="171"/>
      <c r="AI245" s="171"/>
      <c r="AJ245" s="19"/>
      <c r="AK245" s="155"/>
    </row>
    <row r="246">
      <c r="E246" s="19"/>
      <c r="I246" s="170"/>
      <c r="AE246" s="170"/>
      <c r="AH246" s="171"/>
      <c r="AI246" s="171"/>
      <c r="AJ246" s="19"/>
      <c r="AK246" s="155"/>
    </row>
    <row r="247">
      <c r="E247" s="19"/>
      <c r="I247" s="170"/>
      <c r="AE247" s="170"/>
      <c r="AH247" s="171"/>
      <c r="AI247" s="171"/>
      <c r="AJ247" s="19"/>
      <c r="AK247" s="155"/>
    </row>
    <row r="248">
      <c r="E248" s="19"/>
      <c r="I248" s="170"/>
      <c r="AE248" s="170"/>
      <c r="AH248" s="171"/>
      <c r="AI248" s="171"/>
      <c r="AJ248" s="19"/>
      <c r="AK248" s="155"/>
    </row>
    <row r="249">
      <c r="E249" s="19"/>
      <c r="I249" s="170"/>
      <c r="AE249" s="170"/>
      <c r="AH249" s="171"/>
      <c r="AI249" s="171"/>
      <c r="AJ249" s="19"/>
      <c r="AK249" s="155"/>
    </row>
    <row r="250">
      <c r="E250" s="19"/>
      <c r="I250" s="170"/>
      <c r="AE250" s="170"/>
      <c r="AH250" s="171"/>
      <c r="AI250" s="171"/>
      <c r="AJ250" s="19"/>
      <c r="AK250" s="155"/>
    </row>
    <row r="251">
      <c r="E251" s="19"/>
      <c r="I251" s="170"/>
      <c r="AE251" s="170"/>
      <c r="AH251" s="171"/>
      <c r="AI251" s="171"/>
      <c r="AJ251" s="19"/>
      <c r="AK251" s="155"/>
    </row>
    <row r="252">
      <c r="E252" s="19"/>
      <c r="I252" s="170"/>
      <c r="AE252" s="170"/>
      <c r="AH252" s="171"/>
      <c r="AI252" s="171"/>
      <c r="AJ252" s="19"/>
      <c r="AK252" s="155"/>
    </row>
    <row r="253">
      <c r="E253" s="19"/>
      <c r="I253" s="170"/>
      <c r="AE253" s="170"/>
      <c r="AH253" s="171"/>
      <c r="AI253" s="171"/>
      <c r="AJ253" s="19"/>
      <c r="AK253" s="155"/>
    </row>
    <row r="254">
      <c r="E254" s="19"/>
      <c r="I254" s="170"/>
      <c r="AE254" s="170"/>
      <c r="AH254" s="171"/>
      <c r="AI254" s="171"/>
      <c r="AJ254" s="19"/>
      <c r="AK254" s="155"/>
    </row>
    <row r="255">
      <c r="E255" s="19"/>
      <c r="I255" s="170"/>
      <c r="AE255" s="170"/>
      <c r="AH255" s="171"/>
      <c r="AI255" s="171"/>
      <c r="AJ255" s="19"/>
      <c r="AK255" s="155"/>
    </row>
    <row r="256">
      <c r="E256" s="19"/>
      <c r="I256" s="170"/>
      <c r="AE256" s="170"/>
      <c r="AH256" s="171"/>
      <c r="AI256" s="171"/>
      <c r="AJ256" s="19"/>
      <c r="AK256" s="155"/>
    </row>
    <row r="257">
      <c r="E257" s="19"/>
      <c r="I257" s="170"/>
      <c r="AE257" s="170"/>
      <c r="AH257" s="171"/>
      <c r="AI257" s="171"/>
      <c r="AJ257" s="19"/>
      <c r="AK257" s="155"/>
    </row>
    <row r="258">
      <c r="E258" s="19"/>
      <c r="I258" s="170"/>
      <c r="AE258" s="170"/>
      <c r="AH258" s="171"/>
      <c r="AI258" s="171"/>
      <c r="AJ258" s="19"/>
      <c r="AK258" s="155"/>
    </row>
    <row r="259">
      <c r="E259" s="19"/>
      <c r="I259" s="170"/>
      <c r="AE259" s="170"/>
      <c r="AH259" s="171"/>
      <c r="AI259" s="171"/>
      <c r="AJ259" s="19"/>
      <c r="AK259" s="155"/>
    </row>
    <row r="260">
      <c r="E260" s="19"/>
      <c r="I260" s="170"/>
      <c r="AE260" s="170"/>
      <c r="AH260" s="171"/>
      <c r="AI260" s="171"/>
      <c r="AJ260" s="19"/>
      <c r="AK260" s="155"/>
    </row>
    <row r="261">
      <c r="E261" s="19"/>
      <c r="I261" s="170"/>
      <c r="AE261" s="170"/>
      <c r="AH261" s="171"/>
      <c r="AI261" s="171"/>
      <c r="AJ261" s="19"/>
      <c r="AK261" s="155"/>
    </row>
    <row r="262">
      <c r="E262" s="19"/>
      <c r="I262" s="170"/>
      <c r="AE262" s="170"/>
      <c r="AH262" s="171"/>
      <c r="AI262" s="171"/>
      <c r="AJ262" s="19"/>
      <c r="AK262" s="155"/>
    </row>
    <row r="263">
      <c r="E263" s="19"/>
      <c r="I263" s="170"/>
      <c r="AE263" s="170"/>
      <c r="AH263" s="171"/>
      <c r="AI263" s="171"/>
      <c r="AJ263" s="19"/>
      <c r="AK263" s="155"/>
    </row>
    <row r="264">
      <c r="E264" s="19"/>
      <c r="I264" s="170"/>
      <c r="AE264" s="170"/>
      <c r="AH264" s="171"/>
      <c r="AI264" s="171"/>
      <c r="AJ264" s="19"/>
      <c r="AK264" s="155"/>
    </row>
    <row r="265">
      <c r="E265" s="19"/>
      <c r="I265" s="170"/>
      <c r="AE265" s="170"/>
      <c r="AH265" s="171"/>
      <c r="AI265" s="171"/>
      <c r="AJ265" s="19"/>
      <c r="AK265" s="155"/>
    </row>
    <row r="266">
      <c r="E266" s="19"/>
      <c r="I266" s="170"/>
      <c r="AE266" s="170"/>
      <c r="AH266" s="171"/>
      <c r="AI266" s="171"/>
      <c r="AJ266" s="19"/>
      <c r="AK266" s="155"/>
    </row>
    <row r="267">
      <c r="E267" s="19"/>
      <c r="I267" s="170"/>
      <c r="AE267" s="170"/>
      <c r="AH267" s="171"/>
      <c r="AI267" s="171"/>
      <c r="AJ267" s="19"/>
      <c r="AK267" s="155"/>
    </row>
    <row r="268">
      <c r="E268" s="19"/>
      <c r="I268" s="170"/>
      <c r="AE268" s="170"/>
      <c r="AH268" s="171"/>
      <c r="AI268" s="171"/>
      <c r="AJ268" s="19"/>
      <c r="AK268" s="155"/>
    </row>
    <row r="269">
      <c r="E269" s="19"/>
      <c r="I269" s="170"/>
      <c r="AE269" s="170"/>
      <c r="AH269" s="171"/>
      <c r="AI269" s="171"/>
      <c r="AJ269" s="19"/>
      <c r="AK269" s="155"/>
    </row>
    <row r="270">
      <c r="E270" s="19"/>
      <c r="I270" s="170"/>
      <c r="AE270" s="170"/>
      <c r="AH270" s="171"/>
      <c r="AI270" s="171"/>
      <c r="AJ270" s="19"/>
      <c r="AK270" s="155"/>
    </row>
    <row r="271">
      <c r="E271" s="19"/>
      <c r="I271" s="170"/>
      <c r="AE271" s="170"/>
      <c r="AH271" s="171"/>
      <c r="AI271" s="171"/>
      <c r="AJ271" s="19"/>
      <c r="AK271" s="155"/>
    </row>
    <row r="272">
      <c r="E272" s="19"/>
      <c r="I272" s="170"/>
      <c r="AE272" s="170"/>
      <c r="AH272" s="171"/>
      <c r="AI272" s="171"/>
      <c r="AJ272" s="19"/>
      <c r="AK272" s="155"/>
    </row>
    <row r="273">
      <c r="E273" s="19"/>
      <c r="I273" s="170"/>
      <c r="AE273" s="170"/>
      <c r="AH273" s="171"/>
      <c r="AI273" s="171"/>
      <c r="AJ273" s="19"/>
      <c r="AK273" s="155"/>
    </row>
    <row r="274">
      <c r="E274" s="19"/>
      <c r="I274" s="170"/>
      <c r="AE274" s="170"/>
      <c r="AH274" s="171"/>
      <c r="AI274" s="171"/>
      <c r="AJ274" s="19"/>
      <c r="AK274" s="155"/>
    </row>
    <row r="275">
      <c r="E275" s="19"/>
      <c r="I275" s="170"/>
      <c r="AE275" s="170"/>
      <c r="AH275" s="171"/>
      <c r="AI275" s="171"/>
      <c r="AJ275" s="19"/>
      <c r="AK275" s="155"/>
    </row>
    <row r="276">
      <c r="E276" s="19"/>
      <c r="I276" s="170"/>
      <c r="AE276" s="170"/>
      <c r="AH276" s="171"/>
      <c r="AI276" s="171"/>
      <c r="AJ276" s="19"/>
      <c r="AK276" s="155"/>
    </row>
    <row r="277">
      <c r="E277" s="19"/>
      <c r="I277" s="170"/>
      <c r="AE277" s="170"/>
      <c r="AH277" s="171"/>
      <c r="AI277" s="171"/>
      <c r="AJ277" s="19"/>
      <c r="AK277" s="155"/>
    </row>
    <row r="278">
      <c r="E278" s="19"/>
      <c r="I278" s="170"/>
      <c r="AE278" s="170"/>
      <c r="AH278" s="171"/>
      <c r="AI278" s="171"/>
      <c r="AJ278" s="19"/>
      <c r="AK278" s="155"/>
    </row>
    <row r="279">
      <c r="E279" s="19"/>
      <c r="I279" s="170"/>
      <c r="AE279" s="170"/>
      <c r="AH279" s="171"/>
      <c r="AI279" s="171"/>
      <c r="AJ279" s="19"/>
      <c r="AK279" s="155"/>
    </row>
    <row r="280">
      <c r="E280" s="19"/>
      <c r="I280" s="170"/>
      <c r="AE280" s="170"/>
      <c r="AH280" s="171"/>
      <c r="AI280" s="171"/>
      <c r="AJ280" s="19"/>
      <c r="AK280" s="155"/>
    </row>
    <row r="281">
      <c r="E281" s="19"/>
      <c r="I281" s="170"/>
      <c r="AE281" s="170"/>
      <c r="AH281" s="171"/>
      <c r="AI281" s="171"/>
      <c r="AJ281" s="19"/>
      <c r="AK281" s="155"/>
    </row>
    <row r="282">
      <c r="E282" s="19"/>
      <c r="I282" s="170"/>
      <c r="AE282" s="170"/>
      <c r="AH282" s="171"/>
      <c r="AI282" s="171"/>
      <c r="AJ282" s="19"/>
      <c r="AK282" s="155"/>
    </row>
    <row r="283">
      <c r="E283" s="19"/>
      <c r="I283" s="170"/>
      <c r="AE283" s="170"/>
      <c r="AH283" s="171"/>
      <c r="AI283" s="171"/>
      <c r="AJ283" s="19"/>
      <c r="AK283" s="155"/>
    </row>
    <row r="284">
      <c r="E284" s="19"/>
      <c r="I284" s="170"/>
      <c r="AE284" s="170"/>
      <c r="AH284" s="171"/>
      <c r="AI284" s="171"/>
      <c r="AJ284" s="19"/>
      <c r="AK284" s="155"/>
    </row>
    <row r="285">
      <c r="E285" s="19"/>
      <c r="I285" s="170"/>
      <c r="AE285" s="170"/>
      <c r="AH285" s="171"/>
      <c r="AI285" s="171"/>
      <c r="AJ285" s="19"/>
      <c r="AK285" s="155"/>
    </row>
    <row r="286">
      <c r="E286" s="19"/>
      <c r="I286" s="170"/>
      <c r="AE286" s="170"/>
      <c r="AH286" s="171"/>
      <c r="AI286" s="171"/>
      <c r="AJ286" s="19"/>
      <c r="AK286" s="155"/>
    </row>
    <row r="287">
      <c r="E287" s="19"/>
      <c r="I287" s="170"/>
      <c r="AE287" s="170"/>
      <c r="AH287" s="171"/>
      <c r="AI287" s="171"/>
      <c r="AJ287" s="19"/>
      <c r="AK287" s="155"/>
    </row>
    <row r="288">
      <c r="E288" s="19"/>
      <c r="I288" s="170"/>
      <c r="AE288" s="170"/>
      <c r="AH288" s="171"/>
      <c r="AI288" s="171"/>
      <c r="AJ288" s="19"/>
      <c r="AK288" s="155"/>
    </row>
    <row r="289">
      <c r="E289" s="19"/>
      <c r="I289" s="170"/>
      <c r="AE289" s="170"/>
      <c r="AH289" s="171"/>
      <c r="AI289" s="171"/>
      <c r="AJ289" s="19"/>
      <c r="AK289" s="155"/>
    </row>
    <row r="290">
      <c r="E290" s="19"/>
      <c r="I290" s="170"/>
      <c r="AE290" s="170"/>
      <c r="AH290" s="171"/>
      <c r="AI290" s="171"/>
      <c r="AJ290" s="19"/>
      <c r="AK290" s="155"/>
    </row>
    <row r="291">
      <c r="E291" s="19"/>
      <c r="I291" s="170"/>
      <c r="AE291" s="170"/>
      <c r="AH291" s="171"/>
      <c r="AI291" s="171"/>
      <c r="AJ291" s="19"/>
      <c r="AK291" s="155"/>
    </row>
    <row r="292">
      <c r="E292" s="19"/>
      <c r="I292" s="170"/>
      <c r="AE292" s="170"/>
      <c r="AH292" s="171"/>
      <c r="AI292" s="171"/>
      <c r="AJ292" s="19"/>
      <c r="AK292" s="155"/>
    </row>
    <row r="293">
      <c r="E293" s="19"/>
      <c r="I293" s="170"/>
      <c r="AE293" s="170"/>
      <c r="AH293" s="171"/>
      <c r="AI293" s="171"/>
      <c r="AJ293" s="19"/>
      <c r="AK293" s="155"/>
    </row>
    <row r="294">
      <c r="E294" s="19"/>
      <c r="I294" s="170"/>
      <c r="AE294" s="170"/>
      <c r="AH294" s="171"/>
      <c r="AI294" s="171"/>
      <c r="AJ294" s="19"/>
      <c r="AK294" s="155"/>
    </row>
    <row r="295">
      <c r="E295" s="19"/>
      <c r="I295" s="170"/>
      <c r="AE295" s="170"/>
      <c r="AH295" s="171"/>
      <c r="AI295" s="171"/>
      <c r="AJ295" s="19"/>
      <c r="AK295" s="155"/>
    </row>
    <row r="296">
      <c r="E296" s="19"/>
      <c r="I296" s="170"/>
      <c r="AE296" s="170"/>
      <c r="AH296" s="171"/>
      <c r="AI296" s="171"/>
      <c r="AJ296" s="19"/>
      <c r="AK296" s="155"/>
    </row>
    <row r="297">
      <c r="E297" s="19"/>
      <c r="I297" s="170"/>
      <c r="AE297" s="170"/>
      <c r="AH297" s="171"/>
      <c r="AI297" s="171"/>
      <c r="AJ297" s="19"/>
      <c r="AK297" s="155"/>
    </row>
    <row r="298">
      <c r="E298" s="19"/>
      <c r="I298" s="170"/>
      <c r="AE298" s="170"/>
      <c r="AH298" s="171"/>
      <c r="AI298" s="171"/>
      <c r="AJ298" s="19"/>
      <c r="AK298" s="155"/>
    </row>
    <row r="299">
      <c r="E299" s="19"/>
      <c r="I299" s="170"/>
      <c r="AE299" s="170"/>
      <c r="AH299" s="171"/>
      <c r="AI299" s="171"/>
      <c r="AJ299" s="19"/>
      <c r="AK299" s="155"/>
    </row>
    <row r="300">
      <c r="E300" s="19"/>
      <c r="I300" s="170"/>
      <c r="AE300" s="170"/>
      <c r="AH300" s="171"/>
      <c r="AI300" s="171"/>
      <c r="AJ300" s="19"/>
      <c r="AK300" s="155"/>
    </row>
    <row r="301">
      <c r="E301" s="19"/>
      <c r="I301" s="170"/>
      <c r="AE301" s="170"/>
      <c r="AH301" s="171"/>
      <c r="AI301" s="171"/>
      <c r="AJ301" s="19"/>
      <c r="AK301" s="155"/>
    </row>
    <row r="302">
      <c r="E302" s="19"/>
      <c r="I302" s="170"/>
      <c r="AE302" s="170"/>
      <c r="AH302" s="171"/>
      <c r="AI302" s="171"/>
      <c r="AJ302" s="19"/>
      <c r="AK302" s="155"/>
    </row>
    <row r="303">
      <c r="E303" s="19"/>
      <c r="I303" s="170"/>
      <c r="AE303" s="170"/>
      <c r="AH303" s="171"/>
      <c r="AI303" s="171"/>
      <c r="AJ303" s="19"/>
      <c r="AK303" s="155"/>
    </row>
    <row r="304">
      <c r="E304" s="19"/>
      <c r="I304" s="170"/>
      <c r="AE304" s="170"/>
      <c r="AH304" s="171"/>
      <c r="AI304" s="171"/>
      <c r="AJ304" s="19"/>
      <c r="AK304" s="155"/>
    </row>
    <row r="305">
      <c r="E305" s="19"/>
      <c r="I305" s="170"/>
      <c r="AE305" s="170"/>
      <c r="AH305" s="171"/>
      <c r="AI305" s="171"/>
      <c r="AJ305" s="19"/>
      <c r="AK305" s="155"/>
    </row>
    <row r="306">
      <c r="E306" s="19"/>
      <c r="I306" s="170"/>
      <c r="AE306" s="170"/>
      <c r="AH306" s="171"/>
      <c r="AI306" s="171"/>
      <c r="AJ306" s="19"/>
      <c r="AK306" s="155"/>
    </row>
    <row r="307">
      <c r="E307" s="19"/>
      <c r="I307" s="170"/>
      <c r="AE307" s="170"/>
      <c r="AH307" s="171"/>
      <c r="AI307" s="171"/>
      <c r="AJ307" s="19"/>
      <c r="AK307" s="155"/>
    </row>
    <row r="308">
      <c r="E308" s="19"/>
      <c r="I308" s="170"/>
      <c r="AE308" s="170"/>
      <c r="AH308" s="171"/>
      <c r="AI308" s="171"/>
      <c r="AJ308" s="19"/>
      <c r="AK308" s="155"/>
    </row>
    <row r="309">
      <c r="E309" s="19"/>
      <c r="I309" s="170"/>
      <c r="AE309" s="170"/>
      <c r="AH309" s="171"/>
      <c r="AI309" s="171"/>
      <c r="AJ309" s="19"/>
      <c r="AK309" s="155"/>
    </row>
    <row r="310">
      <c r="E310" s="19"/>
      <c r="I310" s="170"/>
      <c r="AE310" s="170"/>
      <c r="AH310" s="171"/>
      <c r="AI310" s="171"/>
      <c r="AJ310" s="19"/>
      <c r="AK310" s="155"/>
    </row>
    <row r="311">
      <c r="E311" s="19"/>
      <c r="I311" s="170"/>
      <c r="AE311" s="170"/>
      <c r="AH311" s="171"/>
      <c r="AI311" s="171"/>
      <c r="AJ311" s="19"/>
      <c r="AK311" s="155"/>
    </row>
    <row r="312">
      <c r="E312" s="19"/>
      <c r="I312" s="170"/>
      <c r="AE312" s="170"/>
      <c r="AH312" s="171"/>
      <c r="AI312" s="171"/>
      <c r="AJ312" s="19"/>
      <c r="AK312" s="155"/>
    </row>
    <row r="313">
      <c r="E313" s="19"/>
      <c r="I313" s="170"/>
      <c r="AE313" s="170"/>
      <c r="AH313" s="171"/>
      <c r="AI313" s="171"/>
      <c r="AJ313" s="19"/>
      <c r="AK313" s="155"/>
    </row>
    <row r="314">
      <c r="E314" s="19"/>
      <c r="I314" s="170"/>
      <c r="AE314" s="170"/>
      <c r="AH314" s="171"/>
      <c r="AI314" s="171"/>
      <c r="AJ314" s="19"/>
      <c r="AK314" s="155"/>
    </row>
    <row r="315">
      <c r="E315" s="19"/>
      <c r="I315" s="170"/>
      <c r="AE315" s="170"/>
      <c r="AH315" s="171"/>
      <c r="AI315" s="171"/>
      <c r="AJ315" s="19"/>
      <c r="AK315" s="155"/>
    </row>
    <row r="316">
      <c r="E316" s="19"/>
      <c r="I316" s="170"/>
      <c r="AE316" s="170"/>
      <c r="AH316" s="171"/>
      <c r="AI316" s="171"/>
      <c r="AJ316" s="19"/>
      <c r="AK316" s="155"/>
    </row>
    <row r="317">
      <c r="E317" s="19"/>
      <c r="I317" s="170"/>
      <c r="AE317" s="170"/>
      <c r="AH317" s="171"/>
      <c r="AI317" s="171"/>
      <c r="AJ317" s="19"/>
      <c r="AK317" s="155"/>
    </row>
    <row r="318">
      <c r="E318" s="19"/>
      <c r="I318" s="170"/>
      <c r="AE318" s="170"/>
      <c r="AH318" s="171"/>
      <c r="AI318" s="171"/>
      <c r="AJ318" s="19"/>
      <c r="AK318" s="155"/>
    </row>
    <row r="319">
      <c r="E319" s="19"/>
      <c r="I319" s="170"/>
      <c r="AE319" s="170"/>
      <c r="AH319" s="171"/>
      <c r="AI319" s="171"/>
      <c r="AJ319" s="19"/>
      <c r="AK319" s="155"/>
    </row>
    <row r="320">
      <c r="E320" s="19"/>
      <c r="I320" s="170"/>
      <c r="AE320" s="170"/>
      <c r="AH320" s="171"/>
      <c r="AI320" s="171"/>
      <c r="AJ320" s="19"/>
      <c r="AK320" s="155"/>
    </row>
    <row r="321">
      <c r="E321" s="19"/>
      <c r="I321" s="170"/>
      <c r="AE321" s="170"/>
      <c r="AH321" s="171"/>
      <c r="AI321" s="171"/>
      <c r="AJ321" s="19"/>
      <c r="AK321" s="155"/>
    </row>
    <row r="322">
      <c r="E322" s="19"/>
      <c r="I322" s="170"/>
      <c r="AE322" s="170"/>
      <c r="AH322" s="171"/>
      <c r="AI322" s="171"/>
      <c r="AJ322" s="19"/>
      <c r="AK322" s="155"/>
    </row>
    <row r="323">
      <c r="E323" s="19"/>
      <c r="I323" s="170"/>
      <c r="AE323" s="170"/>
      <c r="AH323" s="171"/>
      <c r="AI323" s="171"/>
      <c r="AJ323" s="19"/>
      <c r="AK323" s="155"/>
    </row>
    <row r="324">
      <c r="E324" s="19"/>
      <c r="I324" s="170"/>
      <c r="AE324" s="170"/>
      <c r="AH324" s="171"/>
      <c r="AI324" s="171"/>
      <c r="AJ324" s="19"/>
      <c r="AK324" s="155"/>
    </row>
    <row r="325">
      <c r="E325" s="19"/>
      <c r="I325" s="170"/>
      <c r="AE325" s="170"/>
      <c r="AH325" s="171"/>
      <c r="AI325" s="171"/>
      <c r="AJ325" s="19"/>
      <c r="AK325" s="155"/>
    </row>
    <row r="326">
      <c r="E326" s="19"/>
      <c r="I326" s="170"/>
      <c r="AE326" s="170"/>
      <c r="AH326" s="171"/>
      <c r="AI326" s="171"/>
      <c r="AJ326" s="19"/>
      <c r="AK326" s="155"/>
    </row>
    <row r="327">
      <c r="E327" s="19"/>
      <c r="I327" s="170"/>
      <c r="AE327" s="170"/>
      <c r="AH327" s="171"/>
      <c r="AI327" s="171"/>
      <c r="AJ327" s="19"/>
      <c r="AK327" s="155"/>
    </row>
    <row r="328">
      <c r="E328" s="19"/>
      <c r="I328" s="170"/>
      <c r="AE328" s="170"/>
      <c r="AH328" s="171"/>
      <c r="AI328" s="171"/>
      <c r="AJ328" s="19"/>
      <c r="AK328" s="155"/>
    </row>
    <row r="329">
      <c r="E329" s="19"/>
      <c r="I329" s="170"/>
      <c r="AE329" s="170"/>
      <c r="AH329" s="171"/>
      <c r="AI329" s="171"/>
      <c r="AJ329" s="19"/>
      <c r="AK329" s="155"/>
    </row>
    <row r="330">
      <c r="E330" s="19"/>
      <c r="I330" s="170"/>
      <c r="AE330" s="170"/>
      <c r="AH330" s="171"/>
      <c r="AI330" s="171"/>
      <c r="AJ330" s="19"/>
      <c r="AK330" s="155"/>
    </row>
    <row r="331">
      <c r="E331" s="19"/>
      <c r="I331" s="170"/>
      <c r="AE331" s="170"/>
      <c r="AH331" s="171"/>
      <c r="AI331" s="171"/>
      <c r="AJ331" s="19"/>
      <c r="AK331" s="155"/>
    </row>
    <row r="332">
      <c r="E332" s="19"/>
      <c r="I332" s="170"/>
      <c r="AE332" s="170"/>
      <c r="AH332" s="171"/>
      <c r="AI332" s="171"/>
      <c r="AJ332" s="19"/>
      <c r="AK332" s="155"/>
    </row>
    <row r="333">
      <c r="E333" s="19"/>
      <c r="I333" s="170"/>
      <c r="AE333" s="170"/>
      <c r="AH333" s="171"/>
      <c r="AI333" s="171"/>
      <c r="AJ333" s="19"/>
      <c r="AK333" s="155"/>
    </row>
    <row r="334">
      <c r="E334" s="19"/>
      <c r="I334" s="170"/>
      <c r="AE334" s="170"/>
      <c r="AH334" s="171"/>
      <c r="AI334" s="171"/>
      <c r="AJ334" s="19"/>
      <c r="AK334" s="155"/>
    </row>
    <row r="335">
      <c r="E335" s="19"/>
      <c r="I335" s="170"/>
      <c r="AE335" s="170"/>
      <c r="AH335" s="171"/>
      <c r="AI335" s="171"/>
      <c r="AJ335" s="19"/>
      <c r="AK335" s="155"/>
    </row>
    <row r="336">
      <c r="E336" s="19"/>
      <c r="I336" s="170"/>
      <c r="AE336" s="170"/>
      <c r="AH336" s="171"/>
      <c r="AI336" s="171"/>
      <c r="AJ336" s="19"/>
      <c r="AK336" s="155"/>
    </row>
    <row r="337">
      <c r="E337" s="19"/>
      <c r="I337" s="170"/>
      <c r="AE337" s="170"/>
      <c r="AH337" s="171"/>
      <c r="AI337" s="171"/>
      <c r="AJ337" s="19"/>
      <c r="AK337" s="155"/>
    </row>
    <row r="338">
      <c r="E338" s="19"/>
      <c r="I338" s="170"/>
      <c r="AE338" s="170"/>
      <c r="AH338" s="171"/>
      <c r="AI338" s="171"/>
      <c r="AJ338" s="19"/>
      <c r="AK338" s="155"/>
    </row>
    <row r="339">
      <c r="E339" s="19"/>
      <c r="I339" s="170"/>
      <c r="AE339" s="170"/>
      <c r="AH339" s="171"/>
      <c r="AI339" s="171"/>
      <c r="AJ339" s="19"/>
      <c r="AK339" s="155"/>
    </row>
    <row r="340">
      <c r="E340" s="19"/>
      <c r="I340" s="170"/>
      <c r="AE340" s="170"/>
      <c r="AH340" s="171"/>
      <c r="AI340" s="171"/>
      <c r="AJ340" s="19"/>
      <c r="AK340" s="155"/>
    </row>
    <row r="341">
      <c r="E341" s="19"/>
      <c r="I341" s="170"/>
      <c r="AE341" s="170"/>
      <c r="AH341" s="171"/>
      <c r="AI341" s="171"/>
      <c r="AJ341" s="19"/>
      <c r="AK341" s="155"/>
    </row>
    <row r="342">
      <c r="E342" s="19"/>
      <c r="I342" s="170"/>
      <c r="AE342" s="170"/>
      <c r="AH342" s="171"/>
      <c r="AI342" s="171"/>
      <c r="AJ342" s="19"/>
      <c r="AK342" s="155"/>
    </row>
    <row r="343">
      <c r="E343" s="19"/>
      <c r="I343" s="170"/>
      <c r="AE343" s="170"/>
      <c r="AH343" s="171"/>
      <c r="AI343" s="171"/>
      <c r="AJ343" s="19"/>
      <c r="AK343" s="155"/>
    </row>
    <row r="344">
      <c r="E344" s="19"/>
      <c r="I344" s="170"/>
      <c r="AE344" s="170"/>
      <c r="AH344" s="171"/>
      <c r="AI344" s="171"/>
      <c r="AJ344" s="19"/>
      <c r="AK344" s="155"/>
    </row>
    <row r="345">
      <c r="E345" s="19"/>
      <c r="I345" s="170"/>
      <c r="AE345" s="170"/>
      <c r="AH345" s="171"/>
      <c r="AI345" s="171"/>
      <c r="AJ345" s="19"/>
      <c r="AK345" s="155"/>
    </row>
    <row r="346">
      <c r="E346" s="19"/>
      <c r="I346" s="170"/>
      <c r="AE346" s="170"/>
      <c r="AH346" s="171"/>
      <c r="AI346" s="171"/>
      <c r="AJ346" s="19"/>
      <c r="AK346" s="155"/>
    </row>
    <row r="347">
      <c r="E347" s="19"/>
      <c r="I347" s="170"/>
      <c r="AE347" s="170"/>
      <c r="AH347" s="171"/>
      <c r="AI347" s="171"/>
      <c r="AJ347" s="19"/>
      <c r="AK347" s="155"/>
    </row>
    <row r="348">
      <c r="E348" s="19"/>
      <c r="I348" s="170"/>
      <c r="AE348" s="170"/>
      <c r="AH348" s="171"/>
      <c r="AI348" s="171"/>
      <c r="AJ348" s="19"/>
      <c r="AK348" s="155"/>
    </row>
    <row r="349">
      <c r="E349" s="19"/>
      <c r="I349" s="170"/>
      <c r="AE349" s="170"/>
      <c r="AH349" s="171"/>
      <c r="AI349" s="171"/>
      <c r="AJ349" s="19"/>
      <c r="AK349" s="155"/>
    </row>
    <row r="350">
      <c r="E350" s="19"/>
      <c r="I350" s="170"/>
      <c r="AE350" s="170"/>
      <c r="AH350" s="171"/>
      <c r="AI350" s="171"/>
      <c r="AJ350" s="19"/>
      <c r="AK350" s="155"/>
    </row>
    <row r="351">
      <c r="E351" s="19"/>
      <c r="I351" s="170"/>
      <c r="AE351" s="170"/>
      <c r="AH351" s="171"/>
      <c r="AI351" s="171"/>
      <c r="AJ351" s="19"/>
      <c r="AK351" s="155"/>
    </row>
    <row r="352">
      <c r="E352" s="19"/>
      <c r="I352" s="170"/>
      <c r="AE352" s="170"/>
      <c r="AH352" s="171"/>
      <c r="AI352" s="171"/>
      <c r="AJ352" s="19"/>
      <c r="AK352" s="155"/>
    </row>
    <row r="353">
      <c r="E353" s="19"/>
      <c r="I353" s="170"/>
      <c r="AE353" s="170"/>
      <c r="AH353" s="171"/>
      <c r="AI353" s="171"/>
      <c r="AJ353" s="19"/>
      <c r="AK353" s="155"/>
    </row>
    <row r="354">
      <c r="E354" s="19"/>
      <c r="I354" s="170"/>
      <c r="AE354" s="170"/>
      <c r="AH354" s="171"/>
      <c r="AI354" s="171"/>
      <c r="AJ354" s="19"/>
      <c r="AK354" s="155"/>
    </row>
    <row r="355">
      <c r="E355" s="19"/>
      <c r="I355" s="170"/>
      <c r="AE355" s="170"/>
      <c r="AH355" s="171"/>
      <c r="AI355" s="171"/>
      <c r="AJ355" s="19"/>
      <c r="AK355" s="155"/>
    </row>
    <row r="356">
      <c r="E356" s="19"/>
      <c r="I356" s="170"/>
      <c r="AE356" s="170"/>
      <c r="AH356" s="171"/>
      <c r="AI356" s="171"/>
      <c r="AJ356" s="19"/>
      <c r="AK356" s="155"/>
    </row>
    <row r="357">
      <c r="E357" s="19"/>
      <c r="I357" s="170"/>
      <c r="AE357" s="170"/>
      <c r="AH357" s="171"/>
      <c r="AI357" s="171"/>
      <c r="AJ357" s="19"/>
      <c r="AK357" s="155"/>
    </row>
    <row r="358">
      <c r="E358" s="19"/>
      <c r="I358" s="170"/>
      <c r="AE358" s="170"/>
      <c r="AH358" s="171"/>
      <c r="AI358" s="171"/>
      <c r="AJ358" s="19"/>
      <c r="AK358" s="155"/>
    </row>
    <row r="359">
      <c r="E359" s="19"/>
      <c r="I359" s="170"/>
      <c r="AE359" s="170"/>
      <c r="AH359" s="171"/>
      <c r="AI359" s="171"/>
      <c r="AJ359" s="19"/>
      <c r="AK359" s="155"/>
    </row>
    <row r="360">
      <c r="E360" s="19"/>
      <c r="I360" s="170"/>
      <c r="AE360" s="170"/>
      <c r="AH360" s="171"/>
      <c r="AI360" s="171"/>
      <c r="AJ360" s="19"/>
      <c r="AK360" s="155"/>
    </row>
    <row r="361">
      <c r="E361" s="19"/>
      <c r="I361" s="170"/>
      <c r="AE361" s="170"/>
      <c r="AH361" s="171"/>
      <c r="AI361" s="171"/>
      <c r="AJ361" s="19"/>
      <c r="AK361" s="155"/>
    </row>
    <row r="362">
      <c r="E362" s="19"/>
      <c r="I362" s="170"/>
      <c r="AE362" s="170"/>
      <c r="AH362" s="171"/>
      <c r="AI362" s="171"/>
      <c r="AJ362" s="19"/>
      <c r="AK362" s="155"/>
    </row>
    <row r="363">
      <c r="E363" s="19"/>
      <c r="I363" s="170"/>
      <c r="AE363" s="170"/>
      <c r="AH363" s="171"/>
      <c r="AI363" s="171"/>
      <c r="AJ363" s="19"/>
      <c r="AK363" s="155"/>
    </row>
    <row r="364">
      <c r="E364" s="19"/>
      <c r="I364" s="170"/>
      <c r="AE364" s="170"/>
      <c r="AH364" s="171"/>
      <c r="AI364" s="171"/>
      <c r="AJ364" s="19"/>
      <c r="AK364" s="155"/>
    </row>
    <row r="365">
      <c r="E365" s="19"/>
      <c r="I365" s="170"/>
      <c r="AE365" s="170"/>
      <c r="AH365" s="171"/>
      <c r="AI365" s="171"/>
      <c r="AJ365" s="19"/>
      <c r="AK365" s="155"/>
    </row>
    <row r="366">
      <c r="E366" s="19"/>
      <c r="I366" s="170"/>
      <c r="AE366" s="170"/>
      <c r="AH366" s="171"/>
      <c r="AI366" s="171"/>
      <c r="AJ366" s="19"/>
      <c r="AK366" s="155"/>
    </row>
    <row r="367">
      <c r="E367" s="19"/>
      <c r="I367" s="170"/>
      <c r="AE367" s="170"/>
      <c r="AH367" s="171"/>
      <c r="AI367" s="171"/>
      <c r="AJ367" s="19"/>
      <c r="AK367" s="155"/>
    </row>
    <row r="368">
      <c r="E368" s="19"/>
      <c r="I368" s="170"/>
      <c r="AE368" s="170"/>
      <c r="AH368" s="171"/>
      <c r="AI368" s="171"/>
      <c r="AJ368" s="19"/>
      <c r="AK368" s="155"/>
    </row>
    <row r="369">
      <c r="E369" s="19"/>
      <c r="I369" s="170"/>
      <c r="AE369" s="170"/>
      <c r="AH369" s="171"/>
      <c r="AI369" s="171"/>
      <c r="AJ369" s="19"/>
      <c r="AK369" s="155"/>
    </row>
    <row r="370">
      <c r="E370" s="19"/>
      <c r="I370" s="170"/>
      <c r="AE370" s="170"/>
      <c r="AH370" s="171"/>
      <c r="AI370" s="171"/>
      <c r="AJ370" s="19"/>
      <c r="AK370" s="155"/>
    </row>
    <row r="371">
      <c r="E371" s="19"/>
      <c r="I371" s="170"/>
      <c r="AE371" s="170"/>
      <c r="AH371" s="171"/>
      <c r="AI371" s="171"/>
      <c r="AJ371" s="19"/>
      <c r="AK371" s="155"/>
    </row>
    <row r="372">
      <c r="E372" s="19"/>
      <c r="I372" s="170"/>
      <c r="AE372" s="170"/>
      <c r="AH372" s="171"/>
      <c r="AI372" s="171"/>
      <c r="AJ372" s="19"/>
      <c r="AK372" s="155"/>
    </row>
    <row r="373">
      <c r="E373" s="19"/>
      <c r="I373" s="170"/>
      <c r="AE373" s="170"/>
      <c r="AH373" s="171"/>
      <c r="AI373" s="171"/>
      <c r="AJ373" s="19"/>
      <c r="AK373" s="155"/>
    </row>
    <row r="374">
      <c r="E374" s="19"/>
      <c r="I374" s="170"/>
      <c r="AE374" s="170"/>
      <c r="AH374" s="171"/>
      <c r="AI374" s="171"/>
      <c r="AJ374" s="19"/>
      <c r="AK374" s="155"/>
    </row>
    <row r="375">
      <c r="E375" s="19"/>
      <c r="I375" s="170"/>
      <c r="AE375" s="170"/>
      <c r="AH375" s="171"/>
      <c r="AI375" s="171"/>
      <c r="AJ375" s="19"/>
      <c r="AK375" s="155"/>
    </row>
    <row r="376">
      <c r="E376" s="19"/>
      <c r="I376" s="170"/>
      <c r="AE376" s="170"/>
      <c r="AH376" s="171"/>
      <c r="AI376" s="171"/>
      <c r="AJ376" s="19"/>
      <c r="AK376" s="155"/>
    </row>
    <row r="377">
      <c r="E377" s="19"/>
      <c r="I377" s="170"/>
      <c r="AE377" s="170"/>
      <c r="AH377" s="171"/>
      <c r="AI377" s="171"/>
      <c r="AJ377" s="19"/>
      <c r="AK377" s="155"/>
    </row>
    <row r="378">
      <c r="E378" s="19"/>
      <c r="I378" s="170"/>
      <c r="AE378" s="170"/>
      <c r="AH378" s="171"/>
      <c r="AI378" s="171"/>
      <c r="AJ378" s="19"/>
      <c r="AK378" s="155"/>
    </row>
    <row r="379">
      <c r="E379" s="19"/>
      <c r="I379" s="170"/>
      <c r="AE379" s="170"/>
      <c r="AH379" s="171"/>
      <c r="AI379" s="171"/>
      <c r="AJ379" s="19"/>
      <c r="AK379" s="155"/>
    </row>
    <row r="380">
      <c r="E380" s="19"/>
      <c r="I380" s="170"/>
      <c r="AE380" s="170"/>
      <c r="AH380" s="171"/>
      <c r="AI380" s="171"/>
      <c r="AJ380" s="19"/>
      <c r="AK380" s="155"/>
    </row>
    <row r="381">
      <c r="E381" s="19"/>
      <c r="I381" s="170"/>
      <c r="AE381" s="170"/>
      <c r="AH381" s="171"/>
      <c r="AI381" s="171"/>
      <c r="AJ381" s="19"/>
      <c r="AK381" s="155"/>
    </row>
    <row r="382">
      <c r="E382" s="19"/>
      <c r="I382" s="170"/>
      <c r="AE382" s="170"/>
      <c r="AH382" s="171"/>
      <c r="AI382" s="171"/>
      <c r="AJ382" s="19"/>
      <c r="AK382" s="155"/>
    </row>
    <row r="383">
      <c r="E383" s="19"/>
      <c r="I383" s="170"/>
      <c r="AE383" s="170"/>
      <c r="AH383" s="171"/>
      <c r="AI383" s="171"/>
      <c r="AJ383" s="19"/>
      <c r="AK383" s="155"/>
    </row>
    <row r="384">
      <c r="E384" s="19"/>
      <c r="I384" s="170"/>
      <c r="AE384" s="170"/>
      <c r="AH384" s="171"/>
      <c r="AI384" s="171"/>
      <c r="AJ384" s="19"/>
      <c r="AK384" s="155"/>
    </row>
    <row r="385">
      <c r="E385" s="19"/>
      <c r="I385" s="170"/>
      <c r="AE385" s="170"/>
      <c r="AH385" s="171"/>
      <c r="AI385" s="171"/>
      <c r="AJ385" s="19"/>
      <c r="AK385" s="155"/>
    </row>
    <row r="386">
      <c r="E386" s="19"/>
      <c r="I386" s="170"/>
      <c r="AE386" s="170"/>
      <c r="AH386" s="171"/>
      <c r="AI386" s="171"/>
      <c r="AJ386" s="19"/>
      <c r="AK386" s="155"/>
    </row>
    <row r="387">
      <c r="E387" s="19"/>
      <c r="I387" s="170"/>
      <c r="AE387" s="170"/>
      <c r="AH387" s="171"/>
      <c r="AI387" s="171"/>
      <c r="AJ387" s="19"/>
      <c r="AK387" s="155"/>
    </row>
    <row r="388">
      <c r="E388" s="19"/>
      <c r="I388" s="170"/>
      <c r="AE388" s="170"/>
      <c r="AH388" s="171"/>
      <c r="AI388" s="171"/>
      <c r="AJ388" s="19"/>
      <c r="AK388" s="155"/>
    </row>
    <row r="389">
      <c r="E389" s="19"/>
      <c r="I389" s="170"/>
      <c r="AE389" s="170"/>
      <c r="AH389" s="171"/>
      <c r="AI389" s="171"/>
      <c r="AJ389" s="19"/>
      <c r="AK389" s="155"/>
    </row>
    <row r="390">
      <c r="E390" s="19"/>
      <c r="I390" s="170"/>
      <c r="AE390" s="170"/>
      <c r="AH390" s="171"/>
      <c r="AI390" s="171"/>
      <c r="AJ390" s="19"/>
      <c r="AK390" s="155"/>
    </row>
    <row r="391">
      <c r="E391" s="19"/>
      <c r="I391" s="170"/>
      <c r="AE391" s="170"/>
      <c r="AH391" s="171"/>
      <c r="AI391" s="171"/>
      <c r="AJ391" s="19"/>
      <c r="AK391" s="155"/>
    </row>
    <row r="392">
      <c r="E392" s="19"/>
      <c r="I392" s="170"/>
      <c r="AE392" s="170"/>
      <c r="AH392" s="171"/>
      <c r="AI392" s="171"/>
      <c r="AJ392" s="19"/>
      <c r="AK392" s="155"/>
    </row>
    <row r="393">
      <c r="E393" s="19"/>
      <c r="I393" s="170"/>
      <c r="AE393" s="170"/>
      <c r="AH393" s="171"/>
      <c r="AI393" s="171"/>
      <c r="AJ393" s="19"/>
      <c r="AK393" s="155"/>
    </row>
    <row r="394">
      <c r="E394" s="19"/>
      <c r="I394" s="170"/>
      <c r="AE394" s="170"/>
      <c r="AH394" s="171"/>
      <c r="AI394" s="171"/>
      <c r="AJ394" s="19"/>
      <c r="AK394" s="155"/>
    </row>
    <row r="395">
      <c r="E395" s="19"/>
      <c r="I395" s="170"/>
      <c r="AE395" s="170"/>
      <c r="AH395" s="171"/>
      <c r="AI395" s="171"/>
      <c r="AJ395" s="19"/>
      <c r="AK395" s="155"/>
    </row>
    <row r="396">
      <c r="E396" s="19"/>
      <c r="I396" s="170"/>
      <c r="AE396" s="170"/>
      <c r="AH396" s="171"/>
      <c r="AI396" s="171"/>
      <c r="AJ396" s="19"/>
      <c r="AK396" s="155"/>
    </row>
    <row r="397">
      <c r="E397" s="19"/>
      <c r="I397" s="170"/>
      <c r="AE397" s="170"/>
      <c r="AH397" s="171"/>
      <c r="AI397" s="171"/>
      <c r="AJ397" s="19"/>
      <c r="AK397" s="155"/>
    </row>
    <row r="398">
      <c r="E398" s="19"/>
      <c r="I398" s="170"/>
      <c r="AE398" s="170"/>
      <c r="AH398" s="171"/>
      <c r="AI398" s="171"/>
      <c r="AJ398" s="19"/>
      <c r="AK398" s="155"/>
    </row>
    <row r="399">
      <c r="E399" s="19"/>
      <c r="I399" s="170"/>
      <c r="AE399" s="170"/>
      <c r="AH399" s="171"/>
      <c r="AI399" s="171"/>
      <c r="AJ399" s="19"/>
      <c r="AK399" s="155"/>
    </row>
    <row r="400">
      <c r="E400" s="19"/>
      <c r="I400" s="170"/>
      <c r="AE400" s="170"/>
      <c r="AH400" s="171"/>
      <c r="AI400" s="171"/>
      <c r="AJ400" s="19"/>
      <c r="AK400" s="155"/>
    </row>
    <row r="401">
      <c r="E401" s="19"/>
      <c r="I401" s="170"/>
      <c r="AE401" s="170"/>
      <c r="AH401" s="171"/>
      <c r="AI401" s="171"/>
      <c r="AJ401" s="19"/>
      <c r="AK401" s="155"/>
    </row>
    <row r="402">
      <c r="E402" s="19"/>
      <c r="I402" s="170"/>
      <c r="AE402" s="170"/>
      <c r="AH402" s="171"/>
      <c r="AI402" s="171"/>
      <c r="AJ402" s="19"/>
      <c r="AK402" s="155"/>
    </row>
    <row r="403">
      <c r="E403" s="19"/>
      <c r="I403" s="170"/>
      <c r="AE403" s="170"/>
      <c r="AH403" s="171"/>
      <c r="AI403" s="171"/>
      <c r="AJ403" s="19"/>
      <c r="AK403" s="155"/>
    </row>
    <row r="404">
      <c r="E404" s="19"/>
      <c r="I404" s="170"/>
      <c r="AE404" s="170"/>
      <c r="AH404" s="171"/>
      <c r="AI404" s="171"/>
      <c r="AJ404" s="19"/>
      <c r="AK404" s="155"/>
    </row>
    <row r="405">
      <c r="E405" s="19"/>
      <c r="I405" s="170"/>
      <c r="AE405" s="170"/>
      <c r="AH405" s="171"/>
      <c r="AI405" s="171"/>
      <c r="AJ405" s="19"/>
      <c r="AK405" s="155"/>
    </row>
    <row r="406">
      <c r="E406" s="19"/>
      <c r="I406" s="170"/>
      <c r="AE406" s="170"/>
      <c r="AH406" s="171"/>
      <c r="AI406" s="171"/>
      <c r="AJ406" s="19"/>
      <c r="AK406" s="155"/>
    </row>
    <row r="407">
      <c r="E407" s="19"/>
      <c r="I407" s="170"/>
      <c r="AE407" s="170"/>
      <c r="AH407" s="171"/>
      <c r="AI407" s="171"/>
      <c r="AJ407" s="19"/>
      <c r="AK407" s="155"/>
    </row>
    <row r="408">
      <c r="E408" s="19"/>
      <c r="I408" s="170"/>
      <c r="AE408" s="170"/>
      <c r="AH408" s="171"/>
      <c r="AI408" s="171"/>
      <c r="AJ408" s="19"/>
      <c r="AK408" s="155"/>
    </row>
    <row r="409">
      <c r="E409" s="19"/>
      <c r="I409" s="170"/>
      <c r="AE409" s="170"/>
      <c r="AH409" s="171"/>
      <c r="AI409" s="171"/>
      <c r="AJ409" s="19"/>
      <c r="AK409" s="155"/>
    </row>
    <row r="410">
      <c r="E410" s="19"/>
      <c r="I410" s="170"/>
      <c r="AE410" s="170"/>
      <c r="AH410" s="171"/>
      <c r="AI410" s="171"/>
      <c r="AJ410" s="19"/>
      <c r="AK410" s="155"/>
    </row>
    <row r="411">
      <c r="E411" s="19"/>
      <c r="I411" s="170"/>
      <c r="AE411" s="170"/>
      <c r="AH411" s="171"/>
      <c r="AI411" s="171"/>
      <c r="AJ411" s="19"/>
      <c r="AK411" s="155"/>
    </row>
    <row r="412">
      <c r="E412" s="19"/>
      <c r="I412" s="170"/>
      <c r="AE412" s="170"/>
      <c r="AH412" s="171"/>
      <c r="AI412" s="171"/>
      <c r="AJ412" s="19"/>
      <c r="AK412" s="155"/>
    </row>
    <row r="413">
      <c r="E413" s="19"/>
      <c r="I413" s="170"/>
      <c r="AE413" s="170"/>
      <c r="AH413" s="171"/>
      <c r="AI413" s="171"/>
      <c r="AJ413" s="19"/>
      <c r="AK413" s="155"/>
    </row>
    <row r="414">
      <c r="E414" s="19"/>
      <c r="I414" s="170"/>
      <c r="AE414" s="170"/>
      <c r="AH414" s="171"/>
      <c r="AI414" s="171"/>
      <c r="AJ414" s="19"/>
      <c r="AK414" s="155"/>
    </row>
    <row r="415">
      <c r="E415" s="19"/>
      <c r="I415" s="170"/>
      <c r="AE415" s="170"/>
      <c r="AH415" s="171"/>
      <c r="AI415" s="171"/>
      <c r="AJ415" s="19"/>
      <c r="AK415" s="155"/>
    </row>
    <row r="416">
      <c r="E416" s="19"/>
      <c r="I416" s="170"/>
      <c r="AE416" s="170"/>
      <c r="AH416" s="171"/>
      <c r="AI416" s="171"/>
      <c r="AJ416" s="19"/>
      <c r="AK416" s="155"/>
    </row>
    <row r="417">
      <c r="E417" s="19"/>
      <c r="I417" s="170"/>
      <c r="AE417" s="170"/>
      <c r="AH417" s="171"/>
      <c r="AI417" s="171"/>
      <c r="AJ417" s="19"/>
      <c r="AK417" s="155"/>
    </row>
    <row r="418">
      <c r="E418" s="19"/>
      <c r="I418" s="170"/>
      <c r="AE418" s="170"/>
      <c r="AH418" s="171"/>
      <c r="AI418" s="171"/>
      <c r="AJ418" s="19"/>
      <c r="AK418" s="155"/>
    </row>
    <row r="419">
      <c r="E419" s="19"/>
      <c r="I419" s="170"/>
      <c r="AE419" s="170"/>
      <c r="AH419" s="171"/>
      <c r="AI419" s="171"/>
      <c r="AJ419" s="19"/>
      <c r="AK419" s="155"/>
    </row>
    <row r="420">
      <c r="E420" s="19"/>
      <c r="I420" s="170"/>
      <c r="AE420" s="170"/>
      <c r="AH420" s="171"/>
      <c r="AI420" s="171"/>
      <c r="AJ420" s="19"/>
      <c r="AK420" s="155"/>
    </row>
    <row r="421">
      <c r="E421" s="19"/>
      <c r="I421" s="170"/>
      <c r="AE421" s="170"/>
      <c r="AH421" s="171"/>
      <c r="AI421" s="171"/>
      <c r="AJ421" s="19"/>
      <c r="AK421" s="155"/>
    </row>
    <row r="422">
      <c r="E422" s="19"/>
      <c r="I422" s="170"/>
      <c r="AE422" s="170"/>
      <c r="AH422" s="171"/>
      <c r="AI422" s="171"/>
      <c r="AJ422" s="19"/>
      <c r="AK422" s="155"/>
    </row>
    <row r="423">
      <c r="E423" s="19"/>
      <c r="I423" s="170"/>
      <c r="AE423" s="170"/>
      <c r="AH423" s="171"/>
      <c r="AI423" s="171"/>
      <c r="AJ423" s="19"/>
      <c r="AK423" s="155"/>
    </row>
    <row r="424">
      <c r="E424" s="19"/>
      <c r="I424" s="170"/>
      <c r="AE424" s="170"/>
      <c r="AH424" s="171"/>
      <c r="AI424" s="171"/>
      <c r="AJ424" s="19"/>
      <c r="AK424" s="155"/>
    </row>
    <row r="425">
      <c r="E425" s="19"/>
      <c r="I425" s="170"/>
      <c r="AE425" s="170"/>
      <c r="AH425" s="171"/>
      <c r="AI425" s="171"/>
      <c r="AJ425" s="19"/>
      <c r="AK425" s="155"/>
    </row>
    <row r="426">
      <c r="E426" s="19"/>
      <c r="I426" s="170"/>
      <c r="AE426" s="170"/>
      <c r="AH426" s="171"/>
      <c r="AI426" s="171"/>
      <c r="AJ426" s="19"/>
      <c r="AK426" s="155"/>
    </row>
    <row r="427">
      <c r="E427" s="19"/>
      <c r="I427" s="170"/>
      <c r="AE427" s="170"/>
      <c r="AH427" s="171"/>
      <c r="AI427" s="171"/>
      <c r="AJ427" s="19"/>
      <c r="AK427" s="155"/>
    </row>
    <row r="428">
      <c r="E428" s="19"/>
      <c r="I428" s="170"/>
      <c r="AE428" s="170"/>
      <c r="AH428" s="171"/>
      <c r="AI428" s="171"/>
      <c r="AJ428" s="19"/>
      <c r="AK428" s="155"/>
    </row>
    <row r="429">
      <c r="E429" s="19"/>
      <c r="I429" s="170"/>
      <c r="AE429" s="170"/>
      <c r="AH429" s="171"/>
      <c r="AI429" s="171"/>
      <c r="AJ429" s="19"/>
      <c r="AK429" s="155"/>
    </row>
    <row r="430">
      <c r="E430" s="19"/>
      <c r="I430" s="170"/>
      <c r="AE430" s="170"/>
      <c r="AH430" s="171"/>
      <c r="AI430" s="171"/>
      <c r="AJ430" s="19"/>
      <c r="AK430" s="155"/>
    </row>
    <row r="431">
      <c r="E431" s="19"/>
      <c r="I431" s="170"/>
      <c r="AE431" s="170"/>
      <c r="AH431" s="171"/>
      <c r="AI431" s="171"/>
      <c r="AJ431" s="19"/>
      <c r="AK431" s="155"/>
    </row>
    <row r="432">
      <c r="E432" s="19"/>
      <c r="I432" s="170"/>
      <c r="AE432" s="170"/>
      <c r="AH432" s="171"/>
      <c r="AI432" s="171"/>
      <c r="AJ432" s="19"/>
      <c r="AK432" s="155"/>
    </row>
    <row r="433">
      <c r="E433" s="19"/>
      <c r="I433" s="170"/>
      <c r="AE433" s="170"/>
      <c r="AH433" s="171"/>
      <c r="AI433" s="171"/>
      <c r="AJ433" s="19"/>
      <c r="AK433" s="155"/>
    </row>
    <row r="434">
      <c r="E434" s="19"/>
      <c r="I434" s="170"/>
      <c r="AE434" s="170"/>
      <c r="AH434" s="171"/>
      <c r="AI434" s="171"/>
      <c r="AJ434" s="19"/>
      <c r="AK434" s="155"/>
    </row>
    <row r="435">
      <c r="E435" s="19"/>
      <c r="I435" s="170"/>
      <c r="AE435" s="170"/>
      <c r="AH435" s="171"/>
      <c r="AI435" s="171"/>
      <c r="AJ435" s="19"/>
      <c r="AK435" s="155"/>
    </row>
    <row r="436">
      <c r="E436" s="19"/>
      <c r="I436" s="170"/>
      <c r="AE436" s="170"/>
      <c r="AH436" s="171"/>
      <c r="AI436" s="171"/>
      <c r="AJ436" s="19"/>
      <c r="AK436" s="155"/>
    </row>
    <row r="437">
      <c r="E437" s="19"/>
      <c r="I437" s="170"/>
      <c r="AE437" s="170"/>
      <c r="AH437" s="171"/>
      <c r="AI437" s="171"/>
      <c r="AJ437" s="19"/>
      <c r="AK437" s="155"/>
    </row>
    <row r="438">
      <c r="E438" s="19"/>
      <c r="I438" s="170"/>
      <c r="AE438" s="170"/>
      <c r="AH438" s="171"/>
      <c r="AI438" s="171"/>
      <c r="AJ438" s="19"/>
      <c r="AK438" s="155"/>
    </row>
    <row r="439">
      <c r="E439" s="19"/>
      <c r="I439" s="170"/>
      <c r="AE439" s="170"/>
      <c r="AH439" s="171"/>
      <c r="AI439" s="171"/>
      <c r="AJ439" s="19"/>
      <c r="AK439" s="155"/>
    </row>
    <row r="440">
      <c r="E440" s="19"/>
      <c r="I440" s="170"/>
      <c r="AE440" s="170"/>
      <c r="AH440" s="171"/>
      <c r="AI440" s="171"/>
      <c r="AJ440" s="19"/>
      <c r="AK440" s="155"/>
    </row>
    <row r="441">
      <c r="E441" s="19"/>
      <c r="I441" s="170"/>
      <c r="AE441" s="170"/>
      <c r="AH441" s="171"/>
      <c r="AI441" s="171"/>
      <c r="AJ441" s="19"/>
      <c r="AK441" s="155"/>
    </row>
    <row r="442">
      <c r="E442" s="19"/>
      <c r="I442" s="170"/>
      <c r="AE442" s="170"/>
      <c r="AH442" s="171"/>
      <c r="AI442" s="171"/>
      <c r="AJ442" s="19"/>
      <c r="AK442" s="155"/>
    </row>
    <row r="443">
      <c r="E443" s="19"/>
      <c r="I443" s="170"/>
      <c r="AE443" s="170"/>
      <c r="AH443" s="171"/>
      <c r="AI443" s="171"/>
      <c r="AJ443" s="19"/>
      <c r="AK443" s="155"/>
    </row>
    <row r="444">
      <c r="E444" s="19"/>
      <c r="I444" s="170"/>
      <c r="AE444" s="170"/>
      <c r="AH444" s="171"/>
      <c r="AI444" s="171"/>
      <c r="AJ444" s="19"/>
      <c r="AK444" s="155"/>
    </row>
    <row r="445">
      <c r="E445" s="19"/>
      <c r="I445" s="170"/>
      <c r="AE445" s="170"/>
      <c r="AH445" s="171"/>
      <c r="AI445" s="171"/>
      <c r="AJ445" s="19"/>
      <c r="AK445" s="155"/>
    </row>
    <row r="446">
      <c r="E446" s="19"/>
      <c r="I446" s="170"/>
      <c r="AE446" s="170"/>
      <c r="AH446" s="171"/>
      <c r="AI446" s="171"/>
      <c r="AJ446" s="19"/>
      <c r="AK446" s="155"/>
    </row>
    <row r="447">
      <c r="E447" s="19"/>
      <c r="I447" s="170"/>
      <c r="AE447" s="170"/>
      <c r="AH447" s="171"/>
      <c r="AI447" s="171"/>
      <c r="AJ447" s="19"/>
      <c r="AK447" s="155"/>
    </row>
    <row r="448">
      <c r="E448" s="19"/>
      <c r="I448" s="170"/>
      <c r="AE448" s="170"/>
      <c r="AH448" s="171"/>
      <c r="AI448" s="171"/>
      <c r="AJ448" s="19"/>
      <c r="AK448" s="155"/>
    </row>
    <row r="449">
      <c r="E449" s="19"/>
      <c r="I449" s="170"/>
      <c r="AE449" s="170"/>
      <c r="AH449" s="171"/>
      <c r="AI449" s="171"/>
      <c r="AJ449" s="19"/>
      <c r="AK449" s="155"/>
    </row>
    <row r="450">
      <c r="E450" s="19"/>
      <c r="I450" s="170"/>
      <c r="AE450" s="170"/>
      <c r="AH450" s="171"/>
      <c r="AI450" s="171"/>
      <c r="AJ450" s="19"/>
      <c r="AK450" s="155"/>
    </row>
    <row r="451">
      <c r="E451" s="19"/>
      <c r="I451" s="170"/>
      <c r="AE451" s="170"/>
      <c r="AH451" s="171"/>
      <c r="AI451" s="171"/>
      <c r="AJ451" s="19"/>
      <c r="AK451" s="155"/>
    </row>
    <row r="452">
      <c r="E452" s="19"/>
      <c r="I452" s="170"/>
      <c r="AE452" s="170"/>
      <c r="AH452" s="171"/>
      <c r="AI452" s="171"/>
      <c r="AJ452" s="19"/>
      <c r="AK452" s="155"/>
    </row>
    <row r="453">
      <c r="E453" s="19"/>
      <c r="I453" s="170"/>
      <c r="AE453" s="170"/>
      <c r="AH453" s="171"/>
      <c r="AI453" s="171"/>
      <c r="AJ453" s="19"/>
      <c r="AK453" s="155"/>
    </row>
    <row r="454">
      <c r="E454" s="19"/>
      <c r="I454" s="170"/>
      <c r="AE454" s="170"/>
      <c r="AH454" s="171"/>
      <c r="AI454" s="171"/>
      <c r="AJ454" s="19"/>
      <c r="AK454" s="155"/>
    </row>
    <row r="455">
      <c r="E455" s="19"/>
      <c r="I455" s="170"/>
      <c r="AE455" s="170"/>
      <c r="AH455" s="171"/>
      <c r="AI455" s="171"/>
      <c r="AJ455" s="19"/>
      <c r="AK455" s="155"/>
    </row>
    <row r="456">
      <c r="E456" s="19"/>
      <c r="I456" s="170"/>
      <c r="AE456" s="170"/>
      <c r="AH456" s="171"/>
      <c r="AI456" s="171"/>
      <c r="AJ456" s="19"/>
      <c r="AK456" s="155"/>
    </row>
    <row r="457">
      <c r="E457" s="19"/>
      <c r="I457" s="170"/>
      <c r="AE457" s="170"/>
      <c r="AH457" s="171"/>
      <c r="AI457" s="171"/>
      <c r="AJ457" s="19"/>
      <c r="AK457" s="155"/>
    </row>
    <row r="458">
      <c r="E458" s="19"/>
      <c r="I458" s="170"/>
      <c r="AE458" s="170"/>
      <c r="AH458" s="171"/>
      <c r="AI458" s="171"/>
      <c r="AJ458" s="19"/>
      <c r="AK458" s="155"/>
    </row>
    <row r="459">
      <c r="E459" s="19"/>
      <c r="I459" s="170"/>
      <c r="AE459" s="170"/>
      <c r="AH459" s="171"/>
      <c r="AI459" s="171"/>
      <c r="AJ459" s="19"/>
      <c r="AK459" s="155"/>
    </row>
    <row r="460">
      <c r="E460" s="19"/>
      <c r="I460" s="170"/>
      <c r="AE460" s="170"/>
      <c r="AH460" s="171"/>
      <c r="AI460" s="171"/>
      <c r="AJ460" s="19"/>
      <c r="AK460" s="155"/>
    </row>
    <row r="461">
      <c r="E461" s="19"/>
      <c r="I461" s="170"/>
      <c r="AE461" s="170"/>
      <c r="AH461" s="171"/>
      <c r="AI461" s="171"/>
      <c r="AJ461" s="19"/>
      <c r="AK461" s="155"/>
    </row>
    <row r="462">
      <c r="E462" s="19"/>
      <c r="I462" s="170"/>
      <c r="AE462" s="170"/>
      <c r="AH462" s="171"/>
      <c r="AI462" s="171"/>
      <c r="AJ462" s="19"/>
      <c r="AK462" s="155"/>
    </row>
    <row r="463">
      <c r="E463" s="19"/>
      <c r="I463" s="170"/>
      <c r="AE463" s="170"/>
      <c r="AH463" s="171"/>
      <c r="AI463" s="171"/>
      <c r="AJ463" s="19"/>
      <c r="AK463" s="155"/>
    </row>
    <row r="464">
      <c r="E464" s="19"/>
      <c r="I464" s="170"/>
      <c r="AE464" s="170"/>
      <c r="AH464" s="171"/>
      <c r="AI464" s="171"/>
      <c r="AJ464" s="19"/>
      <c r="AK464" s="155"/>
    </row>
    <row r="465">
      <c r="E465" s="19"/>
      <c r="I465" s="170"/>
      <c r="AE465" s="170"/>
      <c r="AH465" s="171"/>
      <c r="AI465" s="171"/>
      <c r="AJ465" s="19"/>
      <c r="AK465" s="155"/>
    </row>
    <row r="466">
      <c r="E466" s="19"/>
      <c r="I466" s="170"/>
      <c r="AE466" s="170"/>
      <c r="AH466" s="171"/>
      <c r="AI466" s="171"/>
      <c r="AJ466" s="19"/>
      <c r="AK466" s="155"/>
    </row>
    <row r="467">
      <c r="E467" s="19"/>
      <c r="I467" s="170"/>
      <c r="AE467" s="170"/>
      <c r="AH467" s="171"/>
      <c r="AI467" s="171"/>
      <c r="AJ467" s="19"/>
      <c r="AK467" s="155"/>
    </row>
    <row r="468">
      <c r="E468" s="19"/>
      <c r="I468" s="170"/>
      <c r="AE468" s="170"/>
      <c r="AH468" s="171"/>
      <c r="AI468" s="171"/>
      <c r="AJ468" s="19"/>
      <c r="AK468" s="155"/>
    </row>
    <row r="469">
      <c r="E469" s="19"/>
      <c r="I469" s="170"/>
      <c r="AE469" s="170"/>
      <c r="AH469" s="171"/>
      <c r="AI469" s="171"/>
      <c r="AJ469" s="19"/>
      <c r="AK469" s="155"/>
    </row>
    <row r="470">
      <c r="E470" s="19"/>
      <c r="I470" s="170"/>
      <c r="AE470" s="170"/>
      <c r="AH470" s="171"/>
      <c r="AI470" s="171"/>
      <c r="AJ470" s="19"/>
      <c r="AK470" s="155"/>
    </row>
    <row r="471">
      <c r="E471" s="19"/>
      <c r="I471" s="170"/>
      <c r="AE471" s="170"/>
      <c r="AH471" s="171"/>
      <c r="AI471" s="171"/>
      <c r="AJ471" s="19"/>
      <c r="AK471" s="155"/>
    </row>
    <row r="472">
      <c r="E472" s="19"/>
      <c r="I472" s="170"/>
      <c r="AE472" s="170"/>
      <c r="AH472" s="171"/>
      <c r="AI472" s="171"/>
      <c r="AJ472" s="19"/>
      <c r="AK472" s="155"/>
    </row>
    <row r="473">
      <c r="E473" s="19"/>
      <c r="I473" s="170"/>
      <c r="AE473" s="170"/>
      <c r="AH473" s="171"/>
      <c r="AI473" s="171"/>
      <c r="AJ473" s="19"/>
      <c r="AK473" s="155"/>
    </row>
    <row r="474">
      <c r="E474" s="19"/>
      <c r="I474" s="170"/>
      <c r="AE474" s="170"/>
      <c r="AH474" s="171"/>
      <c r="AI474" s="171"/>
      <c r="AJ474" s="19"/>
      <c r="AK474" s="155"/>
    </row>
    <row r="475">
      <c r="E475" s="19"/>
      <c r="I475" s="170"/>
      <c r="AE475" s="170"/>
      <c r="AH475" s="171"/>
      <c r="AI475" s="171"/>
      <c r="AJ475" s="19"/>
      <c r="AK475" s="155"/>
    </row>
    <row r="476">
      <c r="E476" s="19"/>
      <c r="I476" s="170"/>
      <c r="AE476" s="170"/>
      <c r="AH476" s="171"/>
      <c r="AI476" s="171"/>
      <c r="AJ476" s="19"/>
      <c r="AK476" s="155"/>
    </row>
    <row r="477">
      <c r="E477" s="19"/>
      <c r="I477" s="170"/>
      <c r="AE477" s="170"/>
      <c r="AH477" s="171"/>
      <c r="AI477" s="171"/>
      <c r="AJ477" s="19"/>
      <c r="AK477" s="155"/>
    </row>
    <row r="478">
      <c r="E478" s="19"/>
      <c r="I478" s="170"/>
      <c r="AE478" s="170"/>
      <c r="AH478" s="171"/>
      <c r="AI478" s="171"/>
      <c r="AJ478" s="19"/>
      <c r="AK478" s="155"/>
    </row>
    <row r="479">
      <c r="E479" s="19"/>
      <c r="I479" s="170"/>
      <c r="AE479" s="170"/>
      <c r="AH479" s="171"/>
      <c r="AI479" s="171"/>
      <c r="AJ479" s="19"/>
      <c r="AK479" s="155"/>
    </row>
    <row r="480">
      <c r="E480" s="19"/>
      <c r="I480" s="170"/>
      <c r="AE480" s="170"/>
      <c r="AH480" s="171"/>
      <c r="AI480" s="171"/>
      <c r="AJ480" s="19"/>
      <c r="AK480" s="155"/>
    </row>
    <row r="481">
      <c r="E481" s="19"/>
      <c r="I481" s="170"/>
      <c r="AE481" s="170"/>
      <c r="AH481" s="171"/>
      <c r="AI481" s="171"/>
      <c r="AJ481" s="19"/>
      <c r="AK481" s="155"/>
    </row>
    <row r="482">
      <c r="E482" s="19"/>
      <c r="I482" s="170"/>
      <c r="AE482" s="170"/>
      <c r="AH482" s="171"/>
      <c r="AI482" s="171"/>
      <c r="AJ482" s="19"/>
      <c r="AK482" s="155"/>
    </row>
    <row r="483">
      <c r="E483" s="19"/>
      <c r="I483" s="170"/>
      <c r="AE483" s="170"/>
      <c r="AH483" s="171"/>
      <c r="AI483" s="171"/>
      <c r="AJ483" s="19"/>
      <c r="AK483" s="155"/>
    </row>
    <row r="484">
      <c r="E484" s="19"/>
      <c r="I484" s="170"/>
      <c r="AE484" s="170"/>
      <c r="AH484" s="171"/>
      <c r="AI484" s="171"/>
      <c r="AJ484" s="19"/>
      <c r="AK484" s="155"/>
    </row>
    <row r="485">
      <c r="E485" s="19"/>
      <c r="I485" s="170"/>
      <c r="AE485" s="170"/>
      <c r="AH485" s="171"/>
      <c r="AI485" s="171"/>
      <c r="AJ485" s="19"/>
      <c r="AK485" s="155"/>
    </row>
    <row r="486">
      <c r="E486" s="19"/>
      <c r="I486" s="170"/>
      <c r="AE486" s="170"/>
      <c r="AH486" s="171"/>
      <c r="AI486" s="171"/>
      <c r="AJ486" s="19"/>
      <c r="AK486" s="155"/>
    </row>
    <row r="487">
      <c r="E487" s="19"/>
      <c r="I487" s="170"/>
      <c r="AE487" s="170"/>
      <c r="AH487" s="171"/>
      <c r="AI487" s="171"/>
      <c r="AJ487" s="19"/>
      <c r="AK487" s="155"/>
    </row>
    <row r="488">
      <c r="E488" s="19"/>
      <c r="I488" s="170"/>
      <c r="AE488" s="170"/>
      <c r="AH488" s="171"/>
      <c r="AI488" s="171"/>
      <c r="AJ488" s="19"/>
      <c r="AK488" s="155"/>
    </row>
    <row r="489">
      <c r="E489" s="19"/>
      <c r="I489" s="170"/>
      <c r="AE489" s="170"/>
      <c r="AH489" s="171"/>
      <c r="AI489" s="171"/>
      <c r="AJ489" s="19"/>
      <c r="AK489" s="155"/>
    </row>
    <row r="490">
      <c r="E490" s="19"/>
      <c r="I490" s="170"/>
      <c r="AE490" s="170"/>
      <c r="AH490" s="171"/>
      <c r="AI490" s="171"/>
      <c r="AJ490" s="19"/>
      <c r="AK490" s="155"/>
    </row>
    <row r="491">
      <c r="E491" s="19"/>
      <c r="I491" s="170"/>
      <c r="AE491" s="170"/>
      <c r="AH491" s="171"/>
      <c r="AI491" s="171"/>
      <c r="AJ491" s="19"/>
      <c r="AK491" s="155"/>
    </row>
    <row r="492">
      <c r="E492" s="19"/>
      <c r="I492" s="170"/>
      <c r="AE492" s="170"/>
      <c r="AH492" s="171"/>
      <c r="AI492" s="171"/>
      <c r="AJ492" s="19"/>
      <c r="AK492" s="155"/>
    </row>
    <row r="493">
      <c r="E493" s="19"/>
      <c r="I493" s="170"/>
      <c r="AE493" s="170"/>
      <c r="AH493" s="171"/>
      <c r="AI493" s="171"/>
      <c r="AJ493" s="19"/>
      <c r="AK493" s="155"/>
    </row>
    <row r="494">
      <c r="E494" s="19"/>
      <c r="I494" s="170"/>
      <c r="AE494" s="170"/>
      <c r="AH494" s="171"/>
      <c r="AI494" s="171"/>
      <c r="AJ494" s="19"/>
      <c r="AK494" s="155"/>
    </row>
    <row r="495">
      <c r="E495" s="19"/>
      <c r="I495" s="170"/>
      <c r="AE495" s="170"/>
      <c r="AH495" s="171"/>
      <c r="AI495" s="171"/>
      <c r="AJ495" s="19"/>
      <c r="AK495" s="155"/>
    </row>
    <row r="496">
      <c r="E496" s="19"/>
      <c r="I496" s="170"/>
      <c r="AE496" s="170"/>
      <c r="AH496" s="171"/>
      <c r="AI496" s="171"/>
      <c r="AJ496" s="19"/>
      <c r="AK496" s="155"/>
    </row>
    <row r="497">
      <c r="E497" s="19"/>
      <c r="I497" s="170"/>
      <c r="AE497" s="170"/>
      <c r="AH497" s="171"/>
      <c r="AI497" s="171"/>
      <c r="AJ497" s="19"/>
      <c r="AK497" s="155"/>
    </row>
    <row r="498">
      <c r="E498" s="19"/>
      <c r="I498" s="170"/>
      <c r="AE498" s="170"/>
      <c r="AH498" s="171"/>
      <c r="AI498" s="171"/>
      <c r="AJ498" s="19"/>
      <c r="AK498" s="155"/>
    </row>
    <row r="499">
      <c r="E499" s="19"/>
      <c r="I499" s="170"/>
      <c r="AE499" s="170"/>
      <c r="AH499" s="171"/>
      <c r="AI499" s="171"/>
      <c r="AJ499" s="19"/>
      <c r="AK499" s="155"/>
    </row>
    <row r="500">
      <c r="E500" s="19"/>
      <c r="I500" s="170"/>
      <c r="AE500" s="170"/>
      <c r="AH500" s="171"/>
      <c r="AI500" s="171"/>
      <c r="AJ500" s="19"/>
      <c r="AK500" s="155"/>
    </row>
    <row r="501">
      <c r="E501" s="19"/>
      <c r="I501" s="170"/>
      <c r="AE501" s="170"/>
      <c r="AH501" s="171"/>
      <c r="AI501" s="171"/>
      <c r="AJ501" s="19"/>
      <c r="AK501" s="155"/>
    </row>
    <row r="502">
      <c r="E502" s="19"/>
      <c r="I502" s="170"/>
      <c r="AE502" s="170"/>
      <c r="AH502" s="171"/>
      <c r="AI502" s="171"/>
      <c r="AJ502" s="19"/>
      <c r="AK502" s="155"/>
    </row>
    <row r="503">
      <c r="E503" s="19"/>
      <c r="I503" s="170"/>
      <c r="AE503" s="170"/>
      <c r="AH503" s="171"/>
      <c r="AI503" s="171"/>
      <c r="AJ503" s="19"/>
      <c r="AK503" s="155"/>
    </row>
    <row r="504">
      <c r="E504" s="19"/>
      <c r="I504" s="170"/>
      <c r="AE504" s="170"/>
      <c r="AH504" s="171"/>
      <c r="AI504" s="171"/>
      <c r="AJ504" s="19"/>
      <c r="AK504" s="155"/>
    </row>
    <row r="505">
      <c r="E505" s="19"/>
      <c r="I505" s="170"/>
      <c r="AE505" s="170"/>
      <c r="AH505" s="171"/>
      <c r="AI505" s="171"/>
      <c r="AJ505" s="19"/>
      <c r="AK505" s="155"/>
    </row>
    <row r="506">
      <c r="E506" s="19"/>
      <c r="I506" s="170"/>
      <c r="AE506" s="170"/>
      <c r="AH506" s="171"/>
      <c r="AI506" s="171"/>
      <c r="AJ506" s="19"/>
      <c r="AK506" s="155"/>
    </row>
    <row r="507">
      <c r="E507" s="19"/>
      <c r="I507" s="170"/>
      <c r="AE507" s="170"/>
      <c r="AH507" s="171"/>
      <c r="AI507" s="171"/>
      <c r="AJ507" s="19"/>
      <c r="AK507" s="155"/>
    </row>
    <row r="508">
      <c r="E508" s="19"/>
      <c r="I508" s="170"/>
      <c r="AE508" s="170"/>
      <c r="AH508" s="171"/>
      <c r="AI508" s="171"/>
      <c r="AJ508" s="19"/>
      <c r="AK508" s="155"/>
    </row>
    <row r="509">
      <c r="E509" s="19"/>
      <c r="I509" s="170"/>
      <c r="AE509" s="170"/>
      <c r="AH509" s="171"/>
      <c r="AI509" s="171"/>
      <c r="AJ509" s="19"/>
      <c r="AK509" s="155"/>
    </row>
    <row r="510">
      <c r="E510" s="19"/>
      <c r="I510" s="170"/>
      <c r="AE510" s="170"/>
      <c r="AH510" s="171"/>
      <c r="AI510" s="171"/>
      <c r="AJ510" s="19"/>
      <c r="AK510" s="155"/>
    </row>
    <row r="511">
      <c r="E511" s="19"/>
      <c r="I511" s="170"/>
      <c r="AE511" s="170"/>
      <c r="AH511" s="171"/>
      <c r="AI511" s="171"/>
      <c r="AJ511" s="19"/>
      <c r="AK511" s="155"/>
    </row>
    <row r="512">
      <c r="E512" s="19"/>
      <c r="I512" s="170"/>
      <c r="AE512" s="170"/>
      <c r="AH512" s="171"/>
      <c r="AI512" s="171"/>
      <c r="AJ512" s="19"/>
      <c r="AK512" s="155"/>
    </row>
    <row r="513">
      <c r="E513" s="19"/>
      <c r="I513" s="170"/>
      <c r="AE513" s="170"/>
      <c r="AH513" s="171"/>
      <c r="AI513" s="171"/>
      <c r="AJ513" s="19"/>
      <c r="AK513" s="155"/>
    </row>
    <row r="514">
      <c r="E514" s="19"/>
      <c r="I514" s="170"/>
      <c r="AE514" s="170"/>
      <c r="AH514" s="171"/>
      <c r="AI514" s="171"/>
      <c r="AJ514" s="19"/>
      <c r="AK514" s="155"/>
    </row>
    <row r="515">
      <c r="E515" s="19"/>
      <c r="I515" s="170"/>
      <c r="AE515" s="170"/>
      <c r="AH515" s="171"/>
      <c r="AI515" s="171"/>
      <c r="AJ515" s="19"/>
      <c r="AK515" s="155"/>
    </row>
    <row r="516">
      <c r="E516" s="19"/>
      <c r="I516" s="170"/>
      <c r="AE516" s="170"/>
      <c r="AH516" s="171"/>
      <c r="AI516" s="171"/>
      <c r="AJ516" s="19"/>
      <c r="AK516" s="155"/>
    </row>
    <row r="517">
      <c r="E517" s="19"/>
      <c r="I517" s="170"/>
      <c r="AE517" s="170"/>
      <c r="AH517" s="171"/>
      <c r="AI517" s="171"/>
      <c r="AJ517" s="19"/>
      <c r="AK517" s="155"/>
    </row>
    <row r="518">
      <c r="E518" s="19"/>
      <c r="I518" s="170"/>
      <c r="AE518" s="170"/>
      <c r="AH518" s="171"/>
      <c r="AI518" s="171"/>
      <c r="AJ518" s="19"/>
      <c r="AK518" s="155"/>
    </row>
    <row r="519">
      <c r="E519" s="19"/>
      <c r="I519" s="170"/>
      <c r="AE519" s="170"/>
      <c r="AH519" s="171"/>
      <c r="AI519" s="171"/>
      <c r="AJ519" s="19"/>
      <c r="AK519" s="155"/>
    </row>
    <row r="520">
      <c r="E520" s="19"/>
      <c r="I520" s="170"/>
      <c r="AE520" s="170"/>
      <c r="AH520" s="171"/>
      <c r="AI520" s="171"/>
      <c r="AJ520" s="19"/>
      <c r="AK520" s="155"/>
    </row>
    <row r="521">
      <c r="E521" s="19"/>
      <c r="I521" s="170"/>
      <c r="AE521" s="170"/>
      <c r="AH521" s="171"/>
      <c r="AI521" s="171"/>
      <c r="AJ521" s="19"/>
      <c r="AK521" s="155"/>
    </row>
    <row r="522">
      <c r="E522" s="19"/>
      <c r="I522" s="170"/>
      <c r="AE522" s="170"/>
      <c r="AH522" s="171"/>
      <c r="AI522" s="171"/>
      <c r="AJ522" s="19"/>
      <c r="AK522" s="155"/>
    </row>
    <row r="523">
      <c r="E523" s="19"/>
      <c r="I523" s="170"/>
      <c r="AE523" s="170"/>
      <c r="AH523" s="171"/>
      <c r="AI523" s="171"/>
      <c r="AJ523" s="19"/>
      <c r="AK523" s="155"/>
    </row>
    <row r="524">
      <c r="E524" s="19"/>
      <c r="I524" s="170"/>
      <c r="AE524" s="170"/>
      <c r="AH524" s="171"/>
      <c r="AI524" s="171"/>
      <c r="AJ524" s="19"/>
      <c r="AK524" s="155"/>
    </row>
    <row r="525">
      <c r="E525" s="19"/>
      <c r="I525" s="170"/>
      <c r="AE525" s="170"/>
      <c r="AH525" s="171"/>
      <c r="AI525" s="171"/>
      <c r="AJ525" s="19"/>
      <c r="AK525" s="155"/>
    </row>
    <row r="526">
      <c r="E526" s="19"/>
      <c r="I526" s="170"/>
      <c r="AE526" s="170"/>
      <c r="AH526" s="171"/>
      <c r="AI526" s="171"/>
      <c r="AJ526" s="19"/>
      <c r="AK526" s="155"/>
    </row>
    <row r="527">
      <c r="E527" s="19"/>
      <c r="I527" s="170"/>
      <c r="AE527" s="170"/>
      <c r="AH527" s="171"/>
      <c r="AI527" s="171"/>
      <c r="AJ527" s="19"/>
      <c r="AK527" s="155"/>
    </row>
    <row r="528">
      <c r="E528" s="19"/>
      <c r="I528" s="170"/>
      <c r="AE528" s="170"/>
      <c r="AH528" s="171"/>
      <c r="AI528" s="171"/>
      <c r="AJ528" s="19"/>
      <c r="AK528" s="155"/>
    </row>
    <row r="529">
      <c r="E529" s="19"/>
      <c r="I529" s="170"/>
      <c r="AE529" s="170"/>
      <c r="AH529" s="171"/>
      <c r="AI529" s="171"/>
      <c r="AJ529" s="19"/>
      <c r="AK529" s="155"/>
    </row>
    <row r="530">
      <c r="E530" s="19"/>
      <c r="I530" s="170"/>
      <c r="AE530" s="170"/>
      <c r="AH530" s="171"/>
      <c r="AI530" s="171"/>
      <c r="AJ530" s="19"/>
      <c r="AK530" s="155"/>
    </row>
    <row r="531">
      <c r="E531" s="19"/>
      <c r="I531" s="170"/>
      <c r="AE531" s="170"/>
      <c r="AH531" s="171"/>
      <c r="AI531" s="171"/>
      <c r="AJ531" s="19"/>
      <c r="AK531" s="155"/>
    </row>
    <row r="532">
      <c r="E532" s="19"/>
      <c r="I532" s="170"/>
      <c r="AE532" s="170"/>
      <c r="AH532" s="171"/>
      <c r="AI532" s="171"/>
      <c r="AJ532" s="19"/>
      <c r="AK532" s="155"/>
    </row>
    <row r="533">
      <c r="E533" s="19"/>
      <c r="I533" s="170"/>
      <c r="AE533" s="170"/>
      <c r="AH533" s="171"/>
      <c r="AI533" s="171"/>
      <c r="AJ533" s="19"/>
      <c r="AK533" s="155"/>
    </row>
    <row r="534">
      <c r="E534" s="19"/>
      <c r="I534" s="170"/>
      <c r="AE534" s="170"/>
      <c r="AH534" s="171"/>
      <c r="AI534" s="171"/>
      <c r="AJ534" s="19"/>
      <c r="AK534" s="155"/>
    </row>
    <row r="535">
      <c r="E535" s="19"/>
      <c r="I535" s="170"/>
      <c r="AE535" s="170"/>
      <c r="AH535" s="171"/>
      <c r="AI535" s="171"/>
      <c r="AJ535" s="19"/>
      <c r="AK535" s="155"/>
    </row>
    <row r="536">
      <c r="E536" s="19"/>
      <c r="I536" s="170"/>
      <c r="AE536" s="170"/>
      <c r="AH536" s="171"/>
      <c r="AI536" s="171"/>
      <c r="AJ536" s="19"/>
      <c r="AK536" s="155"/>
    </row>
    <row r="537">
      <c r="E537" s="19"/>
      <c r="I537" s="170"/>
      <c r="AE537" s="170"/>
      <c r="AH537" s="171"/>
      <c r="AI537" s="171"/>
      <c r="AJ537" s="19"/>
      <c r="AK537" s="155"/>
    </row>
    <row r="538">
      <c r="E538" s="19"/>
      <c r="I538" s="170"/>
      <c r="AE538" s="170"/>
      <c r="AH538" s="171"/>
      <c r="AI538" s="171"/>
      <c r="AJ538" s="19"/>
      <c r="AK538" s="155"/>
    </row>
    <row r="539">
      <c r="E539" s="19"/>
      <c r="I539" s="170"/>
      <c r="AE539" s="170"/>
      <c r="AH539" s="171"/>
      <c r="AI539" s="171"/>
      <c r="AJ539" s="19"/>
      <c r="AK539" s="155"/>
    </row>
    <row r="540">
      <c r="E540" s="19"/>
      <c r="I540" s="170"/>
      <c r="AE540" s="170"/>
      <c r="AH540" s="171"/>
      <c r="AI540" s="171"/>
      <c r="AJ540" s="19"/>
      <c r="AK540" s="155"/>
    </row>
    <row r="541">
      <c r="E541" s="19"/>
      <c r="I541" s="170"/>
      <c r="AE541" s="170"/>
      <c r="AH541" s="171"/>
      <c r="AI541" s="171"/>
      <c r="AJ541" s="19"/>
      <c r="AK541" s="155"/>
    </row>
    <row r="542">
      <c r="E542" s="19"/>
      <c r="I542" s="170"/>
      <c r="AE542" s="170"/>
      <c r="AH542" s="171"/>
      <c r="AI542" s="171"/>
      <c r="AJ542" s="19"/>
      <c r="AK542" s="155"/>
    </row>
    <row r="543">
      <c r="E543" s="19"/>
      <c r="I543" s="170"/>
      <c r="AE543" s="170"/>
      <c r="AH543" s="171"/>
      <c r="AI543" s="171"/>
      <c r="AJ543" s="19"/>
      <c r="AK543" s="155"/>
    </row>
    <row r="544">
      <c r="E544" s="19"/>
      <c r="I544" s="170"/>
      <c r="AE544" s="170"/>
      <c r="AH544" s="171"/>
      <c r="AI544" s="171"/>
      <c r="AJ544" s="19"/>
      <c r="AK544" s="155"/>
    </row>
    <row r="545">
      <c r="E545" s="19"/>
      <c r="I545" s="170"/>
      <c r="AE545" s="170"/>
      <c r="AH545" s="171"/>
      <c r="AI545" s="171"/>
      <c r="AJ545" s="19"/>
      <c r="AK545" s="155"/>
    </row>
    <row r="546">
      <c r="E546" s="19"/>
      <c r="I546" s="170"/>
      <c r="AE546" s="170"/>
      <c r="AH546" s="171"/>
      <c r="AI546" s="171"/>
      <c r="AJ546" s="19"/>
      <c r="AK546" s="155"/>
    </row>
    <row r="547">
      <c r="E547" s="19"/>
      <c r="I547" s="170"/>
      <c r="AE547" s="170"/>
      <c r="AH547" s="171"/>
      <c r="AI547" s="171"/>
      <c r="AJ547" s="19"/>
      <c r="AK547" s="155"/>
    </row>
    <row r="548">
      <c r="E548" s="19"/>
      <c r="I548" s="170"/>
      <c r="AE548" s="170"/>
      <c r="AH548" s="171"/>
      <c r="AI548" s="171"/>
      <c r="AJ548" s="19"/>
      <c r="AK548" s="155"/>
    </row>
    <row r="549">
      <c r="E549" s="19"/>
      <c r="I549" s="170"/>
      <c r="AE549" s="170"/>
      <c r="AH549" s="171"/>
      <c r="AI549" s="171"/>
      <c r="AJ549" s="19"/>
      <c r="AK549" s="155"/>
    </row>
    <row r="550">
      <c r="E550" s="19"/>
      <c r="I550" s="170"/>
      <c r="AE550" s="170"/>
      <c r="AH550" s="171"/>
      <c r="AI550" s="171"/>
      <c r="AJ550" s="19"/>
      <c r="AK550" s="155"/>
    </row>
    <row r="551">
      <c r="E551" s="19"/>
      <c r="I551" s="170"/>
      <c r="AE551" s="170"/>
      <c r="AH551" s="171"/>
      <c r="AI551" s="171"/>
      <c r="AJ551" s="19"/>
      <c r="AK551" s="155"/>
    </row>
    <row r="552">
      <c r="E552" s="19"/>
      <c r="I552" s="170"/>
      <c r="AE552" s="170"/>
      <c r="AH552" s="171"/>
      <c r="AI552" s="171"/>
      <c r="AJ552" s="19"/>
      <c r="AK552" s="155"/>
    </row>
    <row r="553">
      <c r="E553" s="19"/>
      <c r="I553" s="170"/>
      <c r="AE553" s="170"/>
      <c r="AH553" s="171"/>
      <c r="AI553" s="171"/>
      <c r="AJ553" s="19"/>
      <c r="AK553" s="155"/>
    </row>
    <row r="554">
      <c r="E554" s="19"/>
      <c r="I554" s="170"/>
      <c r="AE554" s="170"/>
      <c r="AH554" s="171"/>
      <c r="AI554" s="171"/>
      <c r="AJ554" s="19"/>
      <c r="AK554" s="155"/>
    </row>
    <row r="555">
      <c r="E555" s="19"/>
      <c r="I555" s="170"/>
      <c r="AE555" s="170"/>
      <c r="AH555" s="171"/>
      <c r="AI555" s="171"/>
      <c r="AJ555" s="19"/>
      <c r="AK555" s="155"/>
    </row>
    <row r="556">
      <c r="E556" s="19"/>
      <c r="I556" s="170"/>
      <c r="AE556" s="170"/>
      <c r="AH556" s="171"/>
      <c r="AI556" s="171"/>
      <c r="AJ556" s="19"/>
      <c r="AK556" s="155"/>
    </row>
    <row r="557">
      <c r="E557" s="19"/>
      <c r="I557" s="170"/>
      <c r="AE557" s="170"/>
      <c r="AH557" s="171"/>
      <c r="AI557" s="171"/>
      <c r="AJ557" s="19"/>
      <c r="AK557" s="155"/>
    </row>
    <row r="558">
      <c r="E558" s="19"/>
      <c r="I558" s="170"/>
      <c r="AE558" s="170"/>
      <c r="AH558" s="171"/>
      <c r="AI558" s="171"/>
      <c r="AJ558" s="19"/>
      <c r="AK558" s="155"/>
    </row>
    <row r="559">
      <c r="E559" s="19"/>
      <c r="I559" s="170"/>
      <c r="AE559" s="170"/>
      <c r="AH559" s="171"/>
      <c r="AI559" s="171"/>
      <c r="AJ559" s="19"/>
      <c r="AK559" s="155"/>
    </row>
    <row r="560">
      <c r="E560" s="19"/>
      <c r="I560" s="170"/>
      <c r="AE560" s="170"/>
      <c r="AH560" s="171"/>
      <c r="AI560" s="171"/>
      <c r="AJ560" s="19"/>
      <c r="AK560" s="155"/>
    </row>
    <row r="561">
      <c r="E561" s="19"/>
      <c r="I561" s="170"/>
      <c r="AE561" s="170"/>
      <c r="AH561" s="171"/>
      <c r="AI561" s="171"/>
      <c r="AJ561" s="19"/>
      <c r="AK561" s="155"/>
    </row>
    <row r="562">
      <c r="E562" s="19"/>
      <c r="I562" s="170"/>
      <c r="AE562" s="170"/>
      <c r="AH562" s="171"/>
      <c r="AI562" s="171"/>
      <c r="AJ562" s="19"/>
      <c r="AK562" s="155"/>
    </row>
    <row r="563">
      <c r="E563" s="19"/>
      <c r="I563" s="170"/>
      <c r="AE563" s="170"/>
      <c r="AH563" s="171"/>
      <c r="AI563" s="171"/>
      <c r="AJ563" s="19"/>
      <c r="AK563" s="155"/>
    </row>
    <row r="564">
      <c r="E564" s="19"/>
      <c r="I564" s="170"/>
      <c r="AE564" s="170"/>
      <c r="AH564" s="171"/>
      <c r="AI564" s="171"/>
      <c r="AJ564" s="19"/>
      <c r="AK564" s="155"/>
    </row>
    <row r="565">
      <c r="E565" s="19"/>
      <c r="I565" s="170"/>
      <c r="AE565" s="170"/>
      <c r="AH565" s="171"/>
      <c r="AI565" s="171"/>
      <c r="AJ565" s="19"/>
      <c r="AK565" s="155"/>
    </row>
    <row r="566">
      <c r="E566" s="19"/>
      <c r="I566" s="170"/>
      <c r="AE566" s="170"/>
      <c r="AH566" s="171"/>
      <c r="AI566" s="171"/>
      <c r="AJ566" s="19"/>
      <c r="AK566" s="155"/>
    </row>
    <row r="567">
      <c r="E567" s="19"/>
      <c r="I567" s="170"/>
      <c r="AE567" s="170"/>
      <c r="AH567" s="171"/>
      <c r="AI567" s="171"/>
      <c r="AJ567" s="19"/>
      <c r="AK567" s="155"/>
    </row>
    <row r="568">
      <c r="E568" s="19"/>
      <c r="I568" s="170"/>
      <c r="AE568" s="170"/>
      <c r="AH568" s="171"/>
      <c r="AI568" s="171"/>
      <c r="AJ568" s="19"/>
      <c r="AK568" s="155"/>
    </row>
    <row r="569">
      <c r="E569" s="19"/>
      <c r="I569" s="170"/>
      <c r="AE569" s="170"/>
      <c r="AH569" s="171"/>
      <c r="AI569" s="171"/>
      <c r="AJ569" s="19"/>
      <c r="AK569" s="155"/>
    </row>
    <row r="570">
      <c r="E570" s="19"/>
      <c r="I570" s="170"/>
      <c r="AE570" s="170"/>
      <c r="AH570" s="171"/>
      <c r="AI570" s="171"/>
      <c r="AJ570" s="19"/>
      <c r="AK570" s="155"/>
    </row>
    <row r="571">
      <c r="E571" s="19"/>
      <c r="I571" s="170"/>
      <c r="AE571" s="170"/>
      <c r="AH571" s="171"/>
      <c r="AI571" s="171"/>
      <c r="AJ571" s="19"/>
      <c r="AK571" s="155"/>
    </row>
    <row r="572">
      <c r="E572" s="19"/>
      <c r="I572" s="170"/>
      <c r="AE572" s="170"/>
      <c r="AH572" s="171"/>
      <c r="AI572" s="171"/>
      <c r="AJ572" s="19"/>
      <c r="AK572" s="155"/>
    </row>
    <row r="573">
      <c r="E573" s="19"/>
      <c r="I573" s="170"/>
      <c r="AE573" s="170"/>
      <c r="AH573" s="171"/>
      <c r="AI573" s="171"/>
      <c r="AJ573" s="19"/>
      <c r="AK573" s="155"/>
    </row>
    <row r="574">
      <c r="E574" s="19"/>
      <c r="I574" s="170"/>
      <c r="AE574" s="170"/>
      <c r="AH574" s="171"/>
      <c r="AI574" s="171"/>
      <c r="AJ574" s="19"/>
      <c r="AK574" s="155"/>
    </row>
    <row r="575">
      <c r="E575" s="19"/>
      <c r="I575" s="170"/>
      <c r="AE575" s="170"/>
      <c r="AH575" s="171"/>
      <c r="AI575" s="171"/>
      <c r="AJ575" s="19"/>
      <c r="AK575" s="155"/>
    </row>
    <row r="576">
      <c r="E576" s="19"/>
      <c r="I576" s="170"/>
      <c r="AE576" s="170"/>
      <c r="AH576" s="171"/>
      <c r="AI576" s="171"/>
      <c r="AJ576" s="19"/>
      <c r="AK576" s="155"/>
    </row>
    <row r="577">
      <c r="E577" s="19"/>
      <c r="I577" s="170"/>
      <c r="AE577" s="170"/>
      <c r="AH577" s="171"/>
      <c r="AI577" s="171"/>
      <c r="AJ577" s="19"/>
      <c r="AK577" s="155"/>
    </row>
    <row r="578">
      <c r="E578" s="19"/>
      <c r="I578" s="170"/>
      <c r="AE578" s="170"/>
      <c r="AH578" s="171"/>
      <c r="AI578" s="171"/>
      <c r="AJ578" s="19"/>
      <c r="AK578" s="155"/>
    </row>
    <row r="579">
      <c r="E579" s="19"/>
      <c r="I579" s="170"/>
      <c r="AE579" s="170"/>
      <c r="AH579" s="171"/>
      <c r="AI579" s="171"/>
      <c r="AJ579" s="19"/>
      <c r="AK579" s="155"/>
    </row>
    <row r="580">
      <c r="E580" s="19"/>
      <c r="I580" s="170"/>
      <c r="AE580" s="170"/>
      <c r="AH580" s="171"/>
      <c r="AI580" s="171"/>
      <c r="AJ580" s="19"/>
      <c r="AK580" s="155"/>
    </row>
    <row r="581">
      <c r="E581" s="19"/>
      <c r="I581" s="170"/>
      <c r="AE581" s="170"/>
      <c r="AH581" s="171"/>
      <c r="AI581" s="171"/>
      <c r="AJ581" s="19"/>
      <c r="AK581" s="155"/>
    </row>
    <row r="582">
      <c r="E582" s="19"/>
      <c r="I582" s="170"/>
      <c r="AE582" s="170"/>
      <c r="AH582" s="171"/>
      <c r="AI582" s="171"/>
      <c r="AJ582" s="19"/>
      <c r="AK582" s="155"/>
    </row>
    <row r="583">
      <c r="E583" s="19"/>
      <c r="I583" s="170"/>
      <c r="AE583" s="170"/>
      <c r="AH583" s="171"/>
      <c r="AI583" s="171"/>
      <c r="AJ583" s="19"/>
      <c r="AK583" s="155"/>
    </row>
    <row r="584">
      <c r="E584" s="19"/>
      <c r="I584" s="170"/>
      <c r="AE584" s="170"/>
      <c r="AH584" s="171"/>
      <c r="AI584" s="171"/>
      <c r="AJ584" s="19"/>
      <c r="AK584" s="155"/>
    </row>
    <row r="585">
      <c r="E585" s="19"/>
      <c r="I585" s="170"/>
      <c r="AE585" s="170"/>
      <c r="AH585" s="171"/>
      <c r="AI585" s="171"/>
      <c r="AJ585" s="19"/>
      <c r="AK585" s="155"/>
    </row>
    <row r="586">
      <c r="E586" s="19"/>
      <c r="I586" s="170"/>
      <c r="AE586" s="170"/>
      <c r="AH586" s="171"/>
      <c r="AI586" s="171"/>
      <c r="AJ586" s="19"/>
      <c r="AK586" s="155"/>
    </row>
    <row r="587">
      <c r="E587" s="19"/>
      <c r="I587" s="170"/>
      <c r="AE587" s="170"/>
      <c r="AH587" s="171"/>
      <c r="AI587" s="171"/>
      <c r="AJ587" s="19"/>
      <c r="AK587" s="155"/>
    </row>
    <row r="588">
      <c r="E588" s="19"/>
      <c r="I588" s="170"/>
      <c r="AE588" s="170"/>
      <c r="AH588" s="171"/>
      <c r="AI588" s="171"/>
      <c r="AJ588" s="19"/>
      <c r="AK588" s="155"/>
    </row>
    <row r="589">
      <c r="E589" s="19"/>
      <c r="I589" s="170"/>
      <c r="AE589" s="170"/>
      <c r="AH589" s="171"/>
      <c r="AI589" s="171"/>
      <c r="AJ589" s="19"/>
      <c r="AK589" s="155"/>
    </row>
    <row r="590">
      <c r="E590" s="19"/>
      <c r="I590" s="170"/>
      <c r="AE590" s="170"/>
      <c r="AH590" s="171"/>
      <c r="AI590" s="171"/>
      <c r="AJ590" s="19"/>
      <c r="AK590" s="155"/>
    </row>
    <row r="591">
      <c r="E591" s="19"/>
      <c r="I591" s="170"/>
      <c r="AE591" s="170"/>
      <c r="AH591" s="171"/>
      <c r="AI591" s="171"/>
      <c r="AJ591" s="19"/>
      <c r="AK591" s="155"/>
    </row>
    <row r="592">
      <c r="E592" s="19"/>
      <c r="I592" s="170"/>
      <c r="AE592" s="170"/>
      <c r="AH592" s="171"/>
      <c r="AI592" s="171"/>
      <c r="AJ592" s="19"/>
      <c r="AK592" s="155"/>
    </row>
    <row r="593">
      <c r="E593" s="19"/>
      <c r="I593" s="170"/>
      <c r="AE593" s="170"/>
      <c r="AH593" s="171"/>
      <c r="AI593" s="171"/>
      <c r="AJ593" s="19"/>
      <c r="AK593" s="155"/>
    </row>
    <row r="594">
      <c r="E594" s="19"/>
      <c r="I594" s="170"/>
      <c r="AE594" s="170"/>
      <c r="AH594" s="171"/>
      <c r="AI594" s="171"/>
      <c r="AJ594" s="19"/>
      <c r="AK594" s="155"/>
    </row>
    <row r="595">
      <c r="E595" s="19"/>
      <c r="I595" s="170"/>
      <c r="AE595" s="170"/>
      <c r="AH595" s="171"/>
      <c r="AI595" s="171"/>
      <c r="AJ595" s="19"/>
      <c r="AK595" s="155"/>
    </row>
    <row r="596">
      <c r="E596" s="19"/>
      <c r="I596" s="170"/>
      <c r="AE596" s="170"/>
      <c r="AH596" s="171"/>
      <c r="AI596" s="171"/>
      <c r="AJ596" s="19"/>
      <c r="AK596" s="155"/>
    </row>
    <row r="597">
      <c r="E597" s="19"/>
      <c r="I597" s="170"/>
      <c r="AE597" s="170"/>
      <c r="AH597" s="171"/>
      <c r="AI597" s="171"/>
      <c r="AJ597" s="19"/>
      <c r="AK597" s="155"/>
    </row>
    <row r="598">
      <c r="E598" s="19"/>
      <c r="I598" s="170"/>
      <c r="AE598" s="170"/>
      <c r="AH598" s="171"/>
      <c r="AI598" s="171"/>
      <c r="AJ598" s="19"/>
      <c r="AK598" s="155"/>
    </row>
    <row r="599">
      <c r="E599" s="19"/>
      <c r="I599" s="170"/>
      <c r="AE599" s="170"/>
      <c r="AH599" s="171"/>
      <c r="AI599" s="171"/>
      <c r="AJ599" s="19"/>
      <c r="AK599" s="155"/>
    </row>
    <row r="600">
      <c r="E600" s="19"/>
      <c r="I600" s="170"/>
      <c r="AE600" s="170"/>
      <c r="AH600" s="171"/>
      <c r="AI600" s="171"/>
      <c r="AJ600" s="19"/>
      <c r="AK600" s="155"/>
    </row>
    <row r="601">
      <c r="E601" s="19"/>
      <c r="I601" s="170"/>
      <c r="AE601" s="170"/>
      <c r="AH601" s="171"/>
      <c r="AI601" s="171"/>
      <c r="AJ601" s="19"/>
      <c r="AK601" s="155"/>
    </row>
    <row r="602">
      <c r="E602" s="19"/>
      <c r="I602" s="170"/>
      <c r="AE602" s="170"/>
      <c r="AH602" s="171"/>
      <c r="AI602" s="171"/>
      <c r="AJ602" s="19"/>
      <c r="AK602" s="155"/>
    </row>
    <row r="603">
      <c r="E603" s="19"/>
      <c r="I603" s="170"/>
      <c r="AE603" s="170"/>
      <c r="AH603" s="171"/>
      <c r="AI603" s="171"/>
      <c r="AJ603" s="19"/>
      <c r="AK603" s="155"/>
    </row>
    <row r="604">
      <c r="E604" s="19"/>
      <c r="I604" s="170"/>
      <c r="AE604" s="170"/>
      <c r="AH604" s="171"/>
      <c r="AI604" s="171"/>
      <c r="AJ604" s="19"/>
      <c r="AK604" s="155"/>
    </row>
    <row r="605">
      <c r="E605" s="19"/>
      <c r="I605" s="170"/>
      <c r="AE605" s="170"/>
      <c r="AH605" s="171"/>
      <c r="AI605" s="171"/>
      <c r="AJ605" s="19"/>
      <c r="AK605" s="155"/>
    </row>
    <row r="606">
      <c r="E606" s="19"/>
      <c r="I606" s="170"/>
      <c r="AE606" s="170"/>
      <c r="AH606" s="171"/>
      <c r="AI606" s="171"/>
      <c r="AJ606" s="19"/>
      <c r="AK606" s="155"/>
    </row>
    <row r="607">
      <c r="E607" s="19"/>
      <c r="I607" s="170"/>
      <c r="AE607" s="170"/>
      <c r="AH607" s="171"/>
      <c r="AI607" s="171"/>
      <c r="AJ607" s="19"/>
      <c r="AK607" s="155"/>
    </row>
    <row r="608">
      <c r="E608" s="19"/>
      <c r="I608" s="170"/>
      <c r="AE608" s="170"/>
      <c r="AH608" s="171"/>
      <c r="AI608" s="171"/>
      <c r="AJ608" s="19"/>
      <c r="AK608" s="155"/>
    </row>
    <row r="609">
      <c r="E609" s="19"/>
      <c r="I609" s="170"/>
      <c r="AE609" s="170"/>
      <c r="AH609" s="171"/>
      <c r="AI609" s="171"/>
      <c r="AJ609" s="19"/>
      <c r="AK609" s="155"/>
    </row>
    <row r="610">
      <c r="E610" s="19"/>
      <c r="I610" s="170"/>
      <c r="AE610" s="170"/>
      <c r="AH610" s="171"/>
      <c r="AI610" s="171"/>
      <c r="AJ610" s="19"/>
      <c r="AK610" s="155"/>
    </row>
    <row r="611">
      <c r="E611" s="19"/>
      <c r="I611" s="170"/>
      <c r="AE611" s="170"/>
      <c r="AH611" s="171"/>
      <c r="AI611" s="171"/>
      <c r="AJ611" s="19"/>
      <c r="AK611" s="155"/>
    </row>
    <row r="612">
      <c r="E612" s="19"/>
      <c r="I612" s="170"/>
      <c r="AE612" s="170"/>
      <c r="AH612" s="171"/>
      <c r="AI612" s="171"/>
      <c r="AJ612" s="19"/>
      <c r="AK612" s="155"/>
    </row>
    <row r="613">
      <c r="E613" s="19"/>
      <c r="I613" s="170"/>
      <c r="AE613" s="170"/>
      <c r="AH613" s="171"/>
      <c r="AI613" s="171"/>
      <c r="AJ613" s="19"/>
      <c r="AK613" s="155"/>
    </row>
    <row r="614">
      <c r="E614" s="19"/>
      <c r="I614" s="170"/>
      <c r="AE614" s="170"/>
      <c r="AH614" s="171"/>
      <c r="AI614" s="171"/>
      <c r="AJ614" s="19"/>
      <c r="AK614" s="155"/>
    </row>
    <row r="615">
      <c r="E615" s="19"/>
      <c r="I615" s="170"/>
      <c r="AE615" s="170"/>
      <c r="AH615" s="171"/>
      <c r="AI615" s="171"/>
      <c r="AJ615" s="19"/>
      <c r="AK615" s="155"/>
    </row>
    <row r="616">
      <c r="E616" s="19"/>
      <c r="I616" s="170"/>
      <c r="AE616" s="170"/>
      <c r="AH616" s="171"/>
      <c r="AI616" s="171"/>
      <c r="AJ616" s="19"/>
      <c r="AK616" s="155"/>
    </row>
    <row r="617">
      <c r="E617" s="19"/>
      <c r="I617" s="170"/>
      <c r="AE617" s="170"/>
      <c r="AH617" s="171"/>
      <c r="AI617" s="171"/>
      <c r="AJ617" s="19"/>
      <c r="AK617" s="155"/>
    </row>
    <row r="618">
      <c r="E618" s="19"/>
      <c r="I618" s="170"/>
      <c r="AE618" s="170"/>
      <c r="AH618" s="171"/>
      <c r="AI618" s="171"/>
      <c r="AJ618" s="19"/>
      <c r="AK618" s="155"/>
    </row>
    <row r="619">
      <c r="E619" s="19"/>
      <c r="I619" s="170"/>
      <c r="AE619" s="170"/>
      <c r="AH619" s="171"/>
      <c r="AI619" s="171"/>
      <c r="AJ619" s="19"/>
      <c r="AK619" s="155"/>
    </row>
    <row r="620">
      <c r="E620" s="19"/>
      <c r="I620" s="170"/>
      <c r="AE620" s="170"/>
      <c r="AH620" s="171"/>
      <c r="AI620" s="171"/>
      <c r="AJ620" s="19"/>
      <c r="AK620" s="155"/>
    </row>
    <row r="621">
      <c r="E621" s="19"/>
      <c r="I621" s="170"/>
      <c r="AE621" s="170"/>
      <c r="AH621" s="171"/>
      <c r="AI621" s="171"/>
      <c r="AJ621" s="19"/>
      <c r="AK621" s="155"/>
    </row>
    <row r="622">
      <c r="E622" s="19"/>
      <c r="I622" s="170"/>
      <c r="AE622" s="170"/>
      <c r="AH622" s="171"/>
      <c r="AI622" s="171"/>
      <c r="AJ622" s="19"/>
      <c r="AK622" s="155"/>
    </row>
    <row r="623">
      <c r="E623" s="19"/>
      <c r="I623" s="170"/>
      <c r="AE623" s="170"/>
      <c r="AH623" s="171"/>
      <c r="AI623" s="171"/>
      <c r="AJ623" s="19"/>
      <c r="AK623" s="155"/>
    </row>
    <row r="624">
      <c r="E624" s="19"/>
      <c r="I624" s="170"/>
      <c r="AE624" s="170"/>
      <c r="AH624" s="171"/>
      <c r="AI624" s="171"/>
      <c r="AJ624" s="19"/>
      <c r="AK624" s="155"/>
    </row>
    <row r="625">
      <c r="E625" s="19"/>
      <c r="I625" s="170"/>
      <c r="AE625" s="170"/>
      <c r="AH625" s="171"/>
      <c r="AI625" s="171"/>
      <c r="AJ625" s="19"/>
      <c r="AK625" s="155"/>
    </row>
    <row r="626">
      <c r="E626" s="19"/>
      <c r="I626" s="170"/>
      <c r="AE626" s="170"/>
      <c r="AH626" s="171"/>
      <c r="AI626" s="171"/>
      <c r="AJ626" s="19"/>
      <c r="AK626" s="155"/>
    </row>
    <row r="627">
      <c r="E627" s="19"/>
      <c r="I627" s="170"/>
      <c r="AE627" s="170"/>
      <c r="AH627" s="171"/>
      <c r="AI627" s="171"/>
      <c r="AJ627" s="19"/>
      <c r="AK627" s="155"/>
    </row>
    <row r="628">
      <c r="E628" s="19"/>
      <c r="I628" s="170"/>
      <c r="AE628" s="170"/>
      <c r="AH628" s="171"/>
      <c r="AI628" s="171"/>
      <c r="AJ628" s="19"/>
      <c r="AK628" s="155"/>
    </row>
    <row r="629">
      <c r="E629" s="19"/>
      <c r="I629" s="170"/>
      <c r="AE629" s="170"/>
      <c r="AH629" s="171"/>
      <c r="AI629" s="171"/>
      <c r="AJ629" s="19"/>
      <c r="AK629" s="155"/>
    </row>
    <row r="630">
      <c r="E630" s="19"/>
      <c r="I630" s="170"/>
      <c r="AE630" s="170"/>
      <c r="AH630" s="171"/>
      <c r="AI630" s="171"/>
      <c r="AJ630" s="19"/>
      <c r="AK630" s="155"/>
    </row>
    <row r="631">
      <c r="E631" s="19"/>
      <c r="I631" s="170"/>
      <c r="AE631" s="170"/>
      <c r="AH631" s="171"/>
      <c r="AI631" s="171"/>
      <c r="AJ631" s="19"/>
      <c r="AK631" s="155"/>
    </row>
    <row r="632">
      <c r="E632" s="19"/>
      <c r="I632" s="170"/>
      <c r="AE632" s="170"/>
      <c r="AH632" s="171"/>
      <c r="AI632" s="171"/>
      <c r="AJ632" s="19"/>
      <c r="AK632" s="155"/>
    </row>
    <row r="633">
      <c r="E633" s="19"/>
      <c r="I633" s="170"/>
      <c r="AE633" s="170"/>
      <c r="AH633" s="171"/>
      <c r="AI633" s="171"/>
      <c r="AJ633" s="19"/>
      <c r="AK633" s="155"/>
    </row>
    <row r="634">
      <c r="E634" s="19"/>
      <c r="I634" s="170"/>
      <c r="AE634" s="170"/>
      <c r="AH634" s="171"/>
      <c r="AI634" s="171"/>
      <c r="AJ634" s="19"/>
      <c r="AK634" s="155"/>
    </row>
    <row r="635">
      <c r="E635" s="19"/>
      <c r="I635" s="170"/>
      <c r="AE635" s="170"/>
      <c r="AH635" s="171"/>
      <c r="AI635" s="171"/>
      <c r="AJ635" s="19"/>
      <c r="AK635" s="155"/>
    </row>
    <row r="636">
      <c r="E636" s="19"/>
      <c r="I636" s="170"/>
      <c r="AE636" s="170"/>
      <c r="AH636" s="171"/>
      <c r="AI636" s="171"/>
      <c r="AJ636" s="19"/>
      <c r="AK636" s="155"/>
    </row>
    <row r="637">
      <c r="E637" s="19"/>
      <c r="I637" s="170"/>
      <c r="AE637" s="170"/>
      <c r="AH637" s="171"/>
      <c r="AI637" s="171"/>
      <c r="AJ637" s="19"/>
      <c r="AK637" s="155"/>
    </row>
    <row r="638">
      <c r="E638" s="19"/>
      <c r="I638" s="170"/>
      <c r="AE638" s="170"/>
      <c r="AH638" s="171"/>
      <c r="AI638" s="171"/>
      <c r="AJ638" s="19"/>
      <c r="AK638" s="155"/>
    </row>
    <row r="639">
      <c r="E639" s="19"/>
      <c r="I639" s="170"/>
      <c r="AE639" s="170"/>
      <c r="AH639" s="171"/>
      <c r="AI639" s="171"/>
      <c r="AJ639" s="19"/>
      <c r="AK639" s="155"/>
    </row>
    <row r="640">
      <c r="E640" s="19"/>
      <c r="I640" s="170"/>
      <c r="AE640" s="170"/>
      <c r="AH640" s="171"/>
      <c r="AI640" s="171"/>
      <c r="AJ640" s="19"/>
      <c r="AK640" s="155"/>
    </row>
    <row r="641">
      <c r="E641" s="19"/>
      <c r="I641" s="170"/>
      <c r="AE641" s="170"/>
      <c r="AH641" s="171"/>
      <c r="AI641" s="171"/>
      <c r="AJ641" s="19"/>
      <c r="AK641" s="155"/>
    </row>
    <row r="642">
      <c r="E642" s="19"/>
      <c r="I642" s="170"/>
      <c r="AE642" s="170"/>
      <c r="AH642" s="171"/>
      <c r="AI642" s="171"/>
      <c r="AJ642" s="19"/>
      <c r="AK642" s="155"/>
    </row>
    <row r="643">
      <c r="E643" s="19"/>
      <c r="I643" s="170"/>
      <c r="AE643" s="170"/>
      <c r="AH643" s="171"/>
      <c r="AI643" s="171"/>
      <c r="AJ643" s="19"/>
      <c r="AK643" s="155"/>
    </row>
    <row r="644">
      <c r="E644" s="19"/>
      <c r="I644" s="170"/>
      <c r="AE644" s="170"/>
      <c r="AH644" s="171"/>
      <c r="AI644" s="171"/>
      <c r="AJ644" s="19"/>
      <c r="AK644" s="155"/>
    </row>
    <row r="645">
      <c r="E645" s="19"/>
      <c r="I645" s="170"/>
      <c r="AE645" s="170"/>
      <c r="AH645" s="171"/>
      <c r="AI645" s="171"/>
      <c r="AJ645" s="19"/>
      <c r="AK645" s="155"/>
    </row>
    <row r="646">
      <c r="E646" s="19"/>
      <c r="I646" s="170"/>
      <c r="AE646" s="170"/>
      <c r="AH646" s="171"/>
      <c r="AI646" s="171"/>
      <c r="AJ646" s="19"/>
      <c r="AK646" s="155"/>
    </row>
    <row r="647">
      <c r="E647" s="19"/>
      <c r="I647" s="170"/>
      <c r="AE647" s="170"/>
      <c r="AH647" s="171"/>
      <c r="AI647" s="171"/>
      <c r="AJ647" s="19"/>
      <c r="AK647" s="155"/>
    </row>
    <row r="648">
      <c r="E648" s="19"/>
      <c r="I648" s="170"/>
      <c r="AE648" s="170"/>
      <c r="AH648" s="171"/>
      <c r="AI648" s="171"/>
      <c r="AJ648" s="19"/>
      <c r="AK648" s="155"/>
    </row>
    <row r="649">
      <c r="E649" s="19"/>
      <c r="I649" s="170"/>
      <c r="AE649" s="170"/>
      <c r="AH649" s="171"/>
      <c r="AI649" s="171"/>
      <c r="AJ649" s="19"/>
      <c r="AK649" s="155"/>
    </row>
    <row r="650">
      <c r="E650" s="19"/>
      <c r="I650" s="170"/>
      <c r="AE650" s="170"/>
      <c r="AH650" s="171"/>
      <c r="AI650" s="171"/>
      <c r="AJ650" s="19"/>
      <c r="AK650" s="155"/>
    </row>
    <row r="651">
      <c r="E651" s="19"/>
      <c r="I651" s="170"/>
      <c r="AE651" s="170"/>
      <c r="AH651" s="171"/>
      <c r="AI651" s="171"/>
      <c r="AJ651" s="19"/>
      <c r="AK651" s="155"/>
    </row>
    <row r="652">
      <c r="E652" s="19"/>
      <c r="I652" s="170"/>
      <c r="AE652" s="170"/>
      <c r="AH652" s="171"/>
      <c r="AI652" s="171"/>
      <c r="AJ652" s="19"/>
      <c r="AK652" s="155"/>
    </row>
    <row r="653">
      <c r="E653" s="19"/>
      <c r="I653" s="170"/>
      <c r="AE653" s="170"/>
      <c r="AH653" s="171"/>
      <c r="AI653" s="171"/>
      <c r="AJ653" s="19"/>
      <c r="AK653" s="155"/>
    </row>
    <row r="654">
      <c r="E654" s="19"/>
      <c r="I654" s="170"/>
      <c r="AE654" s="170"/>
      <c r="AH654" s="171"/>
      <c r="AI654" s="171"/>
      <c r="AJ654" s="19"/>
      <c r="AK654" s="155"/>
    </row>
    <row r="655">
      <c r="E655" s="19"/>
      <c r="I655" s="170"/>
      <c r="AE655" s="170"/>
      <c r="AH655" s="171"/>
      <c r="AI655" s="171"/>
      <c r="AJ655" s="19"/>
      <c r="AK655" s="155"/>
    </row>
    <row r="656">
      <c r="E656" s="19"/>
      <c r="I656" s="170"/>
      <c r="AE656" s="170"/>
      <c r="AH656" s="171"/>
      <c r="AI656" s="171"/>
      <c r="AJ656" s="19"/>
      <c r="AK656" s="155"/>
    </row>
    <row r="657">
      <c r="E657" s="19"/>
      <c r="I657" s="170"/>
      <c r="AE657" s="170"/>
      <c r="AH657" s="171"/>
      <c r="AI657" s="171"/>
      <c r="AJ657" s="19"/>
      <c r="AK657" s="155"/>
    </row>
    <row r="658">
      <c r="E658" s="19"/>
      <c r="I658" s="170"/>
      <c r="AE658" s="170"/>
      <c r="AH658" s="171"/>
      <c r="AI658" s="171"/>
      <c r="AJ658" s="19"/>
      <c r="AK658" s="155"/>
    </row>
    <row r="659">
      <c r="E659" s="19"/>
      <c r="I659" s="170"/>
      <c r="AE659" s="170"/>
      <c r="AH659" s="171"/>
      <c r="AI659" s="171"/>
      <c r="AJ659" s="19"/>
      <c r="AK659" s="155"/>
    </row>
    <row r="660">
      <c r="E660" s="19"/>
      <c r="I660" s="170"/>
      <c r="AE660" s="170"/>
      <c r="AH660" s="171"/>
      <c r="AI660" s="171"/>
      <c r="AJ660" s="19"/>
      <c r="AK660" s="155"/>
    </row>
    <row r="661">
      <c r="E661" s="19"/>
      <c r="I661" s="170"/>
      <c r="AE661" s="170"/>
      <c r="AH661" s="171"/>
      <c r="AI661" s="171"/>
      <c r="AJ661" s="19"/>
      <c r="AK661" s="155"/>
    </row>
    <row r="662">
      <c r="E662" s="19"/>
      <c r="I662" s="170"/>
      <c r="AE662" s="170"/>
      <c r="AH662" s="171"/>
      <c r="AI662" s="171"/>
      <c r="AJ662" s="19"/>
      <c r="AK662" s="155"/>
    </row>
    <row r="663">
      <c r="E663" s="19"/>
      <c r="I663" s="170"/>
      <c r="AE663" s="170"/>
      <c r="AH663" s="171"/>
      <c r="AI663" s="171"/>
      <c r="AJ663" s="19"/>
      <c r="AK663" s="155"/>
    </row>
    <row r="664">
      <c r="E664" s="19"/>
      <c r="I664" s="170"/>
      <c r="AE664" s="170"/>
      <c r="AH664" s="171"/>
      <c r="AI664" s="171"/>
      <c r="AJ664" s="19"/>
      <c r="AK664" s="155"/>
    </row>
    <row r="665">
      <c r="E665" s="19"/>
      <c r="I665" s="170"/>
      <c r="AE665" s="170"/>
      <c r="AH665" s="171"/>
      <c r="AI665" s="171"/>
      <c r="AJ665" s="19"/>
      <c r="AK665" s="155"/>
    </row>
    <row r="666">
      <c r="E666" s="19"/>
      <c r="I666" s="170"/>
      <c r="AE666" s="170"/>
      <c r="AH666" s="171"/>
      <c r="AI666" s="171"/>
      <c r="AJ666" s="19"/>
      <c r="AK666" s="155"/>
    </row>
    <row r="667">
      <c r="E667" s="19"/>
      <c r="I667" s="170"/>
      <c r="AE667" s="170"/>
      <c r="AH667" s="171"/>
      <c r="AI667" s="171"/>
      <c r="AJ667" s="19"/>
      <c r="AK667" s="155"/>
    </row>
    <row r="668">
      <c r="E668" s="19"/>
      <c r="I668" s="170"/>
      <c r="AE668" s="170"/>
      <c r="AH668" s="171"/>
      <c r="AI668" s="171"/>
      <c r="AJ668" s="19"/>
      <c r="AK668" s="155"/>
    </row>
    <row r="669">
      <c r="E669" s="19"/>
      <c r="I669" s="170"/>
      <c r="AE669" s="170"/>
      <c r="AH669" s="171"/>
      <c r="AI669" s="171"/>
      <c r="AJ669" s="19"/>
      <c r="AK669" s="155"/>
    </row>
    <row r="670">
      <c r="E670" s="19"/>
      <c r="I670" s="170"/>
      <c r="AE670" s="170"/>
      <c r="AH670" s="171"/>
      <c r="AI670" s="171"/>
      <c r="AJ670" s="19"/>
      <c r="AK670" s="155"/>
    </row>
    <row r="671">
      <c r="E671" s="19"/>
      <c r="I671" s="170"/>
      <c r="AE671" s="170"/>
      <c r="AH671" s="171"/>
      <c r="AI671" s="171"/>
      <c r="AJ671" s="19"/>
      <c r="AK671" s="155"/>
    </row>
    <row r="672">
      <c r="E672" s="19"/>
      <c r="I672" s="170"/>
      <c r="AE672" s="170"/>
      <c r="AH672" s="171"/>
      <c r="AI672" s="171"/>
      <c r="AJ672" s="19"/>
      <c r="AK672" s="155"/>
    </row>
    <row r="673">
      <c r="E673" s="19"/>
      <c r="I673" s="170"/>
      <c r="AE673" s="170"/>
      <c r="AH673" s="171"/>
      <c r="AI673" s="171"/>
      <c r="AJ673" s="19"/>
      <c r="AK673" s="155"/>
    </row>
    <row r="674">
      <c r="E674" s="19"/>
      <c r="I674" s="170"/>
      <c r="AE674" s="170"/>
      <c r="AH674" s="171"/>
      <c r="AI674" s="171"/>
      <c r="AJ674" s="19"/>
      <c r="AK674" s="155"/>
    </row>
    <row r="675">
      <c r="E675" s="19"/>
      <c r="I675" s="170"/>
      <c r="AE675" s="170"/>
      <c r="AH675" s="171"/>
      <c r="AI675" s="171"/>
      <c r="AJ675" s="19"/>
      <c r="AK675" s="155"/>
    </row>
    <row r="676">
      <c r="E676" s="19"/>
      <c r="I676" s="170"/>
      <c r="AE676" s="170"/>
      <c r="AH676" s="171"/>
      <c r="AI676" s="171"/>
      <c r="AJ676" s="19"/>
      <c r="AK676" s="155"/>
    </row>
    <row r="677">
      <c r="E677" s="19"/>
      <c r="I677" s="170"/>
      <c r="AE677" s="170"/>
      <c r="AH677" s="171"/>
      <c r="AI677" s="171"/>
      <c r="AJ677" s="19"/>
      <c r="AK677" s="155"/>
    </row>
    <row r="678">
      <c r="E678" s="19"/>
      <c r="I678" s="170"/>
      <c r="AE678" s="170"/>
      <c r="AH678" s="171"/>
      <c r="AI678" s="171"/>
      <c r="AJ678" s="19"/>
      <c r="AK678" s="155"/>
    </row>
    <row r="679">
      <c r="E679" s="19"/>
      <c r="I679" s="170"/>
      <c r="AE679" s="170"/>
      <c r="AH679" s="171"/>
      <c r="AI679" s="171"/>
      <c r="AJ679" s="19"/>
      <c r="AK679" s="155"/>
    </row>
    <row r="680">
      <c r="E680" s="19"/>
      <c r="I680" s="170"/>
      <c r="AE680" s="170"/>
      <c r="AH680" s="171"/>
      <c r="AI680" s="171"/>
      <c r="AJ680" s="19"/>
      <c r="AK680" s="155"/>
    </row>
    <row r="681">
      <c r="E681" s="19"/>
      <c r="I681" s="170"/>
      <c r="AE681" s="170"/>
      <c r="AH681" s="171"/>
      <c r="AI681" s="171"/>
      <c r="AJ681" s="19"/>
      <c r="AK681" s="155"/>
    </row>
    <row r="682">
      <c r="E682" s="19"/>
      <c r="I682" s="170"/>
      <c r="AE682" s="170"/>
      <c r="AH682" s="171"/>
      <c r="AI682" s="171"/>
      <c r="AJ682" s="19"/>
      <c r="AK682" s="155"/>
    </row>
    <row r="683">
      <c r="E683" s="19"/>
      <c r="I683" s="170"/>
      <c r="AE683" s="170"/>
      <c r="AH683" s="171"/>
      <c r="AI683" s="171"/>
      <c r="AJ683" s="19"/>
      <c r="AK683" s="155"/>
    </row>
    <row r="684">
      <c r="E684" s="19"/>
      <c r="I684" s="170"/>
      <c r="AE684" s="170"/>
      <c r="AH684" s="171"/>
      <c r="AI684" s="171"/>
      <c r="AJ684" s="19"/>
      <c r="AK684" s="155"/>
    </row>
    <row r="685">
      <c r="E685" s="19"/>
      <c r="I685" s="170"/>
      <c r="AE685" s="170"/>
      <c r="AH685" s="171"/>
      <c r="AI685" s="171"/>
      <c r="AJ685" s="19"/>
      <c r="AK685" s="155"/>
    </row>
    <row r="686">
      <c r="E686" s="19"/>
      <c r="I686" s="170"/>
      <c r="AE686" s="170"/>
      <c r="AH686" s="171"/>
      <c r="AI686" s="171"/>
      <c r="AJ686" s="19"/>
      <c r="AK686" s="155"/>
    </row>
    <row r="687">
      <c r="E687" s="19"/>
      <c r="I687" s="170"/>
      <c r="AE687" s="170"/>
      <c r="AH687" s="171"/>
      <c r="AI687" s="171"/>
      <c r="AJ687" s="19"/>
      <c r="AK687" s="155"/>
    </row>
    <row r="688">
      <c r="E688" s="19"/>
      <c r="I688" s="170"/>
      <c r="AE688" s="170"/>
      <c r="AH688" s="171"/>
      <c r="AI688" s="171"/>
      <c r="AJ688" s="19"/>
      <c r="AK688" s="155"/>
    </row>
    <row r="689">
      <c r="E689" s="19"/>
      <c r="I689" s="170"/>
      <c r="AE689" s="170"/>
      <c r="AH689" s="171"/>
      <c r="AI689" s="171"/>
      <c r="AJ689" s="19"/>
      <c r="AK689" s="155"/>
    </row>
    <row r="690">
      <c r="E690" s="19"/>
      <c r="I690" s="170"/>
      <c r="AE690" s="170"/>
      <c r="AH690" s="171"/>
      <c r="AI690" s="171"/>
      <c r="AJ690" s="19"/>
      <c r="AK690" s="155"/>
    </row>
    <row r="691">
      <c r="E691" s="19"/>
      <c r="I691" s="170"/>
      <c r="AE691" s="170"/>
      <c r="AH691" s="171"/>
      <c r="AI691" s="171"/>
      <c r="AJ691" s="19"/>
      <c r="AK691" s="155"/>
    </row>
    <row r="692">
      <c r="E692" s="19"/>
      <c r="I692" s="170"/>
      <c r="AE692" s="170"/>
      <c r="AH692" s="171"/>
      <c r="AI692" s="171"/>
      <c r="AJ692" s="19"/>
      <c r="AK692" s="155"/>
    </row>
    <row r="693">
      <c r="E693" s="19"/>
      <c r="I693" s="170"/>
      <c r="AE693" s="170"/>
      <c r="AH693" s="171"/>
      <c r="AI693" s="171"/>
      <c r="AJ693" s="19"/>
      <c r="AK693" s="155"/>
    </row>
    <row r="694">
      <c r="E694" s="19"/>
      <c r="I694" s="170"/>
      <c r="AE694" s="170"/>
      <c r="AH694" s="171"/>
      <c r="AI694" s="171"/>
      <c r="AJ694" s="19"/>
      <c r="AK694" s="155"/>
    </row>
    <row r="695">
      <c r="E695" s="19"/>
      <c r="I695" s="170"/>
      <c r="AE695" s="170"/>
      <c r="AH695" s="171"/>
      <c r="AI695" s="171"/>
      <c r="AJ695" s="19"/>
      <c r="AK695" s="155"/>
    </row>
    <row r="696">
      <c r="E696" s="19"/>
      <c r="I696" s="170"/>
      <c r="AE696" s="170"/>
      <c r="AH696" s="171"/>
      <c r="AI696" s="171"/>
      <c r="AJ696" s="19"/>
      <c r="AK696" s="155"/>
    </row>
    <row r="697">
      <c r="E697" s="19"/>
      <c r="I697" s="170"/>
      <c r="AE697" s="170"/>
      <c r="AH697" s="171"/>
      <c r="AI697" s="171"/>
      <c r="AJ697" s="19"/>
      <c r="AK697" s="155"/>
    </row>
    <row r="698">
      <c r="E698" s="19"/>
      <c r="I698" s="170"/>
      <c r="AE698" s="170"/>
      <c r="AH698" s="171"/>
      <c r="AI698" s="171"/>
      <c r="AJ698" s="19"/>
      <c r="AK698" s="155"/>
    </row>
    <row r="699">
      <c r="E699" s="19"/>
      <c r="I699" s="170"/>
      <c r="AE699" s="170"/>
      <c r="AH699" s="171"/>
      <c r="AI699" s="171"/>
      <c r="AJ699" s="19"/>
      <c r="AK699" s="155"/>
    </row>
    <row r="700">
      <c r="E700" s="19"/>
      <c r="I700" s="170"/>
      <c r="AE700" s="170"/>
      <c r="AH700" s="171"/>
      <c r="AI700" s="171"/>
      <c r="AJ700" s="19"/>
      <c r="AK700" s="155"/>
    </row>
    <row r="701">
      <c r="E701" s="19"/>
      <c r="I701" s="170"/>
      <c r="AE701" s="170"/>
      <c r="AH701" s="171"/>
      <c r="AI701" s="171"/>
      <c r="AJ701" s="19"/>
      <c r="AK701" s="155"/>
    </row>
    <row r="702">
      <c r="E702" s="19"/>
      <c r="I702" s="170"/>
      <c r="AE702" s="170"/>
      <c r="AH702" s="171"/>
      <c r="AI702" s="171"/>
      <c r="AJ702" s="19"/>
      <c r="AK702" s="155"/>
    </row>
    <row r="703">
      <c r="E703" s="19"/>
      <c r="I703" s="170"/>
      <c r="AE703" s="170"/>
      <c r="AH703" s="171"/>
      <c r="AI703" s="171"/>
      <c r="AJ703" s="19"/>
      <c r="AK703" s="155"/>
    </row>
    <row r="704">
      <c r="E704" s="19"/>
      <c r="I704" s="170"/>
      <c r="AE704" s="170"/>
      <c r="AH704" s="171"/>
      <c r="AI704" s="171"/>
      <c r="AJ704" s="19"/>
      <c r="AK704" s="155"/>
    </row>
    <row r="705">
      <c r="E705" s="19"/>
      <c r="I705" s="170"/>
      <c r="AE705" s="170"/>
      <c r="AH705" s="171"/>
      <c r="AI705" s="171"/>
      <c r="AJ705" s="19"/>
      <c r="AK705" s="155"/>
    </row>
    <row r="706">
      <c r="E706" s="19"/>
      <c r="I706" s="170"/>
      <c r="AE706" s="170"/>
      <c r="AH706" s="171"/>
      <c r="AI706" s="171"/>
      <c r="AJ706" s="19"/>
      <c r="AK706" s="155"/>
    </row>
    <row r="707">
      <c r="E707" s="19"/>
      <c r="I707" s="170"/>
      <c r="AE707" s="170"/>
      <c r="AH707" s="171"/>
      <c r="AI707" s="171"/>
      <c r="AJ707" s="19"/>
      <c r="AK707" s="155"/>
    </row>
    <row r="708">
      <c r="E708" s="19"/>
      <c r="I708" s="170"/>
      <c r="AE708" s="170"/>
      <c r="AH708" s="171"/>
      <c r="AI708" s="171"/>
      <c r="AJ708" s="19"/>
      <c r="AK708" s="155"/>
    </row>
    <row r="709">
      <c r="E709" s="19"/>
      <c r="I709" s="170"/>
      <c r="AE709" s="170"/>
      <c r="AH709" s="171"/>
      <c r="AI709" s="171"/>
      <c r="AJ709" s="19"/>
      <c r="AK709" s="155"/>
    </row>
    <row r="710">
      <c r="E710" s="19"/>
      <c r="I710" s="170"/>
      <c r="AE710" s="170"/>
      <c r="AH710" s="171"/>
      <c r="AI710" s="171"/>
      <c r="AJ710" s="19"/>
      <c r="AK710" s="155"/>
    </row>
    <row r="711">
      <c r="E711" s="19"/>
      <c r="I711" s="170"/>
      <c r="AE711" s="170"/>
      <c r="AH711" s="171"/>
      <c r="AI711" s="171"/>
      <c r="AJ711" s="19"/>
      <c r="AK711" s="155"/>
    </row>
    <row r="712">
      <c r="E712" s="19"/>
      <c r="I712" s="170"/>
      <c r="AE712" s="170"/>
      <c r="AH712" s="171"/>
      <c r="AI712" s="171"/>
      <c r="AJ712" s="19"/>
      <c r="AK712" s="155"/>
    </row>
    <row r="713">
      <c r="E713" s="19"/>
      <c r="I713" s="170"/>
      <c r="AE713" s="170"/>
      <c r="AH713" s="171"/>
      <c r="AI713" s="171"/>
      <c r="AJ713" s="19"/>
      <c r="AK713" s="155"/>
    </row>
    <row r="714">
      <c r="E714" s="19"/>
      <c r="I714" s="170"/>
      <c r="AE714" s="170"/>
      <c r="AH714" s="171"/>
      <c r="AI714" s="171"/>
      <c r="AJ714" s="19"/>
      <c r="AK714" s="155"/>
    </row>
    <row r="715">
      <c r="E715" s="19"/>
      <c r="I715" s="170"/>
      <c r="AE715" s="170"/>
      <c r="AH715" s="171"/>
      <c r="AI715" s="171"/>
      <c r="AJ715" s="19"/>
      <c r="AK715" s="155"/>
    </row>
    <row r="716">
      <c r="E716" s="19"/>
      <c r="I716" s="170"/>
      <c r="AE716" s="170"/>
      <c r="AH716" s="171"/>
      <c r="AI716" s="171"/>
      <c r="AJ716" s="19"/>
      <c r="AK716" s="155"/>
    </row>
    <row r="717">
      <c r="E717" s="19"/>
      <c r="I717" s="170"/>
      <c r="AE717" s="170"/>
      <c r="AH717" s="171"/>
      <c r="AI717" s="171"/>
      <c r="AJ717" s="19"/>
      <c r="AK717" s="155"/>
    </row>
    <row r="718">
      <c r="E718" s="19"/>
      <c r="I718" s="170"/>
      <c r="AE718" s="170"/>
      <c r="AH718" s="171"/>
      <c r="AI718" s="171"/>
      <c r="AJ718" s="19"/>
      <c r="AK718" s="155"/>
    </row>
    <row r="719">
      <c r="E719" s="19"/>
      <c r="I719" s="170"/>
      <c r="AE719" s="170"/>
      <c r="AH719" s="171"/>
      <c r="AI719" s="171"/>
      <c r="AJ719" s="19"/>
      <c r="AK719" s="155"/>
    </row>
    <row r="720">
      <c r="E720" s="19"/>
      <c r="I720" s="170"/>
      <c r="AE720" s="170"/>
      <c r="AH720" s="171"/>
      <c r="AI720" s="171"/>
      <c r="AJ720" s="19"/>
      <c r="AK720" s="155"/>
    </row>
    <row r="721">
      <c r="E721" s="19"/>
      <c r="I721" s="170"/>
      <c r="AE721" s="170"/>
      <c r="AH721" s="171"/>
      <c r="AI721" s="171"/>
      <c r="AJ721" s="19"/>
      <c r="AK721" s="155"/>
    </row>
    <row r="722">
      <c r="E722" s="19"/>
      <c r="I722" s="170"/>
      <c r="AE722" s="170"/>
      <c r="AH722" s="171"/>
      <c r="AI722" s="171"/>
      <c r="AJ722" s="19"/>
      <c r="AK722" s="155"/>
    </row>
    <row r="723">
      <c r="E723" s="19"/>
      <c r="I723" s="170"/>
      <c r="AE723" s="170"/>
      <c r="AH723" s="171"/>
      <c r="AI723" s="171"/>
      <c r="AJ723" s="19"/>
      <c r="AK723" s="155"/>
    </row>
    <row r="724">
      <c r="E724" s="19"/>
      <c r="I724" s="170"/>
      <c r="AE724" s="170"/>
      <c r="AH724" s="171"/>
      <c r="AI724" s="171"/>
      <c r="AJ724" s="19"/>
      <c r="AK724" s="155"/>
    </row>
    <row r="725">
      <c r="E725" s="19"/>
      <c r="I725" s="170"/>
      <c r="AE725" s="170"/>
      <c r="AH725" s="171"/>
      <c r="AI725" s="171"/>
      <c r="AJ725" s="19"/>
      <c r="AK725" s="155"/>
    </row>
    <row r="726">
      <c r="E726" s="19"/>
      <c r="I726" s="170"/>
      <c r="AE726" s="170"/>
      <c r="AH726" s="171"/>
      <c r="AI726" s="171"/>
      <c r="AJ726" s="19"/>
      <c r="AK726" s="155"/>
    </row>
    <row r="727">
      <c r="E727" s="19"/>
      <c r="I727" s="170"/>
      <c r="AE727" s="170"/>
      <c r="AH727" s="171"/>
      <c r="AI727" s="171"/>
      <c r="AJ727" s="19"/>
      <c r="AK727" s="155"/>
    </row>
    <row r="728">
      <c r="E728" s="19"/>
      <c r="I728" s="170"/>
      <c r="AE728" s="170"/>
      <c r="AH728" s="171"/>
      <c r="AI728" s="171"/>
      <c r="AJ728" s="19"/>
      <c r="AK728" s="155"/>
    </row>
    <row r="729">
      <c r="E729" s="19"/>
      <c r="I729" s="170"/>
      <c r="AE729" s="170"/>
      <c r="AH729" s="171"/>
      <c r="AI729" s="171"/>
      <c r="AJ729" s="19"/>
      <c r="AK729" s="155"/>
    </row>
    <row r="730">
      <c r="E730" s="19"/>
      <c r="I730" s="170"/>
      <c r="AE730" s="170"/>
      <c r="AH730" s="171"/>
      <c r="AI730" s="171"/>
      <c r="AJ730" s="19"/>
      <c r="AK730" s="155"/>
    </row>
    <row r="731">
      <c r="E731" s="19"/>
      <c r="I731" s="170"/>
      <c r="AE731" s="170"/>
      <c r="AH731" s="171"/>
      <c r="AI731" s="171"/>
      <c r="AJ731" s="19"/>
      <c r="AK731" s="155"/>
    </row>
    <row r="732">
      <c r="E732" s="19"/>
      <c r="I732" s="170"/>
      <c r="AE732" s="170"/>
      <c r="AH732" s="171"/>
      <c r="AI732" s="171"/>
      <c r="AJ732" s="19"/>
      <c r="AK732" s="155"/>
    </row>
    <row r="733">
      <c r="E733" s="19"/>
      <c r="I733" s="170"/>
      <c r="AE733" s="170"/>
      <c r="AH733" s="171"/>
      <c r="AI733" s="171"/>
      <c r="AJ733" s="19"/>
      <c r="AK733" s="155"/>
    </row>
    <row r="734">
      <c r="E734" s="19"/>
      <c r="I734" s="170"/>
      <c r="AE734" s="170"/>
      <c r="AH734" s="171"/>
      <c r="AI734" s="171"/>
      <c r="AJ734" s="19"/>
      <c r="AK734" s="155"/>
    </row>
    <row r="735">
      <c r="E735" s="19"/>
      <c r="I735" s="170"/>
      <c r="AE735" s="170"/>
      <c r="AH735" s="171"/>
      <c r="AI735" s="171"/>
      <c r="AJ735" s="19"/>
      <c r="AK735" s="155"/>
    </row>
    <row r="736">
      <c r="E736" s="19"/>
      <c r="I736" s="170"/>
      <c r="AE736" s="170"/>
      <c r="AH736" s="171"/>
      <c r="AI736" s="171"/>
      <c r="AJ736" s="19"/>
      <c r="AK736" s="155"/>
    </row>
    <row r="737">
      <c r="E737" s="19"/>
      <c r="I737" s="170"/>
      <c r="AE737" s="170"/>
      <c r="AH737" s="171"/>
      <c r="AI737" s="171"/>
      <c r="AJ737" s="19"/>
      <c r="AK737" s="155"/>
    </row>
    <row r="738">
      <c r="E738" s="19"/>
      <c r="I738" s="170"/>
      <c r="AE738" s="170"/>
      <c r="AH738" s="171"/>
      <c r="AI738" s="171"/>
      <c r="AJ738" s="19"/>
      <c r="AK738" s="155"/>
    </row>
    <row r="739">
      <c r="E739" s="19"/>
      <c r="I739" s="170"/>
      <c r="AE739" s="170"/>
      <c r="AH739" s="171"/>
      <c r="AI739" s="171"/>
      <c r="AJ739" s="19"/>
      <c r="AK739" s="155"/>
    </row>
    <row r="740">
      <c r="E740" s="19"/>
      <c r="I740" s="170"/>
      <c r="AE740" s="170"/>
      <c r="AH740" s="171"/>
      <c r="AI740" s="171"/>
      <c r="AJ740" s="19"/>
      <c r="AK740" s="155"/>
    </row>
    <row r="741">
      <c r="E741" s="19"/>
      <c r="I741" s="170"/>
      <c r="AE741" s="170"/>
      <c r="AH741" s="171"/>
      <c r="AI741" s="171"/>
      <c r="AJ741" s="19"/>
      <c r="AK741" s="155"/>
    </row>
    <row r="742">
      <c r="E742" s="19"/>
      <c r="I742" s="170"/>
      <c r="AE742" s="170"/>
      <c r="AH742" s="171"/>
      <c r="AI742" s="171"/>
      <c r="AJ742" s="19"/>
      <c r="AK742" s="155"/>
    </row>
    <row r="743">
      <c r="E743" s="19"/>
      <c r="I743" s="170"/>
      <c r="AE743" s="170"/>
      <c r="AH743" s="171"/>
      <c r="AI743" s="171"/>
      <c r="AJ743" s="19"/>
      <c r="AK743" s="155"/>
    </row>
    <row r="744">
      <c r="E744" s="19"/>
      <c r="I744" s="170"/>
      <c r="AE744" s="170"/>
      <c r="AH744" s="171"/>
      <c r="AI744" s="171"/>
      <c r="AJ744" s="19"/>
      <c r="AK744" s="155"/>
    </row>
    <row r="745">
      <c r="E745" s="19"/>
      <c r="I745" s="170"/>
      <c r="AE745" s="170"/>
      <c r="AH745" s="171"/>
      <c r="AI745" s="171"/>
      <c r="AJ745" s="19"/>
      <c r="AK745" s="155"/>
    </row>
    <row r="746">
      <c r="E746" s="19"/>
      <c r="I746" s="170"/>
      <c r="AE746" s="170"/>
      <c r="AH746" s="171"/>
      <c r="AI746" s="171"/>
      <c r="AJ746" s="19"/>
      <c r="AK746" s="155"/>
    </row>
    <row r="747">
      <c r="E747" s="19"/>
      <c r="I747" s="170"/>
      <c r="AE747" s="170"/>
      <c r="AH747" s="171"/>
      <c r="AI747" s="171"/>
      <c r="AJ747" s="19"/>
      <c r="AK747" s="155"/>
    </row>
    <row r="748">
      <c r="E748" s="19"/>
      <c r="I748" s="170"/>
      <c r="AE748" s="170"/>
      <c r="AH748" s="171"/>
      <c r="AI748" s="171"/>
      <c r="AJ748" s="19"/>
      <c r="AK748" s="155"/>
    </row>
    <row r="749">
      <c r="E749" s="19"/>
      <c r="I749" s="170"/>
      <c r="AE749" s="170"/>
      <c r="AH749" s="171"/>
      <c r="AI749" s="171"/>
      <c r="AJ749" s="19"/>
      <c r="AK749" s="155"/>
    </row>
    <row r="750">
      <c r="E750" s="19"/>
      <c r="I750" s="170"/>
      <c r="AE750" s="170"/>
      <c r="AH750" s="171"/>
      <c r="AI750" s="171"/>
      <c r="AJ750" s="19"/>
      <c r="AK750" s="155"/>
    </row>
    <row r="751">
      <c r="E751" s="19"/>
      <c r="I751" s="170"/>
      <c r="AE751" s="170"/>
      <c r="AH751" s="171"/>
      <c r="AI751" s="171"/>
      <c r="AJ751" s="19"/>
      <c r="AK751" s="155"/>
    </row>
    <row r="752">
      <c r="E752" s="19"/>
      <c r="I752" s="170"/>
      <c r="AE752" s="170"/>
      <c r="AH752" s="171"/>
      <c r="AI752" s="171"/>
      <c r="AJ752" s="19"/>
      <c r="AK752" s="155"/>
    </row>
    <row r="753">
      <c r="E753" s="19"/>
      <c r="I753" s="170"/>
      <c r="AE753" s="170"/>
      <c r="AH753" s="171"/>
      <c r="AI753" s="171"/>
      <c r="AJ753" s="19"/>
      <c r="AK753" s="155"/>
    </row>
    <row r="754">
      <c r="E754" s="19"/>
      <c r="I754" s="170"/>
      <c r="AE754" s="170"/>
      <c r="AH754" s="171"/>
      <c r="AI754" s="171"/>
      <c r="AJ754" s="19"/>
      <c r="AK754" s="155"/>
    </row>
    <row r="755">
      <c r="E755" s="19"/>
      <c r="I755" s="170"/>
      <c r="AE755" s="170"/>
      <c r="AH755" s="171"/>
      <c r="AI755" s="171"/>
      <c r="AJ755" s="19"/>
      <c r="AK755" s="155"/>
    </row>
    <row r="756">
      <c r="E756" s="19"/>
      <c r="I756" s="170"/>
      <c r="AE756" s="170"/>
      <c r="AH756" s="171"/>
      <c r="AI756" s="171"/>
      <c r="AJ756" s="19"/>
      <c r="AK756" s="155"/>
    </row>
    <row r="757">
      <c r="E757" s="19"/>
      <c r="I757" s="170"/>
      <c r="AE757" s="170"/>
      <c r="AH757" s="171"/>
      <c r="AI757" s="171"/>
      <c r="AJ757" s="19"/>
      <c r="AK757" s="155"/>
    </row>
    <row r="758">
      <c r="E758" s="19"/>
      <c r="I758" s="170"/>
      <c r="AE758" s="170"/>
      <c r="AH758" s="171"/>
      <c r="AI758" s="171"/>
      <c r="AJ758" s="19"/>
      <c r="AK758" s="155"/>
    </row>
    <row r="759">
      <c r="E759" s="19"/>
      <c r="I759" s="170"/>
      <c r="AE759" s="170"/>
      <c r="AH759" s="171"/>
      <c r="AI759" s="171"/>
      <c r="AJ759" s="19"/>
      <c r="AK759" s="155"/>
    </row>
    <row r="760">
      <c r="E760" s="19"/>
      <c r="I760" s="170"/>
      <c r="AE760" s="170"/>
      <c r="AH760" s="171"/>
      <c r="AI760" s="171"/>
      <c r="AJ760" s="19"/>
      <c r="AK760" s="155"/>
    </row>
    <row r="761">
      <c r="E761" s="19"/>
      <c r="I761" s="170"/>
      <c r="AE761" s="170"/>
      <c r="AH761" s="171"/>
      <c r="AI761" s="171"/>
      <c r="AJ761" s="19"/>
      <c r="AK761" s="155"/>
    </row>
    <row r="762">
      <c r="E762" s="19"/>
      <c r="I762" s="170"/>
      <c r="AE762" s="170"/>
      <c r="AH762" s="171"/>
      <c r="AI762" s="171"/>
      <c r="AJ762" s="19"/>
      <c r="AK762" s="155"/>
    </row>
    <row r="763">
      <c r="E763" s="19"/>
      <c r="I763" s="170"/>
      <c r="AE763" s="170"/>
      <c r="AH763" s="171"/>
      <c r="AI763" s="171"/>
      <c r="AJ763" s="19"/>
      <c r="AK763" s="155"/>
    </row>
    <row r="764">
      <c r="E764" s="19"/>
      <c r="I764" s="170"/>
      <c r="AE764" s="170"/>
      <c r="AH764" s="171"/>
      <c r="AI764" s="171"/>
      <c r="AJ764" s="19"/>
      <c r="AK764" s="155"/>
    </row>
    <row r="765">
      <c r="E765" s="19"/>
      <c r="I765" s="170"/>
      <c r="AE765" s="170"/>
      <c r="AH765" s="171"/>
      <c r="AI765" s="171"/>
      <c r="AJ765" s="19"/>
      <c r="AK765" s="155"/>
    </row>
    <row r="766">
      <c r="E766" s="19"/>
      <c r="I766" s="170"/>
      <c r="AE766" s="170"/>
      <c r="AH766" s="171"/>
      <c r="AI766" s="171"/>
      <c r="AJ766" s="19"/>
      <c r="AK766" s="155"/>
    </row>
    <row r="767">
      <c r="E767" s="19"/>
      <c r="I767" s="170"/>
      <c r="AE767" s="170"/>
      <c r="AH767" s="171"/>
      <c r="AI767" s="171"/>
      <c r="AJ767" s="19"/>
      <c r="AK767" s="155"/>
    </row>
    <row r="768">
      <c r="E768" s="19"/>
      <c r="I768" s="170"/>
      <c r="AE768" s="170"/>
      <c r="AH768" s="171"/>
      <c r="AI768" s="171"/>
      <c r="AJ768" s="19"/>
      <c r="AK768" s="155"/>
    </row>
    <row r="769">
      <c r="E769" s="19"/>
      <c r="I769" s="170"/>
      <c r="AE769" s="170"/>
      <c r="AH769" s="171"/>
      <c r="AI769" s="171"/>
      <c r="AJ769" s="19"/>
      <c r="AK769" s="155"/>
    </row>
    <row r="770">
      <c r="E770" s="19"/>
      <c r="I770" s="170"/>
      <c r="AE770" s="170"/>
      <c r="AH770" s="171"/>
      <c r="AI770" s="171"/>
      <c r="AJ770" s="19"/>
      <c r="AK770" s="155"/>
    </row>
    <row r="771">
      <c r="E771" s="19"/>
      <c r="I771" s="170"/>
      <c r="AE771" s="170"/>
      <c r="AH771" s="171"/>
      <c r="AI771" s="171"/>
      <c r="AJ771" s="19"/>
      <c r="AK771" s="155"/>
    </row>
    <row r="772">
      <c r="E772" s="19"/>
      <c r="I772" s="170"/>
      <c r="AE772" s="170"/>
      <c r="AH772" s="171"/>
      <c r="AI772" s="171"/>
      <c r="AJ772" s="19"/>
      <c r="AK772" s="155"/>
    </row>
    <row r="773">
      <c r="E773" s="19"/>
      <c r="I773" s="170"/>
      <c r="AE773" s="170"/>
      <c r="AH773" s="171"/>
      <c r="AI773" s="171"/>
      <c r="AJ773" s="19"/>
      <c r="AK773" s="155"/>
    </row>
    <row r="774">
      <c r="E774" s="19"/>
      <c r="I774" s="170"/>
      <c r="AE774" s="170"/>
      <c r="AH774" s="171"/>
      <c r="AI774" s="171"/>
      <c r="AJ774" s="19"/>
      <c r="AK774" s="155"/>
    </row>
    <row r="775">
      <c r="E775" s="19"/>
      <c r="I775" s="170"/>
      <c r="AE775" s="170"/>
      <c r="AH775" s="171"/>
      <c r="AI775" s="171"/>
      <c r="AJ775" s="19"/>
      <c r="AK775" s="155"/>
    </row>
    <row r="776">
      <c r="E776" s="19"/>
      <c r="I776" s="170"/>
      <c r="AE776" s="170"/>
      <c r="AH776" s="171"/>
      <c r="AI776" s="171"/>
      <c r="AJ776" s="19"/>
      <c r="AK776" s="155"/>
    </row>
    <row r="777">
      <c r="E777" s="19"/>
      <c r="I777" s="170"/>
      <c r="AE777" s="170"/>
      <c r="AH777" s="171"/>
      <c r="AI777" s="171"/>
      <c r="AJ777" s="19"/>
      <c r="AK777" s="155"/>
    </row>
    <row r="778">
      <c r="E778" s="19"/>
      <c r="I778" s="170"/>
      <c r="AE778" s="170"/>
      <c r="AH778" s="171"/>
      <c r="AI778" s="171"/>
      <c r="AJ778" s="19"/>
      <c r="AK778" s="155"/>
    </row>
    <row r="779">
      <c r="E779" s="19"/>
      <c r="I779" s="170"/>
      <c r="AE779" s="170"/>
      <c r="AH779" s="171"/>
      <c r="AI779" s="171"/>
      <c r="AJ779" s="19"/>
      <c r="AK779" s="155"/>
    </row>
    <row r="780">
      <c r="E780" s="19"/>
      <c r="I780" s="170"/>
      <c r="AE780" s="170"/>
      <c r="AH780" s="171"/>
      <c r="AI780" s="171"/>
      <c r="AJ780" s="19"/>
      <c r="AK780" s="155"/>
    </row>
    <row r="781">
      <c r="E781" s="19"/>
      <c r="I781" s="170"/>
      <c r="AE781" s="170"/>
      <c r="AH781" s="171"/>
      <c r="AI781" s="171"/>
      <c r="AJ781" s="19"/>
      <c r="AK781" s="155"/>
    </row>
    <row r="782">
      <c r="E782" s="19"/>
      <c r="I782" s="170"/>
      <c r="AE782" s="170"/>
      <c r="AH782" s="171"/>
      <c r="AI782" s="171"/>
      <c r="AJ782" s="19"/>
      <c r="AK782" s="155"/>
    </row>
    <row r="783">
      <c r="E783" s="19"/>
      <c r="I783" s="170"/>
      <c r="AE783" s="170"/>
      <c r="AH783" s="171"/>
      <c r="AI783" s="171"/>
      <c r="AJ783" s="19"/>
      <c r="AK783" s="155"/>
    </row>
    <row r="784">
      <c r="E784" s="19"/>
      <c r="I784" s="170"/>
      <c r="AE784" s="170"/>
      <c r="AH784" s="171"/>
      <c r="AI784" s="171"/>
      <c r="AJ784" s="19"/>
      <c r="AK784" s="155"/>
    </row>
    <row r="785">
      <c r="E785" s="19"/>
      <c r="I785" s="170"/>
      <c r="AE785" s="170"/>
      <c r="AH785" s="171"/>
      <c r="AI785" s="171"/>
      <c r="AJ785" s="19"/>
      <c r="AK785" s="155"/>
    </row>
    <row r="786">
      <c r="E786" s="19"/>
      <c r="I786" s="170"/>
      <c r="AE786" s="170"/>
      <c r="AH786" s="171"/>
      <c r="AI786" s="171"/>
      <c r="AJ786" s="19"/>
      <c r="AK786" s="155"/>
    </row>
    <row r="787">
      <c r="E787" s="19"/>
      <c r="I787" s="170"/>
      <c r="AE787" s="170"/>
      <c r="AH787" s="171"/>
      <c r="AI787" s="171"/>
      <c r="AJ787" s="19"/>
      <c r="AK787" s="155"/>
    </row>
    <row r="788">
      <c r="E788" s="19"/>
      <c r="I788" s="170"/>
      <c r="AE788" s="170"/>
      <c r="AH788" s="171"/>
      <c r="AI788" s="171"/>
      <c r="AJ788" s="19"/>
      <c r="AK788" s="155"/>
    </row>
    <row r="789">
      <c r="E789" s="19"/>
      <c r="I789" s="170"/>
      <c r="AE789" s="170"/>
      <c r="AH789" s="171"/>
      <c r="AI789" s="171"/>
      <c r="AJ789" s="19"/>
      <c r="AK789" s="155"/>
    </row>
    <row r="790">
      <c r="E790" s="19"/>
      <c r="I790" s="170"/>
      <c r="AE790" s="170"/>
      <c r="AH790" s="171"/>
      <c r="AI790" s="171"/>
      <c r="AJ790" s="19"/>
      <c r="AK790" s="155"/>
    </row>
    <row r="791">
      <c r="E791" s="19"/>
      <c r="I791" s="170"/>
      <c r="AE791" s="170"/>
      <c r="AH791" s="171"/>
      <c r="AI791" s="171"/>
      <c r="AJ791" s="19"/>
      <c r="AK791" s="155"/>
    </row>
    <row r="792">
      <c r="E792" s="19"/>
      <c r="I792" s="170"/>
      <c r="AE792" s="170"/>
      <c r="AH792" s="171"/>
      <c r="AI792" s="171"/>
      <c r="AJ792" s="19"/>
      <c r="AK792" s="155"/>
    </row>
    <row r="793">
      <c r="E793" s="19"/>
      <c r="I793" s="170"/>
      <c r="AE793" s="170"/>
      <c r="AH793" s="171"/>
      <c r="AI793" s="171"/>
      <c r="AJ793" s="19"/>
      <c r="AK793" s="155"/>
    </row>
    <row r="794">
      <c r="E794" s="19"/>
      <c r="I794" s="170"/>
      <c r="AE794" s="170"/>
      <c r="AH794" s="171"/>
      <c r="AI794" s="171"/>
      <c r="AJ794" s="19"/>
      <c r="AK794" s="155"/>
    </row>
    <row r="795">
      <c r="E795" s="19"/>
      <c r="I795" s="170"/>
      <c r="AE795" s="170"/>
      <c r="AH795" s="171"/>
      <c r="AI795" s="171"/>
      <c r="AJ795" s="19"/>
      <c r="AK795" s="155"/>
    </row>
    <row r="796">
      <c r="E796" s="19"/>
      <c r="I796" s="170"/>
      <c r="AE796" s="170"/>
      <c r="AH796" s="171"/>
      <c r="AI796" s="171"/>
      <c r="AJ796" s="19"/>
      <c r="AK796" s="155"/>
    </row>
    <row r="797">
      <c r="E797" s="19"/>
      <c r="I797" s="170"/>
      <c r="AE797" s="170"/>
      <c r="AH797" s="171"/>
      <c r="AI797" s="171"/>
      <c r="AJ797" s="19"/>
      <c r="AK797" s="155"/>
    </row>
    <row r="798">
      <c r="E798" s="19"/>
      <c r="I798" s="170"/>
      <c r="AE798" s="170"/>
      <c r="AH798" s="171"/>
      <c r="AI798" s="171"/>
      <c r="AJ798" s="19"/>
      <c r="AK798" s="155"/>
    </row>
    <row r="799">
      <c r="E799" s="19"/>
      <c r="I799" s="170"/>
      <c r="AE799" s="170"/>
      <c r="AH799" s="171"/>
      <c r="AI799" s="171"/>
      <c r="AJ799" s="19"/>
      <c r="AK799" s="155"/>
    </row>
    <row r="800">
      <c r="E800" s="19"/>
      <c r="I800" s="170"/>
      <c r="AE800" s="170"/>
      <c r="AH800" s="171"/>
      <c r="AI800" s="171"/>
      <c r="AJ800" s="19"/>
      <c r="AK800" s="155"/>
    </row>
    <row r="801">
      <c r="E801" s="19"/>
      <c r="I801" s="170"/>
      <c r="AE801" s="170"/>
      <c r="AH801" s="171"/>
      <c r="AI801" s="171"/>
      <c r="AJ801" s="19"/>
      <c r="AK801" s="155"/>
    </row>
    <row r="802">
      <c r="E802" s="19"/>
      <c r="I802" s="170"/>
      <c r="AE802" s="170"/>
      <c r="AH802" s="171"/>
      <c r="AI802" s="171"/>
      <c r="AJ802" s="19"/>
      <c r="AK802" s="155"/>
    </row>
    <row r="803">
      <c r="E803" s="19"/>
      <c r="I803" s="170"/>
      <c r="AE803" s="170"/>
      <c r="AH803" s="171"/>
      <c r="AI803" s="171"/>
      <c r="AJ803" s="19"/>
      <c r="AK803" s="155"/>
    </row>
    <row r="804">
      <c r="E804" s="19"/>
      <c r="I804" s="170"/>
      <c r="AE804" s="170"/>
      <c r="AH804" s="171"/>
      <c r="AI804" s="171"/>
      <c r="AJ804" s="19"/>
      <c r="AK804" s="155"/>
    </row>
    <row r="805">
      <c r="E805" s="19"/>
      <c r="I805" s="170"/>
      <c r="AE805" s="170"/>
      <c r="AH805" s="171"/>
      <c r="AI805" s="171"/>
      <c r="AJ805" s="19"/>
      <c r="AK805" s="155"/>
    </row>
    <row r="806">
      <c r="E806" s="19"/>
      <c r="I806" s="170"/>
      <c r="AE806" s="170"/>
      <c r="AH806" s="171"/>
      <c r="AI806" s="171"/>
      <c r="AJ806" s="19"/>
      <c r="AK806" s="155"/>
    </row>
    <row r="807">
      <c r="E807" s="19"/>
      <c r="I807" s="170"/>
      <c r="AE807" s="170"/>
      <c r="AH807" s="171"/>
      <c r="AI807" s="171"/>
      <c r="AJ807" s="19"/>
      <c r="AK807" s="155"/>
    </row>
    <row r="808">
      <c r="E808" s="19"/>
      <c r="I808" s="170"/>
      <c r="AE808" s="170"/>
      <c r="AH808" s="171"/>
      <c r="AI808" s="171"/>
      <c r="AJ808" s="19"/>
      <c r="AK808" s="155"/>
    </row>
    <row r="809">
      <c r="E809" s="19"/>
      <c r="I809" s="170"/>
      <c r="AE809" s="170"/>
      <c r="AH809" s="171"/>
      <c r="AI809" s="171"/>
      <c r="AJ809" s="19"/>
      <c r="AK809" s="155"/>
    </row>
    <row r="810">
      <c r="E810" s="19"/>
      <c r="I810" s="170"/>
      <c r="AE810" s="170"/>
      <c r="AH810" s="171"/>
      <c r="AI810" s="171"/>
      <c r="AJ810" s="19"/>
      <c r="AK810" s="155"/>
    </row>
    <row r="811">
      <c r="E811" s="19"/>
      <c r="I811" s="170"/>
      <c r="AE811" s="170"/>
      <c r="AH811" s="171"/>
      <c r="AI811" s="171"/>
      <c r="AJ811" s="19"/>
      <c r="AK811" s="155"/>
    </row>
    <row r="812">
      <c r="E812" s="19"/>
      <c r="I812" s="170"/>
      <c r="AE812" s="170"/>
      <c r="AH812" s="171"/>
      <c r="AI812" s="171"/>
      <c r="AJ812" s="19"/>
      <c r="AK812" s="155"/>
    </row>
    <row r="813">
      <c r="E813" s="19"/>
      <c r="I813" s="170"/>
      <c r="AE813" s="170"/>
      <c r="AH813" s="171"/>
      <c r="AI813" s="171"/>
      <c r="AJ813" s="19"/>
      <c r="AK813" s="155"/>
    </row>
    <row r="814">
      <c r="E814" s="19"/>
      <c r="I814" s="170"/>
      <c r="AE814" s="170"/>
      <c r="AH814" s="171"/>
      <c r="AI814" s="171"/>
      <c r="AJ814" s="19"/>
      <c r="AK814" s="155"/>
    </row>
    <row r="815">
      <c r="E815" s="19"/>
      <c r="I815" s="170"/>
      <c r="AE815" s="170"/>
      <c r="AH815" s="171"/>
      <c r="AI815" s="171"/>
      <c r="AJ815" s="19"/>
      <c r="AK815" s="155"/>
    </row>
    <row r="816">
      <c r="E816" s="19"/>
      <c r="I816" s="170"/>
      <c r="AE816" s="170"/>
      <c r="AH816" s="171"/>
      <c r="AI816" s="171"/>
      <c r="AJ816" s="19"/>
      <c r="AK816" s="155"/>
    </row>
    <row r="817">
      <c r="E817" s="19"/>
      <c r="I817" s="170"/>
      <c r="AE817" s="170"/>
      <c r="AH817" s="171"/>
      <c r="AI817" s="171"/>
      <c r="AJ817" s="19"/>
      <c r="AK817" s="155"/>
    </row>
    <row r="818">
      <c r="E818" s="19"/>
      <c r="I818" s="170"/>
      <c r="AE818" s="170"/>
      <c r="AH818" s="171"/>
      <c r="AI818" s="171"/>
      <c r="AJ818" s="19"/>
      <c r="AK818" s="155"/>
    </row>
    <row r="819">
      <c r="E819" s="19"/>
      <c r="I819" s="170"/>
      <c r="AE819" s="170"/>
      <c r="AH819" s="171"/>
      <c r="AI819" s="171"/>
      <c r="AJ819" s="19"/>
      <c r="AK819" s="155"/>
    </row>
    <row r="820">
      <c r="E820" s="19"/>
      <c r="I820" s="170"/>
      <c r="AE820" s="170"/>
      <c r="AH820" s="171"/>
      <c r="AI820" s="171"/>
      <c r="AJ820" s="19"/>
      <c r="AK820" s="155"/>
    </row>
    <row r="821">
      <c r="E821" s="19"/>
      <c r="I821" s="170"/>
      <c r="AE821" s="170"/>
      <c r="AH821" s="171"/>
      <c r="AI821" s="171"/>
      <c r="AJ821" s="19"/>
      <c r="AK821" s="155"/>
    </row>
    <row r="822">
      <c r="E822" s="19"/>
      <c r="I822" s="170"/>
      <c r="AE822" s="170"/>
      <c r="AH822" s="171"/>
      <c r="AI822" s="171"/>
      <c r="AJ822" s="19"/>
      <c r="AK822" s="155"/>
    </row>
    <row r="823">
      <c r="E823" s="19"/>
      <c r="I823" s="170"/>
      <c r="AE823" s="170"/>
      <c r="AH823" s="171"/>
      <c r="AI823" s="171"/>
      <c r="AJ823" s="19"/>
      <c r="AK823" s="155"/>
    </row>
    <row r="824">
      <c r="E824" s="19"/>
      <c r="I824" s="170"/>
      <c r="AE824" s="170"/>
      <c r="AH824" s="171"/>
      <c r="AI824" s="171"/>
      <c r="AJ824" s="19"/>
      <c r="AK824" s="155"/>
    </row>
    <row r="825">
      <c r="E825" s="19"/>
      <c r="I825" s="170"/>
      <c r="AE825" s="170"/>
      <c r="AH825" s="171"/>
      <c r="AI825" s="171"/>
      <c r="AJ825" s="19"/>
      <c r="AK825" s="155"/>
    </row>
    <row r="826">
      <c r="E826" s="19"/>
      <c r="I826" s="170"/>
      <c r="AE826" s="170"/>
      <c r="AH826" s="171"/>
      <c r="AI826" s="171"/>
      <c r="AJ826" s="19"/>
      <c r="AK826" s="155"/>
    </row>
    <row r="827">
      <c r="E827" s="19"/>
      <c r="I827" s="170"/>
      <c r="AE827" s="170"/>
      <c r="AH827" s="171"/>
      <c r="AI827" s="171"/>
      <c r="AJ827" s="19"/>
      <c r="AK827" s="155"/>
    </row>
    <row r="828">
      <c r="E828" s="19"/>
      <c r="I828" s="170"/>
      <c r="AE828" s="170"/>
      <c r="AH828" s="171"/>
      <c r="AI828" s="171"/>
      <c r="AJ828" s="19"/>
      <c r="AK828" s="155"/>
    </row>
    <row r="829">
      <c r="E829" s="19"/>
      <c r="I829" s="170"/>
      <c r="AE829" s="170"/>
      <c r="AH829" s="171"/>
      <c r="AI829" s="171"/>
      <c r="AJ829" s="19"/>
      <c r="AK829" s="155"/>
    </row>
    <row r="830">
      <c r="E830" s="19"/>
      <c r="I830" s="170"/>
      <c r="AE830" s="170"/>
      <c r="AH830" s="171"/>
      <c r="AI830" s="171"/>
      <c r="AJ830" s="19"/>
      <c r="AK830" s="155"/>
    </row>
    <row r="831">
      <c r="E831" s="19"/>
      <c r="I831" s="170"/>
      <c r="AE831" s="170"/>
      <c r="AH831" s="171"/>
      <c r="AI831" s="171"/>
      <c r="AJ831" s="19"/>
      <c r="AK831" s="155"/>
    </row>
    <row r="832">
      <c r="E832" s="19"/>
      <c r="I832" s="170"/>
      <c r="AE832" s="170"/>
      <c r="AH832" s="171"/>
      <c r="AI832" s="171"/>
      <c r="AJ832" s="19"/>
      <c r="AK832" s="155"/>
    </row>
    <row r="833">
      <c r="E833" s="19"/>
      <c r="I833" s="170"/>
      <c r="AE833" s="170"/>
      <c r="AH833" s="171"/>
      <c r="AI833" s="171"/>
      <c r="AJ833" s="19"/>
      <c r="AK833" s="155"/>
    </row>
    <row r="834">
      <c r="E834" s="19"/>
      <c r="I834" s="170"/>
      <c r="AE834" s="170"/>
      <c r="AH834" s="171"/>
      <c r="AI834" s="171"/>
      <c r="AJ834" s="19"/>
      <c r="AK834" s="155"/>
    </row>
    <row r="835">
      <c r="E835" s="19"/>
      <c r="I835" s="170"/>
      <c r="AE835" s="170"/>
      <c r="AH835" s="171"/>
      <c r="AI835" s="171"/>
      <c r="AJ835" s="19"/>
      <c r="AK835" s="155"/>
    </row>
    <row r="836">
      <c r="E836" s="19"/>
      <c r="I836" s="170"/>
      <c r="AE836" s="170"/>
      <c r="AH836" s="171"/>
      <c r="AI836" s="171"/>
      <c r="AJ836" s="19"/>
      <c r="AK836" s="155"/>
    </row>
    <row r="837">
      <c r="E837" s="19"/>
      <c r="I837" s="170"/>
      <c r="AE837" s="170"/>
      <c r="AH837" s="171"/>
      <c r="AI837" s="171"/>
      <c r="AJ837" s="19"/>
      <c r="AK837" s="155"/>
    </row>
    <row r="838">
      <c r="E838" s="19"/>
      <c r="I838" s="170"/>
      <c r="AE838" s="170"/>
      <c r="AH838" s="171"/>
      <c r="AI838" s="171"/>
      <c r="AJ838" s="19"/>
      <c r="AK838" s="155"/>
    </row>
    <row r="839">
      <c r="E839" s="19"/>
      <c r="I839" s="170"/>
      <c r="AE839" s="170"/>
      <c r="AH839" s="171"/>
      <c r="AI839" s="171"/>
      <c r="AJ839" s="19"/>
      <c r="AK839" s="155"/>
    </row>
    <row r="840">
      <c r="E840" s="19"/>
      <c r="I840" s="170"/>
      <c r="AE840" s="170"/>
      <c r="AH840" s="171"/>
      <c r="AI840" s="171"/>
      <c r="AJ840" s="19"/>
      <c r="AK840" s="155"/>
    </row>
    <row r="841">
      <c r="E841" s="19"/>
      <c r="I841" s="170"/>
      <c r="AE841" s="170"/>
      <c r="AH841" s="171"/>
      <c r="AI841" s="171"/>
      <c r="AJ841" s="19"/>
      <c r="AK841" s="155"/>
    </row>
    <row r="842">
      <c r="E842" s="19"/>
      <c r="I842" s="170"/>
      <c r="AE842" s="170"/>
      <c r="AH842" s="171"/>
      <c r="AI842" s="171"/>
      <c r="AJ842" s="19"/>
      <c r="AK842" s="155"/>
    </row>
    <row r="843">
      <c r="E843" s="19"/>
      <c r="I843" s="170"/>
      <c r="AE843" s="170"/>
      <c r="AH843" s="171"/>
      <c r="AI843" s="171"/>
      <c r="AJ843" s="19"/>
      <c r="AK843" s="155"/>
    </row>
    <row r="844">
      <c r="E844" s="19"/>
      <c r="I844" s="170"/>
      <c r="AE844" s="170"/>
      <c r="AH844" s="171"/>
      <c r="AI844" s="171"/>
      <c r="AJ844" s="19"/>
      <c r="AK844" s="155"/>
    </row>
    <row r="845">
      <c r="E845" s="19"/>
      <c r="I845" s="170"/>
      <c r="AE845" s="170"/>
      <c r="AH845" s="171"/>
      <c r="AI845" s="171"/>
      <c r="AJ845" s="19"/>
      <c r="AK845" s="155"/>
    </row>
    <row r="846">
      <c r="E846" s="19"/>
      <c r="I846" s="170"/>
      <c r="AE846" s="170"/>
      <c r="AH846" s="171"/>
      <c r="AI846" s="171"/>
      <c r="AJ846" s="19"/>
      <c r="AK846" s="155"/>
    </row>
    <row r="847">
      <c r="E847" s="19"/>
      <c r="I847" s="170"/>
      <c r="AE847" s="170"/>
      <c r="AH847" s="171"/>
      <c r="AI847" s="171"/>
      <c r="AJ847" s="19"/>
      <c r="AK847" s="155"/>
    </row>
    <row r="848">
      <c r="E848" s="19"/>
      <c r="I848" s="170"/>
      <c r="AE848" s="170"/>
      <c r="AH848" s="171"/>
      <c r="AI848" s="171"/>
      <c r="AJ848" s="19"/>
      <c r="AK848" s="155"/>
    </row>
    <row r="849">
      <c r="E849" s="19"/>
      <c r="I849" s="170"/>
      <c r="AE849" s="170"/>
      <c r="AH849" s="171"/>
      <c r="AI849" s="171"/>
      <c r="AJ849" s="19"/>
      <c r="AK849" s="155"/>
    </row>
    <row r="850">
      <c r="E850" s="19"/>
      <c r="I850" s="170"/>
      <c r="AE850" s="170"/>
      <c r="AH850" s="171"/>
      <c r="AI850" s="171"/>
      <c r="AJ850" s="19"/>
      <c r="AK850" s="155"/>
    </row>
    <row r="851">
      <c r="E851" s="19"/>
      <c r="I851" s="170"/>
      <c r="AE851" s="170"/>
      <c r="AH851" s="171"/>
      <c r="AI851" s="171"/>
      <c r="AJ851" s="19"/>
      <c r="AK851" s="155"/>
    </row>
    <row r="852">
      <c r="E852" s="19"/>
      <c r="I852" s="170"/>
      <c r="AE852" s="170"/>
      <c r="AH852" s="171"/>
      <c r="AI852" s="171"/>
      <c r="AJ852" s="19"/>
      <c r="AK852" s="155"/>
    </row>
    <row r="853">
      <c r="E853" s="19"/>
      <c r="I853" s="170"/>
      <c r="AE853" s="170"/>
      <c r="AH853" s="171"/>
      <c r="AI853" s="171"/>
      <c r="AJ853" s="19"/>
      <c r="AK853" s="155"/>
    </row>
    <row r="854">
      <c r="E854" s="19"/>
      <c r="I854" s="170"/>
      <c r="AE854" s="170"/>
      <c r="AH854" s="171"/>
      <c r="AI854" s="171"/>
      <c r="AJ854" s="19"/>
      <c r="AK854" s="155"/>
    </row>
    <row r="855">
      <c r="E855" s="19"/>
      <c r="I855" s="170"/>
      <c r="AE855" s="170"/>
      <c r="AH855" s="171"/>
      <c r="AI855" s="171"/>
      <c r="AJ855" s="19"/>
      <c r="AK855" s="155"/>
    </row>
    <row r="856">
      <c r="E856" s="19"/>
      <c r="I856" s="170"/>
      <c r="AE856" s="170"/>
      <c r="AH856" s="171"/>
      <c r="AI856" s="171"/>
      <c r="AJ856" s="19"/>
      <c r="AK856" s="155"/>
    </row>
    <row r="857">
      <c r="E857" s="19"/>
      <c r="I857" s="170"/>
      <c r="AE857" s="170"/>
      <c r="AH857" s="171"/>
      <c r="AI857" s="171"/>
      <c r="AJ857" s="19"/>
      <c r="AK857" s="155"/>
    </row>
    <row r="858">
      <c r="E858" s="19"/>
      <c r="I858" s="170"/>
      <c r="AE858" s="170"/>
      <c r="AH858" s="171"/>
      <c r="AI858" s="171"/>
      <c r="AJ858" s="19"/>
      <c r="AK858" s="155"/>
    </row>
    <row r="859">
      <c r="E859" s="19"/>
      <c r="I859" s="170"/>
      <c r="AE859" s="170"/>
      <c r="AH859" s="171"/>
      <c r="AI859" s="171"/>
      <c r="AJ859" s="19"/>
      <c r="AK859" s="155"/>
    </row>
    <row r="860">
      <c r="E860" s="19"/>
      <c r="I860" s="170"/>
      <c r="AE860" s="170"/>
      <c r="AH860" s="171"/>
      <c r="AI860" s="171"/>
      <c r="AJ860" s="19"/>
      <c r="AK860" s="155"/>
    </row>
    <row r="861">
      <c r="E861" s="19"/>
      <c r="I861" s="170"/>
      <c r="AE861" s="170"/>
      <c r="AH861" s="171"/>
      <c r="AI861" s="171"/>
      <c r="AJ861" s="19"/>
      <c r="AK861" s="155"/>
    </row>
    <row r="862">
      <c r="E862" s="19"/>
      <c r="I862" s="170"/>
      <c r="AE862" s="170"/>
      <c r="AH862" s="171"/>
      <c r="AI862" s="171"/>
      <c r="AJ862" s="19"/>
      <c r="AK862" s="155"/>
    </row>
    <row r="863">
      <c r="E863" s="19"/>
      <c r="I863" s="170"/>
      <c r="AE863" s="170"/>
      <c r="AH863" s="171"/>
      <c r="AI863" s="171"/>
      <c r="AJ863" s="19"/>
      <c r="AK863" s="155"/>
    </row>
    <row r="864">
      <c r="E864" s="19"/>
      <c r="I864" s="170"/>
      <c r="AE864" s="170"/>
      <c r="AH864" s="171"/>
      <c r="AI864" s="171"/>
      <c r="AJ864" s="19"/>
      <c r="AK864" s="155"/>
    </row>
    <row r="865">
      <c r="E865" s="19"/>
      <c r="I865" s="170"/>
      <c r="AE865" s="170"/>
      <c r="AH865" s="171"/>
      <c r="AI865" s="171"/>
      <c r="AJ865" s="19"/>
      <c r="AK865" s="155"/>
    </row>
    <row r="866">
      <c r="E866" s="19"/>
      <c r="I866" s="170"/>
      <c r="AE866" s="170"/>
      <c r="AH866" s="171"/>
      <c r="AI866" s="171"/>
      <c r="AJ866" s="19"/>
      <c r="AK866" s="155"/>
    </row>
    <row r="867">
      <c r="E867" s="19"/>
      <c r="I867" s="170"/>
      <c r="AE867" s="170"/>
      <c r="AH867" s="171"/>
      <c r="AI867" s="171"/>
      <c r="AJ867" s="19"/>
      <c r="AK867" s="155"/>
    </row>
    <row r="868">
      <c r="E868" s="19"/>
      <c r="I868" s="170"/>
      <c r="AE868" s="170"/>
      <c r="AH868" s="171"/>
      <c r="AI868" s="171"/>
      <c r="AJ868" s="19"/>
      <c r="AK868" s="155"/>
    </row>
    <row r="869">
      <c r="E869" s="19"/>
      <c r="I869" s="170"/>
      <c r="AE869" s="170"/>
      <c r="AH869" s="171"/>
      <c r="AI869" s="171"/>
      <c r="AJ869" s="19"/>
      <c r="AK869" s="155"/>
    </row>
    <row r="870">
      <c r="E870" s="19"/>
      <c r="I870" s="170"/>
      <c r="AE870" s="170"/>
      <c r="AH870" s="171"/>
      <c r="AI870" s="171"/>
      <c r="AJ870" s="19"/>
      <c r="AK870" s="155"/>
    </row>
    <row r="871">
      <c r="E871" s="19"/>
      <c r="I871" s="170"/>
      <c r="AE871" s="170"/>
      <c r="AH871" s="171"/>
      <c r="AI871" s="171"/>
      <c r="AJ871" s="19"/>
      <c r="AK871" s="155"/>
    </row>
    <row r="872">
      <c r="E872" s="19"/>
      <c r="I872" s="170"/>
      <c r="AE872" s="170"/>
      <c r="AH872" s="171"/>
      <c r="AI872" s="171"/>
      <c r="AJ872" s="19"/>
      <c r="AK872" s="155"/>
    </row>
    <row r="873">
      <c r="E873" s="19"/>
      <c r="I873" s="170"/>
      <c r="AE873" s="170"/>
      <c r="AH873" s="171"/>
      <c r="AI873" s="171"/>
      <c r="AJ873" s="19"/>
      <c r="AK873" s="155"/>
    </row>
    <row r="874">
      <c r="E874" s="19"/>
      <c r="I874" s="170"/>
      <c r="AE874" s="170"/>
      <c r="AH874" s="171"/>
      <c r="AI874" s="171"/>
      <c r="AJ874" s="19"/>
      <c r="AK874" s="155"/>
    </row>
    <row r="875">
      <c r="E875" s="19"/>
      <c r="I875" s="170"/>
      <c r="AE875" s="170"/>
      <c r="AH875" s="171"/>
      <c r="AI875" s="171"/>
      <c r="AJ875" s="19"/>
      <c r="AK875" s="155"/>
    </row>
    <row r="876">
      <c r="E876" s="19"/>
      <c r="I876" s="170"/>
      <c r="AE876" s="170"/>
      <c r="AH876" s="171"/>
      <c r="AI876" s="171"/>
      <c r="AJ876" s="19"/>
      <c r="AK876" s="155"/>
    </row>
    <row r="877">
      <c r="E877" s="19"/>
      <c r="I877" s="170"/>
      <c r="AE877" s="170"/>
      <c r="AH877" s="171"/>
      <c r="AI877" s="171"/>
      <c r="AJ877" s="19"/>
      <c r="AK877" s="155"/>
    </row>
    <row r="878">
      <c r="E878" s="19"/>
      <c r="I878" s="170"/>
      <c r="AE878" s="170"/>
      <c r="AH878" s="171"/>
      <c r="AI878" s="171"/>
      <c r="AJ878" s="19"/>
      <c r="AK878" s="155"/>
    </row>
    <row r="879">
      <c r="E879" s="19"/>
      <c r="I879" s="170"/>
      <c r="AE879" s="170"/>
      <c r="AH879" s="171"/>
      <c r="AI879" s="171"/>
      <c r="AJ879" s="19"/>
      <c r="AK879" s="155"/>
    </row>
    <row r="880">
      <c r="E880" s="19"/>
      <c r="I880" s="170"/>
      <c r="AE880" s="170"/>
      <c r="AH880" s="171"/>
      <c r="AI880" s="171"/>
      <c r="AJ880" s="19"/>
      <c r="AK880" s="155"/>
    </row>
    <row r="881">
      <c r="E881" s="19"/>
      <c r="I881" s="170"/>
      <c r="AE881" s="170"/>
      <c r="AH881" s="171"/>
      <c r="AI881" s="171"/>
      <c r="AJ881" s="19"/>
      <c r="AK881" s="155"/>
    </row>
    <row r="882">
      <c r="E882" s="19"/>
      <c r="I882" s="170"/>
      <c r="AE882" s="170"/>
      <c r="AH882" s="171"/>
      <c r="AI882" s="171"/>
      <c r="AJ882" s="19"/>
      <c r="AK882" s="155"/>
    </row>
    <row r="883">
      <c r="E883" s="19"/>
      <c r="I883" s="170"/>
      <c r="AE883" s="170"/>
      <c r="AH883" s="171"/>
      <c r="AI883" s="171"/>
      <c r="AJ883" s="19"/>
      <c r="AK883" s="155"/>
    </row>
    <row r="884">
      <c r="E884" s="19"/>
      <c r="I884" s="170"/>
      <c r="AE884" s="170"/>
      <c r="AH884" s="171"/>
      <c r="AI884" s="171"/>
      <c r="AJ884" s="19"/>
      <c r="AK884" s="155"/>
    </row>
    <row r="885">
      <c r="E885" s="19"/>
      <c r="I885" s="170"/>
      <c r="AE885" s="170"/>
      <c r="AH885" s="171"/>
      <c r="AI885" s="171"/>
      <c r="AJ885" s="19"/>
      <c r="AK885" s="155"/>
    </row>
    <row r="886">
      <c r="E886" s="19"/>
      <c r="I886" s="170"/>
      <c r="AE886" s="170"/>
      <c r="AH886" s="171"/>
      <c r="AI886" s="171"/>
      <c r="AJ886" s="19"/>
      <c r="AK886" s="155"/>
    </row>
    <row r="887">
      <c r="E887" s="19"/>
      <c r="I887" s="170"/>
      <c r="AE887" s="170"/>
      <c r="AH887" s="171"/>
      <c r="AI887" s="171"/>
      <c r="AJ887" s="19"/>
      <c r="AK887" s="155"/>
    </row>
    <row r="888">
      <c r="E888" s="19"/>
      <c r="I888" s="170"/>
      <c r="AE888" s="170"/>
      <c r="AH888" s="171"/>
      <c r="AI888" s="171"/>
      <c r="AJ888" s="19"/>
      <c r="AK888" s="155"/>
    </row>
    <row r="889">
      <c r="E889" s="19"/>
      <c r="I889" s="170"/>
      <c r="AE889" s="170"/>
      <c r="AH889" s="171"/>
      <c r="AI889" s="171"/>
      <c r="AJ889" s="19"/>
      <c r="AK889" s="155"/>
    </row>
    <row r="890">
      <c r="E890" s="19"/>
      <c r="I890" s="170"/>
      <c r="AE890" s="170"/>
      <c r="AH890" s="171"/>
      <c r="AI890" s="171"/>
      <c r="AJ890" s="19"/>
      <c r="AK890" s="155"/>
    </row>
    <row r="891">
      <c r="E891" s="19"/>
      <c r="I891" s="170"/>
      <c r="AE891" s="170"/>
      <c r="AH891" s="171"/>
      <c r="AI891" s="171"/>
      <c r="AJ891" s="19"/>
      <c r="AK891" s="155"/>
    </row>
    <row r="892">
      <c r="E892" s="19"/>
      <c r="I892" s="170"/>
      <c r="AE892" s="170"/>
      <c r="AH892" s="171"/>
      <c r="AI892" s="171"/>
      <c r="AJ892" s="19"/>
      <c r="AK892" s="155"/>
    </row>
    <row r="893">
      <c r="E893" s="19"/>
      <c r="I893" s="170"/>
      <c r="AE893" s="170"/>
      <c r="AH893" s="171"/>
      <c r="AI893" s="171"/>
      <c r="AJ893" s="19"/>
      <c r="AK893" s="155"/>
    </row>
    <row r="894">
      <c r="E894" s="19"/>
      <c r="I894" s="170"/>
      <c r="AE894" s="170"/>
      <c r="AH894" s="171"/>
      <c r="AI894" s="171"/>
      <c r="AJ894" s="19"/>
      <c r="AK894" s="155"/>
    </row>
    <row r="895">
      <c r="E895" s="19"/>
      <c r="I895" s="170"/>
      <c r="AE895" s="170"/>
      <c r="AH895" s="171"/>
      <c r="AI895" s="171"/>
      <c r="AJ895" s="19"/>
      <c r="AK895" s="155"/>
    </row>
    <row r="896">
      <c r="E896" s="19"/>
      <c r="I896" s="170"/>
      <c r="AE896" s="170"/>
      <c r="AH896" s="171"/>
      <c r="AI896" s="171"/>
      <c r="AJ896" s="19"/>
      <c r="AK896" s="155"/>
    </row>
    <row r="897">
      <c r="E897" s="19"/>
      <c r="I897" s="170"/>
      <c r="AE897" s="170"/>
      <c r="AH897" s="171"/>
      <c r="AI897" s="171"/>
      <c r="AJ897" s="19"/>
      <c r="AK897" s="155"/>
    </row>
    <row r="898">
      <c r="E898" s="19"/>
      <c r="I898" s="170"/>
      <c r="AE898" s="170"/>
      <c r="AH898" s="171"/>
      <c r="AI898" s="171"/>
      <c r="AJ898" s="19"/>
      <c r="AK898" s="155"/>
    </row>
    <row r="899">
      <c r="E899" s="19"/>
      <c r="I899" s="170"/>
      <c r="AE899" s="170"/>
      <c r="AH899" s="171"/>
      <c r="AI899" s="171"/>
      <c r="AJ899" s="19"/>
      <c r="AK899" s="155"/>
    </row>
    <row r="900">
      <c r="E900" s="19"/>
      <c r="I900" s="170"/>
      <c r="AE900" s="170"/>
      <c r="AH900" s="171"/>
      <c r="AI900" s="171"/>
      <c r="AJ900" s="19"/>
      <c r="AK900" s="155"/>
    </row>
    <row r="901">
      <c r="E901" s="19"/>
      <c r="I901" s="170"/>
      <c r="AE901" s="170"/>
      <c r="AH901" s="171"/>
      <c r="AI901" s="171"/>
      <c r="AJ901" s="19"/>
      <c r="AK901" s="155"/>
    </row>
    <row r="902">
      <c r="E902" s="19"/>
      <c r="I902" s="170"/>
      <c r="AE902" s="170"/>
      <c r="AH902" s="171"/>
      <c r="AI902" s="171"/>
      <c r="AJ902" s="19"/>
      <c r="AK902" s="155"/>
    </row>
    <row r="903">
      <c r="E903" s="19"/>
      <c r="I903" s="170"/>
      <c r="AE903" s="170"/>
      <c r="AH903" s="171"/>
      <c r="AI903" s="171"/>
      <c r="AJ903" s="19"/>
      <c r="AK903" s="155"/>
    </row>
    <row r="904">
      <c r="E904" s="19"/>
      <c r="I904" s="170"/>
      <c r="AE904" s="170"/>
      <c r="AH904" s="171"/>
      <c r="AI904" s="171"/>
      <c r="AJ904" s="19"/>
      <c r="AK904" s="155"/>
    </row>
    <row r="905">
      <c r="E905" s="19"/>
      <c r="I905" s="170"/>
      <c r="AE905" s="170"/>
      <c r="AH905" s="171"/>
      <c r="AI905" s="171"/>
      <c r="AJ905" s="19"/>
      <c r="AK905" s="155"/>
    </row>
    <row r="906">
      <c r="E906" s="19"/>
      <c r="I906" s="170"/>
      <c r="AE906" s="170"/>
      <c r="AH906" s="171"/>
      <c r="AI906" s="171"/>
      <c r="AJ906" s="19"/>
      <c r="AK906" s="155"/>
    </row>
    <row r="907">
      <c r="E907" s="19"/>
      <c r="I907" s="170"/>
      <c r="AE907" s="170"/>
      <c r="AH907" s="171"/>
      <c r="AI907" s="171"/>
      <c r="AJ907" s="19"/>
      <c r="AK907" s="155"/>
    </row>
    <row r="908">
      <c r="E908" s="19"/>
      <c r="I908" s="170"/>
      <c r="AE908" s="170"/>
      <c r="AH908" s="171"/>
      <c r="AI908" s="171"/>
      <c r="AJ908" s="19"/>
      <c r="AK908" s="155"/>
    </row>
    <row r="909">
      <c r="E909" s="19"/>
      <c r="I909" s="170"/>
      <c r="AE909" s="170"/>
      <c r="AH909" s="171"/>
      <c r="AI909" s="171"/>
      <c r="AJ909" s="19"/>
      <c r="AK909" s="155"/>
    </row>
    <row r="910">
      <c r="E910" s="19"/>
      <c r="I910" s="170"/>
      <c r="AE910" s="170"/>
      <c r="AH910" s="171"/>
      <c r="AI910" s="171"/>
      <c r="AJ910" s="19"/>
      <c r="AK910" s="155"/>
    </row>
    <row r="911">
      <c r="E911" s="19"/>
      <c r="I911" s="170"/>
      <c r="AE911" s="170"/>
      <c r="AH911" s="171"/>
      <c r="AI911" s="171"/>
      <c r="AJ911" s="19"/>
      <c r="AK911" s="155"/>
    </row>
    <row r="912">
      <c r="E912" s="19"/>
      <c r="I912" s="170"/>
      <c r="AE912" s="170"/>
      <c r="AH912" s="171"/>
      <c r="AI912" s="171"/>
      <c r="AJ912" s="19"/>
      <c r="AK912" s="155"/>
    </row>
    <row r="913">
      <c r="E913" s="19"/>
      <c r="I913" s="170"/>
      <c r="AE913" s="170"/>
      <c r="AH913" s="171"/>
      <c r="AI913" s="171"/>
      <c r="AJ913" s="19"/>
      <c r="AK913" s="155"/>
    </row>
    <row r="914">
      <c r="E914" s="19"/>
      <c r="I914" s="170"/>
      <c r="AE914" s="170"/>
      <c r="AH914" s="171"/>
      <c r="AI914" s="171"/>
      <c r="AJ914" s="19"/>
      <c r="AK914" s="155"/>
    </row>
    <row r="915">
      <c r="E915" s="19"/>
      <c r="I915" s="170"/>
      <c r="AE915" s="170"/>
      <c r="AH915" s="171"/>
      <c r="AI915" s="171"/>
      <c r="AJ915" s="19"/>
      <c r="AK915" s="155"/>
    </row>
    <row r="916">
      <c r="E916" s="19"/>
      <c r="I916" s="170"/>
      <c r="AE916" s="170"/>
      <c r="AH916" s="171"/>
      <c r="AI916" s="171"/>
      <c r="AJ916" s="19"/>
      <c r="AK916" s="155"/>
    </row>
    <row r="917">
      <c r="E917" s="19"/>
      <c r="I917" s="170"/>
      <c r="AE917" s="170"/>
      <c r="AH917" s="171"/>
      <c r="AI917" s="171"/>
      <c r="AJ917" s="19"/>
      <c r="AK917" s="155"/>
    </row>
    <row r="918">
      <c r="E918" s="19"/>
      <c r="I918" s="170"/>
      <c r="AE918" s="170"/>
      <c r="AH918" s="171"/>
      <c r="AI918" s="171"/>
      <c r="AJ918" s="19"/>
      <c r="AK918" s="155"/>
    </row>
    <row r="919">
      <c r="E919" s="19"/>
      <c r="I919" s="170"/>
      <c r="AE919" s="170"/>
      <c r="AH919" s="171"/>
      <c r="AI919" s="171"/>
      <c r="AJ919" s="19"/>
      <c r="AK919" s="155"/>
    </row>
    <row r="920">
      <c r="E920" s="19"/>
      <c r="I920" s="170"/>
      <c r="AE920" s="170"/>
      <c r="AH920" s="171"/>
      <c r="AI920" s="171"/>
      <c r="AJ920" s="19"/>
      <c r="AK920" s="155"/>
    </row>
    <row r="921">
      <c r="E921" s="19"/>
      <c r="I921" s="170"/>
      <c r="AE921" s="170"/>
      <c r="AH921" s="171"/>
      <c r="AI921" s="171"/>
      <c r="AJ921" s="19"/>
      <c r="AK921" s="155"/>
    </row>
    <row r="922">
      <c r="E922" s="19"/>
      <c r="I922" s="170"/>
      <c r="AE922" s="170"/>
      <c r="AH922" s="171"/>
      <c r="AI922" s="171"/>
      <c r="AJ922" s="19"/>
      <c r="AK922" s="155"/>
    </row>
    <row r="923">
      <c r="E923" s="19"/>
      <c r="I923" s="170"/>
      <c r="AE923" s="170"/>
      <c r="AH923" s="171"/>
      <c r="AI923" s="171"/>
      <c r="AJ923" s="19"/>
      <c r="AK923" s="155"/>
    </row>
    <row r="924">
      <c r="E924" s="19"/>
      <c r="I924" s="170"/>
      <c r="AE924" s="170"/>
      <c r="AH924" s="171"/>
      <c r="AI924" s="171"/>
      <c r="AJ924" s="19"/>
      <c r="AK924" s="155"/>
    </row>
    <row r="925">
      <c r="E925" s="19"/>
      <c r="I925" s="170"/>
      <c r="AE925" s="170"/>
      <c r="AH925" s="171"/>
      <c r="AI925" s="171"/>
      <c r="AJ925" s="19"/>
      <c r="AK925" s="155"/>
    </row>
    <row r="926">
      <c r="E926" s="19"/>
      <c r="I926" s="170"/>
      <c r="AE926" s="170"/>
      <c r="AH926" s="171"/>
      <c r="AI926" s="171"/>
      <c r="AJ926" s="19"/>
      <c r="AK926" s="155"/>
    </row>
    <row r="927">
      <c r="E927" s="19"/>
      <c r="I927" s="170"/>
      <c r="AE927" s="170"/>
      <c r="AH927" s="171"/>
      <c r="AI927" s="171"/>
      <c r="AJ927" s="19"/>
      <c r="AK927" s="155"/>
    </row>
    <row r="928">
      <c r="E928" s="19"/>
      <c r="I928" s="170"/>
      <c r="AE928" s="170"/>
      <c r="AH928" s="171"/>
      <c r="AI928" s="171"/>
      <c r="AJ928" s="19"/>
      <c r="AK928" s="155"/>
    </row>
    <row r="929">
      <c r="E929" s="19"/>
      <c r="I929" s="170"/>
      <c r="AE929" s="170"/>
      <c r="AH929" s="171"/>
      <c r="AI929" s="171"/>
      <c r="AJ929" s="19"/>
      <c r="AK929" s="155"/>
    </row>
    <row r="930">
      <c r="E930" s="19"/>
      <c r="I930" s="170"/>
      <c r="AE930" s="170"/>
      <c r="AH930" s="171"/>
      <c r="AI930" s="171"/>
      <c r="AJ930" s="19"/>
      <c r="AK930" s="155"/>
    </row>
    <row r="931">
      <c r="E931" s="19"/>
      <c r="I931" s="170"/>
      <c r="AE931" s="170"/>
      <c r="AH931" s="171"/>
      <c r="AI931" s="171"/>
      <c r="AJ931" s="19"/>
      <c r="AK931" s="155"/>
    </row>
    <row r="932">
      <c r="E932" s="19"/>
      <c r="I932" s="170"/>
      <c r="AE932" s="170"/>
      <c r="AH932" s="171"/>
      <c r="AI932" s="171"/>
      <c r="AJ932" s="19"/>
      <c r="AK932" s="155"/>
    </row>
    <row r="933">
      <c r="E933" s="19"/>
      <c r="I933" s="170"/>
      <c r="AE933" s="170"/>
      <c r="AH933" s="171"/>
      <c r="AI933" s="171"/>
      <c r="AJ933" s="19"/>
      <c r="AK933" s="155"/>
    </row>
    <row r="934">
      <c r="E934" s="19"/>
      <c r="I934" s="170"/>
      <c r="AE934" s="170"/>
      <c r="AH934" s="171"/>
      <c r="AI934" s="171"/>
      <c r="AJ934" s="19"/>
      <c r="AK934" s="155"/>
    </row>
    <row r="935">
      <c r="E935" s="19"/>
      <c r="I935" s="170"/>
      <c r="AE935" s="170"/>
      <c r="AH935" s="171"/>
      <c r="AI935" s="171"/>
      <c r="AJ935" s="19"/>
      <c r="AK935" s="155"/>
    </row>
    <row r="936">
      <c r="E936" s="19"/>
      <c r="I936" s="170"/>
      <c r="AE936" s="170"/>
      <c r="AH936" s="171"/>
      <c r="AI936" s="171"/>
      <c r="AJ936" s="19"/>
      <c r="AK936" s="155"/>
    </row>
    <row r="937">
      <c r="E937" s="19"/>
      <c r="I937" s="170"/>
      <c r="AE937" s="170"/>
      <c r="AH937" s="171"/>
      <c r="AI937" s="171"/>
      <c r="AJ937" s="19"/>
      <c r="AK937" s="155"/>
    </row>
    <row r="938">
      <c r="E938" s="19"/>
      <c r="I938" s="170"/>
      <c r="AE938" s="170"/>
      <c r="AH938" s="171"/>
      <c r="AI938" s="171"/>
      <c r="AJ938" s="19"/>
      <c r="AK938" s="155"/>
    </row>
    <row r="939">
      <c r="E939" s="19"/>
      <c r="I939" s="170"/>
      <c r="AE939" s="170"/>
      <c r="AH939" s="171"/>
      <c r="AI939" s="171"/>
      <c r="AJ939" s="19"/>
      <c r="AK939" s="155"/>
    </row>
    <row r="940">
      <c r="E940" s="19"/>
      <c r="I940" s="170"/>
      <c r="AE940" s="170"/>
      <c r="AH940" s="171"/>
      <c r="AI940" s="171"/>
      <c r="AJ940" s="19"/>
      <c r="AK940" s="155"/>
    </row>
    <row r="941">
      <c r="E941" s="19"/>
      <c r="I941" s="170"/>
      <c r="AE941" s="170"/>
      <c r="AH941" s="171"/>
      <c r="AI941" s="171"/>
      <c r="AJ941" s="19"/>
      <c r="AK941" s="155"/>
    </row>
    <row r="942">
      <c r="E942" s="19"/>
      <c r="I942" s="170"/>
      <c r="AE942" s="170"/>
      <c r="AH942" s="171"/>
      <c r="AI942" s="171"/>
      <c r="AJ942" s="19"/>
      <c r="AK942" s="155"/>
    </row>
    <row r="943">
      <c r="E943" s="19"/>
      <c r="I943" s="170"/>
      <c r="AE943" s="170"/>
      <c r="AH943" s="171"/>
      <c r="AI943" s="171"/>
      <c r="AJ943" s="19"/>
      <c r="AK943" s="155"/>
    </row>
    <row r="944">
      <c r="E944" s="19"/>
      <c r="I944" s="170"/>
      <c r="AE944" s="170"/>
      <c r="AH944" s="171"/>
      <c r="AI944" s="171"/>
      <c r="AJ944" s="19"/>
      <c r="AK944" s="155"/>
    </row>
    <row r="945">
      <c r="E945" s="19"/>
      <c r="I945" s="170"/>
      <c r="AE945" s="170"/>
      <c r="AH945" s="171"/>
      <c r="AI945" s="171"/>
      <c r="AJ945" s="19"/>
      <c r="AK945" s="155"/>
    </row>
    <row r="946">
      <c r="E946" s="19"/>
      <c r="I946" s="170"/>
      <c r="AE946" s="170"/>
      <c r="AH946" s="171"/>
      <c r="AI946" s="171"/>
      <c r="AJ946" s="19"/>
      <c r="AK946" s="155"/>
    </row>
    <row r="947">
      <c r="E947" s="19"/>
      <c r="I947" s="170"/>
      <c r="AE947" s="170"/>
      <c r="AH947" s="171"/>
      <c r="AI947" s="171"/>
      <c r="AJ947" s="19"/>
      <c r="AK947" s="155"/>
    </row>
    <row r="948">
      <c r="E948" s="19"/>
      <c r="I948" s="170"/>
      <c r="AE948" s="170"/>
      <c r="AH948" s="171"/>
      <c r="AI948" s="171"/>
      <c r="AJ948" s="19"/>
      <c r="AK948" s="155"/>
    </row>
    <row r="949">
      <c r="E949" s="19"/>
      <c r="I949" s="170"/>
      <c r="AE949" s="170"/>
      <c r="AH949" s="171"/>
      <c r="AI949" s="171"/>
      <c r="AJ949" s="19"/>
      <c r="AK949" s="155"/>
    </row>
    <row r="950">
      <c r="E950" s="19"/>
      <c r="I950" s="170"/>
      <c r="AE950" s="170"/>
      <c r="AH950" s="171"/>
      <c r="AI950" s="171"/>
      <c r="AJ950" s="19"/>
      <c r="AK950" s="155"/>
    </row>
    <row r="951">
      <c r="E951" s="19"/>
      <c r="I951" s="170"/>
      <c r="AE951" s="170"/>
      <c r="AH951" s="171"/>
      <c r="AI951" s="171"/>
      <c r="AJ951" s="19"/>
      <c r="AK951" s="155"/>
    </row>
    <row r="952">
      <c r="E952" s="19"/>
      <c r="I952" s="170"/>
      <c r="AE952" s="170"/>
      <c r="AH952" s="171"/>
      <c r="AI952" s="171"/>
      <c r="AJ952" s="19"/>
      <c r="AK952" s="155"/>
    </row>
    <row r="953">
      <c r="E953" s="19"/>
      <c r="I953" s="170"/>
      <c r="AE953" s="170"/>
      <c r="AH953" s="171"/>
      <c r="AI953" s="171"/>
      <c r="AJ953" s="19"/>
      <c r="AK953" s="155"/>
    </row>
    <row r="954">
      <c r="E954" s="19"/>
      <c r="I954" s="170"/>
      <c r="AE954" s="170"/>
      <c r="AH954" s="171"/>
      <c r="AI954" s="171"/>
      <c r="AJ954" s="19"/>
      <c r="AK954" s="155"/>
    </row>
    <row r="955">
      <c r="E955" s="19"/>
      <c r="I955" s="170"/>
      <c r="AE955" s="170"/>
      <c r="AH955" s="171"/>
      <c r="AI955" s="171"/>
      <c r="AJ955" s="19"/>
      <c r="AK955" s="155"/>
    </row>
    <row r="956">
      <c r="E956" s="19"/>
      <c r="I956" s="170"/>
      <c r="AE956" s="170"/>
      <c r="AH956" s="171"/>
      <c r="AI956" s="171"/>
      <c r="AJ956" s="19"/>
      <c r="AK956" s="155"/>
    </row>
    <row r="957">
      <c r="E957" s="19"/>
      <c r="I957" s="170"/>
      <c r="AE957" s="170"/>
      <c r="AH957" s="171"/>
      <c r="AI957" s="171"/>
      <c r="AJ957" s="19"/>
      <c r="AK957" s="155"/>
    </row>
    <row r="958">
      <c r="E958" s="19"/>
      <c r="I958" s="170"/>
      <c r="AE958" s="170"/>
      <c r="AH958" s="171"/>
      <c r="AI958" s="171"/>
      <c r="AJ958" s="19"/>
      <c r="AK958" s="155"/>
    </row>
    <row r="959">
      <c r="E959" s="19"/>
      <c r="I959" s="170"/>
      <c r="AE959" s="170"/>
      <c r="AH959" s="171"/>
      <c r="AI959" s="171"/>
      <c r="AJ959" s="19"/>
      <c r="AK959" s="155"/>
    </row>
    <row r="960">
      <c r="E960" s="19"/>
      <c r="I960" s="170"/>
      <c r="AE960" s="170"/>
      <c r="AH960" s="171"/>
      <c r="AI960" s="171"/>
      <c r="AJ960" s="19"/>
      <c r="AK960" s="155"/>
    </row>
    <row r="961">
      <c r="E961" s="19"/>
      <c r="I961" s="170"/>
      <c r="AE961" s="170"/>
      <c r="AH961" s="171"/>
      <c r="AI961" s="171"/>
      <c r="AJ961" s="19"/>
      <c r="AK961" s="155"/>
    </row>
    <row r="962">
      <c r="E962" s="19"/>
      <c r="I962" s="170"/>
      <c r="AE962" s="170"/>
      <c r="AH962" s="171"/>
      <c r="AI962" s="171"/>
      <c r="AJ962" s="19"/>
      <c r="AK962" s="155"/>
    </row>
    <row r="963">
      <c r="E963" s="19"/>
      <c r="I963" s="170"/>
      <c r="AE963" s="170"/>
      <c r="AH963" s="171"/>
      <c r="AI963" s="171"/>
      <c r="AJ963" s="19"/>
      <c r="AK963" s="155"/>
    </row>
    <row r="964">
      <c r="E964" s="19"/>
      <c r="I964" s="170"/>
      <c r="AE964" s="170"/>
      <c r="AH964" s="171"/>
      <c r="AI964" s="171"/>
      <c r="AJ964" s="19"/>
      <c r="AK964" s="155"/>
    </row>
    <row r="965">
      <c r="E965" s="19"/>
      <c r="I965" s="170"/>
      <c r="AE965" s="170"/>
      <c r="AH965" s="171"/>
      <c r="AI965" s="171"/>
      <c r="AJ965" s="19"/>
      <c r="AK965" s="155"/>
    </row>
    <row r="966">
      <c r="E966" s="19"/>
      <c r="I966" s="170"/>
      <c r="AE966" s="170"/>
      <c r="AH966" s="171"/>
      <c r="AI966" s="171"/>
      <c r="AJ966" s="19"/>
      <c r="AK966" s="155"/>
    </row>
    <row r="967">
      <c r="E967" s="19"/>
      <c r="I967" s="170"/>
      <c r="AE967" s="170"/>
      <c r="AH967" s="171"/>
      <c r="AI967" s="171"/>
      <c r="AJ967" s="19"/>
      <c r="AK967" s="155"/>
    </row>
    <row r="968">
      <c r="E968" s="19"/>
      <c r="I968" s="170"/>
      <c r="AE968" s="170"/>
      <c r="AH968" s="171"/>
      <c r="AI968" s="171"/>
      <c r="AJ968" s="19"/>
      <c r="AK968" s="155"/>
    </row>
    <row r="969">
      <c r="E969" s="19"/>
      <c r="I969" s="170"/>
      <c r="AE969" s="170"/>
      <c r="AH969" s="171"/>
      <c r="AI969" s="171"/>
      <c r="AJ969" s="19"/>
      <c r="AK969" s="155"/>
    </row>
    <row r="970">
      <c r="E970" s="19"/>
      <c r="I970" s="170"/>
      <c r="AE970" s="170"/>
      <c r="AH970" s="171"/>
      <c r="AI970" s="171"/>
      <c r="AJ970" s="19"/>
      <c r="AK970" s="155"/>
    </row>
    <row r="971">
      <c r="E971" s="19"/>
      <c r="I971" s="170"/>
      <c r="AE971" s="170"/>
      <c r="AH971" s="171"/>
      <c r="AI971" s="171"/>
      <c r="AJ971" s="19"/>
      <c r="AK971" s="155"/>
    </row>
    <row r="972">
      <c r="E972" s="19"/>
      <c r="I972" s="170"/>
      <c r="AE972" s="170"/>
      <c r="AH972" s="171"/>
      <c r="AI972" s="171"/>
      <c r="AJ972" s="19"/>
      <c r="AK972" s="155"/>
    </row>
    <row r="973">
      <c r="E973" s="19"/>
      <c r="I973" s="170"/>
      <c r="AE973" s="170"/>
      <c r="AH973" s="171"/>
      <c r="AI973" s="171"/>
      <c r="AJ973" s="19"/>
      <c r="AK973" s="155"/>
    </row>
    <row r="974">
      <c r="E974" s="19"/>
      <c r="I974" s="170"/>
      <c r="AE974" s="170"/>
      <c r="AH974" s="171"/>
      <c r="AI974" s="171"/>
      <c r="AJ974" s="19"/>
      <c r="AK974" s="155"/>
    </row>
    <row r="975">
      <c r="E975" s="19"/>
      <c r="I975" s="170"/>
      <c r="AE975" s="170"/>
      <c r="AH975" s="171"/>
      <c r="AI975" s="171"/>
      <c r="AJ975" s="19"/>
      <c r="AK975" s="155"/>
    </row>
    <row r="976">
      <c r="E976" s="19"/>
      <c r="I976" s="170"/>
      <c r="AE976" s="170"/>
      <c r="AH976" s="171"/>
      <c r="AI976" s="171"/>
      <c r="AJ976" s="19"/>
      <c r="AK976" s="155"/>
    </row>
    <row r="977">
      <c r="E977" s="19"/>
      <c r="I977" s="170"/>
      <c r="AE977" s="170"/>
      <c r="AH977" s="171"/>
      <c r="AI977" s="171"/>
      <c r="AJ977" s="19"/>
      <c r="AK977" s="155"/>
    </row>
    <row r="978">
      <c r="E978" s="19"/>
      <c r="I978" s="170"/>
      <c r="AE978" s="170"/>
      <c r="AH978" s="171"/>
      <c r="AI978" s="171"/>
      <c r="AJ978" s="19"/>
      <c r="AK978" s="155"/>
    </row>
    <row r="979">
      <c r="E979" s="19"/>
      <c r="I979" s="170"/>
      <c r="AE979" s="170"/>
      <c r="AH979" s="171"/>
      <c r="AI979" s="171"/>
      <c r="AJ979" s="19"/>
      <c r="AK979" s="155"/>
    </row>
    <row r="980">
      <c r="E980" s="19"/>
      <c r="I980" s="170"/>
      <c r="AE980" s="170"/>
      <c r="AH980" s="171"/>
      <c r="AI980" s="171"/>
      <c r="AJ980" s="19"/>
      <c r="AK980" s="155"/>
    </row>
    <row r="981">
      <c r="E981" s="19"/>
      <c r="I981" s="170"/>
      <c r="AE981" s="170"/>
      <c r="AH981" s="171"/>
      <c r="AI981" s="171"/>
      <c r="AJ981" s="19"/>
      <c r="AK981" s="155"/>
    </row>
    <row r="982">
      <c r="E982" s="19"/>
      <c r="I982" s="170"/>
      <c r="AE982" s="170"/>
      <c r="AH982" s="171"/>
      <c r="AI982" s="171"/>
      <c r="AJ982" s="19"/>
      <c r="AK982" s="155"/>
    </row>
    <row r="983">
      <c r="E983" s="19"/>
      <c r="I983" s="170"/>
      <c r="AE983" s="170"/>
      <c r="AH983" s="171"/>
      <c r="AI983" s="171"/>
      <c r="AJ983" s="19"/>
      <c r="AK983" s="155"/>
    </row>
    <row r="984">
      <c r="E984" s="19"/>
      <c r="I984" s="170"/>
      <c r="AE984" s="170"/>
      <c r="AH984" s="171"/>
      <c r="AI984" s="171"/>
      <c r="AJ984" s="19"/>
      <c r="AK984" s="155"/>
    </row>
    <row r="985">
      <c r="E985" s="19"/>
      <c r="I985" s="170"/>
      <c r="AE985" s="170"/>
      <c r="AH985" s="171"/>
      <c r="AI985" s="171"/>
      <c r="AJ985" s="19"/>
      <c r="AK985" s="155"/>
    </row>
    <row r="986">
      <c r="E986" s="19"/>
      <c r="I986" s="170"/>
      <c r="AE986" s="170"/>
      <c r="AH986" s="171"/>
      <c r="AI986" s="171"/>
      <c r="AJ986" s="19"/>
      <c r="AK986" s="155"/>
    </row>
    <row r="987">
      <c r="E987" s="19"/>
      <c r="I987" s="170"/>
      <c r="AE987" s="170"/>
      <c r="AH987" s="171"/>
      <c r="AI987" s="171"/>
      <c r="AJ987" s="19"/>
      <c r="AK987" s="155"/>
    </row>
    <row r="988">
      <c r="E988" s="19"/>
      <c r="I988" s="170"/>
      <c r="AE988" s="170"/>
      <c r="AH988" s="171"/>
      <c r="AI988" s="171"/>
      <c r="AJ988" s="19"/>
      <c r="AK988" s="155"/>
    </row>
    <row r="989">
      <c r="E989" s="19"/>
      <c r="I989" s="170"/>
      <c r="AE989" s="170"/>
      <c r="AH989" s="171"/>
      <c r="AI989" s="171"/>
      <c r="AJ989" s="19"/>
      <c r="AK989" s="155"/>
    </row>
    <row r="990">
      <c r="E990" s="19"/>
      <c r="I990" s="170"/>
      <c r="AE990" s="170"/>
      <c r="AH990" s="171"/>
      <c r="AI990" s="171"/>
      <c r="AJ990" s="19"/>
      <c r="AK990" s="155"/>
    </row>
    <row r="991">
      <c r="E991" s="19"/>
      <c r="I991" s="170"/>
      <c r="AE991" s="170"/>
      <c r="AH991" s="171"/>
      <c r="AI991" s="171"/>
      <c r="AJ991" s="19"/>
      <c r="AK991" s="155"/>
    </row>
    <row r="992">
      <c r="E992" s="19"/>
      <c r="I992" s="170"/>
      <c r="AE992" s="170"/>
      <c r="AH992" s="171"/>
      <c r="AI992" s="171"/>
      <c r="AJ992" s="19"/>
      <c r="AK992" s="155"/>
    </row>
    <row r="993">
      <c r="E993" s="19"/>
      <c r="I993" s="170"/>
      <c r="AE993" s="170"/>
      <c r="AH993" s="171"/>
      <c r="AI993" s="171"/>
      <c r="AJ993" s="19"/>
      <c r="AK993" s="155"/>
    </row>
    <row r="994">
      <c r="E994" s="19"/>
      <c r="I994" s="170"/>
      <c r="AE994" s="170"/>
      <c r="AH994" s="171"/>
      <c r="AI994" s="171"/>
      <c r="AJ994" s="19"/>
      <c r="AK994" s="155"/>
    </row>
    <row r="995">
      <c r="E995" s="19"/>
      <c r="I995" s="170"/>
      <c r="AE995" s="170"/>
      <c r="AH995" s="171"/>
      <c r="AI995" s="171"/>
      <c r="AJ995" s="19"/>
      <c r="AK995" s="155"/>
    </row>
    <row r="996">
      <c r="E996" s="19"/>
      <c r="I996" s="170"/>
      <c r="AE996" s="170"/>
      <c r="AH996" s="171"/>
      <c r="AI996" s="171"/>
      <c r="AJ996" s="19"/>
      <c r="AK996" s="155"/>
    </row>
    <row r="997">
      <c r="E997" s="19"/>
      <c r="I997" s="170"/>
      <c r="AE997" s="170"/>
      <c r="AH997" s="171"/>
      <c r="AI997" s="171"/>
      <c r="AJ997" s="19"/>
      <c r="AK997" s="155"/>
    </row>
    <row r="998">
      <c r="E998" s="19"/>
      <c r="I998" s="170"/>
      <c r="AE998" s="170"/>
      <c r="AH998" s="171"/>
      <c r="AI998" s="171"/>
      <c r="AJ998" s="19"/>
      <c r="AK998" s="155"/>
    </row>
    <row r="999">
      <c r="E999" s="19"/>
      <c r="I999" s="170"/>
      <c r="AE999" s="170"/>
      <c r="AH999" s="171"/>
      <c r="AI999" s="171"/>
      <c r="AJ999" s="19"/>
      <c r="AK999" s="155"/>
    </row>
    <row r="1000">
      <c r="E1000" s="19"/>
      <c r="I1000" s="170"/>
      <c r="AE1000" s="170"/>
      <c r="AH1000" s="171"/>
      <c r="AI1000" s="171"/>
      <c r="AJ1000" s="19"/>
      <c r="AK1000" s="155"/>
    </row>
    <row r="1001">
      <c r="E1001" s="19"/>
      <c r="I1001" s="170"/>
      <c r="AE1001" s="170"/>
      <c r="AH1001" s="171"/>
      <c r="AI1001" s="171"/>
      <c r="AJ1001" s="19"/>
      <c r="AK1001" s="155"/>
    </row>
    <row r="1002">
      <c r="E1002" s="19"/>
      <c r="I1002" s="170"/>
      <c r="AE1002" s="170"/>
      <c r="AH1002" s="171"/>
      <c r="AI1002" s="171"/>
      <c r="AJ1002" s="19"/>
      <c r="AK1002" s="155"/>
    </row>
    <row r="1003">
      <c r="E1003" s="19"/>
      <c r="I1003" s="170"/>
      <c r="AE1003" s="170"/>
      <c r="AH1003" s="171"/>
      <c r="AI1003" s="171"/>
      <c r="AJ1003" s="19"/>
      <c r="AK1003" s="155"/>
    </row>
    <row r="1004">
      <c r="E1004" s="19"/>
      <c r="I1004" s="170"/>
      <c r="AE1004" s="170"/>
      <c r="AH1004" s="171"/>
      <c r="AI1004" s="171"/>
      <c r="AJ1004" s="19"/>
      <c r="AK1004" s="155"/>
    </row>
    <row r="1005">
      <c r="E1005" s="19"/>
      <c r="I1005" s="170"/>
      <c r="AE1005" s="170"/>
      <c r="AH1005" s="171"/>
      <c r="AI1005" s="171"/>
      <c r="AJ1005" s="19"/>
      <c r="AK1005" s="155"/>
    </row>
    <row r="1006">
      <c r="E1006" s="19"/>
      <c r="I1006" s="170"/>
      <c r="AE1006" s="170"/>
      <c r="AH1006" s="171"/>
      <c r="AI1006" s="171"/>
      <c r="AJ1006" s="19"/>
      <c r="AK1006" s="155"/>
    </row>
    <row r="1007">
      <c r="E1007" s="19"/>
      <c r="I1007" s="170"/>
      <c r="AE1007" s="170"/>
      <c r="AH1007" s="171"/>
      <c r="AI1007" s="171"/>
      <c r="AJ1007" s="19"/>
      <c r="AK1007" s="155"/>
    </row>
    <row r="1008">
      <c r="E1008" s="19"/>
      <c r="I1008" s="170"/>
      <c r="AE1008" s="170"/>
      <c r="AH1008" s="171"/>
      <c r="AI1008" s="171"/>
      <c r="AJ1008" s="19"/>
      <c r="AK1008" s="155"/>
    </row>
    <row r="1009">
      <c r="E1009" s="19"/>
      <c r="I1009" s="170"/>
      <c r="AE1009" s="170"/>
      <c r="AH1009" s="171"/>
      <c r="AI1009" s="171"/>
      <c r="AJ1009" s="19"/>
      <c r="AK1009" s="155"/>
    </row>
    <row r="1010">
      <c r="E1010" s="19"/>
      <c r="I1010" s="170"/>
      <c r="AE1010" s="170"/>
      <c r="AH1010" s="171"/>
      <c r="AI1010" s="171"/>
      <c r="AJ1010" s="19"/>
      <c r="AK1010" s="155"/>
    </row>
    <row r="1011">
      <c r="E1011" s="19"/>
      <c r="I1011" s="170"/>
      <c r="AE1011" s="170"/>
      <c r="AH1011" s="171"/>
      <c r="AI1011" s="171"/>
      <c r="AJ1011" s="19"/>
      <c r="AK1011" s="155"/>
    </row>
    <row r="1012">
      <c r="E1012" s="19"/>
      <c r="I1012" s="170"/>
      <c r="AE1012" s="170"/>
      <c r="AH1012" s="171"/>
      <c r="AI1012" s="171"/>
      <c r="AJ1012" s="19"/>
      <c r="AK1012" s="155"/>
    </row>
    <row r="1013">
      <c r="E1013" s="19"/>
      <c r="I1013" s="170"/>
      <c r="AE1013" s="170"/>
      <c r="AH1013" s="171"/>
      <c r="AI1013" s="171"/>
      <c r="AJ1013" s="19"/>
      <c r="AK1013" s="155"/>
    </row>
    <row r="1014">
      <c r="E1014" s="19"/>
      <c r="I1014" s="170"/>
      <c r="AE1014" s="170"/>
      <c r="AH1014" s="171"/>
      <c r="AI1014" s="171"/>
      <c r="AJ1014" s="19"/>
      <c r="AK1014" s="155"/>
    </row>
    <row r="1015">
      <c r="E1015" s="19"/>
      <c r="I1015" s="170"/>
      <c r="AE1015" s="170"/>
      <c r="AH1015" s="171"/>
      <c r="AI1015" s="171"/>
      <c r="AJ1015" s="19"/>
      <c r="AK1015" s="155"/>
    </row>
    <row r="1016">
      <c r="E1016" s="19"/>
      <c r="I1016" s="170"/>
      <c r="AE1016" s="170"/>
      <c r="AH1016" s="171"/>
      <c r="AI1016" s="171"/>
      <c r="AJ1016" s="19"/>
      <c r="AK1016" s="155"/>
    </row>
    <row r="1017">
      <c r="E1017" s="19"/>
      <c r="I1017" s="170"/>
      <c r="AE1017" s="170"/>
      <c r="AH1017" s="171"/>
      <c r="AI1017" s="171"/>
      <c r="AJ1017" s="19"/>
      <c r="AK1017" s="155"/>
    </row>
    <row r="1018">
      <c r="E1018" s="19"/>
      <c r="I1018" s="170"/>
      <c r="AE1018" s="170"/>
      <c r="AH1018" s="171"/>
      <c r="AI1018" s="171"/>
      <c r="AJ1018" s="19"/>
      <c r="AK1018" s="155"/>
    </row>
    <row r="1019">
      <c r="E1019" s="19"/>
      <c r="I1019" s="170"/>
      <c r="AE1019" s="170"/>
      <c r="AH1019" s="171"/>
      <c r="AI1019" s="171"/>
      <c r="AJ1019" s="19"/>
      <c r="AK1019" s="155"/>
    </row>
    <row r="1020">
      <c r="E1020" s="19"/>
      <c r="I1020" s="170"/>
      <c r="AE1020" s="170"/>
      <c r="AH1020" s="171"/>
      <c r="AI1020" s="171"/>
      <c r="AJ1020" s="19"/>
      <c r="AK1020" s="155"/>
    </row>
    <row r="1021">
      <c r="E1021" s="19"/>
      <c r="I1021" s="170"/>
      <c r="AE1021" s="170"/>
      <c r="AH1021" s="171"/>
      <c r="AI1021" s="171"/>
      <c r="AJ1021" s="19"/>
      <c r="AK1021" s="155"/>
    </row>
    <row r="1022">
      <c r="E1022" s="19"/>
      <c r="I1022" s="170"/>
      <c r="AE1022" s="170"/>
      <c r="AH1022" s="171"/>
      <c r="AI1022" s="171"/>
      <c r="AJ1022" s="19"/>
      <c r="AK1022" s="155"/>
    </row>
    <row r="1023">
      <c r="E1023" s="19"/>
      <c r="I1023" s="170"/>
      <c r="AE1023" s="170"/>
      <c r="AH1023" s="171"/>
      <c r="AI1023" s="171"/>
      <c r="AJ1023" s="19"/>
      <c r="AK1023" s="155"/>
    </row>
    <row r="1024">
      <c r="E1024" s="19"/>
      <c r="I1024" s="170"/>
      <c r="AE1024" s="170"/>
      <c r="AH1024" s="171"/>
      <c r="AI1024" s="171"/>
      <c r="AJ1024" s="19"/>
      <c r="AK1024" s="155"/>
    </row>
    <row r="1025">
      <c r="E1025" s="19"/>
      <c r="I1025" s="170"/>
      <c r="AE1025" s="170"/>
      <c r="AH1025" s="171"/>
      <c r="AI1025" s="171"/>
      <c r="AJ1025" s="19"/>
      <c r="AK1025" s="155"/>
    </row>
    <row r="1026">
      <c r="E1026" s="19"/>
      <c r="I1026" s="170"/>
      <c r="AE1026" s="170"/>
      <c r="AH1026" s="171"/>
      <c r="AI1026" s="171"/>
      <c r="AJ1026" s="19"/>
      <c r="AK1026" s="155"/>
    </row>
    <row r="1027">
      <c r="E1027" s="19"/>
      <c r="I1027" s="170"/>
      <c r="AE1027" s="170"/>
      <c r="AH1027" s="171"/>
      <c r="AI1027" s="171"/>
      <c r="AJ1027" s="19"/>
      <c r="AK1027" s="155"/>
    </row>
    <row r="1028">
      <c r="E1028" s="19"/>
      <c r="I1028" s="170"/>
      <c r="AE1028" s="170"/>
      <c r="AH1028" s="171"/>
      <c r="AI1028" s="171"/>
      <c r="AJ1028" s="19"/>
      <c r="AK1028" s="155"/>
    </row>
    <row r="1029">
      <c r="E1029" s="19"/>
      <c r="I1029" s="170"/>
      <c r="AE1029" s="170"/>
      <c r="AH1029" s="171"/>
      <c r="AI1029" s="171"/>
      <c r="AJ1029" s="19"/>
      <c r="AK1029" s="155"/>
    </row>
    <row r="1030">
      <c r="E1030" s="19"/>
      <c r="I1030" s="170"/>
      <c r="AE1030" s="170"/>
      <c r="AH1030" s="171"/>
      <c r="AI1030" s="171"/>
      <c r="AJ1030" s="19"/>
      <c r="AK1030" s="155"/>
    </row>
    <row r="1031">
      <c r="E1031" s="19"/>
      <c r="I1031" s="170"/>
      <c r="AE1031" s="170"/>
      <c r="AH1031" s="171"/>
      <c r="AI1031" s="171"/>
      <c r="AJ1031" s="19"/>
      <c r="AK1031" s="155"/>
    </row>
    <row r="1032">
      <c r="E1032" s="19"/>
      <c r="I1032" s="170"/>
      <c r="AE1032" s="170"/>
      <c r="AH1032" s="171"/>
      <c r="AI1032" s="171"/>
      <c r="AJ1032" s="19"/>
      <c r="AK1032" s="155"/>
    </row>
    <row r="1033">
      <c r="E1033" s="19"/>
      <c r="I1033" s="170"/>
      <c r="AE1033" s="170"/>
      <c r="AH1033" s="171"/>
      <c r="AI1033" s="171"/>
      <c r="AJ1033" s="19"/>
      <c r="AK1033" s="155"/>
    </row>
    <row r="1034">
      <c r="E1034" s="19"/>
      <c r="I1034" s="170"/>
      <c r="AE1034" s="170"/>
      <c r="AH1034" s="171"/>
      <c r="AI1034" s="171"/>
      <c r="AJ1034" s="19"/>
      <c r="AK1034" s="155"/>
    </row>
    <row r="1035">
      <c r="E1035" s="19"/>
      <c r="I1035" s="170"/>
      <c r="AE1035" s="170"/>
      <c r="AH1035" s="171"/>
      <c r="AI1035" s="171"/>
      <c r="AJ1035" s="19"/>
      <c r="AK1035" s="155"/>
    </row>
    <row r="1036">
      <c r="E1036" s="19"/>
      <c r="I1036" s="170"/>
      <c r="AE1036" s="170"/>
      <c r="AH1036" s="171"/>
      <c r="AI1036" s="171"/>
      <c r="AJ1036" s="19"/>
      <c r="AK1036" s="155"/>
    </row>
    <row r="1037">
      <c r="E1037" s="19"/>
      <c r="I1037" s="170"/>
      <c r="AE1037" s="170"/>
      <c r="AH1037" s="171"/>
      <c r="AI1037" s="171"/>
      <c r="AJ1037" s="19"/>
      <c r="AK1037" s="155"/>
    </row>
    <row r="1038">
      <c r="E1038" s="19"/>
      <c r="I1038" s="170"/>
      <c r="AE1038" s="170"/>
      <c r="AH1038" s="171"/>
      <c r="AI1038" s="171"/>
      <c r="AJ1038" s="19"/>
      <c r="AK1038" s="155"/>
    </row>
    <row r="1039">
      <c r="E1039" s="19"/>
      <c r="I1039" s="170"/>
      <c r="AE1039" s="170"/>
      <c r="AH1039" s="171"/>
      <c r="AI1039" s="171"/>
      <c r="AJ1039" s="19"/>
      <c r="AK1039" s="155"/>
    </row>
    <row r="1040">
      <c r="E1040" s="19"/>
      <c r="I1040" s="170"/>
      <c r="AE1040" s="170"/>
      <c r="AH1040" s="171"/>
      <c r="AI1040" s="171"/>
      <c r="AJ1040" s="19"/>
      <c r="AK1040" s="155"/>
    </row>
    <row r="1041">
      <c r="E1041" s="19"/>
      <c r="I1041" s="170"/>
      <c r="AE1041" s="170"/>
      <c r="AH1041" s="171"/>
      <c r="AI1041" s="171"/>
      <c r="AJ1041" s="19"/>
      <c r="AK1041" s="155"/>
    </row>
    <row r="1042">
      <c r="E1042" s="19"/>
      <c r="I1042" s="170"/>
      <c r="AE1042" s="170"/>
      <c r="AH1042" s="171"/>
      <c r="AI1042" s="171"/>
      <c r="AJ1042" s="19"/>
      <c r="AK1042" s="155"/>
    </row>
    <row r="1043">
      <c r="E1043" s="19"/>
      <c r="I1043" s="170"/>
      <c r="AE1043" s="170"/>
      <c r="AH1043" s="171"/>
      <c r="AI1043" s="171"/>
      <c r="AJ1043" s="19"/>
      <c r="AK1043" s="155"/>
    </row>
    <row r="1044">
      <c r="E1044" s="19"/>
      <c r="I1044" s="170"/>
      <c r="AE1044" s="170"/>
      <c r="AH1044" s="171"/>
      <c r="AI1044" s="171"/>
      <c r="AJ1044" s="19"/>
      <c r="AK1044" s="155"/>
    </row>
    <row r="1045">
      <c r="E1045" s="19"/>
      <c r="I1045" s="170"/>
      <c r="AE1045" s="170"/>
      <c r="AH1045" s="171"/>
      <c r="AI1045" s="171"/>
      <c r="AJ1045" s="19"/>
      <c r="AK1045" s="155"/>
    </row>
    <row r="1046">
      <c r="E1046" s="19"/>
      <c r="I1046" s="170"/>
      <c r="AE1046" s="170"/>
      <c r="AH1046" s="171"/>
      <c r="AI1046" s="171"/>
      <c r="AJ1046" s="19"/>
      <c r="AK1046" s="155"/>
    </row>
    <row r="1047">
      <c r="E1047" s="19"/>
      <c r="I1047" s="170"/>
      <c r="AE1047" s="170"/>
      <c r="AH1047" s="171"/>
      <c r="AI1047" s="171"/>
      <c r="AJ1047" s="19"/>
      <c r="AK1047" s="155"/>
    </row>
    <row r="1048">
      <c r="E1048" s="19"/>
      <c r="I1048" s="170"/>
      <c r="AE1048" s="170"/>
      <c r="AH1048" s="171"/>
      <c r="AI1048" s="171"/>
      <c r="AJ1048" s="19"/>
      <c r="AK1048" s="155"/>
    </row>
    <row r="1049">
      <c r="E1049" s="19"/>
      <c r="I1049" s="170"/>
      <c r="AE1049" s="170"/>
      <c r="AH1049" s="171"/>
      <c r="AI1049" s="171"/>
      <c r="AJ1049" s="19"/>
      <c r="AK1049" s="155"/>
    </row>
    <row r="1050">
      <c r="E1050" s="19"/>
      <c r="I1050" s="170"/>
      <c r="AE1050" s="170"/>
      <c r="AH1050" s="171"/>
      <c r="AI1050" s="171"/>
      <c r="AJ1050" s="19"/>
      <c r="AK1050" s="155"/>
    </row>
    <row r="1051">
      <c r="E1051" s="19"/>
      <c r="I1051" s="170"/>
      <c r="AE1051" s="170"/>
      <c r="AH1051" s="171"/>
      <c r="AI1051" s="171"/>
      <c r="AJ1051" s="19"/>
      <c r="AK1051" s="155"/>
    </row>
    <row r="1052">
      <c r="E1052" s="19"/>
      <c r="I1052" s="170"/>
      <c r="AE1052" s="170"/>
      <c r="AH1052" s="171"/>
      <c r="AI1052" s="171"/>
      <c r="AJ1052" s="19"/>
      <c r="AK1052" s="155"/>
    </row>
    <row r="1053">
      <c r="E1053" s="19"/>
      <c r="I1053" s="170"/>
      <c r="AE1053" s="170"/>
      <c r="AH1053" s="171"/>
      <c r="AI1053" s="171"/>
      <c r="AJ1053" s="19"/>
      <c r="AK1053" s="155"/>
    </row>
    <row r="1054">
      <c r="E1054" s="19"/>
      <c r="I1054" s="170"/>
      <c r="AE1054" s="170"/>
      <c r="AH1054" s="171"/>
      <c r="AI1054" s="171"/>
      <c r="AJ1054" s="19"/>
      <c r="AK1054" s="155"/>
    </row>
    <row r="1055">
      <c r="E1055" s="19"/>
      <c r="I1055" s="170"/>
      <c r="AE1055" s="170"/>
      <c r="AH1055" s="171"/>
      <c r="AI1055" s="171"/>
      <c r="AJ1055" s="19"/>
      <c r="AK1055" s="155"/>
    </row>
    <row r="1056">
      <c r="E1056" s="19"/>
      <c r="I1056" s="170"/>
      <c r="AE1056" s="170"/>
      <c r="AH1056" s="171"/>
      <c r="AI1056" s="171"/>
      <c r="AJ1056" s="19"/>
      <c r="AK1056" s="155"/>
    </row>
    <row r="1057">
      <c r="E1057" s="19"/>
      <c r="I1057" s="170"/>
      <c r="AE1057" s="170"/>
      <c r="AH1057" s="171"/>
      <c r="AI1057" s="171"/>
      <c r="AJ1057" s="19"/>
      <c r="AK1057" s="155"/>
    </row>
    <row r="1058">
      <c r="E1058" s="19"/>
      <c r="I1058" s="170"/>
      <c r="AE1058" s="170"/>
      <c r="AH1058" s="171"/>
      <c r="AI1058" s="171"/>
      <c r="AJ1058" s="19"/>
      <c r="AK1058" s="155"/>
    </row>
    <row r="1059">
      <c r="E1059" s="19"/>
      <c r="I1059" s="170"/>
      <c r="AE1059" s="170"/>
      <c r="AH1059" s="171"/>
      <c r="AI1059" s="171"/>
      <c r="AJ1059" s="19"/>
      <c r="AK1059" s="155"/>
    </row>
    <row r="1060">
      <c r="E1060" s="19"/>
      <c r="I1060" s="170"/>
      <c r="AE1060" s="170"/>
      <c r="AH1060" s="171"/>
      <c r="AI1060" s="171"/>
      <c r="AJ1060" s="19"/>
      <c r="AK1060" s="155"/>
    </row>
    <row r="1061">
      <c r="E1061" s="19"/>
      <c r="I1061" s="170"/>
      <c r="AE1061" s="170"/>
      <c r="AH1061" s="171"/>
      <c r="AI1061" s="171"/>
      <c r="AJ1061" s="19"/>
      <c r="AK1061" s="155"/>
    </row>
    <row r="1062">
      <c r="E1062" s="19"/>
      <c r="I1062" s="170"/>
      <c r="AE1062" s="170"/>
      <c r="AH1062" s="171"/>
      <c r="AI1062" s="171"/>
      <c r="AJ1062" s="19"/>
      <c r="AK1062" s="155"/>
    </row>
    <row r="1063">
      <c r="E1063" s="19"/>
      <c r="I1063" s="170"/>
      <c r="AE1063" s="170"/>
      <c r="AH1063" s="171"/>
      <c r="AI1063" s="171"/>
      <c r="AJ1063" s="19"/>
      <c r="AK1063" s="155"/>
    </row>
    <row r="1064">
      <c r="E1064" s="19"/>
      <c r="I1064" s="170"/>
      <c r="AE1064" s="170"/>
      <c r="AH1064" s="171"/>
      <c r="AI1064" s="171"/>
      <c r="AJ1064" s="19"/>
      <c r="AK1064" s="155"/>
    </row>
    <row r="1065">
      <c r="E1065" s="19"/>
      <c r="I1065" s="170"/>
      <c r="AE1065" s="170"/>
      <c r="AH1065" s="171"/>
      <c r="AI1065" s="171"/>
      <c r="AJ1065" s="19"/>
      <c r="AK1065" s="155"/>
    </row>
    <row r="1066">
      <c r="E1066" s="19"/>
      <c r="I1066" s="170"/>
      <c r="AE1066" s="170"/>
      <c r="AH1066" s="171"/>
      <c r="AI1066" s="171"/>
      <c r="AJ1066" s="19"/>
      <c r="AK1066" s="155"/>
    </row>
    <row r="1067">
      <c r="E1067" s="19"/>
      <c r="I1067" s="170"/>
      <c r="AE1067" s="170"/>
      <c r="AH1067" s="171"/>
      <c r="AI1067" s="171"/>
      <c r="AJ1067" s="19"/>
      <c r="AK1067" s="155"/>
    </row>
    <row r="1068">
      <c r="E1068" s="19"/>
      <c r="I1068" s="170"/>
      <c r="AE1068" s="170"/>
      <c r="AH1068" s="171"/>
      <c r="AI1068" s="171"/>
      <c r="AJ1068" s="19"/>
      <c r="AK1068" s="155"/>
    </row>
    <row r="1069">
      <c r="E1069" s="19"/>
      <c r="I1069" s="170"/>
      <c r="AE1069" s="170"/>
      <c r="AH1069" s="171"/>
      <c r="AI1069" s="171"/>
      <c r="AJ1069" s="19"/>
      <c r="AK1069" s="155"/>
    </row>
    <row r="1070">
      <c r="E1070" s="19"/>
      <c r="I1070" s="170"/>
      <c r="AE1070" s="170"/>
      <c r="AH1070" s="171"/>
      <c r="AI1070" s="171"/>
      <c r="AJ1070" s="19"/>
      <c r="AK1070" s="155"/>
    </row>
    <row r="1071">
      <c r="E1071" s="19"/>
      <c r="I1071" s="170"/>
      <c r="AE1071" s="170"/>
      <c r="AH1071" s="171"/>
      <c r="AI1071" s="171"/>
      <c r="AJ1071" s="19"/>
      <c r="AK1071" s="155"/>
    </row>
    <row r="1072">
      <c r="E1072" s="19"/>
      <c r="I1072" s="170"/>
      <c r="AE1072" s="170"/>
      <c r="AH1072" s="171"/>
      <c r="AI1072" s="171"/>
      <c r="AJ1072" s="19"/>
      <c r="AK1072" s="155"/>
    </row>
    <row r="1073">
      <c r="E1073" s="19"/>
      <c r="I1073" s="170"/>
      <c r="AE1073" s="170"/>
      <c r="AH1073" s="171"/>
      <c r="AI1073" s="171"/>
      <c r="AJ1073" s="19"/>
      <c r="AK1073" s="155"/>
    </row>
    <row r="1074">
      <c r="E1074" s="19"/>
      <c r="I1074" s="170"/>
      <c r="AE1074" s="170"/>
      <c r="AH1074" s="171"/>
      <c r="AI1074" s="171"/>
      <c r="AJ1074" s="19"/>
      <c r="AK1074" s="155"/>
    </row>
    <row r="1075">
      <c r="E1075" s="19"/>
      <c r="I1075" s="170"/>
      <c r="AE1075" s="170"/>
      <c r="AH1075" s="171"/>
      <c r="AI1075" s="171"/>
      <c r="AJ1075" s="19"/>
      <c r="AK1075" s="155"/>
    </row>
    <row r="1076">
      <c r="E1076" s="19"/>
      <c r="I1076" s="170"/>
      <c r="AE1076" s="170"/>
      <c r="AH1076" s="171"/>
      <c r="AI1076" s="171"/>
      <c r="AJ1076" s="19"/>
      <c r="AK1076" s="155"/>
    </row>
    <row r="1077">
      <c r="E1077" s="19"/>
      <c r="I1077" s="170"/>
      <c r="AE1077" s="170"/>
      <c r="AH1077" s="171"/>
      <c r="AI1077" s="171"/>
      <c r="AJ1077" s="19"/>
      <c r="AK1077" s="155"/>
    </row>
    <row r="1078">
      <c r="E1078" s="19"/>
      <c r="I1078" s="170"/>
      <c r="AE1078" s="170"/>
      <c r="AH1078" s="171"/>
      <c r="AI1078" s="171"/>
      <c r="AJ1078" s="19"/>
      <c r="AK1078" s="155"/>
    </row>
    <row r="1079">
      <c r="E1079" s="19"/>
      <c r="I1079" s="170"/>
      <c r="AE1079" s="170"/>
      <c r="AH1079" s="171"/>
      <c r="AI1079" s="171"/>
      <c r="AJ1079" s="19"/>
      <c r="AK1079" s="155"/>
    </row>
    <row r="1080">
      <c r="E1080" s="19"/>
      <c r="I1080" s="170"/>
      <c r="AE1080" s="170"/>
      <c r="AH1080" s="171"/>
      <c r="AI1080" s="171"/>
      <c r="AJ1080" s="19"/>
      <c r="AK1080" s="155"/>
    </row>
    <row r="1081">
      <c r="E1081" s="19"/>
      <c r="I1081" s="170"/>
      <c r="AE1081" s="170"/>
      <c r="AH1081" s="171"/>
      <c r="AI1081" s="171"/>
      <c r="AJ1081" s="19"/>
      <c r="AK1081" s="155"/>
    </row>
    <row r="1082">
      <c r="E1082" s="19"/>
      <c r="I1082" s="170"/>
      <c r="AE1082" s="170"/>
      <c r="AH1082" s="171"/>
      <c r="AI1082" s="171"/>
      <c r="AJ1082" s="19"/>
      <c r="AK1082" s="155"/>
    </row>
    <row r="1083">
      <c r="E1083" s="19"/>
      <c r="I1083" s="170"/>
      <c r="AE1083" s="170"/>
      <c r="AH1083" s="171"/>
      <c r="AI1083" s="171"/>
      <c r="AJ1083" s="19"/>
      <c r="AK1083" s="155"/>
    </row>
    <row r="1084">
      <c r="E1084" s="19"/>
      <c r="I1084" s="170"/>
      <c r="AE1084" s="170"/>
      <c r="AH1084" s="171"/>
      <c r="AI1084" s="171"/>
      <c r="AJ1084" s="19"/>
      <c r="AK1084" s="155"/>
    </row>
    <row r="1085">
      <c r="E1085" s="19"/>
      <c r="I1085" s="170"/>
      <c r="AE1085" s="170"/>
      <c r="AH1085" s="171"/>
      <c r="AI1085" s="171"/>
      <c r="AJ1085" s="19"/>
      <c r="AK1085" s="155"/>
    </row>
    <row r="1086">
      <c r="E1086" s="19"/>
      <c r="I1086" s="170"/>
      <c r="AE1086" s="170"/>
      <c r="AH1086" s="171"/>
      <c r="AI1086" s="171"/>
      <c r="AJ1086" s="19"/>
      <c r="AK1086" s="155"/>
    </row>
    <row r="1087">
      <c r="E1087" s="19"/>
      <c r="I1087" s="170"/>
      <c r="AE1087" s="170"/>
      <c r="AH1087" s="171"/>
      <c r="AI1087" s="171"/>
      <c r="AJ1087" s="19"/>
      <c r="AK1087" s="155"/>
    </row>
    <row r="1088">
      <c r="E1088" s="19"/>
      <c r="I1088" s="170"/>
      <c r="AE1088" s="170"/>
      <c r="AH1088" s="171"/>
      <c r="AI1088" s="171"/>
      <c r="AJ1088" s="19"/>
      <c r="AK1088" s="155"/>
    </row>
    <row r="1089">
      <c r="E1089" s="19"/>
      <c r="I1089" s="170"/>
      <c r="AE1089" s="170"/>
      <c r="AH1089" s="171"/>
      <c r="AI1089" s="171"/>
      <c r="AJ1089" s="19"/>
      <c r="AK1089" s="155"/>
    </row>
    <row r="1090">
      <c r="E1090" s="19"/>
      <c r="I1090" s="170"/>
      <c r="AE1090" s="170"/>
      <c r="AH1090" s="171"/>
      <c r="AI1090" s="171"/>
      <c r="AJ1090" s="19"/>
      <c r="AK1090" s="155"/>
    </row>
    <row r="1091">
      <c r="E1091" s="19"/>
      <c r="I1091" s="170"/>
      <c r="AE1091" s="170"/>
      <c r="AH1091" s="171"/>
      <c r="AI1091" s="171"/>
      <c r="AJ1091" s="19"/>
      <c r="AK1091" s="155"/>
    </row>
    <row r="1092">
      <c r="E1092" s="19"/>
      <c r="I1092" s="170"/>
      <c r="AE1092" s="170"/>
      <c r="AH1092" s="171"/>
      <c r="AI1092" s="171"/>
      <c r="AJ1092" s="19"/>
      <c r="AK1092" s="155"/>
    </row>
    <row r="1093">
      <c r="E1093" s="19"/>
      <c r="I1093" s="170"/>
      <c r="AE1093" s="170"/>
      <c r="AH1093" s="171"/>
      <c r="AI1093" s="171"/>
      <c r="AJ1093" s="19"/>
      <c r="AK1093" s="155"/>
    </row>
    <row r="1094">
      <c r="E1094" s="19"/>
      <c r="I1094" s="170"/>
      <c r="AE1094" s="170"/>
      <c r="AH1094" s="171"/>
      <c r="AI1094" s="171"/>
      <c r="AJ1094" s="19"/>
      <c r="AK1094" s="155"/>
    </row>
    <row r="1095">
      <c r="E1095" s="19"/>
      <c r="I1095" s="170"/>
      <c r="AE1095" s="170"/>
      <c r="AH1095" s="171"/>
      <c r="AI1095" s="171"/>
      <c r="AJ1095" s="19"/>
      <c r="AK1095" s="155"/>
    </row>
    <row r="1096">
      <c r="E1096" s="19"/>
      <c r="I1096" s="170"/>
      <c r="AE1096" s="170"/>
      <c r="AH1096" s="171"/>
      <c r="AI1096" s="171"/>
      <c r="AJ1096" s="19"/>
      <c r="AK1096" s="155"/>
    </row>
    <row r="1097">
      <c r="E1097" s="19"/>
      <c r="I1097" s="170"/>
      <c r="AE1097" s="170"/>
      <c r="AH1097" s="171"/>
      <c r="AI1097" s="171"/>
      <c r="AJ1097" s="19"/>
      <c r="AK1097" s="155"/>
    </row>
    <row r="1098">
      <c r="E1098" s="19"/>
      <c r="I1098" s="170"/>
      <c r="AE1098" s="170"/>
      <c r="AH1098" s="171"/>
      <c r="AI1098" s="171"/>
      <c r="AJ1098" s="19"/>
      <c r="AK1098" s="155"/>
    </row>
    <row r="1099">
      <c r="E1099" s="19"/>
      <c r="I1099" s="170"/>
      <c r="AE1099" s="170"/>
      <c r="AH1099" s="171"/>
      <c r="AI1099" s="171"/>
      <c r="AJ1099" s="19"/>
      <c r="AK1099" s="155"/>
    </row>
    <row r="1100">
      <c r="E1100" s="19"/>
      <c r="I1100" s="170"/>
      <c r="AE1100" s="170"/>
      <c r="AH1100" s="171"/>
      <c r="AI1100" s="171"/>
      <c r="AJ1100" s="19"/>
      <c r="AK1100" s="155"/>
    </row>
    <row r="1101">
      <c r="E1101" s="19"/>
      <c r="I1101" s="170"/>
      <c r="AE1101" s="170"/>
      <c r="AH1101" s="171"/>
      <c r="AI1101" s="171"/>
      <c r="AJ1101" s="19"/>
      <c r="AK1101" s="155"/>
    </row>
    <row r="1102">
      <c r="E1102" s="19"/>
      <c r="I1102" s="170"/>
      <c r="AE1102" s="170"/>
      <c r="AH1102" s="171"/>
      <c r="AI1102" s="171"/>
      <c r="AJ1102" s="19"/>
      <c r="AK1102" s="155"/>
    </row>
    <row r="1103">
      <c r="E1103" s="19"/>
      <c r="I1103" s="170"/>
      <c r="AE1103" s="170"/>
      <c r="AH1103" s="171"/>
      <c r="AI1103" s="171"/>
      <c r="AJ1103" s="19"/>
      <c r="AK1103" s="155"/>
    </row>
    <row r="1104">
      <c r="E1104" s="19"/>
      <c r="I1104" s="170"/>
      <c r="AE1104" s="170"/>
      <c r="AH1104" s="171"/>
      <c r="AI1104" s="171"/>
      <c r="AJ1104" s="19"/>
      <c r="AK1104" s="155"/>
    </row>
    <row r="1105">
      <c r="E1105" s="19"/>
      <c r="I1105" s="170"/>
      <c r="AE1105" s="170"/>
      <c r="AH1105" s="171"/>
      <c r="AI1105" s="171"/>
      <c r="AJ1105" s="19"/>
      <c r="AK1105" s="155"/>
    </row>
    <row r="1106">
      <c r="E1106" s="19"/>
      <c r="I1106" s="170"/>
      <c r="AE1106" s="170"/>
      <c r="AH1106" s="171"/>
      <c r="AI1106" s="171"/>
      <c r="AJ1106" s="19"/>
      <c r="AK1106" s="155"/>
    </row>
    <row r="1107">
      <c r="E1107" s="19"/>
      <c r="I1107" s="170"/>
      <c r="AE1107" s="170"/>
      <c r="AH1107" s="171"/>
      <c r="AI1107" s="171"/>
      <c r="AJ1107" s="19"/>
      <c r="AK1107" s="155"/>
    </row>
    <row r="1108">
      <c r="E1108" s="19"/>
      <c r="I1108" s="170"/>
      <c r="AE1108" s="170"/>
      <c r="AH1108" s="171"/>
      <c r="AI1108" s="171"/>
      <c r="AJ1108" s="19"/>
      <c r="AK1108" s="155"/>
    </row>
    <row r="1109">
      <c r="E1109" s="19"/>
      <c r="I1109" s="170"/>
      <c r="AE1109" s="170"/>
      <c r="AH1109" s="171"/>
      <c r="AI1109" s="171"/>
      <c r="AJ1109" s="19"/>
      <c r="AK1109" s="155"/>
    </row>
    <row r="1110">
      <c r="E1110" s="19"/>
      <c r="I1110" s="170"/>
      <c r="AE1110" s="170"/>
      <c r="AH1110" s="171"/>
      <c r="AI1110" s="171"/>
      <c r="AJ1110" s="19"/>
      <c r="AK1110" s="155"/>
    </row>
    <row r="1111">
      <c r="E1111" s="19"/>
      <c r="I1111" s="170"/>
      <c r="AE1111" s="170"/>
      <c r="AH1111" s="171"/>
      <c r="AI1111" s="171"/>
      <c r="AJ1111" s="19"/>
      <c r="AK1111" s="155"/>
    </row>
    <row r="1112">
      <c r="E1112" s="19"/>
      <c r="I1112" s="170"/>
      <c r="AE1112" s="170"/>
      <c r="AH1112" s="171"/>
      <c r="AI1112" s="171"/>
      <c r="AJ1112" s="19"/>
      <c r="AK1112" s="155"/>
    </row>
    <row r="1113">
      <c r="E1113" s="19"/>
      <c r="I1113" s="170"/>
      <c r="AE1113" s="170"/>
      <c r="AH1113" s="171"/>
      <c r="AI1113" s="171"/>
      <c r="AJ1113" s="19"/>
      <c r="AK1113" s="155"/>
    </row>
    <row r="1114">
      <c r="E1114" s="19"/>
      <c r="I1114" s="170"/>
      <c r="AE1114" s="170"/>
      <c r="AH1114" s="171"/>
      <c r="AI1114" s="171"/>
      <c r="AJ1114" s="19"/>
      <c r="AK1114" s="155"/>
    </row>
    <row r="1115">
      <c r="E1115" s="19"/>
      <c r="I1115" s="170"/>
      <c r="AE1115" s="170"/>
      <c r="AH1115" s="171"/>
      <c r="AI1115" s="171"/>
      <c r="AJ1115" s="19"/>
      <c r="AK1115" s="155"/>
    </row>
    <row r="1116">
      <c r="E1116" s="19"/>
      <c r="I1116" s="170"/>
      <c r="AE1116" s="170"/>
      <c r="AH1116" s="171"/>
      <c r="AI1116" s="171"/>
      <c r="AJ1116" s="19"/>
      <c r="AK1116" s="155"/>
    </row>
    <row r="1117">
      <c r="E1117" s="19"/>
      <c r="I1117" s="170"/>
      <c r="AE1117" s="170"/>
      <c r="AH1117" s="171"/>
      <c r="AI1117" s="171"/>
      <c r="AJ1117" s="19"/>
      <c r="AK1117" s="155"/>
    </row>
    <row r="1118">
      <c r="E1118" s="19"/>
      <c r="I1118" s="170"/>
      <c r="AE1118" s="170"/>
      <c r="AH1118" s="171"/>
      <c r="AI1118" s="171"/>
      <c r="AJ1118" s="19"/>
      <c r="AK1118" s="155"/>
    </row>
    <row r="1119">
      <c r="E1119" s="19"/>
      <c r="I1119" s="170"/>
      <c r="AE1119" s="170"/>
      <c r="AH1119" s="171"/>
      <c r="AI1119" s="171"/>
      <c r="AJ1119" s="19"/>
      <c r="AK1119" s="155"/>
    </row>
  </sheetData>
  <mergeCells count="21">
    <mergeCell ref="E1:G1"/>
    <mergeCell ref="H1:I1"/>
    <mergeCell ref="K1:L1"/>
    <mergeCell ref="P1:S1"/>
    <mergeCell ref="T1:W1"/>
    <mergeCell ref="X1:AA1"/>
    <mergeCell ref="AC1:AI1"/>
    <mergeCell ref="B4:B44"/>
    <mergeCell ref="B72:C72"/>
    <mergeCell ref="F72:G72"/>
    <mergeCell ref="J72:K72"/>
    <mergeCell ref="B73:B174"/>
    <mergeCell ref="F73:F174"/>
    <mergeCell ref="J73:J174"/>
    <mergeCell ref="A1:D1"/>
    <mergeCell ref="B3:C3"/>
    <mergeCell ref="F3:G3"/>
    <mergeCell ref="J3:K3"/>
    <mergeCell ref="P3:AA9"/>
    <mergeCell ref="F4:F44"/>
    <mergeCell ref="J4:J44"/>
  </mergeCells>
  <conditionalFormatting sqref="AJ1 AI2:AJ2 A70:A71">
    <cfRule type="cellIs" dxfId="0" priority="1" operator="equal">
      <formula>"Zadej celkovou tržbu"</formula>
    </cfRule>
  </conditionalFormatting>
  <conditionalFormatting sqref="AI4:AJ67 AI72:AJ174">
    <cfRule type="cellIs" dxfId="1" priority="2" operator="lessThan">
      <formula>0</formula>
    </cfRule>
  </conditionalFormatting>
  <conditionalFormatting sqref="A4:A43 A73:A173 AH73:AH173 AH4:AH43">
    <cfRule type="containsText" dxfId="2" priority="3" operator="containsText" text="-x">
      <formula>NOT(ISERROR(SEARCH(("-x"),(A4))))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74.88"/>
    <col customWidth="1" min="4" max="4" width="20.5"/>
    <col customWidth="1" min="7" max="7" width="6.5"/>
    <col customWidth="1" min="8" max="8" width="5.88"/>
    <col customWidth="1" min="10" max="10" width="15.63"/>
  </cols>
  <sheetData>
    <row r="1">
      <c r="A1" s="172"/>
      <c r="B1" s="172"/>
      <c r="C1" s="172"/>
      <c r="D1" s="172"/>
      <c r="E1" s="172"/>
      <c r="F1" s="172"/>
      <c r="G1" s="173"/>
      <c r="H1" s="172"/>
      <c r="I1" s="172"/>
      <c r="J1" s="172"/>
      <c r="K1" s="172"/>
      <c r="L1" s="172"/>
    </row>
    <row r="2">
      <c r="A2" s="172"/>
      <c r="B2" s="174" t="s">
        <v>139</v>
      </c>
    </row>
    <row r="3">
      <c r="A3" s="172"/>
      <c r="B3" s="175" t="s">
        <v>140</v>
      </c>
    </row>
    <row r="4">
      <c r="A4" s="172"/>
      <c r="B4" s="175" t="s">
        <v>141</v>
      </c>
    </row>
    <row r="5">
      <c r="A5" s="172"/>
    </row>
    <row r="6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</row>
    <row r="7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</row>
    <row r="8">
      <c r="A8" s="172"/>
      <c r="B8" s="176" t="str">
        <f>IFERROR(__xludf.DUMMYFUNCTION("IMPORTRANGE(""https://docs.google.com/spreadsheets/d/1yayEb3fNnfQoipQz1Iwmz8XpKmGHEYXoKoJUhDdF_DA"", ""Seznam!B1:E1"")"),"Mzdy po týdnech 2020")</f>
        <v>Mzdy po týdnech 2020</v>
      </c>
      <c r="C8" s="177" t="str">
        <f>IFERROR(__xludf.DUMMYFUNCTION("""COMPUTED_VALUE"""),"https://docs.google.com/spreadsheets/d/1yayEb3fNnfQoipQz1Iwmz8XpKmGHEYXoKoJUhDdF_DA")</f>
        <v>https://docs.google.com/spreadsheets/d/1yayEb3fNnfQoipQz1Iwmz8XpKmGHEYXoKoJUhDdF_DA</v>
      </c>
      <c r="D8" s="172" t="str">
        <f>IFERROR(__xludf.DUMMYFUNCTION("""COMPUTED_VALUE"""),"Finance po týdnech 2020")</f>
        <v>Finance po týdnech 2020</v>
      </c>
      <c r="E8" s="178" t="str">
        <f>IFERROR(__xludf.DUMMYFUNCTION("""COMPUTED_VALUE"""),"https://docs.google.com/spreadsheets/d/1s6tJBTsthK7zn05ipclXAUV3mZK1jnKMOTsC3TsUuF0")</f>
        <v>https://docs.google.com/spreadsheets/d/1s6tJBTsthK7zn05ipclXAUV3mZK1jnKMOTsC3TsUuF0</v>
      </c>
      <c r="F8" s="172"/>
      <c r="G8" s="172"/>
      <c r="H8" s="172"/>
      <c r="I8" s="172"/>
      <c r="J8" s="172"/>
      <c r="K8" s="172"/>
      <c r="L8" s="172"/>
    </row>
    <row r="9">
      <c r="A9" s="179">
        <f>IFERROR(__xludf.DUMMYFUNCTION("IMPORTRANGE(""https://docs.google.com/spreadsheets/d/1yayEb3fNnfQoipQz1Iwmz8XpKmGHEYXoKoJUhDdF_DA"", ""Seznam!A37:D40"")"),44105.0)</f>
        <v>44105</v>
      </c>
      <c r="B9" s="172" t="str">
        <f>IFERROR(__xludf.DUMMYFUNCTION("""COMPUTED_VALUE"""),"10-2020 Souhrn mzdy")</f>
        <v>10-2020 Souhrn mzdy</v>
      </c>
      <c r="C9" s="180" t="str">
        <f>IFERROR(__xludf.DUMMYFUNCTION("""COMPUTED_VALUE"""),"https://docs.google.com/spreadsheets/d/1A1C7ak5N3IfdH-gvOToPTjrHDYjQVuOSKk3nI04CPnk")</f>
        <v>https://docs.google.com/spreadsheets/d/1A1C7ak5N3IfdH-gvOToPTjrHDYjQVuOSKk3nI04CPnk</v>
      </c>
      <c r="D9" s="172"/>
      <c r="E9" s="172"/>
      <c r="F9" s="172"/>
      <c r="G9" s="172"/>
      <c r="H9" s="172"/>
      <c r="I9" s="172"/>
      <c r="J9" s="176"/>
      <c r="K9" s="172"/>
      <c r="L9" s="172"/>
    </row>
    <row r="10">
      <c r="A10" s="172"/>
      <c r="B10" s="172" t="str">
        <f>IFERROR(__xludf.DUMMYFUNCTION("""COMPUTED_VALUE"""),"10-2020 Petrovice")</f>
        <v>10-2020 Petrovice</v>
      </c>
      <c r="C10" s="180" t="str">
        <f>IFERROR(__xludf.DUMMYFUNCTION("""COMPUTED_VALUE"""),"https://docs.google.com/spreadsheets/d/1Njl3bOuzY8rELz-b1KjBVVn-Ynm64wsyjSUp5jqOCUo")</f>
        <v>https://docs.google.com/spreadsheets/d/1Njl3bOuzY8rELz-b1KjBVVn-Ynm64wsyjSUp5jqOCUo</v>
      </c>
      <c r="D10" s="172"/>
      <c r="E10" s="172"/>
      <c r="F10" s="172"/>
      <c r="G10" s="172"/>
      <c r="H10" s="172"/>
      <c r="I10" s="172"/>
      <c r="J10" s="172"/>
      <c r="K10" s="172"/>
      <c r="L10" s="172"/>
    </row>
    <row r="11">
      <c r="A11" s="172"/>
      <c r="B11" s="172" t="str">
        <f>IFERROR(__xludf.DUMMYFUNCTION("""COMPUTED_VALUE"""),"10-2020 Malešice")</f>
        <v>10-2020 Malešice</v>
      </c>
      <c r="C11" s="180" t="str">
        <f>IFERROR(__xludf.DUMMYFUNCTION("""COMPUTED_VALUE"""),"https://docs.google.com/spreadsheets/d/1PDtx4xbbW1zGE-d0eoFuZZkJoXl4i-ZtvXSnllGXFAA")</f>
        <v>https://docs.google.com/spreadsheets/d/1PDtx4xbbW1zGE-d0eoFuZZkJoXl4i-ZtvXSnllGXFAA</v>
      </c>
      <c r="D11" s="172"/>
      <c r="E11" s="172"/>
      <c r="F11" s="172"/>
      <c r="G11" s="172"/>
      <c r="H11" s="172"/>
      <c r="I11" s="172"/>
      <c r="J11" s="172"/>
      <c r="K11" s="172"/>
      <c r="L11" s="172"/>
    </row>
    <row r="12">
      <c r="A12" s="172"/>
      <c r="B12" s="172" t="str">
        <f>IFERROR(__xludf.DUMMYFUNCTION("""COMPUTED_VALUE"""),"10-2020 Stodůlky")</f>
        <v>10-2020 Stodůlky</v>
      </c>
      <c r="C12" s="178" t="str">
        <f>IFERROR(__xludf.DUMMYFUNCTION("""COMPUTED_VALUE"""),"https://docs.google.com/spreadsheets/d/10dpj9dyO-Yx_vBL6KLud8cLKV95o6fHdHCLuzDT304s")</f>
        <v>https://docs.google.com/spreadsheets/d/10dpj9dyO-Yx_vBL6KLud8cLKV95o6fHdHCLuzDT304s</v>
      </c>
      <c r="D12" s="172"/>
      <c r="E12" s="172"/>
      <c r="F12" s="172"/>
      <c r="G12" s="172"/>
      <c r="H12" s="172"/>
      <c r="I12" s="172"/>
      <c r="J12" s="172"/>
      <c r="K12" s="172"/>
      <c r="L12" s="172"/>
    </row>
    <row r="13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</row>
    <row r="14">
      <c r="A14" s="172"/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</row>
    <row r="15">
      <c r="A15" s="172"/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</row>
  </sheetData>
  <mergeCells count="4">
    <mergeCell ref="B2:L2"/>
    <mergeCell ref="B3:L3"/>
    <mergeCell ref="B4:L4"/>
    <mergeCell ref="B5:L5"/>
  </mergeCells>
  <hyperlinks>
    <hyperlink r:id="rId1" ref="C8"/>
    <hyperlink r:id="rId2" ref="E8"/>
    <hyperlink r:id="rId3" ref="C9"/>
    <hyperlink r:id="rId4" ref="C10"/>
    <hyperlink r:id="rId5" ref="C11"/>
    <hyperlink r:id="rId6" ref="C12"/>
  </hyperlinks>
  <drawing r:id="rId7"/>
</worksheet>
</file>