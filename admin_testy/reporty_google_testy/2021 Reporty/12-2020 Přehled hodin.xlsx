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<sst xmlns="http://schemas.openxmlformats.org/spreadsheetml/2006/main" count="6" uniqueCount="4">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</sst>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3" fontId="3" numFmtId="0" xfId="0" applyBorder="1" applyFill="1" applyFont="1"/>
    <xf borderId="1" fillId="3" fontId="3" numFmtId="165" xfId="0" applyAlignment="1" applyBorder="1" applyFont="1" applyNumberFormat="1">
      <alignment horizontal="center"/>
    </xf>
    <xf borderId="1" fillId="3" fontId="5" numFmtId="165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2" fillId="0" fontId="3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1" fillId="2" fontId="10" numFmtId="0" xfId="0" applyAlignment="1" applyBorder="1" applyFont="1">
      <alignment horizontal="left"/>
    </xf>
    <xf borderId="1" fillId="4" fontId="6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Font="1"/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IFERROR(__xludf.DUMMYFUNCTION("IMPORTRANGE(""https://docs.google.com/spreadsheets/d/1mC1xwZ9_mbrc-Du_YS3LuXIbz5iTevkePQQ470WnSgk"", ""Přehled mzdy!BQ1:EA120"")"),"týden")</f>
        <v>týden</v>
      </c>
      <c r="B3" s="5">
        <f>IFERROR(__xludf.DUMMYFUNCTION("""COMPUTED_VALUE"""),49.0)</f>
        <v>49</v>
      </c>
      <c r="C3" s="6"/>
      <c r="D3" s="5">
        <f>IFERROR(__xludf.DUMMYFUNCTION("""COMPUTED_VALUE"""),49.0)</f>
        <v>49</v>
      </c>
      <c r="E3" s="6"/>
      <c r="F3" s="5">
        <f>IFERROR(__xludf.DUMMYFUNCTION("""COMPUTED_VALUE"""),49.0)</f>
        <v>49</v>
      </c>
      <c r="G3" s="6"/>
      <c r="H3" s="5">
        <f>IFERROR(__xludf.DUMMYFUNCTION("""COMPUTED_VALUE"""),49.0)</f>
        <v>49</v>
      </c>
      <c r="I3" s="6"/>
      <c r="J3" s="5">
        <f>IFERROR(__xludf.DUMMYFUNCTION("""COMPUTED_VALUE"""),49.0)</f>
        <v>49</v>
      </c>
      <c r="K3" s="6"/>
      <c r="L3" s="5">
        <f>IFERROR(__xludf.DUMMYFUNCTION("""COMPUTED_VALUE"""),49.0)</f>
        <v>49</v>
      </c>
      <c r="M3" s="6"/>
      <c r="N3" s="5">
        <f>IFERROR(__xludf.DUMMYFUNCTION("""COMPUTED_VALUE"""),50.0)</f>
        <v>50</v>
      </c>
      <c r="O3" s="6"/>
      <c r="P3" s="5">
        <f>IFERROR(__xludf.DUMMYFUNCTION("""COMPUTED_VALUE"""),50.0)</f>
        <v>50</v>
      </c>
      <c r="Q3" s="6"/>
      <c r="R3" s="5">
        <f>IFERROR(__xludf.DUMMYFUNCTION("""COMPUTED_VALUE"""),50.0)</f>
        <v>50</v>
      </c>
      <c r="S3" s="6"/>
      <c r="T3" s="5">
        <f>IFERROR(__xludf.DUMMYFUNCTION("""COMPUTED_VALUE"""),50.0)</f>
        <v>50</v>
      </c>
      <c r="U3" s="6"/>
      <c r="V3" s="5">
        <f>IFERROR(__xludf.DUMMYFUNCTION("""COMPUTED_VALUE"""),50.0)</f>
        <v>50</v>
      </c>
      <c r="W3" s="6"/>
      <c r="X3" s="5">
        <f>IFERROR(__xludf.DUMMYFUNCTION("""COMPUTED_VALUE"""),50.0)</f>
        <v>50</v>
      </c>
      <c r="Y3" s="6"/>
      <c r="Z3" s="5">
        <f>IFERROR(__xludf.DUMMYFUNCTION("""COMPUTED_VALUE"""),50.0)</f>
        <v>50</v>
      </c>
      <c r="AA3" s="6"/>
      <c r="AB3" s="5">
        <f>IFERROR(__xludf.DUMMYFUNCTION("""COMPUTED_VALUE"""),51.0)</f>
        <v>51</v>
      </c>
      <c r="AC3" s="6"/>
      <c r="AD3" s="5">
        <f>IFERROR(__xludf.DUMMYFUNCTION("""COMPUTED_VALUE"""),51.0)</f>
        <v>51</v>
      </c>
      <c r="AE3" s="6"/>
      <c r="AF3" s="5">
        <f>IFERROR(__xludf.DUMMYFUNCTION("""COMPUTED_VALUE"""),51.0)</f>
        <v>51</v>
      </c>
      <c r="AG3" s="6"/>
      <c r="AH3" s="5">
        <f>IFERROR(__xludf.DUMMYFUNCTION("""COMPUTED_VALUE"""),51.0)</f>
        <v>51</v>
      </c>
      <c r="AI3" s="6"/>
      <c r="AJ3" s="5">
        <f>IFERROR(__xludf.DUMMYFUNCTION("""COMPUTED_VALUE"""),51.0)</f>
        <v>51</v>
      </c>
      <c r="AK3" s="6"/>
      <c r="AL3" s="5">
        <f>IFERROR(__xludf.DUMMYFUNCTION("""COMPUTED_VALUE"""),51.0)</f>
        <v>51</v>
      </c>
      <c r="AM3" s="6"/>
      <c r="AN3" s="5">
        <f>IFERROR(__xludf.DUMMYFUNCTION("""COMPUTED_VALUE"""),51.0)</f>
        <v>51</v>
      </c>
      <c r="AO3" s="6"/>
      <c r="AP3" s="5">
        <f>IFERROR(__xludf.DUMMYFUNCTION("""COMPUTED_VALUE"""),52.0)</f>
        <v>52</v>
      </c>
      <c r="AQ3" s="6"/>
      <c r="AR3" s="5">
        <f>IFERROR(__xludf.DUMMYFUNCTION("""COMPUTED_VALUE"""),52.0)</f>
        <v>52</v>
      </c>
      <c r="AS3" s="6"/>
      <c r="AT3" s="5">
        <f>IFERROR(__xludf.DUMMYFUNCTION("""COMPUTED_VALUE"""),52.0)</f>
        <v>52</v>
      </c>
      <c r="AU3" s="6"/>
      <c r="AV3" s="5">
        <f>IFERROR(__xludf.DUMMYFUNCTION("""COMPUTED_VALUE"""),52.0)</f>
        <v>52</v>
      </c>
      <c r="AW3" s="6"/>
      <c r="AX3" s="5">
        <f>IFERROR(__xludf.DUMMYFUNCTION("""COMPUTED_VALUE"""),52.0)</f>
        <v>52</v>
      </c>
      <c r="AY3" s="6"/>
      <c r="AZ3" s="5">
        <f>IFERROR(__xludf.DUMMYFUNCTION("""COMPUTED_VALUE"""),52.0)</f>
        <v>52</v>
      </c>
      <c r="BA3" s="6"/>
      <c r="BB3" s="5">
        <f>IFERROR(__xludf.DUMMYFUNCTION("""COMPUTED_VALUE"""),52.0)</f>
        <v>52</v>
      </c>
      <c r="BC3" s="6"/>
      <c r="BD3" s="5">
        <f>IFERROR(__xludf.DUMMYFUNCTION("""COMPUTED_VALUE"""),53.0)</f>
        <v>53</v>
      </c>
      <c r="BE3" s="6"/>
      <c r="BF3" s="5">
        <f>IFERROR(__xludf.DUMMYFUNCTION("""COMPUTED_VALUE"""),53.0)</f>
        <v>53</v>
      </c>
      <c r="BG3" s="6"/>
      <c r="BH3" s="5">
        <f>IFERROR(__xludf.DUMMYFUNCTION("""COMPUTED_VALUE"""),53.0)</f>
        <v>53</v>
      </c>
      <c r="BI3" s="6"/>
      <c r="BJ3" s="5">
        <f>IFERROR(__xludf.DUMMYFUNCTION("""COMPUTED_VALUE"""),53.0)</f>
        <v>53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IFERROR(__xludf.DUMMYFUNCTION("""COMPUTED_VALUE"""),44166.0)</f>
        <v>44166</v>
      </c>
      <c r="C4" s="9"/>
      <c r="D4" s="8">
        <f>IFERROR(__xludf.DUMMYFUNCTION("""COMPUTED_VALUE"""),44167.0)</f>
        <v>44167</v>
      </c>
      <c r="E4" s="9"/>
      <c r="F4" s="8">
        <f>IFERROR(__xludf.DUMMYFUNCTION("""COMPUTED_VALUE"""),44168.0)</f>
        <v>44168</v>
      </c>
      <c r="G4" s="9"/>
      <c r="H4" s="8">
        <f>IFERROR(__xludf.DUMMYFUNCTION("""COMPUTED_VALUE"""),44169.0)</f>
        <v>44169</v>
      </c>
      <c r="I4" s="9"/>
      <c r="J4" s="8">
        <f>IFERROR(__xludf.DUMMYFUNCTION("""COMPUTED_VALUE"""),44170.0)</f>
        <v>44170</v>
      </c>
      <c r="K4" s="9"/>
      <c r="L4" s="8">
        <f>IFERROR(__xludf.DUMMYFUNCTION("""COMPUTED_VALUE"""),44171.0)</f>
        <v>44171</v>
      </c>
      <c r="M4" s="9"/>
      <c r="N4" s="8">
        <f>IFERROR(__xludf.DUMMYFUNCTION("""COMPUTED_VALUE"""),44172.0)</f>
        <v>44172</v>
      </c>
      <c r="O4" s="9"/>
      <c r="P4" s="8">
        <f>IFERROR(__xludf.DUMMYFUNCTION("""COMPUTED_VALUE"""),44173.0)</f>
        <v>44173</v>
      </c>
      <c r="Q4" s="9"/>
      <c r="R4" s="8">
        <f>IFERROR(__xludf.DUMMYFUNCTION("""COMPUTED_VALUE"""),44174.0)</f>
        <v>44174</v>
      </c>
      <c r="S4" s="9"/>
      <c r="T4" s="8">
        <f>IFERROR(__xludf.DUMMYFUNCTION("""COMPUTED_VALUE"""),44175.0)</f>
        <v>44175</v>
      </c>
      <c r="U4" s="9"/>
      <c r="V4" s="8">
        <f>IFERROR(__xludf.DUMMYFUNCTION("""COMPUTED_VALUE"""),44176.0)</f>
        <v>44176</v>
      </c>
      <c r="W4" s="9"/>
      <c r="X4" s="8">
        <f>IFERROR(__xludf.DUMMYFUNCTION("""COMPUTED_VALUE"""),44177.0)</f>
        <v>44177</v>
      </c>
      <c r="Y4" s="9"/>
      <c r="Z4" s="8">
        <f>IFERROR(__xludf.DUMMYFUNCTION("""COMPUTED_VALUE"""),44178.0)</f>
        <v>44178</v>
      </c>
      <c r="AA4" s="9"/>
      <c r="AB4" s="8">
        <f>IFERROR(__xludf.DUMMYFUNCTION("""COMPUTED_VALUE"""),44179.0)</f>
        <v>44179</v>
      </c>
      <c r="AC4" s="9"/>
      <c r="AD4" s="8">
        <f>IFERROR(__xludf.DUMMYFUNCTION("""COMPUTED_VALUE"""),44180.0)</f>
        <v>44180</v>
      </c>
      <c r="AE4" s="9"/>
      <c r="AF4" s="8">
        <f>IFERROR(__xludf.DUMMYFUNCTION("""COMPUTED_VALUE"""),44181.0)</f>
        <v>44181</v>
      </c>
      <c r="AG4" s="9"/>
      <c r="AH4" s="8">
        <f>IFERROR(__xludf.DUMMYFUNCTION("""COMPUTED_VALUE"""),44182.0)</f>
        <v>44182</v>
      </c>
      <c r="AI4" s="9"/>
      <c r="AJ4" s="8">
        <f>IFERROR(__xludf.DUMMYFUNCTION("""COMPUTED_VALUE"""),44183.0)</f>
        <v>44183</v>
      </c>
      <c r="AK4" s="9"/>
      <c r="AL4" s="8">
        <f>IFERROR(__xludf.DUMMYFUNCTION("""COMPUTED_VALUE"""),44184.0)</f>
        <v>44184</v>
      </c>
      <c r="AM4" s="9"/>
      <c r="AN4" s="8">
        <f>IFERROR(__xludf.DUMMYFUNCTION("""COMPUTED_VALUE"""),44185.0)</f>
        <v>44185</v>
      </c>
      <c r="AO4" s="9"/>
      <c r="AP4" s="8">
        <f>IFERROR(__xludf.DUMMYFUNCTION("""COMPUTED_VALUE"""),44186.0)</f>
        <v>44186</v>
      </c>
      <c r="AQ4" s="9"/>
      <c r="AR4" s="8">
        <f>IFERROR(__xludf.DUMMYFUNCTION("""COMPUTED_VALUE"""),44187.0)</f>
        <v>44187</v>
      </c>
      <c r="AS4" s="9"/>
      <c r="AT4" s="8">
        <f>IFERROR(__xludf.DUMMYFUNCTION("""COMPUTED_VALUE"""),44188.0)</f>
        <v>44188</v>
      </c>
      <c r="AU4" s="9"/>
      <c r="AV4" s="8">
        <f>IFERROR(__xludf.DUMMYFUNCTION("""COMPUTED_VALUE"""),44189.0)</f>
        <v>44189</v>
      </c>
      <c r="AW4" s="9"/>
      <c r="AX4" s="8">
        <f>IFERROR(__xludf.DUMMYFUNCTION("""COMPUTED_VALUE"""),44190.0)</f>
        <v>44190</v>
      </c>
      <c r="AY4" s="9"/>
      <c r="AZ4" s="8">
        <f>IFERROR(__xludf.DUMMYFUNCTION("""COMPUTED_VALUE"""),44191.0)</f>
        <v>44191</v>
      </c>
      <c r="BA4" s="9"/>
      <c r="BB4" s="8">
        <f>IFERROR(__xludf.DUMMYFUNCTION("""COMPUTED_VALUE"""),44192.0)</f>
        <v>44192</v>
      </c>
      <c r="BC4" s="9"/>
      <c r="BD4" s="8">
        <f>IFERROR(__xludf.DUMMYFUNCTION("""COMPUTED_VALUE"""),44193.0)</f>
        <v>44193</v>
      </c>
      <c r="BE4" s="9"/>
      <c r="BF4" s="8">
        <f>IFERROR(__xludf.DUMMYFUNCTION("""COMPUTED_VALUE"""),44194.0)</f>
        <v>44194</v>
      </c>
      <c r="BG4" s="9"/>
      <c r="BH4" s="8">
        <f>IFERROR(__xludf.DUMMYFUNCTION("""COMPUTED_VALUE"""),44195.0)</f>
        <v>44195</v>
      </c>
      <c r="BI4" s="9"/>
      <c r="BJ4" s="8">
        <f>IFERROR(__xludf.DUMMYFUNCTION("""COMPUTED_VALUE"""),44196.0)</f>
        <v>44196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>
        <f>IFERROR(__xludf.DUMMYFUNCTION("""COMPUTED_VALUE"""),10.0)</f>
        <v>10</v>
      </c>
      <c r="AM6" s="13">
        <f>IFERROR(__xludf.DUMMYFUNCTION("""COMPUTED_VALUE"""),1000.0)</f>
        <v>1000</v>
      </c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/>
      <c r="C8" s="16"/>
      <c r="D8" s="15">
        <f>IFERROR(__xludf.DUMMYFUNCTION("""COMPUTED_VALUE"""),6.0)</f>
        <v>6</v>
      </c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>
        <f>IFERROR(__xludf.DUMMYFUNCTION("""COMPUTED_VALUE"""),12.0)</f>
        <v>12</v>
      </c>
      <c r="AO14" s="16">
        <f>IFERROR(__xludf.DUMMYFUNCTION("""COMPUTED_VALUE"""),1200.0)</f>
        <v>1200</v>
      </c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>
        <f>IFERROR(__xludf.DUMMYFUNCTION("""COMPUTED_VALUE"""),6.0)</f>
        <v>6</v>
      </c>
      <c r="C17" s="16"/>
      <c r="D17" s="15">
        <f>IFERROR(__xludf.DUMMYFUNCTION("""COMPUTED_VALUE"""),1.0)</f>
        <v>1</v>
      </c>
      <c r="E17" s="16"/>
      <c r="F17" s="15">
        <f>IFERROR(__xludf.DUMMYFUNCTION("""COMPUTED_VALUE"""),5.0)</f>
        <v>5</v>
      </c>
      <c r="G17" s="16"/>
      <c r="H17" s="15">
        <f>IFERROR(__xludf.DUMMYFUNCTION("""COMPUTED_VALUE"""),5.5)</f>
        <v>5.5</v>
      </c>
      <c r="I17" s="16"/>
      <c r="J17" s="15"/>
      <c r="K17" s="16"/>
      <c r="L17" s="15">
        <f>IFERROR(__xludf.DUMMYFUNCTION("""COMPUTED_VALUE"""),12.0)</f>
        <v>12</v>
      </c>
      <c r="M17" s="16"/>
      <c r="N17" s="15"/>
      <c r="O17" s="16"/>
      <c r="P17" s="15">
        <f>IFERROR(__xludf.DUMMYFUNCTION("""COMPUTED_VALUE"""),7.0)</f>
        <v>7</v>
      </c>
      <c r="Q17" s="16"/>
      <c r="R17" s="15">
        <f>IFERROR(__xludf.DUMMYFUNCTION("""COMPUTED_VALUE"""),6.0)</f>
        <v>6</v>
      </c>
      <c r="S17" s="16"/>
      <c r="T17" s="15">
        <f>IFERROR(__xludf.DUMMYFUNCTION("""COMPUTED_VALUE"""),6.5)</f>
        <v>6.5</v>
      </c>
      <c r="U17" s="16"/>
      <c r="V17" s="15">
        <f>IFERROR(__xludf.DUMMYFUNCTION("""COMPUTED_VALUE"""),6.5)</f>
        <v>6.5</v>
      </c>
      <c r="W17" s="16"/>
      <c r="X17" s="15">
        <f>IFERROR(__xludf.DUMMYFUNCTION("""COMPUTED_VALUE"""),13.5)</f>
        <v>13.5</v>
      </c>
      <c r="Y17" s="16"/>
      <c r="Z17" s="15">
        <f>IFERROR(__xludf.DUMMYFUNCTION("""COMPUTED_VALUE"""),12.0)</f>
        <v>12</v>
      </c>
      <c r="AA17" s="16"/>
      <c r="AB17" s="15">
        <f>IFERROR(__xludf.DUMMYFUNCTION("""COMPUTED_VALUE"""),5.0)</f>
        <v>5</v>
      </c>
      <c r="AC17" s="16"/>
      <c r="AD17" s="15">
        <f>IFERROR(__xludf.DUMMYFUNCTION("""COMPUTED_VALUE"""),8.0)</f>
        <v>8</v>
      </c>
      <c r="AE17" s="16"/>
      <c r="AF17" s="15">
        <f>IFERROR(__xludf.DUMMYFUNCTION("""COMPUTED_VALUE"""),4.0)</f>
        <v>4</v>
      </c>
      <c r="AG17" s="16"/>
      <c r="AH17" s="15">
        <f>IFERROR(__xludf.DUMMYFUNCTION("""COMPUTED_VALUE"""),5.0)</f>
        <v>5</v>
      </c>
      <c r="AI17" s="16"/>
      <c r="AJ17" s="15">
        <f>IFERROR(__xludf.DUMMYFUNCTION("""COMPUTED_VALUE"""),6.0)</f>
        <v>6</v>
      </c>
      <c r="AK17" s="16"/>
      <c r="AL17" s="15">
        <f>IFERROR(__xludf.DUMMYFUNCTION("""COMPUTED_VALUE"""),2.0)</f>
        <v>2</v>
      </c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>
        <f>IFERROR(__xludf.DUMMYFUNCTION("""COMPUTED_VALUE"""),10.0)</f>
        <v>10</v>
      </c>
      <c r="G20" s="16"/>
      <c r="H20" s="15"/>
      <c r="I20" s="16"/>
      <c r="J20" s="15">
        <f>IFERROR(__xludf.DUMMYFUNCTION("""COMPUTED_VALUE"""),4.0)</f>
        <v>4</v>
      </c>
      <c r="K20" s="16"/>
      <c r="L20" s="15"/>
      <c r="M20" s="16"/>
      <c r="N20" s="15">
        <f>IFERROR(__xludf.DUMMYFUNCTION("""COMPUTED_VALUE"""),4.0)</f>
        <v>4</v>
      </c>
      <c r="O20" s="16"/>
      <c r="P20" s="15"/>
      <c r="Q20" s="16"/>
      <c r="R20" s="15"/>
      <c r="S20" s="16"/>
      <c r="T20" s="15">
        <f>IFERROR(__xludf.DUMMYFUNCTION("""COMPUTED_VALUE"""),5.5)</f>
        <v>5.5</v>
      </c>
      <c r="U20" s="16"/>
      <c r="V20" s="15"/>
      <c r="W20" s="16"/>
      <c r="X20" s="15">
        <f>IFERROR(__xludf.DUMMYFUNCTION("""COMPUTED_VALUE"""),4.0)</f>
        <v>4</v>
      </c>
      <c r="Y20" s="16"/>
      <c r="Z20" s="15"/>
      <c r="AA20" s="16"/>
      <c r="AB20" s="15">
        <f>IFERROR(__xludf.DUMMYFUNCTION("""COMPUTED_VALUE"""),4.0)</f>
        <v>4</v>
      </c>
      <c r="AC20" s="16"/>
      <c r="AD20" s="15"/>
      <c r="AE20" s="16"/>
      <c r="AF20" s="15"/>
      <c r="AG20" s="16"/>
      <c r="AH20" s="15">
        <f>IFERROR(__xludf.DUMMYFUNCTION("""COMPUTED_VALUE"""),4.0)</f>
        <v>4</v>
      </c>
      <c r="AI20" s="16"/>
      <c r="AJ20" s="15"/>
      <c r="AK20" s="16"/>
      <c r="AL20" s="15"/>
      <c r="AM20" s="16"/>
      <c r="AN20" s="15"/>
      <c r="AO20" s="16"/>
      <c r="AP20" s="15"/>
      <c r="AQ20" s="16"/>
      <c r="AR20" s="15">
        <f>IFERROR(__xludf.DUMMYFUNCTION("""COMPUTED_VALUE"""),5.0)</f>
        <v>5</v>
      </c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>
        <f>IFERROR(__xludf.DUMMYFUNCTION("""COMPUTED_VALUE"""),4.0)</f>
        <v>4</v>
      </c>
      <c r="S23" s="16"/>
      <c r="T23" s="15">
        <f>IFERROR(__xludf.DUMMYFUNCTION("""COMPUTED_VALUE"""),7.5)</f>
        <v>7.5</v>
      </c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>
        <f>IFERROR(__xludf.DUMMYFUNCTION("""COMPUTED_VALUE"""),3.5)</f>
        <v>3.5</v>
      </c>
      <c r="C24" s="13"/>
      <c r="D24" s="12">
        <f>IFERROR(__xludf.DUMMYFUNCTION("""COMPUTED_VALUE"""),2.0)</f>
        <v>2</v>
      </c>
      <c r="E24" s="13"/>
      <c r="F24" s="12"/>
      <c r="G24" s="13"/>
      <c r="H24" s="12"/>
      <c r="I24" s="13"/>
      <c r="J24" s="12">
        <f>IFERROR(__xludf.DUMMYFUNCTION("""COMPUTED_VALUE"""),6.0)</f>
        <v>6</v>
      </c>
      <c r="K24" s="13"/>
      <c r="L24" s="12">
        <f>IFERROR(__xludf.DUMMYFUNCTION("""COMPUTED_VALUE"""),4.0)</f>
        <v>4</v>
      </c>
      <c r="M24" s="13"/>
      <c r="N24" s="12"/>
      <c r="O24" s="13"/>
      <c r="P24" s="12">
        <f>IFERROR(__xludf.DUMMYFUNCTION("""COMPUTED_VALUE"""),3.5)</f>
        <v>3.5</v>
      </c>
      <c r="Q24" s="13"/>
      <c r="R24" s="12"/>
      <c r="S24" s="13"/>
      <c r="T24" s="12"/>
      <c r="U24" s="13"/>
      <c r="V24" s="12">
        <f>IFERROR(__xludf.DUMMYFUNCTION("""COMPUTED_VALUE"""),5.0)</f>
        <v>5</v>
      </c>
      <c r="W24" s="13"/>
      <c r="X24" s="12">
        <f>IFERROR(__xludf.DUMMYFUNCTION("""COMPUTED_VALUE"""),5.0)</f>
        <v>5</v>
      </c>
      <c r="Y24" s="13"/>
      <c r="Z24" s="12"/>
      <c r="AA24" s="13"/>
      <c r="AB24" s="12"/>
      <c r="AC24" s="13"/>
      <c r="AD24" s="12">
        <f>IFERROR(__xludf.DUMMYFUNCTION("""COMPUTED_VALUE"""),6.0)</f>
        <v>6</v>
      </c>
      <c r="AE24" s="13"/>
      <c r="AF24" s="12">
        <f>IFERROR(__xludf.DUMMYFUNCTION("""COMPUTED_VALUE"""),6.0)</f>
        <v>6</v>
      </c>
      <c r="AG24" s="13"/>
      <c r="AH24" s="12"/>
      <c r="AI24" s="13"/>
      <c r="AJ24" s="12"/>
      <c r="AK24" s="13"/>
      <c r="AL24" s="12">
        <f>IFERROR(__xludf.DUMMYFUNCTION("""COMPUTED_VALUE"""),6.0)</f>
        <v>6</v>
      </c>
      <c r="AM24" s="13"/>
      <c r="AN24" s="12">
        <f>IFERROR(__xludf.DUMMYFUNCTION("""COMPUTED_VALUE"""),4.5)</f>
        <v>4.5</v>
      </c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>
        <f>IFERROR(__xludf.DUMMYFUNCTION("""COMPUTED_VALUE"""),4.5)</f>
        <v>4.5</v>
      </c>
      <c r="BA24" s="13"/>
      <c r="BB24" s="12">
        <f>IFERROR(__xludf.DUMMYFUNCTION("""COMPUTED_VALUE"""),4.0)</f>
        <v>4</v>
      </c>
      <c r="BC24" s="13"/>
      <c r="BD24" s="12"/>
      <c r="BE24" s="13"/>
      <c r="BF24" s="12">
        <f>IFERROR(__xludf.DUMMYFUNCTION("""COMPUTED_VALUE"""),5.0)</f>
        <v>5</v>
      </c>
      <c r="BG24" s="13"/>
      <c r="BH24" s="12">
        <f>IFERROR(__xludf.DUMMYFUNCTION("""COMPUTED_VALUE"""),4.0)</f>
        <v>4</v>
      </c>
      <c r="BI24" s="13"/>
      <c r="BJ24" s="12">
        <f>IFERROR(__xludf.DUMMYFUNCTION("""COMPUTED_VALUE"""),5.5)</f>
        <v>5.5</v>
      </c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>
        <f>IFERROR(__xludf.DUMMYFUNCTION("""COMPUTED_VALUE"""),11.5)</f>
        <v>11.5</v>
      </c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>
        <f>IFERROR(__xludf.DUMMYFUNCTION("""COMPUTED_VALUE"""),11.5)</f>
        <v>11.5</v>
      </c>
      <c r="AM25" s="16"/>
      <c r="AN25" s="15">
        <f>IFERROR(__xludf.DUMMYFUNCTION("""COMPUTED_VALUE"""),3.0)</f>
        <v>3</v>
      </c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>
        <f>IFERROR(__xludf.DUMMYFUNCTION("""COMPUTED_VALUE"""),11.5)</f>
        <v>11.5</v>
      </c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>
        <f>IFERROR(__xludf.DUMMYFUNCTION("""COMPUTED_VALUE"""),1.5)</f>
        <v>1.5</v>
      </c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>
        <f>IFERROR(__xludf.DUMMYFUNCTION("""COMPUTED_VALUE"""),3.0)</f>
        <v>3</v>
      </c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>
        <f>IFERROR(__xludf.DUMMYFUNCTION("""COMPUTED_VALUE"""),11.5)</f>
        <v>11.5</v>
      </c>
      <c r="AM28" s="16">
        <f>IFERROR(__xludf.DUMMYFUNCTION("""COMPUTED_VALUE"""),1150.0)</f>
        <v>1150</v>
      </c>
      <c r="AN28" s="15"/>
      <c r="AO28" s="16"/>
      <c r="AP28" s="15">
        <f>IFERROR(__xludf.DUMMYFUNCTION("""COMPUTED_VALUE"""),11.5)</f>
        <v>11.5</v>
      </c>
      <c r="AQ28" s="16">
        <f>IFERROR(__xludf.DUMMYFUNCTION("""COMPUTED_VALUE"""),1150.0)</f>
        <v>1150</v>
      </c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>
        <f>IFERROR(__xludf.DUMMYFUNCTION("""COMPUTED_VALUE"""),6.0)</f>
        <v>6</v>
      </c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>
        <f>IFERROR(__xludf.DUMMYFUNCTION("""COMPUTED_VALUE"""),5.5)</f>
        <v>5.5</v>
      </c>
      <c r="W29" s="16">
        <f>IFERROR(__xludf.DUMMYFUNCTION("""COMPUTED_VALUE"""),660.0)</f>
        <v>660</v>
      </c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>
        <f>IFERROR(__xludf.DUMMYFUNCTION("""COMPUTED_VALUE"""),4.5)</f>
        <v>4.5</v>
      </c>
      <c r="AM29" s="16">
        <f>IFERROR(__xludf.DUMMYFUNCTION("""COMPUTED_VALUE"""),540.0)</f>
        <v>540</v>
      </c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>
        <f>IFERROR(__xludf.DUMMYFUNCTION("""COMPUTED_VALUE"""),11.5)</f>
        <v>11.5</v>
      </c>
      <c r="BE29" s="16"/>
      <c r="BF29" s="15">
        <f>IFERROR(__xludf.DUMMYFUNCTION("""COMPUTED_VALUE"""),12.0)</f>
        <v>12</v>
      </c>
      <c r="BG29" s="16"/>
      <c r="BH29" s="15">
        <f>IFERROR(__xludf.DUMMYFUNCTION("""COMPUTED_VALUE"""),13.0)</f>
        <v>13</v>
      </c>
      <c r="BI29" s="16"/>
      <c r="BJ29" s="15">
        <f>IFERROR(__xludf.DUMMYFUNCTION("""COMPUTED_VALUE"""),4.0)</f>
        <v>4</v>
      </c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>
        <f>IFERROR(__xludf.DUMMYFUNCTION("""COMPUTED_VALUE"""),4.0)</f>
        <v>4</v>
      </c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>
        <f>IFERROR(__xludf.DUMMYFUNCTION("""COMPUTED_VALUE"""),4.0)</f>
        <v>4</v>
      </c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>
        <f>IFERROR(__xludf.DUMMYFUNCTION("""COMPUTED_VALUE"""),11.5)</f>
        <v>11.5</v>
      </c>
      <c r="C37" s="16"/>
      <c r="D37" s="15">
        <f>IFERROR(__xludf.DUMMYFUNCTION("""COMPUTED_VALUE"""),3.0)</f>
        <v>3</v>
      </c>
      <c r="E37" s="16"/>
      <c r="F37" s="15">
        <f>IFERROR(__xludf.DUMMYFUNCTION("""COMPUTED_VALUE"""),2.5)</f>
        <v>2.5</v>
      </c>
      <c r="G37" s="16"/>
      <c r="H37" s="15"/>
      <c r="I37" s="16"/>
      <c r="J37" s="15">
        <f>IFERROR(__xludf.DUMMYFUNCTION("""COMPUTED_VALUE"""),6.0)</f>
        <v>6</v>
      </c>
      <c r="K37" s="16"/>
      <c r="L37" s="15">
        <f>IFERROR(__xludf.DUMMYFUNCTION("""COMPUTED_VALUE"""),11.0)</f>
        <v>11</v>
      </c>
      <c r="M37" s="16"/>
      <c r="N37" s="15">
        <f>IFERROR(__xludf.DUMMYFUNCTION("""COMPUTED_VALUE"""),12.0)</f>
        <v>12</v>
      </c>
      <c r="O37" s="16"/>
      <c r="P37" s="15">
        <f>IFERROR(__xludf.DUMMYFUNCTION("""COMPUTED_VALUE"""),6.0)</f>
        <v>6</v>
      </c>
      <c r="Q37" s="16"/>
      <c r="R37" s="15"/>
      <c r="S37" s="16"/>
      <c r="T37" s="15"/>
      <c r="U37" s="16"/>
      <c r="V37" s="15">
        <f>IFERROR(__xludf.DUMMYFUNCTION("""COMPUTED_VALUE"""),11.5)</f>
        <v>11.5</v>
      </c>
      <c r="W37" s="16"/>
      <c r="X37" s="15">
        <f>IFERROR(__xludf.DUMMYFUNCTION("""COMPUTED_VALUE"""),12.5)</f>
        <v>12.5</v>
      </c>
      <c r="Y37" s="16"/>
      <c r="Z37" s="15">
        <f>IFERROR(__xludf.DUMMYFUNCTION("""COMPUTED_VALUE"""),11.0)</f>
        <v>11</v>
      </c>
      <c r="AA37" s="16"/>
      <c r="AB37" s="15">
        <f>IFERROR(__xludf.DUMMYFUNCTION("""COMPUTED_VALUE"""),11.0)</f>
        <v>11</v>
      </c>
      <c r="AC37" s="16"/>
      <c r="AD37" s="15"/>
      <c r="AE37" s="16"/>
      <c r="AF37" s="15"/>
      <c r="AG37" s="16"/>
      <c r="AH37" s="15">
        <f>IFERROR(__xludf.DUMMYFUNCTION("""COMPUTED_VALUE"""),10.5)</f>
        <v>10.5</v>
      </c>
      <c r="AI37" s="16"/>
      <c r="AJ37" s="15">
        <f>IFERROR(__xludf.DUMMYFUNCTION("""COMPUTED_VALUE"""),12.0)</f>
        <v>12</v>
      </c>
      <c r="AK37" s="16"/>
      <c r="AL37" s="15"/>
      <c r="AM37" s="16"/>
      <c r="AN37" s="15"/>
      <c r="AO37" s="16"/>
      <c r="AP37" s="15">
        <f>IFERROR(__xludf.DUMMYFUNCTION("""COMPUTED_VALUE"""),6.0)</f>
        <v>6</v>
      </c>
      <c r="AQ37" s="16"/>
      <c r="AR37" s="15">
        <f>IFERROR(__xludf.DUMMYFUNCTION("""COMPUTED_VALUE"""),7.0)</f>
        <v>7</v>
      </c>
      <c r="AS37" s="16"/>
      <c r="AT37" s="15"/>
      <c r="AU37" s="16"/>
      <c r="AV37" s="15"/>
      <c r="AW37" s="16"/>
      <c r="AX37" s="15"/>
      <c r="AY37" s="16"/>
      <c r="AZ37" s="15">
        <f>IFERROR(__xludf.DUMMYFUNCTION("""COMPUTED_VALUE"""),12.5)</f>
        <v>12.5</v>
      </c>
      <c r="BA37" s="16"/>
      <c r="BB37" s="15">
        <f>IFERROR(__xludf.DUMMYFUNCTION("""COMPUTED_VALUE"""),7.0)</f>
        <v>7</v>
      </c>
      <c r="BC37" s="16"/>
      <c r="BD37" s="15">
        <f>IFERROR(__xludf.DUMMYFUNCTION("""COMPUTED_VALUE"""),4.0)</f>
        <v>4</v>
      </c>
      <c r="BE37" s="16"/>
      <c r="BF37" s="15">
        <f>IFERROR(__xludf.DUMMYFUNCTION("""COMPUTED_VALUE"""),7.0)</f>
        <v>7</v>
      </c>
      <c r="BG37" s="16"/>
      <c r="BH37" s="15"/>
      <c r="BI37" s="16"/>
      <c r="BJ37" s="15">
        <f>IFERROR(__xludf.DUMMYFUNCTION("""COMPUTED_VALUE"""),7.0)</f>
        <v>7</v>
      </c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>
        <f>IFERROR(__xludf.DUMMYFUNCTION("""COMPUTED_VALUE"""),4.0)</f>
        <v>4</v>
      </c>
      <c r="G50" s="16"/>
      <c r="H50" s="15"/>
      <c r="I50" s="16"/>
      <c r="J50" s="15"/>
      <c r="K50" s="16"/>
      <c r="L50" s="15"/>
      <c r="M50" s="16"/>
      <c r="N50" s="15"/>
      <c r="O50" s="16"/>
      <c r="P50" s="15">
        <f>IFERROR(__xludf.DUMMYFUNCTION("""COMPUTED_VALUE"""),4.5)</f>
        <v>4.5</v>
      </c>
      <c r="Q50" s="16"/>
      <c r="R50" s="15"/>
      <c r="S50" s="16"/>
      <c r="T50" s="15">
        <f>IFERROR(__xludf.DUMMYFUNCTION("""COMPUTED_VALUE"""),2.0)</f>
        <v>2</v>
      </c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>
        <f>IFERROR(__xludf.DUMMYFUNCTION("""COMPUTED_VALUE"""),6.0)</f>
        <v>6</v>
      </c>
      <c r="E51" s="13"/>
      <c r="F51" s="12"/>
      <c r="G51" s="13"/>
      <c r="H51" s="12">
        <f>IFERROR(__xludf.DUMMYFUNCTION("""COMPUTED_VALUE"""),10.0)</f>
        <v>10</v>
      </c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>
        <f>IFERROR(__xludf.DUMMYFUNCTION("""COMPUTED_VALUE"""),5.0)</f>
        <v>5</v>
      </c>
      <c r="G59" s="16">
        <f>IFERROR(__xludf.DUMMYFUNCTION("""COMPUTED_VALUE"""),500.0)</f>
        <v>500</v>
      </c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>
        <f>IFERROR(__xludf.DUMMYFUNCTION("""COMPUTED_VALUE"""),6.0)</f>
        <v>6</v>
      </c>
      <c r="AE59" s="16">
        <f>IFERROR(__xludf.DUMMYFUNCTION("""COMPUTED_VALUE"""),600.0)</f>
        <v>600</v>
      </c>
      <c r="AF59" s="15"/>
      <c r="AG59" s="16"/>
      <c r="AH59" s="15"/>
      <c r="AI59" s="16"/>
      <c r="AJ59" s="15">
        <f>IFERROR(__xludf.DUMMYFUNCTION("""COMPUTED_VALUE"""),4.5)</f>
        <v>4.5</v>
      </c>
      <c r="AK59" s="16">
        <f>IFERROR(__xludf.DUMMYFUNCTION("""COMPUTED_VALUE"""),450.0)</f>
        <v>450</v>
      </c>
      <c r="AL59" s="15">
        <f>IFERROR(__xludf.DUMMYFUNCTION("""COMPUTED_VALUE"""),4.0)</f>
        <v>4</v>
      </c>
      <c r="AM59" s="16">
        <f>IFERROR(__xludf.DUMMYFUNCTION("""COMPUTED_VALUE"""),400.0)</f>
        <v>400</v>
      </c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Koška-x")</f>
        <v>Ladislav Koška-x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>
        <f>IFERROR(__xludf.DUMMYFUNCTION("""COMPUTED_VALUE"""),4.0)</f>
        <v>4</v>
      </c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 t="str">
        <f>IFERROR(__xludf.DUMMYFUNCTION("""COMPUTED_VALUE"""),"Miroslav Kuchař")</f>
        <v>Miroslav Kuchař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>
        <f>IFERROR(__xludf.DUMMYFUNCTION("""COMPUTED_VALUE"""),6.0)</f>
        <v>6</v>
      </c>
      <c r="C72" s="13"/>
      <c r="D72" s="12"/>
      <c r="E72" s="13"/>
      <c r="F72" s="12">
        <f>IFERROR(__xludf.DUMMYFUNCTION("""COMPUTED_VALUE"""),6.0)</f>
        <v>6</v>
      </c>
      <c r="G72" s="13"/>
      <c r="H72" s="12">
        <f>IFERROR(__xludf.DUMMYFUNCTION("""COMPUTED_VALUE"""),3.0)</f>
        <v>3</v>
      </c>
      <c r="I72" s="13"/>
      <c r="J72" s="12"/>
      <c r="K72" s="13"/>
      <c r="L72" s="12"/>
      <c r="M72" s="13"/>
      <c r="N72" s="12"/>
      <c r="O72" s="13"/>
      <c r="P72" s="12">
        <f>IFERROR(__xludf.DUMMYFUNCTION("""COMPUTED_VALUE"""),7.5)</f>
        <v>7.5</v>
      </c>
      <c r="Q72" s="13"/>
      <c r="R72" s="12"/>
      <c r="S72" s="13"/>
      <c r="T72" s="12">
        <f>IFERROR(__xludf.DUMMYFUNCTION("""COMPUTED_VALUE"""),6.0)</f>
        <v>6</v>
      </c>
      <c r="U72" s="13"/>
      <c r="V72" s="12">
        <f>IFERROR(__xludf.DUMMYFUNCTION("""COMPUTED_VALUE"""),5.0)</f>
        <v>5</v>
      </c>
      <c r="W72" s="13"/>
      <c r="X72" s="12"/>
      <c r="Y72" s="13"/>
      <c r="Z72" s="12"/>
      <c r="AA72" s="13"/>
      <c r="AB72" s="12">
        <f>IFERROR(__xludf.DUMMYFUNCTION("""COMPUTED_VALUE"""),6.0)</f>
        <v>6</v>
      </c>
      <c r="AC72" s="13"/>
      <c r="AD72" s="12"/>
      <c r="AE72" s="13"/>
      <c r="AF72" s="12"/>
      <c r="AG72" s="13"/>
      <c r="AH72" s="12">
        <f>IFERROR(__xludf.DUMMYFUNCTION("""COMPUTED_VALUE"""),6.0)</f>
        <v>6</v>
      </c>
      <c r="AI72" s="13"/>
      <c r="AJ72" s="12">
        <f>IFERROR(__xludf.DUMMYFUNCTION("""COMPUTED_VALUE"""),9.5)</f>
        <v>9.5</v>
      </c>
      <c r="AK72" s="13"/>
      <c r="AL72" s="12"/>
      <c r="AM72" s="13"/>
      <c r="AN72" s="12"/>
      <c r="AO72" s="13"/>
      <c r="AP72" s="12">
        <f>IFERROR(__xludf.DUMMYFUNCTION("""COMPUTED_VALUE"""),6.0)</f>
        <v>6</v>
      </c>
      <c r="AQ72" s="13"/>
      <c r="AR72" s="12">
        <f>IFERROR(__xludf.DUMMYFUNCTION("""COMPUTED_VALUE"""),7.0)</f>
        <v>7</v>
      </c>
      <c r="AS72" s="13"/>
      <c r="AT72" s="12"/>
      <c r="AU72" s="13"/>
      <c r="AV72" s="12"/>
      <c r="AW72" s="13"/>
      <c r="AX72" s="12"/>
      <c r="AY72" s="13"/>
      <c r="AZ72" s="12">
        <f>IFERROR(__xludf.DUMMYFUNCTION("""COMPUTED_VALUE"""),7.5)</f>
        <v>7.5</v>
      </c>
      <c r="BA72" s="13"/>
      <c r="BB72" s="12">
        <f>IFERROR(__xludf.DUMMYFUNCTION("""COMPUTED_VALUE"""),3.0)</f>
        <v>3</v>
      </c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>
        <f>IFERROR(__xludf.DUMMYFUNCTION("""COMPUTED_VALUE"""),5.5)</f>
        <v>5.5</v>
      </c>
      <c r="C74" s="16">
        <f>IFERROR(__xludf.DUMMYFUNCTION("""COMPUTED_VALUE"""),550.0)</f>
        <v>550</v>
      </c>
      <c r="D74" s="15"/>
      <c r="E74" s="16"/>
      <c r="F74" s="15">
        <f>IFERROR(__xludf.DUMMYFUNCTION("""COMPUTED_VALUE"""),4.0)</f>
        <v>4</v>
      </c>
      <c r="G74" s="16">
        <f>IFERROR(__xludf.DUMMYFUNCTION("""COMPUTED_VALUE"""),400.0)</f>
        <v>400</v>
      </c>
      <c r="H74" s="15">
        <f>IFERROR(__xludf.DUMMYFUNCTION("""COMPUTED_VALUE"""),11.5)</f>
        <v>11.5</v>
      </c>
      <c r="I74" s="16">
        <f>IFERROR(__xludf.DUMMYFUNCTION("""COMPUTED_VALUE"""),1150.0)</f>
        <v>1150</v>
      </c>
      <c r="J74" s="15">
        <f>IFERROR(__xludf.DUMMYFUNCTION("""COMPUTED_VALUE"""),5.5)</f>
        <v>5.5</v>
      </c>
      <c r="K74" s="16">
        <f>IFERROR(__xludf.DUMMYFUNCTION("""COMPUTED_VALUE"""),550.0)</f>
        <v>550</v>
      </c>
      <c r="L74" s="15">
        <f>IFERROR(__xludf.DUMMYFUNCTION("""COMPUTED_VALUE"""),6.0)</f>
        <v>6</v>
      </c>
      <c r="M74" s="16">
        <f>IFERROR(__xludf.DUMMYFUNCTION("""COMPUTED_VALUE"""),600.0)</f>
        <v>600</v>
      </c>
      <c r="N74" s="15"/>
      <c r="O74" s="16"/>
      <c r="P74" s="15">
        <f>IFERROR(__xludf.DUMMYFUNCTION("""COMPUTED_VALUE"""),10.0)</f>
        <v>10</v>
      </c>
      <c r="Q74" s="16">
        <f>IFERROR(__xludf.DUMMYFUNCTION("""COMPUTED_VALUE"""),1000.0)</f>
        <v>1000</v>
      </c>
      <c r="R74" s="15">
        <f>IFERROR(__xludf.DUMMYFUNCTION("""COMPUTED_VALUE"""),10.5)</f>
        <v>10.5</v>
      </c>
      <c r="S74" s="16">
        <f>IFERROR(__xludf.DUMMYFUNCTION("""COMPUTED_VALUE"""),1050.0)</f>
        <v>1050</v>
      </c>
      <c r="T74" s="15">
        <f>IFERROR(__xludf.DUMMYFUNCTION("""COMPUTED_VALUE"""),8.5)</f>
        <v>8.5</v>
      </c>
      <c r="U74" s="16">
        <f>IFERROR(__xludf.DUMMYFUNCTION("""COMPUTED_VALUE"""),850.0)</f>
        <v>850</v>
      </c>
      <c r="V74" s="15"/>
      <c r="W74" s="16"/>
      <c r="X74" s="15">
        <f>IFERROR(__xludf.DUMMYFUNCTION("""COMPUTED_VALUE"""),10.5)</f>
        <v>10.5</v>
      </c>
      <c r="Y74" s="16">
        <f>IFERROR(__xludf.DUMMYFUNCTION("""COMPUTED_VALUE"""),1050.0)</f>
        <v>1050</v>
      </c>
      <c r="Z74" s="15">
        <f>IFERROR(__xludf.DUMMYFUNCTION("""COMPUTED_VALUE"""),10.0)</f>
        <v>10</v>
      </c>
      <c r="AA74" s="16">
        <f>IFERROR(__xludf.DUMMYFUNCTION("""COMPUTED_VALUE"""),1000.0)</f>
        <v>1000</v>
      </c>
      <c r="AB74" s="15"/>
      <c r="AC74" s="16"/>
      <c r="AD74" s="15">
        <f>IFERROR(__xludf.DUMMYFUNCTION("""COMPUTED_VALUE"""),6.0)</f>
        <v>6</v>
      </c>
      <c r="AE74" s="16">
        <f>IFERROR(__xludf.DUMMYFUNCTION("""COMPUTED_VALUE"""),600.0)</f>
        <v>600</v>
      </c>
      <c r="AF74" s="15">
        <f>IFERROR(__xludf.DUMMYFUNCTION("""COMPUTED_VALUE"""),7.0)</f>
        <v>7</v>
      </c>
      <c r="AG74" s="16">
        <f>IFERROR(__xludf.DUMMYFUNCTION("""COMPUTED_VALUE"""),700.0)</f>
        <v>700</v>
      </c>
      <c r="AH74" s="15">
        <f>IFERROR(__xludf.DUMMYFUNCTION("""COMPUTED_VALUE"""),3.0)</f>
        <v>3</v>
      </c>
      <c r="AI74" s="16"/>
      <c r="AJ74" s="15"/>
      <c r="AK74" s="16"/>
      <c r="AL74" s="15"/>
      <c r="AM74" s="16"/>
      <c r="AN74" s="15">
        <f>IFERROR(__xludf.DUMMYFUNCTION("""COMPUTED_VALUE"""),11.5)</f>
        <v>11.5</v>
      </c>
      <c r="AO74" s="16">
        <f>IFERROR(__xludf.DUMMYFUNCTION("""COMPUTED_VALUE"""),1150.0)</f>
        <v>1150</v>
      </c>
      <c r="AP74" s="15"/>
      <c r="AQ74" s="16"/>
      <c r="AR74" s="15">
        <f>IFERROR(__xludf.DUMMYFUNCTION("""COMPUTED_VALUE"""),4.0)</f>
        <v>4</v>
      </c>
      <c r="AS74" s="16">
        <f>IFERROR(__xludf.DUMMYFUNCTION("""COMPUTED_VALUE"""),400.0)</f>
        <v>400</v>
      </c>
      <c r="AT74" s="15"/>
      <c r="AU74" s="16"/>
      <c r="AV74" s="15"/>
      <c r="AW74" s="16"/>
      <c r="AX74" s="15"/>
      <c r="AY74" s="16"/>
      <c r="AZ74" s="15">
        <f>IFERROR(__xludf.DUMMYFUNCTION("""COMPUTED_VALUE"""),11.0)</f>
        <v>11</v>
      </c>
      <c r="BA74" s="16">
        <f>IFERROR(__xludf.DUMMYFUNCTION("""COMPUTED_VALUE"""),1100.0)</f>
        <v>1100</v>
      </c>
      <c r="BB74" s="15">
        <f>IFERROR(__xludf.DUMMYFUNCTION("""COMPUTED_VALUE"""),11.5)</f>
        <v>11.5</v>
      </c>
      <c r="BC74" s="16">
        <f>IFERROR(__xludf.DUMMYFUNCTION("""COMPUTED_VALUE"""),1150.0)</f>
        <v>1150</v>
      </c>
      <c r="BD74" s="15">
        <f>IFERROR(__xludf.DUMMYFUNCTION("""COMPUTED_VALUE"""),5.5)</f>
        <v>5.5</v>
      </c>
      <c r="BE74" s="16">
        <f>IFERROR(__xludf.DUMMYFUNCTION("""COMPUTED_VALUE"""),550.0)</f>
        <v>550</v>
      </c>
      <c r="BF74" s="15"/>
      <c r="BG74" s="16"/>
      <c r="BH74" s="15"/>
      <c r="BI74" s="16"/>
      <c r="BJ74" s="15">
        <f>IFERROR(__xludf.DUMMYFUNCTION("""COMPUTED_VALUE"""),3.0)</f>
        <v>3</v>
      </c>
      <c r="BK74" s="16">
        <f>IFERROR(__xludf.DUMMYFUNCTION("""COMPUTED_VALUE"""),300.0)</f>
        <v>300</v>
      </c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Hlavatý-x")</f>
        <v>Ladislav Hlavatý-x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>
        <f>IFERROR(__xludf.DUMMYFUNCTION("""COMPUTED_VALUE"""),4.0)</f>
        <v>4</v>
      </c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>
        <f>IFERROR(__xludf.DUMMYFUNCTION("""COMPUTED_VALUE"""),5.0)</f>
        <v>5</v>
      </c>
      <c r="BI84" s="13"/>
      <c r="BJ84" s="12">
        <f>IFERROR(__xludf.DUMMYFUNCTION("""COMPUTED_VALUE"""),6.5)</f>
        <v>6.5</v>
      </c>
      <c r="BK84" s="13"/>
      <c r="BL84" s="3"/>
    </row>
    <row r="85">
      <c r="A85" s="14" t="str">
        <f>IFERROR(__xludf.DUMMYFUNCTION("""COMPUTED_VALUE"""),"Lukáš Karhan")</f>
        <v>Lukáš Karhan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 t="str">
        <f>IFERROR(__xludf.DUMMYFUNCTION("""COMPUTED_VALUE"""),"Josef Heinisch-x")</f>
        <v>Josef Heinisch-x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Elčkner-x")</f>
        <v>Jakub Elčkner-x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 t="str">
        <f>IFERROR(__xludf.DUMMYFUNCTION("""COMPUTED_VALUE"""),"Adéla Janáčková-x")</f>
        <v>Adéla Janáčková-x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Sajdl-x")</f>
        <v>Martin Sajdl-x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Horký-x")</f>
        <v>Martin Horký-x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>
        <f>IFERROR(__xludf.DUMMYFUNCTION("""COMPUTED_VALUE"""),11.0)</f>
        <v>11</v>
      </c>
      <c r="E97" s="16">
        <f>IFERROR(__xludf.DUMMYFUNCTION("""COMPUTED_VALUE"""),1100.0)</f>
        <v>1100</v>
      </c>
      <c r="F97" s="15"/>
      <c r="G97" s="16"/>
      <c r="H97" s="15"/>
      <c r="I97" s="16"/>
      <c r="J97" s="15"/>
      <c r="K97" s="16"/>
      <c r="L97" s="15"/>
      <c r="M97" s="16"/>
      <c r="N97" s="15">
        <f>IFERROR(__xludf.DUMMYFUNCTION("""COMPUTED_VALUE"""),11.0)</f>
        <v>11</v>
      </c>
      <c r="O97" s="16">
        <f>IFERROR(__xludf.DUMMYFUNCTION("""COMPUTED_VALUE"""),1100.0)</f>
        <v>1100</v>
      </c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>
        <f>IFERROR(__xludf.DUMMYFUNCTION("""COMPUTED_VALUE"""),12.0)</f>
        <v>12</v>
      </c>
      <c r="AG97" s="16">
        <f>IFERROR(__xludf.DUMMYFUNCTION("""COMPUTED_VALUE"""),1200.0)</f>
        <v>1200</v>
      </c>
      <c r="AH97" s="15">
        <f>IFERROR(__xludf.DUMMYFUNCTION("""COMPUTED_VALUE"""),5.0)</f>
        <v>5</v>
      </c>
      <c r="AI97" s="16">
        <f>IFERROR(__xludf.DUMMYFUNCTION("""COMPUTED_VALUE"""),500.0)</f>
        <v>500</v>
      </c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>
        <f>IFERROR(__xludf.DUMMYFUNCTION("""COMPUTED_VALUE"""),6.0)</f>
        <v>6</v>
      </c>
      <c r="BC97" s="16">
        <f>IFERROR(__xludf.DUMMYFUNCTION("""COMPUTED_VALUE"""),600.0)</f>
        <v>600</v>
      </c>
      <c r="BD97" s="15"/>
      <c r="BE97" s="16"/>
      <c r="BF97" s="15"/>
      <c r="BG97" s="16"/>
      <c r="BH97" s="15">
        <f>IFERROR(__xludf.DUMMYFUNCTION("""COMPUTED_VALUE"""),6.0)</f>
        <v>6</v>
      </c>
      <c r="BI97" s="16">
        <f>IFERROR(__xludf.DUMMYFUNCTION("""COMPUTED_VALUE"""),600.0)</f>
        <v>600</v>
      </c>
      <c r="BJ97" s="15">
        <f>IFERROR(__xludf.DUMMYFUNCTION("""COMPUTED_VALUE"""),13.0)</f>
        <v>13</v>
      </c>
      <c r="BK97" s="16">
        <f>IFERROR(__xludf.DUMMYFUNCTION("""COMPUTED_VALUE"""),1300.0)</f>
        <v>1300</v>
      </c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Zámečník-x")</f>
        <v>Martin Zámečník-x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 t="str">
        <f>IFERROR(__xludf.DUMMYFUNCTION("""COMPUTED_VALUE"""),"Dominik Scharf-x")</f>
        <v>Dominik Scharf-x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>
        <f>IFERROR(__xludf.DUMMYFUNCTION("""COMPUTED_VALUE"""),3.0)</f>
        <v>3</v>
      </c>
      <c r="C104" s="16"/>
      <c r="D104" s="15"/>
      <c r="E104" s="16"/>
      <c r="F104" s="15"/>
      <c r="G104" s="16"/>
      <c r="H104" s="15"/>
      <c r="I104" s="16"/>
      <c r="J104" s="15">
        <f>IFERROR(__xludf.DUMMYFUNCTION("""COMPUTED_VALUE"""),7.5)</f>
        <v>7.5</v>
      </c>
      <c r="K104" s="16"/>
      <c r="L104" s="15">
        <f>IFERROR(__xludf.DUMMYFUNCTION("""COMPUTED_VALUE"""),6.5)</f>
        <v>6.5</v>
      </c>
      <c r="M104" s="16"/>
      <c r="N104" s="15">
        <f>IFERROR(__xludf.DUMMYFUNCTION("""COMPUTED_VALUE"""),3.5)</f>
        <v>3.5</v>
      </c>
      <c r="O104" s="16"/>
      <c r="P104" s="15"/>
      <c r="Q104" s="16"/>
      <c r="R104" s="15">
        <f>IFERROR(__xludf.DUMMYFUNCTION("""COMPUTED_VALUE"""),5.0)</f>
        <v>5</v>
      </c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>
        <f>IFERROR(__xludf.DUMMYFUNCTION("""COMPUTED_VALUE"""),10.0)</f>
        <v>10</v>
      </c>
      <c r="AQ104" s="16"/>
      <c r="AR104" s="15">
        <f>IFERROR(__xludf.DUMMYFUNCTION("""COMPUTED_VALUE"""),6.0)</f>
        <v>6</v>
      </c>
      <c r="AS104" s="16"/>
      <c r="AT104" s="15"/>
      <c r="AU104" s="16"/>
      <c r="AV104" s="15"/>
      <c r="AW104" s="16"/>
      <c r="AX104" s="15"/>
      <c r="AY104" s="16"/>
      <c r="AZ104" s="15">
        <f>IFERROR(__xludf.DUMMYFUNCTION("""COMPUTED_VALUE"""),11.0)</f>
        <v>11</v>
      </c>
      <c r="BA104" s="16"/>
      <c r="BB104" s="15">
        <f>IFERROR(__xludf.DUMMYFUNCTION("""COMPUTED_VALUE"""),5.0)</f>
        <v>5</v>
      </c>
      <c r="BC104" s="16"/>
      <c r="BD104" s="15"/>
      <c r="BE104" s="16"/>
      <c r="BF104" s="15">
        <f>IFERROR(__xludf.DUMMYFUNCTION("""COMPUTED_VALUE"""),5.5)</f>
        <v>5.5</v>
      </c>
      <c r="BG104" s="16"/>
      <c r="BH104" s="15">
        <f>IFERROR(__xludf.DUMMYFUNCTION("""COMPUTED_VALUE"""),10.5)</f>
        <v>10.5</v>
      </c>
      <c r="BI104" s="16"/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>
        <f>IFERROR(__xludf.DUMMYFUNCTION("""COMPUTED_VALUE"""),3.0)</f>
        <v>3</v>
      </c>
      <c r="G107" s="16">
        <f>IFERROR(__xludf.DUMMYFUNCTION("""COMPUTED_VALUE"""),300.0)</f>
        <v>300</v>
      </c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>
        <f>IFERROR(__xludf.DUMMYFUNCTION("""COMPUTED_VALUE"""),7.5)</f>
        <v>7.5</v>
      </c>
      <c r="W107" s="16"/>
      <c r="X107" s="15"/>
      <c r="Y107" s="16"/>
      <c r="Z107" s="15"/>
      <c r="AA107" s="16"/>
      <c r="AB107" s="15"/>
      <c r="AC107" s="16"/>
      <c r="AD107" s="15">
        <f>IFERROR(__xludf.DUMMYFUNCTION("""COMPUTED_VALUE"""),8.5)</f>
        <v>8.5</v>
      </c>
      <c r="AE107" s="16">
        <f>IFERROR(__xludf.DUMMYFUNCTION("""COMPUTED_VALUE"""),500.0)</f>
        <v>500</v>
      </c>
      <c r="AF107" s="15">
        <f>IFERROR(__xludf.DUMMYFUNCTION("""COMPUTED_VALUE"""),3.5)</f>
        <v>3.5</v>
      </c>
      <c r="AG107" s="16"/>
      <c r="AH107" s="15">
        <f>IFERROR(__xludf.DUMMYFUNCTION("""COMPUTED_VALUE"""),10.0)</f>
        <v>10</v>
      </c>
      <c r="AI107" s="16">
        <f>IFERROR(__xludf.DUMMYFUNCTION("""COMPUTED_VALUE"""),200.0)</f>
        <v>200</v>
      </c>
      <c r="AJ107" s="15">
        <f>IFERROR(__xludf.DUMMYFUNCTION("""COMPUTED_VALUE"""),12.0)</f>
        <v>12</v>
      </c>
      <c r="AK107" s="16"/>
      <c r="AL107" s="15"/>
      <c r="AM107" s="16"/>
      <c r="AN107" s="15"/>
      <c r="AO107" s="16"/>
      <c r="AP107" s="15"/>
      <c r="AQ107" s="16"/>
      <c r="AR107" s="15">
        <f>IFERROR(__xludf.DUMMYFUNCTION("""COMPUTED_VALUE"""),10.0)</f>
        <v>10</v>
      </c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>
        <f>IFERROR(__xludf.DUMMYFUNCTION("""COMPUTED_VALUE"""),5.5)</f>
        <v>5.5</v>
      </c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>
        <f>IFERROR(__xludf.DUMMYFUNCTION("""COMPUTED_VALUE"""),5.5)</f>
        <v>5.5</v>
      </c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Bursík-x")</f>
        <v>Lukáš Bursík-x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 t="str">
        <f>IFERROR(__xludf.DUMMYFUNCTION("""COMPUTED_VALUE"""),"Matěj Kopčil")</f>
        <v>Matěj Kopčil</v>
      </c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>
        <f>IFERROR(__xludf.DUMMYFUNCTION("""COMPUTED_VALUE"""),6.5)</f>
        <v>6.5</v>
      </c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 t="str">
        <f>IFERROR(__xludf.DUMMYFUNCTION("""COMPUTED_VALUE"""),"Nicholas Merunka-x")</f>
        <v>Nicholas Merunka-x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>
        <f>IFERROR(__xludf.DUMMYFUNCTION("""COMPUTED_VALUE"""),8.5)</f>
        <v>8.5</v>
      </c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 t="str">
        <f>IFERROR(__xludf.DUMMYFUNCTION("""COMPUTED_VALUE"""),"Dominik Predka")</f>
        <v>Dominik Predka</v>
      </c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>
        <f>IFERROR(__xludf.DUMMYFUNCTION("""COMPUTED_VALUE"""),4.0)</f>
        <v>4</v>
      </c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>
        <f>IFERROR(__xludf.DUMMYFUNCTION("""COMPUTED_VALUE"""),12.0)</f>
        <v>12</v>
      </c>
      <c r="BK112" s="16"/>
      <c r="BL112" s="3"/>
    </row>
    <row r="113">
      <c r="A113" s="14" t="str">
        <f>IFERROR(__xludf.DUMMYFUNCTION("""COMPUTED_VALUE"""),"Petr Květ")</f>
        <v>Petr Květ</v>
      </c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>
        <f>IFERROR(__xludf.DUMMYFUNCTION("""COMPUTED_VALUE"""),11.0)</f>
        <v>11</v>
      </c>
      <c r="AA113" s="16"/>
      <c r="AB113" s="15"/>
      <c r="AC113" s="16"/>
      <c r="AD113" s="15"/>
      <c r="AE113" s="16"/>
      <c r="AF113" s="15">
        <f>IFERROR(__xludf.DUMMYFUNCTION("""COMPUTED_VALUE"""),4.5)</f>
        <v>4.5</v>
      </c>
      <c r="AG113" s="16"/>
      <c r="AH113" s="15"/>
      <c r="AI113" s="16"/>
      <c r="AJ113" s="15">
        <f>IFERROR(__xludf.DUMMYFUNCTION("""COMPUTED_VALUE"""),5.5)</f>
        <v>5.5</v>
      </c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>
        <f>IFERROR(__xludf.DUMMYFUNCTION("""COMPUTED_VALUE"""),5.5)</f>
        <v>5.5</v>
      </c>
      <c r="BG113" s="16"/>
      <c r="BH113" s="15"/>
      <c r="BI113" s="16"/>
      <c r="BJ113" s="15"/>
      <c r="BK113" s="16"/>
      <c r="BL113" s="3"/>
    </row>
    <row r="114">
      <c r="A114" s="11" t="str">
        <f>IFERROR(__xludf.DUMMYFUNCTION("""COMPUTED_VALUE"""),"Rostislav Horváth")</f>
        <v>Rostislav Horváth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 t="str">
        <f>IFERROR(__xludf.DUMMYFUNCTION("""COMPUTED_VALUE"""),"Martina Szabóová")</f>
        <v>Martina Szabóová</v>
      </c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 t="str">
        <f>IFERROR(__xludf.DUMMYFUNCTION("""COMPUTED_VALUE"""),"Jakub Filipenský")</f>
        <v>Jakub Filipenský</v>
      </c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 t="str">
        <f>IFERROR(__xludf.DUMMYFUNCTION("""COMPUTED_VALUE"""),"Karel Krpal")</f>
        <v>Karel Krpal</v>
      </c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 t="str">
        <f>IFERROR(__xludf.DUMMYFUNCTION("""COMPUTED_VALUE"""),"Petr Muzikář")</f>
        <v>Petr Muzikář</v>
      </c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>
        <f>IFERROR(__xludf.DUMMYFUNCTION("""COMPUTED_VALUE"""),4.0)</f>
        <v>4</v>
      </c>
      <c r="BI118" s="16"/>
      <c r="BJ118" s="15"/>
      <c r="BK118" s="16"/>
      <c r="BL118" s="3"/>
    </row>
    <row r="119">
      <c r="A119" s="14" t="str">
        <f>IFERROR(__xludf.DUMMYFUNCTION("""COMPUTED_VALUE"""),"Zubko Ladislav")</f>
        <v>Zubko Ladislav</v>
      </c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 t="str">
        <f>IFERROR(__xludf.DUMMYFUNCTION("""COMPUTED_VALUE"""),"Dominik Cipra")</f>
        <v>Dominik Cipra</v>
      </c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 t="str">
        <f>IFERROR(__xludf.DUMMYFUNCTION("""COMPUTED_VALUE"""),"Václav Bárta")</f>
        <v>Václav Bárta</v>
      </c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IFERROR(__xludf.DUMMYFUNCTION("IMPORTRANGE(""https://docs.google.com/spreadsheets/d/1mC1xwZ9_mbrc-Du_YS3LuXIbz5iTevkePQQ470WnSgk"", ""Přehled mzdy!C3:BM30"")"),"Instore")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>
        <f>IFERROR(__xludf.DUMMYFUNCTION("""COMPUTED_VALUE"""),13.0)</f>
        <v>13</v>
      </c>
      <c r="C126" s="16"/>
      <c r="D126" s="15">
        <f>IFERROR(__xludf.DUMMYFUNCTION("""COMPUTED_VALUE"""),12.5)</f>
        <v>12.5</v>
      </c>
      <c r="E126" s="16"/>
      <c r="F126" s="15"/>
      <c r="G126" s="16"/>
      <c r="H126" s="15"/>
      <c r="I126" s="16"/>
      <c r="J126" s="15">
        <f>IFERROR(__xludf.DUMMYFUNCTION("""COMPUTED_VALUE"""),13.0)</f>
        <v>13</v>
      </c>
      <c r="K126" s="16"/>
      <c r="L126" s="15"/>
      <c r="M126" s="16"/>
      <c r="N126" s="15"/>
      <c r="O126" s="16"/>
      <c r="P126" s="15"/>
      <c r="Q126" s="16"/>
      <c r="R126" s="15"/>
      <c r="S126" s="16"/>
      <c r="T126" s="15">
        <f>IFERROR(__xludf.DUMMYFUNCTION("""COMPUTED_VALUE"""),6.0)</f>
        <v>6</v>
      </c>
      <c r="U126" s="16"/>
      <c r="V126" s="15">
        <f>IFERROR(__xludf.DUMMYFUNCTION("""COMPUTED_VALUE"""),13.0)</f>
        <v>13</v>
      </c>
      <c r="W126" s="16"/>
      <c r="X126" s="15">
        <f>IFERROR(__xludf.DUMMYFUNCTION("""COMPUTED_VALUE"""),13.0)</f>
        <v>13</v>
      </c>
      <c r="Y126" s="16"/>
      <c r="Z126" s="15"/>
      <c r="AA126" s="16"/>
      <c r="AB126" s="15"/>
      <c r="AC126" s="16"/>
      <c r="AD126" s="15"/>
      <c r="AE126" s="16"/>
      <c r="AF126" s="15">
        <f>IFERROR(__xludf.DUMMYFUNCTION("""COMPUTED_VALUE"""),13.0)</f>
        <v>13</v>
      </c>
      <c r="AG126" s="16"/>
      <c r="AH126" s="15"/>
      <c r="AI126" s="16"/>
      <c r="AJ126" s="15">
        <f>IFERROR(__xludf.DUMMYFUNCTION("""COMPUTED_VALUE"""),3.0)</f>
        <v>3</v>
      </c>
      <c r="AK126" s="16"/>
      <c r="AL126" s="15">
        <f>IFERROR(__xludf.DUMMYFUNCTION("""COMPUTED_VALUE"""),13.0)</f>
        <v>13</v>
      </c>
      <c r="AM126" s="16"/>
      <c r="AN126" s="15">
        <f>IFERROR(__xludf.DUMMYFUNCTION("""COMPUTED_VALUE"""),11.0)</f>
        <v>11</v>
      </c>
      <c r="AO126" s="16"/>
      <c r="AP126" s="15">
        <f>IFERROR(__xludf.DUMMYFUNCTION("""COMPUTED_VALUE"""),7.0)</f>
        <v>7</v>
      </c>
      <c r="AQ126" s="16"/>
      <c r="AR126" s="15">
        <f>IFERROR(__xludf.DUMMYFUNCTION("""COMPUTED_VALUE"""),7.0)</f>
        <v>7</v>
      </c>
      <c r="AS126" s="16"/>
      <c r="AT126" s="15">
        <f>IFERROR(__xludf.DUMMYFUNCTION("""COMPUTED_VALUE"""),5.0)</f>
        <v>5</v>
      </c>
      <c r="AU126" s="16"/>
      <c r="AV126" s="15"/>
      <c r="AW126" s="16"/>
      <c r="AX126" s="15">
        <f>IFERROR(__xludf.DUMMYFUNCTION("""COMPUTED_VALUE"""),6.0)</f>
        <v>6</v>
      </c>
      <c r="AY126" s="16"/>
      <c r="AZ126" s="15">
        <f>IFERROR(__xludf.DUMMYFUNCTION("""COMPUTED_VALUE"""),5.0)</f>
        <v>5</v>
      </c>
      <c r="BA126" s="16"/>
      <c r="BB126" s="15">
        <f>IFERROR(__xludf.DUMMYFUNCTION("""COMPUTED_VALUE"""),3.0)</f>
        <v>3</v>
      </c>
      <c r="BC126" s="16"/>
      <c r="BD126" s="15">
        <f>IFERROR(__xludf.DUMMYFUNCTION("""COMPUTED_VALUE"""),13.0)</f>
        <v>13</v>
      </c>
      <c r="BE126" s="16"/>
      <c r="BF126" s="15"/>
      <c r="BG126" s="16"/>
      <c r="BH126" s="15"/>
      <c r="BI126" s="16"/>
      <c r="BJ126" s="15">
        <f>IFERROR(__xludf.DUMMYFUNCTION("""COMPUTED_VALUE"""),13.0)</f>
        <v>13</v>
      </c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/>
      <c r="AK131" s="13"/>
      <c r="AL131" s="12"/>
      <c r="AM131" s="13"/>
      <c r="AN131" s="12"/>
      <c r="AO131" s="13"/>
      <c r="AP131" s="12"/>
      <c r="AQ131" s="13"/>
      <c r="AR131" s="12"/>
      <c r="AS131" s="13"/>
      <c r="AT131" s="12"/>
      <c r="AU131" s="13"/>
      <c r="AV131" s="12"/>
      <c r="AW131" s="13"/>
      <c r="AX131" s="12"/>
      <c r="AY131" s="13"/>
      <c r="AZ131" s="12"/>
      <c r="BA131" s="13"/>
      <c r="BB131" s="12"/>
      <c r="BC131" s="13"/>
      <c r="BD131" s="12"/>
      <c r="BE131" s="13"/>
      <c r="BF131" s="12"/>
      <c r="BG131" s="13"/>
      <c r="BH131" s="12"/>
      <c r="BI131" s="13"/>
      <c r="BJ131" s="12"/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>
        <f>IFERROR(__xludf.DUMMYFUNCTION("""COMPUTED_VALUE"""),13.0)</f>
        <v>13</v>
      </c>
      <c r="G135" s="16"/>
      <c r="H135" s="15">
        <f>IFERROR(__xludf.DUMMYFUNCTION("""COMPUTED_VALUE"""),13.0)</f>
        <v>13</v>
      </c>
      <c r="I135" s="16"/>
      <c r="J135" s="15"/>
      <c r="K135" s="16"/>
      <c r="L135" s="15">
        <f>IFERROR(__xludf.DUMMYFUNCTION("""COMPUTED_VALUE"""),11.5)</f>
        <v>11.5</v>
      </c>
      <c r="M135" s="16"/>
      <c r="N135" s="15">
        <f>IFERROR(__xludf.DUMMYFUNCTION("""COMPUTED_VALUE"""),13.0)</f>
        <v>13</v>
      </c>
      <c r="O135" s="16"/>
      <c r="P135" s="15"/>
      <c r="Q135" s="16"/>
      <c r="R135" s="15">
        <f>IFERROR(__xludf.DUMMYFUNCTION("""COMPUTED_VALUE"""),13.0)</f>
        <v>13</v>
      </c>
      <c r="S135" s="16"/>
      <c r="T135" s="15">
        <f>IFERROR(__xludf.DUMMYFUNCTION("""COMPUTED_VALUE"""),7.0)</f>
        <v>7</v>
      </c>
      <c r="U135" s="16"/>
      <c r="V135" s="15"/>
      <c r="W135" s="16"/>
      <c r="X135" s="15"/>
      <c r="Y135" s="16"/>
      <c r="Z135" s="15">
        <f>IFERROR(__xludf.DUMMYFUNCTION("""COMPUTED_VALUE"""),13.0)</f>
        <v>13</v>
      </c>
      <c r="AA135" s="16"/>
      <c r="AB135" s="15">
        <f>IFERROR(__xludf.DUMMYFUNCTION("""COMPUTED_VALUE"""),10.0)</f>
        <v>10</v>
      </c>
      <c r="AC135" s="16"/>
      <c r="AD135" s="15"/>
      <c r="AE135" s="16"/>
      <c r="AF135" s="15"/>
      <c r="AG135" s="16"/>
      <c r="AH135" s="15">
        <f>IFERROR(__xludf.DUMMYFUNCTION("""COMPUTED_VALUE"""),13.0)</f>
        <v>13</v>
      </c>
      <c r="AI135" s="16"/>
      <c r="AJ135" s="15">
        <f>IFERROR(__xludf.DUMMYFUNCTION("""COMPUTED_VALUE"""),13.0)</f>
        <v>13</v>
      </c>
      <c r="AK135" s="16"/>
      <c r="AL135" s="15"/>
      <c r="AM135" s="16"/>
      <c r="AN135" s="15">
        <f>IFERROR(__xludf.DUMMYFUNCTION("""COMPUTED_VALUE"""),10.0)</f>
        <v>10</v>
      </c>
      <c r="AO135" s="16"/>
      <c r="AP135" s="15">
        <f>IFERROR(__xludf.DUMMYFUNCTION("""COMPUTED_VALUE"""),13.0)</f>
        <v>13</v>
      </c>
      <c r="AQ135" s="16"/>
      <c r="AR135" s="15">
        <f>IFERROR(__xludf.DUMMYFUNCTION("""COMPUTED_VALUE"""),6.0)</f>
        <v>6</v>
      </c>
      <c r="AS135" s="16"/>
      <c r="AT135" s="15"/>
      <c r="AU135" s="16"/>
      <c r="AV135" s="15"/>
      <c r="AW135" s="16"/>
      <c r="AX135" s="15"/>
      <c r="AY135" s="16"/>
      <c r="AZ135" s="15">
        <f>IFERROR(__xludf.DUMMYFUNCTION("""COMPUTED_VALUE"""),13.0)</f>
        <v>13</v>
      </c>
      <c r="BA135" s="16"/>
      <c r="BB135" s="15">
        <f>IFERROR(__xludf.DUMMYFUNCTION("""COMPUTED_VALUE"""),13.0)</f>
        <v>13</v>
      </c>
      <c r="BC135" s="16"/>
      <c r="BD135" s="15"/>
      <c r="BE135" s="16"/>
      <c r="BF135" s="15">
        <f>IFERROR(__xludf.DUMMYFUNCTION("""COMPUTED_VALUE"""),13.0)</f>
        <v>13</v>
      </c>
      <c r="BG135" s="16"/>
      <c r="BH135" s="15">
        <f>IFERROR(__xludf.DUMMYFUNCTION("""COMPUTED_VALUE"""),12.5)</f>
        <v>12.5</v>
      </c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>
        <f>IFERROR(__xludf.DUMMYFUNCTION("""COMPUTED_VALUE"""),11.0)</f>
        <v>11</v>
      </c>
      <c r="I143" s="13"/>
      <c r="J143" s="12"/>
      <c r="K143" s="13"/>
      <c r="L143" s="12">
        <f>IFERROR(__xludf.DUMMYFUNCTION("""COMPUTED_VALUE"""),6.0)</f>
        <v>6</v>
      </c>
      <c r="M143" s="13"/>
      <c r="N143" s="12"/>
      <c r="O143" s="13"/>
      <c r="P143" s="12">
        <f>IFERROR(__xludf.DUMMYFUNCTION("""COMPUTED_VALUE"""),12.0)</f>
        <v>12</v>
      </c>
      <c r="Q143" s="13"/>
      <c r="R143" s="12"/>
      <c r="S143" s="13"/>
      <c r="T143" s="12"/>
      <c r="U143" s="13"/>
      <c r="V143" s="12"/>
      <c r="W143" s="13"/>
      <c r="X143" s="12">
        <f>IFERROR(__xludf.DUMMYFUNCTION("""COMPUTED_VALUE"""),6.0)</f>
        <v>6</v>
      </c>
      <c r="Y143" s="13"/>
      <c r="Z143" s="12"/>
      <c r="AA143" s="13"/>
      <c r="AB143" s="12"/>
      <c r="AC143" s="13"/>
      <c r="AD143" s="12">
        <f>IFERROR(__xludf.DUMMYFUNCTION("""COMPUTED_VALUE"""),12.0)</f>
        <v>12</v>
      </c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/>
      <c r="AS143" s="13"/>
      <c r="AT143" s="12"/>
      <c r="AU143" s="13"/>
      <c r="AV143" s="12"/>
      <c r="AW143" s="13"/>
      <c r="AX143" s="12"/>
      <c r="AY143" s="13"/>
      <c r="AZ143" s="12"/>
      <c r="BA143" s="13"/>
      <c r="BB143" s="12">
        <f>IFERROR(__xludf.DUMMYFUNCTION("""COMPUTED_VALUE"""),6.0)</f>
        <v>6</v>
      </c>
      <c r="BC143" s="13"/>
      <c r="BD143" s="12"/>
      <c r="BE143" s="13"/>
      <c r="BF143" s="12"/>
      <c r="BG143" s="13"/>
      <c r="BH143" s="12"/>
      <c r="BI143" s="13"/>
      <c r="BJ143" s="12">
        <f>IFERROR(__xludf.DUMMYFUNCTION("""COMPUTED_VALUE"""),5.5)</f>
        <v>5.5</v>
      </c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 t="str">
        <f>IFERROR(__xludf.DUMMYFUNCTION("""COMPUTED_VALUE"""),"Filip Rataj")</f>
        <v>Filip Rataj</v>
      </c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  <row r="1044">
      <c r="B1044" s="3"/>
      <c r="C1044" s="26"/>
      <c r="D1044" s="3"/>
      <c r="E1044" s="26"/>
      <c r="F1044" s="3"/>
      <c r="G1044" s="26"/>
      <c r="H1044" s="3"/>
      <c r="I1044" s="26"/>
      <c r="J1044" s="3"/>
      <c r="K1044" s="26"/>
      <c r="L1044" s="3"/>
      <c r="M1044" s="26"/>
      <c r="N1044" s="3"/>
      <c r="O1044" s="26"/>
      <c r="P1044" s="3"/>
      <c r="Q1044" s="26"/>
      <c r="R1044" s="3"/>
      <c r="S1044" s="26"/>
      <c r="T1044" s="3"/>
      <c r="U1044" s="26"/>
      <c r="V1044" s="3"/>
      <c r="W1044" s="26"/>
      <c r="X1044" s="3"/>
      <c r="Y1044" s="26"/>
      <c r="Z1044" s="3"/>
      <c r="AA1044" s="26"/>
      <c r="AB1044" s="3"/>
      <c r="AC1044" s="26"/>
      <c r="AD1044" s="3"/>
      <c r="AE1044" s="26"/>
      <c r="AF1044" s="3"/>
      <c r="AG1044" s="26"/>
      <c r="AH1044" s="3"/>
      <c r="AI1044" s="26"/>
      <c r="AJ1044" s="3"/>
      <c r="AK1044" s="26"/>
      <c r="AL1044" s="3"/>
      <c r="AM1044" s="26"/>
      <c r="AN1044" s="3"/>
      <c r="AO1044" s="26"/>
      <c r="AP1044" s="3"/>
      <c r="AQ1044" s="26"/>
      <c r="AR1044" s="3"/>
      <c r="AS1044" s="26"/>
      <c r="AT1044" s="3"/>
      <c r="AU1044" s="26"/>
      <c r="AV1044" s="3"/>
      <c r="AW1044" s="26"/>
      <c r="AX1044" s="3"/>
      <c r="AY1044" s="26"/>
      <c r="AZ1044" s="3"/>
      <c r="BA1044" s="26"/>
      <c r="BB1044" s="3"/>
      <c r="BC1044" s="26"/>
      <c r="BD1044" s="3"/>
      <c r="BE1044" s="26"/>
      <c r="BF1044" s="3"/>
      <c r="BG1044" s="26"/>
      <c r="BH1044" s="3"/>
      <c r="BI1044" s="26"/>
      <c r="BJ1044" s="3"/>
      <c r="BK1044" s="26"/>
      <c r="BL1044" s="3"/>
    </row>
    <row r="1045">
      <c r="B1045" s="3"/>
      <c r="C1045" s="26"/>
      <c r="D1045" s="3"/>
      <c r="E1045" s="26"/>
      <c r="F1045" s="3"/>
      <c r="G1045" s="26"/>
      <c r="H1045" s="3"/>
      <c r="I1045" s="26"/>
      <c r="J1045" s="3"/>
      <c r="K1045" s="26"/>
      <c r="L1045" s="3"/>
      <c r="M1045" s="26"/>
      <c r="N1045" s="3"/>
      <c r="O1045" s="26"/>
      <c r="P1045" s="3"/>
      <c r="Q1045" s="26"/>
      <c r="R1045" s="3"/>
      <c r="S1045" s="26"/>
      <c r="T1045" s="3"/>
      <c r="U1045" s="26"/>
      <c r="V1045" s="3"/>
      <c r="W1045" s="26"/>
      <c r="X1045" s="3"/>
      <c r="Y1045" s="26"/>
      <c r="Z1045" s="3"/>
      <c r="AA1045" s="26"/>
      <c r="AB1045" s="3"/>
      <c r="AC1045" s="26"/>
      <c r="AD1045" s="3"/>
      <c r="AE1045" s="26"/>
      <c r="AF1045" s="3"/>
      <c r="AG1045" s="26"/>
      <c r="AH1045" s="3"/>
      <c r="AI1045" s="26"/>
      <c r="AJ1045" s="3"/>
      <c r="AK1045" s="26"/>
      <c r="AL1045" s="3"/>
      <c r="AM1045" s="26"/>
      <c r="AN1045" s="3"/>
      <c r="AO1045" s="26"/>
      <c r="AP1045" s="3"/>
      <c r="AQ1045" s="26"/>
      <c r="AR1045" s="3"/>
      <c r="AS1045" s="26"/>
      <c r="AT1045" s="3"/>
      <c r="AU1045" s="26"/>
      <c r="AV1045" s="3"/>
      <c r="AW1045" s="26"/>
      <c r="AX1045" s="3"/>
      <c r="AY1045" s="26"/>
      <c r="AZ1045" s="3"/>
      <c r="BA1045" s="26"/>
      <c r="BB1045" s="3"/>
      <c r="BC1045" s="26"/>
      <c r="BD1045" s="3"/>
      <c r="BE1045" s="26"/>
      <c r="BF1045" s="3"/>
      <c r="BG1045" s="26"/>
      <c r="BH1045" s="3"/>
      <c r="BI1045" s="26"/>
      <c r="BJ1045" s="3"/>
      <c r="BK1045" s="26"/>
      <c r="BL1045" s="3"/>
    </row>
    <row r="1046">
      <c r="B1046" s="3"/>
      <c r="C1046" s="26"/>
      <c r="D1046" s="3"/>
      <c r="E1046" s="26"/>
      <c r="F1046" s="3"/>
      <c r="G1046" s="26"/>
      <c r="H1046" s="3"/>
      <c r="I1046" s="26"/>
      <c r="J1046" s="3"/>
      <c r="K1046" s="26"/>
      <c r="L1046" s="3"/>
      <c r="M1046" s="26"/>
      <c r="N1046" s="3"/>
      <c r="O1046" s="26"/>
      <c r="P1046" s="3"/>
      <c r="Q1046" s="26"/>
      <c r="R1046" s="3"/>
      <c r="S1046" s="26"/>
      <c r="T1046" s="3"/>
      <c r="U1046" s="26"/>
      <c r="V1046" s="3"/>
      <c r="W1046" s="26"/>
      <c r="X1046" s="3"/>
      <c r="Y1046" s="26"/>
      <c r="Z1046" s="3"/>
      <c r="AA1046" s="26"/>
      <c r="AB1046" s="3"/>
      <c r="AC1046" s="26"/>
      <c r="AD1046" s="3"/>
      <c r="AE1046" s="26"/>
      <c r="AF1046" s="3"/>
      <c r="AG1046" s="26"/>
      <c r="AH1046" s="3"/>
      <c r="AI1046" s="26"/>
      <c r="AJ1046" s="3"/>
      <c r="AK1046" s="26"/>
      <c r="AL1046" s="3"/>
      <c r="AM1046" s="26"/>
      <c r="AN1046" s="3"/>
      <c r="AO1046" s="26"/>
      <c r="AP1046" s="3"/>
      <c r="AQ1046" s="26"/>
      <c r="AR1046" s="3"/>
      <c r="AS1046" s="26"/>
      <c r="AT1046" s="3"/>
      <c r="AU1046" s="26"/>
      <c r="AV1046" s="3"/>
      <c r="AW1046" s="26"/>
      <c r="AX1046" s="3"/>
      <c r="AY1046" s="26"/>
      <c r="AZ1046" s="3"/>
      <c r="BA1046" s="26"/>
      <c r="BB1046" s="3"/>
      <c r="BC1046" s="26"/>
      <c r="BD1046" s="3"/>
      <c r="BE1046" s="26"/>
      <c r="BF1046" s="3"/>
      <c r="BG1046" s="26"/>
      <c r="BH1046" s="3"/>
      <c r="BI1046" s="26"/>
      <c r="BJ1046" s="3"/>
      <c r="BK1046" s="26"/>
      <c r="BL1046" s="3"/>
    </row>
    <row r="1047">
      <c r="B1047" s="3"/>
      <c r="C1047" s="26"/>
      <c r="D1047" s="3"/>
      <c r="E1047" s="26"/>
      <c r="F1047" s="3"/>
      <c r="G1047" s="26"/>
      <c r="H1047" s="3"/>
      <c r="I1047" s="26"/>
      <c r="J1047" s="3"/>
      <c r="K1047" s="26"/>
      <c r="L1047" s="3"/>
      <c r="M1047" s="26"/>
      <c r="N1047" s="3"/>
      <c r="O1047" s="26"/>
      <c r="P1047" s="3"/>
      <c r="Q1047" s="26"/>
      <c r="R1047" s="3"/>
      <c r="S1047" s="26"/>
      <c r="T1047" s="3"/>
      <c r="U1047" s="26"/>
      <c r="V1047" s="3"/>
      <c r="W1047" s="26"/>
      <c r="X1047" s="3"/>
      <c r="Y1047" s="26"/>
      <c r="Z1047" s="3"/>
      <c r="AA1047" s="26"/>
      <c r="AB1047" s="3"/>
      <c r="AC1047" s="26"/>
      <c r="AD1047" s="3"/>
      <c r="AE1047" s="26"/>
      <c r="AF1047" s="3"/>
      <c r="AG1047" s="26"/>
      <c r="AH1047" s="3"/>
      <c r="AI1047" s="26"/>
      <c r="AJ1047" s="3"/>
      <c r="AK1047" s="26"/>
      <c r="AL1047" s="3"/>
      <c r="AM1047" s="26"/>
      <c r="AN1047" s="3"/>
      <c r="AO1047" s="26"/>
      <c r="AP1047" s="3"/>
      <c r="AQ1047" s="26"/>
      <c r="AR1047" s="3"/>
      <c r="AS1047" s="26"/>
      <c r="AT1047" s="3"/>
      <c r="AU1047" s="26"/>
      <c r="AV1047" s="3"/>
      <c r="AW1047" s="26"/>
      <c r="AX1047" s="3"/>
      <c r="AY1047" s="26"/>
      <c r="AZ1047" s="3"/>
      <c r="BA1047" s="26"/>
      <c r="BB1047" s="3"/>
      <c r="BC1047" s="26"/>
      <c r="BD1047" s="3"/>
      <c r="BE1047" s="26"/>
      <c r="BF1047" s="3"/>
      <c r="BG1047" s="26"/>
      <c r="BH1047" s="3"/>
      <c r="BI1047" s="26"/>
      <c r="BJ1047" s="3"/>
      <c r="BK1047" s="26"/>
      <c r="BL1047" s="3"/>
    </row>
    <row r="1048">
      <c r="B1048" s="3"/>
      <c r="C1048" s="26"/>
      <c r="D1048" s="3"/>
      <c r="E1048" s="26"/>
      <c r="F1048" s="3"/>
      <c r="G1048" s="26"/>
      <c r="H1048" s="3"/>
      <c r="I1048" s="26"/>
      <c r="J1048" s="3"/>
      <c r="K1048" s="26"/>
      <c r="L1048" s="3"/>
      <c r="M1048" s="26"/>
      <c r="N1048" s="3"/>
      <c r="O1048" s="26"/>
      <c r="P1048" s="3"/>
      <c r="Q1048" s="26"/>
      <c r="R1048" s="3"/>
      <c r="S1048" s="26"/>
      <c r="T1048" s="3"/>
      <c r="U1048" s="26"/>
      <c r="V1048" s="3"/>
      <c r="W1048" s="26"/>
      <c r="X1048" s="3"/>
      <c r="Y1048" s="26"/>
      <c r="Z1048" s="3"/>
      <c r="AA1048" s="26"/>
      <c r="AB1048" s="3"/>
      <c r="AC1048" s="26"/>
      <c r="AD1048" s="3"/>
      <c r="AE1048" s="26"/>
      <c r="AF1048" s="3"/>
      <c r="AG1048" s="26"/>
      <c r="AH1048" s="3"/>
      <c r="AI1048" s="26"/>
      <c r="AJ1048" s="3"/>
      <c r="AK1048" s="26"/>
      <c r="AL1048" s="3"/>
      <c r="AM1048" s="26"/>
      <c r="AN1048" s="3"/>
      <c r="AO1048" s="26"/>
      <c r="AP1048" s="3"/>
      <c r="AQ1048" s="26"/>
      <c r="AR1048" s="3"/>
      <c r="AS1048" s="26"/>
      <c r="AT1048" s="3"/>
      <c r="AU1048" s="26"/>
      <c r="AV1048" s="3"/>
      <c r="AW1048" s="26"/>
      <c r="AX1048" s="3"/>
      <c r="AY1048" s="26"/>
      <c r="AZ1048" s="3"/>
      <c r="BA1048" s="26"/>
      <c r="BB1048" s="3"/>
      <c r="BC1048" s="26"/>
      <c r="BD1048" s="3"/>
      <c r="BE1048" s="26"/>
      <c r="BF1048" s="3"/>
      <c r="BG1048" s="26"/>
      <c r="BH1048" s="3"/>
      <c r="BI1048" s="26"/>
      <c r="BJ1048" s="3"/>
      <c r="BK1048" s="26"/>
      <c r="BL1048" s="3"/>
    </row>
    <row r="1049">
      <c r="B1049" s="3"/>
      <c r="C1049" s="26"/>
      <c r="D1049" s="3"/>
      <c r="E1049" s="26"/>
      <c r="F1049" s="3"/>
      <c r="G1049" s="26"/>
      <c r="H1049" s="3"/>
      <c r="I1049" s="26"/>
      <c r="J1049" s="3"/>
      <c r="K1049" s="26"/>
      <c r="L1049" s="3"/>
      <c r="M1049" s="26"/>
      <c r="N1049" s="3"/>
      <c r="O1049" s="26"/>
      <c r="P1049" s="3"/>
      <c r="Q1049" s="26"/>
      <c r="R1049" s="3"/>
      <c r="S1049" s="26"/>
      <c r="T1049" s="3"/>
      <c r="U1049" s="26"/>
      <c r="V1049" s="3"/>
      <c r="W1049" s="26"/>
      <c r="X1049" s="3"/>
      <c r="Y1049" s="26"/>
      <c r="Z1049" s="3"/>
      <c r="AA1049" s="26"/>
      <c r="AB1049" s="3"/>
      <c r="AC1049" s="26"/>
      <c r="AD1049" s="3"/>
      <c r="AE1049" s="26"/>
      <c r="AF1049" s="3"/>
      <c r="AG1049" s="26"/>
      <c r="AH1049" s="3"/>
      <c r="AI1049" s="26"/>
      <c r="AJ1049" s="3"/>
      <c r="AK1049" s="26"/>
      <c r="AL1049" s="3"/>
      <c r="AM1049" s="26"/>
      <c r="AN1049" s="3"/>
      <c r="AO1049" s="26"/>
      <c r="AP1049" s="3"/>
      <c r="AQ1049" s="26"/>
      <c r="AR1049" s="3"/>
      <c r="AS1049" s="26"/>
      <c r="AT1049" s="3"/>
      <c r="AU1049" s="26"/>
      <c r="AV1049" s="3"/>
      <c r="AW1049" s="26"/>
      <c r="AX1049" s="3"/>
      <c r="AY1049" s="26"/>
      <c r="AZ1049" s="3"/>
      <c r="BA1049" s="26"/>
      <c r="BB1049" s="3"/>
      <c r="BC1049" s="26"/>
      <c r="BD1049" s="3"/>
      <c r="BE1049" s="26"/>
      <c r="BF1049" s="3"/>
      <c r="BG1049" s="26"/>
      <c r="BH1049" s="3"/>
      <c r="BI1049" s="26"/>
      <c r="BJ1049" s="3"/>
      <c r="BK1049" s="26"/>
      <c r="BL1049" s="3"/>
    </row>
    <row r="1050">
      <c r="B1050" s="3"/>
      <c r="C1050" s="26"/>
      <c r="D1050" s="3"/>
      <c r="E1050" s="26"/>
      <c r="F1050" s="3"/>
      <c r="G1050" s="26"/>
      <c r="H1050" s="3"/>
      <c r="I1050" s="26"/>
      <c r="J1050" s="3"/>
      <c r="K1050" s="26"/>
      <c r="L1050" s="3"/>
      <c r="M1050" s="26"/>
      <c r="N1050" s="3"/>
      <c r="O1050" s="26"/>
      <c r="P1050" s="3"/>
      <c r="Q1050" s="26"/>
      <c r="R1050" s="3"/>
      <c r="S1050" s="26"/>
      <c r="T1050" s="3"/>
      <c r="U1050" s="26"/>
      <c r="V1050" s="3"/>
      <c r="W1050" s="26"/>
      <c r="X1050" s="3"/>
      <c r="Y1050" s="26"/>
      <c r="Z1050" s="3"/>
      <c r="AA1050" s="26"/>
      <c r="AB1050" s="3"/>
      <c r="AC1050" s="26"/>
      <c r="AD1050" s="3"/>
      <c r="AE1050" s="26"/>
      <c r="AF1050" s="3"/>
      <c r="AG1050" s="26"/>
      <c r="AH1050" s="3"/>
      <c r="AI1050" s="26"/>
      <c r="AJ1050" s="3"/>
      <c r="AK1050" s="26"/>
      <c r="AL1050" s="3"/>
      <c r="AM1050" s="26"/>
      <c r="AN1050" s="3"/>
      <c r="AO1050" s="26"/>
      <c r="AP1050" s="3"/>
      <c r="AQ1050" s="26"/>
      <c r="AR1050" s="3"/>
      <c r="AS1050" s="26"/>
      <c r="AT1050" s="3"/>
      <c r="AU1050" s="26"/>
      <c r="AV1050" s="3"/>
      <c r="AW1050" s="26"/>
      <c r="AX1050" s="3"/>
      <c r="AY1050" s="26"/>
      <c r="AZ1050" s="3"/>
      <c r="BA1050" s="26"/>
      <c r="BB1050" s="3"/>
      <c r="BC1050" s="26"/>
      <c r="BD1050" s="3"/>
      <c r="BE1050" s="26"/>
      <c r="BF1050" s="3"/>
      <c r="BG1050" s="26"/>
      <c r="BH1050" s="3"/>
      <c r="BI1050" s="26"/>
      <c r="BJ1050" s="3"/>
      <c r="BK1050" s="26"/>
      <c r="BL1050" s="3"/>
    </row>
    <row r="1051">
      <c r="B1051" s="3"/>
      <c r="C1051" s="26"/>
      <c r="D1051" s="3"/>
      <c r="E1051" s="26"/>
      <c r="F1051" s="3"/>
      <c r="G1051" s="26"/>
      <c r="H1051" s="3"/>
      <c r="I1051" s="26"/>
      <c r="J1051" s="3"/>
      <c r="K1051" s="26"/>
      <c r="L1051" s="3"/>
      <c r="M1051" s="26"/>
      <c r="N1051" s="3"/>
      <c r="O1051" s="26"/>
      <c r="P1051" s="3"/>
      <c r="Q1051" s="26"/>
      <c r="R1051" s="3"/>
      <c r="S1051" s="26"/>
      <c r="T1051" s="3"/>
      <c r="U1051" s="26"/>
      <c r="V1051" s="3"/>
      <c r="W1051" s="26"/>
      <c r="X1051" s="3"/>
      <c r="Y1051" s="26"/>
      <c r="Z1051" s="3"/>
      <c r="AA1051" s="26"/>
      <c r="AB1051" s="3"/>
      <c r="AC1051" s="26"/>
      <c r="AD1051" s="3"/>
      <c r="AE1051" s="26"/>
      <c r="AF1051" s="3"/>
      <c r="AG1051" s="26"/>
      <c r="AH1051" s="3"/>
      <c r="AI1051" s="26"/>
      <c r="AJ1051" s="3"/>
      <c r="AK1051" s="26"/>
      <c r="AL1051" s="3"/>
      <c r="AM1051" s="26"/>
      <c r="AN1051" s="3"/>
      <c r="AO1051" s="26"/>
      <c r="AP1051" s="3"/>
      <c r="AQ1051" s="26"/>
      <c r="AR1051" s="3"/>
      <c r="AS1051" s="26"/>
      <c r="AT1051" s="3"/>
      <c r="AU1051" s="26"/>
      <c r="AV1051" s="3"/>
      <c r="AW1051" s="26"/>
      <c r="AX1051" s="3"/>
      <c r="AY1051" s="26"/>
      <c r="AZ1051" s="3"/>
      <c r="BA1051" s="26"/>
      <c r="BB1051" s="3"/>
      <c r="BC1051" s="26"/>
      <c r="BD1051" s="3"/>
      <c r="BE1051" s="26"/>
      <c r="BF1051" s="3"/>
      <c r="BG1051" s="26"/>
      <c r="BH1051" s="3"/>
      <c r="BI1051" s="26"/>
      <c r="BJ1051" s="3"/>
      <c r="BK1051" s="26"/>
      <c r="BL1051" s="3"/>
    </row>
    <row r="1052">
      <c r="B1052" s="3"/>
      <c r="C1052" s="26"/>
      <c r="D1052" s="3"/>
      <c r="E1052" s="26"/>
      <c r="F1052" s="3"/>
      <c r="G1052" s="26"/>
      <c r="H1052" s="3"/>
      <c r="I1052" s="26"/>
      <c r="J1052" s="3"/>
      <c r="K1052" s="26"/>
      <c r="L1052" s="3"/>
      <c r="M1052" s="26"/>
      <c r="N1052" s="3"/>
      <c r="O1052" s="26"/>
      <c r="P1052" s="3"/>
      <c r="Q1052" s="26"/>
      <c r="R1052" s="3"/>
      <c r="S1052" s="26"/>
      <c r="T1052" s="3"/>
      <c r="U1052" s="26"/>
      <c r="V1052" s="3"/>
      <c r="W1052" s="26"/>
      <c r="X1052" s="3"/>
      <c r="Y1052" s="26"/>
      <c r="Z1052" s="3"/>
      <c r="AA1052" s="26"/>
      <c r="AB1052" s="3"/>
      <c r="AC1052" s="26"/>
      <c r="AD1052" s="3"/>
      <c r="AE1052" s="26"/>
      <c r="AF1052" s="3"/>
      <c r="AG1052" s="26"/>
      <c r="AH1052" s="3"/>
      <c r="AI1052" s="26"/>
      <c r="AJ1052" s="3"/>
      <c r="AK1052" s="26"/>
      <c r="AL1052" s="3"/>
      <c r="AM1052" s="26"/>
      <c r="AN1052" s="3"/>
      <c r="AO1052" s="26"/>
      <c r="AP1052" s="3"/>
      <c r="AQ1052" s="26"/>
      <c r="AR1052" s="3"/>
      <c r="AS1052" s="26"/>
      <c r="AT1052" s="3"/>
      <c r="AU1052" s="26"/>
      <c r="AV1052" s="3"/>
      <c r="AW1052" s="26"/>
      <c r="AX1052" s="3"/>
      <c r="AY1052" s="26"/>
      <c r="AZ1052" s="3"/>
      <c r="BA1052" s="26"/>
      <c r="BB1052" s="3"/>
      <c r="BC1052" s="26"/>
      <c r="BD1052" s="3"/>
      <c r="BE1052" s="26"/>
      <c r="BF1052" s="3"/>
      <c r="BG1052" s="26"/>
      <c r="BH1052" s="3"/>
      <c r="BI1052" s="26"/>
      <c r="BJ1052" s="3"/>
      <c r="BK1052" s="26"/>
      <c r="BL1052" s="3"/>
    </row>
    <row r="1053">
      <c r="B1053" s="3"/>
      <c r="C1053" s="26"/>
      <c r="D1053" s="3"/>
      <c r="E1053" s="26"/>
      <c r="F1053" s="3"/>
      <c r="G1053" s="26"/>
      <c r="H1053" s="3"/>
      <c r="I1053" s="26"/>
      <c r="J1053" s="3"/>
      <c r="K1053" s="26"/>
      <c r="L1053" s="3"/>
      <c r="M1053" s="26"/>
      <c r="N1053" s="3"/>
      <c r="O1053" s="26"/>
      <c r="P1053" s="3"/>
      <c r="Q1053" s="26"/>
      <c r="R1053" s="3"/>
      <c r="S1053" s="26"/>
      <c r="T1053" s="3"/>
      <c r="U1053" s="26"/>
      <c r="V1053" s="3"/>
      <c r="W1053" s="26"/>
      <c r="X1053" s="3"/>
      <c r="Y1053" s="26"/>
      <c r="Z1053" s="3"/>
      <c r="AA1053" s="26"/>
      <c r="AB1053" s="3"/>
      <c r="AC1053" s="26"/>
      <c r="AD1053" s="3"/>
      <c r="AE1053" s="26"/>
      <c r="AF1053" s="3"/>
      <c r="AG1053" s="26"/>
      <c r="AH1053" s="3"/>
      <c r="AI1053" s="26"/>
      <c r="AJ1053" s="3"/>
      <c r="AK1053" s="26"/>
      <c r="AL1053" s="3"/>
      <c r="AM1053" s="26"/>
      <c r="AN1053" s="3"/>
      <c r="AO1053" s="26"/>
      <c r="AP1053" s="3"/>
      <c r="AQ1053" s="26"/>
      <c r="AR1053" s="3"/>
      <c r="AS1053" s="26"/>
      <c r="AT1053" s="3"/>
      <c r="AU1053" s="26"/>
      <c r="AV1053" s="3"/>
      <c r="AW1053" s="26"/>
      <c r="AX1053" s="3"/>
      <c r="AY1053" s="26"/>
      <c r="AZ1053" s="3"/>
      <c r="BA1053" s="26"/>
      <c r="BB1053" s="3"/>
      <c r="BC1053" s="26"/>
      <c r="BD1053" s="3"/>
      <c r="BE1053" s="26"/>
      <c r="BF1053" s="3"/>
      <c r="BG1053" s="26"/>
      <c r="BH1053" s="3"/>
      <c r="BI1053" s="26"/>
      <c r="BJ1053" s="3"/>
      <c r="BK1053" s="26"/>
      <c r="BL1053" s="3"/>
    </row>
    <row r="1054">
      <c r="B1054" s="3"/>
      <c r="C1054" s="26"/>
      <c r="D1054" s="3"/>
      <c r="E1054" s="26"/>
      <c r="F1054" s="3"/>
      <c r="G1054" s="26"/>
      <c r="H1054" s="3"/>
      <c r="I1054" s="26"/>
      <c r="J1054" s="3"/>
      <c r="K1054" s="26"/>
      <c r="L1054" s="3"/>
      <c r="M1054" s="26"/>
      <c r="N1054" s="3"/>
      <c r="O1054" s="26"/>
      <c r="P1054" s="3"/>
      <c r="Q1054" s="26"/>
      <c r="R1054" s="3"/>
      <c r="S1054" s="26"/>
      <c r="T1054" s="3"/>
      <c r="U1054" s="26"/>
      <c r="V1054" s="3"/>
      <c r="W1054" s="26"/>
      <c r="X1054" s="3"/>
      <c r="Y1054" s="26"/>
      <c r="Z1054" s="3"/>
      <c r="AA1054" s="26"/>
      <c r="AB1054" s="3"/>
      <c r="AC1054" s="26"/>
      <c r="AD1054" s="3"/>
      <c r="AE1054" s="26"/>
      <c r="AF1054" s="3"/>
      <c r="AG1054" s="26"/>
      <c r="AH1054" s="3"/>
      <c r="AI1054" s="26"/>
      <c r="AJ1054" s="3"/>
      <c r="AK1054" s="26"/>
      <c r="AL1054" s="3"/>
      <c r="AM1054" s="26"/>
      <c r="AN1054" s="3"/>
      <c r="AO1054" s="26"/>
      <c r="AP1054" s="3"/>
      <c r="AQ1054" s="26"/>
      <c r="AR1054" s="3"/>
      <c r="AS1054" s="26"/>
      <c r="AT1054" s="3"/>
      <c r="AU1054" s="26"/>
      <c r="AV1054" s="3"/>
      <c r="AW1054" s="26"/>
      <c r="AX1054" s="3"/>
      <c r="AY1054" s="26"/>
      <c r="AZ1054" s="3"/>
      <c r="BA1054" s="26"/>
      <c r="BB1054" s="3"/>
      <c r="BC1054" s="26"/>
      <c r="BD1054" s="3"/>
      <c r="BE1054" s="26"/>
      <c r="BF1054" s="3"/>
      <c r="BG1054" s="26"/>
      <c r="BH1054" s="3"/>
      <c r="BI1054" s="26"/>
      <c r="BJ1054" s="3"/>
      <c r="BK1054" s="26"/>
      <c r="BL1054" s="3"/>
    </row>
    <row r="1055">
      <c r="B1055" s="3"/>
      <c r="C1055" s="26"/>
      <c r="D1055" s="3"/>
      <c r="E1055" s="26"/>
      <c r="F1055" s="3"/>
      <c r="G1055" s="26"/>
      <c r="H1055" s="3"/>
      <c r="I1055" s="26"/>
      <c r="J1055" s="3"/>
      <c r="K1055" s="26"/>
      <c r="L1055" s="3"/>
      <c r="M1055" s="26"/>
      <c r="N1055" s="3"/>
      <c r="O1055" s="26"/>
      <c r="P1055" s="3"/>
      <c r="Q1055" s="26"/>
      <c r="R1055" s="3"/>
      <c r="S1055" s="26"/>
      <c r="T1055" s="3"/>
      <c r="U1055" s="26"/>
      <c r="V1055" s="3"/>
      <c r="W1055" s="26"/>
      <c r="X1055" s="3"/>
      <c r="Y1055" s="26"/>
      <c r="Z1055" s="3"/>
      <c r="AA1055" s="26"/>
      <c r="AB1055" s="3"/>
      <c r="AC1055" s="26"/>
      <c r="AD1055" s="3"/>
      <c r="AE1055" s="26"/>
      <c r="AF1055" s="3"/>
      <c r="AG1055" s="26"/>
      <c r="AH1055" s="3"/>
      <c r="AI1055" s="26"/>
      <c r="AJ1055" s="3"/>
      <c r="AK1055" s="26"/>
      <c r="AL1055" s="3"/>
      <c r="AM1055" s="26"/>
      <c r="AN1055" s="3"/>
      <c r="AO1055" s="26"/>
      <c r="AP1055" s="3"/>
      <c r="AQ1055" s="26"/>
      <c r="AR1055" s="3"/>
      <c r="AS1055" s="26"/>
      <c r="AT1055" s="3"/>
      <c r="AU1055" s="26"/>
      <c r="AV1055" s="3"/>
      <c r="AW1055" s="26"/>
      <c r="AX1055" s="3"/>
      <c r="AY1055" s="26"/>
      <c r="AZ1055" s="3"/>
      <c r="BA1055" s="26"/>
      <c r="BB1055" s="3"/>
      <c r="BC1055" s="26"/>
      <c r="BD1055" s="3"/>
      <c r="BE1055" s="26"/>
      <c r="BF1055" s="3"/>
      <c r="BG1055" s="26"/>
      <c r="BH1055" s="3"/>
      <c r="BI1055" s="26"/>
      <c r="BJ1055" s="3"/>
      <c r="BK1055" s="26"/>
      <c r="BL1055" s="3"/>
    </row>
    <row r="1056">
      <c r="B1056" s="3"/>
      <c r="C1056" s="26"/>
      <c r="D1056" s="3"/>
      <c r="E1056" s="26"/>
      <c r="F1056" s="3"/>
      <c r="G1056" s="26"/>
      <c r="H1056" s="3"/>
      <c r="I1056" s="26"/>
      <c r="J1056" s="3"/>
      <c r="K1056" s="26"/>
      <c r="L1056" s="3"/>
      <c r="M1056" s="26"/>
      <c r="N1056" s="3"/>
      <c r="O1056" s="26"/>
      <c r="P1056" s="3"/>
      <c r="Q1056" s="26"/>
      <c r="R1056" s="3"/>
      <c r="S1056" s="26"/>
      <c r="T1056" s="3"/>
      <c r="U1056" s="26"/>
      <c r="V1056" s="3"/>
      <c r="W1056" s="26"/>
      <c r="X1056" s="3"/>
      <c r="Y1056" s="26"/>
      <c r="Z1056" s="3"/>
      <c r="AA1056" s="26"/>
      <c r="AB1056" s="3"/>
      <c r="AC1056" s="26"/>
      <c r="AD1056" s="3"/>
      <c r="AE1056" s="26"/>
      <c r="AF1056" s="3"/>
      <c r="AG1056" s="26"/>
      <c r="AH1056" s="3"/>
      <c r="AI1056" s="26"/>
      <c r="AJ1056" s="3"/>
      <c r="AK1056" s="26"/>
      <c r="AL1056" s="3"/>
      <c r="AM1056" s="26"/>
      <c r="AN1056" s="3"/>
      <c r="AO1056" s="26"/>
      <c r="AP1056" s="3"/>
      <c r="AQ1056" s="26"/>
      <c r="AR1056" s="3"/>
      <c r="AS1056" s="26"/>
      <c r="AT1056" s="3"/>
      <c r="AU1056" s="26"/>
      <c r="AV1056" s="3"/>
      <c r="AW1056" s="26"/>
      <c r="AX1056" s="3"/>
      <c r="AY1056" s="26"/>
      <c r="AZ1056" s="3"/>
      <c r="BA1056" s="26"/>
      <c r="BB1056" s="3"/>
      <c r="BC1056" s="26"/>
      <c r="BD1056" s="3"/>
      <c r="BE1056" s="26"/>
      <c r="BF1056" s="3"/>
      <c r="BG1056" s="26"/>
      <c r="BH1056" s="3"/>
      <c r="BI1056" s="26"/>
      <c r="BJ1056" s="3"/>
      <c r="BK1056" s="26"/>
      <c r="BL1056" s="3"/>
    </row>
    <row r="1057">
      <c r="B1057" s="3"/>
      <c r="C1057" s="26"/>
      <c r="D1057" s="3"/>
      <c r="E1057" s="26"/>
      <c r="F1057" s="3"/>
      <c r="G1057" s="26"/>
      <c r="H1057" s="3"/>
      <c r="I1057" s="26"/>
      <c r="J1057" s="3"/>
      <c r="K1057" s="26"/>
      <c r="L1057" s="3"/>
      <c r="M1057" s="26"/>
      <c r="N1057" s="3"/>
      <c r="O1057" s="26"/>
      <c r="P1057" s="3"/>
      <c r="Q1057" s="26"/>
      <c r="R1057" s="3"/>
      <c r="S1057" s="26"/>
      <c r="T1057" s="3"/>
      <c r="U1057" s="26"/>
      <c r="V1057" s="3"/>
      <c r="W1057" s="26"/>
      <c r="X1057" s="3"/>
      <c r="Y1057" s="26"/>
      <c r="Z1057" s="3"/>
      <c r="AA1057" s="26"/>
      <c r="AB1057" s="3"/>
      <c r="AC1057" s="26"/>
      <c r="AD1057" s="3"/>
      <c r="AE1057" s="26"/>
      <c r="AF1057" s="3"/>
      <c r="AG1057" s="26"/>
      <c r="AH1057" s="3"/>
      <c r="AI1057" s="26"/>
      <c r="AJ1057" s="3"/>
      <c r="AK1057" s="26"/>
      <c r="AL1057" s="3"/>
      <c r="AM1057" s="26"/>
      <c r="AN1057" s="3"/>
      <c r="AO1057" s="26"/>
      <c r="AP1057" s="3"/>
      <c r="AQ1057" s="26"/>
      <c r="AR1057" s="3"/>
      <c r="AS1057" s="26"/>
      <c r="AT1057" s="3"/>
      <c r="AU1057" s="26"/>
      <c r="AV1057" s="3"/>
      <c r="AW1057" s="26"/>
      <c r="AX1057" s="3"/>
      <c r="AY1057" s="26"/>
      <c r="AZ1057" s="3"/>
      <c r="BA1057" s="26"/>
      <c r="BB1057" s="3"/>
      <c r="BC1057" s="26"/>
      <c r="BD1057" s="3"/>
      <c r="BE1057" s="26"/>
      <c r="BF1057" s="3"/>
      <c r="BG1057" s="26"/>
      <c r="BH1057" s="3"/>
      <c r="BI1057" s="26"/>
      <c r="BJ1057" s="3"/>
      <c r="BK1057" s="26"/>
      <c r="BL1057" s="3"/>
    </row>
    <row r="1058">
      <c r="B1058" s="3"/>
      <c r="C1058" s="26"/>
      <c r="D1058" s="3"/>
      <c r="E1058" s="26"/>
      <c r="F1058" s="3"/>
      <c r="G1058" s="26"/>
      <c r="H1058" s="3"/>
      <c r="I1058" s="26"/>
      <c r="J1058" s="3"/>
      <c r="K1058" s="26"/>
      <c r="L1058" s="3"/>
      <c r="M1058" s="26"/>
      <c r="N1058" s="3"/>
      <c r="O1058" s="26"/>
      <c r="P1058" s="3"/>
      <c r="Q1058" s="26"/>
      <c r="R1058" s="3"/>
      <c r="S1058" s="26"/>
      <c r="T1058" s="3"/>
      <c r="U1058" s="26"/>
      <c r="V1058" s="3"/>
      <c r="W1058" s="26"/>
      <c r="X1058" s="3"/>
      <c r="Y1058" s="26"/>
      <c r="Z1058" s="3"/>
      <c r="AA1058" s="26"/>
      <c r="AB1058" s="3"/>
      <c r="AC1058" s="26"/>
      <c r="AD1058" s="3"/>
      <c r="AE1058" s="26"/>
      <c r="AF1058" s="3"/>
      <c r="AG1058" s="26"/>
      <c r="AH1058" s="3"/>
      <c r="AI1058" s="26"/>
      <c r="AJ1058" s="3"/>
      <c r="AK1058" s="26"/>
      <c r="AL1058" s="3"/>
      <c r="AM1058" s="26"/>
      <c r="AN1058" s="3"/>
      <c r="AO1058" s="26"/>
      <c r="AP1058" s="3"/>
      <c r="AQ1058" s="26"/>
      <c r="AR1058" s="3"/>
      <c r="AS1058" s="26"/>
      <c r="AT1058" s="3"/>
      <c r="AU1058" s="26"/>
      <c r="AV1058" s="3"/>
      <c r="AW1058" s="26"/>
      <c r="AX1058" s="3"/>
      <c r="AY1058" s="26"/>
      <c r="AZ1058" s="3"/>
      <c r="BA1058" s="26"/>
      <c r="BB1058" s="3"/>
      <c r="BC1058" s="26"/>
      <c r="BD1058" s="3"/>
      <c r="BE1058" s="26"/>
      <c r="BF1058" s="3"/>
      <c r="BG1058" s="26"/>
      <c r="BH1058" s="3"/>
      <c r="BI1058" s="26"/>
      <c r="BJ1058" s="3"/>
      <c r="BK1058" s="26"/>
      <c r="BL1058" s="3"/>
    </row>
    <row r="1059">
      <c r="B1059" s="3"/>
      <c r="C1059" s="26"/>
      <c r="D1059" s="3"/>
      <c r="E1059" s="26"/>
      <c r="F1059" s="3"/>
      <c r="G1059" s="26"/>
      <c r="H1059" s="3"/>
      <c r="I1059" s="26"/>
      <c r="J1059" s="3"/>
      <c r="K1059" s="26"/>
      <c r="L1059" s="3"/>
      <c r="M1059" s="26"/>
      <c r="N1059" s="3"/>
      <c r="O1059" s="26"/>
      <c r="P1059" s="3"/>
      <c r="Q1059" s="26"/>
      <c r="R1059" s="3"/>
      <c r="S1059" s="26"/>
      <c r="T1059" s="3"/>
      <c r="U1059" s="26"/>
      <c r="V1059" s="3"/>
      <c r="W1059" s="26"/>
      <c r="X1059" s="3"/>
      <c r="Y1059" s="26"/>
      <c r="Z1059" s="3"/>
      <c r="AA1059" s="26"/>
      <c r="AB1059" s="3"/>
      <c r="AC1059" s="26"/>
      <c r="AD1059" s="3"/>
      <c r="AE1059" s="26"/>
      <c r="AF1059" s="3"/>
      <c r="AG1059" s="26"/>
      <c r="AH1059" s="3"/>
      <c r="AI1059" s="26"/>
      <c r="AJ1059" s="3"/>
      <c r="AK1059" s="26"/>
      <c r="AL1059" s="3"/>
      <c r="AM1059" s="26"/>
      <c r="AN1059" s="3"/>
      <c r="AO1059" s="26"/>
      <c r="AP1059" s="3"/>
      <c r="AQ1059" s="26"/>
      <c r="AR1059" s="3"/>
      <c r="AS1059" s="26"/>
      <c r="AT1059" s="3"/>
      <c r="AU1059" s="26"/>
      <c r="AV1059" s="3"/>
      <c r="AW1059" s="26"/>
      <c r="AX1059" s="3"/>
      <c r="AY1059" s="26"/>
      <c r="AZ1059" s="3"/>
      <c r="BA1059" s="26"/>
      <c r="BB1059" s="3"/>
      <c r="BC1059" s="26"/>
      <c r="BD1059" s="3"/>
      <c r="BE1059" s="26"/>
      <c r="BF1059" s="3"/>
      <c r="BG1059" s="26"/>
      <c r="BH1059" s="3"/>
      <c r="BI1059" s="26"/>
      <c r="BJ1059" s="3"/>
      <c r="BK1059" s="26"/>
      <c r="BL1059" s="3"/>
    </row>
    <row r="1060">
      <c r="B1060" s="3"/>
      <c r="C1060" s="26"/>
      <c r="D1060" s="3"/>
      <c r="E1060" s="26"/>
      <c r="F1060" s="3"/>
      <c r="G1060" s="26"/>
      <c r="H1060" s="3"/>
      <c r="I1060" s="26"/>
      <c r="J1060" s="3"/>
      <c r="K1060" s="26"/>
      <c r="L1060" s="3"/>
      <c r="M1060" s="26"/>
      <c r="N1060" s="3"/>
      <c r="O1060" s="26"/>
      <c r="P1060" s="3"/>
      <c r="Q1060" s="26"/>
      <c r="R1060" s="3"/>
      <c r="S1060" s="26"/>
      <c r="T1060" s="3"/>
      <c r="U1060" s="26"/>
      <c r="V1060" s="3"/>
      <c r="W1060" s="26"/>
      <c r="X1060" s="3"/>
      <c r="Y1060" s="26"/>
      <c r="Z1060" s="3"/>
      <c r="AA1060" s="26"/>
      <c r="AB1060" s="3"/>
      <c r="AC1060" s="26"/>
      <c r="AD1060" s="3"/>
      <c r="AE1060" s="26"/>
      <c r="AF1060" s="3"/>
      <c r="AG1060" s="26"/>
      <c r="AH1060" s="3"/>
      <c r="AI1060" s="26"/>
      <c r="AJ1060" s="3"/>
      <c r="AK1060" s="26"/>
      <c r="AL1060" s="3"/>
      <c r="AM1060" s="26"/>
      <c r="AN1060" s="3"/>
      <c r="AO1060" s="26"/>
      <c r="AP1060" s="3"/>
      <c r="AQ1060" s="26"/>
      <c r="AR1060" s="3"/>
      <c r="AS1060" s="26"/>
      <c r="AT1060" s="3"/>
      <c r="AU1060" s="26"/>
      <c r="AV1060" s="3"/>
      <c r="AW1060" s="26"/>
      <c r="AX1060" s="3"/>
      <c r="AY1060" s="26"/>
      <c r="AZ1060" s="3"/>
      <c r="BA1060" s="26"/>
      <c r="BB1060" s="3"/>
      <c r="BC1060" s="26"/>
      <c r="BD1060" s="3"/>
      <c r="BE1060" s="26"/>
      <c r="BF1060" s="3"/>
      <c r="BG1060" s="26"/>
      <c r="BH1060" s="3"/>
      <c r="BI1060" s="26"/>
      <c r="BJ1060" s="3"/>
      <c r="BK1060" s="26"/>
      <c r="BL1060" s="3"/>
    </row>
    <row r="1061">
      <c r="B1061" s="3"/>
      <c r="C1061" s="26"/>
      <c r="D1061" s="3"/>
      <c r="E1061" s="26"/>
      <c r="F1061" s="3"/>
      <c r="G1061" s="26"/>
      <c r="H1061" s="3"/>
      <c r="I1061" s="26"/>
      <c r="J1061" s="3"/>
      <c r="K1061" s="26"/>
      <c r="L1061" s="3"/>
      <c r="M1061" s="26"/>
      <c r="N1061" s="3"/>
      <c r="O1061" s="26"/>
      <c r="P1061" s="3"/>
      <c r="Q1061" s="26"/>
      <c r="R1061" s="3"/>
      <c r="S1061" s="26"/>
      <c r="T1061" s="3"/>
      <c r="U1061" s="26"/>
      <c r="V1061" s="3"/>
      <c r="W1061" s="26"/>
      <c r="X1061" s="3"/>
      <c r="Y1061" s="26"/>
      <c r="Z1061" s="3"/>
      <c r="AA1061" s="26"/>
      <c r="AB1061" s="3"/>
      <c r="AC1061" s="26"/>
      <c r="AD1061" s="3"/>
      <c r="AE1061" s="26"/>
      <c r="AF1061" s="3"/>
      <c r="AG1061" s="26"/>
      <c r="AH1061" s="3"/>
      <c r="AI1061" s="26"/>
      <c r="AJ1061" s="3"/>
      <c r="AK1061" s="26"/>
      <c r="AL1061" s="3"/>
      <c r="AM1061" s="26"/>
      <c r="AN1061" s="3"/>
      <c r="AO1061" s="26"/>
      <c r="AP1061" s="3"/>
      <c r="AQ1061" s="26"/>
      <c r="AR1061" s="3"/>
      <c r="AS1061" s="26"/>
      <c r="AT1061" s="3"/>
      <c r="AU1061" s="26"/>
      <c r="AV1061" s="3"/>
      <c r="AW1061" s="26"/>
      <c r="AX1061" s="3"/>
      <c r="AY1061" s="26"/>
      <c r="AZ1061" s="3"/>
      <c r="BA1061" s="26"/>
      <c r="BB1061" s="3"/>
      <c r="BC1061" s="26"/>
      <c r="BD1061" s="3"/>
      <c r="BE1061" s="26"/>
      <c r="BF1061" s="3"/>
      <c r="BG1061" s="26"/>
      <c r="BH1061" s="3"/>
      <c r="BI1061" s="26"/>
      <c r="BJ1061" s="3"/>
      <c r="BK1061" s="26"/>
      <c r="BL1061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IFERROR(__xludf.DUMMYFUNCTION("IMPORTRANGE(""https://docs.google.com/spreadsheets/d/11IrvyGLEv6LLa8Enx4lR2ywrqauvc79kRB1B7hRLZ1A"", ""Přehled mzdy!BQ1:EA120"")"),"týden")</f>
        <v>týden</v>
      </c>
      <c r="B3" s="5">
        <f>IFERROR(__xludf.DUMMYFUNCTION("""COMPUTED_VALUE"""),49.0)</f>
        <v>49</v>
      </c>
      <c r="C3" s="6"/>
      <c r="D3" s="5">
        <f>IFERROR(__xludf.DUMMYFUNCTION("""COMPUTED_VALUE"""),49.0)</f>
        <v>49</v>
      </c>
      <c r="E3" s="6"/>
      <c r="F3" s="5">
        <f>IFERROR(__xludf.DUMMYFUNCTION("""COMPUTED_VALUE"""),49.0)</f>
        <v>49</v>
      </c>
      <c r="G3" s="6"/>
      <c r="H3" s="5">
        <f>IFERROR(__xludf.DUMMYFUNCTION("""COMPUTED_VALUE"""),49.0)</f>
        <v>49</v>
      </c>
      <c r="I3" s="6"/>
      <c r="J3" s="5">
        <f>IFERROR(__xludf.DUMMYFUNCTION("""COMPUTED_VALUE"""),49.0)</f>
        <v>49</v>
      </c>
      <c r="K3" s="6"/>
      <c r="L3" s="5">
        <f>IFERROR(__xludf.DUMMYFUNCTION("""COMPUTED_VALUE"""),49.0)</f>
        <v>49</v>
      </c>
      <c r="M3" s="6"/>
      <c r="N3" s="5">
        <f>IFERROR(__xludf.DUMMYFUNCTION("""COMPUTED_VALUE"""),50.0)</f>
        <v>50</v>
      </c>
      <c r="O3" s="6"/>
      <c r="P3" s="5">
        <f>IFERROR(__xludf.DUMMYFUNCTION("""COMPUTED_VALUE"""),50.0)</f>
        <v>50</v>
      </c>
      <c r="Q3" s="6"/>
      <c r="R3" s="5">
        <f>IFERROR(__xludf.DUMMYFUNCTION("""COMPUTED_VALUE"""),50.0)</f>
        <v>50</v>
      </c>
      <c r="S3" s="6"/>
      <c r="T3" s="5">
        <f>IFERROR(__xludf.DUMMYFUNCTION("""COMPUTED_VALUE"""),50.0)</f>
        <v>50</v>
      </c>
      <c r="U3" s="6"/>
      <c r="V3" s="5">
        <f>IFERROR(__xludf.DUMMYFUNCTION("""COMPUTED_VALUE"""),50.0)</f>
        <v>50</v>
      </c>
      <c r="W3" s="6"/>
      <c r="X3" s="5">
        <f>IFERROR(__xludf.DUMMYFUNCTION("""COMPUTED_VALUE"""),50.0)</f>
        <v>50</v>
      </c>
      <c r="Y3" s="6"/>
      <c r="Z3" s="5">
        <f>IFERROR(__xludf.DUMMYFUNCTION("""COMPUTED_VALUE"""),50.0)</f>
        <v>50</v>
      </c>
      <c r="AA3" s="6"/>
      <c r="AB3" s="5">
        <f>IFERROR(__xludf.DUMMYFUNCTION("""COMPUTED_VALUE"""),51.0)</f>
        <v>51</v>
      </c>
      <c r="AC3" s="6"/>
      <c r="AD3" s="5">
        <f>IFERROR(__xludf.DUMMYFUNCTION("""COMPUTED_VALUE"""),51.0)</f>
        <v>51</v>
      </c>
      <c r="AE3" s="6"/>
      <c r="AF3" s="5">
        <f>IFERROR(__xludf.DUMMYFUNCTION("""COMPUTED_VALUE"""),51.0)</f>
        <v>51</v>
      </c>
      <c r="AG3" s="6"/>
      <c r="AH3" s="5">
        <f>IFERROR(__xludf.DUMMYFUNCTION("""COMPUTED_VALUE"""),51.0)</f>
        <v>51</v>
      </c>
      <c r="AI3" s="6"/>
      <c r="AJ3" s="5">
        <f>IFERROR(__xludf.DUMMYFUNCTION("""COMPUTED_VALUE"""),51.0)</f>
        <v>51</v>
      </c>
      <c r="AK3" s="6"/>
      <c r="AL3" s="5">
        <f>IFERROR(__xludf.DUMMYFUNCTION("""COMPUTED_VALUE"""),51.0)</f>
        <v>51</v>
      </c>
      <c r="AM3" s="6"/>
      <c r="AN3" s="5">
        <f>IFERROR(__xludf.DUMMYFUNCTION("""COMPUTED_VALUE"""),51.0)</f>
        <v>51</v>
      </c>
      <c r="AO3" s="6"/>
      <c r="AP3" s="5">
        <f>IFERROR(__xludf.DUMMYFUNCTION("""COMPUTED_VALUE"""),52.0)</f>
        <v>52</v>
      </c>
      <c r="AQ3" s="6"/>
      <c r="AR3" s="5">
        <f>IFERROR(__xludf.DUMMYFUNCTION("""COMPUTED_VALUE"""),52.0)</f>
        <v>52</v>
      </c>
      <c r="AS3" s="6"/>
      <c r="AT3" s="5">
        <f>IFERROR(__xludf.DUMMYFUNCTION("""COMPUTED_VALUE"""),52.0)</f>
        <v>52</v>
      </c>
      <c r="AU3" s="6"/>
      <c r="AV3" s="5">
        <f>IFERROR(__xludf.DUMMYFUNCTION("""COMPUTED_VALUE"""),52.0)</f>
        <v>52</v>
      </c>
      <c r="AW3" s="6"/>
      <c r="AX3" s="5">
        <f>IFERROR(__xludf.DUMMYFUNCTION("""COMPUTED_VALUE"""),52.0)</f>
        <v>52</v>
      </c>
      <c r="AY3" s="6"/>
      <c r="AZ3" s="5">
        <f>IFERROR(__xludf.DUMMYFUNCTION("""COMPUTED_VALUE"""),52.0)</f>
        <v>52</v>
      </c>
      <c r="BA3" s="6"/>
      <c r="BB3" s="5">
        <f>IFERROR(__xludf.DUMMYFUNCTION("""COMPUTED_VALUE"""),52.0)</f>
        <v>52</v>
      </c>
      <c r="BC3" s="6"/>
      <c r="BD3" s="5">
        <f>IFERROR(__xludf.DUMMYFUNCTION("""COMPUTED_VALUE"""),53.0)</f>
        <v>53</v>
      </c>
      <c r="BE3" s="6"/>
      <c r="BF3" s="5">
        <f>IFERROR(__xludf.DUMMYFUNCTION("""COMPUTED_VALUE"""),53.0)</f>
        <v>53</v>
      </c>
      <c r="BG3" s="6"/>
      <c r="BH3" s="5">
        <f>IFERROR(__xludf.DUMMYFUNCTION("""COMPUTED_VALUE"""),53.0)</f>
        <v>53</v>
      </c>
      <c r="BI3" s="6"/>
      <c r="BJ3" s="5">
        <f>IFERROR(__xludf.DUMMYFUNCTION("""COMPUTED_VALUE"""),53.0)</f>
        <v>53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IFERROR(__xludf.DUMMYFUNCTION("""COMPUTED_VALUE"""),44166.0)</f>
        <v>44166</v>
      </c>
      <c r="C4" s="9"/>
      <c r="D4" s="8">
        <f>IFERROR(__xludf.DUMMYFUNCTION("""COMPUTED_VALUE"""),44167.0)</f>
        <v>44167</v>
      </c>
      <c r="E4" s="9"/>
      <c r="F4" s="8">
        <f>IFERROR(__xludf.DUMMYFUNCTION("""COMPUTED_VALUE"""),44168.0)</f>
        <v>44168</v>
      </c>
      <c r="G4" s="9"/>
      <c r="H4" s="8">
        <f>IFERROR(__xludf.DUMMYFUNCTION("""COMPUTED_VALUE"""),44169.0)</f>
        <v>44169</v>
      </c>
      <c r="I4" s="9"/>
      <c r="J4" s="8">
        <f>IFERROR(__xludf.DUMMYFUNCTION("""COMPUTED_VALUE"""),44170.0)</f>
        <v>44170</v>
      </c>
      <c r="K4" s="9"/>
      <c r="L4" s="8">
        <f>IFERROR(__xludf.DUMMYFUNCTION("""COMPUTED_VALUE"""),44171.0)</f>
        <v>44171</v>
      </c>
      <c r="M4" s="9"/>
      <c r="N4" s="8">
        <f>IFERROR(__xludf.DUMMYFUNCTION("""COMPUTED_VALUE"""),44172.0)</f>
        <v>44172</v>
      </c>
      <c r="O4" s="9"/>
      <c r="P4" s="8">
        <f>IFERROR(__xludf.DUMMYFUNCTION("""COMPUTED_VALUE"""),44173.0)</f>
        <v>44173</v>
      </c>
      <c r="Q4" s="9"/>
      <c r="R4" s="8">
        <f>IFERROR(__xludf.DUMMYFUNCTION("""COMPUTED_VALUE"""),44174.0)</f>
        <v>44174</v>
      </c>
      <c r="S4" s="9"/>
      <c r="T4" s="8">
        <f>IFERROR(__xludf.DUMMYFUNCTION("""COMPUTED_VALUE"""),44175.0)</f>
        <v>44175</v>
      </c>
      <c r="U4" s="9"/>
      <c r="V4" s="8">
        <f>IFERROR(__xludf.DUMMYFUNCTION("""COMPUTED_VALUE"""),44176.0)</f>
        <v>44176</v>
      </c>
      <c r="W4" s="9"/>
      <c r="X4" s="8">
        <f>IFERROR(__xludf.DUMMYFUNCTION("""COMPUTED_VALUE"""),44177.0)</f>
        <v>44177</v>
      </c>
      <c r="Y4" s="9"/>
      <c r="Z4" s="8">
        <f>IFERROR(__xludf.DUMMYFUNCTION("""COMPUTED_VALUE"""),44178.0)</f>
        <v>44178</v>
      </c>
      <c r="AA4" s="9"/>
      <c r="AB4" s="8">
        <f>IFERROR(__xludf.DUMMYFUNCTION("""COMPUTED_VALUE"""),44179.0)</f>
        <v>44179</v>
      </c>
      <c r="AC4" s="9"/>
      <c r="AD4" s="8">
        <f>IFERROR(__xludf.DUMMYFUNCTION("""COMPUTED_VALUE"""),44180.0)</f>
        <v>44180</v>
      </c>
      <c r="AE4" s="9"/>
      <c r="AF4" s="8">
        <f>IFERROR(__xludf.DUMMYFUNCTION("""COMPUTED_VALUE"""),44181.0)</f>
        <v>44181</v>
      </c>
      <c r="AG4" s="9"/>
      <c r="AH4" s="8">
        <f>IFERROR(__xludf.DUMMYFUNCTION("""COMPUTED_VALUE"""),44182.0)</f>
        <v>44182</v>
      </c>
      <c r="AI4" s="9"/>
      <c r="AJ4" s="8">
        <f>IFERROR(__xludf.DUMMYFUNCTION("""COMPUTED_VALUE"""),44183.0)</f>
        <v>44183</v>
      </c>
      <c r="AK4" s="9"/>
      <c r="AL4" s="8">
        <f>IFERROR(__xludf.DUMMYFUNCTION("""COMPUTED_VALUE"""),44184.0)</f>
        <v>44184</v>
      </c>
      <c r="AM4" s="9"/>
      <c r="AN4" s="8">
        <f>IFERROR(__xludf.DUMMYFUNCTION("""COMPUTED_VALUE"""),44185.0)</f>
        <v>44185</v>
      </c>
      <c r="AO4" s="9"/>
      <c r="AP4" s="8">
        <f>IFERROR(__xludf.DUMMYFUNCTION("""COMPUTED_VALUE"""),44186.0)</f>
        <v>44186</v>
      </c>
      <c r="AQ4" s="9"/>
      <c r="AR4" s="8">
        <f>IFERROR(__xludf.DUMMYFUNCTION("""COMPUTED_VALUE"""),44187.0)</f>
        <v>44187</v>
      </c>
      <c r="AS4" s="9"/>
      <c r="AT4" s="8">
        <f>IFERROR(__xludf.DUMMYFUNCTION("""COMPUTED_VALUE"""),44188.0)</f>
        <v>44188</v>
      </c>
      <c r="AU4" s="9"/>
      <c r="AV4" s="8">
        <f>IFERROR(__xludf.DUMMYFUNCTION("""COMPUTED_VALUE"""),44189.0)</f>
        <v>44189</v>
      </c>
      <c r="AW4" s="9"/>
      <c r="AX4" s="8">
        <f>IFERROR(__xludf.DUMMYFUNCTION("""COMPUTED_VALUE"""),44190.0)</f>
        <v>44190</v>
      </c>
      <c r="AY4" s="9"/>
      <c r="AZ4" s="8">
        <f>IFERROR(__xludf.DUMMYFUNCTION("""COMPUTED_VALUE"""),44191.0)</f>
        <v>44191</v>
      </c>
      <c r="BA4" s="9"/>
      <c r="BB4" s="8">
        <f>IFERROR(__xludf.DUMMYFUNCTION("""COMPUTED_VALUE"""),44192.0)</f>
        <v>44192</v>
      </c>
      <c r="BC4" s="9"/>
      <c r="BD4" s="8">
        <f>IFERROR(__xludf.DUMMYFUNCTION("""COMPUTED_VALUE"""),44193.0)</f>
        <v>44193</v>
      </c>
      <c r="BE4" s="9"/>
      <c r="BF4" s="8">
        <f>IFERROR(__xludf.DUMMYFUNCTION("""COMPUTED_VALUE"""),44194.0)</f>
        <v>44194</v>
      </c>
      <c r="BG4" s="9"/>
      <c r="BH4" s="8">
        <f>IFERROR(__xludf.DUMMYFUNCTION("""COMPUTED_VALUE"""),44195.0)</f>
        <v>44195</v>
      </c>
      <c r="BI4" s="9"/>
      <c r="BJ4" s="8">
        <f>IFERROR(__xludf.DUMMYFUNCTION("""COMPUTED_VALUE"""),44196.0)</f>
        <v>44196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>
        <f>IFERROR(__xludf.DUMMYFUNCTION("""COMPUTED_VALUE"""),9.0)</f>
        <v>9</v>
      </c>
      <c r="K6" s="13">
        <f>IFERROR(__xludf.DUMMYFUNCTION("""COMPUTED_VALUE"""),900.0)</f>
        <v>900</v>
      </c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>
        <f>IFERROR(__xludf.DUMMYFUNCTION("""COMPUTED_VALUE"""),10.0)</f>
        <v>10</v>
      </c>
      <c r="Y6" s="13">
        <f>IFERROR(__xludf.DUMMYFUNCTION("""COMPUTED_VALUE"""),1000.0)</f>
        <v>1000</v>
      </c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>
        <f>IFERROR(__xludf.DUMMYFUNCTION("""COMPUTED_VALUE"""),5.0)</f>
        <v>5</v>
      </c>
      <c r="C8" s="16"/>
      <c r="D8" s="15"/>
      <c r="E8" s="16"/>
      <c r="F8" s="15">
        <f>IFERROR(__xludf.DUMMYFUNCTION("""COMPUTED_VALUE"""),9.0)</f>
        <v>9</v>
      </c>
      <c r="G8" s="16"/>
      <c r="H8" s="15">
        <f>IFERROR(__xludf.DUMMYFUNCTION("""COMPUTED_VALUE"""),10.0)</f>
        <v>10</v>
      </c>
      <c r="I8" s="16"/>
      <c r="J8" s="15"/>
      <c r="K8" s="16"/>
      <c r="L8" s="15">
        <f>IFERROR(__xludf.DUMMYFUNCTION("""COMPUTED_VALUE"""),11.0)</f>
        <v>11</v>
      </c>
      <c r="M8" s="16"/>
      <c r="N8" s="15"/>
      <c r="O8" s="16"/>
      <c r="P8" s="15"/>
      <c r="Q8" s="16"/>
      <c r="R8" s="15"/>
      <c r="S8" s="16"/>
      <c r="T8" s="15"/>
      <c r="U8" s="16"/>
      <c r="V8" s="15">
        <f>IFERROR(__xludf.DUMMYFUNCTION("""COMPUTED_VALUE"""),10.0)</f>
        <v>10</v>
      </c>
      <c r="W8" s="16"/>
      <c r="X8" s="15">
        <f>IFERROR(__xludf.DUMMYFUNCTION("""COMPUTED_VALUE"""),10.0)</f>
        <v>10</v>
      </c>
      <c r="Y8" s="16"/>
      <c r="Z8" s="15">
        <f>IFERROR(__xludf.DUMMYFUNCTION("""COMPUTED_VALUE"""),13.0)</f>
        <v>13</v>
      </c>
      <c r="AA8" s="16"/>
      <c r="AB8" s="15"/>
      <c r="AC8" s="16"/>
      <c r="AD8" s="15"/>
      <c r="AE8" s="16"/>
      <c r="AF8" s="15"/>
      <c r="AG8" s="16"/>
      <c r="AH8" s="15"/>
      <c r="AI8" s="16"/>
      <c r="AJ8" s="15">
        <f>IFERROR(__xludf.DUMMYFUNCTION("""COMPUTED_VALUE"""),10.0)</f>
        <v>10</v>
      </c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>
        <f>IFERROR(__xludf.DUMMYFUNCTION("""COMPUTED_VALUE"""),12.0)</f>
        <v>12</v>
      </c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>
        <f>IFERROR(__xludf.DUMMYFUNCTION("""COMPUTED_VALUE"""),5.0)</f>
        <v>5</v>
      </c>
      <c r="M11" s="16"/>
      <c r="N11" s="15"/>
      <c r="O11" s="16"/>
      <c r="P11" s="15">
        <f>IFERROR(__xludf.DUMMYFUNCTION("""COMPUTED_VALUE"""),8.0)</f>
        <v>8</v>
      </c>
      <c r="Q11" s="16"/>
      <c r="R11" s="15"/>
      <c r="S11" s="16"/>
      <c r="T11" s="15"/>
      <c r="U11" s="16"/>
      <c r="V11" s="15"/>
      <c r="W11" s="16"/>
      <c r="X11" s="15">
        <f>IFERROR(__xludf.DUMMYFUNCTION("""COMPUTED_VALUE"""),6.0)</f>
        <v>6</v>
      </c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>
        <f>IFERROR(__xludf.DUMMYFUNCTION("""COMPUTED_VALUE"""),7.0)</f>
        <v>7</v>
      </c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>
        <f>IFERROR(__xludf.DUMMYFUNCTION("""COMPUTED_VALUE"""),5.0)</f>
        <v>5</v>
      </c>
      <c r="C13" s="16"/>
      <c r="D13" s="15">
        <f>IFERROR(__xludf.DUMMYFUNCTION("""COMPUTED_VALUE"""),5.0)</f>
        <v>5</v>
      </c>
      <c r="E13" s="16"/>
      <c r="F13" s="15">
        <f>IFERROR(__xludf.DUMMYFUNCTION("""COMPUTED_VALUE"""),2.0)</f>
        <v>2</v>
      </c>
      <c r="G13" s="16"/>
      <c r="H13" s="15">
        <f>IFERROR(__xludf.DUMMYFUNCTION("""COMPUTED_VALUE"""),5.5)</f>
        <v>5.5</v>
      </c>
      <c r="I13" s="16"/>
      <c r="J13" s="15"/>
      <c r="K13" s="16"/>
      <c r="L13" s="15"/>
      <c r="M13" s="16"/>
      <c r="N13" s="15">
        <f>IFERROR(__xludf.DUMMYFUNCTION("""COMPUTED_VALUE"""),6.5)</f>
        <v>6.5</v>
      </c>
      <c r="O13" s="16"/>
      <c r="P13" s="15">
        <f>IFERROR(__xludf.DUMMYFUNCTION("""COMPUTED_VALUE"""),6.0)</f>
        <v>6</v>
      </c>
      <c r="Q13" s="16"/>
      <c r="R13" s="15"/>
      <c r="S13" s="16"/>
      <c r="T13" s="15">
        <f>IFERROR(__xludf.DUMMYFUNCTION("""COMPUTED_VALUE"""),7.0)</f>
        <v>7</v>
      </c>
      <c r="U13" s="16"/>
      <c r="V13" s="15">
        <f>IFERROR(__xludf.DUMMYFUNCTION("""COMPUTED_VALUE"""),7.0)</f>
        <v>7</v>
      </c>
      <c r="W13" s="16"/>
      <c r="X13" s="15"/>
      <c r="Y13" s="16"/>
      <c r="Z13" s="15"/>
      <c r="AA13" s="16"/>
      <c r="AB13" s="15">
        <f>IFERROR(__xludf.DUMMYFUNCTION("""COMPUTED_VALUE"""),6.0)</f>
        <v>6</v>
      </c>
      <c r="AC13" s="16"/>
      <c r="AD13" s="15">
        <f>IFERROR(__xludf.DUMMYFUNCTION("""COMPUTED_VALUE"""),6.0)</f>
        <v>6</v>
      </c>
      <c r="AE13" s="16"/>
      <c r="AF13" s="15">
        <f>IFERROR(__xludf.DUMMYFUNCTION("""COMPUTED_VALUE"""),6.0)</f>
        <v>6</v>
      </c>
      <c r="AG13" s="16"/>
      <c r="AH13" s="15">
        <f>IFERROR(__xludf.DUMMYFUNCTION("""COMPUTED_VALUE"""),4.0)</f>
        <v>4</v>
      </c>
      <c r="AI13" s="16"/>
      <c r="AJ13" s="15">
        <f>IFERROR(__xludf.DUMMYFUNCTION("""COMPUTED_VALUE"""),6.0)</f>
        <v>6</v>
      </c>
      <c r="AK13" s="16"/>
      <c r="AL13" s="15"/>
      <c r="AM13" s="16"/>
      <c r="AN13" s="15"/>
      <c r="AO13" s="16"/>
      <c r="AP13" s="15">
        <f>IFERROR(__xludf.DUMMYFUNCTION("""COMPUTED_VALUE"""),6.0)</f>
        <v>6</v>
      </c>
      <c r="AQ13" s="16"/>
      <c r="AR13" s="15">
        <f>IFERROR(__xludf.DUMMYFUNCTION("""COMPUTED_VALUE"""),4.5)</f>
        <v>4.5</v>
      </c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>
        <f>IFERROR(__xludf.DUMMYFUNCTION("""COMPUTED_VALUE"""),6.0)</f>
        <v>6</v>
      </c>
      <c r="BE13" s="16"/>
      <c r="BF13" s="15">
        <f>IFERROR(__xludf.DUMMYFUNCTION("""COMPUTED_VALUE"""),6.0)</f>
        <v>6</v>
      </c>
      <c r="BG13" s="16"/>
      <c r="BH13" s="15">
        <f>IFERROR(__xludf.DUMMYFUNCTION("""COMPUTED_VALUE"""),6.0)</f>
        <v>6</v>
      </c>
      <c r="BI13" s="16"/>
      <c r="BJ13" s="15">
        <f>IFERROR(__xludf.DUMMYFUNCTION("""COMPUTED_VALUE"""),6.0)</f>
        <v>6</v>
      </c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>
        <f>IFERROR(__xludf.DUMMYFUNCTION("""COMPUTED_VALUE"""),3.0)</f>
        <v>3</v>
      </c>
      <c r="AM17" s="16"/>
      <c r="AN17" s="15">
        <f>IFERROR(__xludf.DUMMYFUNCTION("""COMPUTED_VALUE"""),7.0)</f>
        <v>7</v>
      </c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>
        <f>IFERROR(__xludf.DUMMYFUNCTION("""COMPUTED_VALUE"""),8.5)</f>
        <v>8.5</v>
      </c>
      <c r="C23" s="16"/>
      <c r="D23" s="15"/>
      <c r="E23" s="16"/>
      <c r="F23" s="15"/>
      <c r="G23" s="16"/>
      <c r="H23" s="15">
        <f>IFERROR(__xludf.DUMMYFUNCTION("""COMPUTED_VALUE"""),7.0)</f>
        <v>7</v>
      </c>
      <c r="I23" s="16"/>
      <c r="J23" s="15"/>
      <c r="K23" s="16"/>
      <c r="L23" s="15"/>
      <c r="M23" s="16"/>
      <c r="N23" s="15">
        <f>IFERROR(__xludf.DUMMYFUNCTION("""COMPUTED_VALUE"""),8.5)</f>
        <v>8.5</v>
      </c>
      <c r="O23" s="16"/>
      <c r="P23" s="15">
        <f>IFERROR(__xludf.DUMMYFUNCTION("""COMPUTED_VALUE"""),8.5)</f>
        <v>8.5</v>
      </c>
      <c r="Q23" s="16"/>
      <c r="R23" s="15">
        <f>IFERROR(__xludf.DUMMYFUNCTION("""COMPUTED_VALUE"""),8.5)</f>
        <v>8.5</v>
      </c>
      <c r="S23" s="16"/>
      <c r="T23" s="15"/>
      <c r="U23" s="16"/>
      <c r="V23" s="15">
        <f>IFERROR(__xludf.DUMMYFUNCTION("""COMPUTED_VALUE"""),7.0)</f>
        <v>7</v>
      </c>
      <c r="W23" s="16"/>
      <c r="X23" s="15">
        <f>IFERROR(__xludf.DUMMYFUNCTION("""COMPUTED_VALUE"""),8.0)</f>
        <v>8</v>
      </c>
      <c r="Y23" s="16">
        <f>IFERROR(__xludf.DUMMYFUNCTION("""COMPUTED_VALUE"""),800.0)</f>
        <v>800</v>
      </c>
      <c r="Z23" s="15"/>
      <c r="AA23" s="16">
        <f>IFERROR(__xludf.DUMMYFUNCTION("""COMPUTED_VALUE"""),2000.0)</f>
        <v>2000</v>
      </c>
      <c r="AB23" s="15">
        <f>IFERROR(__xludf.DUMMYFUNCTION("""COMPUTED_VALUE"""),8.5)</f>
        <v>8.5</v>
      </c>
      <c r="AC23" s="16"/>
      <c r="AD23" s="15">
        <f>IFERROR(__xludf.DUMMYFUNCTION("""COMPUTED_VALUE"""),8.0)</f>
        <v>8</v>
      </c>
      <c r="AE23" s="16"/>
      <c r="AF23" s="15">
        <f>IFERROR(__xludf.DUMMYFUNCTION("""COMPUTED_VALUE"""),6.0)</f>
        <v>6</v>
      </c>
      <c r="AG23" s="16"/>
      <c r="AH23" s="15">
        <f>IFERROR(__xludf.DUMMYFUNCTION("""COMPUTED_VALUE"""),8.0)</f>
        <v>8</v>
      </c>
      <c r="AI23" s="16"/>
      <c r="AJ23" s="15">
        <f>IFERROR(__xludf.DUMMYFUNCTION("""COMPUTED_VALUE"""),7.0)</f>
        <v>7</v>
      </c>
      <c r="AK23" s="16"/>
      <c r="AL23" s="15">
        <f>IFERROR(__xludf.DUMMYFUNCTION("""COMPUTED_VALUE"""),8.0)</f>
        <v>8</v>
      </c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>
        <f>IFERROR(__xludf.DUMMYFUNCTION("""COMPUTED_VALUE"""),4.0)</f>
        <v>4</v>
      </c>
      <c r="C26" s="16"/>
      <c r="D26" s="15"/>
      <c r="E26" s="16"/>
      <c r="F26" s="15">
        <f>IFERROR(__xludf.DUMMYFUNCTION("""COMPUTED_VALUE"""),7.0)</f>
        <v>7</v>
      </c>
      <c r="G26" s="16"/>
      <c r="H26" s="15">
        <f>IFERROR(__xludf.DUMMYFUNCTION("""COMPUTED_VALUE"""),11.0)</f>
        <v>11</v>
      </c>
      <c r="I26" s="16"/>
      <c r="J26" s="15">
        <f>IFERROR(__xludf.DUMMYFUNCTION("""COMPUTED_VALUE"""),7.5)</f>
        <v>7.5</v>
      </c>
      <c r="K26" s="16"/>
      <c r="L26" s="15">
        <f>IFERROR(__xludf.DUMMYFUNCTION("""COMPUTED_VALUE"""),13.0)</f>
        <v>13</v>
      </c>
      <c r="M26" s="16"/>
      <c r="N26" s="15">
        <f>IFERROR(__xludf.DUMMYFUNCTION("""COMPUTED_VALUE"""),7.5)</f>
        <v>7.5</v>
      </c>
      <c r="O26" s="16"/>
      <c r="P26" s="15"/>
      <c r="Q26" s="16"/>
      <c r="R26" s="15">
        <f>IFERROR(__xludf.DUMMYFUNCTION("""COMPUTED_VALUE"""),6.5)</f>
        <v>6.5</v>
      </c>
      <c r="S26" s="16"/>
      <c r="T26" s="15"/>
      <c r="U26" s="16"/>
      <c r="V26" s="15">
        <f>IFERROR(__xludf.DUMMYFUNCTION("""COMPUTED_VALUE"""),10.5)</f>
        <v>10.5</v>
      </c>
      <c r="W26" s="16"/>
      <c r="X26" s="15">
        <f>IFERROR(__xludf.DUMMYFUNCTION("""COMPUTED_VALUE"""),8.0)</f>
        <v>8</v>
      </c>
      <c r="Y26" s="16"/>
      <c r="Z26" s="15">
        <f>IFERROR(__xludf.DUMMYFUNCTION("""COMPUTED_VALUE"""),7.0)</f>
        <v>7</v>
      </c>
      <c r="AA26" s="16"/>
      <c r="AB26" s="15"/>
      <c r="AC26" s="16"/>
      <c r="AD26" s="15"/>
      <c r="AE26" s="16"/>
      <c r="AF26" s="15">
        <f>IFERROR(__xludf.DUMMYFUNCTION("""COMPUTED_VALUE"""),7.5)</f>
        <v>7.5</v>
      </c>
      <c r="AG26" s="16"/>
      <c r="AH26" s="15"/>
      <c r="AI26" s="16"/>
      <c r="AJ26" s="15">
        <f>IFERROR(__xludf.DUMMYFUNCTION("""COMPUTED_VALUE"""),9.0)</f>
        <v>9</v>
      </c>
      <c r="AK26" s="16"/>
      <c r="AL26" s="15">
        <f>IFERROR(__xludf.DUMMYFUNCTION("""COMPUTED_VALUE"""),8.0)</f>
        <v>8</v>
      </c>
      <c r="AM26" s="16"/>
      <c r="AN26" s="15">
        <f>IFERROR(__xludf.DUMMYFUNCTION("""COMPUTED_VALUE"""),7.5)</f>
        <v>7.5</v>
      </c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>
        <f>IFERROR(__xludf.DUMMYFUNCTION("""COMPUTED_VALUE"""),13.0)</f>
        <v>13</v>
      </c>
      <c r="BC26" s="16"/>
      <c r="BD26" s="15">
        <f>IFERROR(__xludf.DUMMYFUNCTION("""COMPUTED_VALUE"""),8.0)</f>
        <v>8</v>
      </c>
      <c r="BE26" s="16"/>
      <c r="BF26" s="15">
        <f>IFERROR(__xludf.DUMMYFUNCTION("""COMPUTED_VALUE"""),3.5)</f>
        <v>3.5</v>
      </c>
      <c r="BG26" s="16"/>
      <c r="BH26" s="15">
        <f>IFERROR(__xludf.DUMMYFUNCTION("""COMPUTED_VALUE"""),7.0)</f>
        <v>7</v>
      </c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>
        <f>IFERROR(__xludf.DUMMYFUNCTION("""COMPUTED_VALUE"""),3.0)</f>
        <v>3</v>
      </c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>
        <f>IFERROR(__xludf.DUMMYFUNCTION("""COMPUTED_VALUE"""),1.0)</f>
        <v>1</v>
      </c>
      <c r="C29" s="16"/>
      <c r="D29" s="15">
        <f>IFERROR(__xludf.DUMMYFUNCTION("""COMPUTED_VALUE"""),15.0)</f>
        <v>15</v>
      </c>
      <c r="E29" s="16"/>
      <c r="F29" s="15">
        <f>IFERROR(__xludf.DUMMYFUNCTION("""COMPUTED_VALUE"""),6.0)</f>
        <v>6</v>
      </c>
      <c r="G29" s="16"/>
      <c r="H29" s="15">
        <f>IFERROR(__xludf.DUMMYFUNCTION("""COMPUTED_VALUE"""),7.0)</f>
        <v>7</v>
      </c>
      <c r="I29" s="16"/>
      <c r="J29" s="15">
        <f>IFERROR(__xludf.DUMMYFUNCTION("""COMPUTED_VALUE"""),5.5)</f>
        <v>5.5</v>
      </c>
      <c r="K29" s="16"/>
      <c r="L29" s="15">
        <f>IFERROR(__xludf.DUMMYFUNCTION("""COMPUTED_VALUE"""),6.0)</f>
        <v>6</v>
      </c>
      <c r="M29" s="16"/>
      <c r="N29" s="15">
        <f>IFERROR(__xludf.DUMMYFUNCTION("""COMPUTED_VALUE"""),6.5)</f>
        <v>6.5</v>
      </c>
      <c r="O29" s="16"/>
      <c r="P29" s="15">
        <f>IFERROR(__xludf.DUMMYFUNCTION("""COMPUTED_VALUE"""),4.0)</f>
        <v>4</v>
      </c>
      <c r="Q29" s="16"/>
      <c r="R29" s="15">
        <f>IFERROR(__xludf.DUMMYFUNCTION("""COMPUTED_VALUE"""),15.5)</f>
        <v>15.5</v>
      </c>
      <c r="S29" s="16"/>
      <c r="T29" s="15">
        <f>IFERROR(__xludf.DUMMYFUNCTION("""COMPUTED_VALUE"""),8.0)</f>
        <v>8</v>
      </c>
      <c r="U29" s="16"/>
      <c r="V29" s="15">
        <f>IFERROR(__xludf.DUMMYFUNCTION("""COMPUTED_VALUE"""),7.0)</f>
        <v>7</v>
      </c>
      <c r="W29" s="16"/>
      <c r="X29" s="15"/>
      <c r="Y29" s="16"/>
      <c r="Z29" s="15"/>
      <c r="AA29" s="16"/>
      <c r="AB29" s="15">
        <f>IFERROR(__xludf.DUMMYFUNCTION("""COMPUTED_VALUE"""),7.5)</f>
        <v>7.5</v>
      </c>
      <c r="AC29" s="16">
        <f>IFERROR(__xludf.DUMMYFUNCTION("""COMPUTED_VALUE"""),1000.0)</f>
        <v>1000</v>
      </c>
      <c r="AD29" s="15">
        <f>IFERROR(__xludf.DUMMYFUNCTION("""COMPUTED_VALUE"""),8.0)</f>
        <v>8</v>
      </c>
      <c r="AE29" s="16"/>
      <c r="AF29" s="15">
        <f>IFERROR(__xludf.DUMMYFUNCTION("""COMPUTED_VALUE"""),11.0)</f>
        <v>11</v>
      </c>
      <c r="AG29" s="16"/>
      <c r="AH29" s="15">
        <f>IFERROR(__xludf.DUMMYFUNCTION("""COMPUTED_VALUE"""),15.0)</f>
        <v>15</v>
      </c>
      <c r="AI29" s="16"/>
      <c r="AJ29" s="15">
        <f>IFERROR(__xludf.DUMMYFUNCTION("""COMPUTED_VALUE"""),8.0)</f>
        <v>8</v>
      </c>
      <c r="AK29" s="16"/>
      <c r="AL29" s="15"/>
      <c r="AM29" s="16"/>
      <c r="AN29" s="15"/>
      <c r="AO29" s="16"/>
      <c r="AP29" s="15">
        <f>IFERROR(__xludf.DUMMYFUNCTION("""COMPUTED_VALUE"""),7.0)</f>
        <v>7</v>
      </c>
      <c r="AQ29" s="16"/>
      <c r="AR29" s="15">
        <f>IFERROR(__xludf.DUMMYFUNCTION("""COMPUTED_VALUE"""),7.0)</f>
        <v>7</v>
      </c>
      <c r="AS29" s="16"/>
      <c r="AT29" s="15"/>
      <c r="AU29" s="16"/>
      <c r="AV29" s="15"/>
      <c r="AW29" s="16"/>
      <c r="AX29" s="15"/>
      <c r="AY29" s="16"/>
      <c r="AZ29" s="15">
        <f>IFERROR(__xludf.DUMMYFUNCTION("""COMPUTED_VALUE"""),15.0)</f>
        <v>15</v>
      </c>
      <c r="BA29" s="16"/>
      <c r="BB29" s="15">
        <f>IFERROR(__xludf.DUMMYFUNCTION("""COMPUTED_VALUE"""),13.0)</f>
        <v>13</v>
      </c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>
        <f>IFERROR(__xludf.DUMMYFUNCTION("""COMPUTED_VALUE"""),13.0)</f>
        <v>13</v>
      </c>
      <c r="C43" s="16"/>
      <c r="D43" s="15">
        <f>IFERROR(__xludf.DUMMYFUNCTION("""COMPUTED_VALUE"""),13.0)</f>
        <v>13</v>
      </c>
      <c r="E43" s="16"/>
      <c r="F43" s="15">
        <f>IFERROR(__xludf.DUMMYFUNCTION("""COMPUTED_VALUE"""),13.0)</f>
        <v>13</v>
      </c>
      <c r="G43" s="16"/>
      <c r="H43" s="15"/>
      <c r="I43" s="16"/>
      <c r="J43" s="15"/>
      <c r="K43" s="16"/>
      <c r="L43" s="15"/>
      <c r="M43" s="16"/>
      <c r="N43" s="15">
        <f>IFERROR(__xludf.DUMMYFUNCTION("""COMPUTED_VALUE"""),9.0)</f>
        <v>9</v>
      </c>
      <c r="O43" s="16"/>
      <c r="P43" s="15">
        <f>IFERROR(__xludf.DUMMYFUNCTION("""COMPUTED_VALUE"""),11.0)</f>
        <v>11</v>
      </c>
      <c r="Q43" s="16"/>
      <c r="R43" s="15">
        <f>IFERROR(__xludf.DUMMYFUNCTION("""COMPUTED_VALUE"""),13.0)</f>
        <v>13</v>
      </c>
      <c r="S43" s="16"/>
      <c r="T43" s="15">
        <f>IFERROR(__xludf.DUMMYFUNCTION("""COMPUTED_VALUE"""),13.5)</f>
        <v>13.5</v>
      </c>
      <c r="U43" s="16"/>
      <c r="V43" s="15"/>
      <c r="W43" s="16"/>
      <c r="X43" s="15"/>
      <c r="Y43" s="16"/>
      <c r="Z43" s="15"/>
      <c r="AA43" s="16"/>
      <c r="AB43" s="15">
        <f>IFERROR(__xludf.DUMMYFUNCTION("""COMPUTED_VALUE"""),13.5)</f>
        <v>13.5</v>
      </c>
      <c r="AC43" s="16"/>
      <c r="AD43" s="15">
        <f>IFERROR(__xludf.DUMMYFUNCTION("""COMPUTED_VALUE"""),11.0)</f>
        <v>11</v>
      </c>
      <c r="AE43" s="16"/>
      <c r="AF43" s="15">
        <f>IFERROR(__xludf.DUMMYFUNCTION("""COMPUTED_VALUE"""),13.0)</f>
        <v>13</v>
      </c>
      <c r="AG43" s="16"/>
      <c r="AH43" s="15">
        <f>IFERROR(__xludf.DUMMYFUNCTION("""COMPUTED_VALUE"""),14.0)</f>
        <v>14</v>
      </c>
      <c r="AI43" s="16"/>
      <c r="AJ43" s="15"/>
      <c r="AK43" s="16"/>
      <c r="AL43" s="15"/>
      <c r="AM43" s="16"/>
      <c r="AN43" s="15"/>
      <c r="AO43" s="16"/>
      <c r="AP43" s="15">
        <f>IFERROR(__xludf.DUMMYFUNCTION("""COMPUTED_VALUE"""),13.0)</f>
        <v>13</v>
      </c>
      <c r="AQ43" s="16"/>
      <c r="AR43" s="15">
        <f>IFERROR(__xludf.DUMMYFUNCTION("""COMPUTED_VALUE"""),15.0)</f>
        <v>15</v>
      </c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>
        <f>IFERROR(__xludf.DUMMYFUNCTION("""COMPUTED_VALUE"""),13.0)</f>
        <v>13</v>
      </c>
      <c r="BE43" s="16"/>
      <c r="BF43" s="15">
        <f>IFERROR(__xludf.DUMMYFUNCTION("""COMPUTED_VALUE"""),13.5)</f>
        <v>13.5</v>
      </c>
      <c r="BG43" s="16"/>
      <c r="BH43" s="15">
        <f>IFERROR(__xludf.DUMMYFUNCTION("""COMPUTED_VALUE"""),13.0)</f>
        <v>13</v>
      </c>
      <c r="BI43" s="16"/>
      <c r="BJ43" s="15">
        <f>IFERROR(__xludf.DUMMYFUNCTION("""COMPUTED_VALUE"""),12.0)</f>
        <v>12</v>
      </c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/>
      <c r="C59" s="16"/>
      <c r="D59" s="15">
        <f>IFERROR(__xludf.DUMMYFUNCTION("""COMPUTED_VALUE"""),8.0)</f>
        <v>8</v>
      </c>
      <c r="E59" s="16">
        <f>IFERROR(__xludf.DUMMYFUNCTION("""COMPUTED_VALUE"""),800.0)</f>
        <v>800</v>
      </c>
      <c r="F59" s="15"/>
      <c r="G59" s="16"/>
      <c r="H59" s="15"/>
      <c r="I59" s="16"/>
      <c r="J59" s="15">
        <f>IFERROR(__xludf.DUMMYFUNCTION("""COMPUTED_VALUE"""),5.0)</f>
        <v>5</v>
      </c>
      <c r="K59" s="16">
        <f>IFERROR(__xludf.DUMMYFUNCTION("""COMPUTED_VALUE"""),500.0)</f>
        <v>500</v>
      </c>
      <c r="L59" s="15">
        <f>IFERROR(__xludf.DUMMYFUNCTION("""COMPUTED_VALUE"""),5.5)</f>
        <v>5.5</v>
      </c>
      <c r="M59" s="16">
        <f>IFERROR(__xludf.DUMMYFUNCTION("""COMPUTED_VALUE"""),550.0)</f>
        <v>550</v>
      </c>
      <c r="N59" s="15"/>
      <c r="O59" s="16"/>
      <c r="P59" s="15"/>
      <c r="Q59" s="16"/>
      <c r="R59" s="15">
        <f>IFERROR(__xludf.DUMMYFUNCTION("""COMPUTED_VALUE"""),8.0)</f>
        <v>8</v>
      </c>
      <c r="S59" s="16">
        <f>IFERROR(__xludf.DUMMYFUNCTION("""COMPUTED_VALUE"""),800.0)</f>
        <v>800</v>
      </c>
      <c r="T59" s="15">
        <f>IFERROR(__xludf.DUMMYFUNCTION("""COMPUTED_VALUE"""),8.0)</f>
        <v>8</v>
      </c>
      <c r="U59" s="16">
        <f>IFERROR(__xludf.DUMMYFUNCTION("""COMPUTED_VALUE"""),800.0)</f>
        <v>800</v>
      </c>
      <c r="V59" s="15">
        <f>IFERROR(__xludf.DUMMYFUNCTION("""COMPUTED_VALUE"""),10.5)</f>
        <v>10.5</v>
      </c>
      <c r="W59" s="16">
        <f>IFERROR(__xludf.DUMMYFUNCTION("""COMPUTED_VALUE"""),1050.0)</f>
        <v>1050</v>
      </c>
      <c r="X59" s="15"/>
      <c r="Y59" s="16"/>
      <c r="Z59" s="15"/>
      <c r="AA59" s="16"/>
      <c r="AB59" s="15">
        <f>IFERROR(__xludf.DUMMYFUNCTION("""COMPUTED_VALUE"""),8.5)</f>
        <v>8.5</v>
      </c>
      <c r="AC59" s="16">
        <f>IFERROR(__xludf.DUMMYFUNCTION("""COMPUTED_VALUE"""),850.0)</f>
        <v>850</v>
      </c>
      <c r="AD59" s="15"/>
      <c r="AE59" s="16"/>
      <c r="AF59" s="15">
        <f>IFERROR(__xludf.DUMMYFUNCTION("""COMPUTED_VALUE"""),8.5)</f>
        <v>8.5</v>
      </c>
      <c r="AG59" s="16">
        <f>IFERROR(__xludf.DUMMYFUNCTION("""COMPUTED_VALUE"""),850.0)</f>
        <v>850</v>
      </c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Koška-x")</f>
        <v>Ladislav Koška-x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>
        <f>IFERROR(__xludf.DUMMYFUNCTION("""COMPUTED_VALUE"""),8.0)</f>
        <v>8</v>
      </c>
      <c r="U67" s="16"/>
      <c r="V67" s="15"/>
      <c r="W67" s="16"/>
      <c r="X67" s="15">
        <f>IFERROR(__xludf.DUMMYFUNCTION("""COMPUTED_VALUE"""),7.0)</f>
        <v>7</v>
      </c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>
        <f>IFERROR(__xludf.DUMMYFUNCTION("""COMPUTED_VALUE"""),8.0)</f>
        <v>8</v>
      </c>
      <c r="AQ67" s="16"/>
      <c r="AR67" s="15"/>
      <c r="AS67" s="16"/>
      <c r="AT67" s="15"/>
      <c r="AU67" s="16"/>
      <c r="AV67" s="15"/>
      <c r="AW67" s="16"/>
      <c r="AX67" s="15"/>
      <c r="AY67" s="16"/>
      <c r="AZ67" s="15">
        <f>IFERROR(__xludf.DUMMYFUNCTION("""COMPUTED_VALUE"""),10.0)</f>
        <v>10</v>
      </c>
      <c r="BA67" s="16"/>
      <c r="BB67" s="15">
        <f>IFERROR(__xludf.DUMMYFUNCTION("""COMPUTED_VALUE"""),4.0)</f>
        <v>4</v>
      </c>
      <c r="BC67" s="16"/>
      <c r="BD67" s="15">
        <f>IFERROR(__xludf.DUMMYFUNCTION("""COMPUTED_VALUE"""),7.0)</f>
        <v>7</v>
      </c>
      <c r="BE67" s="16"/>
      <c r="BF67" s="15">
        <f>IFERROR(__xludf.DUMMYFUNCTION("""COMPUTED_VALUE"""),7.0)</f>
        <v>7</v>
      </c>
      <c r="BG67" s="16"/>
      <c r="BH67" s="15"/>
      <c r="BI67" s="16"/>
      <c r="BJ67" s="15">
        <f>IFERROR(__xludf.DUMMYFUNCTION("""COMPUTED_VALUE"""),5.0)</f>
        <v>5</v>
      </c>
      <c r="BK67" s="16"/>
      <c r="BL67" s="3"/>
    </row>
    <row r="68">
      <c r="A68" s="14" t="str">
        <f>IFERROR(__xludf.DUMMYFUNCTION("""COMPUTED_VALUE"""),"Miroslav Kuchař")</f>
        <v>Miroslav Kuchař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>
        <f>IFERROR(__xludf.DUMMYFUNCTION("""COMPUTED_VALUE"""),6.0)</f>
        <v>6</v>
      </c>
      <c r="AM74" s="16">
        <f>IFERROR(__xludf.DUMMYFUNCTION("""COMPUTED_VALUE"""),600.0)</f>
        <v>600</v>
      </c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Hlavatý-x")</f>
        <v>Ladislav Hlavatý-x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>
        <f>IFERROR(__xludf.DUMMYFUNCTION("""COMPUTED_VALUE"""),10.0)</f>
        <v>10</v>
      </c>
      <c r="K84" s="13"/>
      <c r="L84" s="12">
        <f>IFERROR(__xludf.DUMMYFUNCTION("""COMPUTED_VALUE"""),6.0)</f>
        <v>6</v>
      </c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>
        <f>IFERROR(__xludf.DUMMYFUNCTION("""COMPUTED_VALUE"""),7.0)</f>
        <v>7</v>
      </c>
      <c r="AC84" s="13"/>
      <c r="AD84" s="12"/>
      <c r="AE84" s="13"/>
      <c r="AF84" s="12"/>
      <c r="AG84" s="13"/>
      <c r="AH84" s="12"/>
      <c r="AI84" s="13"/>
      <c r="AJ84" s="12">
        <f>IFERROR(__xludf.DUMMYFUNCTION("""COMPUTED_VALUE"""),8.0)</f>
        <v>8</v>
      </c>
      <c r="AK84" s="13"/>
      <c r="AL84" s="12">
        <f>IFERROR(__xludf.DUMMYFUNCTION("""COMPUTED_VALUE"""),9.0)</f>
        <v>9</v>
      </c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 t="str">
        <f>IFERROR(__xludf.DUMMYFUNCTION("""COMPUTED_VALUE"""),"Lukáš Karhan")</f>
        <v>Lukáš Karhan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 t="str">
        <f>IFERROR(__xludf.DUMMYFUNCTION("""COMPUTED_VALUE"""),"Josef Heinisch-x")</f>
        <v>Josef Heinisch-x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Elčkner-x")</f>
        <v>Jakub Elčkner-x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>
        <f>IFERROR(__xludf.DUMMYFUNCTION("""COMPUTED_VALUE"""),7.0)</f>
        <v>7</v>
      </c>
      <c r="O90" s="13"/>
      <c r="P90" s="12"/>
      <c r="Q90" s="13"/>
      <c r="R90" s="12"/>
      <c r="S90" s="13"/>
      <c r="T90" s="12"/>
      <c r="U90" s="13"/>
      <c r="V90" s="12"/>
      <c r="W90" s="13"/>
      <c r="X90" s="12">
        <f>IFERROR(__xludf.DUMMYFUNCTION("""COMPUTED_VALUE"""),10.0)</f>
        <v>10</v>
      </c>
      <c r="Y90" s="13"/>
      <c r="Z90" s="12">
        <f>IFERROR(__xludf.DUMMYFUNCTION("""COMPUTED_VALUE"""),6.0)</f>
        <v>6</v>
      </c>
      <c r="AA90" s="13"/>
      <c r="AB90" s="12"/>
      <c r="AC90" s="13"/>
      <c r="AD90" s="12"/>
      <c r="AE90" s="13"/>
      <c r="AF90" s="12"/>
      <c r="AG90" s="13"/>
      <c r="AH90" s="12"/>
      <c r="AI90" s="13"/>
      <c r="AJ90" s="12">
        <f>IFERROR(__xludf.DUMMYFUNCTION("""COMPUTED_VALUE"""),14.0)</f>
        <v>14</v>
      </c>
      <c r="AK90" s="13"/>
      <c r="AL90" s="12">
        <f>IFERROR(__xludf.DUMMYFUNCTION("""COMPUTED_VALUE"""),10.0)</f>
        <v>10</v>
      </c>
      <c r="AM90" s="13"/>
      <c r="AN90" s="12">
        <f>IFERROR(__xludf.DUMMYFUNCTION("""COMPUTED_VALUE"""),12.0)</f>
        <v>12</v>
      </c>
      <c r="AO90" s="13"/>
      <c r="AP90" s="12">
        <f>IFERROR(__xludf.DUMMYFUNCTION("""COMPUTED_VALUE"""),8.0)</f>
        <v>8</v>
      </c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>
        <f>IFERROR(__xludf.DUMMYFUNCTION("""COMPUTED_VALUE"""),8.0)</f>
        <v>8</v>
      </c>
      <c r="BE90" s="13"/>
      <c r="BF90" s="12">
        <f>IFERROR(__xludf.DUMMYFUNCTION("""COMPUTED_VALUE"""),8.0)</f>
        <v>8</v>
      </c>
      <c r="BG90" s="13"/>
      <c r="BH90" s="12"/>
      <c r="BI90" s="13"/>
      <c r="BJ90" s="12">
        <f>IFERROR(__xludf.DUMMYFUNCTION("""COMPUTED_VALUE"""),5.0)</f>
        <v>5</v>
      </c>
      <c r="BK90" s="13"/>
      <c r="BL90" s="3"/>
    </row>
    <row r="91">
      <c r="A91" s="14" t="str">
        <f>IFERROR(__xludf.DUMMYFUNCTION("""COMPUTED_VALUE"""),"Adéla Janáčková-x")</f>
        <v>Adéla Janáčková-x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Sajdl-x")</f>
        <v>Martin Sajdl-x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>
        <f>IFERROR(__xludf.DUMMYFUNCTION("""COMPUTED_VALUE"""),8.5)</f>
        <v>8.5</v>
      </c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>
        <f>IFERROR(__xludf.DUMMYFUNCTION("""COMPUTED_VALUE"""),8.5)</f>
        <v>8.5</v>
      </c>
      <c r="C94" s="16"/>
      <c r="D94" s="15"/>
      <c r="E94" s="16"/>
      <c r="F94" s="15"/>
      <c r="G94" s="16"/>
      <c r="H94" s="15">
        <f>IFERROR(__xludf.DUMMYFUNCTION("""COMPUTED_VALUE"""),10.0)</f>
        <v>10</v>
      </c>
      <c r="I94" s="16"/>
      <c r="J94" s="15">
        <f>IFERROR(__xludf.DUMMYFUNCTION("""COMPUTED_VALUE"""),16.0)</f>
        <v>16</v>
      </c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>
        <f>IFERROR(__xludf.DUMMYFUNCTION("""COMPUTED_VALUE"""),8.0)</f>
        <v>8</v>
      </c>
      <c r="AE94" s="16"/>
      <c r="AF94" s="15"/>
      <c r="AG94" s="16"/>
      <c r="AH94" s="15"/>
      <c r="AI94" s="16"/>
      <c r="AJ94" s="15">
        <f>IFERROR(__xludf.DUMMYFUNCTION("""COMPUTED_VALUE"""),10.0)</f>
        <v>10</v>
      </c>
      <c r="AK94" s="16"/>
      <c r="AL94" s="15">
        <f>IFERROR(__xludf.DUMMYFUNCTION("""COMPUTED_VALUE"""),10.0)</f>
        <v>10</v>
      </c>
      <c r="AM94" s="16"/>
      <c r="AN94" s="15">
        <f>IFERROR(__xludf.DUMMYFUNCTION("""COMPUTED_VALUE"""),6.0)</f>
        <v>6</v>
      </c>
      <c r="AO94" s="16"/>
      <c r="AP94" s="15"/>
      <c r="AQ94" s="16"/>
      <c r="AR94" s="15">
        <f>IFERROR(__xludf.DUMMYFUNCTION("""COMPUTED_VALUE"""),8.0)</f>
        <v>8</v>
      </c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Horký-x")</f>
        <v>Martin Horký-x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Zámečník-x")</f>
        <v>Martin Zámečník-x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 t="str">
        <f>IFERROR(__xludf.DUMMYFUNCTION("""COMPUTED_VALUE"""),"Dominik Scharf-x")</f>
        <v>Dominik Scharf-x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>
        <f>IFERROR(__xludf.DUMMYFUNCTION("""COMPUTED_VALUE"""),3.0)</f>
        <v>3</v>
      </c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>
        <f>IFERROR(__xludf.DUMMYFUNCTION("""COMPUTED_VALUE"""),7.0)</f>
        <v>7</v>
      </c>
      <c r="U105" s="13"/>
      <c r="V105" s="12"/>
      <c r="W105" s="13"/>
      <c r="X105" s="12"/>
      <c r="Y105" s="13"/>
      <c r="Z105" s="12"/>
      <c r="AA105" s="13"/>
      <c r="AB105" s="12"/>
      <c r="AC105" s="13"/>
      <c r="AD105" s="12">
        <f>IFERROR(__xludf.DUMMYFUNCTION("""COMPUTED_VALUE"""),1.0)</f>
        <v>1</v>
      </c>
      <c r="AE105" s="13"/>
      <c r="AF105" s="12"/>
      <c r="AG105" s="13"/>
      <c r="AH105" s="12">
        <f>IFERROR(__xludf.DUMMYFUNCTION("""COMPUTED_VALUE"""),3.0)</f>
        <v>3</v>
      </c>
      <c r="AI105" s="13"/>
      <c r="AJ105" s="12"/>
      <c r="AK105" s="13"/>
      <c r="AL105" s="12"/>
      <c r="AM105" s="13"/>
      <c r="AN105" s="12">
        <f>IFERROR(__xludf.DUMMYFUNCTION("""COMPUTED_VALUE"""),6.0)</f>
        <v>6</v>
      </c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>
        <f>IFERROR(__xludf.DUMMYFUNCTION("""COMPUTED_VALUE"""),8.0)</f>
        <v>8</v>
      </c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>
        <f>IFERROR(__xludf.DUMMYFUNCTION("""COMPUTED_VALUE"""),10.0)</f>
        <v>10</v>
      </c>
      <c r="AM107" s="16"/>
      <c r="AN107" s="15">
        <f>IFERROR(__xludf.DUMMYFUNCTION("""COMPUTED_VALUE"""),6.0)</f>
        <v>6</v>
      </c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>
        <f>IFERROR(__xludf.DUMMYFUNCTION("""COMPUTED_VALUE"""),7.0)</f>
        <v>7</v>
      </c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>
        <f>IFERROR(__xludf.DUMMYFUNCTION("""COMPUTED_VALUE"""),7.0)</f>
        <v>7</v>
      </c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>
        <f>IFERROR(__xludf.DUMMYFUNCTION("""COMPUTED_VALUE"""),5.0)</f>
        <v>5</v>
      </c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Bursík-x")</f>
        <v>Lukáš Bursík-x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 t="str">
        <f>IFERROR(__xludf.DUMMYFUNCTION("""COMPUTED_VALUE"""),"Matěj Kopčil")</f>
        <v>Matěj Kopčil</v>
      </c>
      <c r="B110" s="15">
        <f>IFERROR(__xludf.DUMMYFUNCTION("""COMPUTED_VALUE"""),10.5)</f>
        <v>10.5</v>
      </c>
      <c r="C110" s="16">
        <f>IFERROR(__xludf.DUMMYFUNCTION("""COMPUTED_VALUE"""),1050.0)</f>
        <v>1050</v>
      </c>
      <c r="D110" s="15">
        <f>IFERROR(__xludf.DUMMYFUNCTION("""COMPUTED_VALUE"""),4.5)</f>
        <v>4.5</v>
      </c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>
        <f>IFERROR(__xludf.DUMMYFUNCTION("""COMPUTED_VALUE"""),8.0)</f>
        <v>8</v>
      </c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 t="str">
        <f>IFERROR(__xludf.DUMMYFUNCTION("""COMPUTED_VALUE"""),"Nicholas Merunka-x")</f>
        <v>Nicholas Merunka-x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>
        <f>IFERROR(__xludf.DUMMYFUNCTION("""COMPUTED_VALUE"""),7.5)</f>
        <v>7.5</v>
      </c>
      <c r="S111" s="13"/>
      <c r="T111" s="12"/>
      <c r="U111" s="13"/>
      <c r="V111" s="12">
        <f>IFERROR(__xludf.DUMMYFUNCTION("""COMPUTED_VALUE"""),10.0)</f>
        <v>10</v>
      </c>
      <c r="W111" s="13"/>
      <c r="X111" s="12">
        <f>IFERROR(__xludf.DUMMYFUNCTION("""COMPUTED_VALUE"""),7.0)</f>
        <v>7</v>
      </c>
      <c r="Y111" s="13"/>
      <c r="Z111" s="12">
        <f>IFERROR(__xludf.DUMMYFUNCTION("""COMPUTED_VALUE"""),12.0)</f>
        <v>12</v>
      </c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 t="str">
        <f>IFERROR(__xludf.DUMMYFUNCTION("""COMPUTED_VALUE"""),"Dominik Predka")</f>
        <v>Dominik Predka</v>
      </c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>
        <f>IFERROR(__xludf.DUMMYFUNCTION("""COMPUTED_VALUE"""),6.0)</f>
        <v>6</v>
      </c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>
        <f>IFERROR(__xludf.DUMMYFUNCTION("""COMPUTED_VALUE"""),4.0)</f>
        <v>4</v>
      </c>
      <c r="AO112" s="16"/>
      <c r="AP112" s="15"/>
      <c r="AQ112" s="16"/>
      <c r="AR112" s="15">
        <f>IFERROR(__xludf.DUMMYFUNCTION("""COMPUTED_VALUE"""),6.0)</f>
        <v>6</v>
      </c>
      <c r="AS112" s="16"/>
      <c r="AT112" s="15"/>
      <c r="AU112" s="16"/>
      <c r="AV112" s="15"/>
      <c r="AW112" s="16"/>
      <c r="AX112" s="15"/>
      <c r="AY112" s="16"/>
      <c r="AZ112" s="15"/>
      <c r="BA112" s="16"/>
      <c r="BB112" s="15">
        <f>IFERROR(__xludf.DUMMYFUNCTION("""COMPUTED_VALUE"""),6.0)</f>
        <v>6</v>
      </c>
      <c r="BC112" s="16"/>
      <c r="BD112" s="15"/>
      <c r="BE112" s="16"/>
      <c r="BF112" s="15"/>
      <c r="BG112" s="16"/>
      <c r="BH112" s="15">
        <f>IFERROR(__xludf.DUMMYFUNCTION("""COMPUTED_VALUE"""),8.0)</f>
        <v>8</v>
      </c>
      <c r="BI112" s="16"/>
      <c r="BJ112" s="15"/>
      <c r="BK112" s="16"/>
      <c r="BL112" s="3"/>
    </row>
    <row r="113">
      <c r="A113" s="14" t="str">
        <f>IFERROR(__xludf.DUMMYFUNCTION("""COMPUTED_VALUE"""),"Petr Květ")</f>
        <v>Petr Květ</v>
      </c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>
        <f>IFERROR(__xludf.DUMMYFUNCTION("""COMPUTED_VALUE"""),10.0)</f>
        <v>10</v>
      </c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 t="str">
        <f>IFERROR(__xludf.DUMMYFUNCTION("""COMPUTED_VALUE"""),"Rostislav Horváth")</f>
        <v>Rostislav Horváth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>
        <f>IFERROR(__xludf.DUMMYFUNCTION("""COMPUTED_VALUE"""),4.5)</f>
        <v>4.5</v>
      </c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>
        <f>IFERROR(__xludf.DUMMYFUNCTION("""COMPUTED_VALUE"""),9.0)</f>
        <v>9</v>
      </c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 t="str">
        <f>IFERROR(__xludf.DUMMYFUNCTION("""COMPUTED_VALUE"""),"Martina Szabóová")</f>
        <v>Martina Szabóová</v>
      </c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>
        <f>IFERROR(__xludf.DUMMYFUNCTION("""COMPUTED_VALUE"""),8.5)</f>
        <v>8.5</v>
      </c>
      <c r="AQ115" s="16"/>
      <c r="AR115" s="15">
        <f>IFERROR(__xludf.DUMMYFUNCTION("""COMPUTED_VALUE"""),5.0)</f>
        <v>5</v>
      </c>
      <c r="AS115" s="16"/>
      <c r="AT115" s="15"/>
      <c r="AU115" s="16"/>
      <c r="AV115" s="15"/>
      <c r="AW115" s="16"/>
      <c r="AX115" s="15"/>
      <c r="AY115" s="16"/>
      <c r="AZ115" s="15">
        <f>IFERROR(__xludf.DUMMYFUNCTION("""COMPUTED_VALUE"""),16.0)</f>
        <v>16</v>
      </c>
      <c r="BA115" s="16"/>
      <c r="BB115" s="15"/>
      <c r="BC115" s="16"/>
      <c r="BD115" s="15"/>
      <c r="BE115" s="16"/>
      <c r="BF115" s="15">
        <f>IFERROR(__xludf.DUMMYFUNCTION("""COMPUTED_VALUE"""),8.0)</f>
        <v>8</v>
      </c>
      <c r="BG115" s="16"/>
      <c r="BH115" s="15">
        <f>IFERROR(__xludf.DUMMYFUNCTION("""COMPUTED_VALUE"""),8.0)</f>
        <v>8</v>
      </c>
      <c r="BI115" s="16"/>
      <c r="BJ115" s="15"/>
      <c r="BK115" s="16"/>
      <c r="BL115" s="3"/>
    </row>
    <row r="116">
      <c r="A116" s="14" t="str">
        <f>IFERROR(__xludf.DUMMYFUNCTION("""COMPUTED_VALUE"""),"Jakub Filipenský")</f>
        <v>Jakub Filipenský</v>
      </c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>
        <f>IFERROR(__xludf.DUMMYFUNCTION("""COMPUTED_VALUE"""),5.0)</f>
        <v>5</v>
      </c>
      <c r="AG116" s="16"/>
      <c r="AH116" s="15">
        <f>IFERROR(__xludf.DUMMYFUNCTION("""COMPUTED_VALUE"""),8.0)</f>
        <v>8</v>
      </c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>
        <f>IFERROR(__xludf.DUMMYFUNCTION("""COMPUTED_VALUE"""),8.0)</f>
        <v>8</v>
      </c>
      <c r="BE116" s="16"/>
      <c r="BF116" s="15"/>
      <c r="BG116" s="16"/>
      <c r="BH116" s="15">
        <f>IFERROR(__xludf.DUMMYFUNCTION("""COMPUTED_VALUE"""),5.0)</f>
        <v>5</v>
      </c>
      <c r="BI116" s="16"/>
      <c r="BJ116" s="15"/>
      <c r="BK116" s="16"/>
      <c r="BL116" s="3"/>
    </row>
    <row r="117">
      <c r="A117" s="14" t="str">
        <f>IFERROR(__xludf.DUMMYFUNCTION("""COMPUTED_VALUE"""),"Karel Krpal")</f>
        <v>Karel Krpal</v>
      </c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>
        <f>IFERROR(__xludf.DUMMYFUNCTION("""COMPUTED_VALUE"""),12.0)</f>
        <v>12</v>
      </c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 t="str">
        <f>IFERROR(__xludf.DUMMYFUNCTION("""COMPUTED_VALUE"""),"Petr Muzikář")</f>
        <v>Petr Muzikář</v>
      </c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 t="str">
        <f>IFERROR(__xludf.DUMMYFUNCTION("""COMPUTED_VALUE"""),"Zubko Ladislav")</f>
        <v>Zubko Ladislav</v>
      </c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>
        <f>IFERROR(__xludf.DUMMYFUNCTION("""COMPUTED_VALUE"""),4.0)</f>
        <v>4</v>
      </c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>
        <f>IFERROR(__xludf.DUMMYFUNCTION("""COMPUTED_VALUE"""),8.0)</f>
        <v>8</v>
      </c>
      <c r="BG119" s="16"/>
      <c r="BH119" s="15">
        <f>IFERROR(__xludf.DUMMYFUNCTION("""COMPUTED_VALUE"""),6.0)</f>
        <v>6</v>
      </c>
      <c r="BI119" s="16"/>
      <c r="BJ119" s="15">
        <f>IFERROR(__xludf.DUMMYFUNCTION("""COMPUTED_VALUE"""),5.0)</f>
        <v>5</v>
      </c>
      <c r="BK119" s="16"/>
      <c r="BL119" s="3"/>
    </row>
    <row r="120">
      <c r="A120" s="14" t="str">
        <f>IFERROR(__xludf.DUMMYFUNCTION("""COMPUTED_VALUE"""),"Dominik Cipra")</f>
        <v>Dominik Cipra</v>
      </c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 t="str">
        <f>IFERROR(__xludf.DUMMYFUNCTION("""COMPUTED_VALUE"""),"Václav Bárta")</f>
        <v>Václav Bárta</v>
      </c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IFERROR(__xludf.DUMMYFUNCTION("IMPORTRANGE(""https://docs.google.com/spreadsheets/d/11IrvyGLEv6LLa8Enx4lR2ywrqauvc79kRB1B7hRLZ1A"", ""Přehled mzdy!C3:BM30"")"),"Instore")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>
        <f>IFERROR(__xludf.DUMMYFUNCTION("""COMPUTED_VALUE"""),3.0)</f>
        <v>3</v>
      </c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>
        <f>IFERROR(__xludf.DUMMYFUNCTION("""COMPUTED_VALUE"""),18.0)</f>
        <v>18</v>
      </c>
      <c r="I127" s="16"/>
      <c r="J127" s="15"/>
      <c r="K127" s="16"/>
      <c r="L127" s="15">
        <f>IFERROR(__xludf.DUMMYFUNCTION("""COMPUTED_VALUE"""),14.0)</f>
        <v>14</v>
      </c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>
        <f>IFERROR(__xludf.DUMMYFUNCTION("""COMPUTED_VALUE"""),16.0)</f>
        <v>16</v>
      </c>
      <c r="AG127" s="16"/>
      <c r="AH127" s="15"/>
      <c r="AI127" s="16"/>
      <c r="AJ127" s="15">
        <f>IFERROR(__xludf.DUMMYFUNCTION("""COMPUTED_VALUE"""),18.0)</f>
        <v>18</v>
      </c>
      <c r="AK127" s="16"/>
      <c r="AL127" s="15">
        <f>IFERROR(__xludf.DUMMYFUNCTION("""COMPUTED_VALUE"""),8.0)</f>
        <v>8</v>
      </c>
      <c r="AM127" s="16"/>
      <c r="AN127" s="15"/>
      <c r="AO127" s="16"/>
      <c r="AP127" s="15">
        <f>IFERROR(__xludf.DUMMYFUNCTION("""COMPUTED_VALUE"""),16.0)</f>
        <v>16</v>
      </c>
      <c r="AQ127" s="16"/>
      <c r="AR127" s="15"/>
      <c r="AS127" s="16"/>
      <c r="AT127" s="15"/>
      <c r="AU127" s="16"/>
      <c r="AV127" s="15"/>
      <c r="AW127" s="16"/>
      <c r="AX127" s="15"/>
      <c r="AY127" s="16"/>
      <c r="AZ127" s="15">
        <f>IFERROR(__xludf.DUMMYFUNCTION("""COMPUTED_VALUE"""),8.0)</f>
        <v>8</v>
      </c>
      <c r="BA127" s="16"/>
      <c r="BB127" s="15">
        <f>IFERROR(__xludf.DUMMYFUNCTION("""COMPUTED_VALUE"""),14.0)</f>
        <v>14</v>
      </c>
      <c r="BC127" s="16"/>
      <c r="BD127" s="15"/>
      <c r="BE127" s="16"/>
      <c r="BF127" s="15"/>
      <c r="BG127" s="16"/>
      <c r="BH127" s="15">
        <f>IFERROR(__xludf.DUMMYFUNCTION("""COMPUTED_VALUE"""),15.0)</f>
        <v>15</v>
      </c>
      <c r="BI127" s="16"/>
      <c r="BJ127" s="15">
        <f>IFERROR(__xludf.DUMMYFUNCTION("""COMPUTED_VALUE"""),5.0)</f>
        <v>5</v>
      </c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>
        <f>IFERROR(__xludf.DUMMYFUNCTION("""COMPUTED_VALUE"""),8.0)</f>
        <v>8</v>
      </c>
      <c r="C129" s="16"/>
      <c r="D129" s="15">
        <f>IFERROR(__xludf.DUMMYFUNCTION("""COMPUTED_VALUE"""),8.0)</f>
        <v>8</v>
      </c>
      <c r="E129" s="16"/>
      <c r="F129" s="15">
        <f>IFERROR(__xludf.DUMMYFUNCTION("""COMPUTED_VALUE"""),16.0)</f>
        <v>16</v>
      </c>
      <c r="G129" s="16"/>
      <c r="H129" s="15"/>
      <c r="I129" s="16"/>
      <c r="J129" s="15"/>
      <c r="K129" s="16"/>
      <c r="L129" s="15"/>
      <c r="M129" s="16"/>
      <c r="N129" s="15">
        <f>IFERROR(__xludf.DUMMYFUNCTION("""COMPUTED_VALUE"""),8.0)</f>
        <v>8</v>
      </c>
      <c r="O129" s="16"/>
      <c r="P129" s="15">
        <f>IFERROR(__xludf.DUMMYFUNCTION("""COMPUTED_VALUE"""),8.0)</f>
        <v>8</v>
      </c>
      <c r="Q129" s="16"/>
      <c r="R129" s="15">
        <f>IFERROR(__xludf.DUMMYFUNCTION("""COMPUTED_VALUE"""),8.0)</f>
        <v>8</v>
      </c>
      <c r="S129" s="16"/>
      <c r="T129" s="15">
        <f>IFERROR(__xludf.DUMMYFUNCTION("""COMPUTED_VALUE"""),8.0)</f>
        <v>8</v>
      </c>
      <c r="U129" s="16"/>
      <c r="V129" s="15">
        <f>IFERROR(__xludf.DUMMYFUNCTION("""COMPUTED_VALUE"""),8.0)</f>
        <v>8</v>
      </c>
      <c r="W129" s="16"/>
      <c r="X129" s="15"/>
      <c r="Y129" s="16"/>
      <c r="Z129" s="15"/>
      <c r="AA129" s="16"/>
      <c r="AB129" s="15">
        <f>IFERROR(__xludf.DUMMYFUNCTION("""COMPUTED_VALUE"""),8.0)</f>
        <v>8</v>
      </c>
      <c r="AC129" s="16"/>
      <c r="AD129" s="15">
        <f>IFERROR(__xludf.DUMMYFUNCTION("""COMPUTED_VALUE"""),8.0)</f>
        <v>8</v>
      </c>
      <c r="AE129" s="16">
        <f>IFERROR(__xludf.DUMMYFUNCTION("""COMPUTED_VALUE"""),1000.0)</f>
        <v>1000</v>
      </c>
      <c r="AF129" s="15">
        <f>IFERROR(__xludf.DUMMYFUNCTION("""COMPUTED_VALUE"""),8.0)</f>
        <v>8</v>
      </c>
      <c r="AG129" s="16"/>
      <c r="AH129" s="15">
        <f>IFERROR(__xludf.DUMMYFUNCTION("""COMPUTED_VALUE"""),8.0)</f>
        <v>8</v>
      </c>
      <c r="AI129" s="16"/>
      <c r="AJ129" s="15">
        <f>IFERROR(__xludf.DUMMYFUNCTION("""COMPUTED_VALUE"""),8.0)</f>
        <v>8</v>
      </c>
      <c r="AK129" s="16"/>
      <c r="AL129" s="15"/>
      <c r="AM129" s="16"/>
      <c r="AN129" s="15"/>
      <c r="AO129" s="16"/>
      <c r="AP129" s="15"/>
      <c r="AQ129" s="16"/>
      <c r="AR129" s="15">
        <f>IFERROR(__xludf.DUMMYFUNCTION("""COMPUTED_VALUE"""),8.0)</f>
        <v>8</v>
      </c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>
        <f>IFERROR(__xludf.DUMMYFUNCTION("""COMPUTED_VALUE"""),10.0)</f>
        <v>10</v>
      </c>
      <c r="K130" s="16"/>
      <c r="L130" s="15"/>
      <c r="M130" s="16"/>
      <c r="N130" s="15"/>
      <c r="O130" s="16"/>
      <c r="P130" s="15">
        <f>IFERROR(__xludf.DUMMYFUNCTION("""COMPUTED_VALUE"""),15.0)</f>
        <v>15</v>
      </c>
      <c r="Q130" s="16"/>
      <c r="R130" s="15">
        <f>IFERROR(__xludf.DUMMYFUNCTION("""COMPUTED_VALUE"""),10.0)</f>
        <v>10</v>
      </c>
      <c r="S130" s="16"/>
      <c r="T130" s="15">
        <f>IFERROR(__xludf.DUMMYFUNCTION("""COMPUTED_VALUE"""),10.5)</f>
        <v>10.5</v>
      </c>
      <c r="U130" s="16"/>
      <c r="V130" s="15">
        <f>IFERROR(__xludf.DUMMYFUNCTION("""COMPUTED_VALUE"""),18.0)</f>
        <v>18</v>
      </c>
      <c r="W130" s="16"/>
      <c r="X130" s="15">
        <f>IFERROR(__xludf.DUMMYFUNCTION("""COMPUTED_VALUE"""),10.0)</f>
        <v>10</v>
      </c>
      <c r="Y130" s="16"/>
      <c r="Z130" s="15">
        <f>IFERROR(__xludf.DUMMYFUNCTION("""COMPUTED_VALUE"""),7.0)</f>
        <v>7</v>
      </c>
      <c r="AA130" s="16"/>
      <c r="AB130" s="15"/>
      <c r="AC130" s="16"/>
      <c r="AD130" s="15">
        <f>IFERROR(__xludf.DUMMYFUNCTION("""COMPUTED_VALUE"""),16.0)</f>
        <v>16</v>
      </c>
      <c r="AE130" s="16"/>
      <c r="AF130" s="15"/>
      <c r="AG130" s="16"/>
      <c r="AH130" s="15">
        <f>IFERROR(__xludf.DUMMYFUNCTION("""COMPUTED_VALUE"""),8.0)</f>
        <v>8</v>
      </c>
      <c r="AI130" s="16"/>
      <c r="AJ130" s="15"/>
      <c r="AK130" s="16"/>
      <c r="AL130" s="15">
        <f>IFERROR(__xludf.DUMMYFUNCTION("""COMPUTED_VALUE"""),10.0)</f>
        <v>10</v>
      </c>
      <c r="AM130" s="16"/>
      <c r="AN130" s="15">
        <f>IFERROR(__xludf.DUMMYFUNCTION("""COMPUTED_VALUE"""),6.0)</f>
        <v>6</v>
      </c>
      <c r="AO130" s="16"/>
      <c r="AP130" s="15">
        <f>IFERROR(__xludf.DUMMYFUNCTION("""COMPUTED_VALUE"""),10.0)</f>
        <v>10</v>
      </c>
      <c r="AQ130" s="16"/>
      <c r="AR130" s="15">
        <f>IFERROR(__xludf.DUMMYFUNCTION("""COMPUTED_VALUE"""),8.0)</f>
        <v>8</v>
      </c>
      <c r="AS130" s="16"/>
      <c r="AT130" s="15"/>
      <c r="AU130" s="16"/>
      <c r="AV130" s="15"/>
      <c r="AW130" s="16"/>
      <c r="AX130" s="15"/>
      <c r="AY130" s="16"/>
      <c r="AZ130" s="15">
        <f>IFERROR(__xludf.DUMMYFUNCTION("""COMPUTED_VALUE"""),18.0)</f>
        <v>18</v>
      </c>
      <c r="BA130" s="16"/>
      <c r="BB130" s="15">
        <f>IFERROR(__xludf.DUMMYFUNCTION("""COMPUTED_VALUE"""),12.0)</f>
        <v>12</v>
      </c>
      <c r="BC130" s="16"/>
      <c r="BD130" s="15">
        <f>IFERROR(__xludf.DUMMYFUNCTION("""COMPUTED_VALUE"""),16.0)</f>
        <v>16</v>
      </c>
      <c r="BE130" s="16"/>
      <c r="BF130" s="15">
        <f>IFERROR(__xludf.DUMMYFUNCTION("""COMPUTED_VALUE"""),11.0)</f>
        <v>11</v>
      </c>
      <c r="BG130" s="16"/>
      <c r="BH130" s="15">
        <f>IFERROR(__xludf.DUMMYFUNCTION("""COMPUTED_VALUE"""),8.0)</f>
        <v>8</v>
      </c>
      <c r="BI130" s="16"/>
      <c r="BJ130" s="15">
        <f>IFERROR(__xludf.DUMMYFUNCTION("""COMPUTED_VALUE"""),12.0)</f>
        <v>12</v>
      </c>
      <c r="BK130" s="16"/>
      <c r="BL130" s="3"/>
    </row>
    <row r="131">
      <c r="A131" s="11" t="str">
        <f>IFERROR(__xludf.DUMMYFUNCTION("""COMPUTED_VALUE"""),"Filip Štěrba")</f>
        <v>Filip Štěrba</v>
      </c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/>
      <c r="AK131" s="13"/>
      <c r="AL131" s="12"/>
      <c r="AM131" s="13"/>
      <c r="AN131" s="12"/>
      <c r="AO131" s="13"/>
      <c r="AP131" s="12"/>
      <c r="AQ131" s="13"/>
      <c r="AR131" s="12"/>
      <c r="AS131" s="13"/>
      <c r="AT131" s="12"/>
      <c r="AU131" s="13"/>
      <c r="AV131" s="12"/>
      <c r="AW131" s="13"/>
      <c r="AX131" s="12"/>
      <c r="AY131" s="13"/>
      <c r="AZ131" s="12"/>
      <c r="BA131" s="13"/>
      <c r="BB131" s="12"/>
      <c r="BC131" s="13"/>
      <c r="BD131" s="12"/>
      <c r="BE131" s="13"/>
      <c r="BF131" s="12"/>
      <c r="BG131" s="13"/>
      <c r="BH131" s="12"/>
      <c r="BI131" s="13"/>
      <c r="BJ131" s="12"/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>
        <f>IFERROR(__xludf.DUMMYFUNCTION("""COMPUTED_VALUE"""),7.0)</f>
        <v>7</v>
      </c>
      <c r="G142" s="16"/>
      <c r="H142" s="15">
        <f>IFERROR(__xludf.DUMMYFUNCTION("""COMPUTED_VALUE"""),11.0)</f>
        <v>11</v>
      </c>
      <c r="I142" s="16"/>
      <c r="J142" s="15"/>
      <c r="K142" s="16"/>
      <c r="L142" s="15"/>
      <c r="M142" s="16"/>
      <c r="N142" s="15">
        <f>IFERROR(__xludf.DUMMYFUNCTION("""COMPUTED_VALUE"""),6.0)</f>
        <v>6</v>
      </c>
      <c r="O142" s="16"/>
      <c r="P142" s="15"/>
      <c r="Q142" s="16"/>
      <c r="R142" s="15">
        <f>IFERROR(__xludf.DUMMYFUNCTION("""COMPUTED_VALUE"""),7.5)</f>
        <v>7.5</v>
      </c>
      <c r="S142" s="16"/>
      <c r="T142" s="15"/>
      <c r="U142" s="16"/>
      <c r="V142" s="15">
        <f>IFERROR(__xludf.DUMMYFUNCTION("""COMPUTED_VALUE"""),10.5)</f>
        <v>10.5</v>
      </c>
      <c r="W142" s="16"/>
      <c r="X142" s="15">
        <f>IFERROR(__xludf.DUMMYFUNCTION("""COMPUTED_VALUE"""),8.0)</f>
        <v>8</v>
      </c>
      <c r="Y142" s="16"/>
      <c r="Z142" s="15">
        <f>IFERROR(__xludf.DUMMYFUNCTION("""COMPUTED_VALUE"""),13.0)</f>
        <v>13</v>
      </c>
      <c r="AA142" s="16"/>
      <c r="AB142" s="15">
        <f>IFERROR(__xludf.DUMMYFUNCTION("""COMPUTED_VALUE"""),5.0)</f>
        <v>5</v>
      </c>
      <c r="AC142" s="16"/>
      <c r="AD142" s="15">
        <f>IFERROR(__xludf.DUMMYFUNCTION("""COMPUTED_VALUE"""),3.0)</f>
        <v>3</v>
      </c>
      <c r="AE142" s="16"/>
      <c r="AF142" s="15"/>
      <c r="AG142" s="16"/>
      <c r="AH142" s="15">
        <f>IFERROR(__xludf.DUMMYFUNCTION("""COMPUTED_VALUE"""),2.0)</f>
        <v>2</v>
      </c>
      <c r="AI142" s="16"/>
      <c r="AJ142" s="15"/>
      <c r="AK142" s="16"/>
      <c r="AL142" s="15">
        <f>IFERROR(__xludf.DUMMYFUNCTION("""COMPUTED_VALUE"""),15.0)</f>
        <v>15</v>
      </c>
      <c r="AM142" s="16"/>
      <c r="AN142" s="15">
        <f>IFERROR(__xludf.DUMMYFUNCTION("""COMPUTED_VALUE"""),13.0)</f>
        <v>13</v>
      </c>
      <c r="AO142" s="16"/>
      <c r="AP142" s="15"/>
      <c r="AQ142" s="16"/>
      <c r="AR142" s="15">
        <f>IFERROR(__xludf.DUMMYFUNCTION("""COMPUTED_VALUE"""),7.0)</f>
        <v>7</v>
      </c>
      <c r="AS142" s="16"/>
      <c r="AT142" s="15"/>
      <c r="AU142" s="16"/>
      <c r="AV142" s="15"/>
      <c r="AW142" s="16"/>
      <c r="AX142" s="15"/>
      <c r="AY142" s="16"/>
      <c r="AZ142" s="15">
        <f>IFERROR(__xludf.DUMMYFUNCTION("""COMPUTED_VALUE"""),8.0)</f>
        <v>8</v>
      </c>
      <c r="BA142" s="16"/>
      <c r="BB142" s="15"/>
      <c r="BC142" s="16"/>
      <c r="BD142" s="15">
        <f>IFERROR(__xludf.DUMMYFUNCTION("""COMPUTED_VALUE"""),8.0)</f>
        <v>8</v>
      </c>
      <c r="BE142" s="16"/>
      <c r="BF142" s="15"/>
      <c r="BG142" s="16"/>
      <c r="BH142" s="15"/>
      <c r="BI142" s="16"/>
      <c r="BJ142" s="15">
        <f>IFERROR(__xludf.DUMMYFUNCTION("""COMPUTED_VALUE"""),9.0)</f>
        <v>9</v>
      </c>
      <c r="BK142" s="16"/>
      <c r="BL142" s="3"/>
    </row>
    <row r="143">
      <c r="A143" s="11" t="str">
        <f>IFERROR(__xludf.DUMMYFUNCTION("""COMPUTED_VALUE"""),"Michal Nedbal")</f>
        <v>Michal Nedbal</v>
      </c>
      <c r="B143" s="12">
        <f>IFERROR(__xludf.DUMMYFUNCTION("""COMPUTED_VALUE"""),8.0)</f>
        <v>8</v>
      </c>
      <c r="C143" s="13"/>
      <c r="D143" s="12">
        <f>IFERROR(__xludf.DUMMYFUNCTION("""COMPUTED_VALUE"""),12.0)</f>
        <v>12</v>
      </c>
      <c r="E143" s="13"/>
      <c r="F143" s="12"/>
      <c r="G143" s="13"/>
      <c r="H143" s="12"/>
      <c r="I143" s="13"/>
      <c r="J143" s="12">
        <f>IFERROR(__xludf.DUMMYFUNCTION("""COMPUTED_VALUE"""),13.0)</f>
        <v>13</v>
      </c>
      <c r="K143" s="13"/>
      <c r="L143" s="12"/>
      <c r="M143" s="13"/>
      <c r="N143" s="12">
        <f>IFERROR(__xludf.DUMMYFUNCTION("""COMPUTED_VALUE"""),16.0)</f>
        <v>16</v>
      </c>
      <c r="O143" s="13"/>
      <c r="P143" s="12"/>
      <c r="Q143" s="13"/>
      <c r="R143" s="12">
        <f>IFERROR(__xludf.DUMMYFUNCTION("""COMPUTED_VALUE"""),8.0)</f>
        <v>8</v>
      </c>
      <c r="S143" s="13"/>
      <c r="T143" s="12">
        <f>IFERROR(__xludf.DUMMYFUNCTION("""COMPUTED_VALUE"""),8.0)</f>
        <v>8</v>
      </c>
      <c r="U143" s="13">
        <f>IFERROR(__xludf.DUMMYFUNCTION("""COMPUTED_VALUE"""),1000.0)</f>
        <v>1000</v>
      </c>
      <c r="V143" s="12"/>
      <c r="W143" s="13"/>
      <c r="X143" s="12">
        <f>IFERROR(__xludf.DUMMYFUNCTION("""COMPUTED_VALUE"""),8.0)</f>
        <v>8</v>
      </c>
      <c r="Y143" s="13"/>
      <c r="Z143" s="12">
        <f>IFERROR(__xludf.DUMMYFUNCTION("""COMPUTED_VALUE"""),6.0)</f>
        <v>6</v>
      </c>
      <c r="AA143" s="13"/>
      <c r="AB143" s="12">
        <f>IFERROR(__xludf.DUMMYFUNCTION("""COMPUTED_VALUE"""),16.0)</f>
        <v>16</v>
      </c>
      <c r="AC143" s="13"/>
      <c r="AD143" s="12"/>
      <c r="AE143" s="13"/>
      <c r="AF143" s="12"/>
      <c r="AG143" s="13"/>
      <c r="AH143" s="12">
        <f>IFERROR(__xludf.DUMMYFUNCTION("""COMPUTED_VALUE"""),8.0)</f>
        <v>8</v>
      </c>
      <c r="AI143" s="13"/>
      <c r="AJ143" s="12">
        <f>IFERROR(__xludf.DUMMYFUNCTION("""COMPUTED_VALUE"""),10.0)</f>
        <v>10</v>
      </c>
      <c r="AK143" s="13">
        <f>IFERROR(__xludf.DUMMYFUNCTION("""COMPUTED_VALUE"""),12000.0)</f>
        <v>12000</v>
      </c>
      <c r="AL143" s="12"/>
      <c r="AM143" s="13"/>
      <c r="AN143" s="12">
        <f>IFERROR(__xludf.DUMMYFUNCTION("""COMPUTED_VALUE"""),8.0)</f>
        <v>8</v>
      </c>
      <c r="AO143" s="13"/>
      <c r="AP143" s="12"/>
      <c r="AQ143" s="13"/>
      <c r="AR143" s="12"/>
      <c r="AS143" s="13"/>
      <c r="AT143" s="12"/>
      <c r="AU143" s="13"/>
      <c r="AV143" s="12"/>
      <c r="AW143" s="13"/>
      <c r="AX143" s="12"/>
      <c r="AY143" s="13"/>
      <c r="AZ143" s="12"/>
      <c r="BA143" s="13"/>
      <c r="BB143" s="12"/>
      <c r="BC143" s="13"/>
      <c r="BD143" s="12"/>
      <c r="BE143" s="13"/>
      <c r="BF143" s="12">
        <f>IFERROR(__xludf.DUMMYFUNCTION("""COMPUTED_VALUE"""),16.0)</f>
        <v>16</v>
      </c>
      <c r="BG143" s="13"/>
      <c r="BH143" s="12"/>
      <c r="BI143" s="13"/>
      <c r="BJ143" s="12">
        <f>IFERROR(__xludf.DUMMYFUNCTION("""COMPUTED_VALUE"""),8.0)</f>
        <v>8</v>
      </c>
      <c r="BK143" s="13">
        <f>IFERROR(__xludf.DUMMYFUNCTION("""COMPUTED_VALUE"""),500.0)</f>
        <v>500</v>
      </c>
      <c r="BL143" s="3"/>
    </row>
    <row r="144">
      <c r="A144" s="14" t="str">
        <f>IFERROR(__xludf.DUMMYFUNCTION("""COMPUTED_VALUE"""),"Jan Fialka")</f>
        <v>Jan Fialka</v>
      </c>
      <c r="B144" s="15">
        <f>IFERROR(__xludf.DUMMYFUNCTION("""COMPUTED_VALUE"""),8.0)</f>
        <v>8</v>
      </c>
      <c r="C144" s="16"/>
      <c r="D144" s="15"/>
      <c r="E144" s="16"/>
      <c r="F144" s="15">
        <f>IFERROR(__xludf.DUMMYFUNCTION("""COMPUTED_VALUE"""),7.0)</f>
        <v>7</v>
      </c>
      <c r="G144" s="16"/>
      <c r="H144" s="15"/>
      <c r="I144" s="16"/>
      <c r="J144" s="15">
        <f>IFERROR(__xludf.DUMMYFUNCTION("""COMPUTED_VALUE"""),9.0)</f>
        <v>9</v>
      </c>
      <c r="K144" s="16"/>
      <c r="L144" s="15"/>
      <c r="M144" s="16"/>
      <c r="N144" s="15">
        <f>IFERROR(__xludf.DUMMYFUNCTION("""COMPUTED_VALUE"""),8.0)</f>
        <v>8</v>
      </c>
      <c r="O144" s="16"/>
      <c r="P144" s="15">
        <f>IFERROR(__xludf.DUMMYFUNCTION("""COMPUTED_VALUE"""),7.0)</f>
        <v>7</v>
      </c>
      <c r="Q144" s="16"/>
      <c r="R144" s="15"/>
      <c r="S144" s="16"/>
      <c r="T144" s="15">
        <f>IFERROR(__xludf.DUMMYFUNCTION("""COMPUTED_VALUE"""),8.5)</f>
        <v>8.5</v>
      </c>
      <c r="U144" s="16"/>
      <c r="V144" s="15"/>
      <c r="W144" s="16"/>
      <c r="X144" s="15">
        <f>IFERROR(__xludf.DUMMYFUNCTION("""COMPUTED_VALUE"""),12.0)</f>
        <v>12</v>
      </c>
      <c r="Y144" s="16"/>
      <c r="Z144" s="15"/>
      <c r="AA144" s="16"/>
      <c r="AB144" s="15">
        <f>IFERROR(__xludf.DUMMYFUNCTION("""COMPUTED_VALUE"""),7.0)</f>
        <v>7</v>
      </c>
      <c r="AC144" s="16"/>
      <c r="AD144" s="15">
        <f>IFERROR(__xludf.DUMMYFUNCTION("""COMPUTED_VALUE"""),7.0)</f>
        <v>7</v>
      </c>
      <c r="AE144" s="16"/>
      <c r="AF144" s="15"/>
      <c r="AG144" s="16"/>
      <c r="AH144" s="15">
        <f>IFERROR(__xludf.DUMMYFUNCTION("""COMPUTED_VALUE"""),7.5)</f>
        <v>7.5</v>
      </c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 t="str">
        <f>IFERROR(__xludf.DUMMYFUNCTION("""COMPUTED_VALUE"""),"Filip Rataj")</f>
        <v>Filip Rataj</v>
      </c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>
        <f>IFERROR(__xludf.DUMMYFUNCTION("""COMPUTED_VALUE"""),6.0)</f>
        <v>6</v>
      </c>
      <c r="BI145" s="16"/>
      <c r="BJ145" s="15">
        <f>IFERROR(__xludf.DUMMYFUNCTION("""COMPUTED_VALUE"""),6.0)</f>
        <v>6</v>
      </c>
      <c r="BK145" s="16">
        <f>IFERROR(__xludf.DUMMYFUNCTION("""COMPUTED_VALUE"""),1000.0)</f>
        <v>1000</v>
      </c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  <row r="1044">
      <c r="B1044" s="3"/>
      <c r="C1044" s="26"/>
      <c r="D1044" s="3"/>
      <c r="E1044" s="26"/>
      <c r="F1044" s="3"/>
      <c r="G1044" s="26"/>
      <c r="H1044" s="3"/>
      <c r="I1044" s="26"/>
      <c r="J1044" s="3"/>
      <c r="K1044" s="26"/>
      <c r="L1044" s="3"/>
      <c r="M1044" s="26"/>
      <c r="N1044" s="3"/>
      <c r="O1044" s="26"/>
      <c r="P1044" s="3"/>
      <c r="Q1044" s="26"/>
      <c r="R1044" s="3"/>
      <c r="S1044" s="26"/>
      <c r="T1044" s="3"/>
      <c r="U1044" s="26"/>
      <c r="V1044" s="3"/>
      <c r="W1044" s="26"/>
      <c r="X1044" s="3"/>
      <c r="Y1044" s="26"/>
      <c r="Z1044" s="3"/>
      <c r="AA1044" s="26"/>
      <c r="AB1044" s="3"/>
      <c r="AC1044" s="26"/>
      <c r="AD1044" s="3"/>
      <c r="AE1044" s="26"/>
      <c r="AF1044" s="3"/>
      <c r="AG1044" s="26"/>
      <c r="AH1044" s="3"/>
      <c r="AI1044" s="26"/>
      <c r="AJ1044" s="3"/>
      <c r="AK1044" s="26"/>
      <c r="AL1044" s="3"/>
      <c r="AM1044" s="26"/>
      <c r="AN1044" s="3"/>
      <c r="AO1044" s="26"/>
      <c r="AP1044" s="3"/>
      <c r="AQ1044" s="26"/>
      <c r="AR1044" s="3"/>
      <c r="AS1044" s="26"/>
      <c r="AT1044" s="3"/>
      <c r="AU1044" s="26"/>
      <c r="AV1044" s="3"/>
      <c r="AW1044" s="26"/>
      <c r="AX1044" s="3"/>
      <c r="AY1044" s="26"/>
      <c r="AZ1044" s="3"/>
      <c r="BA1044" s="26"/>
      <c r="BB1044" s="3"/>
      <c r="BC1044" s="26"/>
      <c r="BD1044" s="3"/>
      <c r="BE1044" s="26"/>
      <c r="BF1044" s="3"/>
      <c r="BG1044" s="26"/>
      <c r="BH1044" s="3"/>
      <c r="BI1044" s="26"/>
      <c r="BJ1044" s="3"/>
      <c r="BK1044" s="26"/>
      <c r="BL1044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IFERROR(__xludf.DUMMYFUNCTION("IMPORTRANGE(""https://docs.google.com/spreadsheets/d/1oiAqvLgPlujUreUZh8I04-BWnNmb35Sj55UuOQY5Okk"", ""Přehled mzdy!BQ1:EA120"")"),"týden")</f>
        <v>týden</v>
      </c>
      <c r="B3" s="5">
        <f>IFERROR(__xludf.DUMMYFUNCTION("""COMPUTED_VALUE"""),49.0)</f>
        <v>49</v>
      </c>
      <c r="C3" s="6"/>
      <c r="D3" s="5">
        <f>IFERROR(__xludf.DUMMYFUNCTION("""COMPUTED_VALUE"""),49.0)</f>
        <v>49</v>
      </c>
      <c r="E3" s="6"/>
      <c r="F3" s="5">
        <f>IFERROR(__xludf.DUMMYFUNCTION("""COMPUTED_VALUE"""),49.0)</f>
        <v>49</v>
      </c>
      <c r="G3" s="6"/>
      <c r="H3" s="5">
        <f>IFERROR(__xludf.DUMMYFUNCTION("""COMPUTED_VALUE"""),49.0)</f>
        <v>49</v>
      </c>
      <c r="I3" s="6"/>
      <c r="J3" s="5">
        <f>IFERROR(__xludf.DUMMYFUNCTION("""COMPUTED_VALUE"""),49.0)</f>
        <v>49</v>
      </c>
      <c r="K3" s="6"/>
      <c r="L3" s="5">
        <f>IFERROR(__xludf.DUMMYFUNCTION("""COMPUTED_VALUE"""),49.0)</f>
        <v>49</v>
      </c>
      <c r="M3" s="6"/>
      <c r="N3" s="5">
        <f>IFERROR(__xludf.DUMMYFUNCTION("""COMPUTED_VALUE"""),50.0)</f>
        <v>50</v>
      </c>
      <c r="O3" s="6"/>
      <c r="P3" s="5">
        <f>IFERROR(__xludf.DUMMYFUNCTION("""COMPUTED_VALUE"""),50.0)</f>
        <v>50</v>
      </c>
      <c r="Q3" s="6"/>
      <c r="R3" s="5">
        <f>IFERROR(__xludf.DUMMYFUNCTION("""COMPUTED_VALUE"""),50.0)</f>
        <v>50</v>
      </c>
      <c r="S3" s="6"/>
      <c r="T3" s="5">
        <f>IFERROR(__xludf.DUMMYFUNCTION("""COMPUTED_VALUE"""),50.0)</f>
        <v>50</v>
      </c>
      <c r="U3" s="6"/>
      <c r="V3" s="5">
        <f>IFERROR(__xludf.DUMMYFUNCTION("""COMPUTED_VALUE"""),50.0)</f>
        <v>50</v>
      </c>
      <c r="W3" s="6"/>
      <c r="X3" s="5">
        <f>IFERROR(__xludf.DUMMYFUNCTION("""COMPUTED_VALUE"""),50.0)</f>
        <v>50</v>
      </c>
      <c r="Y3" s="6"/>
      <c r="Z3" s="5">
        <f>IFERROR(__xludf.DUMMYFUNCTION("""COMPUTED_VALUE"""),50.0)</f>
        <v>50</v>
      </c>
      <c r="AA3" s="6"/>
      <c r="AB3" s="5">
        <f>IFERROR(__xludf.DUMMYFUNCTION("""COMPUTED_VALUE"""),51.0)</f>
        <v>51</v>
      </c>
      <c r="AC3" s="6"/>
      <c r="AD3" s="5">
        <f>IFERROR(__xludf.DUMMYFUNCTION("""COMPUTED_VALUE"""),51.0)</f>
        <v>51</v>
      </c>
      <c r="AE3" s="6"/>
      <c r="AF3" s="5">
        <f>IFERROR(__xludf.DUMMYFUNCTION("""COMPUTED_VALUE"""),51.0)</f>
        <v>51</v>
      </c>
      <c r="AG3" s="6"/>
      <c r="AH3" s="5">
        <f>IFERROR(__xludf.DUMMYFUNCTION("""COMPUTED_VALUE"""),51.0)</f>
        <v>51</v>
      </c>
      <c r="AI3" s="6"/>
      <c r="AJ3" s="5">
        <f>IFERROR(__xludf.DUMMYFUNCTION("""COMPUTED_VALUE"""),51.0)</f>
        <v>51</v>
      </c>
      <c r="AK3" s="6"/>
      <c r="AL3" s="5">
        <f>IFERROR(__xludf.DUMMYFUNCTION("""COMPUTED_VALUE"""),51.0)</f>
        <v>51</v>
      </c>
      <c r="AM3" s="6"/>
      <c r="AN3" s="5">
        <f>IFERROR(__xludf.DUMMYFUNCTION("""COMPUTED_VALUE"""),51.0)</f>
        <v>51</v>
      </c>
      <c r="AO3" s="6"/>
      <c r="AP3" s="5">
        <f>IFERROR(__xludf.DUMMYFUNCTION("""COMPUTED_VALUE"""),52.0)</f>
        <v>52</v>
      </c>
      <c r="AQ3" s="6"/>
      <c r="AR3" s="5">
        <f>IFERROR(__xludf.DUMMYFUNCTION("""COMPUTED_VALUE"""),52.0)</f>
        <v>52</v>
      </c>
      <c r="AS3" s="6"/>
      <c r="AT3" s="5">
        <f>IFERROR(__xludf.DUMMYFUNCTION("""COMPUTED_VALUE"""),52.0)</f>
        <v>52</v>
      </c>
      <c r="AU3" s="6"/>
      <c r="AV3" s="5">
        <f>IFERROR(__xludf.DUMMYFUNCTION("""COMPUTED_VALUE"""),52.0)</f>
        <v>52</v>
      </c>
      <c r="AW3" s="6"/>
      <c r="AX3" s="5">
        <f>IFERROR(__xludf.DUMMYFUNCTION("""COMPUTED_VALUE"""),52.0)</f>
        <v>52</v>
      </c>
      <c r="AY3" s="6"/>
      <c r="AZ3" s="5">
        <f>IFERROR(__xludf.DUMMYFUNCTION("""COMPUTED_VALUE"""),52.0)</f>
        <v>52</v>
      </c>
      <c r="BA3" s="6"/>
      <c r="BB3" s="5">
        <f>IFERROR(__xludf.DUMMYFUNCTION("""COMPUTED_VALUE"""),52.0)</f>
        <v>52</v>
      </c>
      <c r="BC3" s="6"/>
      <c r="BD3" s="5">
        <f>IFERROR(__xludf.DUMMYFUNCTION("""COMPUTED_VALUE"""),53.0)</f>
        <v>53</v>
      </c>
      <c r="BE3" s="6"/>
      <c r="BF3" s="5">
        <f>IFERROR(__xludf.DUMMYFUNCTION("""COMPUTED_VALUE"""),53.0)</f>
        <v>53</v>
      </c>
      <c r="BG3" s="6"/>
      <c r="BH3" s="5">
        <f>IFERROR(__xludf.DUMMYFUNCTION("""COMPUTED_VALUE"""),53.0)</f>
        <v>53</v>
      </c>
      <c r="BI3" s="6"/>
      <c r="BJ3" s="5">
        <f>IFERROR(__xludf.DUMMYFUNCTION("""COMPUTED_VALUE"""),53.0)</f>
        <v>53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IFERROR(__xludf.DUMMYFUNCTION("""COMPUTED_VALUE"""),44166.0)</f>
        <v>44166</v>
      </c>
      <c r="C4" s="9"/>
      <c r="D4" s="8">
        <f>IFERROR(__xludf.DUMMYFUNCTION("""COMPUTED_VALUE"""),44167.0)</f>
        <v>44167</v>
      </c>
      <c r="E4" s="9"/>
      <c r="F4" s="8">
        <f>IFERROR(__xludf.DUMMYFUNCTION("""COMPUTED_VALUE"""),44168.0)</f>
        <v>44168</v>
      </c>
      <c r="G4" s="9"/>
      <c r="H4" s="8">
        <f>IFERROR(__xludf.DUMMYFUNCTION("""COMPUTED_VALUE"""),44169.0)</f>
        <v>44169</v>
      </c>
      <c r="I4" s="9"/>
      <c r="J4" s="8">
        <f>IFERROR(__xludf.DUMMYFUNCTION("""COMPUTED_VALUE"""),44170.0)</f>
        <v>44170</v>
      </c>
      <c r="K4" s="9"/>
      <c r="L4" s="8">
        <f>IFERROR(__xludf.DUMMYFUNCTION("""COMPUTED_VALUE"""),44171.0)</f>
        <v>44171</v>
      </c>
      <c r="M4" s="9"/>
      <c r="N4" s="8">
        <f>IFERROR(__xludf.DUMMYFUNCTION("""COMPUTED_VALUE"""),44172.0)</f>
        <v>44172</v>
      </c>
      <c r="O4" s="9"/>
      <c r="P4" s="8">
        <f>IFERROR(__xludf.DUMMYFUNCTION("""COMPUTED_VALUE"""),44173.0)</f>
        <v>44173</v>
      </c>
      <c r="Q4" s="9"/>
      <c r="R4" s="8">
        <f>IFERROR(__xludf.DUMMYFUNCTION("""COMPUTED_VALUE"""),44174.0)</f>
        <v>44174</v>
      </c>
      <c r="S4" s="9"/>
      <c r="T4" s="8">
        <f>IFERROR(__xludf.DUMMYFUNCTION("""COMPUTED_VALUE"""),44175.0)</f>
        <v>44175</v>
      </c>
      <c r="U4" s="9"/>
      <c r="V4" s="8">
        <f>IFERROR(__xludf.DUMMYFUNCTION("""COMPUTED_VALUE"""),44176.0)</f>
        <v>44176</v>
      </c>
      <c r="W4" s="9"/>
      <c r="X4" s="8">
        <f>IFERROR(__xludf.DUMMYFUNCTION("""COMPUTED_VALUE"""),44177.0)</f>
        <v>44177</v>
      </c>
      <c r="Y4" s="9"/>
      <c r="Z4" s="8">
        <f>IFERROR(__xludf.DUMMYFUNCTION("""COMPUTED_VALUE"""),44178.0)</f>
        <v>44178</v>
      </c>
      <c r="AA4" s="9"/>
      <c r="AB4" s="8">
        <f>IFERROR(__xludf.DUMMYFUNCTION("""COMPUTED_VALUE"""),44179.0)</f>
        <v>44179</v>
      </c>
      <c r="AC4" s="9"/>
      <c r="AD4" s="8">
        <f>IFERROR(__xludf.DUMMYFUNCTION("""COMPUTED_VALUE"""),44180.0)</f>
        <v>44180</v>
      </c>
      <c r="AE4" s="9"/>
      <c r="AF4" s="8">
        <f>IFERROR(__xludf.DUMMYFUNCTION("""COMPUTED_VALUE"""),44181.0)</f>
        <v>44181</v>
      </c>
      <c r="AG4" s="9"/>
      <c r="AH4" s="8">
        <f>IFERROR(__xludf.DUMMYFUNCTION("""COMPUTED_VALUE"""),44182.0)</f>
        <v>44182</v>
      </c>
      <c r="AI4" s="9"/>
      <c r="AJ4" s="8">
        <f>IFERROR(__xludf.DUMMYFUNCTION("""COMPUTED_VALUE"""),44183.0)</f>
        <v>44183</v>
      </c>
      <c r="AK4" s="9"/>
      <c r="AL4" s="8">
        <f>IFERROR(__xludf.DUMMYFUNCTION("""COMPUTED_VALUE"""),44184.0)</f>
        <v>44184</v>
      </c>
      <c r="AM4" s="9"/>
      <c r="AN4" s="8">
        <f>IFERROR(__xludf.DUMMYFUNCTION("""COMPUTED_VALUE"""),44185.0)</f>
        <v>44185</v>
      </c>
      <c r="AO4" s="9"/>
      <c r="AP4" s="8">
        <f>IFERROR(__xludf.DUMMYFUNCTION("""COMPUTED_VALUE"""),44186.0)</f>
        <v>44186</v>
      </c>
      <c r="AQ4" s="9"/>
      <c r="AR4" s="8">
        <f>IFERROR(__xludf.DUMMYFUNCTION("""COMPUTED_VALUE"""),44187.0)</f>
        <v>44187</v>
      </c>
      <c r="AS4" s="9"/>
      <c r="AT4" s="8">
        <f>IFERROR(__xludf.DUMMYFUNCTION("""COMPUTED_VALUE"""),44188.0)</f>
        <v>44188</v>
      </c>
      <c r="AU4" s="9"/>
      <c r="AV4" s="8">
        <f>IFERROR(__xludf.DUMMYFUNCTION("""COMPUTED_VALUE"""),44189.0)</f>
        <v>44189</v>
      </c>
      <c r="AW4" s="9"/>
      <c r="AX4" s="8">
        <f>IFERROR(__xludf.DUMMYFUNCTION("""COMPUTED_VALUE"""),44190.0)</f>
        <v>44190</v>
      </c>
      <c r="AY4" s="9"/>
      <c r="AZ4" s="8">
        <f>IFERROR(__xludf.DUMMYFUNCTION("""COMPUTED_VALUE"""),44191.0)</f>
        <v>44191</v>
      </c>
      <c r="BA4" s="9"/>
      <c r="BB4" s="8">
        <f>IFERROR(__xludf.DUMMYFUNCTION("""COMPUTED_VALUE"""),44192.0)</f>
        <v>44192</v>
      </c>
      <c r="BC4" s="9"/>
      <c r="BD4" s="8">
        <f>IFERROR(__xludf.DUMMYFUNCTION("""COMPUTED_VALUE"""),44193.0)</f>
        <v>44193</v>
      </c>
      <c r="BE4" s="9"/>
      <c r="BF4" s="8">
        <f>IFERROR(__xludf.DUMMYFUNCTION("""COMPUTED_VALUE"""),44194.0)</f>
        <v>44194</v>
      </c>
      <c r="BG4" s="9"/>
      <c r="BH4" s="8">
        <f>IFERROR(__xludf.DUMMYFUNCTION("""COMPUTED_VALUE"""),44195.0)</f>
        <v>44195</v>
      </c>
      <c r="BI4" s="9"/>
      <c r="BJ4" s="8">
        <f>IFERROR(__xludf.DUMMYFUNCTION("""COMPUTED_VALUE"""),44196.0)</f>
        <v>44196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>
        <f>IFERROR(__xludf.DUMMYFUNCTION("""COMPUTED_VALUE"""),4.5)</f>
        <v>4.5</v>
      </c>
      <c r="I50" s="16"/>
      <c r="J50" s="15">
        <f>IFERROR(__xludf.DUMMYFUNCTION("""COMPUTED_VALUE"""),9.0)</f>
        <v>9</v>
      </c>
      <c r="K50" s="16"/>
      <c r="L50" s="15">
        <f>IFERROR(__xludf.DUMMYFUNCTION("""COMPUTED_VALUE"""),3.0)</f>
        <v>3</v>
      </c>
      <c r="M50" s="16">
        <f>IFERROR(__xludf.DUMMYFUNCTION("""COMPUTED_VALUE"""),300.0)</f>
        <v>300</v>
      </c>
      <c r="N50" s="15"/>
      <c r="O50" s="16"/>
      <c r="P50" s="15"/>
      <c r="Q50" s="16"/>
      <c r="R50" s="15"/>
      <c r="S50" s="16"/>
      <c r="T50" s="15"/>
      <c r="U50" s="16"/>
      <c r="V50" s="15">
        <f>IFERROR(__xludf.DUMMYFUNCTION("""COMPUTED_VALUE"""),4.0)</f>
        <v>4</v>
      </c>
      <c r="W50" s="16"/>
      <c r="X50" s="15">
        <f>IFERROR(__xludf.DUMMYFUNCTION("""COMPUTED_VALUE"""),10.0)</f>
        <v>10</v>
      </c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>
        <f>IFERROR(__xludf.DUMMYFUNCTION("""COMPUTED_VALUE"""),6.0)</f>
        <v>6</v>
      </c>
      <c r="AM50" s="16">
        <f>IFERROR(__xludf.DUMMYFUNCTION("""COMPUTED_VALUE"""),600.0)</f>
        <v>600</v>
      </c>
      <c r="AN50" s="15">
        <f>IFERROR(__xludf.DUMMYFUNCTION("""COMPUTED_VALUE"""),12.0)</f>
        <v>12</v>
      </c>
      <c r="AO50" s="16">
        <f>IFERROR(__xludf.DUMMYFUNCTION("""COMPUTED_VALUE"""),1200.0)</f>
        <v>1200</v>
      </c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>
        <f>IFERROR(__xludf.DUMMYFUNCTION("""COMPUTED_VALUE"""),7.0)</f>
        <v>7</v>
      </c>
      <c r="BA50" s="16">
        <f>IFERROR(__xludf.DUMMYFUNCTION("""COMPUTED_VALUE"""),700.0)</f>
        <v>700</v>
      </c>
      <c r="BB50" s="15"/>
      <c r="BC50" s="16"/>
      <c r="BD50" s="15"/>
      <c r="BE50" s="16"/>
      <c r="BF50" s="15"/>
      <c r="BG50" s="16"/>
      <c r="BH50" s="15">
        <f>IFERROR(__xludf.DUMMYFUNCTION("""COMPUTED_VALUE"""),7.0)</f>
        <v>7</v>
      </c>
      <c r="BI50" s="16"/>
      <c r="BJ50" s="15">
        <f>IFERROR(__xludf.DUMMYFUNCTION("""COMPUTED_VALUE"""),5.0)</f>
        <v>5</v>
      </c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Koška-x")</f>
        <v>Ladislav Koška-x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>
        <f>IFERROR(__xludf.DUMMYFUNCTION("""COMPUTED_VALUE"""),9.0)</f>
        <v>9</v>
      </c>
      <c r="W66" s="13"/>
      <c r="X66" s="12"/>
      <c r="Y66" s="13"/>
      <c r="Z66" s="12">
        <f>IFERROR(__xludf.DUMMYFUNCTION("""COMPUTED_VALUE"""),6.0)</f>
        <v>6</v>
      </c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>
        <f>IFERROR(__xludf.DUMMYFUNCTION("""COMPUTED_VALUE"""),11.0)</f>
        <v>11</v>
      </c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 t="str">
        <f>IFERROR(__xludf.DUMMYFUNCTION("""COMPUTED_VALUE"""),"Miroslav Kuchař")</f>
        <v>Miroslav Kuchař</v>
      </c>
      <c r="B68" s="15">
        <f>IFERROR(__xludf.DUMMYFUNCTION("""COMPUTED_VALUE"""),14.5)</f>
        <v>14.5</v>
      </c>
      <c r="C68" s="16"/>
      <c r="D68" s="15"/>
      <c r="E68" s="16"/>
      <c r="F68" s="15"/>
      <c r="G68" s="16"/>
      <c r="H68" s="15">
        <f>IFERROR(__xludf.DUMMYFUNCTION("""COMPUTED_VALUE"""),16.0)</f>
        <v>16</v>
      </c>
      <c r="I68" s="16"/>
      <c r="J68" s="15"/>
      <c r="K68" s="16"/>
      <c r="L68" s="15"/>
      <c r="M68" s="16"/>
      <c r="N68" s="15">
        <f>IFERROR(__xludf.DUMMYFUNCTION("""COMPUTED_VALUE"""),13.0)</f>
        <v>13</v>
      </c>
      <c r="O68" s="16"/>
      <c r="P68" s="15">
        <f>IFERROR(__xludf.DUMMYFUNCTION("""COMPUTED_VALUE"""),14.0)</f>
        <v>14</v>
      </c>
      <c r="Q68" s="16"/>
      <c r="R68" s="15"/>
      <c r="S68" s="16"/>
      <c r="T68" s="15"/>
      <c r="U68" s="16"/>
      <c r="V68" s="15">
        <f>IFERROR(__xludf.DUMMYFUNCTION("""COMPUTED_VALUE"""),14.0)</f>
        <v>14</v>
      </c>
      <c r="W68" s="16"/>
      <c r="X68" s="15"/>
      <c r="Y68" s="16"/>
      <c r="Z68" s="15"/>
      <c r="AA68" s="16"/>
      <c r="AB68" s="15">
        <f>IFERROR(__xludf.DUMMYFUNCTION("""COMPUTED_VALUE"""),14.0)</f>
        <v>14</v>
      </c>
      <c r="AC68" s="16"/>
      <c r="AD68" s="15">
        <f>IFERROR(__xludf.DUMMYFUNCTION("""COMPUTED_VALUE"""),14.0)</f>
        <v>14</v>
      </c>
      <c r="AE68" s="16"/>
      <c r="AF68" s="15"/>
      <c r="AG68" s="16"/>
      <c r="AH68" s="15"/>
      <c r="AI68" s="16"/>
      <c r="AJ68" s="15">
        <f>IFERROR(__xludf.DUMMYFUNCTION("""COMPUTED_VALUE"""),15.0)</f>
        <v>15</v>
      </c>
      <c r="AK68" s="16">
        <f>IFERROR(__xludf.DUMMYFUNCTION("""COMPUTED_VALUE"""),1500.0)</f>
        <v>1500</v>
      </c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>
        <f>IFERROR(__xludf.DUMMYFUNCTION("""COMPUTED_VALUE"""),16.5)</f>
        <v>16.5</v>
      </c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>
        <f>IFERROR(__xludf.DUMMYFUNCTION("""COMPUTED_VALUE"""),14.0)</f>
        <v>14</v>
      </c>
      <c r="E75" s="13"/>
      <c r="F75" s="12"/>
      <c r="G75" s="13"/>
      <c r="H75" s="12">
        <f>IFERROR(__xludf.DUMMYFUNCTION("""COMPUTED_VALUE"""),15.5)</f>
        <v>15.5</v>
      </c>
      <c r="I75" s="13"/>
      <c r="J75" s="12"/>
      <c r="K75" s="13"/>
      <c r="L75" s="12">
        <f>IFERROR(__xludf.DUMMYFUNCTION("""COMPUTED_VALUE"""),12.0)</f>
        <v>12</v>
      </c>
      <c r="M75" s="13"/>
      <c r="N75" s="12">
        <f>IFERROR(__xludf.DUMMYFUNCTION("""COMPUTED_VALUE"""),14.0)</f>
        <v>14</v>
      </c>
      <c r="O75" s="13"/>
      <c r="P75" s="12">
        <f>IFERROR(__xludf.DUMMYFUNCTION("""COMPUTED_VALUE"""),14.0)</f>
        <v>14</v>
      </c>
      <c r="Q75" s="13"/>
      <c r="R75" s="12">
        <f>IFERROR(__xludf.DUMMYFUNCTION("""COMPUTED_VALUE"""),14.0)</f>
        <v>14</v>
      </c>
      <c r="S75" s="13"/>
      <c r="T75" s="12">
        <f>IFERROR(__xludf.DUMMYFUNCTION("""COMPUTED_VALUE"""),14.0)</f>
        <v>14</v>
      </c>
      <c r="U75" s="13"/>
      <c r="V75" s="12"/>
      <c r="W75" s="13"/>
      <c r="X75" s="12">
        <f>IFERROR(__xludf.DUMMYFUNCTION("""COMPUTED_VALUE"""),16.0)</f>
        <v>16</v>
      </c>
      <c r="Y75" s="13"/>
      <c r="Z75" s="12"/>
      <c r="AA75" s="13"/>
      <c r="AB75" s="12">
        <f>IFERROR(__xludf.DUMMYFUNCTION("""COMPUTED_VALUE"""),14.0)</f>
        <v>14</v>
      </c>
      <c r="AC75" s="13"/>
      <c r="AD75" s="12"/>
      <c r="AE75" s="13"/>
      <c r="AF75" s="12">
        <f>IFERROR(__xludf.DUMMYFUNCTION("""COMPUTED_VALUE"""),14.0)</f>
        <v>14</v>
      </c>
      <c r="AG75" s="13"/>
      <c r="AH75" s="12">
        <f>IFERROR(__xludf.DUMMYFUNCTION("""COMPUTED_VALUE"""),14.0)</f>
        <v>14</v>
      </c>
      <c r="AI75" s="13"/>
      <c r="AJ75" s="12"/>
      <c r="AK75" s="13"/>
      <c r="AL75" s="12">
        <f>IFERROR(__xludf.DUMMYFUNCTION("""COMPUTED_VALUE"""),15.0)</f>
        <v>15</v>
      </c>
      <c r="AM75" s="13"/>
      <c r="AN75" s="12"/>
      <c r="AO75" s="13"/>
      <c r="AP75" s="12">
        <f>IFERROR(__xludf.DUMMYFUNCTION("""COMPUTED_VALUE"""),14.0)</f>
        <v>14</v>
      </c>
      <c r="AQ75" s="13"/>
      <c r="AR75" s="12">
        <f>IFERROR(__xludf.DUMMYFUNCTION("""COMPUTED_VALUE"""),13.0)</f>
        <v>13</v>
      </c>
      <c r="AS75" s="13"/>
      <c r="AT75" s="12"/>
      <c r="AU75" s="13"/>
      <c r="AV75" s="12"/>
      <c r="AW75" s="13"/>
      <c r="AX75" s="12"/>
      <c r="AY75" s="13"/>
      <c r="AZ75" s="12">
        <f>IFERROR(__xludf.DUMMYFUNCTION("""COMPUTED_VALUE"""),14.0)</f>
        <v>14</v>
      </c>
      <c r="BA75" s="13"/>
      <c r="BB75" s="12">
        <f>IFERROR(__xludf.DUMMYFUNCTION("""COMPUTED_VALUE"""),12.0)</f>
        <v>12</v>
      </c>
      <c r="BC75" s="13"/>
      <c r="BD75" s="12">
        <f>IFERROR(__xludf.DUMMYFUNCTION("""COMPUTED_VALUE"""),14.0)</f>
        <v>14</v>
      </c>
      <c r="BE75" s="13"/>
      <c r="BF75" s="12">
        <f>IFERROR(__xludf.DUMMYFUNCTION("""COMPUTED_VALUE"""),14.0)</f>
        <v>14</v>
      </c>
      <c r="BG75" s="13"/>
      <c r="BH75" s="12">
        <f>IFERROR(__xludf.DUMMYFUNCTION("""COMPUTED_VALUE"""),14.0)</f>
        <v>14</v>
      </c>
      <c r="BI75" s="13"/>
      <c r="BJ75" s="12">
        <f>IFERROR(__xludf.DUMMYFUNCTION("""COMPUTED_VALUE"""),11.0)</f>
        <v>11</v>
      </c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/>
      <c r="C79" s="16"/>
      <c r="D79" s="15">
        <f>IFERROR(__xludf.DUMMYFUNCTION("""COMPUTED_VALUE"""),10.0)</f>
        <v>10</v>
      </c>
      <c r="E79" s="16"/>
      <c r="F79" s="15">
        <f>IFERROR(__xludf.DUMMYFUNCTION("""COMPUTED_VALUE"""),14.0)</f>
        <v>14</v>
      </c>
      <c r="G79" s="16"/>
      <c r="H79" s="15">
        <f>IFERROR(__xludf.DUMMYFUNCTION("""COMPUTED_VALUE"""),12.0)</f>
        <v>12</v>
      </c>
      <c r="I79" s="16"/>
      <c r="J79" s="15">
        <f>IFERROR(__xludf.DUMMYFUNCTION("""COMPUTED_VALUE"""),16.0)</f>
        <v>16</v>
      </c>
      <c r="K79" s="16"/>
      <c r="L79" s="15">
        <f>IFERROR(__xludf.DUMMYFUNCTION("""COMPUTED_VALUE"""),6.0)</f>
        <v>6</v>
      </c>
      <c r="M79" s="16"/>
      <c r="N79" s="15"/>
      <c r="O79" s="16"/>
      <c r="P79" s="15"/>
      <c r="Q79" s="16"/>
      <c r="R79" s="15"/>
      <c r="S79" s="16"/>
      <c r="T79" s="15">
        <f>IFERROR(__xludf.DUMMYFUNCTION("""COMPUTED_VALUE"""),6.5)</f>
        <v>6.5</v>
      </c>
      <c r="U79" s="16"/>
      <c r="V79" s="15"/>
      <c r="W79" s="16"/>
      <c r="X79" s="15">
        <f>IFERROR(__xludf.DUMMYFUNCTION("""COMPUTED_VALUE"""),13.5)</f>
        <v>13.5</v>
      </c>
      <c r="Y79" s="16"/>
      <c r="Z79" s="15">
        <f>IFERROR(__xludf.DUMMYFUNCTION("""COMPUTED_VALUE"""),9.5)</f>
        <v>9.5</v>
      </c>
      <c r="AA79" s="16"/>
      <c r="AB79" s="15"/>
      <c r="AC79" s="16"/>
      <c r="AD79" s="15"/>
      <c r="AE79" s="16"/>
      <c r="AF79" s="15"/>
      <c r="AG79" s="16"/>
      <c r="AH79" s="15">
        <f>IFERROR(__xludf.DUMMYFUNCTION("""COMPUTED_VALUE"""),14.0)</f>
        <v>14</v>
      </c>
      <c r="AI79" s="16"/>
      <c r="AJ79" s="15">
        <f>IFERROR(__xludf.DUMMYFUNCTION("""COMPUTED_VALUE"""),12.0)</f>
        <v>12</v>
      </c>
      <c r="AK79" s="16"/>
      <c r="AL79" s="15"/>
      <c r="AM79" s="16"/>
      <c r="AN79" s="15">
        <f>IFERROR(__xludf.DUMMYFUNCTION("""COMPUTED_VALUE"""),12.0)</f>
        <v>12</v>
      </c>
      <c r="AO79" s="16"/>
      <c r="AP79" s="15">
        <f>IFERROR(__xludf.DUMMYFUNCTION("""COMPUTED_VALUE"""),4.0)</f>
        <v>4</v>
      </c>
      <c r="AQ79" s="16"/>
      <c r="AR79" s="15">
        <f>IFERROR(__xludf.DUMMYFUNCTION("""COMPUTED_VALUE"""),14.0)</f>
        <v>14</v>
      </c>
      <c r="AS79" s="16"/>
      <c r="AT79" s="15"/>
      <c r="AU79" s="16"/>
      <c r="AV79" s="15"/>
      <c r="AW79" s="16"/>
      <c r="AX79" s="15"/>
      <c r="AY79" s="16"/>
      <c r="AZ79" s="15"/>
      <c r="BA79" s="16"/>
      <c r="BB79" s="15">
        <f>IFERROR(__xludf.DUMMYFUNCTION("""COMPUTED_VALUE"""),11.0)</f>
        <v>11</v>
      </c>
      <c r="BC79" s="16"/>
      <c r="BD79" s="15"/>
      <c r="BE79" s="16"/>
      <c r="BF79" s="15">
        <f>IFERROR(__xludf.DUMMYFUNCTION("""COMPUTED_VALUE"""),14.0)</f>
        <v>14</v>
      </c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Hlavatý-x")</f>
        <v>Ladislav Hlavatý-x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 t="str">
        <f>IFERROR(__xludf.DUMMYFUNCTION("""COMPUTED_VALUE"""),"Lukáš Karhan")</f>
        <v>Lukáš Karhan</v>
      </c>
      <c r="B85" s="15">
        <f>IFERROR(__xludf.DUMMYFUNCTION("""COMPUTED_VALUE"""),2.0)</f>
        <v>2</v>
      </c>
      <c r="C85" s="16"/>
      <c r="D85" s="15">
        <f>IFERROR(__xludf.DUMMYFUNCTION("""COMPUTED_VALUE"""),7.0)</f>
        <v>7</v>
      </c>
      <c r="E85" s="16"/>
      <c r="F85" s="15">
        <f>IFERROR(__xludf.DUMMYFUNCTION("""COMPUTED_VALUE"""),6.0)</f>
        <v>6</v>
      </c>
      <c r="G85" s="16"/>
      <c r="H85" s="15"/>
      <c r="I85" s="16"/>
      <c r="J85" s="15">
        <f>IFERROR(__xludf.DUMMYFUNCTION("""COMPUTED_VALUE"""),7.5)</f>
        <v>7.5</v>
      </c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>
        <f>IFERROR(__xludf.DUMMYFUNCTION("""COMPUTED_VALUE"""),5.5)</f>
        <v>5.5</v>
      </c>
      <c r="W85" s="16"/>
      <c r="X85" s="15"/>
      <c r="Y85" s="16"/>
      <c r="Z85" s="15"/>
      <c r="AA85" s="16"/>
      <c r="AB85" s="15"/>
      <c r="AC85" s="16"/>
      <c r="AD85" s="15">
        <f>IFERROR(__xludf.DUMMYFUNCTION("""COMPUTED_VALUE"""),6.5)</f>
        <v>6.5</v>
      </c>
      <c r="AE85" s="16"/>
      <c r="AF85" s="15">
        <f>IFERROR(__xludf.DUMMYFUNCTION("""COMPUTED_VALUE"""),14.0)</f>
        <v>14</v>
      </c>
      <c r="AG85" s="16"/>
      <c r="AH85" s="15"/>
      <c r="AI85" s="16"/>
      <c r="AJ85" s="15">
        <f>IFERROR(__xludf.DUMMYFUNCTION("""COMPUTED_VALUE"""),9.0)</f>
        <v>9</v>
      </c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>
        <f>IFERROR(__xludf.DUMMYFUNCTION("""COMPUTED_VALUE"""),7.0)</f>
        <v>7</v>
      </c>
      <c r="BI85" s="16"/>
      <c r="BJ85" s="15"/>
      <c r="BK85" s="16"/>
      <c r="BL85" s="3"/>
    </row>
    <row r="86">
      <c r="A86" s="14" t="str">
        <f>IFERROR(__xludf.DUMMYFUNCTION("""COMPUTED_VALUE"""),"Josef Heinisch-x")</f>
        <v>Josef Heinisch-x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Elčkner-x")</f>
        <v>Jakub Elčkner-x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 t="str">
        <f>IFERROR(__xludf.DUMMYFUNCTION("""COMPUTED_VALUE"""),"Adéla Janáčková-x")</f>
        <v>Adéla Janáčková-x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Sajdl-x")</f>
        <v>Martin Sajdl-x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Horký-x")</f>
        <v>Martin Horký-x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>
        <f>IFERROR(__xludf.DUMMYFUNCTION("""COMPUTED_VALUE"""),2.5)</f>
        <v>2.5</v>
      </c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>
        <f>IFERROR(__xludf.DUMMYFUNCTION("""COMPUTED_VALUE"""),3.5)</f>
        <v>3.5</v>
      </c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Zámečník-x")</f>
        <v>Martin Zámečník-x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>
        <f>IFERROR(__xludf.DUMMYFUNCTION("""COMPUTED_VALUE"""),7.0)</f>
        <v>7</v>
      </c>
      <c r="C102" s="13"/>
      <c r="D102" s="12"/>
      <c r="E102" s="13"/>
      <c r="F102" s="12">
        <f>IFERROR(__xludf.DUMMYFUNCTION("""COMPUTED_VALUE"""),7.0)</f>
        <v>7</v>
      </c>
      <c r="G102" s="13"/>
      <c r="H102" s="12"/>
      <c r="I102" s="13"/>
      <c r="J102" s="12">
        <f>IFERROR(__xludf.DUMMYFUNCTION("""COMPUTED_VALUE"""),5.0)</f>
        <v>5</v>
      </c>
      <c r="K102" s="13"/>
      <c r="L102" s="12">
        <f>IFERROR(__xludf.DUMMYFUNCTION("""COMPUTED_VALUE"""),6.0)</f>
        <v>6</v>
      </c>
      <c r="M102" s="13"/>
      <c r="N102" s="12"/>
      <c r="O102" s="13"/>
      <c r="P102" s="12"/>
      <c r="Q102" s="13"/>
      <c r="R102" s="12">
        <f>IFERROR(__xludf.DUMMYFUNCTION("""COMPUTED_VALUE"""),5.5)</f>
        <v>5.5</v>
      </c>
      <c r="S102" s="13"/>
      <c r="T102" s="12">
        <f>IFERROR(__xludf.DUMMYFUNCTION("""COMPUTED_VALUE"""),5.0)</f>
        <v>5</v>
      </c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>
        <f>IFERROR(__xludf.DUMMYFUNCTION("""COMPUTED_VALUE"""),10.5)</f>
        <v>10.5</v>
      </c>
      <c r="AK102" s="13"/>
      <c r="AL102" s="12">
        <f>IFERROR(__xludf.DUMMYFUNCTION("""COMPUTED_VALUE"""),7.0)</f>
        <v>7</v>
      </c>
      <c r="AM102" s="13"/>
      <c r="AN102" s="12">
        <f>IFERROR(__xludf.DUMMYFUNCTION("""COMPUTED_VALUE"""),6.0)</f>
        <v>6</v>
      </c>
      <c r="AO102" s="13"/>
      <c r="AP102" s="12">
        <f>IFERROR(__xludf.DUMMYFUNCTION("""COMPUTED_VALUE"""),9.0)</f>
        <v>9</v>
      </c>
      <c r="AQ102" s="13"/>
      <c r="AR102" s="12">
        <f>IFERROR(__xludf.DUMMYFUNCTION("""COMPUTED_VALUE"""),7.0)</f>
        <v>7</v>
      </c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>
        <f>IFERROR(__xludf.DUMMYFUNCTION("""COMPUTED_VALUE"""),5.0)</f>
        <v>5</v>
      </c>
      <c r="BI102" s="13"/>
      <c r="BJ102" s="12"/>
      <c r="BK102" s="13"/>
      <c r="BL102" s="3"/>
    </row>
    <row r="103">
      <c r="A103" s="14" t="str">
        <f>IFERROR(__xludf.DUMMYFUNCTION("""COMPUTED_VALUE"""),"Dominik Scharf-x")</f>
        <v>Dominik Scharf-x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>
        <f>IFERROR(__xludf.DUMMYFUNCTION("""COMPUTED_VALUE"""),6.0)</f>
        <v>6</v>
      </c>
      <c r="C106" s="16"/>
      <c r="D106" s="15"/>
      <c r="E106" s="16"/>
      <c r="F106" s="15">
        <f>IFERROR(__xludf.DUMMYFUNCTION("""COMPUTED_VALUE"""),5.0)</f>
        <v>5</v>
      </c>
      <c r="G106" s="16"/>
      <c r="H106" s="15"/>
      <c r="I106" s="16"/>
      <c r="J106" s="15">
        <f>IFERROR(__xludf.DUMMYFUNCTION("""COMPUTED_VALUE"""),9.0)</f>
        <v>9</v>
      </c>
      <c r="K106" s="16"/>
      <c r="L106" s="15"/>
      <c r="M106" s="16"/>
      <c r="N106" s="15"/>
      <c r="O106" s="16"/>
      <c r="P106" s="15"/>
      <c r="Q106" s="16"/>
      <c r="R106" s="15">
        <f>IFERROR(__xludf.DUMMYFUNCTION("""COMPUTED_VALUE"""),8.0)</f>
        <v>8</v>
      </c>
      <c r="S106" s="16"/>
      <c r="T106" s="15"/>
      <c r="U106" s="16"/>
      <c r="V106" s="15">
        <f>IFERROR(__xludf.DUMMYFUNCTION("""COMPUTED_VALUE"""),10.5)</f>
        <v>10.5</v>
      </c>
      <c r="W106" s="16"/>
      <c r="X106" s="15"/>
      <c r="Y106" s="16"/>
      <c r="Z106" s="15">
        <f>IFERROR(__xludf.DUMMYFUNCTION("""COMPUTED_VALUE"""),12.0)</f>
        <v>12</v>
      </c>
      <c r="AA106" s="16"/>
      <c r="AB106" s="15"/>
      <c r="AC106" s="16"/>
      <c r="AD106" s="15">
        <f>IFERROR(__xludf.DUMMYFUNCTION("""COMPUTED_VALUE"""),7.0)</f>
        <v>7</v>
      </c>
      <c r="AE106" s="16"/>
      <c r="AF106" s="15"/>
      <c r="AG106" s="16"/>
      <c r="AH106" s="15"/>
      <c r="AI106" s="16"/>
      <c r="AJ106" s="15"/>
      <c r="AK106" s="16"/>
      <c r="AL106" s="15">
        <f>IFERROR(__xludf.DUMMYFUNCTION("""COMPUTED_VALUE"""),16.0)</f>
        <v>16</v>
      </c>
      <c r="AM106" s="16"/>
      <c r="AN106" s="15"/>
      <c r="AO106" s="16"/>
      <c r="AP106" s="15">
        <f>IFERROR(__xludf.DUMMYFUNCTION("""COMPUTED_VALUE"""),8.0)</f>
        <v>8</v>
      </c>
      <c r="AQ106" s="16"/>
      <c r="AR106" s="15">
        <f>IFERROR(__xludf.DUMMYFUNCTION("""COMPUTED_VALUE"""),10.0)</f>
        <v>10</v>
      </c>
      <c r="AS106" s="16"/>
      <c r="AT106" s="15"/>
      <c r="AU106" s="16"/>
      <c r="AV106" s="15"/>
      <c r="AW106" s="16"/>
      <c r="AX106" s="15"/>
      <c r="AY106" s="16"/>
      <c r="AZ106" s="15">
        <f>IFERROR(__xludf.DUMMYFUNCTION("""COMPUTED_VALUE"""),5.0)</f>
        <v>5</v>
      </c>
      <c r="BA106" s="16"/>
      <c r="BB106" s="15">
        <f>IFERROR(__xludf.DUMMYFUNCTION("""COMPUTED_VALUE"""),12.0)</f>
        <v>12</v>
      </c>
      <c r="BC106" s="16"/>
      <c r="BD106" s="15"/>
      <c r="BE106" s="16"/>
      <c r="BF106" s="15">
        <f>IFERROR(__xludf.DUMMYFUNCTION("""COMPUTED_VALUE"""),2.5)</f>
        <v>2.5</v>
      </c>
      <c r="BG106" s="16"/>
      <c r="BH106" s="15"/>
      <c r="BI106" s="16"/>
      <c r="BJ106" s="15">
        <f>IFERROR(__xludf.DUMMYFUNCTION("""COMPUTED_VALUE"""),5.0)</f>
        <v>5</v>
      </c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>
        <f>IFERROR(__xludf.DUMMYFUNCTION("""COMPUTED_VALUE"""),10.0)</f>
        <v>10</v>
      </c>
      <c r="Y107" s="16"/>
      <c r="Z107" s="15">
        <f>IFERROR(__xludf.DUMMYFUNCTION("""COMPUTED_VALUE"""),8.0)</f>
        <v>8</v>
      </c>
      <c r="AA107" s="16"/>
      <c r="AB107" s="15"/>
      <c r="AC107" s="16"/>
      <c r="AD107" s="15"/>
      <c r="AE107" s="16"/>
      <c r="AF107" s="15"/>
      <c r="AG107" s="16"/>
      <c r="AH107" s="15">
        <f>IFERROR(__xludf.DUMMYFUNCTION("""COMPUTED_VALUE"""),8.0)</f>
        <v>8</v>
      </c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>
        <f>IFERROR(__xludf.DUMMYFUNCTION("""COMPUTED_VALUE"""),2.0)</f>
        <v>2</v>
      </c>
      <c r="Q108" s="13"/>
      <c r="R108" s="12"/>
      <c r="S108" s="13"/>
      <c r="T108" s="12">
        <f>IFERROR(__xludf.DUMMYFUNCTION("""COMPUTED_VALUE"""),8.0)</f>
        <v>8</v>
      </c>
      <c r="U108" s="13"/>
      <c r="V108" s="12">
        <f>IFERROR(__xludf.DUMMYFUNCTION("""COMPUTED_VALUE"""),5.0)</f>
        <v>5</v>
      </c>
      <c r="W108" s="13"/>
      <c r="X108" s="12"/>
      <c r="Y108" s="13"/>
      <c r="Z108" s="12"/>
      <c r="AA108" s="13"/>
      <c r="AB108" s="12"/>
      <c r="AC108" s="13"/>
      <c r="AD108" s="12"/>
      <c r="AE108" s="13"/>
      <c r="AF108" s="12">
        <f>IFERROR(__xludf.DUMMYFUNCTION("""COMPUTED_VALUE"""),5.0)</f>
        <v>5</v>
      </c>
      <c r="AG108" s="13"/>
      <c r="AH108" s="12"/>
      <c r="AI108" s="13"/>
      <c r="AJ108" s="12"/>
      <c r="AK108" s="13"/>
      <c r="AL108" s="12">
        <f>IFERROR(__xludf.DUMMYFUNCTION("""COMPUTED_VALUE"""),7.0)</f>
        <v>7</v>
      </c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Bursík-x")</f>
        <v>Lukáš Bursík-x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 t="str">
        <f>IFERROR(__xludf.DUMMYFUNCTION("""COMPUTED_VALUE"""),"Matěj Kopčil")</f>
        <v>Matěj Kopčil</v>
      </c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 t="str">
        <f>IFERROR(__xludf.DUMMYFUNCTION("""COMPUTED_VALUE"""),"Nicholas Merunka-x")</f>
        <v>Nicholas Merunka-x</v>
      </c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 t="str">
        <f>IFERROR(__xludf.DUMMYFUNCTION("""COMPUTED_VALUE"""),"Dominik Predka")</f>
        <v>Dominik Predka</v>
      </c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>
        <f>IFERROR(__xludf.DUMMYFUNCTION("""COMPUTED_VALUE"""),10.0)</f>
        <v>10</v>
      </c>
      <c r="BA112" s="16"/>
      <c r="BB112" s="15"/>
      <c r="BC112" s="16"/>
      <c r="BD112" s="15">
        <f>IFERROR(__xludf.DUMMYFUNCTION("""COMPUTED_VALUE"""),14.0)</f>
        <v>14</v>
      </c>
      <c r="BE112" s="16"/>
      <c r="BF112" s="15"/>
      <c r="BG112" s="16"/>
      <c r="BH112" s="15"/>
      <c r="BI112" s="16"/>
      <c r="BJ112" s="15"/>
      <c r="BK112" s="16"/>
      <c r="BL112" s="3"/>
    </row>
    <row r="113">
      <c r="A113" s="14" t="str">
        <f>IFERROR(__xludf.DUMMYFUNCTION("""COMPUTED_VALUE"""),"Petr Květ")</f>
        <v>Petr Květ</v>
      </c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 t="str">
        <f>IFERROR(__xludf.DUMMYFUNCTION("""COMPUTED_VALUE"""),"Rostislav Horváth")</f>
        <v>Rostislav Horváth</v>
      </c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 t="str">
        <f>IFERROR(__xludf.DUMMYFUNCTION("""COMPUTED_VALUE"""),"Martina Szabóová")</f>
        <v>Martina Szabóová</v>
      </c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 t="str">
        <f>IFERROR(__xludf.DUMMYFUNCTION("""COMPUTED_VALUE"""),"Jakub Filipenský")</f>
        <v>Jakub Filipenský</v>
      </c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 t="str">
        <f>IFERROR(__xludf.DUMMYFUNCTION("""COMPUTED_VALUE"""),"Karel Krpal")</f>
        <v>Karel Krpal</v>
      </c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 t="str">
        <f>IFERROR(__xludf.DUMMYFUNCTION("""COMPUTED_VALUE"""),"Petr Muzikář")</f>
        <v>Petr Muzikář</v>
      </c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>
        <f>IFERROR(__xludf.DUMMYFUNCTION("""COMPUTED_VALUE"""),11.0)</f>
        <v>11</v>
      </c>
      <c r="BK118" s="16"/>
      <c r="BL118" s="3"/>
    </row>
    <row r="119">
      <c r="A119" s="14" t="str">
        <f>IFERROR(__xludf.DUMMYFUNCTION("""COMPUTED_VALUE"""),"Zubko Ladislav")</f>
        <v>Zubko Ladislav</v>
      </c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 t="str">
        <f>IFERROR(__xludf.DUMMYFUNCTION("""COMPUTED_VALUE"""),"Dominik Cipra")</f>
        <v>Dominik Cipra</v>
      </c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 t="str">
        <f>IFERROR(__xludf.DUMMYFUNCTION("""COMPUTED_VALUE"""),"Václav Bárta")</f>
        <v>Václav Bárta</v>
      </c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IFERROR(__xludf.DUMMYFUNCTION("IMPORTRANGE(""https://docs.google.com/spreadsheets/d/1oiAqvLgPlujUreUZh8I04-BWnNmb35Sj55UuOQY5Okk"", ""Přehled mzdy!C3:BM30"")"),"Instore")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>
        <f>IFERROR(__xludf.DUMMYFUNCTION("""COMPUTED_VALUE"""),15.0)</f>
        <v>15</v>
      </c>
      <c r="E128" s="13"/>
      <c r="F128" s="12"/>
      <c r="G128" s="13"/>
      <c r="H128" s="12">
        <f>IFERROR(__xludf.DUMMYFUNCTION("""COMPUTED_VALUE"""),17.0)</f>
        <v>17</v>
      </c>
      <c r="I128" s="13"/>
      <c r="J128" s="12"/>
      <c r="K128" s="13"/>
      <c r="L128" s="12">
        <f>IFERROR(__xludf.DUMMYFUNCTION("""COMPUTED_VALUE"""),13.0)</f>
        <v>13</v>
      </c>
      <c r="M128" s="13"/>
      <c r="N128" s="12"/>
      <c r="O128" s="13"/>
      <c r="P128" s="12">
        <f>IFERROR(__xludf.DUMMYFUNCTION("""COMPUTED_VALUE"""),15.0)</f>
        <v>15</v>
      </c>
      <c r="Q128" s="13"/>
      <c r="R128" s="12"/>
      <c r="S128" s="13"/>
      <c r="T128" s="12">
        <f>IFERROR(__xludf.DUMMYFUNCTION("""COMPUTED_VALUE"""),15.0)</f>
        <v>15</v>
      </c>
      <c r="U128" s="13"/>
      <c r="V128" s="12"/>
      <c r="W128" s="13"/>
      <c r="X128" s="12">
        <f>IFERROR(__xludf.DUMMYFUNCTION("""COMPUTED_VALUE"""),17.0)</f>
        <v>17</v>
      </c>
      <c r="Y128" s="13"/>
      <c r="Z128" s="12"/>
      <c r="AA128" s="13"/>
      <c r="AB128" s="12">
        <f>IFERROR(__xludf.DUMMYFUNCTION("""COMPUTED_VALUE"""),15.0)</f>
        <v>15</v>
      </c>
      <c r="AC128" s="13"/>
      <c r="AD128" s="12"/>
      <c r="AE128" s="13"/>
      <c r="AF128" s="12">
        <f>IFERROR(__xludf.DUMMYFUNCTION("""COMPUTED_VALUE"""),15.0)</f>
        <v>15</v>
      </c>
      <c r="AG128" s="13"/>
      <c r="AH128" s="12"/>
      <c r="AI128" s="13"/>
      <c r="AJ128" s="12">
        <f>IFERROR(__xludf.DUMMYFUNCTION("""COMPUTED_VALUE"""),17.0)</f>
        <v>17</v>
      </c>
      <c r="AK128" s="13"/>
      <c r="AL128" s="12"/>
      <c r="AM128" s="13"/>
      <c r="AN128" s="12">
        <f>IFERROR(__xludf.DUMMYFUNCTION("""COMPUTED_VALUE"""),13.0)</f>
        <v>13</v>
      </c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>
        <f>IFERROR(__xludf.DUMMYFUNCTION("""COMPUTED_VALUE"""),15.0)</f>
        <v>15</v>
      </c>
      <c r="BE128" s="13"/>
      <c r="BF128" s="12"/>
      <c r="BG128" s="13"/>
      <c r="BH128" s="12">
        <f>IFERROR(__xludf.DUMMYFUNCTION("""COMPUTED_VALUE"""),15.0)</f>
        <v>15</v>
      </c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>
        <f>IFERROR(__xludf.DUMMYFUNCTION("""COMPUTED_VALUE"""),15.5)</f>
        <v>15.5</v>
      </c>
      <c r="C131" s="13"/>
      <c r="D131" s="12"/>
      <c r="E131" s="13"/>
      <c r="F131" s="12">
        <f>IFERROR(__xludf.DUMMYFUNCTION("""COMPUTED_VALUE"""),15.0)</f>
        <v>15</v>
      </c>
      <c r="G131" s="13"/>
      <c r="H131" s="12"/>
      <c r="I131" s="13"/>
      <c r="J131" s="12">
        <f>IFERROR(__xludf.DUMMYFUNCTION("""COMPUTED_VALUE"""),17.0)</f>
        <v>17</v>
      </c>
      <c r="K131" s="13"/>
      <c r="L131" s="12"/>
      <c r="M131" s="13"/>
      <c r="N131" s="12">
        <f>IFERROR(__xludf.DUMMYFUNCTION("""COMPUTED_VALUE"""),15.0)</f>
        <v>15</v>
      </c>
      <c r="O131" s="13"/>
      <c r="P131" s="12"/>
      <c r="Q131" s="13"/>
      <c r="R131" s="12">
        <f>IFERROR(__xludf.DUMMYFUNCTION("""COMPUTED_VALUE"""),15.0)</f>
        <v>15</v>
      </c>
      <c r="S131" s="13"/>
      <c r="T131" s="12"/>
      <c r="U131" s="13"/>
      <c r="V131" s="12">
        <f>IFERROR(__xludf.DUMMYFUNCTION("""COMPUTED_VALUE"""),17.0)</f>
        <v>17</v>
      </c>
      <c r="W131" s="13"/>
      <c r="X131" s="12"/>
      <c r="Y131" s="13"/>
      <c r="Z131" s="12">
        <f>IFERROR(__xludf.DUMMYFUNCTION("""COMPUTED_VALUE"""),13.0)</f>
        <v>13</v>
      </c>
      <c r="AA131" s="13"/>
      <c r="AB131" s="12"/>
      <c r="AC131" s="13"/>
      <c r="AD131" s="12">
        <f>IFERROR(__xludf.DUMMYFUNCTION("""COMPUTED_VALUE"""),15.0)</f>
        <v>15</v>
      </c>
      <c r="AE131" s="13"/>
      <c r="AF131" s="12"/>
      <c r="AG131" s="13"/>
      <c r="AH131" s="12">
        <f>IFERROR(__xludf.DUMMYFUNCTION("""COMPUTED_VALUE"""),15.0)</f>
        <v>15</v>
      </c>
      <c r="AI131" s="13"/>
      <c r="AJ131" s="12"/>
      <c r="AK131" s="13"/>
      <c r="AL131" s="12">
        <f>IFERROR(__xludf.DUMMYFUNCTION("""COMPUTED_VALUE"""),17.0)</f>
        <v>17</v>
      </c>
      <c r="AM131" s="13"/>
      <c r="AN131" s="12"/>
      <c r="AO131" s="13"/>
      <c r="AP131" s="12">
        <f>IFERROR(__xludf.DUMMYFUNCTION("""COMPUTED_VALUE"""),15.0)</f>
        <v>15</v>
      </c>
      <c r="AQ131" s="13"/>
      <c r="AR131" s="12"/>
      <c r="AS131" s="13"/>
      <c r="AT131" s="12"/>
      <c r="AU131" s="13"/>
      <c r="AV131" s="12"/>
      <c r="AW131" s="13"/>
      <c r="AX131" s="12"/>
      <c r="AY131" s="13"/>
      <c r="AZ131" s="12">
        <f>IFERROR(__xludf.DUMMYFUNCTION("""COMPUTED_VALUE"""),3.0)</f>
        <v>3</v>
      </c>
      <c r="BA131" s="13"/>
      <c r="BB131" s="12">
        <f>IFERROR(__xludf.DUMMYFUNCTION("""COMPUTED_VALUE"""),13.0)</f>
        <v>13</v>
      </c>
      <c r="BC131" s="13"/>
      <c r="BD131" s="12"/>
      <c r="BE131" s="13"/>
      <c r="BF131" s="12">
        <f>IFERROR(__xludf.DUMMYFUNCTION("""COMPUTED_VALUE"""),15.0)</f>
        <v>15</v>
      </c>
      <c r="BG131" s="13"/>
      <c r="BH131" s="12"/>
      <c r="BI131" s="13"/>
      <c r="BJ131" s="12">
        <f>IFERROR(__xludf.DUMMYFUNCTION("""COMPUTED_VALUE"""),12.0)</f>
        <v>12</v>
      </c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>
        <f>IFERROR(__xludf.DUMMYFUNCTION("""COMPUTED_VALUE"""),15.0)</f>
        <v>15</v>
      </c>
      <c r="AS143" s="13">
        <f>IFERROR(__xludf.DUMMYFUNCTION("""COMPUTED_VALUE"""),2000.0)</f>
        <v>2000</v>
      </c>
      <c r="AT143" s="12"/>
      <c r="AU143" s="13"/>
      <c r="AV143" s="12"/>
      <c r="AW143" s="13"/>
      <c r="AX143" s="12"/>
      <c r="AY143" s="13"/>
      <c r="AZ143" s="12">
        <f>IFERROR(__xludf.DUMMYFUNCTION("""COMPUTED_VALUE"""),17.0)</f>
        <v>17</v>
      </c>
      <c r="BA143" s="13">
        <f>IFERROR(__xludf.DUMMYFUNCTION("""COMPUTED_VALUE"""),2000.0)</f>
        <v>2000</v>
      </c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 t="str">
        <f>IFERROR(__xludf.DUMMYFUNCTION("""COMPUTED_VALUE"""),"Filip Rataj")</f>
        <v>Filip Rataj</v>
      </c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</sheetData>
  <mergeCells count="2">
    <mergeCell ref="A1:A2"/>
    <mergeCell ref="B1:BK2"/>
  </mergeCells>
  <drawing r:id="rId1"/>
</worksheet>
</file>