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<sst xmlns="http://schemas.openxmlformats.org/spreadsheetml/2006/main" count="8" uniqueCount="6">
  <si>
    <t>červen 2020</t>
  </si>
  <si>
    <t>https://docs.google.com/spreadsheets/d/1ZD0vbZIXOLmaUt25XMhyWS_V6fTk4yCqf2IAr6jGJzo/edit#gid=0</t>
  </si>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</sst>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ill="1" applyFont="1">
      <alignment horizontal="right"/>
    </xf>
    <xf borderId="1" fillId="0" fontId="4" numFmtId="0" xfId="0" applyAlignment="1" applyBorder="1" applyFon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Alignment="1" applyBorder="1" applyFont="1">
      <alignment horizontal="right"/>
    </xf>
    <xf borderId="1" fillId="0" fontId="10" numFmtId="164" xfId="0" applyAlignment="1" applyBorder="1" applyFont="1" applyNumberFormat="1">
      <alignment horizontal="right"/>
    </xf>
    <xf borderId="1" fillId="0" fontId="11" numFmtId="0" xfId="0" applyAlignment="1" applyBorder="1" applyFont="1">
      <alignment horizontal="right"/>
    </xf>
    <xf borderId="1" fillId="0" fontId="1" numFmtId="0" xfId="0" applyBorder="1" applyFont="1"/>
    <xf borderId="1" fillId="0" fontId="4" numFmtId="0" xfId="0" applyBorder="1" applyFont="1"/>
    <xf borderId="1" fillId="0" fontId="4" numFmtId="165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0" fillId="2" fontId="12" numFmtId="0" xfId="0" applyAlignment="1" applyFont="1">
      <alignment horizontal="left"/>
    </xf>
    <xf borderId="1" fillId="0" fontId="9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8" numFmtId="0" xfId="0" applyAlignment="1" applyFont="1">
      <alignment horizontal="right"/>
    </xf>
    <xf borderId="1" fillId="0" fontId="4" numFmtId="165" xfId="0" applyAlignment="1" applyBorder="1" applyFont="1" applyNumberFormat="1">
      <alignment horizontal="right"/>
    </xf>
    <xf borderId="1" fillId="0" fontId="8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D0vbZIXOLmaUt25XMhyWS_V6fTk4yCqf2IAr6jGJzo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4"/>
    </row>
    <row r="2">
      <c r="A2" s="5"/>
      <c r="B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4"/>
    </row>
    <row r="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4"/>
    </row>
    <row r="4">
      <c r="A4" s="5" t="s">
        <v>2</v>
      </c>
      <c r="B4" s="3" t="s">
        <v>3</v>
      </c>
      <c r="BL4" s="4"/>
    </row>
    <row r="5">
      <c r="BL5" s="4"/>
    </row>
    <row r="6">
      <c r="A6" s="7" t="str">
        <f>IFERROR(__xludf.DUMMYFUNCTION("IMPORTRANGE(""https://docs.google.com/spreadsheets/d/117XsMwF9c9MTHWeN7D7WzlyrufGi8JWp50P8lgXikRs"", ""Přehled mzdy!BQ1:EA65"")"),"týden")</f>
        <v>týden</v>
      </c>
      <c r="B6" s="8">
        <f>IFERROR(__xludf.DUMMYFUNCTION("""COMPUTED_VALUE"""),27.0)</f>
        <v>27</v>
      </c>
      <c r="C6" s="9"/>
      <c r="D6" s="8">
        <f>IFERROR(__xludf.DUMMYFUNCTION("""COMPUTED_VALUE"""),27.0)</f>
        <v>27</v>
      </c>
      <c r="E6" s="9"/>
      <c r="F6" s="8">
        <f>IFERROR(__xludf.DUMMYFUNCTION("""COMPUTED_VALUE"""),27.0)</f>
        <v>27</v>
      </c>
      <c r="G6" s="9"/>
      <c r="H6" s="8">
        <f>IFERROR(__xludf.DUMMYFUNCTION("""COMPUTED_VALUE"""),27.0)</f>
        <v>27</v>
      </c>
      <c r="I6" s="9"/>
      <c r="J6" s="8">
        <f>IFERROR(__xludf.DUMMYFUNCTION("""COMPUTED_VALUE"""),27.0)</f>
        <v>27</v>
      </c>
      <c r="K6" s="9"/>
      <c r="L6" s="8">
        <f>IFERROR(__xludf.DUMMYFUNCTION("""COMPUTED_VALUE"""),28.0)</f>
        <v>28</v>
      </c>
      <c r="M6" s="9"/>
      <c r="N6" s="8">
        <f>IFERROR(__xludf.DUMMYFUNCTION("""COMPUTED_VALUE"""),28.0)</f>
        <v>28</v>
      </c>
      <c r="O6" s="9"/>
      <c r="P6" s="8">
        <f>IFERROR(__xludf.DUMMYFUNCTION("""COMPUTED_VALUE"""),28.0)</f>
        <v>28</v>
      </c>
      <c r="Q6" s="9"/>
      <c r="R6" s="8">
        <f>IFERROR(__xludf.DUMMYFUNCTION("""COMPUTED_VALUE"""),28.0)</f>
        <v>28</v>
      </c>
      <c r="S6" s="9"/>
      <c r="T6" s="8">
        <f>IFERROR(__xludf.DUMMYFUNCTION("""COMPUTED_VALUE"""),28.0)</f>
        <v>28</v>
      </c>
      <c r="U6" s="9"/>
      <c r="V6" s="8">
        <f>IFERROR(__xludf.DUMMYFUNCTION("""COMPUTED_VALUE"""),28.0)</f>
        <v>28</v>
      </c>
      <c r="W6" s="9"/>
      <c r="X6" s="8">
        <f>IFERROR(__xludf.DUMMYFUNCTION("""COMPUTED_VALUE"""),28.0)</f>
        <v>28</v>
      </c>
      <c r="Y6" s="9"/>
      <c r="Z6" s="8">
        <f>IFERROR(__xludf.DUMMYFUNCTION("""COMPUTED_VALUE"""),29.0)</f>
        <v>29</v>
      </c>
      <c r="AA6" s="9"/>
      <c r="AB6" s="8">
        <f>IFERROR(__xludf.DUMMYFUNCTION("""COMPUTED_VALUE"""),29.0)</f>
        <v>29</v>
      </c>
      <c r="AC6" s="9"/>
      <c r="AD6" s="8">
        <f>IFERROR(__xludf.DUMMYFUNCTION("""COMPUTED_VALUE"""),29.0)</f>
        <v>29</v>
      </c>
      <c r="AE6" s="9"/>
      <c r="AF6" s="8">
        <f>IFERROR(__xludf.DUMMYFUNCTION("""COMPUTED_VALUE"""),29.0)</f>
        <v>29</v>
      </c>
      <c r="AG6" s="9"/>
      <c r="AH6" s="8">
        <f>IFERROR(__xludf.DUMMYFUNCTION("""COMPUTED_VALUE"""),29.0)</f>
        <v>29</v>
      </c>
      <c r="AI6" s="9"/>
      <c r="AJ6" s="8">
        <f>IFERROR(__xludf.DUMMYFUNCTION("""COMPUTED_VALUE"""),29.0)</f>
        <v>29</v>
      </c>
      <c r="AK6" s="9"/>
      <c r="AL6" s="8">
        <f>IFERROR(__xludf.DUMMYFUNCTION("""COMPUTED_VALUE"""),29.0)</f>
        <v>29</v>
      </c>
      <c r="AM6" s="9"/>
      <c r="AN6" s="8">
        <f>IFERROR(__xludf.DUMMYFUNCTION("""COMPUTED_VALUE"""),30.0)</f>
        <v>30</v>
      </c>
      <c r="AO6" s="9"/>
      <c r="AP6" s="8">
        <f>IFERROR(__xludf.DUMMYFUNCTION("""COMPUTED_VALUE"""),30.0)</f>
        <v>30</v>
      </c>
      <c r="AQ6" s="9"/>
      <c r="AR6" s="8">
        <f>IFERROR(__xludf.DUMMYFUNCTION("""COMPUTED_VALUE"""),30.0)</f>
        <v>30</v>
      </c>
      <c r="AS6" s="9"/>
      <c r="AT6" s="8">
        <f>IFERROR(__xludf.DUMMYFUNCTION("""COMPUTED_VALUE"""),30.0)</f>
        <v>30</v>
      </c>
      <c r="AU6" s="9"/>
      <c r="AV6" s="8">
        <f>IFERROR(__xludf.DUMMYFUNCTION("""COMPUTED_VALUE"""),30.0)</f>
        <v>30</v>
      </c>
      <c r="AW6" s="9"/>
      <c r="AX6" s="8">
        <f>IFERROR(__xludf.DUMMYFUNCTION("""COMPUTED_VALUE"""),30.0)</f>
        <v>30</v>
      </c>
      <c r="AY6" s="9"/>
      <c r="AZ6" s="8">
        <f>IFERROR(__xludf.DUMMYFUNCTION("""COMPUTED_VALUE"""),30.0)</f>
        <v>30</v>
      </c>
      <c r="BA6" s="9"/>
      <c r="BB6" s="8">
        <f>IFERROR(__xludf.DUMMYFUNCTION("""COMPUTED_VALUE"""),31.0)</f>
        <v>31</v>
      </c>
      <c r="BC6" s="9"/>
      <c r="BD6" s="8">
        <f>IFERROR(__xludf.DUMMYFUNCTION("""COMPUTED_VALUE"""),31.0)</f>
        <v>31</v>
      </c>
      <c r="BE6" s="9"/>
      <c r="BF6" s="8">
        <f>IFERROR(__xludf.DUMMYFUNCTION("""COMPUTED_VALUE"""),31.0)</f>
        <v>31</v>
      </c>
      <c r="BG6" s="9"/>
      <c r="BH6" s="8">
        <f>IFERROR(__xludf.DUMMYFUNCTION("""COMPUTED_VALUE"""),31.0)</f>
        <v>31</v>
      </c>
      <c r="BI6" s="9"/>
      <c r="BJ6" s="8">
        <f>IFERROR(__xludf.DUMMYFUNCTION("""COMPUTED_VALUE"""),31.0)</f>
        <v>31</v>
      </c>
      <c r="BK6" s="9"/>
      <c r="BL6" s="4"/>
    </row>
    <row r="7">
      <c r="A7" s="10" t="str">
        <f>IFERROR(__xludf.DUMMYFUNCTION("""COMPUTED_VALUE"""),"datum")</f>
        <v>datum</v>
      </c>
      <c r="B7" s="11">
        <f>IFERROR(__xludf.DUMMYFUNCTION("""COMPUTED_VALUE"""),44013.0)</f>
        <v>44013</v>
      </c>
      <c r="C7" s="12"/>
      <c r="D7" s="11">
        <f>IFERROR(__xludf.DUMMYFUNCTION("""COMPUTED_VALUE"""),44014.0)</f>
        <v>44014</v>
      </c>
      <c r="E7" s="12"/>
      <c r="F7" s="11">
        <f>IFERROR(__xludf.DUMMYFUNCTION("""COMPUTED_VALUE"""),44015.0)</f>
        <v>44015</v>
      </c>
      <c r="G7" s="12"/>
      <c r="H7" s="11">
        <f>IFERROR(__xludf.DUMMYFUNCTION("""COMPUTED_VALUE"""),44016.0)</f>
        <v>44016</v>
      </c>
      <c r="I7" s="12"/>
      <c r="J7" s="11">
        <f>IFERROR(__xludf.DUMMYFUNCTION("""COMPUTED_VALUE"""),44017.0)</f>
        <v>44017</v>
      </c>
      <c r="K7" s="12"/>
      <c r="L7" s="11">
        <f>IFERROR(__xludf.DUMMYFUNCTION("""COMPUTED_VALUE"""),44018.0)</f>
        <v>44018</v>
      </c>
      <c r="M7" s="12"/>
      <c r="N7" s="11">
        <f>IFERROR(__xludf.DUMMYFUNCTION("""COMPUTED_VALUE"""),44019.0)</f>
        <v>44019</v>
      </c>
      <c r="O7" s="12"/>
      <c r="P7" s="11">
        <f>IFERROR(__xludf.DUMMYFUNCTION("""COMPUTED_VALUE"""),44020.0)</f>
        <v>44020</v>
      </c>
      <c r="Q7" s="12"/>
      <c r="R7" s="11">
        <f>IFERROR(__xludf.DUMMYFUNCTION("""COMPUTED_VALUE"""),44021.0)</f>
        <v>44021</v>
      </c>
      <c r="S7" s="12"/>
      <c r="T7" s="11">
        <f>IFERROR(__xludf.DUMMYFUNCTION("""COMPUTED_VALUE"""),44022.0)</f>
        <v>44022</v>
      </c>
      <c r="U7" s="12"/>
      <c r="V7" s="11">
        <f>IFERROR(__xludf.DUMMYFUNCTION("""COMPUTED_VALUE"""),44023.0)</f>
        <v>44023</v>
      </c>
      <c r="W7" s="12"/>
      <c r="X7" s="11">
        <f>IFERROR(__xludf.DUMMYFUNCTION("""COMPUTED_VALUE"""),44024.0)</f>
        <v>44024</v>
      </c>
      <c r="Y7" s="12"/>
      <c r="Z7" s="11">
        <f>IFERROR(__xludf.DUMMYFUNCTION("""COMPUTED_VALUE"""),44025.0)</f>
        <v>44025</v>
      </c>
      <c r="AA7" s="12"/>
      <c r="AB7" s="11">
        <f>IFERROR(__xludf.DUMMYFUNCTION("""COMPUTED_VALUE"""),44026.0)</f>
        <v>44026</v>
      </c>
      <c r="AC7" s="12"/>
      <c r="AD7" s="11">
        <f>IFERROR(__xludf.DUMMYFUNCTION("""COMPUTED_VALUE"""),44027.0)</f>
        <v>44027</v>
      </c>
      <c r="AE7" s="12"/>
      <c r="AF7" s="11">
        <f>IFERROR(__xludf.DUMMYFUNCTION("""COMPUTED_VALUE"""),44028.0)</f>
        <v>44028</v>
      </c>
      <c r="AG7" s="12"/>
      <c r="AH7" s="11">
        <f>IFERROR(__xludf.DUMMYFUNCTION("""COMPUTED_VALUE"""),44029.0)</f>
        <v>44029</v>
      </c>
      <c r="AI7" s="12"/>
      <c r="AJ7" s="11">
        <f>IFERROR(__xludf.DUMMYFUNCTION("""COMPUTED_VALUE"""),44030.0)</f>
        <v>44030</v>
      </c>
      <c r="AK7" s="12"/>
      <c r="AL7" s="11">
        <f>IFERROR(__xludf.DUMMYFUNCTION("""COMPUTED_VALUE"""),44031.0)</f>
        <v>44031</v>
      </c>
      <c r="AM7" s="12"/>
      <c r="AN7" s="11">
        <f>IFERROR(__xludf.DUMMYFUNCTION("""COMPUTED_VALUE"""),44032.0)</f>
        <v>44032</v>
      </c>
      <c r="AO7" s="12"/>
      <c r="AP7" s="11">
        <f>IFERROR(__xludf.DUMMYFUNCTION("""COMPUTED_VALUE"""),44033.0)</f>
        <v>44033</v>
      </c>
      <c r="AQ7" s="12"/>
      <c r="AR7" s="11">
        <f>IFERROR(__xludf.DUMMYFUNCTION("""COMPUTED_VALUE"""),44034.0)</f>
        <v>44034</v>
      </c>
      <c r="AS7" s="12"/>
      <c r="AT7" s="11">
        <f>IFERROR(__xludf.DUMMYFUNCTION("""COMPUTED_VALUE"""),44035.0)</f>
        <v>44035</v>
      </c>
      <c r="AU7" s="12"/>
      <c r="AV7" s="11">
        <f>IFERROR(__xludf.DUMMYFUNCTION("""COMPUTED_VALUE"""),44036.0)</f>
        <v>44036</v>
      </c>
      <c r="AW7" s="12"/>
      <c r="AX7" s="11">
        <f>IFERROR(__xludf.DUMMYFUNCTION("""COMPUTED_VALUE"""),44037.0)</f>
        <v>44037</v>
      </c>
      <c r="AY7" s="12"/>
      <c r="AZ7" s="11">
        <f>IFERROR(__xludf.DUMMYFUNCTION("""COMPUTED_VALUE"""),44038.0)</f>
        <v>44038</v>
      </c>
      <c r="BA7" s="12"/>
      <c r="BB7" s="11">
        <f>IFERROR(__xludf.DUMMYFUNCTION("""COMPUTED_VALUE"""),44039.0)</f>
        <v>44039</v>
      </c>
      <c r="BC7" s="12"/>
      <c r="BD7" s="11">
        <f>IFERROR(__xludf.DUMMYFUNCTION("""COMPUTED_VALUE"""),44040.0)</f>
        <v>44040</v>
      </c>
      <c r="BE7" s="12"/>
      <c r="BF7" s="11">
        <f>IFERROR(__xludf.DUMMYFUNCTION("""COMPUTED_VALUE"""),44041.0)</f>
        <v>44041</v>
      </c>
      <c r="BG7" s="12"/>
      <c r="BH7" s="11">
        <f>IFERROR(__xludf.DUMMYFUNCTION("""COMPUTED_VALUE"""),44042.0)</f>
        <v>44042</v>
      </c>
      <c r="BI7" s="12"/>
      <c r="BJ7" s="11">
        <f>IFERROR(__xludf.DUMMYFUNCTION("""COMPUTED_VALUE"""),44043.0)</f>
        <v>44043</v>
      </c>
      <c r="BK7" s="12"/>
      <c r="BL7" s="4"/>
    </row>
    <row r="8">
      <c r="A8" s="13" t="str">
        <f>IFERROR(__xludf.DUMMYFUNCTION("""COMPUTED_VALUE"""),"Kurýr")</f>
        <v>Kurýr</v>
      </c>
      <c r="B8" s="8" t="str">
        <f>IFERROR(__xludf.DUMMYFUNCTION("""COMPUTED_VALUE"""),"hod.")</f>
        <v>hod.</v>
      </c>
      <c r="C8" s="9" t="str">
        <f>IFERROR(__xludf.DUMMYFUNCTION("""COMPUTED_VALUE"""),"zál.")</f>
        <v>zál.</v>
      </c>
      <c r="D8" s="8" t="str">
        <f>IFERROR(__xludf.DUMMYFUNCTION("""COMPUTED_VALUE"""),"hod.")</f>
        <v>hod.</v>
      </c>
      <c r="E8" s="9" t="str">
        <f>IFERROR(__xludf.DUMMYFUNCTION("""COMPUTED_VALUE"""),"zál.")</f>
        <v>zál.</v>
      </c>
      <c r="F8" s="8" t="str">
        <f>IFERROR(__xludf.DUMMYFUNCTION("""COMPUTED_VALUE"""),"hod.")</f>
        <v>hod.</v>
      </c>
      <c r="G8" s="9" t="str">
        <f>IFERROR(__xludf.DUMMYFUNCTION("""COMPUTED_VALUE"""),"zál.")</f>
        <v>zál.</v>
      </c>
      <c r="H8" s="8" t="str">
        <f>IFERROR(__xludf.DUMMYFUNCTION("""COMPUTED_VALUE"""),"hod.")</f>
        <v>hod.</v>
      </c>
      <c r="I8" s="9" t="str">
        <f>IFERROR(__xludf.DUMMYFUNCTION("""COMPUTED_VALUE"""),"zál.")</f>
        <v>zál.</v>
      </c>
      <c r="J8" s="8" t="str">
        <f>IFERROR(__xludf.DUMMYFUNCTION("""COMPUTED_VALUE"""),"hod.")</f>
        <v>hod.</v>
      </c>
      <c r="K8" s="9" t="str">
        <f>IFERROR(__xludf.DUMMYFUNCTION("""COMPUTED_VALUE"""),"zál.")</f>
        <v>zál.</v>
      </c>
      <c r="L8" s="8" t="str">
        <f>IFERROR(__xludf.DUMMYFUNCTION("""COMPUTED_VALUE"""),"hod.")</f>
        <v>hod.</v>
      </c>
      <c r="M8" s="9" t="str">
        <f>IFERROR(__xludf.DUMMYFUNCTION("""COMPUTED_VALUE"""),"zál.")</f>
        <v>zál.</v>
      </c>
      <c r="N8" s="8" t="str">
        <f>IFERROR(__xludf.DUMMYFUNCTION("""COMPUTED_VALUE"""),"hod.")</f>
        <v>hod.</v>
      </c>
      <c r="O8" s="9" t="str">
        <f>IFERROR(__xludf.DUMMYFUNCTION("""COMPUTED_VALUE"""),"zál.")</f>
        <v>zál.</v>
      </c>
      <c r="P8" s="8" t="str">
        <f>IFERROR(__xludf.DUMMYFUNCTION("""COMPUTED_VALUE"""),"hod.")</f>
        <v>hod.</v>
      </c>
      <c r="Q8" s="9" t="str">
        <f>IFERROR(__xludf.DUMMYFUNCTION("""COMPUTED_VALUE"""),"zál.")</f>
        <v>zál.</v>
      </c>
      <c r="R8" s="8" t="str">
        <f>IFERROR(__xludf.DUMMYFUNCTION("""COMPUTED_VALUE"""),"hod.")</f>
        <v>hod.</v>
      </c>
      <c r="S8" s="9" t="str">
        <f>IFERROR(__xludf.DUMMYFUNCTION("""COMPUTED_VALUE"""),"zál.")</f>
        <v>zál.</v>
      </c>
      <c r="T8" s="8" t="str">
        <f>IFERROR(__xludf.DUMMYFUNCTION("""COMPUTED_VALUE"""),"hod.")</f>
        <v>hod.</v>
      </c>
      <c r="U8" s="9" t="str">
        <f>IFERROR(__xludf.DUMMYFUNCTION("""COMPUTED_VALUE"""),"zál.")</f>
        <v>zál.</v>
      </c>
      <c r="V8" s="8" t="str">
        <f>IFERROR(__xludf.DUMMYFUNCTION("""COMPUTED_VALUE"""),"hod.")</f>
        <v>hod.</v>
      </c>
      <c r="W8" s="9" t="str">
        <f>IFERROR(__xludf.DUMMYFUNCTION("""COMPUTED_VALUE"""),"zál.")</f>
        <v>zál.</v>
      </c>
      <c r="X8" s="8" t="str">
        <f>IFERROR(__xludf.DUMMYFUNCTION("""COMPUTED_VALUE"""),"hod.")</f>
        <v>hod.</v>
      </c>
      <c r="Y8" s="9" t="str">
        <f>IFERROR(__xludf.DUMMYFUNCTION("""COMPUTED_VALUE"""),"zál.")</f>
        <v>zál.</v>
      </c>
      <c r="Z8" s="8" t="str">
        <f>IFERROR(__xludf.DUMMYFUNCTION("""COMPUTED_VALUE"""),"hod.")</f>
        <v>hod.</v>
      </c>
      <c r="AA8" s="9" t="str">
        <f>IFERROR(__xludf.DUMMYFUNCTION("""COMPUTED_VALUE"""),"zál.")</f>
        <v>zál.</v>
      </c>
      <c r="AB8" s="8" t="str">
        <f>IFERROR(__xludf.DUMMYFUNCTION("""COMPUTED_VALUE"""),"hod.")</f>
        <v>hod.</v>
      </c>
      <c r="AC8" s="9" t="str">
        <f>IFERROR(__xludf.DUMMYFUNCTION("""COMPUTED_VALUE"""),"zál.")</f>
        <v>zál.</v>
      </c>
      <c r="AD8" s="8" t="str">
        <f>IFERROR(__xludf.DUMMYFUNCTION("""COMPUTED_VALUE"""),"hod.")</f>
        <v>hod.</v>
      </c>
      <c r="AE8" s="9" t="str">
        <f>IFERROR(__xludf.DUMMYFUNCTION("""COMPUTED_VALUE"""),"zál.")</f>
        <v>zál.</v>
      </c>
      <c r="AF8" s="8" t="str">
        <f>IFERROR(__xludf.DUMMYFUNCTION("""COMPUTED_VALUE"""),"hod.")</f>
        <v>hod.</v>
      </c>
      <c r="AG8" s="9" t="str">
        <f>IFERROR(__xludf.DUMMYFUNCTION("""COMPUTED_VALUE"""),"zál.")</f>
        <v>zál.</v>
      </c>
      <c r="AH8" s="8" t="str">
        <f>IFERROR(__xludf.DUMMYFUNCTION("""COMPUTED_VALUE"""),"hod.")</f>
        <v>hod.</v>
      </c>
      <c r="AI8" s="9" t="str">
        <f>IFERROR(__xludf.DUMMYFUNCTION("""COMPUTED_VALUE"""),"zál.")</f>
        <v>zál.</v>
      </c>
      <c r="AJ8" s="8" t="str">
        <f>IFERROR(__xludf.DUMMYFUNCTION("""COMPUTED_VALUE"""),"hod.")</f>
        <v>hod.</v>
      </c>
      <c r="AK8" s="9" t="str">
        <f>IFERROR(__xludf.DUMMYFUNCTION("""COMPUTED_VALUE"""),"zál.")</f>
        <v>zál.</v>
      </c>
      <c r="AL8" s="8" t="str">
        <f>IFERROR(__xludf.DUMMYFUNCTION("""COMPUTED_VALUE"""),"hod.")</f>
        <v>hod.</v>
      </c>
      <c r="AM8" s="9" t="str">
        <f>IFERROR(__xludf.DUMMYFUNCTION("""COMPUTED_VALUE"""),"zál.")</f>
        <v>zál.</v>
      </c>
      <c r="AN8" s="8" t="str">
        <f>IFERROR(__xludf.DUMMYFUNCTION("""COMPUTED_VALUE"""),"hod.")</f>
        <v>hod.</v>
      </c>
      <c r="AO8" s="9" t="str">
        <f>IFERROR(__xludf.DUMMYFUNCTION("""COMPUTED_VALUE"""),"zál.")</f>
        <v>zál.</v>
      </c>
      <c r="AP8" s="8" t="str">
        <f>IFERROR(__xludf.DUMMYFUNCTION("""COMPUTED_VALUE"""),"hod.")</f>
        <v>hod.</v>
      </c>
      <c r="AQ8" s="9" t="str">
        <f>IFERROR(__xludf.DUMMYFUNCTION("""COMPUTED_VALUE"""),"zál.")</f>
        <v>zál.</v>
      </c>
      <c r="AR8" s="8" t="str">
        <f>IFERROR(__xludf.DUMMYFUNCTION("""COMPUTED_VALUE"""),"hod.")</f>
        <v>hod.</v>
      </c>
      <c r="AS8" s="9" t="str">
        <f>IFERROR(__xludf.DUMMYFUNCTION("""COMPUTED_VALUE"""),"zál.")</f>
        <v>zál.</v>
      </c>
      <c r="AT8" s="8" t="str">
        <f>IFERROR(__xludf.DUMMYFUNCTION("""COMPUTED_VALUE"""),"hod.")</f>
        <v>hod.</v>
      </c>
      <c r="AU8" s="9" t="str">
        <f>IFERROR(__xludf.DUMMYFUNCTION("""COMPUTED_VALUE"""),"zál.")</f>
        <v>zál.</v>
      </c>
      <c r="AV8" s="8" t="str">
        <f>IFERROR(__xludf.DUMMYFUNCTION("""COMPUTED_VALUE"""),"hod.")</f>
        <v>hod.</v>
      </c>
      <c r="AW8" s="9" t="str">
        <f>IFERROR(__xludf.DUMMYFUNCTION("""COMPUTED_VALUE"""),"zál.")</f>
        <v>zál.</v>
      </c>
      <c r="AX8" s="8" t="str">
        <f>IFERROR(__xludf.DUMMYFUNCTION("""COMPUTED_VALUE"""),"hod.")</f>
        <v>hod.</v>
      </c>
      <c r="AY8" s="9" t="str">
        <f>IFERROR(__xludf.DUMMYFUNCTION("""COMPUTED_VALUE"""),"zál.")</f>
        <v>zál.</v>
      </c>
      <c r="AZ8" s="8" t="str">
        <f>IFERROR(__xludf.DUMMYFUNCTION("""COMPUTED_VALUE"""),"hod.")</f>
        <v>hod.</v>
      </c>
      <c r="BA8" s="9" t="str">
        <f>IFERROR(__xludf.DUMMYFUNCTION("""COMPUTED_VALUE"""),"zál.")</f>
        <v>zál.</v>
      </c>
      <c r="BB8" s="8" t="str">
        <f>IFERROR(__xludf.DUMMYFUNCTION("""COMPUTED_VALUE"""),"hod.")</f>
        <v>hod.</v>
      </c>
      <c r="BC8" s="9" t="str">
        <f>IFERROR(__xludf.DUMMYFUNCTION("""COMPUTED_VALUE"""),"zál.")</f>
        <v>zál.</v>
      </c>
      <c r="BD8" s="8" t="str">
        <f>IFERROR(__xludf.DUMMYFUNCTION("""COMPUTED_VALUE"""),"hod.")</f>
        <v>hod.</v>
      </c>
      <c r="BE8" s="9" t="str">
        <f>IFERROR(__xludf.DUMMYFUNCTION("""COMPUTED_VALUE"""),"zál.")</f>
        <v>zál.</v>
      </c>
      <c r="BF8" s="8" t="str">
        <f>IFERROR(__xludf.DUMMYFUNCTION("""COMPUTED_VALUE"""),"hod.")</f>
        <v>hod.</v>
      </c>
      <c r="BG8" s="9" t="str">
        <f>IFERROR(__xludf.DUMMYFUNCTION("""COMPUTED_VALUE"""),"zál.")</f>
        <v>zál.</v>
      </c>
      <c r="BH8" s="8" t="str">
        <f>IFERROR(__xludf.DUMMYFUNCTION("""COMPUTED_VALUE"""),"hod.")</f>
        <v>hod.</v>
      </c>
      <c r="BI8" s="9" t="str">
        <f>IFERROR(__xludf.DUMMYFUNCTION("""COMPUTED_VALUE"""),"zál.")</f>
        <v>zál.</v>
      </c>
      <c r="BJ8" s="8" t="str">
        <f>IFERROR(__xludf.DUMMYFUNCTION("""COMPUTED_VALUE"""),"hod.")</f>
        <v>hod.</v>
      </c>
      <c r="BK8" s="9" t="str">
        <f>IFERROR(__xludf.DUMMYFUNCTION("""COMPUTED_VALUE"""),"zál.")</f>
        <v>zál.</v>
      </c>
      <c r="BL8" s="4"/>
    </row>
    <row r="9">
      <c r="A9" s="14" t="str">
        <f>IFERROR(__xludf.DUMMYFUNCTION("""COMPUTED_VALUE"""),"Daniel Fux")</f>
        <v>Daniel Fux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>
        <f>IFERROR(__xludf.DUMMYFUNCTION("""COMPUTED_VALUE"""),8.0)</f>
        <v>8</v>
      </c>
      <c r="Y9" s="16"/>
      <c r="Z9" s="15">
        <f>IFERROR(__xludf.DUMMYFUNCTION("""COMPUTED_VALUE"""),10.5)</f>
        <v>10.5</v>
      </c>
      <c r="AA9" s="16"/>
      <c r="AB9" s="15">
        <f>IFERROR(__xludf.DUMMYFUNCTION("""COMPUTED_VALUE"""),6.0)</f>
        <v>6</v>
      </c>
      <c r="AC9" s="16"/>
      <c r="AD9" s="15"/>
      <c r="AE9" s="16"/>
      <c r="AF9" s="15"/>
      <c r="AG9" s="16"/>
      <c r="AH9" s="15"/>
      <c r="AI9" s="16"/>
      <c r="AJ9" s="15">
        <f>IFERROR(__xludf.DUMMYFUNCTION("""COMPUTED_VALUE"""),5.0)</f>
        <v>5</v>
      </c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>
        <f>IFERROR(__xludf.DUMMYFUNCTION("""COMPUTED_VALUE"""),5.0)</f>
        <v>5</v>
      </c>
      <c r="AY9" s="16"/>
      <c r="AZ9" s="15"/>
      <c r="BA9" s="16"/>
      <c r="BB9" s="15"/>
      <c r="BC9" s="16"/>
      <c r="BD9" s="15">
        <f>IFERROR(__xludf.DUMMYFUNCTION("""COMPUTED_VALUE"""),12.0)</f>
        <v>12</v>
      </c>
      <c r="BE9" s="16"/>
      <c r="BF9" s="15">
        <f>IFERROR(__xludf.DUMMYFUNCTION("""COMPUTED_VALUE"""),12.0)</f>
        <v>12</v>
      </c>
      <c r="BG9" s="16"/>
      <c r="BH9" s="15">
        <f>IFERROR(__xludf.DUMMYFUNCTION("""COMPUTED_VALUE"""),12.0)</f>
        <v>12</v>
      </c>
      <c r="BI9" s="16"/>
      <c r="BJ9" s="15">
        <f>IFERROR(__xludf.DUMMYFUNCTION("""COMPUTED_VALUE"""),7.5)</f>
        <v>7.5</v>
      </c>
      <c r="BK9" s="16"/>
      <c r="BL9" s="4"/>
    </row>
    <row r="10">
      <c r="A10" s="14" t="str">
        <f>IFERROR(__xludf.DUMMYFUNCTION("""COMPUTED_VALUE"""),"Radim Dvořák")</f>
        <v>Radim Dvořák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>
        <f>IFERROR(__xludf.DUMMYFUNCTION("""COMPUTED_VALUE"""),5.5)</f>
        <v>5.5</v>
      </c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4"/>
    </row>
    <row r="11">
      <c r="A11" s="14" t="str">
        <f>IFERROR(__xludf.DUMMYFUNCTION("""COMPUTED_VALUE"""),"Daniel Dubecký")</f>
        <v>Daniel Dubecký</v>
      </c>
      <c r="B11" s="15">
        <f>IFERROR(__xludf.DUMMYFUNCTION("""COMPUTED_VALUE"""),5.0)</f>
        <v>5</v>
      </c>
      <c r="C11" s="16"/>
      <c r="D11" s="15">
        <f>IFERROR(__xludf.DUMMYFUNCTION("""COMPUTED_VALUE"""),7.5)</f>
        <v>7.5</v>
      </c>
      <c r="E11" s="16"/>
      <c r="F11" s="15">
        <f>IFERROR(__xludf.DUMMYFUNCTION("""COMPUTED_VALUE"""),3.5)</f>
        <v>3.5</v>
      </c>
      <c r="G11" s="16"/>
      <c r="H11" s="15">
        <f>IFERROR(__xludf.DUMMYFUNCTION("""COMPUTED_VALUE"""),3.5)</f>
        <v>3.5</v>
      </c>
      <c r="I11" s="16"/>
      <c r="J11" s="15">
        <f>IFERROR(__xludf.DUMMYFUNCTION("""COMPUTED_VALUE"""),6.0)</f>
        <v>6</v>
      </c>
      <c r="K11" s="16"/>
      <c r="L11" s="15"/>
      <c r="M11" s="16"/>
      <c r="N11" s="15">
        <f>IFERROR(__xludf.DUMMYFUNCTION("""COMPUTED_VALUE"""),14.0)</f>
        <v>14</v>
      </c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>
        <f>IFERROR(__xludf.DUMMYFUNCTION("""COMPUTED_VALUE"""),11.5)</f>
        <v>11.5</v>
      </c>
      <c r="AO11" s="16"/>
      <c r="AP11" s="15">
        <f>IFERROR(__xludf.DUMMYFUNCTION("""COMPUTED_VALUE"""),5.5)</f>
        <v>5.5</v>
      </c>
      <c r="AQ11" s="16">
        <f>IFERROR(__xludf.DUMMYFUNCTION("""COMPUTED_VALUE"""),1700.0)</f>
        <v>1700</v>
      </c>
      <c r="AR11" s="15">
        <f>IFERROR(__xludf.DUMMYFUNCTION("""COMPUTED_VALUE"""),11.5)</f>
        <v>11.5</v>
      </c>
      <c r="AS11" s="16"/>
      <c r="AT11" s="15">
        <f>IFERROR(__xludf.DUMMYFUNCTION("""COMPUTED_VALUE"""),12.5)</f>
        <v>12.5</v>
      </c>
      <c r="AU11" s="16"/>
      <c r="AV11" s="15">
        <f>IFERROR(__xludf.DUMMYFUNCTION("""COMPUTED_VALUE"""),5.5)</f>
        <v>5.5</v>
      </c>
      <c r="AW11" s="16"/>
      <c r="AX11" s="15"/>
      <c r="AY11" s="16"/>
      <c r="AZ11" s="15"/>
      <c r="BA11" s="16"/>
      <c r="BB11" s="15">
        <f>IFERROR(__xludf.DUMMYFUNCTION("""COMPUTED_VALUE"""),11.5)</f>
        <v>11.5</v>
      </c>
      <c r="BC11" s="16"/>
      <c r="BD11" s="15"/>
      <c r="BE11" s="16"/>
      <c r="BF11" s="15"/>
      <c r="BG11" s="16"/>
      <c r="BH11" s="15"/>
      <c r="BI11" s="16"/>
      <c r="BJ11" s="15"/>
      <c r="BK11" s="16"/>
      <c r="BL11" s="4"/>
    </row>
    <row r="12">
      <c r="A12" s="14" t="str">
        <f>IFERROR(__xludf.DUMMYFUNCTION("""COMPUTED_VALUE"""),"Nikola Adamová")</f>
        <v>Nikola Adamová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IFERROR(__xludf.DUMMYFUNCTION("""COMPUTED_VALUE"""),"Václav Černý")</f>
        <v>Václav Černý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4"/>
    </row>
    <row r="14">
      <c r="A14" s="14" t="str">
        <f>IFERROR(__xludf.DUMMYFUNCTION("""COMPUTED_VALUE"""),"Vojtěch Vrzoň")</f>
        <v>Vojtěch Vrzoň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IFERROR(__xludf.DUMMYFUNCTION("""COMPUTED_VALUE"""),"Patrik Vild")</f>
        <v>Patrik Vild</v>
      </c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4"/>
    </row>
    <row r="16">
      <c r="A16" s="14" t="str">
        <f>IFERROR(__xludf.DUMMYFUNCTION("""COMPUTED_VALUE"""),"Jakub Staňo")</f>
        <v>Jakub Staňo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IFERROR(__xludf.DUMMYFUNCTION("""COMPUTED_VALUE"""),"Daniel Fux")</f>
        <v>Daniel Fux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IFERROR(__xludf.DUMMYFUNCTION("""COMPUTED_VALUE"""),"Peter Tomko")</f>
        <v>Peter Tomko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IFERROR(__xludf.DUMMYFUNCTION("""COMPUTED_VALUE"""),"Karolína Schejbalová")</f>
        <v>Karolína Schejbalová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4"/>
    </row>
    <row r="20">
      <c r="A20" s="14" t="str">
        <f>IFERROR(__xludf.DUMMYFUNCTION("""COMPUTED_VALUE"""),"Martin Sova")</f>
        <v>Martin Sova</v>
      </c>
      <c r="B20" s="15"/>
      <c r="C20" s="16"/>
      <c r="D20" s="15">
        <f>IFERROR(__xludf.DUMMYFUNCTION("""COMPUTED_VALUE"""),7.0)</f>
        <v>7</v>
      </c>
      <c r="E20" s="16"/>
      <c r="F20" s="15"/>
      <c r="G20" s="16"/>
      <c r="H20" s="15"/>
      <c r="I20" s="16"/>
      <c r="J20" s="15"/>
      <c r="K20" s="16"/>
      <c r="L20" s="15">
        <f>IFERROR(__xludf.DUMMYFUNCTION("""COMPUTED_VALUE"""),12.0)</f>
        <v>12</v>
      </c>
      <c r="M20" s="16"/>
      <c r="N20" s="15"/>
      <c r="O20" s="16"/>
      <c r="P20" s="15">
        <f>IFERROR(__xludf.DUMMYFUNCTION("""COMPUTED_VALUE"""),12.0)</f>
        <v>12</v>
      </c>
      <c r="Q20" s="16"/>
      <c r="R20" s="15">
        <f>IFERROR(__xludf.DUMMYFUNCTION("""COMPUTED_VALUE"""),7.5)</f>
        <v>7.5</v>
      </c>
      <c r="S20" s="16"/>
      <c r="T20" s="15">
        <f>IFERROR(__xludf.DUMMYFUNCTION("""COMPUTED_VALUE"""),9.0)</f>
        <v>9</v>
      </c>
      <c r="U20" s="16"/>
      <c r="V20" s="15">
        <f>IFERROR(__xludf.DUMMYFUNCTION("""COMPUTED_VALUE"""),2.0)</f>
        <v>2</v>
      </c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>
        <f>IFERROR(__xludf.DUMMYFUNCTION("""COMPUTED_VALUE"""),10.5)</f>
        <v>10.5</v>
      </c>
      <c r="BC20" s="16"/>
      <c r="BD20" s="15">
        <f>IFERROR(__xludf.DUMMYFUNCTION("""COMPUTED_VALUE"""),11.5)</f>
        <v>11.5</v>
      </c>
      <c r="BE20" s="16"/>
      <c r="BF20" s="15"/>
      <c r="BG20" s="16"/>
      <c r="BH20" s="15"/>
      <c r="BI20" s="16"/>
      <c r="BJ20" s="15">
        <f>IFERROR(__xludf.DUMMYFUNCTION("""COMPUTED_VALUE"""),8.0)</f>
        <v>8</v>
      </c>
      <c r="BK20" s="16"/>
      <c r="BL20" s="4"/>
    </row>
    <row r="21">
      <c r="A21" s="14" t="str">
        <f>IFERROR(__xludf.DUMMYFUNCTION("""COMPUTED_VALUE"""),"Bogdan - Mihai Strajescu")</f>
        <v>Bogdan - Mihai Strajescu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4"/>
    </row>
    <row r="22">
      <c r="A22" s="14" t="str">
        <f>IFERROR(__xludf.DUMMYFUNCTION("""COMPUTED_VALUE"""),"William Simba")</f>
        <v>William Simba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>
        <f>IFERROR(__xludf.DUMMYFUNCTION("""COMPUTED_VALUE"""),11.5)</f>
        <v>11.5</v>
      </c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IFERROR(__xludf.DUMMYFUNCTION("""COMPUTED_VALUE"""),"Jan Pelikán")</f>
        <v>Jan Pelikán</v>
      </c>
      <c r="B23" s="15"/>
      <c r="C23" s="16"/>
      <c r="D23" s="15">
        <f>IFERROR(__xludf.DUMMYFUNCTION("""COMPUTED_VALUE"""),4.5)</f>
        <v>4.5</v>
      </c>
      <c r="E23" s="16"/>
      <c r="F23" s="15"/>
      <c r="G23" s="16"/>
      <c r="H23" s="15"/>
      <c r="I23" s="16"/>
      <c r="J23" s="15"/>
      <c r="K23" s="16"/>
      <c r="L23" s="15"/>
      <c r="M23" s="16"/>
      <c r="N23" s="15">
        <f>IFERROR(__xludf.DUMMYFUNCTION("""COMPUTED_VALUE"""),3.5)</f>
        <v>3.5</v>
      </c>
      <c r="O23" s="16"/>
      <c r="P23" s="15"/>
      <c r="Q23" s="16"/>
      <c r="R23" s="15">
        <f>IFERROR(__xludf.DUMMYFUNCTION("""COMPUTED_VALUE"""),5.5)</f>
        <v>5.5</v>
      </c>
      <c r="S23" s="16">
        <f>IFERROR(__xludf.DUMMYFUNCTION("""COMPUTED_VALUE"""),77.0)</f>
        <v>77</v>
      </c>
      <c r="T23" s="15"/>
      <c r="U23" s="16"/>
      <c r="V23" s="15">
        <f>IFERROR(__xludf.DUMMYFUNCTION("""COMPUTED_VALUE"""),7.0)</f>
        <v>7</v>
      </c>
      <c r="W23" s="16"/>
      <c r="X23" s="15"/>
      <c r="Y23" s="16"/>
      <c r="Z23" s="15"/>
      <c r="AA23" s="16"/>
      <c r="AB23" s="15"/>
      <c r="AC23" s="16"/>
      <c r="AD23" s="15">
        <f>IFERROR(__xludf.DUMMYFUNCTION("""COMPUTED_VALUE"""),1.0)</f>
        <v>1</v>
      </c>
      <c r="AE23" s="16"/>
      <c r="AF23" s="15"/>
      <c r="AG23" s="16"/>
      <c r="AH23" s="15"/>
      <c r="AI23" s="16"/>
      <c r="AJ23" s="15"/>
      <c r="AK23" s="16"/>
      <c r="AL23" s="15">
        <f>IFERROR(__xludf.DUMMYFUNCTION("""COMPUTED_VALUE"""),11.5)</f>
        <v>11.5</v>
      </c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>
        <f>IFERROR(__xludf.DUMMYFUNCTION("""COMPUTED_VALUE"""),4.5)</f>
        <v>4.5</v>
      </c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>
        <f>IFERROR(__xludf.DUMMYFUNCTION("""COMPUTED_VALUE"""),5.0)</f>
        <v>5</v>
      </c>
      <c r="BK23" s="16"/>
      <c r="BL23" s="4"/>
    </row>
    <row r="24">
      <c r="A24" s="14" t="str">
        <f>IFERROR(__xludf.DUMMYFUNCTION("""COMPUTED_VALUE"""),"Martin Danč")</f>
        <v>Martin Danč</v>
      </c>
      <c r="B24" s="15"/>
      <c r="C24" s="16"/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4"/>
    </row>
    <row r="25">
      <c r="A25" s="14" t="str">
        <f>IFERROR(__xludf.DUMMYFUNCTION("""COMPUTED_VALUE"""),"Pavel Hochman")</f>
        <v>Pavel Hochman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IFERROR(__xludf.DUMMYFUNCTION("""COMPUTED_VALUE"""),"Marek Šos")</f>
        <v>Marek Šos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4"/>
    </row>
    <row r="27">
      <c r="A27" s="14" t="str">
        <f>IFERROR(__xludf.DUMMYFUNCTION("""COMPUTED_VALUE"""),"Martin Jurkovič")</f>
        <v>Martin Jurkovič</v>
      </c>
      <c r="B27" s="15"/>
      <c r="C27" s="16"/>
      <c r="D27" s="15"/>
      <c r="E27" s="16"/>
      <c r="F27" s="15"/>
      <c r="G27" s="16"/>
      <c r="H27" s="15"/>
      <c r="I27" s="16"/>
      <c r="J27" s="15">
        <f>IFERROR(__xludf.DUMMYFUNCTION("""COMPUTED_VALUE"""),5.5)</f>
        <v>5.5</v>
      </c>
      <c r="K27" s="16"/>
      <c r="L27" s="15">
        <f>IFERROR(__xludf.DUMMYFUNCTION("""COMPUTED_VALUE"""),3.5)</f>
        <v>3.5</v>
      </c>
      <c r="M27" s="16"/>
      <c r="N27" s="15"/>
      <c r="O27" s="16"/>
      <c r="P27" s="15">
        <f>IFERROR(__xludf.DUMMYFUNCTION("""COMPUTED_VALUE"""),2.0)</f>
        <v>2</v>
      </c>
      <c r="Q27" s="16"/>
      <c r="R27" s="15"/>
      <c r="S27" s="16"/>
      <c r="T27" s="15"/>
      <c r="U27" s="16"/>
      <c r="V27" s="15">
        <f>IFERROR(__xludf.DUMMYFUNCTION("""COMPUTED_VALUE"""),2.0)</f>
        <v>2</v>
      </c>
      <c r="W27" s="16"/>
      <c r="X27" s="15">
        <f>IFERROR(__xludf.DUMMYFUNCTION("""COMPUTED_VALUE"""),8.0)</f>
        <v>8</v>
      </c>
      <c r="Y27" s="16"/>
      <c r="Z27" s="15">
        <f>IFERROR(__xludf.DUMMYFUNCTION("""COMPUTED_VALUE"""),5.5)</f>
        <v>5.5</v>
      </c>
      <c r="AA27" s="16"/>
      <c r="AB27" s="15"/>
      <c r="AC27" s="16"/>
      <c r="AD27" s="15"/>
      <c r="AE27" s="16"/>
      <c r="AF27" s="15"/>
      <c r="AG27" s="16"/>
      <c r="AH27" s="15">
        <f>IFERROR(__xludf.DUMMYFUNCTION("""COMPUTED_VALUE"""),5.0)</f>
        <v>5</v>
      </c>
      <c r="AI27" s="16"/>
      <c r="AJ27" s="15">
        <f>IFERROR(__xludf.DUMMYFUNCTION("""COMPUTED_VALUE"""),8.0)</f>
        <v>8</v>
      </c>
      <c r="AK27" s="16"/>
      <c r="AL27" s="15"/>
      <c r="AM27" s="16"/>
      <c r="AN27" s="15"/>
      <c r="AO27" s="16"/>
      <c r="AP27" s="15">
        <f>IFERROR(__xludf.DUMMYFUNCTION("""COMPUTED_VALUE"""),11.5)</f>
        <v>11.5</v>
      </c>
      <c r="AQ27" s="16"/>
      <c r="AR27" s="15"/>
      <c r="AS27" s="16"/>
      <c r="AT27" s="15">
        <f>IFERROR(__xludf.DUMMYFUNCTION("""COMPUTED_VALUE"""),5.0)</f>
        <v>5</v>
      </c>
      <c r="AU27" s="16"/>
      <c r="AV27" s="15"/>
      <c r="AW27" s="16"/>
      <c r="AX27" s="15"/>
      <c r="AY27" s="16"/>
      <c r="AZ27" s="15">
        <f>IFERROR(__xludf.DUMMYFUNCTION("""COMPUTED_VALUE"""),3.0)</f>
        <v>3</v>
      </c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IFERROR(__xludf.DUMMYFUNCTION("""COMPUTED_VALUE"""),"Václav Schejbal")</f>
        <v>Václav Schejbal</v>
      </c>
      <c r="B28" s="15">
        <f>IFERROR(__xludf.DUMMYFUNCTION("""COMPUTED_VALUE"""),12.0)</f>
        <v>12</v>
      </c>
      <c r="C28" s="16"/>
      <c r="D28" s="15"/>
      <c r="E28" s="16"/>
      <c r="F28" s="15"/>
      <c r="G28" s="16"/>
      <c r="H28" s="15">
        <f>IFERROR(__xludf.DUMMYFUNCTION("""COMPUTED_VALUE"""),11.5)</f>
        <v>11.5</v>
      </c>
      <c r="I28" s="16"/>
      <c r="J28" s="15"/>
      <c r="K28" s="16"/>
      <c r="L28" s="15">
        <f>IFERROR(__xludf.DUMMYFUNCTION("""COMPUTED_VALUE"""),11.5)</f>
        <v>11.5</v>
      </c>
      <c r="M28" s="16"/>
      <c r="N28" s="15">
        <f>IFERROR(__xludf.DUMMYFUNCTION("""COMPUTED_VALUE"""),4.5)</f>
        <v>4.5</v>
      </c>
      <c r="O28" s="16"/>
      <c r="P28" s="15">
        <f>IFERROR(__xludf.DUMMYFUNCTION("""COMPUTED_VALUE"""),5.0)</f>
        <v>5</v>
      </c>
      <c r="Q28" s="16"/>
      <c r="R28" s="15"/>
      <c r="S28" s="16"/>
      <c r="T28" s="15"/>
      <c r="U28" s="16"/>
      <c r="V28" s="15">
        <f>IFERROR(__xludf.DUMMYFUNCTION("""COMPUTED_VALUE"""),11.5)</f>
        <v>11.5</v>
      </c>
      <c r="W28" s="16"/>
      <c r="X28" s="15"/>
      <c r="Y28" s="16"/>
      <c r="Z28" s="15"/>
      <c r="AA28" s="16"/>
      <c r="AB28" s="15"/>
      <c r="AC28" s="16"/>
      <c r="AD28" s="15">
        <f>IFERROR(__xludf.DUMMYFUNCTION("""COMPUTED_VALUE"""),11.5)</f>
        <v>11.5</v>
      </c>
      <c r="AE28" s="16"/>
      <c r="AF28" s="15">
        <f>IFERROR(__xludf.DUMMYFUNCTION("""COMPUTED_VALUE"""),11.0)</f>
        <v>11</v>
      </c>
      <c r="AG28" s="16"/>
      <c r="AH28" s="15">
        <f>IFERROR(__xludf.DUMMYFUNCTION("""COMPUTED_VALUE"""),5.5)</f>
        <v>5.5</v>
      </c>
      <c r="AI28" s="16"/>
      <c r="AJ28" s="15">
        <f>IFERROR(__xludf.DUMMYFUNCTION("""COMPUTED_VALUE"""),10.0)</f>
        <v>10</v>
      </c>
      <c r="AK28" s="16"/>
      <c r="AL28" s="15"/>
      <c r="AM28" s="16"/>
      <c r="AN28" s="15">
        <f>IFERROR(__xludf.DUMMYFUNCTION("""COMPUTED_VALUE"""),11.5)</f>
        <v>11.5</v>
      </c>
      <c r="AO28" s="16"/>
      <c r="AP28" s="15"/>
      <c r="AQ28" s="16"/>
      <c r="AR28" s="15"/>
      <c r="AS28" s="16"/>
      <c r="AT28" s="15"/>
      <c r="AU28" s="16"/>
      <c r="AV28" s="15">
        <f>IFERROR(__xludf.DUMMYFUNCTION("""COMPUTED_VALUE"""),11.5)</f>
        <v>11.5</v>
      </c>
      <c r="AW28" s="16"/>
      <c r="AX28" s="15">
        <f>IFERROR(__xludf.DUMMYFUNCTION("""COMPUTED_VALUE"""),11.5)</f>
        <v>11.5</v>
      </c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IFERROR(__xludf.DUMMYFUNCTION("""COMPUTED_VALUE"""),"Zbyněk Hyský")</f>
        <v>Zbyněk Hyský</v>
      </c>
      <c r="B29" s="15"/>
      <c r="C29" s="16"/>
      <c r="D29" s="15"/>
      <c r="E29" s="16"/>
      <c r="F29" s="15"/>
      <c r="G29" s="16"/>
      <c r="H29" s="15"/>
      <c r="I29" s="16"/>
      <c r="J29" s="15">
        <f>IFERROR(__xludf.DUMMYFUNCTION("""COMPUTED_VALUE"""),5.5)</f>
        <v>5.5</v>
      </c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4"/>
    </row>
    <row r="30">
      <c r="A30" s="14" t="str">
        <f>IFERROR(__xludf.DUMMYFUNCTION("""COMPUTED_VALUE"""),"Stanislav Roth st.")</f>
        <v>Stanislav Roth st.</v>
      </c>
      <c r="B30" s="15"/>
      <c r="C30" s="16"/>
      <c r="D30" s="15">
        <f>IFERROR(__xludf.DUMMYFUNCTION("""COMPUTED_VALUE"""),4.0)</f>
        <v>4</v>
      </c>
      <c r="E30" s="16"/>
      <c r="F30" s="15">
        <f>IFERROR(__xludf.DUMMYFUNCTION("""COMPUTED_VALUE"""),3.5)</f>
        <v>3.5</v>
      </c>
      <c r="G30" s="16"/>
      <c r="H30" s="15"/>
      <c r="I30" s="16"/>
      <c r="J30" s="15"/>
      <c r="K30" s="16"/>
      <c r="L30" s="15">
        <f>IFERROR(__xludf.DUMMYFUNCTION("""COMPUTED_VALUE"""),1.0)</f>
        <v>1</v>
      </c>
      <c r="M30" s="16"/>
      <c r="N30" s="15">
        <f>IFERROR(__xludf.DUMMYFUNCTION("""COMPUTED_VALUE"""),2.5)</f>
        <v>2.5</v>
      </c>
      <c r="O30" s="16"/>
      <c r="P30" s="15">
        <f>IFERROR(__xludf.DUMMYFUNCTION("""COMPUTED_VALUE"""),6.5)</f>
        <v>6.5</v>
      </c>
      <c r="Q30" s="16">
        <f>IFERROR(__xludf.DUMMYFUNCTION("""COMPUTED_VALUE"""),200.0)</f>
        <v>200</v>
      </c>
      <c r="R30" s="15">
        <f>IFERROR(__xludf.DUMMYFUNCTION("""COMPUTED_VALUE"""),3.0)</f>
        <v>3</v>
      </c>
      <c r="S30" s="16">
        <f>IFERROR(__xludf.DUMMYFUNCTION("""COMPUTED_VALUE"""),400.0)</f>
        <v>400</v>
      </c>
      <c r="T30" s="15">
        <f>IFERROR(__xludf.DUMMYFUNCTION("""COMPUTED_VALUE"""),1.0)</f>
        <v>1</v>
      </c>
      <c r="U30" s="16"/>
      <c r="V30" s="15"/>
      <c r="W30" s="16"/>
      <c r="X30" s="15">
        <f>IFERROR(__xludf.DUMMYFUNCTION("""COMPUTED_VALUE"""),3.0)</f>
        <v>3</v>
      </c>
      <c r="Y30" s="16"/>
      <c r="Z30" s="15">
        <f>IFERROR(__xludf.DUMMYFUNCTION("""COMPUTED_VALUE"""),5.0)</f>
        <v>5</v>
      </c>
      <c r="AA30" s="16"/>
      <c r="AB30" s="15">
        <f>IFERROR(__xludf.DUMMYFUNCTION("""COMPUTED_VALUE"""),3.0)</f>
        <v>3</v>
      </c>
      <c r="AC30" s="16"/>
      <c r="AD30" s="15">
        <f>IFERROR(__xludf.DUMMYFUNCTION("""COMPUTED_VALUE"""),4.0)</f>
        <v>4</v>
      </c>
      <c r="AE30" s="16"/>
      <c r="AF30" s="15">
        <f>IFERROR(__xludf.DUMMYFUNCTION("""COMPUTED_VALUE"""),4.0)</f>
        <v>4</v>
      </c>
      <c r="AG30" s="16"/>
      <c r="AH30" s="15">
        <f>IFERROR(__xludf.DUMMYFUNCTION("""COMPUTED_VALUE"""),6.0)</f>
        <v>6</v>
      </c>
      <c r="AI30" s="16"/>
      <c r="AJ30" s="15"/>
      <c r="AK30" s="16"/>
      <c r="AL30" s="15">
        <f>IFERROR(__xludf.DUMMYFUNCTION("""COMPUTED_VALUE"""),7.0)</f>
        <v>7</v>
      </c>
      <c r="AM30" s="16"/>
      <c r="AN30" s="15">
        <f>IFERROR(__xludf.DUMMYFUNCTION("""COMPUTED_VALUE"""),2.0)</f>
        <v>2</v>
      </c>
      <c r="AO30" s="16"/>
      <c r="AP30" s="15">
        <f>IFERROR(__xludf.DUMMYFUNCTION("""COMPUTED_VALUE"""),3.5)</f>
        <v>3.5</v>
      </c>
      <c r="AQ30" s="16"/>
      <c r="AR30" s="15">
        <f>IFERROR(__xludf.DUMMYFUNCTION("""COMPUTED_VALUE"""),2.0)</f>
        <v>2</v>
      </c>
      <c r="AS30" s="16"/>
      <c r="AT30" s="15">
        <f>IFERROR(__xludf.DUMMYFUNCTION("""COMPUTED_VALUE"""),3.0)</f>
        <v>3</v>
      </c>
      <c r="AU30" s="16"/>
      <c r="AV30" s="15">
        <f>IFERROR(__xludf.DUMMYFUNCTION("""COMPUTED_VALUE"""),4.0)</f>
        <v>4</v>
      </c>
      <c r="AW30" s="16"/>
      <c r="AX30" s="15"/>
      <c r="AY30" s="16"/>
      <c r="AZ30" s="15"/>
      <c r="BA30" s="16"/>
      <c r="BB30" s="15">
        <f>IFERROR(__xludf.DUMMYFUNCTION("""COMPUTED_VALUE"""),4.0)</f>
        <v>4</v>
      </c>
      <c r="BC30" s="16"/>
      <c r="BD30" s="15">
        <f>IFERROR(__xludf.DUMMYFUNCTION("""COMPUTED_VALUE"""),3.5)</f>
        <v>3.5</v>
      </c>
      <c r="BE30" s="16"/>
      <c r="BF30" s="15">
        <f>IFERROR(__xludf.DUMMYFUNCTION("""COMPUTED_VALUE"""),3.0)</f>
        <v>3</v>
      </c>
      <c r="BG30" s="16"/>
      <c r="BH30" s="15">
        <f>IFERROR(__xludf.DUMMYFUNCTION("""COMPUTED_VALUE"""),7.5)</f>
        <v>7.5</v>
      </c>
      <c r="BI30" s="16"/>
      <c r="BJ30" s="15">
        <f>IFERROR(__xludf.DUMMYFUNCTION("""COMPUTED_VALUE"""),3.5)</f>
        <v>3.5</v>
      </c>
      <c r="BK30" s="16"/>
      <c r="BL30" s="4"/>
    </row>
    <row r="31">
      <c r="A31" s="14" t="str">
        <f>IFERROR(__xludf.DUMMYFUNCTION("""COMPUTED_VALUE"""),"Vojtěch Olejník")</f>
        <v>Vojtěch Olejník</v>
      </c>
      <c r="B31" s="15">
        <f>IFERROR(__xludf.DUMMYFUNCTION("""COMPUTED_VALUE"""),13.0)</f>
        <v>13</v>
      </c>
      <c r="C31" s="16"/>
      <c r="D31" s="15">
        <f>IFERROR(__xludf.DUMMYFUNCTION("""COMPUTED_VALUE"""),12.5)</f>
        <v>12.5</v>
      </c>
      <c r="E31" s="16">
        <f>IFERROR(__xludf.DUMMYFUNCTION("""COMPUTED_VALUE"""),136.0)</f>
        <v>136</v>
      </c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>
        <f>IFERROR(__xludf.DUMMYFUNCTION("""COMPUTED_VALUE"""),1.5)</f>
        <v>1.5</v>
      </c>
      <c r="AA31" s="16"/>
      <c r="AB31" s="15">
        <f>IFERROR(__xludf.DUMMYFUNCTION("""COMPUTED_VALUE"""),6.0)</f>
        <v>6</v>
      </c>
      <c r="AC31" s="16"/>
      <c r="AD31" s="15">
        <f>IFERROR(__xludf.DUMMYFUNCTION("""COMPUTED_VALUE"""),9.0)</f>
        <v>9</v>
      </c>
      <c r="AE31" s="16"/>
      <c r="AF31" s="15"/>
      <c r="AG31" s="16"/>
      <c r="AH31" s="15">
        <f>IFERROR(__xludf.DUMMYFUNCTION("""COMPUTED_VALUE"""),11.5)</f>
        <v>11.5</v>
      </c>
      <c r="AI31" s="16"/>
      <c r="AJ31" s="15"/>
      <c r="AK31" s="16"/>
      <c r="AL31" s="15"/>
      <c r="AM31" s="16"/>
      <c r="AN31" s="15"/>
      <c r="AO31" s="16"/>
      <c r="AP31" s="15"/>
      <c r="AQ31" s="16"/>
      <c r="AR31" s="15">
        <f>IFERROR(__xludf.DUMMYFUNCTION("""COMPUTED_VALUE"""),11.5)</f>
        <v>11.5</v>
      </c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4"/>
    </row>
    <row r="32">
      <c r="A32" s="14" t="str">
        <f>IFERROR(__xludf.DUMMYFUNCTION("""COMPUTED_VALUE"""),"Jakub Malík")</f>
        <v>Jakub Malík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>
        <f>IFERROR(__xludf.DUMMYFUNCTION("""COMPUTED_VALUE"""),5.5)</f>
        <v>5.5</v>
      </c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4"/>
    </row>
    <row r="33">
      <c r="A33" s="14" t="str">
        <f>IFERROR(__xludf.DUMMYFUNCTION("""COMPUTED_VALUE"""),"David Chysky")</f>
        <v>David Chysky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IFERROR(__xludf.DUMMYFUNCTION("""COMPUTED_VALUE"""),"Dominik Plodek")</f>
        <v>Dominik Plodek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IFERROR(__xludf.DUMMYFUNCTION("""COMPUTED_VALUE"""),"Lukáš Viktora")</f>
        <v>Lukáš Viktora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IFERROR(__xludf.DUMMYFUNCTION("""COMPUTED_VALUE"""),"Jan Jakub Šmejkal")</f>
        <v>Jan Jakub Šmejkal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>
        <f>IFERROR(__xludf.DUMMYFUNCTION("""COMPUTED_VALUE"""),7.5)</f>
        <v>7.5</v>
      </c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>
        <f>IFERROR(__xludf.DUMMYFUNCTION("""COMPUTED_VALUE"""),5.5)</f>
        <v>5.5</v>
      </c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IFERROR(__xludf.DUMMYFUNCTION("""COMPUTED_VALUE"""),"Miroslav Majtán")</f>
        <v>Miroslav Majtán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IFERROR(__xludf.DUMMYFUNCTION("""COMPUTED_VALUE"""),"Blanka Kouřimská")</f>
        <v>Blanka Kouřimská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IFERROR(__xludf.DUMMYFUNCTION("""COMPUTED_VALUE"""),"Vladimír Dudkin")</f>
        <v>Vladimír Dudkin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IFERROR(__xludf.DUMMYFUNCTION("""COMPUTED_VALUE"""),"Jana Hofmanová")</f>
        <v>Jana Hofmanová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IFERROR(__xludf.DUMMYFUNCTION("""COMPUTED_VALUE"""),"Daniel Jaroš")</f>
        <v>Daniel Jaroš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IFERROR(__xludf.DUMMYFUNCTION("""COMPUTED_VALUE"""),"Vojtěch Sukdolák")</f>
        <v>Vojtěch Sukdolák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IFERROR(__xludf.DUMMYFUNCTION("""COMPUTED_VALUE"""),"Vít Káš")</f>
        <v>Vít Káš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4"/>
    </row>
    <row r="44">
      <c r="A44" s="14" t="str">
        <f>IFERROR(__xludf.DUMMYFUNCTION("""COMPUTED_VALUE"""),"Tomáš Pavlišín")</f>
        <v>Tomáš Pavlišín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IFERROR(__xludf.DUMMYFUNCTION("""COMPUTED_VALUE"""),"Anthony Lightburn")</f>
        <v>Anthony Lightburn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IFERROR(__xludf.DUMMYFUNCTION("""COMPUTED_VALUE"""),"Adrián Zajac")</f>
        <v>Adrián Zajac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IFERROR(__xludf.DUMMYFUNCTION("""COMPUTED_VALUE"""),"Jan Beneš")</f>
        <v>Jan Beneš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4"/>
    </row>
    <row r="48">
      <c r="A48" s="14" t="str">
        <f>IFERROR(__xludf.DUMMYFUNCTION("""COMPUTED_VALUE"""),"Jan Ťoupal")</f>
        <v>Jan Ťoupal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>
        <f>IFERROR(__xludf.DUMMYFUNCTION("""COMPUTED_VALUE"""),4.5)</f>
        <v>4.5</v>
      </c>
      <c r="U48" s="16"/>
      <c r="V48" s="15">
        <f>IFERROR(__xludf.DUMMYFUNCTION("""COMPUTED_VALUE"""),5.5)</f>
        <v>5.5</v>
      </c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IFERROR(__xludf.DUMMYFUNCTION("""COMPUTED_VALUE"""),"Simon Kurčík")</f>
        <v>Simon Kurčík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IFERROR(__xludf.DUMMYFUNCTION("""COMPUTED_VALUE"""),"Jiří Frankl")</f>
        <v>Jiří Frankl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IFERROR(__xludf.DUMMYFUNCTION("""COMPUTED_VALUE"""),"Matěj Štolba")</f>
        <v>Matěj Štolba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IFERROR(__xludf.DUMMYFUNCTION("""COMPUTED_VALUE"""),"Michal Moročilo")</f>
        <v>Michal Moročilo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IFERROR(__xludf.DUMMYFUNCTION("""COMPUTED_VALUE"""),"František Matoušek")</f>
        <v>František Matoušek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>
        <f>IFERROR(__xludf.DUMMYFUNCTION("""COMPUTED_VALUE"""),5.5)</f>
        <v>5.5</v>
      </c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IFERROR(__xludf.DUMMYFUNCTION("""COMPUTED_VALUE"""),"Adam Petr")</f>
        <v>Adam Petr</v>
      </c>
      <c r="B54" s="15"/>
      <c r="C54" s="16"/>
      <c r="D54" s="15"/>
      <c r="E54" s="16"/>
      <c r="F54" s="15"/>
      <c r="G54" s="16"/>
      <c r="H54" s="15">
        <f>IFERROR(__xludf.DUMMYFUNCTION("""COMPUTED_VALUE"""),11.5)</f>
        <v>11.5</v>
      </c>
      <c r="I54" s="16"/>
      <c r="J54" s="15">
        <f>IFERROR(__xludf.DUMMYFUNCTION("""COMPUTED_VALUE"""),5.5)</f>
        <v>5.5</v>
      </c>
      <c r="K54" s="16"/>
      <c r="L54" s="15">
        <f>IFERROR(__xludf.DUMMYFUNCTION("""COMPUTED_VALUE"""),5.5)</f>
        <v>5.5</v>
      </c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4"/>
    </row>
    <row r="55">
      <c r="A55" s="14" t="str">
        <f>IFERROR(__xludf.DUMMYFUNCTION("""COMPUTED_VALUE"""),"Ondřej Nestrojil")</f>
        <v>Ondřej Nestrojil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IFERROR(__xludf.DUMMYFUNCTION("""COMPUTED_VALUE"""),"Savelij Vasylčenko")</f>
        <v>Savelij Vasylčenko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IFERROR(__xludf.DUMMYFUNCTION("""COMPUTED_VALUE"""),"Vojtěch Fux")</f>
        <v>Vojtěch Fux</v>
      </c>
      <c r="B57" s="15"/>
      <c r="C57" s="16"/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>
        <f>IFERROR(__xludf.DUMMYFUNCTION("""COMPUTED_VALUE"""),5.0)</f>
        <v>5</v>
      </c>
      <c r="AU57" s="16"/>
      <c r="AV57" s="15"/>
      <c r="AW57" s="16"/>
      <c r="AX57" s="15">
        <f>IFERROR(__xludf.DUMMYFUNCTION("""COMPUTED_VALUE"""),7.0)</f>
        <v>7</v>
      </c>
      <c r="AY57" s="16"/>
      <c r="AZ57" s="15">
        <f>IFERROR(__xludf.DUMMYFUNCTION("""COMPUTED_VALUE"""),5.0)</f>
        <v>5</v>
      </c>
      <c r="BA57" s="16"/>
      <c r="BB57" s="15"/>
      <c r="BC57" s="16"/>
      <c r="BD57" s="15"/>
      <c r="BE57" s="16"/>
      <c r="BF57" s="15"/>
      <c r="BG57" s="16"/>
      <c r="BH57" s="15">
        <f>IFERROR(__xludf.DUMMYFUNCTION("""COMPUTED_VALUE"""),2.5)</f>
        <v>2.5</v>
      </c>
      <c r="BI57" s="16"/>
      <c r="BJ57" s="15"/>
      <c r="BK57" s="16"/>
      <c r="BL57" s="4"/>
    </row>
    <row r="58">
      <c r="A58" s="14" t="str">
        <f>IFERROR(__xludf.DUMMYFUNCTION("""COMPUTED_VALUE"""),"Michal Jiřík")</f>
        <v>Michal Jiřík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IFERROR(__xludf.DUMMYFUNCTION("""COMPUTED_VALUE"""),"Kateřina Machková")</f>
        <v>Kateřina Machková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4"/>
    </row>
    <row r="60">
      <c r="A60" s="14" t="str">
        <f>IFERROR(__xludf.DUMMYFUNCTION("""COMPUTED_VALUE"""),"Marek Šimek")</f>
        <v>Marek Šimek</v>
      </c>
      <c r="B60" s="15"/>
      <c r="C60" s="16"/>
      <c r="D60" s="15"/>
      <c r="E60" s="16"/>
      <c r="F60" s="15">
        <f>IFERROR(__xludf.DUMMYFUNCTION("""COMPUTED_VALUE"""),11.5)</f>
        <v>11.5</v>
      </c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>
        <f>IFERROR(__xludf.DUMMYFUNCTION("""COMPUTED_VALUE"""),9.0)</f>
        <v>9</v>
      </c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>
        <f>IFERROR(__xludf.DUMMYFUNCTION("""COMPUTED_VALUE"""),12.0)</f>
        <v>12</v>
      </c>
      <c r="BG60" s="16"/>
      <c r="BH60" s="15"/>
      <c r="BI60" s="16"/>
      <c r="BJ60" s="15"/>
      <c r="BK60" s="16"/>
      <c r="BL60" s="4"/>
    </row>
    <row r="61">
      <c r="A61" s="14" t="str">
        <f>IFERROR(__xludf.DUMMYFUNCTION("""COMPUTED_VALUE"""),"Lukáš Volf")</f>
        <v>Lukáš Volf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4"/>
    </row>
    <row r="62">
      <c r="A62" s="14" t="str">
        <f>IFERROR(__xludf.DUMMYFUNCTION("""COMPUTED_VALUE"""),"Lucie Vorlíčková")</f>
        <v>Lucie Vorlíčková</v>
      </c>
      <c r="B62" s="15">
        <f>IFERROR(__xludf.DUMMYFUNCTION("""COMPUTED_VALUE"""),13.0)</f>
        <v>13</v>
      </c>
      <c r="C62" s="16">
        <f>IFERROR(__xludf.DUMMYFUNCTION("""COMPUTED_VALUE"""),1300.0)</f>
        <v>1300</v>
      </c>
      <c r="D62" s="15"/>
      <c r="E62" s="16"/>
      <c r="F62" s="15">
        <f>IFERROR(__xludf.DUMMYFUNCTION("""COMPUTED_VALUE"""),12.0)</f>
        <v>12</v>
      </c>
      <c r="G62" s="16">
        <f>IFERROR(__xludf.DUMMYFUNCTION("""COMPUTED_VALUE"""),1200.0)</f>
        <v>1200</v>
      </c>
      <c r="H62" s="15"/>
      <c r="I62" s="16"/>
      <c r="J62" s="15">
        <f>IFERROR(__xludf.DUMMYFUNCTION("""COMPUTED_VALUE"""),5.5)</f>
        <v>5.5</v>
      </c>
      <c r="K62" s="16">
        <f>IFERROR(__xludf.DUMMYFUNCTION("""COMPUTED_VALUE"""),550.0)</f>
        <v>550</v>
      </c>
      <c r="L62" s="15"/>
      <c r="M62" s="16"/>
      <c r="N62" s="15"/>
      <c r="O62" s="16"/>
      <c r="P62" s="15">
        <f>IFERROR(__xludf.DUMMYFUNCTION("""COMPUTED_VALUE"""),6.0)</f>
        <v>6</v>
      </c>
      <c r="Q62" s="16">
        <f>IFERROR(__xludf.DUMMYFUNCTION("""COMPUTED_VALUE"""),600.0)</f>
        <v>600</v>
      </c>
      <c r="R62" s="15">
        <f>IFERROR(__xludf.DUMMYFUNCTION("""COMPUTED_VALUE"""),12.0)</f>
        <v>12</v>
      </c>
      <c r="S62" s="16">
        <f>IFERROR(__xludf.DUMMYFUNCTION("""COMPUTED_VALUE"""),1200.0)</f>
        <v>1200</v>
      </c>
      <c r="T62" s="15">
        <f>IFERROR(__xludf.DUMMYFUNCTION("""COMPUTED_VALUE"""),10.0)</f>
        <v>10</v>
      </c>
      <c r="U62" s="16">
        <f>IFERROR(__xludf.DUMMYFUNCTION("""COMPUTED_VALUE"""),1000.0)</f>
        <v>1000</v>
      </c>
      <c r="V62" s="15">
        <f>IFERROR(__xludf.DUMMYFUNCTION("""COMPUTED_VALUE"""),11.5)</f>
        <v>11.5</v>
      </c>
      <c r="W62" s="16">
        <f>IFERROR(__xludf.DUMMYFUNCTION("""COMPUTED_VALUE"""),1150.0)</f>
        <v>1150</v>
      </c>
      <c r="X62" s="15">
        <f>IFERROR(__xludf.DUMMYFUNCTION("""COMPUTED_VALUE"""),11.0)</f>
        <v>11</v>
      </c>
      <c r="Y62" s="16">
        <f>IFERROR(__xludf.DUMMYFUNCTION("""COMPUTED_VALUE"""),1100.0)</f>
        <v>1100</v>
      </c>
      <c r="Z62" s="15"/>
      <c r="AA62" s="16"/>
      <c r="AB62" s="15">
        <f>IFERROR(__xludf.DUMMYFUNCTION("""COMPUTED_VALUE"""),11.5)</f>
        <v>11.5</v>
      </c>
      <c r="AC62" s="16">
        <f>IFERROR(__xludf.DUMMYFUNCTION("""COMPUTED_VALUE"""),1150.0)</f>
        <v>1150</v>
      </c>
      <c r="AD62" s="15"/>
      <c r="AE62" s="16"/>
      <c r="AF62" s="15">
        <f>IFERROR(__xludf.DUMMYFUNCTION("""COMPUTED_VALUE"""),11.5)</f>
        <v>11.5</v>
      </c>
      <c r="AG62" s="16">
        <f>IFERROR(__xludf.DUMMYFUNCTION("""COMPUTED_VALUE"""),1150.0)</f>
        <v>1150</v>
      </c>
      <c r="AH62" s="15">
        <f>IFERROR(__xludf.DUMMYFUNCTION("""COMPUTED_VALUE"""),5.5)</f>
        <v>5.5</v>
      </c>
      <c r="AI62" s="16">
        <f>IFERROR(__xludf.DUMMYFUNCTION("""COMPUTED_VALUE"""),550.0)</f>
        <v>550</v>
      </c>
      <c r="AJ62" s="15">
        <f>IFERROR(__xludf.DUMMYFUNCTION("""COMPUTED_VALUE"""),11.0)</f>
        <v>11</v>
      </c>
      <c r="AK62" s="16">
        <f>IFERROR(__xludf.DUMMYFUNCTION("""COMPUTED_VALUE"""),1100.0)</f>
        <v>1100</v>
      </c>
      <c r="AL62" s="15">
        <f>IFERROR(__xludf.DUMMYFUNCTION("""COMPUTED_VALUE"""),11.5)</f>
        <v>11.5</v>
      </c>
      <c r="AM62" s="16">
        <f>IFERROR(__xludf.DUMMYFUNCTION("""COMPUTED_VALUE"""),1150.0)</f>
        <v>1150</v>
      </c>
      <c r="AN62" s="15"/>
      <c r="AO62" s="16"/>
      <c r="AP62" s="15">
        <f>IFERROR(__xludf.DUMMYFUNCTION("""COMPUTED_VALUE"""),11.0)</f>
        <v>11</v>
      </c>
      <c r="AQ62" s="16">
        <f>IFERROR(__xludf.DUMMYFUNCTION("""COMPUTED_VALUE"""),1100.0)</f>
        <v>1100</v>
      </c>
      <c r="AR62" s="15">
        <f>IFERROR(__xludf.DUMMYFUNCTION("""COMPUTED_VALUE"""),4.0)</f>
        <v>4</v>
      </c>
      <c r="AS62" s="16">
        <f>IFERROR(__xludf.DUMMYFUNCTION("""COMPUTED_VALUE"""),400.0)</f>
        <v>400</v>
      </c>
      <c r="AT62" s="15"/>
      <c r="AU62" s="16"/>
      <c r="AV62" s="15">
        <f>IFERROR(__xludf.DUMMYFUNCTION("""COMPUTED_VALUE"""),9.0)</f>
        <v>9</v>
      </c>
      <c r="AW62" s="16">
        <f>IFERROR(__xludf.DUMMYFUNCTION("""COMPUTED_VALUE"""),900.0)</f>
        <v>900</v>
      </c>
      <c r="AX62" s="15">
        <f>IFERROR(__xludf.DUMMYFUNCTION("""COMPUTED_VALUE"""),8.0)</f>
        <v>8</v>
      </c>
      <c r="AY62" s="16">
        <f>IFERROR(__xludf.DUMMYFUNCTION("""COMPUTED_VALUE"""),800.0)</f>
        <v>800</v>
      </c>
      <c r="AZ62" s="15">
        <f>IFERROR(__xludf.DUMMYFUNCTION("""COMPUTED_VALUE"""),12.0)</f>
        <v>12</v>
      </c>
      <c r="BA62" s="16">
        <f>IFERROR(__xludf.DUMMYFUNCTION("""COMPUTED_VALUE"""),1200.0)</f>
        <v>1200</v>
      </c>
      <c r="BB62" s="15"/>
      <c r="BC62" s="16"/>
      <c r="BD62" s="15">
        <f>IFERROR(__xludf.DUMMYFUNCTION("""COMPUTED_VALUE"""),4.5)</f>
        <v>4.5</v>
      </c>
      <c r="BE62" s="16">
        <f>IFERROR(__xludf.DUMMYFUNCTION("""COMPUTED_VALUE"""),450.0)</f>
        <v>450</v>
      </c>
      <c r="BF62" s="15"/>
      <c r="BG62" s="16"/>
      <c r="BH62" s="15">
        <f>IFERROR(__xludf.DUMMYFUNCTION("""COMPUTED_VALUE"""),4.5)</f>
        <v>4.5</v>
      </c>
      <c r="BI62" s="16">
        <f>IFERROR(__xludf.DUMMYFUNCTION("""COMPUTED_VALUE"""),450.0)</f>
        <v>450</v>
      </c>
      <c r="BJ62" s="15">
        <f>IFERROR(__xludf.DUMMYFUNCTION("""COMPUTED_VALUE"""),4.5)</f>
        <v>4.5</v>
      </c>
      <c r="BK62" s="16">
        <f>IFERROR(__xludf.DUMMYFUNCTION("""COMPUTED_VALUE"""),450.0)</f>
        <v>450</v>
      </c>
      <c r="BL62" s="4"/>
    </row>
    <row r="63">
      <c r="A63" s="14" t="str">
        <f>IFERROR(__xludf.DUMMYFUNCTION("""COMPUTED_VALUE"""),"Damián Bradáč")</f>
        <v>Damián Bradáč</v>
      </c>
      <c r="B63" s="15"/>
      <c r="C63" s="16"/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IFERROR(__xludf.DUMMYFUNCTION("""COMPUTED_VALUE"""),"Tomáš Veselý")</f>
        <v>Tomáš Veselý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IFERROR(__xludf.DUMMYFUNCTION("""COMPUTED_VALUE"""),"Jakub Janout")</f>
        <v>Jakub Janout</v>
      </c>
      <c r="B65" s="15">
        <f>IFERROR(__xludf.DUMMYFUNCTION("""COMPUTED_VALUE"""),5.0)</f>
        <v>5</v>
      </c>
      <c r="C65" s="16"/>
      <c r="D65" s="15">
        <f>IFERROR(__xludf.DUMMYFUNCTION("""COMPUTED_VALUE"""),6.0)</f>
        <v>6</v>
      </c>
      <c r="E65" s="16"/>
      <c r="F65" s="15">
        <f>IFERROR(__xludf.DUMMYFUNCTION("""COMPUTED_VALUE"""),11.5)</f>
        <v>11.5</v>
      </c>
      <c r="G65" s="16"/>
      <c r="H65" s="15"/>
      <c r="I65" s="16"/>
      <c r="J65" s="15"/>
      <c r="K65" s="16"/>
      <c r="L65" s="15"/>
      <c r="M65" s="16"/>
      <c r="N65" s="15"/>
      <c r="O65" s="16"/>
      <c r="P65" s="15">
        <f>IFERROR(__xludf.DUMMYFUNCTION("""COMPUTED_VALUE"""),6.0)</f>
        <v>6</v>
      </c>
      <c r="Q65" s="16"/>
      <c r="R65" s="15"/>
      <c r="S65" s="16"/>
      <c r="T65" s="15">
        <f>IFERROR(__xludf.DUMMYFUNCTION("""COMPUTED_VALUE"""),3.5)</f>
        <v>3.5</v>
      </c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 t="str">
        <f>IFERROR(__xludf.DUMMYFUNCTION("""COMPUTED_VALUE"""),"Ladislav Koška")</f>
        <v>Ladislav Koška</v>
      </c>
      <c r="B66" s="15"/>
      <c r="C66" s="16"/>
      <c r="D66" s="15">
        <f>IFERROR(__xludf.DUMMYFUNCTION("""COMPUTED_VALUE"""),5.0)</f>
        <v>5</v>
      </c>
      <c r="E66" s="16"/>
      <c r="F66" s="15"/>
      <c r="G66" s="16"/>
      <c r="H66" s="15">
        <f>IFERROR(__xludf.DUMMYFUNCTION("""COMPUTED_VALUE"""),11.5)</f>
        <v>11.5</v>
      </c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4"/>
    </row>
    <row r="67">
      <c r="A67" s="14" t="str">
        <f>IFERROR(__xludf.DUMMYFUNCTION("""COMPUTED_VALUE"""),"Jiří Pilnáček")</f>
        <v>Jiří Pilnáček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4"/>
    </row>
    <row r="68">
      <c r="A68" s="14" t="str">
        <f>IFERROR(__xludf.DUMMYFUNCTION("""COMPUTED_VALUE"""),"Michal Bandy")</f>
        <v>Michal Bandy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/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4"/>
    </row>
    <row r="78">
      <c r="A78" s="14"/>
      <c r="B78" s="15"/>
      <c r="C78" s="16"/>
      <c r="D78" s="15"/>
      <c r="E78" s="16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4"/>
    </row>
    <row r="79">
      <c r="A79" s="17" t="str">
        <f>IFERROR(__xludf.DUMMYFUNCTION("IMPORTRANGE(""https://docs.google.com/spreadsheets/d/117XsMwF9c9MTHWeN7D7WzlyrufGi8JWp50P8lgXikRs"", ""Přehled mzdy!C3:BM23"")"),"Instore")</f>
        <v>Instore</v>
      </c>
      <c r="B79" s="15" t="str">
        <f>IFERROR(__xludf.DUMMYFUNCTION("""COMPUTED_VALUE"""),"hod.")</f>
        <v>hod.</v>
      </c>
      <c r="C79" s="16" t="str">
        <f>IFERROR(__xludf.DUMMYFUNCTION("""COMPUTED_VALUE"""),"zál.")</f>
        <v>zál.</v>
      </c>
      <c r="D79" s="15" t="str">
        <f>IFERROR(__xludf.DUMMYFUNCTION("""COMPUTED_VALUE"""),"hod.")</f>
        <v>hod.</v>
      </c>
      <c r="E79" s="16" t="str">
        <f>IFERROR(__xludf.DUMMYFUNCTION("""COMPUTED_VALUE"""),"zál.")</f>
        <v>zál.</v>
      </c>
      <c r="F79" s="15" t="str">
        <f>IFERROR(__xludf.DUMMYFUNCTION("""COMPUTED_VALUE"""),"hod.")</f>
        <v>hod.</v>
      </c>
      <c r="G79" s="16" t="str">
        <f>IFERROR(__xludf.DUMMYFUNCTION("""COMPUTED_VALUE"""),"zál.")</f>
        <v>zál.</v>
      </c>
      <c r="H79" s="15" t="str">
        <f>IFERROR(__xludf.DUMMYFUNCTION("""COMPUTED_VALUE"""),"Hodin")</f>
        <v>Hodin</v>
      </c>
      <c r="I79" s="16" t="str">
        <f>IFERROR(__xludf.DUMMYFUNCTION("""COMPUTED_VALUE"""),"zál.")</f>
        <v>zál.</v>
      </c>
      <c r="J79" s="15" t="str">
        <f>IFERROR(__xludf.DUMMYFUNCTION("""COMPUTED_VALUE"""),"hod.")</f>
        <v>hod.</v>
      </c>
      <c r="K79" s="16" t="str">
        <f>IFERROR(__xludf.DUMMYFUNCTION("""COMPUTED_VALUE"""),"zál.")</f>
        <v>zál.</v>
      </c>
      <c r="L79" s="15" t="str">
        <f>IFERROR(__xludf.DUMMYFUNCTION("""COMPUTED_VALUE"""),"hod.")</f>
        <v>hod.</v>
      </c>
      <c r="M79" s="16" t="str">
        <f>IFERROR(__xludf.DUMMYFUNCTION("""COMPUTED_VALUE"""),"zál.")</f>
        <v>zál.</v>
      </c>
      <c r="N79" s="15" t="str">
        <f>IFERROR(__xludf.DUMMYFUNCTION("""COMPUTED_VALUE"""),"hod.")</f>
        <v>hod.</v>
      </c>
      <c r="O79" s="16" t="str">
        <f>IFERROR(__xludf.DUMMYFUNCTION("""COMPUTED_VALUE"""),"zál.")</f>
        <v>zál.</v>
      </c>
      <c r="P79" s="15" t="str">
        <f>IFERROR(__xludf.DUMMYFUNCTION("""COMPUTED_VALUE"""),"hod.")</f>
        <v>hod.</v>
      </c>
      <c r="Q79" s="16" t="str">
        <f>IFERROR(__xludf.DUMMYFUNCTION("""COMPUTED_VALUE"""),"zál.")</f>
        <v>zál.</v>
      </c>
      <c r="R79" s="15" t="str">
        <f>IFERROR(__xludf.DUMMYFUNCTION("""COMPUTED_VALUE"""),"hod.")</f>
        <v>hod.</v>
      </c>
      <c r="S79" s="16" t="str">
        <f>IFERROR(__xludf.DUMMYFUNCTION("""COMPUTED_VALUE"""),"zál.")</f>
        <v>zál.</v>
      </c>
      <c r="T79" s="15" t="str">
        <f>IFERROR(__xludf.DUMMYFUNCTION("""COMPUTED_VALUE"""),"hod.")</f>
        <v>hod.</v>
      </c>
      <c r="U79" s="16" t="str">
        <f>IFERROR(__xludf.DUMMYFUNCTION("""COMPUTED_VALUE"""),"zál.")</f>
        <v>zál.</v>
      </c>
      <c r="V79" s="15" t="str">
        <f>IFERROR(__xludf.DUMMYFUNCTION("""COMPUTED_VALUE"""),"hod.")</f>
        <v>hod.</v>
      </c>
      <c r="W79" s="16" t="str">
        <f>IFERROR(__xludf.DUMMYFUNCTION("""COMPUTED_VALUE"""),"zál.")</f>
        <v>zál.</v>
      </c>
      <c r="X79" s="15" t="str">
        <f>IFERROR(__xludf.DUMMYFUNCTION("""COMPUTED_VALUE"""),"hod.")</f>
        <v>hod.</v>
      </c>
      <c r="Y79" s="16" t="str">
        <f>IFERROR(__xludf.DUMMYFUNCTION("""COMPUTED_VALUE"""),"zál.")</f>
        <v>zál.</v>
      </c>
      <c r="Z79" s="15" t="str">
        <f>IFERROR(__xludf.DUMMYFUNCTION("""COMPUTED_VALUE"""),"hod.")</f>
        <v>hod.</v>
      </c>
      <c r="AA79" s="16" t="str">
        <f>IFERROR(__xludf.DUMMYFUNCTION("""COMPUTED_VALUE"""),"zál.")</f>
        <v>zál.</v>
      </c>
      <c r="AB79" s="15" t="str">
        <f>IFERROR(__xludf.DUMMYFUNCTION("""COMPUTED_VALUE"""),"hod.")</f>
        <v>hod.</v>
      </c>
      <c r="AC79" s="16" t="str">
        <f>IFERROR(__xludf.DUMMYFUNCTION("""COMPUTED_VALUE"""),"zál.")</f>
        <v>zál.</v>
      </c>
      <c r="AD79" s="15" t="str">
        <f>IFERROR(__xludf.DUMMYFUNCTION("""COMPUTED_VALUE"""),"hod.")</f>
        <v>hod.</v>
      </c>
      <c r="AE79" s="16" t="str">
        <f>IFERROR(__xludf.DUMMYFUNCTION("""COMPUTED_VALUE"""),"zál.")</f>
        <v>zál.</v>
      </c>
      <c r="AF79" s="15" t="str">
        <f>IFERROR(__xludf.DUMMYFUNCTION("""COMPUTED_VALUE"""),"hod.")</f>
        <v>hod.</v>
      </c>
      <c r="AG79" s="16" t="str">
        <f>IFERROR(__xludf.DUMMYFUNCTION("""COMPUTED_VALUE"""),"zál.")</f>
        <v>zál.</v>
      </c>
      <c r="AH79" s="15" t="str">
        <f>IFERROR(__xludf.DUMMYFUNCTION("""COMPUTED_VALUE"""),"hod.")</f>
        <v>hod.</v>
      </c>
      <c r="AI79" s="16" t="str">
        <f>IFERROR(__xludf.DUMMYFUNCTION("""COMPUTED_VALUE"""),"zál.")</f>
        <v>zál.</v>
      </c>
      <c r="AJ79" s="15" t="str">
        <f>IFERROR(__xludf.DUMMYFUNCTION("""COMPUTED_VALUE"""),"hod.")</f>
        <v>hod.</v>
      </c>
      <c r="AK79" s="16" t="str">
        <f>IFERROR(__xludf.DUMMYFUNCTION("""COMPUTED_VALUE"""),"zál.")</f>
        <v>zál.</v>
      </c>
      <c r="AL79" s="15" t="str">
        <f>IFERROR(__xludf.DUMMYFUNCTION("""COMPUTED_VALUE"""),"hod.")</f>
        <v>hod.</v>
      </c>
      <c r="AM79" s="16" t="str">
        <f>IFERROR(__xludf.DUMMYFUNCTION("""COMPUTED_VALUE"""),"zál.")</f>
        <v>zál.</v>
      </c>
      <c r="AN79" s="15" t="str">
        <f>IFERROR(__xludf.DUMMYFUNCTION("""COMPUTED_VALUE"""),"hod.")</f>
        <v>hod.</v>
      </c>
      <c r="AO79" s="16" t="str">
        <f>IFERROR(__xludf.DUMMYFUNCTION("""COMPUTED_VALUE"""),"zál.")</f>
        <v>zál.</v>
      </c>
      <c r="AP79" s="15" t="str">
        <f>IFERROR(__xludf.DUMMYFUNCTION("""COMPUTED_VALUE"""),"hod.")</f>
        <v>hod.</v>
      </c>
      <c r="AQ79" s="16" t="str">
        <f>IFERROR(__xludf.DUMMYFUNCTION("""COMPUTED_VALUE"""),"zál.")</f>
        <v>zál.</v>
      </c>
      <c r="AR79" s="15" t="str">
        <f>IFERROR(__xludf.DUMMYFUNCTION("""COMPUTED_VALUE"""),"hod.")</f>
        <v>hod.</v>
      </c>
      <c r="AS79" s="16" t="str">
        <f>IFERROR(__xludf.DUMMYFUNCTION("""COMPUTED_VALUE"""),"zál.")</f>
        <v>zál.</v>
      </c>
      <c r="AT79" s="15" t="str">
        <f>IFERROR(__xludf.DUMMYFUNCTION("""COMPUTED_VALUE"""),"hod.")</f>
        <v>hod.</v>
      </c>
      <c r="AU79" s="16" t="str">
        <f>IFERROR(__xludf.DUMMYFUNCTION("""COMPUTED_VALUE"""),"zál.")</f>
        <v>zál.</v>
      </c>
      <c r="AV79" s="15" t="str">
        <f>IFERROR(__xludf.DUMMYFUNCTION("""COMPUTED_VALUE"""),"hod.")</f>
        <v>hod.</v>
      </c>
      <c r="AW79" s="16" t="str">
        <f>IFERROR(__xludf.DUMMYFUNCTION("""COMPUTED_VALUE"""),"zál.")</f>
        <v>zál.</v>
      </c>
      <c r="AX79" s="15" t="str">
        <f>IFERROR(__xludf.DUMMYFUNCTION("""COMPUTED_VALUE"""),"hod.")</f>
        <v>hod.</v>
      </c>
      <c r="AY79" s="16" t="str">
        <f>IFERROR(__xludf.DUMMYFUNCTION("""COMPUTED_VALUE"""),"zál.")</f>
        <v>zál.</v>
      </c>
      <c r="AZ79" s="15" t="str">
        <f>IFERROR(__xludf.DUMMYFUNCTION("""COMPUTED_VALUE"""),"hod.")</f>
        <v>hod.</v>
      </c>
      <c r="BA79" s="16" t="str">
        <f>IFERROR(__xludf.DUMMYFUNCTION("""COMPUTED_VALUE"""),"zál.")</f>
        <v>zál.</v>
      </c>
      <c r="BB79" s="15" t="str">
        <f>IFERROR(__xludf.DUMMYFUNCTION("""COMPUTED_VALUE"""),"hod.")</f>
        <v>hod.</v>
      </c>
      <c r="BC79" s="16" t="str">
        <f>IFERROR(__xludf.DUMMYFUNCTION("""COMPUTED_VALUE"""),"zál.")</f>
        <v>zál.</v>
      </c>
      <c r="BD79" s="15" t="str">
        <f>IFERROR(__xludf.DUMMYFUNCTION("""COMPUTED_VALUE"""),"hod.")</f>
        <v>hod.</v>
      </c>
      <c r="BE79" s="16" t="str">
        <f>IFERROR(__xludf.DUMMYFUNCTION("""COMPUTED_VALUE"""),"zál.")</f>
        <v>zál.</v>
      </c>
      <c r="BF79" s="15" t="str">
        <f>IFERROR(__xludf.DUMMYFUNCTION("""COMPUTED_VALUE"""),"hod.")</f>
        <v>hod.</v>
      </c>
      <c r="BG79" s="16" t="str">
        <f>IFERROR(__xludf.DUMMYFUNCTION("""COMPUTED_VALUE"""),"zál.")</f>
        <v>zál.</v>
      </c>
      <c r="BH79" s="15" t="str">
        <f>IFERROR(__xludf.DUMMYFUNCTION("""COMPUTED_VALUE"""),"hod.")</f>
        <v>hod.</v>
      </c>
      <c r="BI79" s="16" t="str">
        <f>IFERROR(__xludf.DUMMYFUNCTION("""COMPUTED_VALUE"""),"zál.")</f>
        <v>zál.</v>
      </c>
      <c r="BJ79" s="15" t="str">
        <f>IFERROR(__xludf.DUMMYFUNCTION("""COMPUTED_VALUE"""),"hod.")</f>
        <v>hod.</v>
      </c>
      <c r="BK79" s="16" t="str">
        <f>IFERROR(__xludf.DUMMYFUNCTION("""COMPUTED_VALUE"""),"zál.")</f>
        <v>zál.</v>
      </c>
      <c r="BL79" s="4"/>
    </row>
    <row r="80">
      <c r="A80" s="18" t="str">
        <f>IFERROR(__xludf.DUMMYFUNCTION("""COMPUTED_VALUE"""),"Stanislav Roth")</f>
        <v>Stanislav Roth</v>
      </c>
      <c r="B80" s="15">
        <f>IFERROR(__xludf.DUMMYFUNCTION("""COMPUTED_VALUE"""),13.0)</f>
        <v>13</v>
      </c>
      <c r="C80" s="16">
        <f>IFERROR(__xludf.DUMMYFUNCTION("""COMPUTED_VALUE"""),2000.0)</f>
        <v>2000</v>
      </c>
      <c r="D80" s="15"/>
      <c r="E80" s="16"/>
      <c r="F80" s="15">
        <f>IFERROR(__xludf.DUMMYFUNCTION("""COMPUTED_VALUE"""),6.0)</f>
        <v>6</v>
      </c>
      <c r="G80" s="16"/>
      <c r="H80" s="15">
        <f>IFERROR(__xludf.DUMMYFUNCTION("""COMPUTED_VALUE"""),5.5)</f>
        <v>5.5</v>
      </c>
      <c r="I80" s="16"/>
      <c r="J80" s="15">
        <f>IFERROR(__xludf.DUMMYFUNCTION("""COMPUTED_VALUE"""),8.0)</f>
        <v>8</v>
      </c>
      <c r="K80" s="16"/>
      <c r="L80" s="15">
        <f>IFERROR(__xludf.DUMMYFUNCTION("""COMPUTED_VALUE"""),13.0)</f>
        <v>13</v>
      </c>
      <c r="M80" s="16">
        <f>IFERROR(__xludf.DUMMYFUNCTION("""COMPUTED_VALUE"""),2500.0)</f>
        <v>2500</v>
      </c>
      <c r="N80" s="15">
        <f>IFERROR(__xludf.DUMMYFUNCTION("""COMPUTED_VALUE"""),13.0)</f>
        <v>13</v>
      </c>
      <c r="O80" s="16"/>
      <c r="P80" s="15"/>
      <c r="Q80" s="16"/>
      <c r="R80" s="15"/>
      <c r="S80" s="16"/>
      <c r="T80" s="15">
        <f>IFERROR(__xludf.DUMMYFUNCTION("""COMPUTED_VALUE"""),7.0)</f>
        <v>7</v>
      </c>
      <c r="U80" s="16"/>
      <c r="V80" s="15">
        <f>IFERROR(__xludf.DUMMYFUNCTION("""COMPUTED_VALUE"""),7.0)</f>
        <v>7</v>
      </c>
      <c r="W80" s="16"/>
      <c r="X80" s="15">
        <f>IFERROR(__xludf.DUMMYFUNCTION("""COMPUTED_VALUE"""),11.5)</f>
        <v>11.5</v>
      </c>
      <c r="Y80" s="16"/>
      <c r="Z80" s="15"/>
      <c r="AA80" s="16"/>
      <c r="AB80" s="15">
        <f>IFERROR(__xludf.DUMMYFUNCTION("""COMPUTED_VALUE"""),12.0)</f>
        <v>12</v>
      </c>
      <c r="AC80" s="16">
        <f>IFERROR(__xludf.DUMMYFUNCTION("""COMPUTED_VALUE"""),2000.0)</f>
        <v>2000</v>
      </c>
      <c r="AD80" s="15">
        <f>IFERROR(__xludf.DUMMYFUNCTION("""COMPUTED_VALUE"""),5.5)</f>
        <v>5.5</v>
      </c>
      <c r="AE80" s="16"/>
      <c r="AF80" s="15">
        <f>IFERROR(__xludf.DUMMYFUNCTION("""COMPUTED_VALUE"""),6.0)</f>
        <v>6</v>
      </c>
      <c r="AG80" s="16"/>
      <c r="AH80" s="15">
        <f>IFERROR(__xludf.DUMMYFUNCTION("""COMPUTED_VALUE"""),5.5)</f>
        <v>5.5</v>
      </c>
      <c r="AI80" s="16"/>
      <c r="AJ80" s="15">
        <f>IFERROR(__xludf.DUMMYFUNCTION("""COMPUTED_VALUE"""),5.5)</f>
        <v>5.5</v>
      </c>
      <c r="AK80" s="16"/>
      <c r="AL80" s="15">
        <f>IFERROR(__xludf.DUMMYFUNCTION("""COMPUTED_VALUE"""),5.0)</f>
        <v>5</v>
      </c>
      <c r="AM80" s="16"/>
      <c r="AN80" s="15"/>
      <c r="AO80" s="16"/>
      <c r="AP80" s="15"/>
      <c r="AQ80" s="16"/>
      <c r="AR80" s="15"/>
      <c r="AS80" s="16"/>
      <c r="AT80" s="15">
        <f>IFERROR(__xludf.DUMMYFUNCTION("""COMPUTED_VALUE"""),5.0)</f>
        <v>5</v>
      </c>
      <c r="AU80" s="16"/>
      <c r="AV80" s="15"/>
      <c r="AW80" s="16"/>
      <c r="AX80" s="15">
        <f>IFERROR(__xludf.DUMMYFUNCTION("""COMPUTED_VALUE"""),7.0)</f>
        <v>7</v>
      </c>
      <c r="AY80" s="16"/>
      <c r="AZ80" s="15">
        <f>IFERROR(__xludf.DUMMYFUNCTION("""COMPUTED_VALUE"""),12.0)</f>
        <v>12</v>
      </c>
      <c r="BA80" s="16"/>
      <c r="BB80" s="15">
        <f>IFERROR(__xludf.DUMMYFUNCTION("""COMPUTED_VALUE"""),5.0)</f>
        <v>5</v>
      </c>
      <c r="BC80" s="16"/>
      <c r="BD80" s="15"/>
      <c r="BE80" s="16"/>
      <c r="BF80" s="15">
        <f>IFERROR(__xludf.DUMMYFUNCTION("""COMPUTED_VALUE"""),6.0)</f>
        <v>6</v>
      </c>
      <c r="BG80" s="16"/>
      <c r="BH80" s="15"/>
      <c r="BI80" s="16"/>
      <c r="BJ80" s="15">
        <f>IFERROR(__xludf.DUMMYFUNCTION("""COMPUTED_VALUE"""),7.0)</f>
        <v>7</v>
      </c>
      <c r="BK80" s="16"/>
      <c r="BL80" s="4"/>
    </row>
    <row r="81">
      <c r="A81" s="19" t="str">
        <f>IFERROR(__xludf.DUMMYFUNCTION("""COMPUTED_VALUE"""),"Anastasia Rothová")</f>
        <v>Anastasia Rothová</v>
      </c>
      <c r="B81" s="15"/>
      <c r="C81" s="16"/>
      <c r="D81" s="15"/>
      <c r="E81" s="16"/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16"/>
      <c r="AB81" s="15"/>
      <c r="AC81" s="16"/>
      <c r="AD81" s="15"/>
      <c r="AE81" s="16"/>
      <c r="AF81" s="15"/>
      <c r="AG81" s="16"/>
      <c r="AH81" s="15"/>
      <c r="AI81" s="16"/>
      <c r="AJ81" s="15"/>
      <c r="AK81" s="16"/>
      <c r="AL81" s="15"/>
      <c r="AM81" s="16"/>
      <c r="AN81" s="15"/>
      <c r="AO81" s="16"/>
      <c r="AP81" s="15"/>
      <c r="AQ81" s="16"/>
      <c r="AR81" s="15"/>
      <c r="AS81" s="16"/>
      <c r="AT81" s="15"/>
      <c r="AU81" s="16"/>
      <c r="AV81" s="15"/>
      <c r="AW81" s="16"/>
      <c r="AX81" s="15"/>
      <c r="AY81" s="16"/>
      <c r="AZ81" s="15"/>
      <c r="BA81" s="16"/>
      <c r="BB81" s="15"/>
      <c r="BC81" s="16"/>
      <c r="BD81" s="15"/>
      <c r="BE81" s="16"/>
      <c r="BF81" s="15"/>
      <c r="BG81" s="16"/>
      <c r="BH81" s="15"/>
      <c r="BI81" s="16"/>
      <c r="BJ81" s="15"/>
      <c r="BK81" s="16"/>
      <c r="BL81" s="4"/>
    </row>
    <row r="82">
      <c r="A82" s="14" t="str">
        <f>IFERROR(__xludf.DUMMYFUNCTION("""COMPUTED_VALUE"""),"Petr Wolf")</f>
        <v>Petr Wolf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4"/>
    </row>
    <row r="83">
      <c r="A83" s="14" t="str">
        <f>IFERROR(__xludf.DUMMYFUNCTION("""COMPUTED_VALUE"""),"David Kropáč")</f>
        <v>David Kropáč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IFERROR(__xludf.DUMMYFUNCTION("""COMPUTED_VALUE"""),"Oksana Dynysenko")</f>
        <v>Oksana Dynysenko</v>
      </c>
      <c r="B84" s="15"/>
      <c r="C84" s="16"/>
      <c r="D84" s="15"/>
      <c r="E84" s="16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/>
      <c r="AS84" s="16"/>
      <c r="AT84" s="15"/>
      <c r="AU84" s="16"/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4"/>
    </row>
    <row r="85">
      <c r="A85" s="14" t="str">
        <f>IFERROR(__xludf.DUMMYFUNCTION("""COMPUTED_VALUE"""),"Filip Štěrba")</f>
        <v>Filip Štěrba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IFERROR(__xludf.DUMMYFUNCTION("""COMPUTED_VALUE"""),"Yana Nynyk")</f>
        <v>Yana Nynyk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IFERROR(__xludf.DUMMYFUNCTION("""COMPUTED_VALUE"""),"Vojtěch Fux")</f>
        <v>Vojtěch Fux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>
        <f>IFERROR(__xludf.DUMMYFUNCTION("""COMPUTED_VALUE"""),5.5)</f>
        <v>5.5</v>
      </c>
      <c r="AO87" s="16">
        <f>IFERROR(__xludf.DUMMYFUNCTION("""COMPUTED_VALUE"""),200.0)</f>
        <v>200</v>
      </c>
      <c r="AP87" s="15"/>
      <c r="AQ87" s="16"/>
      <c r="AR87" s="15"/>
      <c r="AS87" s="16"/>
      <c r="AT87" s="15">
        <f>IFERROR(__xludf.DUMMYFUNCTION("""COMPUTED_VALUE"""),7.0)</f>
        <v>7</v>
      </c>
      <c r="AU87" s="16"/>
      <c r="AV87" s="15">
        <f>IFERROR(__xludf.DUMMYFUNCTION("""COMPUTED_VALUE"""),1.5)</f>
        <v>1.5</v>
      </c>
      <c r="AW87" s="16">
        <f>IFERROR(__xludf.DUMMYFUNCTION("""COMPUTED_VALUE"""),150.0)</f>
        <v>150</v>
      </c>
      <c r="AX87" s="15">
        <f>IFERROR(__xludf.DUMMYFUNCTION("""COMPUTED_VALUE"""),6.5)</f>
        <v>6.5</v>
      </c>
      <c r="AY87" s="16">
        <f>IFERROR(__xludf.DUMMYFUNCTION("""COMPUTED_VALUE"""),500.0)</f>
        <v>500</v>
      </c>
      <c r="AZ87" s="15"/>
      <c r="BA87" s="16"/>
      <c r="BB87" s="15"/>
      <c r="BC87" s="16"/>
      <c r="BD87" s="15">
        <f>IFERROR(__xludf.DUMMYFUNCTION("""COMPUTED_VALUE"""),6.0)</f>
        <v>6</v>
      </c>
      <c r="BE87" s="16">
        <f>IFERROR(__xludf.DUMMYFUNCTION("""COMPUTED_VALUE"""),500.0)</f>
        <v>500</v>
      </c>
      <c r="BF87" s="15"/>
      <c r="BG87" s="16"/>
      <c r="BH87" s="15">
        <f>IFERROR(__xludf.DUMMYFUNCTION("""COMPUTED_VALUE"""),3.0)</f>
        <v>3</v>
      </c>
      <c r="BI87" s="16"/>
      <c r="BJ87" s="15"/>
      <c r="BK87" s="16"/>
      <c r="BL87" s="4"/>
    </row>
    <row r="88">
      <c r="A88" s="14" t="str">
        <f>IFERROR(__xludf.DUMMYFUNCTION("""COMPUTED_VALUE"""),"Daniel Fux")</f>
        <v>Daniel Fux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>
        <f>IFERROR(__xludf.DUMMYFUNCTION("""COMPUTED_VALUE"""),6.0)</f>
        <v>6</v>
      </c>
      <c r="U88" s="16"/>
      <c r="V88" s="15">
        <f>IFERROR(__xludf.DUMMYFUNCTION("""COMPUTED_VALUE"""),6.0)</f>
        <v>6</v>
      </c>
      <c r="W88" s="16"/>
      <c r="X88" s="15"/>
      <c r="Y88" s="16"/>
      <c r="Z88" s="15"/>
      <c r="AA88" s="16"/>
      <c r="AB88" s="15"/>
      <c r="AC88" s="16"/>
      <c r="AD88" s="15">
        <f>IFERROR(__xludf.DUMMYFUNCTION("""COMPUTED_VALUE"""),10.0)</f>
        <v>10</v>
      </c>
      <c r="AE88" s="16"/>
      <c r="AF88" s="15">
        <f>IFERROR(__xludf.DUMMYFUNCTION("""COMPUTED_VALUE"""),12.5)</f>
        <v>12.5</v>
      </c>
      <c r="AG88" s="16"/>
      <c r="AH88" s="15"/>
      <c r="AI88" s="16"/>
      <c r="AJ88" s="15"/>
      <c r="AK88" s="16"/>
      <c r="AL88" s="15"/>
      <c r="AM88" s="16"/>
      <c r="AN88" s="15">
        <f>IFERROR(__xludf.DUMMYFUNCTION("""COMPUTED_VALUE"""),12.5)</f>
        <v>12.5</v>
      </c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>
        <f>IFERROR(__xludf.DUMMYFUNCTION("""COMPUTED_VALUE"""),3.5)</f>
        <v>3.5</v>
      </c>
      <c r="BK88" s="16"/>
      <c r="BL88" s="4"/>
    </row>
    <row r="89">
      <c r="A89" s="14" t="str">
        <f>IFERROR(__xludf.DUMMYFUNCTION("""COMPUTED_VALUE"""),"Radim Dvořák")</f>
        <v>Radim Dvořák</v>
      </c>
      <c r="B89" s="15"/>
      <c r="C89" s="16"/>
      <c r="D89" s="15">
        <f>IFERROR(__xludf.DUMMYFUNCTION("""COMPUTED_VALUE"""),13.0)</f>
        <v>13</v>
      </c>
      <c r="E89" s="16"/>
      <c r="F89" s="15">
        <f>IFERROR(__xludf.DUMMYFUNCTION("""COMPUTED_VALUE"""),13.0)</f>
        <v>13</v>
      </c>
      <c r="G89" s="16"/>
      <c r="H89" s="15">
        <f>IFERROR(__xludf.DUMMYFUNCTION("""COMPUTED_VALUE"""),13.0)</f>
        <v>13</v>
      </c>
      <c r="I89" s="16"/>
      <c r="J89" s="15">
        <f>IFERROR(__xludf.DUMMYFUNCTION("""COMPUTED_VALUE"""),7.0)</f>
        <v>7</v>
      </c>
      <c r="K89" s="16"/>
      <c r="L89" s="15"/>
      <c r="M89" s="16">
        <f>IFERROR(__xludf.DUMMYFUNCTION("""COMPUTED_VALUE"""),500.0)</f>
        <v>500</v>
      </c>
      <c r="N89" s="15"/>
      <c r="O89" s="16"/>
      <c r="P89" s="15">
        <f>IFERROR(__xludf.DUMMYFUNCTION("""COMPUTED_VALUE"""),13.0)</f>
        <v>13</v>
      </c>
      <c r="Q89" s="16"/>
      <c r="R89" s="15">
        <f>IFERROR(__xludf.DUMMYFUNCTION("""COMPUTED_VALUE"""),13.0)</f>
        <v>13</v>
      </c>
      <c r="S89" s="16"/>
      <c r="T89" s="15">
        <f>IFERROR(__xludf.DUMMYFUNCTION("""COMPUTED_VALUE"""),6.0)</f>
        <v>6</v>
      </c>
      <c r="U89" s="16"/>
      <c r="V89" s="15">
        <f>IFERROR(__xludf.DUMMYFUNCTION("""COMPUTED_VALUE"""),7.0)</f>
        <v>7</v>
      </c>
      <c r="W89" s="16"/>
      <c r="X89" s="15">
        <f>IFERROR(__xludf.DUMMYFUNCTION("""COMPUTED_VALUE"""),12.5)</f>
        <v>12.5</v>
      </c>
      <c r="Y89" s="16"/>
      <c r="Z89" s="15">
        <f>IFERROR(__xludf.DUMMYFUNCTION("""COMPUTED_VALUE"""),13.0)</f>
        <v>13</v>
      </c>
      <c r="AA89" s="16"/>
      <c r="AB89" s="15">
        <f>IFERROR(__xludf.DUMMYFUNCTION("""COMPUTED_VALUE"""),6.0)</f>
        <v>6</v>
      </c>
      <c r="AC89" s="16"/>
      <c r="AD89" s="15"/>
      <c r="AE89" s="16"/>
      <c r="AF89" s="15"/>
      <c r="AG89" s="16"/>
      <c r="AH89" s="15">
        <f>IFERROR(__xludf.DUMMYFUNCTION("""COMPUTED_VALUE"""),12.5)</f>
        <v>12.5</v>
      </c>
      <c r="AI89" s="16"/>
      <c r="AJ89" s="15">
        <f>IFERROR(__xludf.DUMMYFUNCTION("""COMPUTED_VALUE"""),12.5)</f>
        <v>12.5</v>
      </c>
      <c r="AK89" s="16"/>
      <c r="AL89" s="15">
        <f>IFERROR(__xludf.DUMMYFUNCTION("""COMPUTED_VALUE"""),12.5)</f>
        <v>12.5</v>
      </c>
      <c r="AM89" s="16"/>
      <c r="AN89" s="15"/>
      <c r="AO89" s="16"/>
      <c r="AP89" s="15">
        <f>IFERROR(__xludf.DUMMYFUNCTION("""COMPUTED_VALUE"""),11.5)</f>
        <v>11.5</v>
      </c>
      <c r="AQ89" s="16"/>
      <c r="AR89" s="15">
        <f>IFERROR(__xludf.DUMMYFUNCTION("""COMPUTED_VALUE"""),13.0)</f>
        <v>13</v>
      </c>
      <c r="AS89" s="16"/>
      <c r="AT89" s="15">
        <f>IFERROR(__xludf.DUMMYFUNCTION("""COMPUTED_VALUE"""),5.5)</f>
        <v>5.5</v>
      </c>
      <c r="AU89" s="16"/>
      <c r="AV89" s="15">
        <f>IFERROR(__xludf.DUMMYFUNCTION("""COMPUTED_VALUE"""),12.5)</f>
        <v>12.5</v>
      </c>
      <c r="AW89" s="16"/>
      <c r="AX89" s="15"/>
      <c r="AY89" s="16"/>
      <c r="AZ89" s="15">
        <f>IFERROR(__xludf.DUMMYFUNCTION("""COMPUTED_VALUE"""),9.0)</f>
        <v>9</v>
      </c>
      <c r="BA89" s="16"/>
      <c r="BB89" s="15">
        <f>IFERROR(__xludf.DUMMYFUNCTION("""COMPUTED_VALUE"""),13.0)</f>
        <v>13</v>
      </c>
      <c r="BC89" s="16"/>
      <c r="BD89" s="15">
        <f>IFERROR(__xludf.DUMMYFUNCTION("""COMPUTED_VALUE"""),8.0)</f>
        <v>8</v>
      </c>
      <c r="BE89" s="16"/>
      <c r="BF89" s="15">
        <f>IFERROR(__xludf.DUMMYFUNCTION("""COMPUTED_VALUE"""),13.0)</f>
        <v>13</v>
      </c>
      <c r="BG89" s="16"/>
      <c r="BH89" s="15">
        <f>IFERROR(__xludf.DUMMYFUNCTION("""COMPUTED_VALUE"""),5.5)</f>
        <v>5.5</v>
      </c>
      <c r="BI89" s="16"/>
      <c r="BJ89" s="15">
        <f>IFERROR(__xludf.DUMMYFUNCTION("""COMPUTED_VALUE"""),6.0)</f>
        <v>6</v>
      </c>
      <c r="BK89" s="16">
        <f>IFERROR(__xludf.DUMMYFUNCTION("""COMPUTED_VALUE"""),1500.0)</f>
        <v>1500</v>
      </c>
      <c r="BL89" s="4"/>
    </row>
    <row r="90">
      <c r="A90" s="14" t="str">
        <f>IFERROR(__xludf.DUMMYFUNCTION("""COMPUTED_VALUE"""),"Vladimír Dudkin")</f>
        <v>Vladimír Dudkin</v>
      </c>
      <c r="B90" s="15"/>
      <c r="C90" s="16"/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6"/>
      <c r="AB90" s="15"/>
      <c r="AC90" s="16"/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IFERROR(__xludf.DUMMYFUNCTION("""COMPUTED_VALUE"""),"Jakub Kouřimský")</f>
        <v>Jakub Kouřimský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IFERROR(__xludf.DUMMYFUNCTION("""COMPUTED_VALUE"""),"Filip Fux")</f>
        <v>Filip Fux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IFERROR(__xludf.DUMMYFUNCTION("""COMPUTED_VALUE"""),"Martin Štěpánek")</f>
        <v>Martin Štěpánek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IFERROR(__xludf.DUMMYFUNCTION("""COMPUTED_VALUE"""),"Jakub Ljuta")</f>
        <v>Jakub Ljuta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4"/>
    </row>
    <row r="95">
      <c r="A95" s="14" t="str">
        <f>IFERROR(__xludf.DUMMYFUNCTION("""COMPUTED_VALUE"""),"Nadiia Doroshenko")</f>
        <v>Nadiia Doroshenko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 t="str">
        <f>IFERROR(__xludf.DUMMYFUNCTION("""COMPUTED_VALUE"""),"Lucie Nováková")</f>
        <v>Lucie Nováková</v>
      </c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A99" s="14"/>
      <c r="B99" s="15"/>
      <c r="C99" s="16"/>
      <c r="D99" s="15"/>
      <c r="E99" s="16"/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/>
      <c r="BI99" s="16"/>
      <c r="BJ99" s="15"/>
      <c r="BK99" s="16"/>
      <c r="BL99" s="4"/>
    </row>
    <row r="100">
      <c r="A100" s="14"/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4"/>
    </row>
    <row r="101">
      <c r="B101" s="4"/>
      <c r="C101" s="20"/>
      <c r="D101" s="4"/>
      <c r="E101" s="20"/>
      <c r="F101" s="4"/>
      <c r="G101" s="20"/>
      <c r="H101" s="4"/>
      <c r="I101" s="20"/>
      <c r="J101" s="4"/>
      <c r="K101" s="20"/>
      <c r="L101" s="4"/>
      <c r="M101" s="20"/>
      <c r="N101" s="4"/>
      <c r="O101" s="20"/>
      <c r="P101" s="4"/>
      <c r="Q101" s="20"/>
      <c r="R101" s="4"/>
      <c r="S101" s="20"/>
      <c r="T101" s="4"/>
      <c r="U101" s="20"/>
      <c r="V101" s="4"/>
      <c r="W101" s="20"/>
      <c r="X101" s="4"/>
      <c r="Y101" s="20"/>
      <c r="Z101" s="4"/>
      <c r="AA101" s="20"/>
      <c r="AB101" s="4"/>
      <c r="AC101" s="20"/>
      <c r="AD101" s="4"/>
      <c r="AE101" s="20"/>
      <c r="AF101" s="4"/>
      <c r="AG101" s="20"/>
      <c r="AH101" s="4"/>
      <c r="AI101" s="20"/>
      <c r="AJ101" s="4"/>
      <c r="AK101" s="20"/>
      <c r="AL101" s="4"/>
      <c r="AM101" s="20"/>
      <c r="AN101" s="4"/>
      <c r="AO101" s="20"/>
      <c r="AP101" s="4"/>
      <c r="AQ101" s="20"/>
      <c r="AR101" s="4"/>
      <c r="AS101" s="20"/>
      <c r="AT101" s="4"/>
      <c r="AU101" s="20"/>
      <c r="AV101" s="4"/>
      <c r="AW101" s="20"/>
      <c r="AX101" s="4"/>
      <c r="AY101" s="20"/>
      <c r="AZ101" s="4"/>
      <c r="BA101" s="20"/>
      <c r="BB101" s="4"/>
      <c r="BC101" s="20"/>
      <c r="BD101" s="4"/>
      <c r="BE101" s="20"/>
      <c r="BF101" s="4"/>
      <c r="BG101" s="20"/>
      <c r="BH101" s="4"/>
      <c r="BI101" s="20"/>
      <c r="BJ101" s="4"/>
      <c r="BK101" s="20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  <row r="1014">
      <c r="B1014" s="4"/>
      <c r="C1014" s="20"/>
      <c r="D1014" s="4"/>
      <c r="E1014" s="20"/>
      <c r="F1014" s="4"/>
      <c r="G1014" s="20"/>
      <c r="H1014" s="4"/>
      <c r="I1014" s="20"/>
      <c r="J1014" s="4"/>
      <c r="K1014" s="20"/>
      <c r="L1014" s="4"/>
      <c r="M1014" s="20"/>
      <c r="N1014" s="4"/>
      <c r="O1014" s="20"/>
      <c r="P1014" s="4"/>
      <c r="Q1014" s="20"/>
      <c r="R1014" s="4"/>
      <c r="S1014" s="20"/>
      <c r="T1014" s="4"/>
      <c r="U1014" s="20"/>
      <c r="V1014" s="4"/>
      <c r="W1014" s="20"/>
      <c r="X1014" s="4"/>
      <c r="Y1014" s="20"/>
      <c r="Z1014" s="4"/>
      <c r="AA1014" s="20"/>
      <c r="AB1014" s="4"/>
      <c r="AC1014" s="20"/>
      <c r="AD1014" s="4"/>
      <c r="AE1014" s="20"/>
      <c r="AF1014" s="4"/>
      <c r="AG1014" s="20"/>
      <c r="AH1014" s="4"/>
      <c r="AI1014" s="20"/>
      <c r="AJ1014" s="4"/>
      <c r="AK1014" s="20"/>
      <c r="AL1014" s="4"/>
      <c r="AM1014" s="20"/>
      <c r="AN1014" s="4"/>
      <c r="AO1014" s="20"/>
      <c r="AP1014" s="4"/>
      <c r="AQ1014" s="20"/>
      <c r="AR1014" s="4"/>
      <c r="AS1014" s="20"/>
      <c r="AT1014" s="4"/>
      <c r="AU1014" s="20"/>
      <c r="AV1014" s="4"/>
      <c r="AW1014" s="20"/>
      <c r="AX1014" s="4"/>
      <c r="AY1014" s="20"/>
      <c r="AZ1014" s="4"/>
      <c r="BA1014" s="20"/>
      <c r="BB1014" s="4"/>
      <c r="BC1014" s="20"/>
      <c r="BD1014" s="4"/>
      <c r="BE1014" s="20"/>
      <c r="BF1014" s="4"/>
      <c r="BG1014" s="20"/>
      <c r="BH1014" s="4"/>
      <c r="BI1014" s="20"/>
      <c r="BJ1014" s="4"/>
      <c r="BK1014" s="20"/>
      <c r="BL1014" s="4"/>
    </row>
    <row r="1015">
      <c r="B1015" s="4"/>
      <c r="C1015" s="20"/>
      <c r="D1015" s="4"/>
      <c r="E1015" s="20"/>
      <c r="F1015" s="4"/>
      <c r="G1015" s="20"/>
      <c r="H1015" s="4"/>
      <c r="I1015" s="20"/>
      <c r="J1015" s="4"/>
      <c r="K1015" s="20"/>
      <c r="L1015" s="4"/>
      <c r="M1015" s="20"/>
      <c r="N1015" s="4"/>
      <c r="O1015" s="20"/>
      <c r="P1015" s="4"/>
      <c r="Q1015" s="20"/>
      <c r="R1015" s="4"/>
      <c r="S1015" s="20"/>
      <c r="T1015" s="4"/>
      <c r="U1015" s="20"/>
      <c r="V1015" s="4"/>
      <c r="W1015" s="20"/>
      <c r="X1015" s="4"/>
      <c r="Y1015" s="20"/>
      <c r="Z1015" s="4"/>
      <c r="AA1015" s="20"/>
      <c r="AB1015" s="4"/>
      <c r="AC1015" s="20"/>
      <c r="AD1015" s="4"/>
      <c r="AE1015" s="20"/>
      <c r="AF1015" s="4"/>
      <c r="AG1015" s="20"/>
      <c r="AH1015" s="4"/>
      <c r="AI1015" s="20"/>
      <c r="AJ1015" s="4"/>
      <c r="AK1015" s="20"/>
      <c r="AL1015" s="4"/>
      <c r="AM1015" s="20"/>
      <c r="AN1015" s="4"/>
      <c r="AO1015" s="20"/>
      <c r="AP1015" s="4"/>
      <c r="AQ1015" s="20"/>
      <c r="AR1015" s="4"/>
      <c r="AS1015" s="20"/>
      <c r="AT1015" s="4"/>
      <c r="AU1015" s="20"/>
      <c r="AV1015" s="4"/>
      <c r="AW1015" s="20"/>
      <c r="AX1015" s="4"/>
      <c r="AY1015" s="20"/>
      <c r="AZ1015" s="4"/>
      <c r="BA1015" s="20"/>
      <c r="BB1015" s="4"/>
      <c r="BC1015" s="20"/>
      <c r="BD1015" s="4"/>
      <c r="BE1015" s="20"/>
      <c r="BF1015" s="4"/>
      <c r="BG1015" s="20"/>
      <c r="BH1015" s="4"/>
      <c r="BI1015" s="20"/>
      <c r="BJ1015" s="4"/>
      <c r="BK1015" s="20"/>
      <c r="BL1015" s="4"/>
    </row>
  </sheetData>
  <mergeCells count="4">
    <mergeCell ref="B1:AC1"/>
    <mergeCell ref="B2:AC2"/>
    <mergeCell ref="A4:A5"/>
    <mergeCell ref="B4:BK5"/>
  </mergeCells>
  <hyperlinks>
    <hyperlink r:id="rId1" location="gid=0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5" t="s">
        <v>4</v>
      </c>
      <c r="B1" s="3" t="s">
        <v>3</v>
      </c>
      <c r="BL1" s="4"/>
    </row>
    <row r="2">
      <c r="BL2" s="4"/>
    </row>
    <row r="3">
      <c r="A3" s="7" t="str">
        <f>IFERROR(__xludf.DUMMYFUNCTION("IMPORTRANGE(""https://docs.google.com/spreadsheets/d/1uJ6E2cANBh09JI7L0W3GlIInQ6JMAhmQEWie31AUhn0"", ""Přehled mzdy!BQ1:EA65"")"),"týden")</f>
        <v>týden</v>
      </c>
      <c r="B3" s="8">
        <f>IFERROR(__xludf.DUMMYFUNCTION("""COMPUTED_VALUE"""),27.0)</f>
        <v>27</v>
      </c>
      <c r="C3" s="9"/>
      <c r="D3" s="8">
        <f>IFERROR(__xludf.DUMMYFUNCTION("""COMPUTED_VALUE"""),27.0)</f>
        <v>27</v>
      </c>
      <c r="E3" s="9"/>
      <c r="F3" s="8">
        <f>IFERROR(__xludf.DUMMYFUNCTION("""COMPUTED_VALUE"""),27.0)</f>
        <v>27</v>
      </c>
      <c r="G3" s="9"/>
      <c r="H3" s="8">
        <f>IFERROR(__xludf.DUMMYFUNCTION("""COMPUTED_VALUE"""),27.0)</f>
        <v>27</v>
      </c>
      <c r="I3" s="9"/>
      <c r="J3" s="8">
        <f>IFERROR(__xludf.DUMMYFUNCTION("""COMPUTED_VALUE"""),27.0)</f>
        <v>27</v>
      </c>
      <c r="K3" s="9"/>
      <c r="L3" s="8">
        <f>IFERROR(__xludf.DUMMYFUNCTION("""COMPUTED_VALUE"""),28.0)</f>
        <v>28</v>
      </c>
      <c r="M3" s="9"/>
      <c r="N3" s="8">
        <f>IFERROR(__xludf.DUMMYFUNCTION("""COMPUTED_VALUE"""),28.0)</f>
        <v>28</v>
      </c>
      <c r="O3" s="9"/>
      <c r="P3" s="8">
        <f>IFERROR(__xludf.DUMMYFUNCTION("""COMPUTED_VALUE"""),28.0)</f>
        <v>28</v>
      </c>
      <c r="Q3" s="9"/>
      <c r="R3" s="8">
        <f>IFERROR(__xludf.DUMMYFUNCTION("""COMPUTED_VALUE"""),28.0)</f>
        <v>28</v>
      </c>
      <c r="S3" s="9"/>
      <c r="T3" s="8">
        <f>IFERROR(__xludf.DUMMYFUNCTION("""COMPUTED_VALUE"""),28.0)</f>
        <v>28</v>
      </c>
      <c r="U3" s="9"/>
      <c r="V3" s="8">
        <f>IFERROR(__xludf.DUMMYFUNCTION("""COMPUTED_VALUE"""),28.0)</f>
        <v>28</v>
      </c>
      <c r="W3" s="9"/>
      <c r="X3" s="8">
        <f>IFERROR(__xludf.DUMMYFUNCTION("""COMPUTED_VALUE"""),28.0)</f>
        <v>28</v>
      </c>
      <c r="Y3" s="9"/>
      <c r="Z3" s="8">
        <f>IFERROR(__xludf.DUMMYFUNCTION("""COMPUTED_VALUE"""),29.0)</f>
        <v>29</v>
      </c>
      <c r="AA3" s="9"/>
      <c r="AB3" s="8">
        <f>IFERROR(__xludf.DUMMYFUNCTION("""COMPUTED_VALUE"""),29.0)</f>
        <v>29</v>
      </c>
      <c r="AC3" s="9"/>
      <c r="AD3" s="8">
        <f>IFERROR(__xludf.DUMMYFUNCTION("""COMPUTED_VALUE"""),29.0)</f>
        <v>29</v>
      </c>
      <c r="AE3" s="9"/>
      <c r="AF3" s="8">
        <f>IFERROR(__xludf.DUMMYFUNCTION("""COMPUTED_VALUE"""),29.0)</f>
        <v>29</v>
      </c>
      <c r="AG3" s="9"/>
      <c r="AH3" s="8">
        <f>IFERROR(__xludf.DUMMYFUNCTION("""COMPUTED_VALUE"""),29.0)</f>
        <v>29</v>
      </c>
      <c r="AI3" s="9"/>
      <c r="AJ3" s="8">
        <f>IFERROR(__xludf.DUMMYFUNCTION("""COMPUTED_VALUE"""),29.0)</f>
        <v>29</v>
      </c>
      <c r="AK3" s="9"/>
      <c r="AL3" s="8">
        <f>IFERROR(__xludf.DUMMYFUNCTION("""COMPUTED_VALUE"""),29.0)</f>
        <v>29</v>
      </c>
      <c r="AM3" s="9"/>
      <c r="AN3" s="8">
        <f>IFERROR(__xludf.DUMMYFUNCTION("""COMPUTED_VALUE"""),30.0)</f>
        <v>30</v>
      </c>
      <c r="AO3" s="9"/>
      <c r="AP3" s="8">
        <f>IFERROR(__xludf.DUMMYFUNCTION("""COMPUTED_VALUE"""),30.0)</f>
        <v>30</v>
      </c>
      <c r="AQ3" s="9"/>
      <c r="AR3" s="8">
        <f>IFERROR(__xludf.DUMMYFUNCTION("""COMPUTED_VALUE"""),30.0)</f>
        <v>30</v>
      </c>
      <c r="AS3" s="9"/>
      <c r="AT3" s="8">
        <f>IFERROR(__xludf.DUMMYFUNCTION("""COMPUTED_VALUE"""),30.0)</f>
        <v>30</v>
      </c>
      <c r="AU3" s="9"/>
      <c r="AV3" s="8">
        <f>IFERROR(__xludf.DUMMYFUNCTION("""COMPUTED_VALUE"""),30.0)</f>
        <v>30</v>
      </c>
      <c r="AW3" s="9"/>
      <c r="AX3" s="8">
        <f>IFERROR(__xludf.DUMMYFUNCTION("""COMPUTED_VALUE"""),30.0)</f>
        <v>30</v>
      </c>
      <c r="AY3" s="9"/>
      <c r="AZ3" s="8">
        <f>IFERROR(__xludf.DUMMYFUNCTION("""COMPUTED_VALUE"""),30.0)</f>
        <v>30</v>
      </c>
      <c r="BA3" s="9"/>
      <c r="BB3" s="8">
        <f>IFERROR(__xludf.DUMMYFUNCTION("""COMPUTED_VALUE"""),31.0)</f>
        <v>31</v>
      </c>
      <c r="BC3" s="9"/>
      <c r="BD3" s="8">
        <f>IFERROR(__xludf.DUMMYFUNCTION("""COMPUTED_VALUE"""),31.0)</f>
        <v>31</v>
      </c>
      <c r="BE3" s="9"/>
      <c r="BF3" s="8">
        <f>IFERROR(__xludf.DUMMYFUNCTION("""COMPUTED_VALUE"""),31.0)</f>
        <v>31</v>
      </c>
      <c r="BG3" s="9"/>
      <c r="BH3" s="8">
        <f>IFERROR(__xludf.DUMMYFUNCTION("""COMPUTED_VALUE"""),31.0)</f>
        <v>31</v>
      </c>
      <c r="BI3" s="9"/>
      <c r="BJ3" s="8">
        <f>IFERROR(__xludf.DUMMYFUNCTION("""COMPUTED_VALUE"""),31.0)</f>
        <v>31</v>
      </c>
      <c r="BK3" s="9"/>
      <c r="BL3" s="4"/>
    </row>
    <row r="4">
      <c r="A4" s="10" t="str">
        <f>IFERROR(__xludf.DUMMYFUNCTION("""COMPUTED_VALUE"""),"datum")</f>
        <v>datum</v>
      </c>
      <c r="B4" s="11">
        <f>IFERROR(__xludf.DUMMYFUNCTION("""COMPUTED_VALUE"""),44013.0)</f>
        <v>44013</v>
      </c>
      <c r="C4" s="12"/>
      <c r="D4" s="11">
        <f>IFERROR(__xludf.DUMMYFUNCTION("""COMPUTED_VALUE"""),44014.0)</f>
        <v>44014</v>
      </c>
      <c r="E4" s="12"/>
      <c r="F4" s="11">
        <f>IFERROR(__xludf.DUMMYFUNCTION("""COMPUTED_VALUE"""),44015.0)</f>
        <v>44015</v>
      </c>
      <c r="G4" s="12"/>
      <c r="H4" s="11">
        <f>IFERROR(__xludf.DUMMYFUNCTION("""COMPUTED_VALUE"""),44016.0)</f>
        <v>44016</v>
      </c>
      <c r="I4" s="12"/>
      <c r="J4" s="11">
        <f>IFERROR(__xludf.DUMMYFUNCTION("""COMPUTED_VALUE"""),44017.0)</f>
        <v>44017</v>
      </c>
      <c r="K4" s="12"/>
      <c r="L4" s="11">
        <f>IFERROR(__xludf.DUMMYFUNCTION("""COMPUTED_VALUE"""),44018.0)</f>
        <v>44018</v>
      </c>
      <c r="M4" s="12"/>
      <c r="N4" s="11">
        <f>IFERROR(__xludf.DUMMYFUNCTION("""COMPUTED_VALUE"""),44019.0)</f>
        <v>44019</v>
      </c>
      <c r="O4" s="12"/>
      <c r="P4" s="11">
        <f>IFERROR(__xludf.DUMMYFUNCTION("""COMPUTED_VALUE"""),44020.0)</f>
        <v>44020</v>
      </c>
      <c r="Q4" s="12"/>
      <c r="R4" s="11">
        <f>IFERROR(__xludf.DUMMYFUNCTION("""COMPUTED_VALUE"""),44021.0)</f>
        <v>44021</v>
      </c>
      <c r="S4" s="12"/>
      <c r="T4" s="11">
        <f>IFERROR(__xludf.DUMMYFUNCTION("""COMPUTED_VALUE"""),44022.0)</f>
        <v>44022</v>
      </c>
      <c r="U4" s="12"/>
      <c r="V4" s="11">
        <f>IFERROR(__xludf.DUMMYFUNCTION("""COMPUTED_VALUE"""),44023.0)</f>
        <v>44023</v>
      </c>
      <c r="W4" s="12"/>
      <c r="X4" s="11">
        <f>IFERROR(__xludf.DUMMYFUNCTION("""COMPUTED_VALUE"""),44024.0)</f>
        <v>44024</v>
      </c>
      <c r="Y4" s="12"/>
      <c r="Z4" s="11">
        <f>IFERROR(__xludf.DUMMYFUNCTION("""COMPUTED_VALUE"""),44025.0)</f>
        <v>44025</v>
      </c>
      <c r="AA4" s="12"/>
      <c r="AB4" s="11">
        <f>IFERROR(__xludf.DUMMYFUNCTION("""COMPUTED_VALUE"""),44026.0)</f>
        <v>44026</v>
      </c>
      <c r="AC4" s="12"/>
      <c r="AD4" s="11">
        <f>IFERROR(__xludf.DUMMYFUNCTION("""COMPUTED_VALUE"""),44027.0)</f>
        <v>44027</v>
      </c>
      <c r="AE4" s="12"/>
      <c r="AF4" s="11">
        <f>IFERROR(__xludf.DUMMYFUNCTION("""COMPUTED_VALUE"""),44028.0)</f>
        <v>44028</v>
      </c>
      <c r="AG4" s="12"/>
      <c r="AH4" s="11">
        <f>IFERROR(__xludf.DUMMYFUNCTION("""COMPUTED_VALUE"""),44029.0)</f>
        <v>44029</v>
      </c>
      <c r="AI4" s="12"/>
      <c r="AJ4" s="11">
        <f>IFERROR(__xludf.DUMMYFUNCTION("""COMPUTED_VALUE"""),44030.0)</f>
        <v>44030</v>
      </c>
      <c r="AK4" s="12"/>
      <c r="AL4" s="11">
        <f>IFERROR(__xludf.DUMMYFUNCTION("""COMPUTED_VALUE"""),44031.0)</f>
        <v>44031</v>
      </c>
      <c r="AM4" s="12"/>
      <c r="AN4" s="11">
        <f>IFERROR(__xludf.DUMMYFUNCTION("""COMPUTED_VALUE"""),44032.0)</f>
        <v>44032</v>
      </c>
      <c r="AO4" s="12"/>
      <c r="AP4" s="11">
        <f>IFERROR(__xludf.DUMMYFUNCTION("""COMPUTED_VALUE"""),44033.0)</f>
        <v>44033</v>
      </c>
      <c r="AQ4" s="12"/>
      <c r="AR4" s="11">
        <f>IFERROR(__xludf.DUMMYFUNCTION("""COMPUTED_VALUE"""),44034.0)</f>
        <v>44034</v>
      </c>
      <c r="AS4" s="12"/>
      <c r="AT4" s="11">
        <f>IFERROR(__xludf.DUMMYFUNCTION("""COMPUTED_VALUE"""),44035.0)</f>
        <v>44035</v>
      </c>
      <c r="AU4" s="12"/>
      <c r="AV4" s="11">
        <f>IFERROR(__xludf.DUMMYFUNCTION("""COMPUTED_VALUE"""),44036.0)</f>
        <v>44036</v>
      </c>
      <c r="AW4" s="12"/>
      <c r="AX4" s="11">
        <f>IFERROR(__xludf.DUMMYFUNCTION("""COMPUTED_VALUE"""),44037.0)</f>
        <v>44037</v>
      </c>
      <c r="AY4" s="12"/>
      <c r="AZ4" s="11">
        <f>IFERROR(__xludf.DUMMYFUNCTION("""COMPUTED_VALUE"""),44038.0)</f>
        <v>44038</v>
      </c>
      <c r="BA4" s="12"/>
      <c r="BB4" s="11">
        <f>IFERROR(__xludf.DUMMYFUNCTION("""COMPUTED_VALUE"""),44039.0)</f>
        <v>44039</v>
      </c>
      <c r="BC4" s="12"/>
      <c r="BD4" s="11">
        <f>IFERROR(__xludf.DUMMYFUNCTION("""COMPUTED_VALUE"""),44040.0)</f>
        <v>44040</v>
      </c>
      <c r="BE4" s="12"/>
      <c r="BF4" s="11">
        <f>IFERROR(__xludf.DUMMYFUNCTION("""COMPUTED_VALUE"""),44041.0)</f>
        <v>44041</v>
      </c>
      <c r="BG4" s="12"/>
      <c r="BH4" s="11">
        <f>IFERROR(__xludf.DUMMYFUNCTION("""COMPUTED_VALUE"""),44042.0)</f>
        <v>44042</v>
      </c>
      <c r="BI4" s="12"/>
      <c r="BJ4" s="11">
        <f>IFERROR(__xludf.DUMMYFUNCTION("""COMPUTED_VALUE"""),44043.0)</f>
        <v>44043</v>
      </c>
      <c r="BK4" s="12"/>
      <c r="BL4" s="4"/>
    </row>
    <row r="5">
      <c r="A5" s="13" t="str">
        <f>IFERROR(__xludf.DUMMYFUNCTION("""COMPUTED_VALUE"""),"Kurýr")</f>
        <v>Kurýr</v>
      </c>
      <c r="B5" s="21" t="str">
        <f>IFERROR(__xludf.DUMMYFUNCTION("""COMPUTED_VALUE"""),"hod.")</f>
        <v>hod.</v>
      </c>
      <c r="C5" s="22" t="str">
        <f>IFERROR(__xludf.DUMMYFUNCTION("""COMPUTED_VALUE"""),"zál.")</f>
        <v>zál.</v>
      </c>
      <c r="D5" s="21" t="str">
        <f>IFERROR(__xludf.DUMMYFUNCTION("""COMPUTED_VALUE"""),"hod.")</f>
        <v>hod.</v>
      </c>
      <c r="E5" s="22" t="str">
        <f>IFERROR(__xludf.DUMMYFUNCTION("""COMPUTED_VALUE"""),"zál.")</f>
        <v>zál.</v>
      </c>
      <c r="F5" s="21" t="str">
        <f>IFERROR(__xludf.DUMMYFUNCTION("""COMPUTED_VALUE"""),"hod.")</f>
        <v>hod.</v>
      </c>
      <c r="G5" s="22" t="str">
        <f>IFERROR(__xludf.DUMMYFUNCTION("""COMPUTED_VALUE"""),"zál.")</f>
        <v>zál.</v>
      </c>
      <c r="H5" s="21" t="str">
        <f>IFERROR(__xludf.DUMMYFUNCTION("""COMPUTED_VALUE"""),"hod.")</f>
        <v>hod.</v>
      </c>
      <c r="I5" s="22" t="str">
        <f>IFERROR(__xludf.DUMMYFUNCTION("""COMPUTED_VALUE"""),"zál.")</f>
        <v>zál.</v>
      </c>
      <c r="J5" s="21" t="str">
        <f>IFERROR(__xludf.DUMMYFUNCTION("""COMPUTED_VALUE"""),"hod.")</f>
        <v>hod.</v>
      </c>
      <c r="K5" s="22" t="str">
        <f>IFERROR(__xludf.DUMMYFUNCTION("""COMPUTED_VALUE"""),"zál.")</f>
        <v>zál.</v>
      </c>
      <c r="L5" s="21" t="str">
        <f>IFERROR(__xludf.DUMMYFUNCTION("""COMPUTED_VALUE"""),"hod.")</f>
        <v>hod.</v>
      </c>
      <c r="M5" s="22" t="str">
        <f>IFERROR(__xludf.DUMMYFUNCTION("""COMPUTED_VALUE"""),"zál.")</f>
        <v>zál.</v>
      </c>
      <c r="N5" s="21" t="str">
        <f>IFERROR(__xludf.DUMMYFUNCTION("""COMPUTED_VALUE"""),"hod.")</f>
        <v>hod.</v>
      </c>
      <c r="O5" s="22" t="str">
        <f>IFERROR(__xludf.DUMMYFUNCTION("""COMPUTED_VALUE"""),"zál.")</f>
        <v>zál.</v>
      </c>
      <c r="P5" s="21" t="str">
        <f>IFERROR(__xludf.DUMMYFUNCTION("""COMPUTED_VALUE"""),"hod.")</f>
        <v>hod.</v>
      </c>
      <c r="Q5" s="22" t="str">
        <f>IFERROR(__xludf.DUMMYFUNCTION("""COMPUTED_VALUE"""),"zál.")</f>
        <v>zál.</v>
      </c>
      <c r="R5" s="21" t="str">
        <f>IFERROR(__xludf.DUMMYFUNCTION("""COMPUTED_VALUE"""),"hod.")</f>
        <v>hod.</v>
      </c>
      <c r="S5" s="22" t="str">
        <f>IFERROR(__xludf.DUMMYFUNCTION("""COMPUTED_VALUE"""),"zál.")</f>
        <v>zál.</v>
      </c>
      <c r="T5" s="21" t="str">
        <f>IFERROR(__xludf.DUMMYFUNCTION("""COMPUTED_VALUE"""),"hod.")</f>
        <v>hod.</v>
      </c>
      <c r="U5" s="22" t="str">
        <f>IFERROR(__xludf.DUMMYFUNCTION("""COMPUTED_VALUE"""),"zál.")</f>
        <v>zál.</v>
      </c>
      <c r="V5" s="21" t="str">
        <f>IFERROR(__xludf.DUMMYFUNCTION("""COMPUTED_VALUE"""),"hod.")</f>
        <v>hod.</v>
      </c>
      <c r="W5" s="22" t="str">
        <f>IFERROR(__xludf.DUMMYFUNCTION("""COMPUTED_VALUE"""),"zál.")</f>
        <v>zál.</v>
      </c>
      <c r="X5" s="21" t="str">
        <f>IFERROR(__xludf.DUMMYFUNCTION("""COMPUTED_VALUE"""),"hod.")</f>
        <v>hod.</v>
      </c>
      <c r="Y5" s="22" t="str">
        <f>IFERROR(__xludf.DUMMYFUNCTION("""COMPUTED_VALUE"""),"zál.")</f>
        <v>zál.</v>
      </c>
      <c r="Z5" s="21" t="str">
        <f>IFERROR(__xludf.DUMMYFUNCTION("""COMPUTED_VALUE"""),"hod.")</f>
        <v>hod.</v>
      </c>
      <c r="AA5" s="22" t="str">
        <f>IFERROR(__xludf.DUMMYFUNCTION("""COMPUTED_VALUE"""),"zál.")</f>
        <v>zál.</v>
      </c>
      <c r="AB5" s="21" t="str">
        <f>IFERROR(__xludf.DUMMYFUNCTION("""COMPUTED_VALUE"""),"hod.")</f>
        <v>hod.</v>
      </c>
      <c r="AC5" s="22" t="str">
        <f>IFERROR(__xludf.DUMMYFUNCTION("""COMPUTED_VALUE"""),"zál.")</f>
        <v>zál.</v>
      </c>
      <c r="AD5" s="21" t="str">
        <f>IFERROR(__xludf.DUMMYFUNCTION("""COMPUTED_VALUE"""),"hod.")</f>
        <v>hod.</v>
      </c>
      <c r="AE5" s="22" t="str">
        <f>IFERROR(__xludf.DUMMYFUNCTION("""COMPUTED_VALUE"""),"zál.")</f>
        <v>zál.</v>
      </c>
      <c r="AF5" s="21" t="str">
        <f>IFERROR(__xludf.DUMMYFUNCTION("""COMPUTED_VALUE"""),"hod.")</f>
        <v>hod.</v>
      </c>
      <c r="AG5" s="22" t="str">
        <f>IFERROR(__xludf.DUMMYFUNCTION("""COMPUTED_VALUE"""),"zál.")</f>
        <v>zál.</v>
      </c>
      <c r="AH5" s="21" t="str">
        <f>IFERROR(__xludf.DUMMYFUNCTION("""COMPUTED_VALUE"""),"hod.")</f>
        <v>hod.</v>
      </c>
      <c r="AI5" s="22" t="str">
        <f>IFERROR(__xludf.DUMMYFUNCTION("""COMPUTED_VALUE"""),"zál.")</f>
        <v>zál.</v>
      </c>
      <c r="AJ5" s="21" t="str">
        <f>IFERROR(__xludf.DUMMYFUNCTION("""COMPUTED_VALUE"""),"hod.")</f>
        <v>hod.</v>
      </c>
      <c r="AK5" s="22" t="str">
        <f>IFERROR(__xludf.DUMMYFUNCTION("""COMPUTED_VALUE"""),"zál.")</f>
        <v>zál.</v>
      </c>
      <c r="AL5" s="21" t="str">
        <f>IFERROR(__xludf.DUMMYFUNCTION("""COMPUTED_VALUE"""),"hod.")</f>
        <v>hod.</v>
      </c>
      <c r="AM5" s="22" t="str">
        <f>IFERROR(__xludf.DUMMYFUNCTION("""COMPUTED_VALUE"""),"zál.")</f>
        <v>zál.</v>
      </c>
      <c r="AN5" s="21" t="str">
        <f>IFERROR(__xludf.DUMMYFUNCTION("""COMPUTED_VALUE"""),"hod.")</f>
        <v>hod.</v>
      </c>
      <c r="AO5" s="22" t="str">
        <f>IFERROR(__xludf.DUMMYFUNCTION("""COMPUTED_VALUE"""),"zál.")</f>
        <v>zál.</v>
      </c>
      <c r="AP5" s="21" t="str">
        <f>IFERROR(__xludf.DUMMYFUNCTION("""COMPUTED_VALUE"""),"hod.")</f>
        <v>hod.</v>
      </c>
      <c r="AQ5" s="22" t="str">
        <f>IFERROR(__xludf.DUMMYFUNCTION("""COMPUTED_VALUE"""),"zál.")</f>
        <v>zál.</v>
      </c>
      <c r="AR5" s="21" t="str">
        <f>IFERROR(__xludf.DUMMYFUNCTION("""COMPUTED_VALUE"""),"hod.")</f>
        <v>hod.</v>
      </c>
      <c r="AS5" s="22" t="str">
        <f>IFERROR(__xludf.DUMMYFUNCTION("""COMPUTED_VALUE"""),"zál.")</f>
        <v>zál.</v>
      </c>
      <c r="AT5" s="21" t="str">
        <f>IFERROR(__xludf.DUMMYFUNCTION("""COMPUTED_VALUE"""),"hod.")</f>
        <v>hod.</v>
      </c>
      <c r="AU5" s="22" t="str">
        <f>IFERROR(__xludf.DUMMYFUNCTION("""COMPUTED_VALUE"""),"zál.")</f>
        <v>zál.</v>
      </c>
      <c r="AV5" s="21" t="str">
        <f>IFERROR(__xludf.DUMMYFUNCTION("""COMPUTED_VALUE"""),"hod.")</f>
        <v>hod.</v>
      </c>
      <c r="AW5" s="22" t="str">
        <f>IFERROR(__xludf.DUMMYFUNCTION("""COMPUTED_VALUE"""),"zál.")</f>
        <v>zál.</v>
      </c>
      <c r="AX5" s="21" t="str">
        <f>IFERROR(__xludf.DUMMYFUNCTION("""COMPUTED_VALUE"""),"hod.")</f>
        <v>hod.</v>
      </c>
      <c r="AY5" s="22" t="str">
        <f>IFERROR(__xludf.DUMMYFUNCTION("""COMPUTED_VALUE"""),"zál.")</f>
        <v>zál.</v>
      </c>
      <c r="AZ5" s="21" t="str">
        <f>IFERROR(__xludf.DUMMYFUNCTION("""COMPUTED_VALUE"""),"hod.")</f>
        <v>hod.</v>
      </c>
      <c r="BA5" s="22" t="str">
        <f>IFERROR(__xludf.DUMMYFUNCTION("""COMPUTED_VALUE"""),"zál.")</f>
        <v>zál.</v>
      </c>
      <c r="BB5" s="21" t="str">
        <f>IFERROR(__xludf.DUMMYFUNCTION("""COMPUTED_VALUE"""),"hod.")</f>
        <v>hod.</v>
      </c>
      <c r="BC5" s="22" t="str">
        <f>IFERROR(__xludf.DUMMYFUNCTION("""COMPUTED_VALUE"""),"zál.")</f>
        <v>zál.</v>
      </c>
      <c r="BD5" s="21" t="str">
        <f>IFERROR(__xludf.DUMMYFUNCTION("""COMPUTED_VALUE"""),"hod.")</f>
        <v>hod.</v>
      </c>
      <c r="BE5" s="22" t="str">
        <f>IFERROR(__xludf.DUMMYFUNCTION("""COMPUTED_VALUE"""),"zál.")</f>
        <v>zál.</v>
      </c>
      <c r="BF5" s="21" t="str">
        <f>IFERROR(__xludf.DUMMYFUNCTION("""COMPUTED_VALUE"""),"hod.")</f>
        <v>hod.</v>
      </c>
      <c r="BG5" s="22" t="str">
        <f>IFERROR(__xludf.DUMMYFUNCTION("""COMPUTED_VALUE"""),"zál.")</f>
        <v>zál.</v>
      </c>
      <c r="BH5" s="21" t="str">
        <f>IFERROR(__xludf.DUMMYFUNCTION("""COMPUTED_VALUE"""),"hod.")</f>
        <v>hod.</v>
      </c>
      <c r="BI5" s="22" t="str">
        <f>IFERROR(__xludf.DUMMYFUNCTION("""COMPUTED_VALUE"""),"zál.")</f>
        <v>zál.</v>
      </c>
      <c r="BJ5" s="21" t="str">
        <f>IFERROR(__xludf.DUMMYFUNCTION("""COMPUTED_VALUE"""),"hod.")</f>
        <v>hod.</v>
      </c>
      <c r="BK5" s="22" t="str">
        <f>IFERROR(__xludf.DUMMYFUNCTION("""COMPUTED_VALUE"""),"zál.")</f>
        <v>zál.</v>
      </c>
      <c r="BL5" s="4"/>
    </row>
    <row r="6">
      <c r="A6" s="14" t="str">
        <f>IFERROR(__xludf.DUMMYFUNCTION("""COMPUTED_VALUE"""),"Daniel Fux")</f>
        <v>Daniel Fux</v>
      </c>
      <c r="B6" s="15"/>
      <c r="C6" s="16"/>
      <c r="D6" s="15"/>
      <c r="E6" s="16"/>
      <c r="F6" s="15"/>
      <c r="G6" s="16"/>
      <c r="H6" s="15"/>
      <c r="I6" s="16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>
        <f>IFERROR(__xludf.DUMMYFUNCTION("""COMPUTED_VALUE"""),5.0)</f>
        <v>5</v>
      </c>
      <c r="W6" s="16"/>
      <c r="X6" s="15"/>
      <c r="Y6" s="16"/>
      <c r="Z6" s="15"/>
      <c r="AA6" s="16"/>
      <c r="AB6" s="15">
        <f>IFERROR(__xludf.DUMMYFUNCTION("""COMPUTED_VALUE"""),6.0)</f>
        <v>6</v>
      </c>
      <c r="AC6" s="16"/>
      <c r="AD6" s="15"/>
      <c r="AE6" s="16"/>
      <c r="AF6" s="15"/>
      <c r="AG6" s="16"/>
      <c r="AH6" s="15"/>
      <c r="AI6" s="16"/>
      <c r="AJ6" s="15"/>
      <c r="AK6" s="16"/>
      <c r="AL6" s="15"/>
      <c r="AM6" s="16"/>
      <c r="AN6" s="15"/>
      <c r="AO6" s="16"/>
      <c r="AP6" s="15"/>
      <c r="AQ6" s="16"/>
      <c r="AR6" s="15"/>
      <c r="AS6" s="16"/>
      <c r="AT6" s="15"/>
      <c r="AU6" s="16"/>
      <c r="AV6" s="15"/>
      <c r="AW6" s="16"/>
      <c r="AX6" s="15"/>
      <c r="AY6" s="16"/>
      <c r="AZ6" s="15">
        <f>IFERROR(__xludf.DUMMYFUNCTION("""COMPUTED_VALUE"""),3.0)</f>
        <v>3</v>
      </c>
      <c r="BA6" s="16"/>
      <c r="BB6" s="15"/>
      <c r="BC6" s="16"/>
      <c r="BD6" s="15"/>
      <c r="BE6" s="16"/>
      <c r="BF6" s="15"/>
      <c r="BG6" s="16"/>
      <c r="BH6" s="15"/>
      <c r="BI6" s="16"/>
      <c r="BJ6" s="15"/>
      <c r="BK6" s="16"/>
      <c r="BL6" s="4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4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>
        <f>IFERROR(__xludf.DUMMYFUNCTION("""COMPUTED_VALUE"""),13.0)</f>
        <v>13</v>
      </c>
      <c r="AY8" s="16"/>
      <c r="AZ8" s="15">
        <f>IFERROR(__xludf.DUMMYFUNCTION("""COMPUTED_VALUE"""),3.0)</f>
        <v>3</v>
      </c>
      <c r="BA8" s="16"/>
      <c r="BB8" s="15"/>
      <c r="BC8" s="16"/>
      <c r="BD8" s="15">
        <f>IFERROR(__xludf.DUMMYFUNCTION("""COMPUTED_VALUE"""),8.5)</f>
        <v>8.5</v>
      </c>
      <c r="BE8" s="16"/>
      <c r="BF8" s="15">
        <f>IFERROR(__xludf.DUMMYFUNCTION("""COMPUTED_VALUE"""),8.5)</f>
        <v>8.5</v>
      </c>
      <c r="BG8" s="16"/>
      <c r="BH8" s="15">
        <f>IFERROR(__xludf.DUMMYFUNCTION("""COMPUTED_VALUE"""),8.5)</f>
        <v>8.5</v>
      </c>
      <c r="BI8" s="16"/>
      <c r="BJ8" s="15">
        <f>IFERROR(__xludf.DUMMYFUNCTION("""COMPUTED_VALUE"""),11.0)</f>
        <v>11</v>
      </c>
      <c r="BK8" s="16"/>
      <c r="BL8" s="4"/>
    </row>
    <row r="9">
      <c r="A9" s="14" t="str">
        <f>IFERROR(__xludf.DUMMYFUNCTION("""COMPUTED_VALUE"""),"Nikola Adamová")</f>
        <v>Nikola Adamová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4"/>
    </row>
    <row r="10">
      <c r="A10" s="14" t="str">
        <f>IFERROR(__xludf.DUMMYFUNCTION("""COMPUTED_VALUE"""),"Václav Černý")</f>
        <v>Václav Černý</v>
      </c>
      <c r="B10" s="15"/>
      <c r="C10" s="16"/>
      <c r="D10" s="15"/>
      <c r="E10" s="16"/>
      <c r="F10" s="15"/>
      <c r="G10" s="16"/>
      <c r="H10" s="15">
        <f>IFERROR(__xludf.DUMMYFUNCTION("""COMPUTED_VALUE"""),15.0)</f>
        <v>15</v>
      </c>
      <c r="I10" s="16"/>
      <c r="J10" s="15"/>
      <c r="K10" s="16"/>
      <c r="L10" s="15">
        <f>IFERROR(__xludf.DUMMYFUNCTION("""COMPUTED_VALUE"""),15.5)</f>
        <v>15.5</v>
      </c>
      <c r="M10" s="16"/>
      <c r="N10" s="15"/>
      <c r="O10" s="16"/>
      <c r="P10" s="15"/>
      <c r="Q10" s="16"/>
      <c r="R10" s="15"/>
      <c r="S10" s="16"/>
      <c r="T10" s="15">
        <f>IFERROR(__xludf.DUMMYFUNCTION("""COMPUTED_VALUE"""),7.0)</f>
        <v>7</v>
      </c>
      <c r="U10" s="16"/>
      <c r="V10" s="15">
        <f>IFERROR(__xludf.DUMMYFUNCTION("""COMPUTED_VALUE"""),4.0)</f>
        <v>4</v>
      </c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>
        <f>IFERROR(__xludf.DUMMYFUNCTION("""COMPUTED_VALUE"""),2.0)</f>
        <v>2</v>
      </c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4"/>
    </row>
    <row r="11">
      <c r="A11" s="14" t="str">
        <f>IFERROR(__xludf.DUMMYFUNCTION("""COMPUTED_VALUE"""),"Vojtěch Vrzoň")</f>
        <v>Vojtěch Vrzoň</v>
      </c>
      <c r="B11" s="15">
        <f>IFERROR(__xludf.DUMMYFUNCTION("""COMPUTED_VALUE"""),8.0)</f>
        <v>8</v>
      </c>
      <c r="C11" s="16"/>
      <c r="D11" s="15"/>
      <c r="E11" s="16"/>
      <c r="F11" s="15"/>
      <c r="G11" s="16"/>
      <c r="H11" s="15"/>
      <c r="I11" s="16"/>
      <c r="J11" s="15">
        <f>IFERROR(__xludf.DUMMYFUNCTION("""COMPUTED_VALUE"""),9.5)</f>
        <v>9.5</v>
      </c>
      <c r="K11" s="16"/>
      <c r="L11" s="15">
        <f>IFERROR(__xludf.DUMMYFUNCTION("""COMPUTED_VALUE"""),7.0)</f>
        <v>7</v>
      </c>
      <c r="M11" s="16"/>
      <c r="N11" s="15">
        <f>IFERROR(__xludf.DUMMYFUNCTION("""COMPUTED_VALUE"""),7.0)</f>
        <v>7</v>
      </c>
      <c r="O11" s="16"/>
      <c r="P11" s="15"/>
      <c r="Q11" s="16"/>
      <c r="R11" s="15"/>
      <c r="S11" s="16"/>
      <c r="T11" s="15"/>
      <c r="U11" s="16"/>
      <c r="V11" s="15"/>
      <c r="W11" s="16"/>
      <c r="X11" s="15">
        <f>IFERROR(__xludf.DUMMYFUNCTION("""COMPUTED_VALUE"""),4.5)</f>
        <v>4.5</v>
      </c>
      <c r="Y11" s="16"/>
      <c r="Z11" s="15"/>
      <c r="AA11" s="16"/>
      <c r="AB11" s="15">
        <f>IFERROR(__xludf.DUMMYFUNCTION("""COMPUTED_VALUE"""),6.0)</f>
        <v>6</v>
      </c>
      <c r="AC11" s="16"/>
      <c r="AD11" s="15">
        <f>IFERROR(__xludf.DUMMYFUNCTION("""COMPUTED_VALUE"""),7.0)</f>
        <v>7</v>
      </c>
      <c r="AE11" s="16"/>
      <c r="AF11" s="15"/>
      <c r="AG11" s="16"/>
      <c r="AH11" s="15"/>
      <c r="AI11" s="16"/>
      <c r="AJ11" s="15"/>
      <c r="AK11" s="16"/>
      <c r="AL11" s="15">
        <f>IFERROR(__xludf.DUMMYFUNCTION("""COMPUTED_VALUE"""),6.5)</f>
        <v>6.5</v>
      </c>
      <c r="AM11" s="16"/>
      <c r="AN11" s="15"/>
      <c r="AO11" s="16"/>
      <c r="AP11" s="15"/>
      <c r="AQ11" s="16"/>
      <c r="AR11" s="15">
        <f>IFERROR(__xludf.DUMMYFUNCTION("""COMPUTED_VALUE"""),7.0)</f>
        <v>7</v>
      </c>
      <c r="AS11" s="16"/>
      <c r="AT11" s="15"/>
      <c r="AU11" s="16"/>
      <c r="AV11" s="15"/>
      <c r="AW11" s="16"/>
      <c r="AX11" s="15"/>
      <c r="AY11" s="16"/>
      <c r="AZ11" s="15">
        <f>IFERROR(__xludf.DUMMYFUNCTION("""COMPUTED_VALUE"""),5.0)</f>
        <v>5</v>
      </c>
      <c r="BA11" s="16"/>
      <c r="BB11" s="15">
        <f>IFERROR(__xludf.DUMMYFUNCTION("""COMPUTED_VALUE"""),8.5)</f>
        <v>8.5</v>
      </c>
      <c r="BC11" s="16"/>
      <c r="BD11" s="15"/>
      <c r="BE11" s="16"/>
      <c r="BF11" s="15">
        <f>IFERROR(__xludf.DUMMYFUNCTION("""COMPUTED_VALUE"""),4.0)</f>
        <v>4</v>
      </c>
      <c r="BG11" s="16"/>
      <c r="BH11" s="15">
        <f>IFERROR(__xludf.DUMMYFUNCTION("""COMPUTED_VALUE"""),6.0)</f>
        <v>6</v>
      </c>
      <c r="BI11" s="16"/>
      <c r="BJ11" s="15"/>
      <c r="BK11" s="16"/>
      <c r="BL11" s="4"/>
    </row>
    <row r="12">
      <c r="A12" s="14" t="str">
        <f>IFERROR(__xludf.DUMMYFUNCTION("""COMPUTED_VALUE"""),"Patrik Vild")</f>
        <v>Patrik Vild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>
        <f>IFERROR(__xludf.DUMMYFUNCTION("""COMPUTED_VALUE"""),8.5)</f>
        <v>8.5</v>
      </c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IFERROR(__xludf.DUMMYFUNCTION("""COMPUTED_VALUE"""),"Jakub Staňo")</f>
        <v>Jakub Staňo</v>
      </c>
      <c r="B13" s="15"/>
      <c r="C13" s="16"/>
      <c r="D13" s="15">
        <f>IFERROR(__xludf.DUMMYFUNCTION("""COMPUTED_VALUE"""),5.5)</f>
        <v>5.5</v>
      </c>
      <c r="E13" s="16"/>
      <c r="F13" s="15">
        <f>IFERROR(__xludf.DUMMYFUNCTION("""COMPUTED_VALUE"""),4.5)</f>
        <v>4.5</v>
      </c>
      <c r="G13" s="16"/>
      <c r="H13" s="15"/>
      <c r="I13" s="16"/>
      <c r="J13" s="15"/>
      <c r="K13" s="16"/>
      <c r="L13" s="15"/>
      <c r="M13" s="16"/>
      <c r="N13" s="15"/>
      <c r="O13" s="16"/>
      <c r="P13" s="15">
        <f>IFERROR(__xludf.DUMMYFUNCTION("""COMPUTED_VALUE"""),4.0)</f>
        <v>4</v>
      </c>
      <c r="Q13" s="16"/>
      <c r="R13" s="15">
        <f>IFERROR(__xludf.DUMMYFUNCTION("""COMPUTED_VALUE"""),5.0)</f>
        <v>5</v>
      </c>
      <c r="S13" s="16"/>
      <c r="T13" s="15">
        <f>IFERROR(__xludf.DUMMYFUNCTION("""COMPUTED_VALUE"""),4.0)</f>
        <v>4</v>
      </c>
      <c r="U13" s="16"/>
      <c r="V13" s="15"/>
      <c r="W13" s="16"/>
      <c r="X13" s="15"/>
      <c r="Y13" s="16"/>
      <c r="Z13" s="15">
        <f>IFERROR(__xludf.DUMMYFUNCTION("""COMPUTED_VALUE"""),5.0)</f>
        <v>5</v>
      </c>
      <c r="AA13" s="16"/>
      <c r="AB13" s="15">
        <f>IFERROR(__xludf.DUMMYFUNCTION("""COMPUTED_VALUE"""),4.5)</f>
        <v>4.5</v>
      </c>
      <c r="AC13" s="16"/>
      <c r="AD13" s="15"/>
      <c r="AE13" s="16"/>
      <c r="AF13" s="15">
        <f>IFERROR(__xludf.DUMMYFUNCTION("""COMPUTED_VALUE"""),3.0)</f>
        <v>3</v>
      </c>
      <c r="AG13" s="16"/>
      <c r="AH13" s="15">
        <f>IFERROR(__xludf.DUMMYFUNCTION("""COMPUTED_VALUE"""),7.0)</f>
        <v>7</v>
      </c>
      <c r="AI13" s="16"/>
      <c r="AJ13" s="15"/>
      <c r="AK13" s="16"/>
      <c r="AL13" s="15"/>
      <c r="AM13" s="16"/>
      <c r="AN13" s="15">
        <f>IFERROR(__xludf.DUMMYFUNCTION("""COMPUTED_VALUE"""),4.5)</f>
        <v>4.5</v>
      </c>
      <c r="AO13" s="16"/>
      <c r="AP13" s="15">
        <f>IFERROR(__xludf.DUMMYFUNCTION("""COMPUTED_VALUE"""),4.0)</f>
        <v>4</v>
      </c>
      <c r="AQ13" s="16"/>
      <c r="AR13" s="15">
        <f>IFERROR(__xludf.DUMMYFUNCTION("""COMPUTED_VALUE"""),4.5)</f>
        <v>4.5</v>
      </c>
      <c r="AS13" s="16"/>
      <c r="AT13" s="15">
        <f>IFERROR(__xludf.DUMMYFUNCTION("""COMPUTED_VALUE"""),4.0)</f>
        <v>4</v>
      </c>
      <c r="AU13" s="16"/>
      <c r="AV13" s="15">
        <f>IFERROR(__xludf.DUMMYFUNCTION("""COMPUTED_VALUE"""),3.0)</f>
        <v>3</v>
      </c>
      <c r="AW13" s="16"/>
      <c r="AX13" s="15"/>
      <c r="AY13" s="16"/>
      <c r="AZ13" s="15"/>
      <c r="BA13" s="16"/>
      <c r="BB13" s="15">
        <f>IFERROR(__xludf.DUMMYFUNCTION("""COMPUTED_VALUE"""),3.0)</f>
        <v>3</v>
      </c>
      <c r="BC13" s="16"/>
      <c r="BD13" s="15"/>
      <c r="BE13" s="16"/>
      <c r="BF13" s="15"/>
      <c r="BG13" s="16"/>
      <c r="BH13" s="15">
        <f>IFERROR(__xludf.DUMMYFUNCTION("""COMPUTED_VALUE"""),5.0)</f>
        <v>5</v>
      </c>
      <c r="BI13" s="16"/>
      <c r="BJ13" s="15">
        <f>IFERROR(__xludf.DUMMYFUNCTION("""COMPUTED_VALUE"""),5.0)</f>
        <v>5</v>
      </c>
      <c r="BK13" s="16"/>
      <c r="BL13" s="4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>
        <f>IFERROR(__xludf.DUMMYFUNCTION("""COMPUTED_VALUE"""),16.5)</f>
        <v>16.5</v>
      </c>
      <c r="AI14" s="16"/>
      <c r="AJ14" s="15">
        <f>IFERROR(__xludf.DUMMYFUNCTION("""COMPUTED_VALUE"""),4.5)</f>
        <v>4.5</v>
      </c>
      <c r="AK14" s="16"/>
      <c r="AL14" s="15">
        <f>IFERROR(__xludf.DUMMYFUNCTION("""COMPUTED_VALUE"""),13.5)</f>
        <v>13.5</v>
      </c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IFERROR(__xludf.DUMMYFUNCTION("""COMPUTED_VALUE"""),"Peter Tomko")</f>
        <v>Peter Tomko</v>
      </c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4"/>
    </row>
    <row r="16">
      <c r="A16" s="14" t="str">
        <f>IFERROR(__xludf.DUMMYFUNCTION("""COMPUTED_VALUE"""),"Karolína Schejbalová")</f>
        <v>Karolína Schejbalová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IFERROR(__xludf.DUMMYFUNCTION("""COMPUTED_VALUE"""),"Martin Sova")</f>
        <v>Martin Sova</v>
      </c>
      <c r="B17" s="15">
        <f>IFERROR(__xludf.DUMMYFUNCTION("""COMPUTED_VALUE"""),8.5)</f>
        <v>8.5</v>
      </c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IFERROR(__xludf.DUMMYFUNCTION("""COMPUTED_VALUE"""),"Bogdan - Mihai Strajescu")</f>
        <v>Bogdan - Mihai Strajescu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IFERROR(__xludf.DUMMYFUNCTION("""COMPUTED_VALUE"""),"William Simba")</f>
        <v>William Simba</v>
      </c>
      <c r="B19" s="15"/>
      <c r="C19" s="16"/>
      <c r="D19" s="15">
        <f>IFERROR(__xludf.DUMMYFUNCTION("""COMPUTED_VALUE"""),8.5)</f>
        <v>8.5</v>
      </c>
      <c r="E19" s="16"/>
      <c r="F19" s="15">
        <f>IFERROR(__xludf.DUMMYFUNCTION("""COMPUTED_VALUE"""),9.5)</f>
        <v>9.5</v>
      </c>
      <c r="G19" s="16"/>
      <c r="H19" s="15">
        <f>IFERROR(__xludf.DUMMYFUNCTION("""COMPUTED_VALUE"""),10.5)</f>
        <v>10.5</v>
      </c>
      <c r="I19" s="16"/>
      <c r="J19" s="15"/>
      <c r="K19" s="16"/>
      <c r="L19" s="15"/>
      <c r="M19" s="16"/>
      <c r="N19" s="15">
        <f>IFERROR(__xludf.DUMMYFUNCTION("""COMPUTED_VALUE"""),14.5)</f>
        <v>14.5</v>
      </c>
      <c r="O19" s="16"/>
      <c r="P19" s="15">
        <f>IFERROR(__xludf.DUMMYFUNCTION("""COMPUTED_VALUE"""),8.5)</f>
        <v>8.5</v>
      </c>
      <c r="Q19" s="16"/>
      <c r="R19" s="15"/>
      <c r="S19" s="16"/>
      <c r="T19" s="15">
        <f>IFERROR(__xludf.DUMMYFUNCTION("""COMPUTED_VALUE"""),10.0)</f>
        <v>10</v>
      </c>
      <c r="U19" s="16"/>
      <c r="V19" s="15">
        <f>IFERROR(__xludf.DUMMYFUNCTION("""COMPUTED_VALUE"""),10.0)</f>
        <v>10</v>
      </c>
      <c r="W19" s="16"/>
      <c r="X19" s="15"/>
      <c r="Y19" s="16"/>
      <c r="Z19" s="15">
        <f>IFERROR(__xludf.DUMMYFUNCTION("""COMPUTED_VALUE"""),8.0)</f>
        <v>8</v>
      </c>
      <c r="AA19" s="16">
        <f>IFERROR(__xludf.DUMMYFUNCTION("""COMPUTED_VALUE"""),1000.0)</f>
        <v>1000</v>
      </c>
      <c r="AB19" s="15"/>
      <c r="AC19" s="16"/>
      <c r="AD19" s="15">
        <f>IFERROR(__xludf.DUMMYFUNCTION("""COMPUTED_VALUE"""),9.0)</f>
        <v>9</v>
      </c>
      <c r="AE19" s="16"/>
      <c r="AF19" s="15"/>
      <c r="AG19" s="16"/>
      <c r="AH19" s="15">
        <f>IFERROR(__xludf.DUMMYFUNCTION("""COMPUTED_VALUE"""),10.5)</f>
        <v>10.5</v>
      </c>
      <c r="AI19" s="16"/>
      <c r="AJ19" s="15">
        <f>IFERROR(__xludf.DUMMYFUNCTION("""COMPUTED_VALUE"""),10.5)</f>
        <v>10.5</v>
      </c>
      <c r="AK19" s="16"/>
      <c r="AL19" s="15"/>
      <c r="AM19" s="16"/>
      <c r="AN19" s="15"/>
      <c r="AO19" s="16"/>
      <c r="AP19" s="15">
        <f>IFERROR(__xludf.DUMMYFUNCTION("""COMPUTED_VALUE"""),8.5)</f>
        <v>8.5</v>
      </c>
      <c r="AQ19" s="16"/>
      <c r="AR19" s="15"/>
      <c r="AS19" s="16"/>
      <c r="AT19" s="15"/>
      <c r="AU19" s="16"/>
      <c r="AV19" s="15">
        <f>IFERROR(__xludf.DUMMYFUNCTION("""COMPUTED_VALUE"""),10.5)</f>
        <v>10.5</v>
      </c>
      <c r="AW19" s="16"/>
      <c r="AX19" s="15">
        <f>IFERROR(__xludf.DUMMYFUNCTION("""COMPUTED_VALUE"""),8.0)</f>
        <v>8</v>
      </c>
      <c r="AY19" s="16"/>
      <c r="AZ19" s="15"/>
      <c r="BA19" s="16"/>
      <c r="BB19" s="15">
        <f>IFERROR(__xludf.DUMMYFUNCTION("""COMPUTED_VALUE"""),14.5)</f>
        <v>14.5</v>
      </c>
      <c r="BC19" s="16"/>
      <c r="BD19" s="15"/>
      <c r="BE19" s="16"/>
      <c r="BF19" s="15">
        <f>IFERROR(__xludf.DUMMYFUNCTION("""COMPUTED_VALUE"""),8.5)</f>
        <v>8.5</v>
      </c>
      <c r="BG19" s="16"/>
      <c r="BH19" s="15">
        <f>IFERROR(__xludf.DUMMYFUNCTION("""COMPUTED_VALUE"""),8.5)</f>
        <v>8.5</v>
      </c>
      <c r="BI19" s="16"/>
      <c r="BJ19" s="15">
        <f>IFERROR(__xludf.DUMMYFUNCTION("""COMPUTED_VALUE"""),11.0)</f>
        <v>11</v>
      </c>
      <c r="BK19" s="16"/>
      <c r="BL19" s="4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4"/>
    </row>
    <row r="21">
      <c r="A21" s="14" t="str">
        <f>IFERROR(__xludf.DUMMYFUNCTION("""COMPUTED_VALUE"""),"Martin Danč")</f>
        <v>Martin Danč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4"/>
    </row>
    <row r="22">
      <c r="A22" s="14" t="str">
        <f>IFERROR(__xludf.DUMMYFUNCTION("""COMPUTED_VALUE"""),"Pavel Hochman")</f>
        <v>Pavel Hochman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IFERROR(__xludf.DUMMYFUNCTION("""COMPUTED_VALUE"""),"Marek Šos")</f>
        <v>Marek Šos</v>
      </c>
      <c r="B23" s="15">
        <f>IFERROR(__xludf.DUMMYFUNCTION("""COMPUTED_VALUE"""),8.5)</f>
        <v>8.5</v>
      </c>
      <c r="C23" s="16"/>
      <c r="D23" s="15">
        <f>IFERROR(__xludf.DUMMYFUNCTION("""COMPUTED_VALUE"""),15.5)</f>
        <v>15.5</v>
      </c>
      <c r="E23" s="16"/>
      <c r="F23" s="15">
        <f>IFERROR(__xludf.DUMMYFUNCTION("""COMPUTED_VALUE"""),17.5)</f>
        <v>17.5</v>
      </c>
      <c r="G23" s="16"/>
      <c r="H23" s="15"/>
      <c r="I23" s="16"/>
      <c r="J23" s="15">
        <f>IFERROR(__xludf.DUMMYFUNCTION("""COMPUTED_VALUE"""),7.0)</f>
        <v>7</v>
      </c>
      <c r="K23" s="16"/>
      <c r="L23" s="15">
        <f>IFERROR(__xludf.DUMMYFUNCTION("""COMPUTED_VALUE"""),8.5)</f>
        <v>8.5</v>
      </c>
      <c r="M23" s="16"/>
      <c r="N23" s="15">
        <f>IFERROR(__xludf.DUMMYFUNCTION("""COMPUTED_VALUE"""),8.5)</f>
        <v>8.5</v>
      </c>
      <c r="O23" s="16"/>
      <c r="P23" s="15">
        <f>IFERROR(__xludf.DUMMYFUNCTION("""COMPUTED_VALUE"""),8.5)</f>
        <v>8.5</v>
      </c>
      <c r="Q23" s="16"/>
      <c r="R23" s="15">
        <f>IFERROR(__xludf.DUMMYFUNCTION("""COMPUTED_VALUE"""),11.0)</f>
        <v>11</v>
      </c>
      <c r="S23" s="16"/>
      <c r="T23" s="15">
        <f>IFERROR(__xludf.DUMMYFUNCTION("""COMPUTED_VALUE"""),13.0)</f>
        <v>13</v>
      </c>
      <c r="U23" s="16"/>
      <c r="V23" s="15"/>
      <c r="W23" s="16"/>
      <c r="X23" s="15">
        <f>IFERROR(__xludf.DUMMYFUNCTION("""COMPUTED_VALUE"""),6.5)</f>
        <v>6.5</v>
      </c>
      <c r="Y23" s="16"/>
      <c r="Z23" s="15">
        <f>IFERROR(__xludf.DUMMYFUNCTION("""COMPUTED_VALUE"""),8.0)</f>
        <v>8</v>
      </c>
      <c r="AA23" s="16"/>
      <c r="AB23" s="15">
        <f>IFERROR(__xludf.DUMMYFUNCTION("""COMPUTED_VALUE"""),3.0)</f>
        <v>3</v>
      </c>
      <c r="AC23" s="16"/>
      <c r="AD23" s="15">
        <f>IFERROR(__xludf.DUMMYFUNCTION("""COMPUTED_VALUE"""),7.0)</f>
        <v>7</v>
      </c>
      <c r="AE23" s="16"/>
      <c r="AF23" s="15">
        <f>IFERROR(__xludf.DUMMYFUNCTION("""COMPUTED_VALUE"""),14.5)</f>
        <v>14.5</v>
      </c>
      <c r="AG23" s="16"/>
      <c r="AH23" s="15">
        <f>IFERROR(__xludf.DUMMYFUNCTION("""COMPUTED_VALUE"""),4.0)</f>
        <v>4</v>
      </c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4"/>
    </row>
    <row r="24">
      <c r="A24" s="14" t="str">
        <f>IFERROR(__xludf.DUMMYFUNCTION("""COMPUTED_VALUE"""),"Martin Jurkovič")</f>
        <v>Martin Jurkovič</v>
      </c>
      <c r="B24" s="15"/>
      <c r="C24" s="16"/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4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IFERROR(__xludf.DUMMYFUNCTION("""COMPUTED_VALUE"""),"Zbyněk Hyský")</f>
        <v>Zbyněk Hyský</v>
      </c>
      <c r="B26" s="15"/>
      <c r="C26" s="16"/>
      <c r="D26" s="15">
        <f>IFERROR(__xludf.DUMMYFUNCTION("""COMPUTED_VALUE"""),8.5)</f>
        <v>8.5</v>
      </c>
      <c r="E26" s="16"/>
      <c r="F26" s="15">
        <f>IFERROR(__xludf.DUMMYFUNCTION("""COMPUTED_VALUE"""),8.0)</f>
        <v>8</v>
      </c>
      <c r="G26" s="16"/>
      <c r="H26" s="15">
        <f>IFERROR(__xludf.DUMMYFUNCTION("""COMPUTED_VALUE"""),10.5)</f>
        <v>10.5</v>
      </c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>
        <f>IFERROR(__xludf.DUMMYFUNCTION("""COMPUTED_VALUE"""),10.0)</f>
        <v>10</v>
      </c>
      <c r="U26" s="16"/>
      <c r="V26" s="15">
        <f>IFERROR(__xludf.DUMMYFUNCTION("""COMPUTED_VALUE"""),13.0)</f>
        <v>13</v>
      </c>
      <c r="W26" s="16"/>
      <c r="X26" s="15"/>
      <c r="Y26" s="16"/>
      <c r="Z26" s="15"/>
      <c r="AA26" s="16"/>
      <c r="AB26" s="15"/>
      <c r="AC26" s="16"/>
      <c r="AD26" s="15">
        <f>IFERROR(__xludf.DUMMYFUNCTION("""COMPUTED_VALUE"""),8.5)</f>
        <v>8.5</v>
      </c>
      <c r="AE26" s="16"/>
      <c r="AF26" s="15"/>
      <c r="AG26" s="16"/>
      <c r="AH26" s="15"/>
      <c r="AI26" s="16"/>
      <c r="AJ26" s="15">
        <f>IFERROR(__xludf.DUMMYFUNCTION("""COMPUTED_VALUE"""),8.0)</f>
        <v>8</v>
      </c>
      <c r="AK26" s="16"/>
      <c r="AL26" s="15">
        <f>IFERROR(__xludf.DUMMYFUNCTION("""COMPUTED_VALUE"""),5.5)</f>
        <v>5.5</v>
      </c>
      <c r="AM26" s="16"/>
      <c r="AN26" s="15">
        <f>IFERROR(__xludf.DUMMYFUNCTION("""COMPUTED_VALUE"""),8.5)</f>
        <v>8.5</v>
      </c>
      <c r="AO26" s="16"/>
      <c r="AP26" s="15">
        <f>IFERROR(__xludf.DUMMYFUNCTION("""COMPUTED_VALUE"""),14.5)</f>
        <v>14.5</v>
      </c>
      <c r="AQ26" s="16"/>
      <c r="AR26" s="15"/>
      <c r="AS26" s="16"/>
      <c r="AT26" s="15">
        <f>IFERROR(__xludf.DUMMYFUNCTION("""COMPUTED_VALUE"""),3.0)</f>
        <v>3</v>
      </c>
      <c r="AU26" s="16"/>
      <c r="AV26" s="15">
        <f>IFERROR(__xludf.DUMMYFUNCTION("""COMPUTED_VALUE"""),16.5)</f>
        <v>16.5</v>
      </c>
      <c r="AW26" s="16"/>
      <c r="AX26" s="15">
        <f>IFERROR(__xludf.DUMMYFUNCTION("""COMPUTED_VALUE"""),16.5)</f>
        <v>16.5</v>
      </c>
      <c r="AY26" s="16"/>
      <c r="AZ26" s="15">
        <f>IFERROR(__xludf.DUMMYFUNCTION("""COMPUTED_VALUE"""),7.0)</f>
        <v>7</v>
      </c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4"/>
    </row>
    <row r="27">
      <c r="A27" s="14" t="str">
        <f>IFERROR(__xludf.DUMMYFUNCTION("""COMPUTED_VALUE"""),"Stanislav Roth st.")</f>
        <v>Stanislav Roth st.</v>
      </c>
      <c r="B27" s="15">
        <f>IFERROR(__xludf.DUMMYFUNCTION("""COMPUTED_VALUE"""),4.5)</f>
        <v>4.5</v>
      </c>
      <c r="C27" s="16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IFERROR(__xludf.DUMMYFUNCTION("""COMPUTED_VALUE"""),"Jakub Malík")</f>
        <v>Jakub Malík</v>
      </c>
      <c r="B29" s="15">
        <f>IFERROR(__xludf.DUMMYFUNCTION("""COMPUTED_VALUE"""),12.0)</f>
        <v>12</v>
      </c>
      <c r="C29" s="16"/>
      <c r="D29" s="15">
        <f>IFERROR(__xludf.DUMMYFUNCTION("""COMPUTED_VALUE"""),12.0)</f>
        <v>12</v>
      </c>
      <c r="E29" s="16"/>
      <c r="F29" s="15">
        <f>IFERROR(__xludf.DUMMYFUNCTION("""COMPUTED_VALUE"""),12.0)</f>
        <v>12</v>
      </c>
      <c r="G29" s="16"/>
      <c r="H29" s="15">
        <f>IFERROR(__xludf.DUMMYFUNCTION("""COMPUTED_VALUE"""),7.0)</f>
        <v>7</v>
      </c>
      <c r="I29" s="16"/>
      <c r="J29" s="15">
        <f>IFERROR(__xludf.DUMMYFUNCTION("""COMPUTED_VALUE"""),14.0)</f>
        <v>14</v>
      </c>
      <c r="K29" s="16"/>
      <c r="L29" s="15">
        <f>IFERROR(__xludf.DUMMYFUNCTION("""COMPUTED_VALUE"""),8.5)</f>
        <v>8.5</v>
      </c>
      <c r="M29" s="16"/>
      <c r="N29" s="15">
        <f>IFERROR(__xludf.DUMMYFUNCTION("""COMPUTED_VALUE"""),8.5)</f>
        <v>8.5</v>
      </c>
      <c r="O29" s="16"/>
      <c r="P29" s="15">
        <f>IFERROR(__xludf.DUMMYFUNCTION("""COMPUTED_VALUE"""),7.0)</f>
        <v>7</v>
      </c>
      <c r="Q29" s="16"/>
      <c r="R29" s="15">
        <f>IFERROR(__xludf.DUMMYFUNCTION("""COMPUTED_VALUE"""),8.5)</f>
        <v>8.5</v>
      </c>
      <c r="S29" s="16"/>
      <c r="T29" s="15"/>
      <c r="U29" s="16"/>
      <c r="V29" s="15">
        <f>IFERROR(__xludf.DUMMYFUNCTION("""COMPUTED_VALUE"""),7.0)</f>
        <v>7</v>
      </c>
      <c r="W29" s="16"/>
      <c r="X29" s="15">
        <f>IFERROR(__xludf.DUMMYFUNCTION("""COMPUTED_VALUE"""),13.5)</f>
        <v>13.5</v>
      </c>
      <c r="Y29" s="16"/>
      <c r="Z29" s="15">
        <f>IFERROR(__xludf.DUMMYFUNCTION("""COMPUTED_VALUE"""),12.0)</f>
        <v>12</v>
      </c>
      <c r="AA29" s="16"/>
      <c r="AB29" s="15"/>
      <c r="AC29" s="16"/>
      <c r="AD29" s="15"/>
      <c r="AE29" s="16"/>
      <c r="AF29" s="15"/>
      <c r="AG29" s="16"/>
      <c r="AH29" s="15">
        <f>IFERROR(__xludf.DUMMYFUNCTION("""COMPUTED_VALUE"""),6.0)</f>
        <v>6</v>
      </c>
      <c r="AI29" s="16"/>
      <c r="AJ29" s="15">
        <f>IFERROR(__xludf.DUMMYFUNCTION("""COMPUTED_VALUE"""),14.0)</f>
        <v>14</v>
      </c>
      <c r="AK29" s="16"/>
      <c r="AL29" s="15">
        <f>IFERROR(__xludf.DUMMYFUNCTION("""COMPUTED_VALUE"""),13.5)</f>
        <v>13.5</v>
      </c>
      <c r="AM29" s="16"/>
      <c r="AN29" s="15">
        <f>IFERROR(__xludf.DUMMYFUNCTION("""COMPUTED_VALUE"""),15.5)</f>
        <v>15.5</v>
      </c>
      <c r="AO29" s="16"/>
      <c r="AP29" s="15"/>
      <c r="AQ29" s="16"/>
      <c r="AR29" s="15">
        <f>IFERROR(__xludf.DUMMYFUNCTION("""COMPUTED_VALUE"""),8.5)</f>
        <v>8.5</v>
      </c>
      <c r="AS29" s="16"/>
      <c r="AT29" s="15">
        <f>IFERROR(__xludf.DUMMYFUNCTION("""COMPUTED_VALUE"""),8.5)</f>
        <v>8.5</v>
      </c>
      <c r="AU29" s="16"/>
      <c r="AV29" s="15">
        <f>IFERROR(__xludf.DUMMYFUNCTION("""COMPUTED_VALUE"""),15.0)</f>
        <v>15</v>
      </c>
      <c r="AW29" s="16"/>
      <c r="AX29" s="15">
        <f>IFERROR(__xludf.DUMMYFUNCTION("""COMPUTED_VALUE"""),7.0)</f>
        <v>7</v>
      </c>
      <c r="AY29" s="16"/>
      <c r="AZ29" s="15"/>
      <c r="BA29" s="16"/>
      <c r="BB29" s="15"/>
      <c r="BC29" s="16"/>
      <c r="BD29" s="15">
        <f>IFERROR(__xludf.DUMMYFUNCTION("""COMPUTED_VALUE"""),14.5)</f>
        <v>14.5</v>
      </c>
      <c r="BE29" s="16"/>
      <c r="BF29" s="15">
        <f>IFERROR(__xludf.DUMMYFUNCTION("""COMPUTED_VALUE"""),13.0)</f>
        <v>13</v>
      </c>
      <c r="BG29" s="16"/>
      <c r="BH29" s="15">
        <f>IFERROR(__xludf.DUMMYFUNCTION("""COMPUTED_VALUE"""),11.0)</f>
        <v>11</v>
      </c>
      <c r="BI29" s="16"/>
      <c r="BJ29" s="15">
        <f>IFERROR(__xludf.DUMMYFUNCTION("""COMPUTED_VALUE"""),15.5)</f>
        <v>15.5</v>
      </c>
      <c r="BK29" s="16"/>
      <c r="BL29" s="4"/>
    </row>
    <row r="30">
      <c r="A30" s="14" t="str">
        <f>IFERROR(__xludf.DUMMYFUNCTION("""COMPUTED_VALUE"""),"David Chysky")</f>
        <v>David Chysky</v>
      </c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4"/>
    </row>
    <row r="31">
      <c r="A31" s="14" t="str">
        <f>IFERROR(__xludf.DUMMYFUNCTION("""COMPUTED_VALUE"""),"Dominik Plodek")</f>
        <v>Dominik Plodek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4"/>
    </row>
    <row r="32">
      <c r="A32" s="14" t="str">
        <f>IFERROR(__xludf.DUMMYFUNCTION("""COMPUTED_VALUE"""),"Lukáš Viktora")</f>
        <v>Lukáš Viktora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4"/>
    </row>
    <row r="33">
      <c r="A33" s="14" t="str">
        <f>IFERROR(__xludf.DUMMYFUNCTION("""COMPUTED_VALUE"""),"Jan Jakub Šmejkal")</f>
        <v>Jan Jakub Šmejkal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IFERROR(__xludf.DUMMYFUNCTION("""COMPUTED_VALUE"""),"Miroslav Majtán")</f>
        <v>Miroslav Majtán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IFERROR(__xludf.DUMMYFUNCTION("""COMPUTED_VALUE"""),"Blanka Kouřimská")</f>
        <v>Blanka Kouřimská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IFERROR(__xludf.DUMMYFUNCTION("""COMPUTED_VALUE"""),"Vladimír Dudkin")</f>
        <v>Vladimír Dudkin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IFERROR(__xludf.DUMMYFUNCTION("""COMPUTED_VALUE"""),"Daniel Jaroš")</f>
        <v>Daniel Jaroš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IFERROR(__xludf.DUMMYFUNCTION("""COMPUTED_VALUE"""),"Vojtěch Sukdolák")</f>
        <v>Vojtěch Sukdolák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IFERROR(__xludf.DUMMYFUNCTION("""COMPUTED_VALUE"""),"Vít Káš")</f>
        <v>Vít Káš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IFERROR(__xludf.DUMMYFUNCTION("""COMPUTED_VALUE"""),"Tomáš Pavlišín")</f>
        <v>Tomáš Pavlišín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IFERROR(__xludf.DUMMYFUNCTION("""COMPUTED_VALUE"""),"Anthony Lightburn")</f>
        <v>Anthony Lightburn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IFERROR(__xludf.DUMMYFUNCTION("""COMPUTED_VALUE"""),"Adrián Zajac")</f>
        <v>Adrián Zajac</v>
      </c>
      <c r="B43" s="15"/>
      <c r="C43" s="16"/>
      <c r="D43" s="15">
        <f>IFERROR(__xludf.DUMMYFUNCTION("""COMPUTED_VALUE"""),12.0)</f>
        <v>12</v>
      </c>
      <c r="E43" s="16"/>
      <c r="F43" s="15"/>
      <c r="G43" s="16"/>
      <c r="H43" s="15"/>
      <c r="I43" s="16"/>
      <c r="J43" s="15"/>
      <c r="K43" s="16"/>
      <c r="L43" s="15">
        <f>IFERROR(__xludf.DUMMYFUNCTION("""COMPUTED_VALUE"""),12.5)</f>
        <v>12.5</v>
      </c>
      <c r="M43" s="16"/>
      <c r="N43" s="15">
        <f>IFERROR(__xludf.DUMMYFUNCTION("""COMPUTED_VALUE"""),10.5)</f>
        <v>10.5</v>
      </c>
      <c r="O43" s="16"/>
      <c r="P43" s="15">
        <f>IFERROR(__xludf.DUMMYFUNCTION("""COMPUTED_VALUE"""),11.5)</f>
        <v>11.5</v>
      </c>
      <c r="Q43" s="16"/>
      <c r="R43" s="15">
        <f>IFERROR(__xludf.DUMMYFUNCTION("""COMPUTED_VALUE"""),13.0)</f>
        <v>13</v>
      </c>
      <c r="S43" s="16"/>
      <c r="T43" s="15"/>
      <c r="U43" s="16"/>
      <c r="V43" s="15"/>
      <c r="W43" s="16"/>
      <c r="X43" s="15"/>
      <c r="Y43" s="16"/>
      <c r="Z43" s="15">
        <f>IFERROR(__xludf.DUMMYFUNCTION("""COMPUTED_VALUE"""),11.0)</f>
        <v>11</v>
      </c>
      <c r="AA43" s="16"/>
      <c r="AB43" s="15">
        <f>IFERROR(__xludf.DUMMYFUNCTION("""COMPUTED_VALUE"""),12.5)</f>
        <v>12.5</v>
      </c>
      <c r="AC43" s="16"/>
      <c r="AD43" s="15">
        <f>IFERROR(__xludf.DUMMYFUNCTION("""COMPUTED_VALUE"""),12.0)</f>
        <v>12</v>
      </c>
      <c r="AE43" s="16"/>
      <c r="AF43" s="15">
        <f>IFERROR(__xludf.DUMMYFUNCTION("""COMPUTED_VALUE"""),12.5)</f>
        <v>12.5</v>
      </c>
      <c r="AG43" s="16"/>
      <c r="AH43" s="15"/>
      <c r="AI43" s="16"/>
      <c r="AJ43" s="15"/>
      <c r="AK43" s="16"/>
      <c r="AL43" s="15"/>
      <c r="AM43" s="16"/>
      <c r="AN43" s="15">
        <f>IFERROR(__xludf.DUMMYFUNCTION("""COMPUTED_VALUE"""),12.0)</f>
        <v>12</v>
      </c>
      <c r="AO43" s="16"/>
      <c r="AP43" s="15">
        <f>IFERROR(__xludf.DUMMYFUNCTION("""COMPUTED_VALUE"""),11.0)</f>
        <v>11</v>
      </c>
      <c r="AQ43" s="16"/>
      <c r="AR43" s="15">
        <f>IFERROR(__xludf.DUMMYFUNCTION("""COMPUTED_VALUE"""),14.5)</f>
        <v>14.5</v>
      </c>
      <c r="AS43" s="16"/>
      <c r="AT43" s="15">
        <f>IFERROR(__xludf.DUMMYFUNCTION("""COMPUTED_VALUE"""),14.5)</f>
        <v>14.5</v>
      </c>
      <c r="AU43" s="16"/>
      <c r="AV43" s="15"/>
      <c r="AW43" s="16"/>
      <c r="AX43" s="15"/>
      <c r="AY43" s="16"/>
      <c r="AZ43" s="15"/>
      <c r="BA43" s="16"/>
      <c r="BB43" s="15">
        <f>IFERROR(__xludf.DUMMYFUNCTION("""COMPUTED_VALUE"""),12.5)</f>
        <v>12.5</v>
      </c>
      <c r="BC43" s="16"/>
      <c r="BD43" s="15">
        <f>IFERROR(__xludf.DUMMYFUNCTION("""COMPUTED_VALUE"""),12.0)</f>
        <v>12</v>
      </c>
      <c r="BE43" s="16"/>
      <c r="BF43" s="15">
        <f>IFERROR(__xludf.DUMMYFUNCTION("""COMPUTED_VALUE"""),6.0)</f>
        <v>6</v>
      </c>
      <c r="BG43" s="16"/>
      <c r="BH43" s="15"/>
      <c r="BI43" s="16"/>
      <c r="BJ43" s="15"/>
      <c r="BK43" s="16"/>
      <c r="BL43" s="4"/>
    </row>
    <row r="44">
      <c r="A44" s="14" t="str">
        <f>IFERROR(__xludf.DUMMYFUNCTION("""COMPUTED_VALUE"""),"Jan Beneš")</f>
        <v>Jan Beneš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IFERROR(__xludf.DUMMYFUNCTION("""COMPUTED_VALUE"""),"Jan Ťoupal")</f>
        <v>Jan Ťoupal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IFERROR(__xludf.DUMMYFUNCTION("""COMPUTED_VALUE"""),"Simon Kurčík")</f>
        <v>Simon Kurčík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IFERROR(__xludf.DUMMYFUNCTION("""COMPUTED_VALUE"""),"Jiří Frankl")</f>
        <v>Jiří Frankl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4"/>
    </row>
    <row r="48">
      <c r="A48" s="14" t="str">
        <f>IFERROR(__xludf.DUMMYFUNCTION("""COMPUTED_VALUE"""),"Matěj Štolba")</f>
        <v>Matěj Štolba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IFERROR(__xludf.DUMMYFUNCTION("""COMPUTED_VALUE"""),"Michal Moročilo")</f>
        <v>Michal Moročilo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>
        <f>IFERROR(__xludf.DUMMYFUNCTION("""COMPUTED_VALUE"""),6.0)</f>
        <v>6</v>
      </c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>
        <f>IFERROR(__xludf.DUMMYFUNCTION("""COMPUTED_VALUE"""),6.0)</f>
        <v>6</v>
      </c>
      <c r="AY50" s="16"/>
      <c r="AZ50" s="15">
        <f>IFERROR(__xludf.DUMMYFUNCTION("""COMPUTED_VALUE"""),13.0)</f>
        <v>13</v>
      </c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IFERROR(__xludf.DUMMYFUNCTION("""COMPUTED_VALUE"""),"Adam Petr")</f>
        <v>Adam Petr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>
        <f>IFERROR(__xludf.DUMMYFUNCTION("""COMPUTED_VALUE"""),12.5)</f>
        <v>12.5</v>
      </c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IFERROR(__xludf.DUMMYFUNCTION("""COMPUTED_VALUE"""),"Savelij Vasylčenko")</f>
        <v>Savelij Vasylčenko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IFERROR(__xludf.DUMMYFUNCTION("""COMPUTED_VALUE"""),"Vojtěch Fux")</f>
        <v>Vojtěch Fux</v>
      </c>
      <c r="B54" s="15"/>
      <c r="C54" s="16"/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>
        <f>IFERROR(__xludf.DUMMYFUNCTION("""COMPUTED_VALUE"""),5.5)</f>
        <v>5.5</v>
      </c>
      <c r="AK54" s="16">
        <f>IFERROR(__xludf.DUMMYFUNCTION("""COMPUTED_VALUE"""),900.0)</f>
        <v>900</v>
      </c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>
        <f>IFERROR(__xludf.DUMMYFUNCTION("""COMPUTED_VALUE"""),3.5)</f>
        <v>3.5</v>
      </c>
      <c r="BK54" s="16"/>
      <c r="BL54" s="4"/>
    </row>
    <row r="55">
      <c r="A55" s="14" t="str">
        <f>IFERROR(__xludf.DUMMYFUNCTION("""COMPUTED_VALUE"""),"Michal Jiřík")</f>
        <v>Michal Jiřík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IFERROR(__xludf.DUMMYFUNCTION("""COMPUTED_VALUE"""),"Kateřina Machková")</f>
        <v>Kateřina Machková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IFERROR(__xludf.DUMMYFUNCTION("""COMPUTED_VALUE"""),"Marek Šimek")</f>
        <v>Marek Šimek</v>
      </c>
      <c r="B57" s="15"/>
      <c r="C57" s="16"/>
      <c r="D57" s="15"/>
      <c r="E57" s="16"/>
      <c r="F57" s="15"/>
      <c r="G57" s="16"/>
      <c r="H57" s="15">
        <f>IFERROR(__xludf.DUMMYFUNCTION("""COMPUTED_VALUE"""),12.0)</f>
        <v>12</v>
      </c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>
        <f>IFERROR(__xludf.DUMMYFUNCTION("""COMPUTED_VALUE"""),8.0)</f>
        <v>8</v>
      </c>
      <c r="W57" s="16"/>
      <c r="X57" s="15"/>
      <c r="Y57" s="16"/>
      <c r="Z57" s="15"/>
      <c r="AA57" s="16"/>
      <c r="AB57" s="15">
        <f>IFERROR(__xludf.DUMMYFUNCTION("""COMPUTED_VALUE"""),9.0)</f>
        <v>9</v>
      </c>
      <c r="AC57" s="16"/>
      <c r="AD57" s="15"/>
      <c r="AE57" s="16"/>
      <c r="AF57" s="15"/>
      <c r="AG57" s="16"/>
      <c r="AH57" s="15">
        <f>IFERROR(__xludf.DUMMYFUNCTION("""COMPUTED_VALUE"""),7.0)</f>
        <v>7</v>
      </c>
      <c r="AI57" s="16"/>
      <c r="AJ57" s="15">
        <f>IFERROR(__xludf.DUMMYFUNCTION("""COMPUTED_VALUE"""),7.0)</f>
        <v>7</v>
      </c>
      <c r="AK57" s="16"/>
      <c r="AL57" s="15"/>
      <c r="AM57" s="16"/>
      <c r="AN57" s="15"/>
      <c r="AO57" s="16"/>
      <c r="AP57" s="15"/>
      <c r="AQ57" s="16"/>
      <c r="AR57" s="15">
        <f>IFERROR(__xludf.DUMMYFUNCTION("""COMPUTED_VALUE"""),8.5)</f>
        <v>8.5</v>
      </c>
      <c r="AS57" s="16"/>
      <c r="AT57" s="15">
        <f>IFERROR(__xludf.DUMMYFUNCTION("""COMPUTED_VALUE"""),13.0)</f>
        <v>13</v>
      </c>
      <c r="AU57" s="16"/>
      <c r="AV57" s="15"/>
      <c r="AW57" s="16"/>
      <c r="AX57" s="15"/>
      <c r="AY57" s="16"/>
      <c r="AZ57" s="15"/>
      <c r="BA57" s="16"/>
      <c r="BB57" s="15"/>
      <c r="BC57" s="16"/>
      <c r="BD57" s="15">
        <f>IFERROR(__xludf.DUMMYFUNCTION("""COMPUTED_VALUE"""),4.0)</f>
        <v>4</v>
      </c>
      <c r="BE57" s="16"/>
      <c r="BF57" s="15"/>
      <c r="BG57" s="16"/>
      <c r="BH57" s="15"/>
      <c r="BI57" s="16"/>
      <c r="BJ57" s="15"/>
      <c r="BK57" s="16"/>
      <c r="BL57" s="4"/>
    </row>
    <row r="58">
      <c r="A58" s="14" t="str">
        <f>IFERROR(__xludf.DUMMYFUNCTION("""COMPUTED_VALUE"""),"Lukáš Volf")</f>
        <v>Lukáš Volf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4"/>
    </row>
    <row r="60">
      <c r="A60" s="14" t="str">
        <f>IFERROR(__xludf.DUMMYFUNCTION("""COMPUTED_VALUE"""),"Damián Bradáč")</f>
        <v>Damián Bradáč</v>
      </c>
      <c r="B60" s="15"/>
      <c r="C60" s="16"/>
      <c r="D60" s="15"/>
      <c r="E60" s="16"/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/>
      <c r="BK60" s="16"/>
      <c r="BL60" s="4"/>
    </row>
    <row r="61">
      <c r="A61" s="14" t="str">
        <f>IFERROR(__xludf.DUMMYFUNCTION("""COMPUTED_VALUE"""),"Tomáš Veselý")</f>
        <v>Tomáš Veselý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4"/>
    </row>
    <row r="62">
      <c r="A62" s="14" t="str">
        <f>IFERROR(__xludf.DUMMYFUNCTION("""COMPUTED_VALUE"""),"Jakub Janout")</f>
        <v>Jakub Janout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4"/>
    </row>
    <row r="63">
      <c r="A63" s="14" t="str">
        <f>IFERROR(__xludf.DUMMYFUNCTION("""COMPUTED_VALUE"""),"Ladislav Koška")</f>
        <v>Ladislav Koška</v>
      </c>
      <c r="B63" s="15"/>
      <c r="C63" s="16"/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IFERROR(__xludf.DUMMYFUNCTION("""COMPUTED_VALUE"""),"Jiří Pilnáček")</f>
        <v>Jiří Pilnáček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IFERROR(__xludf.DUMMYFUNCTION("""COMPUTED_VALUE"""),"Michal Bandy")</f>
        <v>Michal Bandy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/>
      <c r="B66" s="15"/>
      <c r="C66" s="16"/>
      <c r="D66" s="15"/>
      <c r="E66" s="16"/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4"/>
    </row>
    <row r="67">
      <c r="A67" s="14"/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4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/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7" t="str">
        <f>IFERROR(__xludf.DUMMYFUNCTION("IMPORTRANGE(""https://docs.google.com/spreadsheets/d/1uJ6E2cANBh09JI7L0W3GlIInQ6JMAhmQEWie31AUhn0"", ""Přehled mzdy!C3:BM20"")"),"Instore")</f>
        <v>Instore</v>
      </c>
      <c r="B77" s="15" t="str">
        <f>IFERROR(__xludf.DUMMYFUNCTION("""COMPUTED_VALUE"""),"hod.")</f>
        <v>hod.</v>
      </c>
      <c r="C77" s="16" t="str">
        <f>IFERROR(__xludf.DUMMYFUNCTION("""COMPUTED_VALUE"""),"zál.")</f>
        <v>zál.</v>
      </c>
      <c r="D77" s="15" t="str">
        <f>IFERROR(__xludf.DUMMYFUNCTION("""COMPUTED_VALUE"""),"hod.")</f>
        <v>hod.</v>
      </c>
      <c r="E77" s="16" t="str">
        <f>IFERROR(__xludf.DUMMYFUNCTION("""COMPUTED_VALUE"""),"zál.")</f>
        <v>zál.</v>
      </c>
      <c r="F77" s="15" t="str">
        <f>IFERROR(__xludf.DUMMYFUNCTION("""COMPUTED_VALUE"""),"hod.")</f>
        <v>hod.</v>
      </c>
      <c r="G77" s="16" t="str">
        <f>IFERROR(__xludf.DUMMYFUNCTION("""COMPUTED_VALUE"""),"zál.")</f>
        <v>zál.</v>
      </c>
      <c r="H77" s="15" t="str">
        <f>IFERROR(__xludf.DUMMYFUNCTION("""COMPUTED_VALUE"""),"Hodin")</f>
        <v>Hodin</v>
      </c>
      <c r="I77" s="16" t="str">
        <f>IFERROR(__xludf.DUMMYFUNCTION("""COMPUTED_VALUE"""),"zál.")</f>
        <v>zál.</v>
      </c>
      <c r="J77" s="15" t="str">
        <f>IFERROR(__xludf.DUMMYFUNCTION("""COMPUTED_VALUE"""),"hod.")</f>
        <v>hod.</v>
      </c>
      <c r="K77" s="16" t="str">
        <f>IFERROR(__xludf.DUMMYFUNCTION("""COMPUTED_VALUE"""),"zál.")</f>
        <v>zál.</v>
      </c>
      <c r="L77" s="15" t="str">
        <f>IFERROR(__xludf.DUMMYFUNCTION("""COMPUTED_VALUE"""),"hod.")</f>
        <v>hod.</v>
      </c>
      <c r="M77" s="16" t="str">
        <f>IFERROR(__xludf.DUMMYFUNCTION("""COMPUTED_VALUE"""),"zál.")</f>
        <v>zál.</v>
      </c>
      <c r="N77" s="15" t="str">
        <f>IFERROR(__xludf.DUMMYFUNCTION("""COMPUTED_VALUE"""),"hod.")</f>
        <v>hod.</v>
      </c>
      <c r="O77" s="16" t="str">
        <f>IFERROR(__xludf.DUMMYFUNCTION("""COMPUTED_VALUE"""),"zál.")</f>
        <v>zál.</v>
      </c>
      <c r="P77" s="15" t="str">
        <f>IFERROR(__xludf.DUMMYFUNCTION("""COMPUTED_VALUE"""),"hod.")</f>
        <v>hod.</v>
      </c>
      <c r="Q77" s="16" t="str">
        <f>IFERROR(__xludf.DUMMYFUNCTION("""COMPUTED_VALUE"""),"zál.")</f>
        <v>zál.</v>
      </c>
      <c r="R77" s="15" t="str">
        <f>IFERROR(__xludf.DUMMYFUNCTION("""COMPUTED_VALUE"""),"hod.")</f>
        <v>hod.</v>
      </c>
      <c r="S77" s="16" t="str">
        <f>IFERROR(__xludf.DUMMYFUNCTION("""COMPUTED_VALUE"""),"zál.")</f>
        <v>zál.</v>
      </c>
      <c r="T77" s="15" t="str">
        <f>IFERROR(__xludf.DUMMYFUNCTION("""COMPUTED_VALUE"""),"hod.")</f>
        <v>hod.</v>
      </c>
      <c r="U77" s="16" t="str">
        <f>IFERROR(__xludf.DUMMYFUNCTION("""COMPUTED_VALUE"""),"zál.")</f>
        <v>zál.</v>
      </c>
      <c r="V77" s="15" t="str">
        <f>IFERROR(__xludf.DUMMYFUNCTION("""COMPUTED_VALUE"""),"hod.")</f>
        <v>hod.</v>
      </c>
      <c r="W77" s="16" t="str">
        <f>IFERROR(__xludf.DUMMYFUNCTION("""COMPUTED_VALUE"""),"zál.")</f>
        <v>zál.</v>
      </c>
      <c r="X77" s="15" t="str">
        <f>IFERROR(__xludf.DUMMYFUNCTION("""COMPUTED_VALUE"""),"hod.")</f>
        <v>hod.</v>
      </c>
      <c r="Y77" s="16" t="str">
        <f>IFERROR(__xludf.DUMMYFUNCTION("""COMPUTED_VALUE"""),"zál.")</f>
        <v>zál.</v>
      </c>
      <c r="Z77" s="15" t="str">
        <f>IFERROR(__xludf.DUMMYFUNCTION("""COMPUTED_VALUE"""),"hod.")</f>
        <v>hod.</v>
      </c>
      <c r="AA77" s="16" t="str">
        <f>IFERROR(__xludf.DUMMYFUNCTION("""COMPUTED_VALUE"""),"zál.")</f>
        <v>zál.</v>
      </c>
      <c r="AB77" s="15" t="str">
        <f>IFERROR(__xludf.DUMMYFUNCTION("""COMPUTED_VALUE"""),"hod.")</f>
        <v>hod.</v>
      </c>
      <c r="AC77" s="16" t="str">
        <f>IFERROR(__xludf.DUMMYFUNCTION("""COMPUTED_VALUE"""),"zál.")</f>
        <v>zál.</v>
      </c>
      <c r="AD77" s="15" t="str">
        <f>IFERROR(__xludf.DUMMYFUNCTION("""COMPUTED_VALUE"""),"hod.")</f>
        <v>hod.</v>
      </c>
      <c r="AE77" s="16" t="str">
        <f>IFERROR(__xludf.DUMMYFUNCTION("""COMPUTED_VALUE"""),"zál.")</f>
        <v>zál.</v>
      </c>
      <c r="AF77" s="15" t="str">
        <f>IFERROR(__xludf.DUMMYFUNCTION("""COMPUTED_VALUE"""),"hod.")</f>
        <v>hod.</v>
      </c>
      <c r="AG77" s="16" t="str">
        <f>IFERROR(__xludf.DUMMYFUNCTION("""COMPUTED_VALUE"""),"zál.")</f>
        <v>zál.</v>
      </c>
      <c r="AH77" s="15" t="str">
        <f>IFERROR(__xludf.DUMMYFUNCTION("""COMPUTED_VALUE"""),"hod.")</f>
        <v>hod.</v>
      </c>
      <c r="AI77" s="16" t="str">
        <f>IFERROR(__xludf.DUMMYFUNCTION("""COMPUTED_VALUE"""),"zál.")</f>
        <v>zál.</v>
      </c>
      <c r="AJ77" s="15" t="str">
        <f>IFERROR(__xludf.DUMMYFUNCTION("""COMPUTED_VALUE"""),"hod.")</f>
        <v>hod.</v>
      </c>
      <c r="AK77" s="16" t="str">
        <f>IFERROR(__xludf.DUMMYFUNCTION("""COMPUTED_VALUE"""),"zál.")</f>
        <v>zál.</v>
      </c>
      <c r="AL77" s="15" t="str">
        <f>IFERROR(__xludf.DUMMYFUNCTION("""COMPUTED_VALUE"""),"hod.")</f>
        <v>hod.</v>
      </c>
      <c r="AM77" s="16" t="str">
        <f>IFERROR(__xludf.DUMMYFUNCTION("""COMPUTED_VALUE"""),"zál.")</f>
        <v>zál.</v>
      </c>
      <c r="AN77" s="15" t="str">
        <f>IFERROR(__xludf.DUMMYFUNCTION("""COMPUTED_VALUE"""),"hod.")</f>
        <v>hod.</v>
      </c>
      <c r="AO77" s="16" t="str">
        <f>IFERROR(__xludf.DUMMYFUNCTION("""COMPUTED_VALUE"""),"zál.")</f>
        <v>zál.</v>
      </c>
      <c r="AP77" s="15" t="str">
        <f>IFERROR(__xludf.DUMMYFUNCTION("""COMPUTED_VALUE"""),"hod.")</f>
        <v>hod.</v>
      </c>
      <c r="AQ77" s="16" t="str">
        <f>IFERROR(__xludf.DUMMYFUNCTION("""COMPUTED_VALUE"""),"zál.")</f>
        <v>zál.</v>
      </c>
      <c r="AR77" s="15" t="str">
        <f>IFERROR(__xludf.DUMMYFUNCTION("""COMPUTED_VALUE"""),"hod.")</f>
        <v>hod.</v>
      </c>
      <c r="AS77" s="16" t="str">
        <f>IFERROR(__xludf.DUMMYFUNCTION("""COMPUTED_VALUE"""),"zál.")</f>
        <v>zál.</v>
      </c>
      <c r="AT77" s="15" t="str">
        <f>IFERROR(__xludf.DUMMYFUNCTION("""COMPUTED_VALUE"""),"hod.")</f>
        <v>hod.</v>
      </c>
      <c r="AU77" s="16" t="str">
        <f>IFERROR(__xludf.DUMMYFUNCTION("""COMPUTED_VALUE"""),"zál.")</f>
        <v>zál.</v>
      </c>
      <c r="AV77" s="15" t="str">
        <f>IFERROR(__xludf.DUMMYFUNCTION("""COMPUTED_VALUE"""),"hod.")</f>
        <v>hod.</v>
      </c>
      <c r="AW77" s="16" t="str">
        <f>IFERROR(__xludf.DUMMYFUNCTION("""COMPUTED_VALUE"""),"zál.")</f>
        <v>zál.</v>
      </c>
      <c r="AX77" s="15" t="str">
        <f>IFERROR(__xludf.DUMMYFUNCTION("""COMPUTED_VALUE"""),"hod.")</f>
        <v>hod.</v>
      </c>
      <c r="AY77" s="16" t="str">
        <f>IFERROR(__xludf.DUMMYFUNCTION("""COMPUTED_VALUE"""),"zál.")</f>
        <v>zál.</v>
      </c>
      <c r="AZ77" s="15" t="str">
        <f>IFERROR(__xludf.DUMMYFUNCTION("""COMPUTED_VALUE"""),"hod.")</f>
        <v>hod.</v>
      </c>
      <c r="BA77" s="16" t="str">
        <f>IFERROR(__xludf.DUMMYFUNCTION("""COMPUTED_VALUE"""),"zál.")</f>
        <v>zál.</v>
      </c>
      <c r="BB77" s="15" t="str">
        <f>IFERROR(__xludf.DUMMYFUNCTION("""COMPUTED_VALUE"""),"hod.")</f>
        <v>hod.</v>
      </c>
      <c r="BC77" s="16" t="str">
        <f>IFERROR(__xludf.DUMMYFUNCTION("""COMPUTED_VALUE"""),"zál.")</f>
        <v>zál.</v>
      </c>
      <c r="BD77" s="15" t="str">
        <f>IFERROR(__xludf.DUMMYFUNCTION("""COMPUTED_VALUE"""),"hod.")</f>
        <v>hod.</v>
      </c>
      <c r="BE77" s="16" t="str">
        <f>IFERROR(__xludf.DUMMYFUNCTION("""COMPUTED_VALUE"""),"zál.")</f>
        <v>zál.</v>
      </c>
      <c r="BF77" s="15" t="str">
        <f>IFERROR(__xludf.DUMMYFUNCTION("""COMPUTED_VALUE"""),"hod.")</f>
        <v>hod.</v>
      </c>
      <c r="BG77" s="16" t="str">
        <f>IFERROR(__xludf.DUMMYFUNCTION("""COMPUTED_VALUE"""),"zál.")</f>
        <v>zál.</v>
      </c>
      <c r="BH77" s="15" t="str">
        <f>IFERROR(__xludf.DUMMYFUNCTION("""COMPUTED_VALUE"""),"hod.")</f>
        <v>hod.</v>
      </c>
      <c r="BI77" s="16" t="str">
        <f>IFERROR(__xludf.DUMMYFUNCTION("""COMPUTED_VALUE"""),"zál.")</f>
        <v>zál.</v>
      </c>
      <c r="BJ77" s="15" t="str">
        <f>IFERROR(__xludf.DUMMYFUNCTION("""COMPUTED_VALUE"""),"hod.")</f>
        <v>hod.</v>
      </c>
      <c r="BK77" s="16" t="str">
        <f>IFERROR(__xludf.DUMMYFUNCTION("""COMPUTED_VALUE"""),"zál.")</f>
        <v>zál.</v>
      </c>
      <c r="BL77" s="4"/>
    </row>
    <row r="78">
      <c r="A78" s="18" t="str">
        <f>IFERROR(__xludf.DUMMYFUNCTION("""COMPUTED_VALUE"""),"Stanislav Roth")</f>
        <v>Stanislav Roth</v>
      </c>
      <c r="B78" s="15"/>
      <c r="C78" s="16"/>
      <c r="D78" s="15"/>
      <c r="E78" s="16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4"/>
    </row>
    <row r="79">
      <c r="A79" s="19" t="str">
        <f>IFERROR(__xludf.DUMMYFUNCTION("""COMPUTED_VALUE"""),"Anastasia Rothová")</f>
        <v>Anastasia Rothová</v>
      </c>
      <c r="B79" s="15"/>
      <c r="C79" s="16"/>
      <c r="D79" s="15">
        <f>IFERROR(__xludf.DUMMYFUNCTION("""COMPUTED_VALUE"""),9.0)</f>
        <v>9</v>
      </c>
      <c r="E79" s="16"/>
      <c r="F79" s="15">
        <f>IFERROR(__xludf.DUMMYFUNCTION("""COMPUTED_VALUE"""),5.0)</f>
        <v>5</v>
      </c>
      <c r="G79" s="16"/>
      <c r="H79" s="15">
        <f>IFERROR(__xludf.DUMMYFUNCTION("""COMPUTED_VALUE"""),8.0)</f>
        <v>8</v>
      </c>
      <c r="I79" s="16"/>
      <c r="J79" s="15"/>
      <c r="K79" s="16"/>
      <c r="L79" s="15"/>
      <c r="M79" s="16"/>
      <c r="N79" s="15"/>
      <c r="O79" s="16"/>
      <c r="P79" s="15">
        <f>IFERROR(__xludf.DUMMYFUNCTION("""COMPUTED_VALUE"""),8.0)</f>
        <v>8</v>
      </c>
      <c r="Q79" s="16"/>
      <c r="R79" s="15">
        <f>IFERROR(__xludf.DUMMYFUNCTION("""COMPUTED_VALUE"""),8.0)</f>
        <v>8</v>
      </c>
      <c r="S79" s="16"/>
      <c r="T79" s="15">
        <f>IFERROR(__xludf.DUMMYFUNCTION("""COMPUTED_VALUE"""),10.0)</f>
        <v>10</v>
      </c>
      <c r="U79" s="16"/>
      <c r="V79" s="15">
        <f>IFERROR(__xludf.DUMMYFUNCTION("""COMPUTED_VALUE"""),10.0)</f>
        <v>10</v>
      </c>
      <c r="W79" s="16">
        <f>IFERROR(__xludf.DUMMYFUNCTION("""COMPUTED_VALUE"""),1000.0)</f>
        <v>1000</v>
      </c>
      <c r="X79" s="15"/>
      <c r="Y79" s="16"/>
      <c r="Z79" s="15">
        <f>IFERROR(__xludf.DUMMYFUNCTION("""COMPUTED_VALUE"""),15.0)</f>
        <v>15</v>
      </c>
      <c r="AA79" s="16"/>
      <c r="AB79" s="15"/>
      <c r="AC79" s="16"/>
      <c r="AD79" s="15">
        <f>IFERROR(__xludf.DUMMYFUNCTION("""COMPUTED_VALUE"""),7.0)</f>
        <v>7</v>
      </c>
      <c r="AE79" s="16"/>
      <c r="AF79" s="15">
        <f>IFERROR(__xludf.DUMMYFUNCTION("""COMPUTED_VALUE"""),6.0)</f>
        <v>6</v>
      </c>
      <c r="AG79" s="16"/>
      <c r="AH79" s="15">
        <f>IFERROR(__xludf.DUMMYFUNCTION("""COMPUTED_VALUE"""),7.0)</f>
        <v>7</v>
      </c>
      <c r="AI79" s="16"/>
      <c r="AJ79" s="15">
        <f>IFERROR(__xludf.DUMMYFUNCTION("""COMPUTED_VALUE"""),7.0)</f>
        <v>7</v>
      </c>
      <c r="AK79" s="16"/>
      <c r="AL79" s="15">
        <f>IFERROR(__xludf.DUMMYFUNCTION("""COMPUTED_VALUE"""),6.0)</f>
        <v>6</v>
      </c>
      <c r="AM79" s="16"/>
      <c r="AN79" s="15"/>
      <c r="AO79" s="16"/>
      <c r="AP79" s="15">
        <f>IFERROR(__xludf.DUMMYFUNCTION("""COMPUTED_VALUE"""),6.0)</f>
        <v>6</v>
      </c>
      <c r="AQ79" s="16"/>
      <c r="AR79" s="15">
        <f>IFERROR(__xludf.DUMMYFUNCTION("""COMPUTED_VALUE"""),6.0)</f>
        <v>6</v>
      </c>
      <c r="AS79" s="16"/>
      <c r="AT79" s="15">
        <f>IFERROR(__xludf.DUMMYFUNCTION("""COMPUTED_VALUE"""),6.0)</f>
        <v>6</v>
      </c>
      <c r="AU79" s="16"/>
      <c r="AV79" s="15">
        <f>IFERROR(__xludf.DUMMYFUNCTION("""COMPUTED_VALUE"""),12.0)</f>
        <v>12</v>
      </c>
      <c r="AW79" s="16"/>
      <c r="AX79" s="15">
        <f>IFERROR(__xludf.DUMMYFUNCTION("""COMPUTED_VALUE"""),6.0)</f>
        <v>6</v>
      </c>
      <c r="AY79" s="16"/>
      <c r="AZ79" s="15"/>
      <c r="BA79" s="16"/>
      <c r="BB79" s="15">
        <f>IFERROR(__xludf.DUMMYFUNCTION("""COMPUTED_VALUE"""),7.0)</f>
        <v>7</v>
      </c>
      <c r="BC79" s="16">
        <f>IFERROR(__xludf.DUMMYFUNCTION("""COMPUTED_VALUE"""),1000.0)</f>
        <v>1000</v>
      </c>
      <c r="BD79" s="15"/>
      <c r="BE79" s="16"/>
      <c r="BF79" s="15">
        <f>IFERROR(__xludf.DUMMYFUNCTION("""COMPUTED_VALUE"""),6.0)</f>
        <v>6</v>
      </c>
      <c r="BG79" s="16"/>
      <c r="BH79" s="15">
        <f>IFERROR(__xludf.DUMMYFUNCTION("""COMPUTED_VALUE"""),8.0)</f>
        <v>8</v>
      </c>
      <c r="BI79" s="16"/>
      <c r="BJ79" s="15">
        <f>IFERROR(__xludf.DUMMYFUNCTION("""COMPUTED_VALUE"""),7.0)</f>
        <v>7</v>
      </c>
      <c r="BK79" s="16"/>
      <c r="BL79" s="4"/>
    </row>
    <row r="80">
      <c r="A80" s="14" t="str">
        <f>IFERROR(__xludf.DUMMYFUNCTION("""COMPUTED_VALUE"""),"Petr Wolf")</f>
        <v>Petr Wolf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4"/>
    </row>
    <row r="81">
      <c r="A81" s="14" t="str">
        <f>IFERROR(__xludf.DUMMYFUNCTION("""COMPUTED_VALUE"""),"David Kropáč")</f>
        <v>David Kropáč</v>
      </c>
      <c r="B81" s="15">
        <f>IFERROR(__xludf.DUMMYFUNCTION("""COMPUTED_VALUE"""),14.0)</f>
        <v>14</v>
      </c>
      <c r="C81" s="16"/>
      <c r="D81" s="15">
        <f>IFERROR(__xludf.DUMMYFUNCTION("""COMPUTED_VALUE"""),6.0)</f>
        <v>6</v>
      </c>
      <c r="E81" s="16"/>
      <c r="F81" s="15">
        <f>IFERROR(__xludf.DUMMYFUNCTION("""COMPUTED_VALUE"""),10.0)</f>
        <v>10</v>
      </c>
      <c r="G81" s="16"/>
      <c r="H81" s="15">
        <f>IFERROR(__xludf.DUMMYFUNCTION("""COMPUTED_VALUE"""),10.0)</f>
        <v>10</v>
      </c>
      <c r="I81" s="16"/>
      <c r="J81" s="15">
        <f>IFERROR(__xludf.DUMMYFUNCTION("""COMPUTED_VALUE"""),13.0)</f>
        <v>13</v>
      </c>
      <c r="K81" s="16"/>
      <c r="L81" s="15">
        <f>IFERROR(__xludf.DUMMYFUNCTION("""COMPUTED_VALUE"""),15.0)</f>
        <v>15</v>
      </c>
      <c r="M81" s="16"/>
      <c r="N81" s="15">
        <f>IFERROR(__xludf.DUMMYFUNCTION("""COMPUTED_VALUE"""),15.0)</f>
        <v>15</v>
      </c>
      <c r="O81" s="16"/>
      <c r="P81" s="15">
        <f>IFERROR(__xludf.DUMMYFUNCTION("""COMPUTED_VALUE"""),7.0)</f>
        <v>7</v>
      </c>
      <c r="Q81" s="16">
        <f>IFERROR(__xludf.DUMMYFUNCTION("""COMPUTED_VALUE"""),2500.0)</f>
        <v>2500</v>
      </c>
      <c r="R81" s="15">
        <f>IFERROR(__xludf.DUMMYFUNCTION("""COMPUTED_VALUE"""),7.0)</f>
        <v>7</v>
      </c>
      <c r="S81" s="16"/>
      <c r="T81" s="15">
        <f>IFERROR(__xludf.DUMMYFUNCTION("""COMPUTED_VALUE"""),14.0)</f>
        <v>14</v>
      </c>
      <c r="U81" s="16"/>
      <c r="V81" s="15">
        <f>IFERROR(__xludf.DUMMYFUNCTION("""COMPUTED_VALUE"""),8.0)</f>
        <v>8</v>
      </c>
      <c r="W81" s="16"/>
      <c r="X81" s="15">
        <f>IFERROR(__xludf.DUMMYFUNCTION("""COMPUTED_VALUE"""),13.0)</f>
        <v>13</v>
      </c>
      <c r="Y81" s="16">
        <f>IFERROR(__xludf.DUMMYFUNCTION("""COMPUTED_VALUE"""),17300.0)</f>
        <v>17300</v>
      </c>
      <c r="Z81" s="15"/>
      <c r="AA81" s="16"/>
      <c r="AB81" s="15">
        <f>IFERROR(__xludf.DUMMYFUNCTION("""COMPUTED_VALUE"""),15.0)</f>
        <v>15</v>
      </c>
      <c r="AC81" s="16"/>
      <c r="AD81" s="15">
        <f>IFERROR(__xludf.DUMMYFUNCTION("""COMPUTED_VALUE"""),8.0)</f>
        <v>8</v>
      </c>
      <c r="AE81" s="16"/>
      <c r="AF81" s="15">
        <f>IFERROR(__xludf.DUMMYFUNCTION("""COMPUTED_VALUE"""),10.0)</f>
        <v>10</v>
      </c>
      <c r="AG81" s="16"/>
      <c r="AH81" s="15">
        <f>IFERROR(__xludf.DUMMYFUNCTION("""COMPUTED_VALUE"""),10.0)</f>
        <v>10</v>
      </c>
      <c r="AI81" s="16"/>
      <c r="AJ81" s="15">
        <f>IFERROR(__xludf.DUMMYFUNCTION("""COMPUTED_VALUE"""),11.0)</f>
        <v>11</v>
      </c>
      <c r="AK81" s="16"/>
      <c r="AL81" s="15">
        <f>IFERROR(__xludf.DUMMYFUNCTION("""COMPUTED_VALUE"""),8.0)</f>
        <v>8</v>
      </c>
      <c r="AM81" s="16"/>
      <c r="AN81" s="15">
        <f>IFERROR(__xludf.DUMMYFUNCTION("""COMPUTED_VALUE"""),15.0)</f>
        <v>15</v>
      </c>
      <c r="AO81" s="16"/>
      <c r="AP81" s="15">
        <f>IFERROR(__xludf.DUMMYFUNCTION("""COMPUTED_VALUE"""),9.0)</f>
        <v>9</v>
      </c>
      <c r="AQ81" s="16"/>
      <c r="AR81" s="15">
        <f>IFERROR(__xludf.DUMMYFUNCTION("""COMPUTED_VALUE"""),10.0)</f>
        <v>10</v>
      </c>
      <c r="AS81" s="16"/>
      <c r="AT81" s="15">
        <f>IFERROR(__xludf.DUMMYFUNCTION("""COMPUTED_VALUE"""),9.0)</f>
        <v>9</v>
      </c>
      <c r="AU81" s="16"/>
      <c r="AV81" s="15">
        <f>IFERROR(__xludf.DUMMYFUNCTION("""COMPUTED_VALUE"""),9.0)</f>
        <v>9</v>
      </c>
      <c r="AW81" s="16"/>
      <c r="AX81" s="15">
        <f>IFERROR(__xludf.DUMMYFUNCTION("""COMPUTED_VALUE"""),12.0)</f>
        <v>12</v>
      </c>
      <c r="AY81" s="16"/>
      <c r="AZ81" s="15">
        <f>IFERROR(__xludf.DUMMYFUNCTION("""COMPUTED_VALUE"""),13.0)</f>
        <v>13</v>
      </c>
      <c r="BA81" s="16">
        <f>IFERROR(__xludf.DUMMYFUNCTION("""COMPUTED_VALUE"""),20000.0)</f>
        <v>20000</v>
      </c>
      <c r="BB81" s="15"/>
      <c r="BC81" s="16"/>
      <c r="BD81" s="15">
        <f>IFERROR(__xludf.DUMMYFUNCTION("""COMPUTED_VALUE"""),15.0)</f>
        <v>15</v>
      </c>
      <c r="BE81" s="16"/>
      <c r="BF81" s="15">
        <f>IFERROR(__xludf.DUMMYFUNCTION("""COMPUTED_VALUE"""),9.0)</f>
        <v>9</v>
      </c>
      <c r="BG81" s="16"/>
      <c r="BH81" s="15">
        <f>IFERROR(__xludf.DUMMYFUNCTION("""COMPUTED_VALUE"""),9.0)</f>
        <v>9</v>
      </c>
      <c r="BI81" s="16"/>
      <c r="BJ81" s="15">
        <f>IFERROR(__xludf.DUMMYFUNCTION("""COMPUTED_VALUE"""),12.0)</f>
        <v>12</v>
      </c>
      <c r="BK81" s="16"/>
      <c r="BL81" s="4"/>
    </row>
    <row r="82">
      <c r="A82" s="14" t="str">
        <f>IFERROR(__xludf.DUMMYFUNCTION("""COMPUTED_VALUE"""),"Oksana Dynysenko")</f>
        <v>Oksana Dynysenko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4"/>
    </row>
    <row r="83">
      <c r="A83" s="14" t="str">
        <f>IFERROR(__xludf.DUMMYFUNCTION("""COMPUTED_VALUE"""),"Filip Štěrba")</f>
        <v>Filip Štěrba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IFERROR(__xludf.DUMMYFUNCTION("""COMPUTED_VALUE"""),"Yana Nynyk")</f>
        <v>Yana Nynyk</v>
      </c>
      <c r="B84" s="15"/>
      <c r="C84" s="16"/>
      <c r="D84" s="15"/>
      <c r="E84" s="16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/>
      <c r="AS84" s="16"/>
      <c r="AT84" s="15"/>
      <c r="AU84" s="16"/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4"/>
    </row>
    <row r="85">
      <c r="A85" s="14" t="str">
        <f>IFERROR(__xludf.DUMMYFUNCTION("""COMPUTED_VALUE"""),"Vojtěch Fux")</f>
        <v>Vojtěch Fux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>
        <f>IFERROR(__xludf.DUMMYFUNCTION("""COMPUTED_VALUE"""),10.0)</f>
        <v>10</v>
      </c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IFERROR(__xludf.DUMMYFUNCTION("""COMPUTED_VALUE"""),"Daniel Fux")</f>
        <v>Daniel Fux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IFERROR(__xludf.DUMMYFUNCTION("""COMPUTED_VALUE"""),"Radim Dvořák")</f>
        <v>Radim Dvořák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4"/>
    </row>
    <row r="88">
      <c r="A88" s="14" t="str">
        <f>IFERROR(__xludf.DUMMYFUNCTION("""COMPUTED_VALUE"""),"Vladimír Dudkin")</f>
        <v>Vladimír Dudkin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4"/>
    </row>
    <row r="89">
      <c r="A89" s="14" t="str">
        <f>IFERROR(__xludf.DUMMYFUNCTION("""COMPUTED_VALUE"""),"Jakub Kouřimský")</f>
        <v>Jakub Kouřimský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4"/>
    </row>
    <row r="90">
      <c r="A90" s="14" t="str">
        <f>IFERROR(__xludf.DUMMYFUNCTION("""COMPUTED_VALUE"""),"Filip Fux")</f>
        <v>Filip Fux</v>
      </c>
      <c r="B90" s="15"/>
      <c r="C90" s="16"/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>
        <f>IFERROR(__xludf.DUMMYFUNCTION("""COMPUTED_VALUE"""),9.0)</f>
        <v>9</v>
      </c>
      <c r="W90" s="16"/>
      <c r="X90" s="15">
        <f>IFERROR(__xludf.DUMMYFUNCTION("""COMPUTED_VALUE"""),10.0)</f>
        <v>10</v>
      </c>
      <c r="Y90" s="16"/>
      <c r="Z90" s="15">
        <f>IFERROR(__xludf.DUMMYFUNCTION("""COMPUTED_VALUE"""),8.0)</f>
        <v>8</v>
      </c>
      <c r="AA90" s="16"/>
      <c r="AB90" s="15">
        <f>IFERROR(__xludf.DUMMYFUNCTION("""COMPUTED_VALUE"""),8.0)</f>
        <v>8</v>
      </c>
      <c r="AC90" s="16"/>
      <c r="AD90" s="15">
        <f>IFERROR(__xludf.DUMMYFUNCTION("""COMPUTED_VALUE"""),6.0)</f>
        <v>6</v>
      </c>
      <c r="AE90" s="16"/>
      <c r="AF90" s="15">
        <f>IFERROR(__xludf.DUMMYFUNCTION("""COMPUTED_VALUE"""),7.5)</f>
        <v>7.5</v>
      </c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>
        <f>IFERROR(__xludf.DUMMYFUNCTION("""COMPUTED_VALUE"""),6.0)</f>
        <v>6</v>
      </c>
      <c r="AY90" s="16"/>
      <c r="AZ90" s="15">
        <f>IFERROR(__xludf.DUMMYFUNCTION("""COMPUTED_VALUE"""),3.0)</f>
        <v>3</v>
      </c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IFERROR(__xludf.DUMMYFUNCTION("""COMPUTED_VALUE"""),"Martin Štěpánek")</f>
        <v>Martin Štěpánek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IFERROR(__xludf.DUMMYFUNCTION("""COMPUTED_VALUE"""),"Jakub Ljuta")</f>
        <v>Jakub Ljuta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IFERROR(__xludf.DUMMYFUNCTION("""COMPUTED_VALUE"""),"Nadiia Doroshenko")</f>
        <v>Nadiia Doroshenko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IFERROR(__xludf.DUMMYFUNCTION("""COMPUTED_VALUE"""),"Lucie Nováková")</f>
        <v>Lucie Nováková</v>
      </c>
      <c r="B94" s="15">
        <f>IFERROR(__xludf.DUMMYFUNCTION("""COMPUTED_VALUE"""),8.0)</f>
        <v>8</v>
      </c>
      <c r="C94" s="16"/>
      <c r="D94" s="15"/>
      <c r="E94" s="16"/>
      <c r="F94" s="15">
        <f>IFERROR(__xludf.DUMMYFUNCTION("""COMPUTED_VALUE"""),7.0)</f>
        <v>7</v>
      </c>
      <c r="G94" s="16"/>
      <c r="H94" s="15"/>
      <c r="I94" s="16"/>
      <c r="J94" s="15">
        <f>IFERROR(__xludf.DUMMYFUNCTION("""COMPUTED_VALUE"""),7.0)</f>
        <v>7</v>
      </c>
      <c r="K94" s="16"/>
      <c r="L94" s="15">
        <f>IFERROR(__xludf.DUMMYFUNCTION("""COMPUTED_VALUE"""),8.0)</f>
        <v>8</v>
      </c>
      <c r="M94" s="16"/>
      <c r="N94" s="15">
        <f>IFERROR(__xludf.DUMMYFUNCTION("""COMPUTED_VALUE"""),10.0)</f>
        <v>10</v>
      </c>
      <c r="O94" s="16"/>
      <c r="P94" s="15">
        <f>IFERROR(__xludf.DUMMYFUNCTION("""COMPUTED_VALUE"""),10.0)</f>
        <v>10</v>
      </c>
      <c r="Q94" s="16"/>
      <c r="R94" s="15">
        <f>IFERROR(__xludf.DUMMYFUNCTION("""COMPUTED_VALUE"""),6.0)</f>
        <v>6</v>
      </c>
      <c r="S94" s="16"/>
      <c r="T94" s="15">
        <f>IFERROR(__xludf.DUMMYFUNCTION("""COMPUTED_VALUE"""),5.0)</f>
        <v>5</v>
      </c>
      <c r="U94" s="16"/>
      <c r="V94" s="15"/>
      <c r="W94" s="16"/>
      <c r="X94" s="15"/>
      <c r="Y94" s="16"/>
      <c r="Z94" s="15"/>
      <c r="AA94" s="16"/>
      <c r="AB94" s="15">
        <f>IFERROR(__xludf.DUMMYFUNCTION("""COMPUTED_VALUE"""),8.0)</f>
        <v>8</v>
      </c>
      <c r="AC94" s="16"/>
      <c r="AD94" s="15">
        <f>IFERROR(__xludf.DUMMYFUNCTION("""COMPUTED_VALUE"""),6.0)</f>
        <v>6</v>
      </c>
      <c r="AE94" s="16"/>
      <c r="AF94" s="15">
        <f>IFERROR(__xludf.DUMMYFUNCTION("""COMPUTED_VALUE"""),8.5)</f>
        <v>8.5</v>
      </c>
      <c r="AG94" s="16"/>
      <c r="AH94" s="15">
        <f>IFERROR(__xludf.DUMMYFUNCTION("""COMPUTED_VALUE"""),8.0)</f>
        <v>8</v>
      </c>
      <c r="AI94" s="16"/>
      <c r="AJ94" s="15">
        <f>IFERROR(__xludf.DUMMYFUNCTION("""COMPUTED_VALUE"""),7.0)</f>
        <v>7</v>
      </c>
      <c r="AK94" s="16"/>
      <c r="AL94" s="15">
        <f>IFERROR(__xludf.DUMMYFUNCTION("""COMPUTED_VALUE"""),8.5)</f>
        <v>8.5</v>
      </c>
      <c r="AM94" s="16"/>
      <c r="AN94" s="15">
        <f>IFERROR(__xludf.DUMMYFUNCTION("""COMPUTED_VALUE"""),7.0)</f>
        <v>7</v>
      </c>
      <c r="AO94" s="16">
        <f>IFERROR(__xludf.DUMMYFUNCTION("""COMPUTED_VALUE"""),1000.0)</f>
        <v>1000</v>
      </c>
      <c r="AP94" s="15"/>
      <c r="AQ94" s="16"/>
      <c r="AR94" s="15">
        <f>IFERROR(__xludf.DUMMYFUNCTION("""COMPUTED_VALUE"""),5.5)</f>
        <v>5.5</v>
      </c>
      <c r="AS94" s="16"/>
      <c r="AT94" s="15">
        <f>IFERROR(__xludf.DUMMYFUNCTION("""COMPUTED_VALUE"""),6.0)</f>
        <v>6</v>
      </c>
      <c r="AU94" s="16"/>
      <c r="AV94" s="15"/>
      <c r="AW94" s="16"/>
      <c r="AX94" s="15"/>
      <c r="AY94" s="16"/>
      <c r="AZ94" s="15"/>
      <c r="BA94" s="16"/>
      <c r="BB94" s="15">
        <f>IFERROR(__xludf.DUMMYFUNCTION("""COMPUTED_VALUE"""),7.0)</f>
        <v>7</v>
      </c>
      <c r="BC94" s="16"/>
      <c r="BD94" s="15">
        <f>IFERROR(__xludf.DUMMYFUNCTION("""COMPUTED_VALUE"""),6.0)</f>
        <v>6</v>
      </c>
      <c r="BE94" s="16"/>
      <c r="BF94" s="15">
        <f>IFERROR(__xludf.DUMMYFUNCTION("""COMPUTED_VALUE"""),5.5)</f>
        <v>5.5</v>
      </c>
      <c r="BG94" s="16"/>
      <c r="BH94" s="15"/>
      <c r="BI94" s="16"/>
      <c r="BJ94" s="15"/>
      <c r="BK94" s="16"/>
      <c r="BL94" s="4"/>
    </row>
    <row r="95">
      <c r="A95" s="14"/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/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B99" s="4"/>
      <c r="C99" s="20"/>
      <c r="D99" s="4"/>
      <c r="E99" s="20"/>
      <c r="F99" s="4"/>
      <c r="G99" s="20"/>
      <c r="H99" s="4"/>
      <c r="I99" s="20"/>
      <c r="J99" s="4"/>
      <c r="K99" s="20"/>
      <c r="L99" s="4"/>
      <c r="M99" s="20"/>
      <c r="N99" s="4"/>
      <c r="O99" s="20"/>
      <c r="P99" s="4"/>
      <c r="Q99" s="20"/>
      <c r="R99" s="4"/>
      <c r="S99" s="20"/>
      <c r="T99" s="4"/>
      <c r="U99" s="20"/>
      <c r="V99" s="4"/>
      <c r="W99" s="20"/>
      <c r="X99" s="4"/>
      <c r="Y99" s="20"/>
      <c r="Z99" s="4"/>
      <c r="AA99" s="20"/>
      <c r="AB99" s="4"/>
      <c r="AC99" s="20"/>
      <c r="AD99" s="4"/>
      <c r="AE99" s="20"/>
      <c r="AF99" s="4"/>
      <c r="AG99" s="20"/>
      <c r="AH99" s="4"/>
      <c r="AI99" s="20"/>
      <c r="AJ99" s="4"/>
      <c r="AK99" s="20"/>
      <c r="AL99" s="4"/>
      <c r="AM99" s="20"/>
      <c r="AN99" s="4"/>
      <c r="AO99" s="20"/>
      <c r="AP99" s="4"/>
      <c r="AQ99" s="20"/>
      <c r="AR99" s="4"/>
      <c r="AS99" s="20"/>
      <c r="AT99" s="4"/>
      <c r="AU99" s="20"/>
      <c r="AV99" s="4"/>
      <c r="AW99" s="20"/>
      <c r="AX99" s="4"/>
      <c r="AY99" s="20"/>
      <c r="AZ99" s="4"/>
      <c r="BA99" s="20"/>
      <c r="BB99" s="4"/>
      <c r="BC99" s="20"/>
      <c r="BD99" s="4"/>
      <c r="BE99" s="20"/>
      <c r="BF99" s="4"/>
      <c r="BG99" s="20"/>
      <c r="BH99" s="4"/>
      <c r="BI99" s="20"/>
      <c r="BJ99" s="4"/>
      <c r="BK99" s="20"/>
      <c r="BL99" s="4"/>
    </row>
    <row r="100">
      <c r="B100" s="4"/>
      <c r="C100" s="20"/>
      <c r="D100" s="4"/>
      <c r="E100" s="20"/>
      <c r="F100" s="4"/>
      <c r="G100" s="20"/>
      <c r="H100" s="4"/>
      <c r="I100" s="20"/>
      <c r="J100" s="4"/>
      <c r="K100" s="20"/>
      <c r="L100" s="4"/>
      <c r="M100" s="20"/>
      <c r="N100" s="4"/>
      <c r="O100" s="20"/>
      <c r="P100" s="4"/>
      <c r="Q100" s="20"/>
      <c r="R100" s="4"/>
      <c r="S100" s="20"/>
      <c r="T100" s="4"/>
      <c r="U100" s="20"/>
      <c r="V100" s="4"/>
      <c r="W100" s="20"/>
      <c r="X100" s="4"/>
      <c r="Y100" s="20"/>
      <c r="Z100" s="4"/>
      <c r="AA100" s="20"/>
      <c r="AB100" s="4"/>
      <c r="AC100" s="20"/>
      <c r="AD100" s="4"/>
      <c r="AE100" s="20"/>
      <c r="AF100" s="4"/>
      <c r="AG100" s="20"/>
      <c r="AH100" s="4"/>
      <c r="AI100" s="20"/>
      <c r="AJ100" s="4"/>
      <c r="AK100" s="20"/>
      <c r="AL100" s="4"/>
      <c r="AM100" s="20"/>
      <c r="AN100" s="4"/>
      <c r="AO100" s="20"/>
      <c r="AP100" s="4"/>
      <c r="AQ100" s="20"/>
      <c r="AR100" s="4"/>
      <c r="AS100" s="20"/>
      <c r="AT100" s="4"/>
      <c r="AU100" s="20"/>
      <c r="AV100" s="4"/>
      <c r="AW100" s="20"/>
      <c r="AX100" s="4"/>
      <c r="AY100" s="20"/>
      <c r="AZ100" s="4"/>
      <c r="BA100" s="20"/>
      <c r="BB100" s="4"/>
      <c r="BC100" s="20"/>
      <c r="BD100" s="4"/>
      <c r="BE100" s="20"/>
      <c r="BF100" s="4"/>
      <c r="BG100" s="20"/>
      <c r="BH100" s="4"/>
      <c r="BI100" s="20"/>
      <c r="BJ100" s="4"/>
      <c r="BK100" s="20"/>
      <c r="BL100" s="4"/>
    </row>
    <row r="101">
      <c r="B101" s="4"/>
      <c r="C101" s="20"/>
      <c r="D101" s="4"/>
      <c r="E101" s="20"/>
      <c r="F101" s="4"/>
      <c r="G101" s="20"/>
      <c r="H101" s="4"/>
      <c r="I101" s="20"/>
      <c r="J101" s="4"/>
      <c r="K101" s="20"/>
      <c r="L101" s="4"/>
      <c r="M101" s="20"/>
      <c r="N101" s="4"/>
      <c r="O101" s="20"/>
      <c r="P101" s="4"/>
      <c r="Q101" s="20"/>
      <c r="R101" s="4"/>
      <c r="S101" s="20"/>
      <c r="T101" s="4"/>
      <c r="U101" s="20"/>
      <c r="V101" s="4"/>
      <c r="W101" s="20"/>
      <c r="X101" s="4"/>
      <c r="Y101" s="20"/>
      <c r="Z101" s="4"/>
      <c r="AA101" s="20"/>
      <c r="AB101" s="4"/>
      <c r="AC101" s="20"/>
      <c r="AD101" s="4"/>
      <c r="AE101" s="20"/>
      <c r="AF101" s="4"/>
      <c r="AG101" s="20"/>
      <c r="AH101" s="4"/>
      <c r="AI101" s="20"/>
      <c r="AJ101" s="4"/>
      <c r="AK101" s="20"/>
      <c r="AL101" s="4"/>
      <c r="AM101" s="20"/>
      <c r="AN101" s="4"/>
      <c r="AO101" s="20"/>
      <c r="AP101" s="4"/>
      <c r="AQ101" s="20"/>
      <c r="AR101" s="4"/>
      <c r="AS101" s="20"/>
      <c r="AT101" s="4"/>
      <c r="AU101" s="20"/>
      <c r="AV101" s="4"/>
      <c r="AW101" s="20"/>
      <c r="AX101" s="4"/>
      <c r="AY101" s="20"/>
      <c r="AZ101" s="4"/>
      <c r="BA101" s="20"/>
      <c r="BB101" s="4"/>
      <c r="BC101" s="20"/>
      <c r="BD101" s="4"/>
      <c r="BE101" s="20"/>
      <c r="BF101" s="4"/>
      <c r="BG101" s="20"/>
      <c r="BH101" s="4"/>
      <c r="BI101" s="20"/>
      <c r="BJ101" s="4"/>
      <c r="BK101" s="20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5" t="s">
        <v>5</v>
      </c>
      <c r="B1" s="3" t="s">
        <v>3</v>
      </c>
      <c r="BL1" s="4"/>
    </row>
    <row r="2">
      <c r="BL2" s="4"/>
    </row>
    <row r="3">
      <c r="A3" s="7" t="str">
        <f>IFERROR(__xludf.DUMMYFUNCTION("IMPORTRANGE(""https://docs.google.com/spreadsheets/d/15wwXIcKlVb5R0fExA6n10rmj5klE6q3SqcK15dy0yRA"", ""Přehled mzdy!BQ1:EA65"")"),"týden")</f>
        <v>týden</v>
      </c>
      <c r="B3" s="8">
        <f>IFERROR(__xludf.DUMMYFUNCTION("""COMPUTED_VALUE"""),27.0)</f>
        <v>27</v>
      </c>
      <c r="C3" s="9"/>
      <c r="D3" s="8">
        <f>IFERROR(__xludf.DUMMYFUNCTION("""COMPUTED_VALUE"""),27.0)</f>
        <v>27</v>
      </c>
      <c r="E3" s="9"/>
      <c r="F3" s="8">
        <f>IFERROR(__xludf.DUMMYFUNCTION("""COMPUTED_VALUE"""),27.0)</f>
        <v>27</v>
      </c>
      <c r="G3" s="9"/>
      <c r="H3" s="8">
        <f>IFERROR(__xludf.DUMMYFUNCTION("""COMPUTED_VALUE"""),27.0)</f>
        <v>27</v>
      </c>
      <c r="I3" s="9"/>
      <c r="J3" s="8">
        <f>IFERROR(__xludf.DUMMYFUNCTION("""COMPUTED_VALUE"""),27.0)</f>
        <v>27</v>
      </c>
      <c r="K3" s="9"/>
      <c r="L3" s="8">
        <f>IFERROR(__xludf.DUMMYFUNCTION("""COMPUTED_VALUE"""),28.0)</f>
        <v>28</v>
      </c>
      <c r="M3" s="9"/>
      <c r="N3" s="8">
        <f>IFERROR(__xludf.DUMMYFUNCTION("""COMPUTED_VALUE"""),28.0)</f>
        <v>28</v>
      </c>
      <c r="O3" s="9"/>
      <c r="P3" s="8">
        <f>IFERROR(__xludf.DUMMYFUNCTION("""COMPUTED_VALUE"""),28.0)</f>
        <v>28</v>
      </c>
      <c r="Q3" s="9"/>
      <c r="R3" s="8">
        <f>IFERROR(__xludf.DUMMYFUNCTION("""COMPUTED_VALUE"""),28.0)</f>
        <v>28</v>
      </c>
      <c r="S3" s="9"/>
      <c r="T3" s="8">
        <f>IFERROR(__xludf.DUMMYFUNCTION("""COMPUTED_VALUE"""),28.0)</f>
        <v>28</v>
      </c>
      <c r="U3" s="9"/>
      <c r="V3" s="8">
        <f>IFERROR(__xludf.DUMMYFUNCTION("""COMPUTED_VALUE"""),28.0)</f>
        <v>28</v>
      </c>
      <c r="W3" s="9"/>
      <c r="X3" s="8">
        <f>IFERROR(__xludf.DUMMYFUNCTION("""COMPUTED_VALUE"""),28.0)</f>
        <v>28</v>
      </c>
      <c r="Y3" s="9"/>
      <c r="Z3" s="8">
        <f>IFERROR(__xludf.DUMMYFUNCTION("""COMPUTED_VALUE"""),29.0)</f>
        <v>29</v>
      </c>
      <c r="AA3" s="9"/>
      <c r="AB3" s="8">
        <f>IFERROR(__xludf.DUMMYFUNCTION("""COMPUTED_VALUE"""),29.0)</f>
        <v>29</v>
      </c>
      <c r="AC3" s="9"/>
      <c r="AD3" s="8">
        <f>IFERROR(__xludf.DUMMYFUNCTION("""COMPUTED_VALUE"""),29.0)</f>
        <v>29</v>
      </c>
      <c r="AE3" s="9"/>
      <c r="AF3" s="8">
        <f>IFERROR(__xludf.DUMMYFUNCTION("""COMPUTED_VALUE"""),29.0)</f>
        <v>29</v>
      </c>
      <c r="AG3" s="9"/>
      <c r="AH3" s="8">
        <f>IFERROR(__xludf.DUMMYFUNCTION("""COMPUTED_VALUE"""),29.0)</f>
        <v>29</v>
      </c>
      <c r="AI3" s="9"/>
      <c r="AJ3" s="8">
        <f>IFERROR(__xludf.DUMMYFUNCTION("""COMPUTED_VALUE"""),29.0)</f>
        <v>29</v>
      </c>
      <c r="AK3" s="9"/>
      <c r="AL3" s="8">
        <f>IFERROR(__xludf.DUMMYFUNCTION("""COMPUTED_VALUE"""),29.0)</f>
        <v>29</v>
      </c>
      <c r="AM3" s="9"/>
      <c r="AN3" s="8">
        <f>IFERROR(__xludf.DUMMYFUNCTION("""COMPUTED_VALUE"""),30.0)</f>
        <v>30</v>
      </c>
      <c r="AO3" s="9"/>
      <c r="AP3" s="8">
        <f>IFERROR(__xludf.DUMMYFUNCTION("""COMPUTED_VALUE"""),30.0)</f>
        <v>30</v>
      </c>
      <c r="AQ3" s="9"/>
      <c r="AR3" s="8">
        <f>IFERROR(__xludf.DUMMYFUNCTION("""COMPUTED_VALUE"""),30.0)</f>
        <v>30</v>
      </c>
      <c r="AS3" s="9"/>
      <c r="AT3" s="8">
        <f>IFERROR(__xludf.DUMMYFUNCTION("""COMPUTED_VALUE"""),30.0)</f>
        <v>30</v>
      </c>
      <c r="AU3" s="9"/>
      <c r="AV3" s="8">
        <f>IFERROR(__xludf.DUMMYFUNCTION("""COMPUTED_VALUE"""),30.0)</f>
        <v>30</v>
      </c>
      <c r="AW3" s="9"/>
      <c r="AX3" s="8">
        <f>IFERROR(__xludf.DUMMYFUNCTION("""COMPUTED_VALUE"""),30.0)</f>
        <v>30</v>
      </c>
      <c r="AY3" s="9"/>
      <c r="AZ3" s="8">
        <f>IFERROR(__xludf.DUMMYFUNCTION("""COMPUTED_VALUE"""),30.0)</f>
        <v>30</v>
      </c>
      <c r="BA3" s="9"/>
      <c r="BB3" s="8">
        <f>IFERROR(__xludf.DUMMYFUNCTION("""COMPUTED_VALUE"""),31.0)</f>
        <v>31</v>
      </c>
      <c r="BC3" s="9"/>
      <c r="BD3" s="8">
        <f>IFERROR(__xludf.DUMMYFUNCTION("""COMPUTED_VALUE"""),31.0)</f>
        <v>31</v>
      </c>
      <c r="BE3" s="9"/>
      <c r="BF3" s="8">
        <f>IFERROR(__xludf.DUMMYFUNCTION("""COMPUTED_VALUE"""),31.0)</f>
        <v>31</v>
      </c>
      <c r="BG3" s="9"/>
      <c r="BH3" s="8">
        <f>IFERROR(__xludf.DUMMYFUNCTION("""COMPUTED_VALUE"""),31.0)</f>
        <v>31</v>
      </c>
      <c r="BI3" s="9"/>
      <c r="BJ3" s="8">
        <f>IFERROR(__xludf.DUMMYFUNCTION("""COMPUTED_VALUE"""),31.0)</f>
        <v>31</v>
      </c>
      <c r="BK3" s="9"/>
      <c r="BL3" s="4"/>
    </row>
    <row r="4">
      <c r="A4" s="10" t="str">
        <f>IFERROR(__xludf.DUMMYFUNCTION("""COMPUTED_VALUE"""),"datum")</f>
        <v>datum</v>
      </c>
      <c r="B4" s="11">
        <f>IFERROR(__xludf.DUMMYFUNCTION("""COMPUTED_VALUE"""),44013.0)</f>
        <v>44013</v>
      </c>
      <c r="C4" s="12"/>
      <c r="D4" s="11">
        <f>IFERROR(__xludf.DUMMYFUNCTION("""COMPUTED_VALUE"""),44014.0)</f>
        <v>44014</v>
      </c>
      <c r="E4" s="12"/>
      <c r="F4" s="11">
        <f>IFERROR(__xludf.DUMMYFUNCTION("""COMPUTED_VALUE"""),44015.0)</f>
        <v>44015</v>
      </c>
      <c r="G4" s="12"/>
      <c r="H4" s="11">
        <f>IFERROR(__xludf.DUMMYFUNCTION("""COMPUTED_VALUE"""),44016.0)</f>
        <v>44016</v>
      </c>
      <c r="I4" s="12"/>
      <c r="J4" s="11">
        <f>IFERROR(__xludf.DUMMYFUNCTION("""COMPUTED_VALUE"""),44017.0)</f>
        <v>44017</v>
      </c>
      <c r="K4" s="12"/>
      <c r="L4" s="11">
        <f>IFERROR(__xludf.DUMMYFUNCTION("""COMPUTED_VALUE"""),44018.0)</f>
        <v>44018</v>
      </c>
      <c r="M4" s="12"/>
      <c r="N4" s="11">
        <f>IFERROR(__xludf.DUMMYFUNCTION("""COMPUTED_VALUE"""),44019.0)</f>
        <v>44019</v>
      </c>
      <c r="O4" s="12"/>
      <c r="P4" s="11">
        <f>IFERROR(__xludf.DUMMYFUNCTION("""COMPUTED_VALUE"""),44020.0)</f>
        <v>44020</v>
      </c>
      <c r="Q4" s="12"/>
      <c r="R4" s="11">
        <f>IFERROR(__xludf.DUMMYFUNCTION("""COMPUTED_VALUE"""),44021.0)</f>
        <v>44021</v>
      </c>
      <c r="S4" s="12"/>
      <c r="T4" s="11">
        <f>IFERROR(__xludf.DUMMYFUNCTION("""COMPUTED_VALUE"""),44022.0)</f>
        <v>44022</v>
      </c>
      <c r="U4" s="12"/>
      <c r="V4" s="11">
        <f>IFERROR(__xludf.DUMMYFUNCTION("""COMPUTED_VALUE"""),44023.0)</f>
        <v>44023</v>
      </c>
      <c r="W4" s="12"/>
      <c r="X4" s="11">
        <f>IFERROR(__xludf.DUMMYFUNCTION("""COMPUTED_VALUE"""),44024.0)</f>
        <v>44024</v>
      </c>
      <c r="Y4" s="12"/>
      <c r="Z4" s="11">
        <f>IFERROR(__xludf.DUMMYFUNCTION("""COMPUTED_VALUE"""),44025.0)</f>
        <v>44025</v>
      </c>
      <c r="AA4" s="12"/>
      <c r="AB4" s="11">
        <f>IFERROR(__xludf.DUMMYFUNCTION("""COMPUTED_VALUE"""),44026.0)</f>
        <v>44026</v>
      </c>
      <c r="AC4" s="12"/>
      <c r="AD4" s="11">
        <f>IFERROR(__xludf.DUMMYFUNCTION("""COMPUTED_VALUE"""),44027.0)</f>
        <v>44027</v>
      </c>
      <c r="AE4" s="12"/>
      <c r="AF4" s="11">
        <f>IFERROR(__xludf.DUMMYFUNCTION("""COMPUTED_VALUE"""),44028.0)</f>
        <v>44028</v>
      </c>
      <c r="AG4" s="12"/>
      <c r="AH4" s="11">
        <f>IFERROR(__xludf.DUMMYFUNCTION("""COMPUTED_VALUE"""),44029.0)</f>
        <v>44029</v>
      </c>
      <c r="AI4" s="12"/>
      <c r="AJ4" s="11">
        <f>IFERROR(__xludf.DUMMYFUNCTION("""COMPUTED_VALUE"""),44030.0)</f>
        <v>44030</v>
      </c>
      <c r="AK4" s="12"/>
      <c r="AL4" s="11">
        <f>IFERROR(__xludf.DUMMYFUNCTION("""COMPUTED_VALUE"""),44031.0)</f>
        <v>44031</v>
      </c>
      <c r="AM4" s="12"/>
      <c r="AN4" s="11">
        <f>IFERROR(__xludf.DUMMYFUNCTION("""COMPUTED_VALUE"""),44032.0)</f>
        <v>44032</v>
      </c>
      <c r="AO4" s="12"/>
      <c r="AP4" s="11">
        <f>IFERROR(__xludf.DUMMYFUNCTION("""COMPUTED_VALUE"""),44033.0)</f>
        <v>44033</v>
      </c>
      <c r="AQ4" s="12"/>
      <c r="AR4" s="11">
        <f>IFERROR(__xludf.DUMMYFUNCTION("""COMPUTED_VALUE"""),44034.0)</f>
        <v>44034</v>
      </c>
      <c r="AS4" s="12"/>
      <c r="AT4" s="11">
        <f>IFERROR(__xludf.DUMMYFUNCTION("""COMPUTED_VALUE"""),44035.0)</f>
        <v>44035</v>
      </c>
      <c r="AU4" s="12"/>
      <c r="AV4" s="11">
        <f>IFERROR(__xludf.DUMMYFUNCTION("""COMPUTED_VALUE"""),44036.0)</f>
        <v>44036</v>
      </c>
      <c r="AW4" s="12"/>
      <c r="AX4" s="11">
        <f>IFERROR(__xludf.DUMMYFUNCTION("""COMPUTED_VALUE"""),44037.0)</f>
        <v>44037</v>
      </c>
      <c r="AY4" s="12"/>
      <c r="AZ4" s="11">
        <f>IFERROR(__xludf.DUMMYFUNCTION("""COMPUTED_VALUE"""),44038.0)</f>
        <v>44038</v>
      </c>
      <c r="BA4" s="12"/>
      <c r="BB4" s="11">
        <f>IFERROR(__xludf.DUMMYFUNCTION("""COMPUTED_VALUE"""),44039.0)</f>
        <v>44039</v>
      </c>
      <c r="BC4" s="12"/>
      <c r="BD4" s="11">
        <f>IFERROR(__xludf.DUMMYFUNCTION("""COMPUTED_VALUE"""),44040.0)</f>
        <v>44040</v>
      </c>
      <c r="BE4" s="12"/>
      <c r="BF4" s="11">
        <f>IFERROR(__xludf.DUMMYFUNCTION("""COMPUTED_VALUE"""),44041.0)</f>
        <v>44041</v>
      </c>
      <c r="BG4" s="12"/>
      <c r="BH4" s="11">
        <f>IFERROR(__xludf.DUMMYFUNCTION("""COMPUTED_VALUE"""),44042.0)</f>
        <v>44042</v>
      </c>
      <c r="BI4" s="12"/>
      <c r="BJ4" s="11">
        <f>IFERROR(__xludf.DUMMYFUNCTION("""COMPUTED_VALUE"""),44043.0)</f>
        <v>44043</v>
      </c>
      <c r="BK4" s="12"/>
      <c r="BL4" s="4"/>
    </row>
    <row r="5">
      <c r="A5" s="13" t="str">
        <f>IFERROR(__xludf.DUMMYFUNCTION("""COMPUTED_VALUE"""),"Kurýr")</f>
        <v>Kurýr</v>
      </c>
      <c r="B5" s="8" t="str">
        <f>IFERROR(__xludf.DUMMYFUNCTION("""COMPUTED_VALUE"""),"hod.")</f>
        <v>hod.</v>
      </c>
      <c r="C5" s="9" t="str">
        <f>IFERROR(__xludf.DUMMYFUNCTION("""COMPUTED_VALUE"""),"zál.")</f>
        <v>zál.</v>
      </c>
      <c r="D5" s="8" t="str">
        <f>IFERROR(__xludf.DUMMYFUNCTION("""COMPUTED_VALUE"""),"hod.")</f>
        <v>hod.</v>
      </c>
      <c r="E5" s="9" t="str">
        <f>IFERROR(__xludf.DUMMYFUNCTION("""COMPUTED_VALUE"""),"zál.")</f>
        <v>zál.</v>
      </c>
      <c r="F5" s="8" t="str">
        <f>IFERROR(__xludf.DUMMYFUNCTION("""COMPUTED_VALUE"""),"hod.")</f>
        <v>hod.</v>
      </c>
      <c r="G5" s="9" t="str">
        <f>IFERROR(__xludf.DUMMYFUNCTION("""COMPUTED_VALUE"""),"zál.")</f>
        <v>zál.</v>
      </c>
      <c r="H5" s="8" t="str">
        <f>IFERROR(__xludf.DUMMYFUNCTION("""COMPUTED_VALUE"""),"hod.")</f>
        <v>hod.</v>
      </c>
      <c r="I5" s="9" t="str">
        <f>IFERROR(__xludf.DUMMYFUNCTION("""COMPUTED_VALUE"""),"zál.")</f>
        <v>zál.</v>
      </c>
      <c r="J5" s="8" t="str">
        <f>IFERROR(__xludf.DUMMYFUNCTION("""COMPUTED_VALUE"""),"hod.")</f>
        <v>hod.</v>
      </c>
      <c r="K5" s="9" t="str">
        <f>IFERROR(__xludf.DUMMYFUNCTION("""COMPUTED_VALUE"""),"zál.")</f>
        <v>zál.</v>
      </c>
      <c r="L5" s="8" t="str">
        <f>IFERROR(__xludf.DUMMYFUNCTION("""COMPUTED_VALUE"""),"hod.")</f>
        <v>hod.</v>
      </c>
      <c r="M5" s="9" t="str">
        <f>IFERROR(__xludf.DUMMYFUNCTION("""COMPUTED_VALUE"""),"zál.")</f>
        <v>zál.</v>
      </c>
      <c r="N5" s="8" t="str">
        <f>IFERROR(__xludf.DUMMYFUNCTION("""COMPUTED_VALUE"""),"hod.")</f>
        <v>hod.</v>
      </c>
      <c r="O5" s="9" t="str">
        <f>IFERROR(__xludf.DUMMYFUNCTION("""COMPUTED_VALUE"""),"zál.")</f>
        <v>zál.</v>
      </c>
      <c r="P5" s="8" t="str">
        <f>IFERROR(__xludf.DUMMYFUNCTION("""COMPUTED_VALUE"""),"hod.")</f>
        <v>hod.</v>
      </c>
      <c r="Q5" s="9" t="str">
        <f>IFERROR(__xludf.DUMMYFUNCTION("""COMPUTED_VALUE"""),"zál.")</f>
        <v>zál.</v>
      </c>
      <c r="R5" s="8" t="str">
        <f>IFERROR(__xludf.DUMMYFUNCTION("""COMPUTED_VALUE"""),"hod.")</f>
        <v>hod.</v>
      </c>
      <c r="S5" s="9" t="str">
        <f>IFERROR(__xludf.DUMMYFUNCTION("""COMPUTED_VALUE"""),"zál.")</f>
        <v>zál.</v>
      </c>
      <c r="T5" s="8" t="str">
        <f>IFERROR(__xludf.DUMMYFUNCTION("""COMPUTED_VALUE"""),"hod.")</f>
        <v>hod.</v>
      </c>
      <c r="U5" s="9" t="str">
        <f>IFERROR(__xludf.DUMMYFUNCTION("""COMPUTED_VALUE"""),"zál.")</f>
        <v>zál.</v>
      </c>
      <c r="V5" s="8" t="str">
        <f>IFERROR(__xludf.DUMMYFUNCTION("""COMPUTED_VALUE"""),"hod.")</f>
        <v>hod.</v>
      </c>
      <c r="W5" s="9" t="str">
        <f>IFERROR(__xludf.DUMMYFUNCTION("""COMPUTED_VALUE"""),"zál.")</f>
        <v>zál.</v>
      </c>
      <c r="X5" s="8" t="str">
        <f>IFERROR(__xludf.DUMMYFUNCTION("""COMPUTED_VALUE"""),"hod.")</f>
        <v>hod.</v>
      </c>
      <c r="Y5" s="9" t="str">
        <f>IFERROR(__xludf.DUMMYFUNCTION("""COMPUTED_VALUE"""),"zál.")</f>
        <v>zál.</v>
      </c>
      <c r="Z5" s="8" t="str">
        <f>IFERROR(__xludf.DUMMYFUNCTION("""COMPUTED_VALUE"""),"hod.")</f>
        <v>hod.</v>
      </c>
      <c r="AA5" s="9" t="str">
        <f>IFERROR(__xludf.DUMMYFUNCTION("""COMPUTED_VALUE"""),"zál.")</f>
        <v>zál.</v>
      </c>
      <c r="AB5" s="8" t="str">
        <f>IFERROR(__xludf.DUMMYFUNCTION("""COMPUTED_VALUE"""),"hod.")</f>
        <v>hod.</v>
      </c>
      <c r="AC5" s="9" t="str">
        <f>IFERROR(__xludf.DUMMYFUNCTION("""COMPUTED_VALUE"""),"zál.")</f>
        <v>zál.</v>
      </c>
      <c r="AD5" s="8" t="str">
        <f>IFERROR(__xludf.DUMMYFUNCTION("""COMPUTED_VALUE"""),"hod.")</f>
        <v>hod.</v>
      </c>
      <c r="AE5" s="9" t="str">
        <f>IFERROR(__xludf.DUMMYFUNCTION("""COMPUTED_VALUE"""),"zál.")</f>
        <v>zál.</v>
      </c>
      <c r="AF5" s="8" t="str">
        <f>IFERROR(__xludf.DUMMYFUNCTION("""COMPUTED_VALUE"""),"hod.")</f>
        <v>hod.</v>
      </c>
      <c r="AG5" s="9" t="str">
        <f>IFERROR(__xludf.DUMMYFUNCTION("""COMPUTED_VALUE"""),"zál.")</f>
        <v>zál.</v>
      </c>
      <c r="AH5" s="8" t="str">
        <f>IFERROR(__xludf.DUMMYFUNCTION("""COMPUTED_VALUE"""),"hod.")</f>
        <v>hod.</v>
      </c>
      <c r="AI5" s="9" t="str">
        <f>IFERROR(__xludf.DUMMYFUNCTION("""COMPUTED_VALUE"""),"zál.")</f>
        <v>zál.</v>
      </c>
      <c r="AJ5" s="8" t="str">
        <f>IFERROR(__xludf.DUMMYFUNCTION("""COMPUTED_VALUE"""),"hod.")</f>
        <v>hod.</v>
      </c>
      <c r="AK5" s="9" t="str">
        <f>IFERROR(__xludf.DUMMYFUNCTION("""COMPUTED_VALUE"""),"zál.")</f>
        <v>zál.</v>
      </c>
      <c r="AL5" s="8" t="str">
        <f>IFERROR(__xludf.DUMMYFUNCTION("""COMPUTED_VALUE"""),"hod.")</f>
        <v>hod.</v>
      </c>
      <c r="AM5" s="9" t="str">
        <f>IFERROR(__xludf.DUMMYFUNCTION("""COMPUTED_VALUE"""),"zál.")</f>
        <v>zál.</v>
      </c>
      <c r="AN5" s="8" t="str">
        <f>IFERROR(__xludf.DUMMYFUNCTION("""COMPUTED_VALUE"""),"hod.")</f>
        <v>hod.</v>
      </c>
      <c r="AO5" s="9" t="str">
        <f>IFERROR(__xludf.DUMMYFUNCTION("""COMPUTED_VALUE"""),"zál.")</f>
        <v>zál.</v>
      </c>
      <c r="AP5" s="8" t="str">
        <f>IFERROR(__xludf.DUMMYFUNCTION("""COMPUTED_VALUE"""),"hod.")</f>
        <v>hod.</v>
      </c>
      <c r="AQ5" s="9" t="str">
        <f>IFERROR(__xludf.DUMMYFUNCTION("""COMPUTED_VALUE"""),"zál.")</f>
        <v>zál.</v>
      </c>
      <c r="AR5" s="8" t="str">
        <f>IFERROR(__xludf.DUMMYFUNCTION("""COMPUTED_VALUE"""),"hod.")</f>
        <v>hod.</v>
      </c>
      <c r="AS5" s="9" t="str">
        <f>IFERROR(__xludf.DUMMYFUNCTION("""COMPUTED_VALUE"""),"zál.")</f>
        <v>zál.</v>
      </c>
      <c r="AT5" s="8" t="str">
        <f>IFERROR(__xludf.DUMMYFUNCTION("""COMPUTED_VALUE"""),"hod.")</f>
        <v>hod.</v>
      </c>
      <c r="AU5" s="9" t="str">
        <f>IFERROR(__xludf.DUMMYFUNCTION("""COMPUTED_VALUE"""),"zál.")</f>
        <v>zál.</v>
      </c>
      <c r="AV5" s="8" t="str">
        <f>IFERROR(__xludf.DUMMYFUNCTION("""COMPUTED_VALUE"""),"hod.")</f>
        <v>hod.</v>
      </c>
      <c r="AW5" s="9" t="str">
        <f>IFERROR(__xludf.DUMMYFUNCTION("""COMPUTED_VALUE"""),"zál.")</f>
        <v>zál.</v>
      </c>
      <c r="AX5" s="8" t="str">
        <f>IFERROR(__xludf.DUMMYFUNCTION("""COMPUTED_VALUE"""),"hod.")</f>
        <v>hod.</v>
      </c>
      <c r="AY5" s="9" t="str">
        <f>IFERROR(__xludf.DUMMYFUNCTION("""COMPUTED_VALUE"""),"zál.")</f>
        <v>zál.</v>
      </c>
      <c r="AZ5" s="8" t="str">
        <f>IFERROR(__xludf.DUMMYFUNCTION("""COMPUTED_VALUE"""),"hod.")</f>
        <v>hod.</v>
      </c>
      <c r="BA5" s="9" t="str">
        <f>IFERROR(__xludf.DUMMYFUNCTION("""COMPUTED_VALUE"""),"zál.")</f>
        <v>zál.</v>
      </c>
      <c r="BB5" s="8" t="str">
        <f>IFERROR(__xludf.DUMMYFUNCTION("""COMPUTED_VALUE"""),"hod.")</f>
        <v>hod.</v>
      </c>
      <c r="BC5" s="9" t="str">
        <f>IFERROR(__xludf.DUMMYFUNCTION("""COMPUTED_VALUE"""),"zál.")</f>
        <v>zál.</v>
      </c>
      <c r="BD5" s="8" t="str">
        <f>IFERROR(__xludf.DUMMYFUNCTION("""COMPUTED_VALUE"""),"hod.")</f>
        <v>hod.</v>
      </c>
      <c r="BE5" s="9" t="str">
        <f>IFERROR(__xludf.DUMMYFUNCTION("""COMPUTED_VALUE"""),"zál.")</f>
        <v>zál.</v>
      </c>
      <c r="BF5" s="8" t="str">
        <f>IFERROR(__xludf.DUMMYFUNCTION("""COMPUTED_VALUE"""),"hod.")</f>
        <v>hod.</v>
      </c>
      <c r="BG5" s="9" t="str">
        <f>IFERROR(__xludf.DUMMYFUNCTION("""COMPUTED_VALUE"""),"zál.")</f>
        <v>zál.</v>
      </c>
      <c r="BH5" s="8" t="str">
        <f>IFERROR(__xludf.DUMMYFUNCTION("""COMPUTED_VALUE"""),"hod.")</f>
        <v>hod.</v>
      </c>
      <c r="BI5" s="9" t="str">
        <f>IFERROR(__xludf.DUMMYFUNCTION("""COMPUTED_VALUE"""),"zál.")</f>
        <v>zál.</v>
      </c>
      <c r="BJ5" s="8" t="str">
        <f>IFERROR(__xludf.DUMMYFUNCTION("""COMPUTED_VALUE"""),"hod.")</f>
        <v>hod.</v>
      </c>
      <c r="BK5" s="9" t="str">
        <f>IFERROR(__xludf.DUMMYFUNCTION("""COMPUTED_VALUE"""),"zál.")</f>
        <v>zál.</v>
      </c>
      <c r="BL5" s="4"/>
    </row>
    <row r="6">
      <c r="A6" s="14" t="str">
        <f>IFERROR(__xludf.DUMMYFUNCTION("""COMPUTED_VALUE"""),"Daniel Fux")</f>
        <v>Daniel Fux</v>
      </c>
      <c r="B6" s="15"/>
      <c r="C6" s="16"/>
      <c r="D6" s="15"/>
      <c r="E6" s="16"/>
      <c r="F6" s="15"/>
      <c r="G6" s="16"/>
      <c r="H6" s="15"/>
      <c r="I6" s="16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6"/>
      <c r="AB6" s="15"/>
      <c r="AC6" s="16"/>
      <c r="AD6" s="15"/>
      <c r="AE6" s="16"/>
      <c r="AF6" s="15"/>
      <c r="AG6" s="16"/>
      <c r="AH6" s="15"/>
      <c r="AI6" s="16"/>
      <c r="AJ6" s="15"/>
      <c r="AK6" s="16"/>
      <c r="AL6" s="15"/>
      <c r="AM6" s="16"/>
      <c r="AN6" s="15"/>
      <c r="AO6" s="16"/>
      <c r="AP6" s="15"/>
      <c r="AQ6" s="16"/>
      <c r="AR6" s="15"/>
      <c r="AS6" s="16"/>
      <c r="AT6" s="15"/>
      <c r="AU6" s="16"/>
      <c r="AV6" s="15"/>
      <c r="AW6" s="16"/>
      <c r="AX6" s="15"/>
      <c r="AY6" s="16"/>
      <c r="AZ6" s="15"/>
      <c r="BA6" s="16"/>
      <c r="BB6" s="15"/>
      <c r="BC6" s="16"/>
      <c r="BD6" s="15"/>
      <c r="BE6" s="16"/>
      <c r="BF6" s="15"/>
      <c r="BG6" s="16"/>
      <c r="BH6" s="15"/>
      <c r="BI6" s="16"/>
      <c r="BJ6" s="15"/>
      <c r="BK6" s="16"/>
      <c r="BL6" s="4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4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4"/>
    </row>
    <row r="9">
      <c r="A9" s="14" t="str">
        <f>IFERROR(__xludf.DUMMYFUNCTION("""COMPUTED_VALUE"""),"Nikola Adamová")</f>
        <v>Nikola Adamová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4"/>
    </row>
    <row r="10">
      <c r="A10" s="14" t="str">
        <f>IFERROR(__xludf.DUMMYFUNCTION("""COMPUTED_VALUE"""),"Václav Černý")</f>
        <v>Václav Černý</v>
      </c>
      <c r="B10" s="15">
        <f>IFERROR(__xludf.DUMMYFUNCTION("""COMPUTED_VALUE"""),8.0)</f>
        <v>8</v>
      </c>
      <c r="C10" s="16"/>
      <c r="D10" s="15">
        <f>IFERROR(__xludf.DUMMYFUNCTION("""COMPUTED_VALUE"""),14.5)</f>
        <v>14.5</v>
      </c>
      <c r="E10" s="16"/>
      <c r="F10" s="15">
        <f>IFERROR(__xludf.DUMMYFUNCTION("""COMPUTED_VALUE"""),5.5)</f>
        <v>5.5</v>
      </c>
      <c r="G10" s="16"/>
      <c r="H10" s="15"/>
      <c r="I10" s="16"/>
      <c r="J10" s="15"/>
      <c r="K10" s="16"/>
      <c r="L10" s="15"/>
      <c r="M10" s="16"/>
      <c r="N10" s="15">
        <f>IFERROR(__xludf.DUMMYFUNCTION("""COMPUTED_VALUE"""),13.5)</f>
        <v>13.5</v>
      </c>
      <c r="O10" s="16"/>
      <c r="P10" s="15"/>
      <c r="Q10" s="16"/>
      <c r="R10" s="15">
        <f>IFERROR(__xludf.DUMMYFUNCTION("""COMPUTED_VALUE"""),14.5)</f>
        <v>14.5</v>
      </c>
      <c r="S10" s="16"/>
      <c r="T10" s="15"/>
      <c r="U10" s="16"/>
      <c r="V10" s="15"/>
      <c r="W10" s="16"/>
      <c r="X10" s="15"/>
      <c r="Y10" s="16"/>
      <c r="Z10" s="15">
        <f>IFERROR(__xludf.DUMMYFUNCTION("""COMPUTED_VALUE"""),13.5)</f>
        <v>13.5</v>
      </c>
      <c r="AA10" s="16"/>
      <c r="AB10" s="15"/>
      <c r="AC10" s="16"/>
      <c r="AD10" s="15">
        <f>IFERROR(__xludf.DUMMYFUNCTION("""COMPUTED_VALUE"""),13.5)</f>
        <v>13.5</v>
      </c>
      <c r="AE10" s="16"/>
      <c r="AF10" s="15"/>
      <c r="AG10" s="16"/>
      <c r="AH10" s="15">
        <f>IFERROR(__xludf.DUMMYFUNCTION("""COMPUTED_VALUE"""),16.5)</f>
        <v>16.5</v>
      </c>
      <c r="AI10" s="16"/>
      <c r="AJ10" s="15">
        <f>IFERROR(__xludf.DUMMYFUNCTION("""COMPUTED_VALUE"""),5.0)</f>
        <v>5</v>
      </c>
      <c r="AK10" s="16"/>
      <c r="AL10" s="15"/>
      <c r="AM10" s="16"/>
      <c r="AN10" s="15"/>
      <c r="AO10" s="16"/>
      <c r="AP10" s="15">
        <f>IFERROR(__xludf.DUMMYFUNCTION("""COMPUTED_VALUE"""),7.5)</f>
        <v>7.5</v>
      </c>
      <c r="AQ10" s="16">
        <f>IFERROR(__xludf.DUMMYFUNCTION("""COMPUTED_VALUE"""),500.0)</f>
        <v>500</v>
      </c>
      <c r="AR10" s="15">
        <f>IFERROR(__xludf.DUMMYFUNCTION("""COMPUTED_VALUE"""),6.0)</f>
        <v>6</v>
      </c>
      <c r="AS10" s="16"/>
      <c r="AT10" s="15">
        <f>IFERROR(__xludf.DUMMYFUNCTION("""COMPUTED_VALUE"""),9.5)</f>
        <v>9.5</v>
      </c>
      <c r="AU10" s="16">
        <f>IFERROR(__xludf.DUMMYFUNCTION("""COMPUTED_VALUE"""),100.0)</f>
        <v>100</v>
      </c>
      <c r="AV10" s="15">
        <f>IFERROR(__xludf.DUMMYFUNCTION("""COMPUTED_VALUE"""),10.5)</f>
        <v>10.5</v>
      </c>
      <c r="AW10" s="16"/>
      <c r="AX10" s="15"/>
      <c r="AY10" s="16"/>
      <c r="AZ10" s="15"/>
      <c r="BA10" s="16"/>
      <c r="BB10" s="15"/>
      <c r="BC10" s="16"/>
      <c r="BD10" s="15">
        <f>IFERROR(__xludf.DUMMYFUNCTION("""COMPUTED_VALUE"""),7.5)</f>
        <v>7.5</v>
      </c>
      <c r="BE10" s="16"/>
      <c r="BF10" s="15">
        <f>IFERROR(__xludf.DUMMYFUNCTION("""COMPUTED_VALUE"""),6.0)</f>
        <v>6</v>
      </c>
      <c r="BG10" s="16"/>
      <c r="BH10" s="15">
        <f>IFERROR(__xludf.DUMMYFUNCTION("""COMPUTED_VALUE"""),14.5)</f>
        <v>14.5</v>
      </c>
      <c r="BI10" s="16"/>
      <c r="BJ10" s="15">
        <f>IFERROR(__xludf.DUMMYFUNCTION("""COMPUTED_VALUE"""),10.5)</f>
        <v>10.5</v>
      </c>
      <c r="BK10" s="16"/>
      <c r="BL10" s="4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4"/>
    </row>
    <row r="12">
      <c r="A12" s="14" t="str">
        <f>IFERROR(__xludf.DUMMYFUNCTION("""COMPUTED_VALUE"""),"Patrik Vild")</f>
        <v>Patrik Vild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4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IFERROR(__xludf.DUMMYFUNCTION("""COMPUTED_VALUE"""),"Peter Tomko")</f>
        <v>Peter Tomko</v>
      </c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4"/>
    </row>
    <row r="16">
      <c r="A16" s="14" t="str">
        <f>IFERROR(__xludf.DUMMYFUNCTION("""COMPUTED_VALUE"""),"Karolína Schejbalová")</f>
        <v>Karolína Schejbalová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IFERROR(__xludf.DUMMYFUNCTION("""COMPUTED_VALUE"""),"Bogdan - Mihai Strajescu")</f>
        <v>Bogdan - Mihai Strajescu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IFERROR(__xludf.DUMMYFUNCTION("""COMPUTED_VALUE"""),"William Simba")</f>
        <v>William Simba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>
        <f>IFERROR(__xludf.DUMMYFUNCTION("""COMPUTED_VALUE"""),8.5)</f>
        <v>8.5</v>
      </c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4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4"/>
    </row>
    <row r="21">
      <c r="A21" s="14" t="str">
        <f>IFERROR(__xludf.DUMMYFUNCTION("""COMPUTED_VALUE"""),"Martin Danč")</f>
        <v>Martin Danč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4"/>
    </row>
    <row r="22">
      <c r="A22" s="14" t="str">
        <f>IFERROR(__xludf.DUMMYFUNCTION("""COMPUTED_VALUE"""),"Pavel Hochman")</f>
        <v>Pavel Hochman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4"/>
    </row>
    <row r="24">
      <c r="A24" s="14" t="str">
        <f>IFERROR(__xludf.DUMMYFUNCTION("""COMPUTED_VALUE"""),"Martin Jurkovič")</f>
        <v>Martin Jurkovič</v>
      </c>
      <c r="B24" s="15"/>
      <c r="C24" s="16"/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4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>
        <f>IFERROR(__xludf.DUMMYFUNCTION("""COMPUTED_VALUE"""),12.0)</f>
        <v>12</v>
      </c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>
        <f>IFERROR(__xludf.DUMMYFUNCTION("""COMPUTED_VALUE"""),12.0)</f>
        <v>12</v>
      </c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>
        <f>IFERROR(__xludf.DUMMYFUNCTION("""COMPUTED_VALUE"""),7.5)</f>
        <v>7.5</v>
      </c>
      <c r="BC26" s="16"/>
      <c r="BD26" s="15"/>
      <c r="BE26" s="16"/>
      <c r="BF26" s="15">
        <f>IFERROR(__xludf.DUMMYFUNCTION("""COMPUTED_VALUE"""),6.0)</f>
        <v>6</v>
      </c>
      <c r="BG26" s="16"/>
      <c r="BH26" s="15"/>
      <c r="BI26" s="16"/>
      <c r="BJ26" s="15"/>
      <c r="BK26" s="16"/>
      <c r="BL26" s="4"/>
    </row>
    <row r="27">
      <c r="A27" s="14" t="str">
        <f>IFERROR(__xludf.DUMMYFUNCTION("""COMPUTED_VALUE"""),"Stanislav Roth st.")</f>
        <v>Stanislav Roth st.</v>
      </c>
      <c r="B27" s="15"/>
      <c r="C27" s="16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4"/>
    </row>
    <row r="30">
      <c r="A30" s="14" t="str">
        <f>IFERROR(__xludf.DUMMYFUNCTION("""COMPUTED_VALUE"""),"David Chysky")</f>
        <v>David Chysky</v>
      </c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4"/>
    </row>
    <row r="31">
      <c r="A31" s="14" t="str">
        <f>IFERROR(__xludf.DUMMYFUNCTION("""COMPUTED_VALUE"""),"Dominik Plodek")</f>
        <v>Dominik Plodek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4"/>
    </row>
    <row r="32">
      <c r="A32" s="14" t="str">
        <f>IFERROR(__xludf.DUMMYFUNCTION("""COMPUTED_VALUE"""),"Lukáš Viktora")</f>
        <v>Lukáš Viktora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4"/>
    </row>
    <row r="33">
      <c r="A33" s="14" t="str">
        <f>IFERROR(__xludf.DUMMYFUNCTION("""COMPUTED_VALUE"""),"Jan Jakub Šmejkal")</f>
        <v>Jan Jakub Šmejkal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IFERROR(__xludf.DUMMYFUNCTION("""COMPUTED_VALUE"""),"Miroslav Majtán")</f>
        <v>Miroslav Majtán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IFERROR(__xludf.DUMMYFUNCTION("""COMPUTED_VALUE"""),"Blanka Kouřimská")</f>
        <v>Blanka Kouřimská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IFERROR(__xludf.DUMMYFUNCTION("""COMPUTED_VALUE"""),"Vladimír Dudkin")</f>
        <v>Vladimír Dudkin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IFERROR(__xludf.DUMMYFUNCTION("""COMPUTED_VALUE"""),"Daniel Jaroš")</f>
        <v>Daniel Jaroš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IFERROR(__xludf.DUMMYFUNCTION("""COMPUTED_VALUE"""),"Vojtěch Sukdolák")</f>
        <v>Vojtěch Sukdolák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IFERROR(__xludf.DUMMYFUNCTION("""COMPUTED_VALUE"""),"Vít Káš")</f>
        <v>Vít Káš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IFERROR(__xludf.DUMMYFUNCTION("""COMPUTED_VALUE"""),"Tomáš Pavlišín")</f>
        <v>Tomáš Pavlišín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IFERROR(__xludf.DUMMYFUNCTION("""COMPUTED_VALUE"""),"Anthony Lightburn")</f>
        <v>Anthony Lightburn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4"/>
    </row>
    <row r="44">
      <c r="A44" s="14" t="str">
        <f>IFERROR(__xludf.DUMMYFUNCTION("""COMPUTED_VALUE"""),"Jan Beneš")</f>
        <v>Jan Beneš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IFERROR(__xludf.DUMMYFUNCTION("""COMPUTED_VALUE"""),"Jan Ťoupal")</f>
        <v>Jan Ťoupal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IFERROR(__xludf.DUMMYFUNCTION("""COMPUTED_VALUE"""),"Simon Kurčík")</f>
        <v>Simon Kurčík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IFERROR(__xludf.DUMMYFUNCTION("""COMPUTED_VALUE"""),"Jiří Frankl")</f>
        <v>Jiří Frankl</v>
      </c>
      <c r="B47" s="15">
        <f>IFERROR(__xludf.DUMMYFUNCTION("""COMPUTED_VALUE"""),4.0)</f>
        <v>4</v>
      </c>
      <c r="C47" s="16"/>
      <c r="D47" s="15"/>
      <c r="E47" s="16"/>
      <c r="F47" s="15">
        <f>IFERROR(__xludf.DUMMYFUNCTION("""COMPUTED_VALUE"""),10.0)</f>
        <v>10</v>
      </c>
      <c r="G47" s="16"/>
      <c r="H47" s="15">
        <f>IFERROR(__xludf.DUMMYFUNCTION("""COMPUTED_VALUE"""),14.0)</f>
        <v>14</v>
      </c>
      <c r="I47" s="16"/>
      <c r="J47" s="15">
        <f>IFERROR(__xludf.DUMMYFUNCTION("""COMPUTED_VALUE"""),8.5)</f>
        <v>8.5</v>
      </c>
      <c r="K47" s="16">
        <f>IFERROR(__xludf.DUMMYFUNCTION("""COMPUTED_VALUE"""),1000.0)</f>
        <v>1000</v>
      </c>
      <c r="L47" s="15"/>
      <c r="M47" s="16"/>
      <c r="N47" s="15"/>
      <c r="O47" s="16"/>
      <c r="P47" s="15">
        <f>IFERROR(__xludf.DUMMYFUNCTION("""COMPUTED_VALUE"""),14.0)</f>
        <v>14</v>
      </c>
      <c r="Q47" s="16"/>
      <c r="R47" s="15">
        <f>IFERROR(__xludf.DUMMYFUNCTION("""COMPUTED_VALUE"""),4.0)</f>
        <v>4</v>
      </c>
      <c r="S47" s="16"/>
      <c r="T47" s="15">
        <f>IFERROR(__xludf.DUMMYFUNCTION("""COMPUTED_VALUE"""),14.5)</f>
        <v>14.5</v>
      </c>
      <c r="U47" s="16"/>
      <c r="V47" s="15">
        <f>IFERROR(__xludf.DUMMYFUNCTION("""COMPUTED_VALUE"""),15.0)</f>
        <v>15</v>
      </c>
      <c r="W47" s="16"/>
      <c r="X47" s="15">
        <f>IFERROR(__xludf.DUMMYFUNCTION("""COMPUTED_VALUE"""),12.0)</f>
        <v>12</v>
      </c>
      <c r="Y47" s="16">
        <f>IFERROR(__xludf.DUMMYFUNCTION("""COMPUTED_VALUE"""),1000.0)</f>
        <v>1000</v>
      </c>
      <c r="Z47" s="15"/>
      <c r="AA47" s="16"/>
      <c r="AB47" s="15">
        <f>IFERROR(__xludf.DUMMYFUNCTION("""COMPUTED_VALUE"""),3.0)</f>
        <v>3</v>
      </c>
      <c r="AC47" s="16"/>
      <c r="AD47" s="15"/>
      <c r="AE47" s="16"/>
      <c r="AF47" s="15">
        <f>IFERROR(__xludf.DUMMYFUNCTION("""COMPUTED_VALUE"""),12.0)</f>
        <v>12</v>
      </c>
      <c r="AG47" s="16"/>
      <c r="AH47" s="15">
        <f>IFERROR(__xludf.DUMMYFUNCTION("""COMPUTED_VALUE"""),3.0)</f>
        <v>3</v>
      </c>
      <c r="AI47" s="16">
        <f>IFERROR(__xludf.DUMMYFUNCTION("""COMPUTED_VALUE"""),1000.0)</f>
        <v>1000</v>
      </c>
      <c r="AJ47" s="15">
        <f>IFERROR(__xludf.DUMMYFUNCTION("""COMPUTED_VALUE"""),7.5)</f>
        <v>7.5</v>
      </c>
      <c r="AK47" s="16"/>
      <c r="AL47" s="15">
        <f>IFERROR(__xludf.DUMMYFUNCTION("""COMPUTED_VALUE"""),13.0)</f>
        <v>13</v>
      </c>
      <c r="AM47" s="16"/>
      <c r="AN47" s="15"/>
      <c r="AO47" s="16"/>
      <c r="AP47" s="15">
        <f>IFERROR(__xludf.DUMMYFUNCTION("""COMPUTED_VALUE"""),13.0)</f>
        <v>13</v>
      </c>
      <c r="AQ47" s="16"/>
      <c r="AR47" s="15">
        <f>IFERROR(__xludf.DUMMYFUNCTION("""COMPUTED_VALUE"""),2.5)</f>
        <v>2.5</v>
      </c>
      <c r="AS47" s="16"/>
      <c r="AT47" s="15"/>
      <c r="AU47" s="16"/>
      <c r="AV47" s="15">
        <f>IFERROR(__xludf.DUMMYFUNCTION("""COMPUTED_VALUE"""),2.0)</f>
        <v>2</v>
      </c>
      <c r="AW47" s="16"/>
      <c r="AX47" s="15">
        <f>IFERROR(__xludf.DUMMYFUNCTION("""COMPUTED_VALUE"""),13.5)</f>
        <v>13.5</v>
      </c>
      <c r="AY47" s="16"/>
      <c r="AZ47" s="15">
        <f>IFERROR(__xludf.DUMMYFUNCTION("""COMPUTED_VALUE"""),12.5)</f>
        <v>12.5</v>
      </c>
      <c r="BA47" s="16">
        <f>IFERROR(__xludf.DUMMYFUNCTION("""COMPUTED_VALUE"""),1500.0)</f>
        <v>1500</v>
      </c>
      <c r="BB47" s="15">
        <f>IFERROR(__xludf.DUMMYFUNCTION("""COMPUTED_VALUE"""),12.0)</f>
        <v>12</v>
      </c>
      <c r="BC47" s="16"/>
      <c r="BD47" s="15">
        <f>IFERROR(__xludf.DUMMYFUNCTION("""COMPUTED_VALUE"""),11.0)</f>
        <v>11</v>
      </c>
      <c r="BE47" s="16"/>
      <c r="BF47" s="15">
        <f>IFERROR(__xludf.DUMMYFUNCTION("""COMPUTED_VALUE"""),7.5)</f>
        <v>7.5</v>
      </c>
      <c r="BG47" s="16"/>
      <c r="BH47" s="15">
        <f>IFERROR(__xludf.DUMMYFUNCTION("""COMPUTED_VALUE"""),5.0)</f>
        <v>5</v>
      </c>
      <c r="BI47" s="16">
        <f>IFERROR(__xludf.DUMMYFUNCTION("""COMPUTED_VALUE"""),100.0)</f>
        <v>100</v>
      </c>
      <c r="BJ47" s="15"/>
      <c r="BK47" s="16"/>
      <c r="BL47" s="4"/>
    </row>
    <row r="48">
      <c r="A48" s="14" t="str">
        <f>IFERROR(__xludf.DUMMYFUNCTION("""COMPUTED_VALUE"""),"Matěj Štolba")</f>
        <v>Matěj Štolba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IFERROR(__xludf.DUMMYFUNCTION("""COMPUTED_VALUE"""),"Michal Moročilo")</f>
        <v>Michal Moročilo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IFERROR(__xludf.DUMMYFUNCTION("""COMPUTED_VALUE"""),"Adam Petr")</f>
        <v>Adam Petr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IFERROR(__xludf.DUMMYFUNCTION("""COMPUTED_VALUE"""),"Savelij Vasylčenko")</f>
        <v>Savelij Vasylčenko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IFERROR(__xludf.DUMMYFUNCTION("""COMPUTED_VALUE"""),"Vojtěch Fux")</f>
        <v>Vojtěch Fux</v>
      </c>
      <c r="B54" s="15"/>
      <c r="C54" s="16"/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4"/>
    </row>
    <row r="55">
      <c r="A55" s="14" t="str">
        <f>IFERROR(__xludf.DUMMYFUNCTION("""COMPUTED_VALUE"""),"Michal Jiřík")</f>
        <v>Michal Jiřík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IFERROR(__xludf.DUMMYFUNCTION("""COMPUTED_VALUE"""),"Kateřina Machková")</f>
        <v>Kateřina Machková</v>
      </c>
      <c r="B56" s="15">
        <f>IFERROR(__xludf.DUMMYFUNCTION("""COMPUTED_VALUE"""),5.0)</f>
        <v>5</v>
      </c>
      <c r="C56" s="16"/>
      <c r="D56" s="15">
        <f>IFERROR(__xludf.DUMMYFUNCTION("""COMPUTED_VALUE"""),5.0)</f>
        <v>5</v>
      </c>
      <c r="E56" s="16"/>
      <c r="F56" s="15">
        <f>IFERROR(__xludf.DUMMYFUNCTION("""COMPUTED_VALUE"""),5.0)</f>
        <v>5</v>
      </c>
      <c r="G56" s="16"/>
      <c r="H56" s="15"/>
      <c r="I56" s="16"/>
      <c r="J56" s="15"/>
      <c r="K56" s="16"/>
      <c r="L56" s="15">
        <f>IFERROR(__xludf.DUMMYFUNCTION("""COMPUTED_VALUE"""),6.0)</f>
        <v>6</v>
      </c>
      <c r="M56" s="16"/>
      <c r="N56" s="15">
        <f>IFERROR(__xludf.DUMMYFUNCTION("""COMPUTED_VALUE"""),7.0)</f>
        <v>7</v>
      </c>
      <c r="O56" s="16"/>
      <c r="P56" s="15">
        <f>IFERROR(__xludf.DUMMYFUNCTION("""COMPUTED_VALUE"""),12.0)</f>
        <v>12</v>
      </c>
      <c r="Q56" s="16"/>
      <c r="R56" s="15">
        <f>IFERROR(__xludf.DUMMYFUNCTION("""COMPUTED_VALUE"""),5.0)</f>
        <v>5</v>
      </c>
      <c r="S56" s="16"/>
      <c r="T56" s="15">
        <f>IFERROR(__xludf.DUMMYFUNCTION("""COMPUTED_VALUE"""),5.0)</f>
        <v>5</v>
      </c>
      <c r="U56" s="16"/>
      <c r="V56" s="15"/>
      <c r="W56" s="16"/>
      <c r="X56" s="15"/>
      <c r="Y56" s="16"/>
      <c r="Z56" s="15">
        <f>IFERROR(__xludf.DUMMYFUNCTION("""COMPUTED_VALUE"""),7.5)</f>
        <v>7.5</v>
      </c>
      <c r="AA56" s="16"/>
      <c r="AB56" s="15">
        <f>IFERROR(__xludf.DUMMYFUNCTION("""COMPUTED_VALUE"""),12.0)</f>
        <v>12</v>
      </c>
      <c r="AC56" s="16"/>
      <c r="AD56" s="15"/>
      <c r="AE56" s="16"/>
      <c r="AF56" s="15">
        <f>IFERROR(__xludf.DUMMYFUNCTION("""COMPUTED_VALUE"""),13.0)</f>
        <v>13</v>
      </c>
      <c r="AG56" s="16"/>
      <c r="AH56" s="15">
        <f>IFERROR(__xludf.DUMMYFUNCTION("""COMPUTED_VALUE"""),8.0)</f>
        <v>8</v>
      </c>
      <c r="AI56" s="16"/>
      <c r="AJ56" s="15"/>
      <c r="AK56" s="16"/>
      <c r="AL56" s="15"/>
      <c r="AM56" s="16"/>
      <c r="AN56" s="15"/>
      <c r="AO56" s="16"/>
      <c r="AP56" s="15">
        <f>IFERROR(__xludf.DUMMYFUNCTION("""COMPUTED_VALUE"""),4.0)</f>
        <v>4</v>
      </c>
      <c r="AQ56" s="16"/>
      <c r="AR56" s="15">
        <f>IFERROR(__xludf.DUMMYFUNCTION("""COMPUTED_VALUE"""),13.0)</f>
        <v>13</v>
      </c>
      <c r="AS56" s="16"/>
      <c r="AT56" s="15"/>
      <c r="AU56" s="16"/>
      <c r="AV56" s="15">
        <f>IFERROR(__xludf.DUMMYFUNCTION("""COMPUTED_VALUE"""),7.0)</f>
        <v>7</v>
      </c>
      <c r="AW56" s="16">
        <f>IFERROR(__xludf.DUMMYFUNCTION("""COMPUTED_VALUE"""),100.0)</f>
        <v>100</v>
      </c>
      <c r="AX56" s="15"/>
      <c r="AY56" s="16"/>
      <c r="AZ56" s="15">
        <f>IFERROR(__xludf.DUMMYFUNCTION("""COMPUTED_VALUE"""),11.0)</f>
        <v>11</v>
      </c>
      <c r="BA56" s="16"/>
      <c r="BB56" s="15">
        <f>IFERROR(__xludf.DUMMYFUNCTION("""COMPUTED_VALUE"""),3.0)</f>
        <v>3</v>
      </c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IFERROR(__xludf.DUMMYFUNCTION("""COMPUTED_VALUE"""),"Marek Šimek")</f>
        <v>Marek Šimek</v>
      </c>
      <c r="B57" s="15"/>
      <c r="C57" s="16"/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/>
      <c r="BA57" s="16"/>
      <c r="BB57" s="15"/>
      <c r="BC57" s="16"/>
      <c r="BD57" s="15"/>
      <c r="BE57" s="16"/>
      <c r="BF57" s="15"/>
      <c r="BG57" s="16"/>
      <c r="BH57" s="15"/>
      <c r="BI57" s="16"/>
      <c r="BJ57" s="15"/>
      <c r="BK57" s="16"/>
      <c r="BL57" s="4"/>
    </row>
    <row r="58">
      <c r="A58" s="14" t="str">
        <f>IFERROR(__xludf.DUMMYFUNCTION("""COMPUTED_VALUE"""),"Lukáš Volf")</f>
        <v>Lukáš Volf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4"/>
    </row>
    <row r="60">
      <c r="A60" s="14" t="str">
        <f>IFERROR(__xludf.DUMMYFUNCTION("""COMPUTED_VALUE"""),"Damián Bradáč")</f>
        <v>Damián Bradáč</v>
      </c>
      <c r="B60" s="15"/>
      <c r="C60" s="16"/>
      <c r="D60" s="15">
        <f>IFERROR(__xludf.DUMMYFUNCTION("""COMPUTED_VALUE"""),8.0)</f>
        <v>8</v>
      </c>
      <c r="E60" s="16"/>
      <c r="F60" s="15">
        <f>IFERROR(__xludf.DUMMYFUNCTION("""COMPUTED_VALUE"""),10.0)</f>
        <v>10</v>
      </c>
      <c r="G60" s="16"/>
      <c r="H60" s="15">
        <f>IFERROR(__xludf.DUMMYFUNCTION("""COMPUTED_VALUE"""),10.0)</f>
        <v>10</v>
      </c>
      <c r="I60" s="16"/>
      <c r="J60" s="15">
        <f>IFERROR(__xludf.DUMMYFUNCTION("""COMPUTED_VALUE"""),7.0)</f>
        <v>7</v>
      </c>
      <c r="K60" s="16"/>
      <c r="L60" s="15">
        <f>IFERROR(__xludf.DUMMYFUNCTION("""COMPUTED_VALUE"""),7.5)</f>
        <v>7.5</v>
      </c>
      <c r="M60" s="16"/>
      <c r="N60" s="15">
        <f>IFERROR(__xludf.DUMMYFUNCTION("""COMPUTED_VALUE"""),4.0)</f>
        <v>4</v>
      </c>
      <c r="O60" s="16"/>
      <c r="P60" s="15"/>
      <c r="Q60" s="16"/>
      <c r="R60" s="15"/>
      <c r="S60" s="16"/>
      <c r="T60" s="15">
        <f>IFERROR(__xludf.DUMMYFUNCTION("""COMPUTED_VALUE"""),9.0)</f>
        <v>9</v>
      </c>
      <c r="U60" s="16"/>
      <c r="V60" s="15">
        <f>IFERROR(__xludf.DUMMYFUNCTION("""COMPUTED_VALUE"""),16.0)</f>
        <v>16</v>
      </c>
      <c r="W60" s="16"/>
      <c r="X60" s="15"/>
      <c r="Y60" s="16"/>
      <c r="Z60" s="15">
        <f>IFERROR(__xludf.DUMMYFUNCTION("""COMPUTED_VALUE"""),4.0)</f>
        <v>4</v>
      </c>
      <c r="AA60" s="16"/>
      <c r="AB60" s="15">
        <f>IFERROR(__xludf.DUMMYFUNCTION("""COMPUTED_VALUE"""),8.5)</f>
        <v>8.5</v>
      </c>
      <c r="AC60" s="16"/>
      <c r="AD60" s="15">
        <f>IFERROR(__xludf.DUMMYFUNCTION("""COMPUTED_VALUE"""),14.5)</f>
        <v>14.5</v>
      </c>
      <c r="AE60" s="16"/>
      <c r="AF60" s="15"/>
      <c r="AG60" s="16"/>
      <c r="AH60" s="15"/>
      <c r="AI60" s="16"/>
      <c r="AJ60" s="15">
        <f>IFERROR(__xludf.DUMMYFUNCTION("""COMPUTED_VALUE"""),16.0)</f>
        <v>16</v>
      </c>
      <c r="AK60" s="16"/>
      <c r="AL60" s="15">
        <f>IFERROR(__xludf.DUMMYFUNCTION("""COMPUTED_VALUE"""),11.0)</f>
        <v>11</v>
      </c>
      <c r="AM60" s="16"/>
      <c r="AN60" s="15">
        <f>IFERROR(__xludf.DUMMYFUNCTION("""COMPUTED_VALUE"""),14.0)</f>
        <v>14</v>
      </c>
      <c r="AO60" s="16"/>
      <c r="AP60" s="15"/>
      <c r="AQ60" s="16"/>
      <c r="AR60" s="15"/>
      <c r="AS60" s="16"/>
      <c r="AT60" s="15">
        <f>IFERROR(__xludf.DUMMYFUNCTION("""COMPUTED_VALUE"""),13.0)</f>
        <v>13</v>
      </c>
      <c r="AU60" s="16"/>
      <c r="AV60" s="15">
        <f>IFERROR(__xludf.DUMMYFUNCTION("""COMPUTED_VALUE"""),7.0)</f>
        <v>7</v>
      </c>
      <c r="AW60" s="16"/>
      <c r="AX60" s="15">
        <f>IFERROR(__xludf.DUMMYFUNCTION("""COMPUTED_VALUE"""),15.0)</f>
        <v>15</v>
      </c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>
        <f>IFERROR(__xludf.DUMMYFUNCTION("""COMPUTED_VALUE"""),6.0)</f>
        <v>6</v>
      </c>
      <c r="BK60" s="16"/>
      <c r="BL60" s="4"/>
    </row>
    <row r="61">
      <c r="A61" s="14" t="str">
        <f>IFERROR(__xludf.DUMMYFUNCTION("""COMPUTED_VALUE"""),"Tomáš Veselý")</f>
        <v>Tomáš Veselý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4"/>
    </row>
    <row r="62">
      <c r="A62" s="14" t="str">
        <f>IFERROR(__xludf.DUMMYFUNCTION("""COMPUTED_VALUE"""),"Jakub Janout")</f>
        <v>Jakub Janout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4"/>
    </row>
    <row r="63">
      <c r="A63" s="14" t="str">
        <f>IFERROR(__xludf.DUMMYFUNCTION("""COMPUTED_VALUE"""),"Ladislav Koška")</f>
        <v>Ladislav Koška</v>
      </c>
      <c r="B63" s="15"/>
      <c r="C63" s="16"/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IFERROR(__xludf.DUMMYFUNCTION("""COMPUTED_VALUE"""),"Jiří Pilnáček")</f>
        <v>Jiří Pilnáček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IFERROR(__xludf.DUMMYFUNCTION("""COMPUTED_VALUE"""),"Michal Bandy")</f>
        <v>Michal Bandy</v>
      </c>
      <c r="B65" s="15">
        <f>IFERROR(__xludf.DUMMYFUNCTION("""COMPUTED_VALUE"""),9.0)</f>
        <v>9</v>
      </c>
      <c r="C65" s="16"/>
      <c r="D65" s="15"/>
      <c r="E65" s="16"/>
      <c r="F65" s="15"/>
      <c r="G65" s="16"/>
      <c r="H65" s="15">
        <f>IFERROR(__xludf.DUMMYFUNCTION("""COMPUTED_VALUE"""),6.0)</f>
        <v>6</v>
      </c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/>
      <c r="B66" s="15"/>
      <c r="C66" s="16"/>
      <c r="D66" s="15"/>
      <c r="E66" s="16"/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4"/>
    </row>
    <row r="67">
      <c r="A67" s="14"/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4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/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4"/>
    </row>
    <row r="78">
      <c r="A78" s="17" t="str">
        <f>IFERROR(__xludf.DUMMYFUNCTION("IMPORTRANGE(""https://docs.google.com/spreadsheets/d/15wwXIcKlVb5R0fExA6n10rmj5klE6q3SqcK15dy0yRA"", ""Přehled mzdy!C3:BM20"")"),"Instore")</f>
        <v>Instore</v>
      </c>
      <c r="B78" s="15" t="str">
        <f>IFERROR(__xludf.DUMMYFUNCTION("""COMPUTED_VALUE"""),"hod.")</f>
        <v>hod.</v>
      </c>
      <c r="C78" s="16" t="str">
        <f>IFERROR(__xludf.DUMMYFUNCTION("""COMPUTED_VALUE"""),"zál.")</f>
        <v>zál.</v>
      </c>
      <c r="D78" s="15" t="str">
        <f>IFERROR(__xludf.DUMMYFUNCTION("""COMPUTED_VALUE"""),"hod.")</f>
        <v>hod.</v>
      </c>
      <c r="E78" s="16" t="str">
        <f>IFERROR(__xludf.DUMMYFUNCTION("""COMPUTED_VALUE"""),"zál.")</f>
        <v>zál.</v>
      </c>
      <c r="F78" s="15" t="str">
        <f>IFERROR(__xludf.DUMMYFUNCTION("""COMPUTED_VALUE"""),"hod.")</f>
        <v>hod.</v>
      </c>
      <c r="G78" s="16" t="str">
        <f>IFERROR(__xludf.DUMMYFUNCTION("""COMPUTED_VALUE"""),"zál.")</f>
        <v>zál.</v>
      </c>
      <c r="H78" s="15" t="str">
        <f>IFERROR(__xludf.DUMMYFUNCTION("""COMPUTED_VALUE"""),"Hodin")</f>
        <v>Hodin</v>
      </c>
      <c r="I78" s="16" t="str">
        <f>IFERROR(__xludf.DUMMYFUNCTION("""COMPUTED_VALUE"""),"zál.")</f>
        <v>zál.</v>
      </c>
      <c r="J78" s="15" t="str">
        <f>IFERROR(__xludf.DUMMYFUNCTION("""COMPUTED_VALUE"""),"hod.")</f>
        <v>hod.</v>
      </c>
      <c r="K78" s="16" t="str">
        <f>IFERROR(__xludf.DUMMYFUNCTION("""COMPUTED_VALUE"""),"zál.")</f>
        <v>zál.</v>
      </c>
      <c r="L78" s="15" t="str">
        <f>IFERROR(__xludf.DUMMYFUNCTION("""COMPUTED_VALUE"""),"hod.")</f>
        <v>hod.</v>
      </c>
      <c r="M78" s="16" t="str">
        <f>IFERROR(__xludf.DUMMYFUNCTION("""COMPUTED_VALUE"""),"zál.")</f>
        <v>zál.</v>
      </c>
      <c r="N78" s="15" t="str">
        <f>IFERROR(__xludf.DUMMYFUNCTION("""COMPUTED_VALUE"""),"hod.")</f>
        <v>hod.</v>
      </c>
      <c r="O78" s="16" t="str">
        <f>IFERROR(__xludf.DUMMYFUNCTION("""COMPUTED_VALUE"""),"zál.")</f>
        <v>zál.</v>
      </c>
      <c r="P78" s="15" t="str">
        <f>IFERROR(__xludf.DUMMYFUNCTION("""COMPUTED_VALUE"""),"hod.")</f>
        <v>hod.</v>
      </c>
      <c r="Q78" s="16" t="str">
        <f>IFERROR(__xludf.DUMMYFUNCTION("""COMPUTED_VALUE"""),"zál.")</f>
        <v>zál.</v>
      </c>
      <c r="R78" s="15" t="str">
        <f>IFERROR(__xludf.DUMMYFUNCTION("""COMPUTED_VALUE"""),"hod.")</f>
        <v>hod.</v>
      </c>
      <c r="S78" s="16" t="str">
        <f>IFERROR(__xludf.DUMMYFUNCTION("""COMPUTED_VALUE"""),"zál.")</f>
        <v>zál.</v>
      </c>
      <c r="T78" s="15" t="str">
        <f>IFERROR(__xludf.DUMMYFUNCTION("""COMPUTED_VALUE"""),"hod.")</f>
        <v>hod.</v>
      </c>
      <c r="U78" s="16" t="str">
        <f>IFERROR(__xludf.DUMMYFUNCTION("""COMPUTED_VALUE"""),"zál.")</f>
        <v>zál.</v>
      </c>
      <c r="V78" s="15" t="str">
        <f>IFERROR(__xludf.DUMMYFUNCTION("""COMPUTED_VALUE"""),"hod.")</f>
        <v>hod.</v>
      </c>
      <c r="W78" s="16" t="str">
        <f>IFERROR(__xludf.DUMMYFUNCTION("""COMPUTED_VALUE"""),"zál.")</f>
        <v>zál.</v>
      </c>
      <c r="X78" s="15" t="str">
        <f>IFERROR(__xludf.DUMMYFUNCTION("""COMPUTED_VALUE"""),"hod.")</f>
        <v>hod.</v>
      </c>
      <c r="Y78" s="16" t="str">
        <f>IFERROR(__xludf.DUMMYFUNCTION("""COMPUTED_VALUE"""),"zál.")</f>
        <v>zál.</v>
      </c>
      <c r="Z78" s="15" t="str">
        <f>IFERROR(__xludf.DUMMYFUNCTION("""COMPUTED_VALUE"""),"hod.")</f>
        <v>hod.</v>
      </c>
      <c r="AA78" s="16" t="str">
        <f>IFERROR(__xludf.DUMMYFUNCTION("""COMPUTED_VALUE"""),"zál.")</f>
        <v>zál.</v>
      </c>
      <c r="AB78" s="15" t="str">
        <f>IFERROR(__xludf.DUMMYFUNCTION("""COMPUTED_VALUE"""),"hod.")</f>
        <v>hod.</v>
      </c>
      <c r="AC78" s="16" t="str">
        <f>IFERROR(__xludf.DUMMYFUNCTION("""COMPUTED_VALUE"""),"zál.")</f>
        <v>zál.</v>
      </c>
      <c r="AD78" s="15" t="str">
        <f>IFERROR(__xludf.DUMMYFUNCTION("""COMPUTED_VALUE"""),"hod.")</f>
        <v>hod.</v>
      </c>
      <c r="AE78" s="16" t="str">
        <f>IFERROR(__xludf.DUMMYFUNCTION("""COMPUTED_VALUE"""),"zál.")</f>
        <v>zál.</v>
      </c>
      <c r="AF78" s="15" t="str">
        <f>IFERROR(__xludf.DUMMYFUNCTION("""COMPUTED_VALUE"""),"hod.")</f>
        <v>hod.</v>
      </c>
      <c r="AG78" s="16" t="str">
        <f>IFERROR(__xludf.DUMMYFUNCTION("""COMPUTED_VALUE"""),"zál.")</f>
        <v>zál.</v>
      </c>
      <c r="AH78" s="15" t="str">
        <f>IFERROR(__xludf.DUMMYFUNCTION("""COMPUTED_VALUE"""),"hod.")</f>
        <v>hod.</v>
      </c>
      <c r="AI78" s="16" t="str">
        <f>IFERROR(__xludf.DUMMYFUNCTION("""COMPUTED_VALUE"""),"zál.")</f>
        <v>zál.</v>
      </c>
      <c r="AJ78" s="15" t="str">
        <f>IFERROR(__xludf.DUMMYFUNCTION("""COMPUTED_VALUE"""),"hod.")</f>
        <v>hod.</v>
      </c>
      <c r="AK78" s="16" t="str">
        <f>IFERROR(__xludf.DUMMYFUNCTION("""COMPUTED_VALUE"""),"zál.")</f>
        <v>zál.</v>
      </c>
      <c r="AL78" s="15" t="str">
        <f>IFERROR(__xludf.DUMMYFUNCTION("""COMPUTED_VALUE"""),"hod.")</f>
        <v>hod.</v>
      </c>
      <c r="AM78" s="16" t="str">
        <f>IFERROR(__xludf.DUMMYFUNCTION("""COMPUTED_VALUE"""),"zál.")</f>
        <v>zál.</v>
      </c>
      <c r="AN78" s="15" t="str">
        <f>IFERROR(__xludf.DUMMYFUNCTION("""COMPUTED_VALUE"""),"hod.")</f>
        <v>hod.</v>
      </c>
      <c r="AO78" s="16" t="str">
        <f>IFERROR(__xludf.DUMMYFUNCTION("""COMPUTED_VALUE"""),"zál.")</f>
        <v>zál.</v>
      </c>
      <c r="AP78" s="15" t="str">
        <f>IFERROR(__xludf.DUMMYFUNCTION("""COMPUTED_VALUE"""),"hod.")</f>
        <v>hod.</v>
      </c>
      <c r="AQ78" s="16" t="str">
        <f>IFERROR(__xludf.DUMMYFUNCTION("""COMPUTED_VALUE"""),"zál.")</f>
        <v>zál.</v>
      </c>
      <c r="AR78" s="15" t="str">
        <f>IFERROR(__xludf.DUMMYFUNCTION("""COMPUTED_VALUE"""),"hod.")</f>
        <v>hod.</v>
      </c>
      <c r="AS78" s="16" t="str">
        <f>IFERROR(__xludf.DUMMYFUNCTION("""COMPUTED_VALUE"""),"zál.")</f>
        <v>zál.</v>
      </c>
      <c r="AT78" s="15" t="str">
        <f>IFERROR(__xludf.DUMMYFUNCTION("""COMPUTED_VALUE"""),"hod.")</f>
        <v>hod.</v>
      </c>
      <c r="AU78" s="16" t="str">
        <f>IFERROR(__xludf.DUMMYFUNCTION("""COMPUTED_VALUE"""),"zál.")</f>
        <v>zál.</v>
      </c>
      <c r="AV78" s="15" t="str">
        <f>IFERROR(__xludf.DUMMYFUNCTION("""COMPUTED_VALUE"""),"hod.")</f>
        <v>hod.</v>
      </c>
      <c r="AW78" s="16" t="str">
        <f>IFERROR(__xludf.DUMMYFUNCTION("""COMPUTED_VALUE"""),"zál.")</f>
        <v>zál.</v>
      </c>
      <c r="AX78" s="15" t="str">
        <f>IFERROR(__xludf.DUMMYFUNCTION("""COMPUTED_VALUE"""),"hod.")</f>
        <v>hod.</v>
      </c>
      <c r="AY78" s="16" t="str">
        <f>IFERROR(__xludf.DUMMYFUNCTION("""COMPUTED_VALUE"""),"zál.")</f>
        <v>zál.</v>
      </c>
      <c r="AZ78" s="15" t="str">
        <f>IFERROR(__xludf.DUMMYFUNCTION("""COMPUTED_VALUE"""),"hod.")</f>
        <v>hod.</v>
      </c>
      <c r="BA78" s="16" t="str">
        <f>IFERROR(__xludf.DUMMYFUNCTION("""COMPUTED_VALUE"""),"zál.")</f>
        <v>zál.</v>
      </c>
      <c r="BB78" s="15" t="str">
        <f>IFERROR(__xludf.DUMMYFUNCTION("""COMPUTED_VALUE"""),"hod.")</f>
        <v>hod.</v>
      </c>
      <c r="BC78" s="16" t="str">
        <f>IFERROR(__xludf.DUMMYFUNCTION("""COMPUTED_VALUE"""),"zál.")</f>
        <v>zál.</v>
      </c>
      <c r="BD78" s="15" t="str">
        <f>IFERROR(__xludf.DUMMYFUNCTION("""COMPUTED_VALUE"""),"hod.")</f>
        <v>hod.</v>
      </c>
      <c r="BE78" s="16" t="str">
        <f>IFERROR(__xludf.DUMMYFUNCTION("""COMPUTED_VALUE"""),"zál.")</f>
        <v>zál.</v>
      </c>
      <c r="BF78" s="15" t="str">
        <f>IFERROR(__xludf.DUMMYFUNCTION("""COMPUTED_VALUE"""),"hod.")</f>
        <v>hod.</v>
      </c>
      <c r="BG78" s="16" t="str">
        <f>IFERROR(__xludf.DUMMYFUNCTION("""COMPUTED_VALUE"""),"zál.")</f>
        <v>zál.</v>
      </c>
      <c r="BH78" s="15" t="str">
        <f>IFERROR(__xludf.DUMMYFUNCTION("""COMPUTED_VALUE"""),"hod.")</f>
        <v>hod.</v>
      </c>
      <c r="BI78" s="16" t="str">
        <f>IFERROR(__xludf.DUMMYFUNCTION("""COMPUTED_VALUE"""),"zál.")</f>
        <v>zál.</v>
      </c>
      <c r="BJ78" s="15" t="str">
        <f>IFERROR(__xludf.DUMMYFUNCTION("""COMPUTED_VALUE"""),"hod.")</f>
        <v>hod.</v>
      </c>
      <c r="BK78" s="16" t="str">
        <f>IFERROR(__xludf.DUMMYFUNCTION("""COMPUTED_VALUE"""),"zál.")</f>
        <v>zál.</v>
      </c>
      <c r="BL78" s="4"/>
    </row>
    <row r="79">
      <c r="A79" s="18" t="str">
        <f>IFERROR(__xludf.DUMMYFUNCTION("""COMPUTED_VALUE"""),"Stanislav Roth")</f>
        <v>Stanislav Roth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4"/>
    </row>
    <row r="80">
      <c r="A80" s="19" t="str">
        <f>IFERROR(__xludf.DUMMYFUNCTION("""COMPUTED_VALUE"""),"Anastasia Rothová")</f>
        <v>Anastasia Rothová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4"/>
    </row>
    <row r="81">
      <c r="A81" s="14" t="str">
        <f>IFERROR(__xludf.DUMMYFUNCTION("""COMPUTED_VALUE"""),"Petr Wolf")</f>
        <v>Petr Wolf</v>
      </c>
      <c r="B81" s="15">
        <f>IFERROR(__xludf.DUMMYFUNCTION("""COMPUTED_VALUE"""),16.0)</f>
        <v>16</v>
      </c>
      <c r="C81" s="16"/>
      <c r="D81" s="15"/>
      <c r="E81" s="16"/>
      <c r="F81" s="15">
        <f>IFERROR(__xludf.DUMMYFUNCTION("""COMPUTED_VALUE"""),17.0)</f>
        <v>17</v>
      </c>
      <c r="G81" s="16"/>
      <c r="H81" s="15"/>
      <c r="I81" s="16"/>
      <c r="J81" s="15">
        <f>IFERROR(__xludf.DUMMYFUNCTION("""COMPUTED_VALUE"""),14.0)</f>
        <v>14</v>
      </c>
      <c r="K81" s="16">
        <f>IFERROR(__xludf.DUMMYFUNCTION("""COMPUTED_VALUE"""),585.0)</f>
        <v>585</v>
      </c>
      <c r="L81" s="15"/>
      <c r="M81" s="16"/>
      <c r="N81" s="15">
        <f>IFERROR(__xludf.DUMMYFUNCTION("""COMPUTED_VALUE"""),15.5)</f>
        <v>15.5</v>
      </c>
      <c r="O81" s="16"/>
      <c r="P81" s="15"/>
      <c r="Q81" s="16"/>
      <c r="R81" s="15">
        <f>IFERROR(__xludf.DUMMYFUNCTION("""COMPUTED_VALUE"""),15.5)</f>
        <v>15.5</v>
      </c>
      <c r="S81" s="16"/>
      <c r="T81" s="15"/>
      <c r="U81" s="16"/>
      <c r="V81" s="15">
        <f>IFERROR(__xludf.DUMMYFUNCTION("""COMPUTED_VALUE"""),17.5)</f>
        <v>17.5</v>
      </c>
      <c r="W81" s="16"/>
      <c r="X81" s="15"/>
      <c r="Y81" s="16"/>
      <c r="Z81" s="15">
        <f>IFERROR(__xludf.DUMMYFUNCTION("""COMPUTED_VALUE"""),16.0)</f>
        <v>16</v>
      </c>
      <c r="AA81" s="16"/>
      <c r="AB81" s="15"/>
      <c r="AC81" s="16"/>
      <c r="AD81" s="15">
        <f>IFERROR(__xludf.DUMMYFUNCTION("""COMPUTED_VALUE"""),15.5)</f>
        <v>15.5</v>
      </c>
      <c r="AE81" s="16"/>
      <c r="AF81" s="15"/>
      <c r="AG81" s="16"/>
      <c r="AH81" s="15"/>
      <c r="AI81" s="16"/>
      <c r="AJ81" s="15">
        <f>IFERROR(__xludf.DUMMYFUNCTION("""COMPUTED_VALUE"""),17.5)</f>
        <v>17.5</v>
      </c>
      <c r="AK81" s="16"/>
      <c r="AL81" s="15">
        <f>IFERROR(__xludf.DUMMYFUNCTION("""COMPUTED_VALUE"""),13.5)</f>
        <v>13.5</v>
      </c>
      <c r="AM81" s="16"/>
      <c r="AN81" s="15"/>
      <c r="AO81" s="16"/>
      <c r="AP81" s="15">
        <f>IFERROR(__xludf.DUMMYFUNCTION("""COMPUTED_VALUE"""),15.5)</f>
        <v>15.5</v>
      </c>
      <c r="AQ81" s="16"/>
      <c r="AR81" s="15"/>
      <c r="AS81" s="16"/>
      <c r="AT81" s="15">
        <f>IFERROR(__xludf.DUMMYFUNCTION("""COMPUTED_VALUE"""),16.0)</f>
        <v>16</v>
      </c>
      <c r="AU81" s="16"/>
      <c r="AV81" s="15"/>
      <c r="AW81" s="16"/>
      <c r="AX81" s="15">
        <f>IFERROR(__xludf.DUMMYFUNCTION("""COMPUTED_VALUE"""),17.5)</f>
        <v>17.5</v>
      </c>
      <c r="AY81" s="16"/>
      <c r="AZ81" s="15"/>
      <c r="BA81" s="16"/>
      <c r="BB81" s="15">
        <f>IFERROR(__xludf.DUMMYFUNCTION("""COMPUTED_VALUE"""),16.0)</f>
        <v>16</v>
      </c>
      <c r="BC81" s="16"/>
      <c r="BD81" s="15"/>
      <c r="BE81" s="16"/>
      <c r="BF81" s="15">
        <f>IFERROR(__xludf.DUMMYFUNCTION("""COMPUTED_VALUE"""),15.5)</f>
        <v>15.5</v>
      </c>
      <c r="BG81" s="16"/>
      <c r="BH81" s="15"/>
      <c r="BI81" s="16"/>
      <c r="BJ81" s="15">
        <f>IFERROR(__xludf.DUMMYFUNCTION("""COMPUTED_VALUE"""),17.5)</f>
        <v>17.5</v>
      </c>
      <c r="BK81" s="16"/>
      <c r="BL81" s="4"/>
    </row>
    <row r="82">
      <c r="A82" s="14" t="str">
        <f>IFERROR(__xludf.DUMMYFUNCTION("""COMPUTED_VALUE"""),"David Kropáč")</f>
        <v>David Kropáč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4"/>
    </row>
    <row r="83">
      <c r="A83" s="14" t="str">
        <f>IFERROR(__xludf.DUMMYFUNCTION("""COMPUTED_VALUE"""),"Oksana Dynysenko")</f>
        <v>Oksana Dynysenko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IFERROR(__xludf.DUMMYFUNCTION("""COMPUTED_VALUE"""),"Filip Štěrba")</f>
        <v>Filip Štěrba</v>
      </c>
      <c r="B84" s="15"/>
      <c r="C84" s="16"/>
      <c r="D84" s="15">
        <f>IFERROR(__xludf.DUMMYFUNCTION("""COMPUTED_VALUE"""),15.5)</f>
        <v>15.5</v>
      </c>
      <c r="E84" s="16"/>
      <c r="F84" s="15"/>
      <c r="G84" s="16"/>
      <c r="H84" s="15">
        <f>IFERROR(__xludf.DUMMYFUNCTION("""COMPUTED_VALUE"""),17.0)</f>
        <v>17</v>
      </c>
      <c r="I84" s="16"/>
      <c r="J84" s="15"/>
      <c r="K84" s="16">
        <f>IFERROR(__xludf.DUMMYFUNCTION("""COMPUTED_VALUE"""),585.0)</f>
        <v>585</v>
      </c>
      <c r="L84" s="15">
        <f>IFERROR(__xludf.DUMMYFUNCTION("""COMPUTED_VALUE"""),16.0)</f>
        <v>16</v>
      </c>
      <c r="M84" s="16"/>
      <c r="N84" s="15"/>
      <c r="O84" s="16"/>
      <c r="P84" s="15">
        <f>IFERROR(__xludf.DUMMYFUNCTION("""COMPUTED_VALUE"""),15.5)</f>
        <v>15.5</v>
      </c>
      <c r="Q84" s="16"/>
      <c r="R84" s="15"/>
      <c r="S84" s="16"/>
      <c r="T84" s="15">
        <f>IFERROR(__xludf.DUMMYFUNCTION("""COMPUTED_VALUE"""),17.5)</f>
        <v>17.5</v>
      </c>
      <c r="U84" s="16"/>
      <c r="V84" s="15"/>
      <c r="W84" s="16"/>
      <c r="X84" s="15">
        <f>IFERROR(__xludf.DUMMYFUNCTION("""COMPUTED_VALUE"""),13.5)</f>
        <v>13.5</v>
      </c>
      <c r="Y84" s="16"/>
      <c r="Z84" s="15"/>
      <c r="AA84" s="16"/>
      <c r="AB84" s="15">
        <f>IFERROR(__xludf.DUMMYFUNCTION("""COMPUTED_VALUE"""),15.5)</f>
        <v>15.5</v>
      </c>
      <c r="AC84" s="16"/>
      <c r="AD84" s="15"/>
      <c r="AE84" s="16"/>
      <c r="AF84" s="15">
        <f>IFERROR(__xludf.DUMMYFUNCTION("""COMPUTED_VALUE"""),15.5)</f>
        <v>15.5</v>
      </c>
      <c r="AG84" s="16"/>
      <c r="AH84" s="15">
        <f>IFERROR(__xludf.DUMMYFUNCTION("""COMPUTED_VALUE"""),17.5)</f>
        <v>17.5</v>
      </c>
      <c r="AI84" s="16"/>
      <c r="AJ84" s="15"/>
      <c r="AK84" s="16"/>
      <c r="AL84" s="15"/>
      <c r="AM84" s="16"/>
      <c r="AN84" s="15">
        <f>IFERROR(__xludf.DUMMYFUNCTION("""COMPUTED_VALUE"""),15.5)</f>
        <v>15.5</v>
      </c>
      <c r="AO84" s="16"/>
      <c r="AP84" s="15"/>
      <c r="AQ84" s="16"/>
      <c r="AR84" s="15">
        <f>IFERROR(__xludf.DUMMYFUNCTION("""COMPUTED_VALUE"""),15.5)</f>
        <v>15.5</v>
      </c>
      <c r="AS84" s="16"/>
      <c r="AT84" s="15"/>
      <c r="AU84" s="16"/>
      <c r="AV84" s="15">
        <f>IFERROR(__xludf.DUMMYFUNCTION("""COMPUTED_VALUE"""),17.5)</f>
        <v>17.5</v>
      </c>
      <c r="AW84" s="16">
        <f>IFERROR(__xludf.DUMMYFUNCTION("""COMPUTED_VALUE"""),100.0)</f>
        <v>100</v>
      </c>
      <c r="AX84" s="15"/>
      <c r="AY84" s="16"/>
      <c r="AZ84" s="15">
        <f>IFERROR(__xludf.DUMMYFUNCTION("""COMPUTED_VALUE"""),13.5)</f>
        <v>13.5</v>
      </c>
      <c r="BA84" s="16"/>
      <c r="BB84" s="15"/>
      <c r="BC84" s="16"/>
      <c r="BD84" s="15">
        <f>IFERROR(__xludf.DUMMYFUNCTION("""COMPUTED_VALUE"""),15.5)</f>
        <v>15.5</v>
      </c>
      <c r="BE84" s="16"/>
      <c r="BF84" s="15"/>
      <c r="BG84" s="16"/>
      <c r="BH84" s="15">
        <f>IFERROR(__xludf.DUMMYFUNCTION("""COMPUTED_VALUE"""),15.5)</f>
        <v>15.5</v>
      </c>
      <c r="BI84" s="16"/>
      <c r="BJ84" s="15"/>
      <c r="BK84" s="16"/>
      <c r="BL84" s="4"/>
    </row>
    <row r="85">
      <c r="A85" s="14" t="str">
        <f>IFERROR(__xludf.DUMMYFUNCTION("""COMPUTED_VALUE"""),"Yana Nynyk")</f>
        <v>Yana Nynyk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IFERROR(__xludf.DUMMYFUNCTION("""COMPUTED_VALUE"""),"Vojtěch Fux")</f>
        <v>Vojtěch Fux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IFERROR(__xludf.DUMMYFUNCTION("""COMPUTED_VALUE"""),"Daniel Fux")</f>
        <v>Daniel Fux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4"/>
    </row>
    <row r="88">
      <c r="A88" s="14" t="str">
        <f>IFERROR(__xludf.DUMMYFUNCTION("""COMPUTED_VALUE"""),"Radim Dvořák")</f>
        <v>Radim Dvořák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4"/>
    </row>
    <row r="89">
      <c r="A89" s="14" t="str">
        <f>IFERROR(__xludf.DUMMYFUNCTION("""COMPUTED_VALUE"""),"Vladimír Dudkin")</f>
        <v>Vladimír Dudkin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4"/>
    </row>
    <row r="90">
      <c r="A90" s="14" t="str">
        <f>IFERROR(__xludf.DUMMYFUNCTION("""COMPUTED_VALUE"""),"Jakub Kouřimský")</f>
        <v>Jakub Kouřimský</v>
      </c>
      <c r="B90" s="15"/>
      <c r="C90" s="16"/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6"/>
      <c r="AB90" s="15"/>
      <c r="AC90" s="16"/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IFERROR(__xludf.DUMMYFUNCTION("""COMPUTED_VALUE"""),"Filip Fux")</f>
        <v>Filip Fux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IFERROR(__xludf.DUMMYFUNCTION("""COMPUTED_VALUE"""),"Martin Štěpánek")</f>
        <v>Martin Štěpánek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IFERROR(__xludf.DUMMYFUNCTION("""COMPUTED_VALUE"""),"Jakub Ljuta")</f>
        <v>Jakub Ljuta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IFERROR(__xludf.DUMMYFUNCTION("""COMPUTED_VALUE"""),"Nadiia Doroshenko")</f>
        <v>Nadiia Doroshenko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4"/>
    </row>
    <row r="95">
      <c r="A95" s="14" t="str">
        <f>IFERROR(__xludf.DUMMYFUNCTION("""COMPUTED_VALUE"""),"Lucie Nováková")</f>
        <v>Lucie Nováková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/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A99" s="14"/>
      <c r="B99" s="15"/>
      <c r="C99" s="16"/>
      <c r="D99" s="15"/>
      <c r="E99" s="16"/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/>
      <c r="BI99" s="16"/>
      <c r="BJ99" s="15"/>
      <c r="BK99" s="16"/>
      <c r="BL99" s="4"/>
    </row>
    <row r="100">
      <c r="B100" s="4"/>
      <c r="C100" s="20"/>
      <c r="D100" s="4"/>
      <c r="E100" s="20"/>
      <c r="F100" s="4"/>
      <c r="G100" s="20"/>
      <c r="H100" s="4"/>
      <c r="I100" s="20"/>
      <c r="J100" s="4"/>
      <c r="K100" s="20"/>
      <c r="L100" s="4"/>
      <c r="M100" s="20"/>
      <c r="N100" s="4"/>
      <c r="O100" s="20"/>
      <c r="P100" s="4"/>
      <c r="Q100" s="20"/>
      <c r="R100" s="4"/>
      <c r="S100" s="20"/>
      <c r="T100" s="4"/>
      <c r="U100" s="20"/>
      <c r="V100" s="4"/>
      <c r="W100" s="20"/>
      <c r="X100" s="4"/>
      <c r="Y100" s="20"/>
      <c r="Z100" s="4"/>
      <c r="AA100" s="20"/>
      <c r="AB100" s="4"/>
      <c r="AC100" s="20"/>
      <c r="AD100" s="4"/>
      <c r="AE100" s="20"/>
      <c r="AF100" s="4"/>
      <c r="AG100" s="20"/>
      <c r="AH100" s="4"/>
      <c r="AI100" s="20"/>
      <c r="AJ100" s="4"/>
      <c r="AK100" s="20"/>
      <c r="AL100" s="4"/>
      <c r="AM100" s="20"/>
      <c r="AN100" s="4"/>
      <c r="AO100" s="20"/>
      <c r="AP100" s="4"/>
      <c r="AQ100" s="20"/>
      <c r="AR100" s="4"/>
      <c r="AS100" s="20"/>
      <c r="AT100" s="4"/>
      <c r="AU100" s="20"/>
      <c r="AV100" s="4"/>
      <c r="AW100" s="20"/>
      <c r="AX100" s="4"/>
      <c r="AY100" s="20"/>
      <c r="AZ100" s="4"/>
      <c r="BA100" s="20"/>
      <c r="BB100" s="4"/>
      <c r="BC100" s="20"/>
      <c r="BD100" s="4"/>
      <c r="BE100" s="20"/>
      <c r="BF100" s="4"/>
      <c r="BG100" s="20"/>
      <c r="BH100" s="4"/>
      <c r="BI100" s="20"/>
      <c r="BJ100" s="4"/>
      <c r="BK100" s="20"/>
      <c r="BL100" s="4"/>
    </row>
    <row r="101">
      <c r="B101" s="4"/>
      <c r="C101" s="20"/>
      <c r="D101" s="4"/>
      <c r="E101" s="20"/>
      <c r="F101" s="4"/>
      <c r="G101" s="20"/>
      <c r="H101" s="4"/>
      <c r="I101" s="20"/>
      <c r="J101" s="4"/>
      <c r="K101" s="20"/>
      <c r="L101" s="4"/>
      <c r="M101" s="20"/>
      <c r="N101" s="4"/>
      <c r="O101" s="20"/>
      <c r="P101" s="4"/>
      <c r="Q101" s="20"/>
      <c r="R101" s="4"/>
      <c r="S101" s="20"/>
      <c r="T101" s="4"/>
      <c r="U101" s="20"/>
      <c r="V101" s="4"/>
      <c r="W101" s="20"/>
      <c r="X101" s="4"/>
      <c r="Y101" s="20"/>
      <c r="Z101" s="4"/>
      <c r="AA101" s="20"/>
      <c r="AB101" s="4"/>
      <c r="AC101" s="20"/>
      <c r="AD101" s="4"/>
      <c r="AE101" s="20"/>
      <c r="AF101" s="4"/>
      <c r="AG101" s="20"/>
      <c r="AH101" s="4"/>
      <c r="AI101" s="20"/>
      <c r="AJ101" s="4"/>
      <c r="AK101" s="20"/>
      <c r="AL101" s="4"/>
      <c r="AM101" s="20"/>
      <c r="AN101" s="4"/>
      <c r="AO101" s="20"/>
      <c r="AP101" s="4"/>
      <c r="AQ101" s="20"/>
      <c r="AR101" s="4"/>
      <c r="AS101" s="20"/>
      <c r="AT101" s="4"/>
      <c r="AU101" s="20"/>
      <c r="AV101" s="4"/>
      <c r="AW101" s="20"/>
      <c r="AX101" s="4"/>
      <c r="AY101" s="20"/>
      <c r="AZ101" s="4"/>
      <c r="BA101" s="20"/>
      <c r="BB101" s="4"/>
      <c r="BC101" s="20"/>
      <c r="BD101" s="4"/>
      <c r="BE101" s="20"/>
      <c r="BF101" s="4"/>
      <c r="BG101" s="20"/>
      <c r="BH101" s="4"/>
      <c r="BI101" s="20"/>
      <c r="BJ101" s="4"/>
      <c r="BK101" s="20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  <row r="1014">
      <c r="B1014" s="4"/>
      <c r="C1014" s="20"/>
      <c r="D1014" s="4"/>
      <c r="E1014" s="20"/>
      <c r="F1014" s="4"/>
      <c r="G1014" s="20"/>
      <c r="H1014" s="4"/>
      <c r="I1014" s="20"/>
      <c r="J1014" s="4"/>
      <c r="K1014" s="20"/>
      <c r="L1014" s="4"/>
      <c r="M1014" s="20"/>
      <c r="N1014" s="4"/>
      <c r="O1014" s="20"/>
      <c r="P1014" s="4"/>
      <c r="Q1014" s="20"/>
      <c r="R1014" s="4"/>
      <c r="S1014" s="20"/>
      <c r="T1014" s="4"/>
      <c r="U1014" s="20"/>
      <c r="V1014" s="4"/>
      <c r="W1014" s="20"/>
      <c r="X1014" s="4"/>
      <c r="Y1014" s="20"/>
      <c r="Z1014" s="4"/>
      <c r="AA1014" s="20"/>
      <c r="AB1014" s="4"/>
      <c r="AC1014" s="20"/>
      <c r="AD1014" s="4"/>
      <c r="AE1014" s="20"/>
      <c r="AF1014" s="4"/>
      <c r="AG1014" s="20"/>
      <c r="AH1014" s="4"/>
      <c r="AI1014" s="20"/>
      <c r="AJ1014" s="4"/>
      <c r="AK1014" s="20"/>
      <c r="AL1014" s="4"/>
      <c r="AM1014" s="20"/>
      <c r="AN1014" s="4"/>
      <c r="AO1014" s="20"/>
      <c r="AP1014" s="4"/>
      <c r="AQ1014" s="20"/>
      <c r="AR1014" s="4"/>
      <c r="AS1014" s="20"/>
      <c r="AT1014" s="4"/>
      <c r="AU1014" s="20"/>
      <c r="AV1014" s="4"/>
      <c r="AW1014" s="20"/>
      <c r="AX1014" s="4"/>
      <c r="AY1014" s="20"/>
      <c r="AZ1014" s="4"/>
      <c r="BA1014" s="20"/>
      <c r="BB1014" s="4"/>
      <c r="BC1014" s="20"/>
      <c r="BD1014" s="4"/>
      <c r="BE1014" s="20"/>
      <c r="BF1014" s="4"/>
      <c r="BG1014" s="20"/>
      <c r="BH1014" s="4"/>
      <c r="BI1014" s="20"/>
      <c r="BJ1014" s="4"/>
      <c r="BK1014" s="20"/>
      <c r="BL1014" s="4"/>
    </row>
  </sheetData>
  <mergeCells count="2">
    <mergeCell ref="A1:A2"/>
    <mergeCell ref="B1:BK2"/>
  </mergeCells>
  <drawing r:id="rId1"/>
</worksheet>
</file>