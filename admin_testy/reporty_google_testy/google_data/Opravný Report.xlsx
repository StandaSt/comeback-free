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<sst xmlns="http://schemas.openxmlformats.org/spreadsheetml/2006/main" count="2263" uniqueCount="865">
  <si>
    <t>Chodov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</si>
  <si>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</si>
  <si>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</si>
  <si>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</si>
  <si>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</si>
  <si>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</si>
  <si>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</si>
  <si>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</si>
  <si>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</si>
  <si>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</si>
  <si>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</si>
  <si>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</si>
  <si>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</si>
  <si>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</si>
  <si>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</si>
  <si>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</si>
  <si>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</si>
  <si>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</si>
  <si>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</si>
  <si>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</si>
  <si>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</si>
  <si>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</si>
  <si>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</si>
  <si>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Pešová Hana</t>
  </si>
  <si>
    <t>10:00</t>
  </si>
  <si>
    <t>01:00</t>
  </si>
  <si>
    <t>Výdaje</t>
  </si>
  <si>
    <t>Židek Petr</t>
  </si>
  <si>
    <t>17:00</t>
  </si>
  <si>
    <t>Benzín</t>
  </si>
  <si>
    <t>Chlubnová Adéla</t>
  </si>
  <si>
    <t>22:00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</si>
  <si>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</si>
  <si>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</si>
  <si>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</si>
  <si>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</si>
  <si>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</si>
  <si>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</si>
  <si>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</si>
  <si>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</si>
  <si>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</si>
  <si>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</si>
  <si>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</si>
  <si>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</si>
  <si>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</si>
  <si>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</si>
  <si>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</si>
  <si>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</si>
  <si>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</si>
  <si>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Nekolný Vladimír</t>
  </si>
  <si>
    <t>Chlubna Tomáš</t>
  </si>
  <si>
    <t>11:00</t>
  </si>
  <si>
    <t>18:00</t>
  </si>
  <si>
    <t>Lanský Zoltan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</si>
  <si>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</si>
  <si>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</si>
  <si>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</si>
  <si>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</si>
  <si>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</si>
  <si>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</si>
  <si>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</si>
  <si>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</si>
  <si>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</si>
  <si>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</si>
  <si>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</si>
  <si>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</si>
  <si>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</si>
  <si>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</si>
  <si>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</si>
  <si>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</si>
  <si>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</si>
  <si>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</si>
  <si>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</si>
  <si>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</si>
  <si>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</si>
  <si>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</si>
  <si>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</si>
  <si>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</si>
  <si>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</si>
  <si>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</si>
  <si>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</si>
  <si>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</si>
  <si>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</si>
  <si>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</si>
  <si>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</si>
  <si>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bolt</t>
  </si>
  <si>
    <t>delivered</t>
  </si>
  <si>
    <t>Svetozar</t>
  </si>
  <si>
    <t>external-delivery</t>
  </si>
  <si>
    <t>online</t>
  </si>
  <si>
    <t>2026-05-16T00:40:57.742+02:00</t>
  </si>
  <si>
    <t>2026-05-16T00:51:27.608+02:00</t>
  </si>
  <si>
    <t>Pizza comeback Chodov</t>
  </si>
  <si>
    <t>[{"id":"114","note":"","count":1,"label":"Hawai 32cm","posId":"114","price":24900,"isExtra":false},{"id":"K0000","note":"","count":1,"label":"Balné","posId":"K0000","price":1500,"isExtra":true}]</t>
  </si>
  <si>
    <t>wolt</t>
  </si>
  <si>
    <t>2026-05-16T00:33:02.933+02:00</t>
  </si>
  <si>
    <t>2026-05-16T00:49:56.721+02:00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</si>
  <si>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</si>
  <si>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generic</t>
  </si>
  <si>
    <t>delivery</t>
  </si>
  <si>
    <t>2026-05-16T00:31:06.382+02:00</t>
  </si>
  <si>
    <t>2026-05-16T00:44:38.386+02:00</t>
  </si>
  <si>
    <t>2026-05-16T01:04:36.722+02:00</t>
  </si>
  <si>
    <t>2026-05-16T00:32:03.217+02:00</t>
  </si>
  <si>
    <t>Adaptee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</si>
  <si>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2,"label":"Dip česnekový","posId":"P106","price":2000,"isExtra":false}]</t>
  </si>
  <si>
    <t>Youcef</t>
  </si>
  <si>
    <t>2026-05-16T00:30:01.653+02:00</t>
  </si>
  <si>
    <t>2026-05-16T00:43:09.944+02:00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</si>
  <si>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1l","posId":"N124","price":5900,"isExtra":false},{"id":"N20","note":"","count":3,"label":"Pilsner Urquell 12","posId":"N20","price":6500,"isExtra":false}]</t>
  </si>
  <si>
    <t>2026-05-16T00:23:03.756+02:00</t>
  </si>
  <si>
    <t>2026-05-16T00:31:40.413+02:00</t>
  </si>
  <si>
    <t>2026-05-16T01:14:45.721+02:00</t>
  </si>
  <si>
    <t>2026-05-16T00:23:53.521+02:00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</si>
  <si>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základ","posId":"A128","price":0,"isExtra":true},{"id":"158f381e-7b09-45c4-95d8-d131055d3875","note":"","count":1,"label":"okraj Hotdog BBQ","posId":"A119","price":5700,"isExtra":true},{"id":"0d5bd9fd-6128-4489-94d2-641ed7ac4298","note":"","count":1,"label":"párek","posId":"B110","price":3000,"KDSTags":["greenhighlight"],"isExtra":true},{"id":"6e70115f-a0f1-42d6-aaca-1c1f7aa64cb8","note":"","count":1,"label":"šunka","posId":"B106","price":3000,"KDSTags":["greenhighlight"]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</si>
  <si>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2026-05-16T00:11:24.435+02:00</t>
  </si>
  <si>
    <t>2026-05-16T00:23:27.462+02:00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</si>
  <si>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těsto","posId":"17","price":1000,"isExtra":true},{"id":"77106882b6d8ba4f0ccb4cc6","count":1,"label":"Šunka","posId":"B106","price":3000,"KDSTags":["greenhighlight"],"isExtra":true},{"id":"6748417db17528cb9bcae63b","count":2,"label":"Česnekový dip","posId":"P106","price":2000,"isExtra":false},{"id":"bd23bb29ddc67d336ee4c95b","count":2,"label":"Balné","posId":"K0000","price":1500,"isExtra":true},{"id":"6748417db17528cb9bcae60f","count":1,"label":"Capricciosa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</si>
  <si>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cash</t>
  </si>
  <si>
    <t>2026-05-16T00:10:04.119+02:00</t>
  </si>
  <si>
    <t>2026-05-16T00:20:20.388+02:00</t>
  </si>
  <si>
    <t>2026-05-16T00:50:09.178+02:00</t>
  </si>
  <si>
    <t>2026-05-16T00:10:54.758+02:00</t>
  </si>
  <si>
    <t>[{"id":"7f0c5098-18bf-4c65-bec8-dd6bf68eb768","note":"","count":1,"label":"Masové kuličky, 10 ks","posId":"P102","price":9900,"isExtra":false},{"id":"c9c0bcd1-5065-4282-a709-cc2042a92228","note":"","count":1,"label":"Pečené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</si>
  <si>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damejidlo</t>
  </si>
  <si>
    <t>2026-05-16T00:02:36.036+02:00</t>
  </si>
  <si>
    <t>2026-05-16T00:09:22.496+02:00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</si>
  <si>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</si>
  <si>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2026-05-16T00:01:20.148+02:00</t>
  </si>
  <si>
    <t>2026-05-16T00:07:34.456+02:00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</si>
  <si>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</si>
  <si>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2026-05-15T23:55:48.578+02:00</t>
  </si>
  <si>
    <t>2026-05-16T00:05:31.521+02:00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</si>
  <si>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těsto","posId":"17","price":1000,"isExtra":true},{"id":"2f78d9c94838c98e08d95112","count":1,"label":"Bez salámu","posId":"X109","price":0,"KDSTags":["redhighlight"]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</si>
  <si>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2026-05-15T23:53:46.235+02:00</t>
  </si>
  <si>
    <t>2026-05-16T00:03:56.654+02:00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</si>
  <si>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</si>
  <si>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2026-05-15T23:47:03.974+02:00</t>
  </si>
  <si>
    <t>2026-05-16T00:03:59.311+02:00</t>
  </si>
  <si>
    <t>2026-05-16T00:27:42.399+02:00</t>
  </si>
  <si>
    <t>2026-05-15T23:54:03.322+02:00</t>
  </si>
  <si>
    <t>[{"id":"6e4aed3e-b988-442a-8864-0b2ad4a4403d","note":"","count":1,"label":"Quattro Formaggi 32 cm","posId":"147","price":24900,"isExtra":false},{"id":"2a9dc121-ec1e-4cbb-b8d5-66ce6a546664","note":"","count":1,"label":"DIP jalapenos","posId":"P107","price":2000,"isExtra":false}]</t>
  </si>
  <si>
    <t>2026-05-15T23:46:03.723+02:00</t>
  </si>
  <si>
    <t>2026-05-16T00:00:12.303+02:00</t>
  </si>
  <si>
    <t>2026-05-16T00:23:49.932+02:00</t>
  </si>
  <si>
    <t>2026-05-15T23:53:57.194+02:00</t>
  </si>
  <si>
    <t>[{"id":"7ee7e3c8-2c54-4dc5-810f-2f52f62e2d14","note":"","count":1,"label":"Comeback 32 cm","posId":"121","price":24900,"isExtra":false}]</t>
  </si>
  <si>
    <t>2026-05-15T23:44:58.470+02:00</t>
  </si>
  <si>
    <t>2026-05-15T23:58:19.806+02:00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</si>
  <si>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54685175","note":"","count":1,"label":"Gorgonzola","posId":"C101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dip","posId":"P106","price":2000,"isExtra":false},{"id":"54685059","note":"","count":1,"label":"Balné","posId":"K0000","price":1500,"isExtra":true},{"id":"57405718","note":"","size":"Pepsi 1l","count":1,"label":"Pepsi 1l","posId":"N124","price":5900,"isExtra":false}]</t>
  </si>
  <si>
    <t>Andrii</t>
  </si>
  <si>
    <t>2026-05-15T23:36:17.425+02:00</t>
  </si>
  <si>
    <t>2026-05-15T23:46:51.256+02:00</t>
  </si>
  <si>
    <t>[{"id":"100","note":"","count":1,"label":"Margherita 40cm","posId":"100","price":26900,"isExtra":false},{"id":"K0000","note":"","count":1,"label":"Balné","posId":"K0000","price":2000,"isExtra":true}]</t>
  </si>
  <si>
    <t>2026-05-15T23:32:02.951+02:00</t>
  </si>
  <si>
    <t>2026-05-15T23:45:53.312+02:00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</si>
  <si>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</si>
  <si>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Yurii</t>
  </si>
  <si>
    <t>2026-05-15T23:31:29.838+02:00</t>
  </si>
  <si>
    <t>2026-05-15T23:44:17.387+02:00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</si>
  <si>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bylinky","posId":"A122","price":6500,"isExtra":true}]</t>
  </si>
  <si>
    <t>Ismayil</t>
  </si>
  <si>
    <t>2026-05-15T23:31:25.409+02:00</t>
  </si>
  <si>
    <t>2026-05-15T23:40:40.602+02:00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</si>
  <si>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</si>
  <si>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2026-05-15T23:26:04.147+02:00</t>
  </si>
  <si>
    <t>2026-05-15T23:38:32.037+02:00</t>
  </si>
  <si>
    <t>2026-05-15T23:57:02.162+02:00</t>
  </si>
  <si>
    <t>2026-05-15T23:27:20.133+02:00</t>
  </si>
  <si>
    <t>[{"id":"4f6ede18-25d3-4c82-be03-84c9578ab8ce","note":"","count":1,"label":"Pepperoni 32 cm","posId":"144","price":24900,"isExtra":false},{"id":"66ee9e23-f41b-4175-a255-1e2fcec5e863","note":"","count":1,"label":"Pilsner Urquell 0,5l","posId":"N20","price":6500,"isExtra":false}]</t>
  </si>
  <si>
    <t>2026-05-15T23:19:03.902+02:00</t>
  </si>
  <si>
    <t>2026-05-15T23:34:44.136+02:00</t>
  </si>
  <si>
    <t>2026-05-15T23:54:42.937+02:00</t>
  </si>
  <si>
    <t>2026-05-15T23:23:50.087+02:00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</si>
  <si>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8ks","posId":"18","price":8900,"isExtra":false}]</t>
  </si>
  <si>
    <t>2026-05-15T23:14:56.026+02:00</t>
  </si>
  <si>
    <t>2026-05-15T23:30:41.262+02:00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</si>
  <si>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základ","posId":"ZBR40","price":0,"isExtra":true},{"id":"57405719","note":"","size":"Pepsi zero sugar 1l","count":1,"label":"Pepsi zero sugar 1l","posId":"N125","price":5900,"isExtra":false}]</t>
  </si>
  <si>
    <t>2026-05-15T23:01:19.803+02:00</t>
  </si>
  <si>
    <t>2026-05-15T23:27:45.237+02:00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</si>
  <si>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40cm","posId":"103","price":30900,"isExtra":false},{"id":"9642908ce4c2f22954c8bbd6","count":1,"label":"Balné","posId":"K0000","price":2000,"isExtra":true},{"id":"c8dbd54159dca400135e2ae8","count":1,"label":"Pepperoni salám","posId":"C109","price":4000,"KDSTags":["greenhighlight"],"isExtra":true},{"id":"6748417db17528cb9bcae5f9","count":1,"label":"Baby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bylinky","posId":"A122","price":6500,"isExtra":true},{"id":"6748417db17528cb9bcae639","count":1,"label":"Pepperoni Rolls 🌶️","posId":"P100","price":8900,"isExtra":false},{"id":"bd23bb29ddc67d336ee4c95b","count":1,"label":"Balné","posId":"K0000","price":1500,"isExtra":true}]</t>
  </si>
  <si>
    <t>Nazarii</t>
  </si>
  <si>
    <t>2026-05-15T22:58:53.323+02:00</t>
  </si>
  <si>
    <t>2026-05-15T23:20:37.254+02:00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</si>
  <si>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</si>
  <si>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manual</t>
  </si>
  <si>
    <t>pickup</t>
  </si>
  <si>
    <t>2026-05-15T22:57:41.106+02:00</t>
  </si>
  <si>
    <t>2026-05-15T23:10:46.368+02:00</t>
  </si>
  <si>
    <t>Ručně zadané obj.</t>
  </si>
  <si>
    <t>[{"id":"0f6ff109-ae8f-450c-889d-2bf0860a2838","count":1,"label":"Pizza Hot &amp; Spicy 18","posId":"134","price":11900,"isExtra":false,"creatorId":"UJqDDWv-p6rpAkDUMd-YZ","isPackging":0,"actualLabel":"Pizza Hot &amp; Spicy 18"},{"id":"7fc95d28-5c0a-421a-9f5c-f72977e30b93","count":1,"label":"Pizza Quattro Formaggi 40","posId":"111","price":30900,"isExtra":false,"creatorId":"jQZhlcK_hpeeY8I8beCdW","isPackging":0,"actualLabel":"Pizza Quattro Formaggi 40"}]</t>
  </si>
  <si>
    <t>2026-05-15T22:56:17.343+02:00</t>
  </si>
  <si>
    <t>2026-05-15T23:07:39.607+02:00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</si>
  <si>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</si>
  <si>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2026-05-15T22:40:42.105+02:00</t>
  </si>
  <si>
    <t>2026-05-15T23:05:43.174+02:00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</si>
  <si>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</si>
  <si>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ready_pickup</t>
  </si>
  <si>
    <t>2026-05-15T22:39:57.315+02:00</t>
  </si>
  <si>
    <t>2026-05-15T23:00:42.187+02:00</t>
  </si>
  <si>
    <t>[{"id":"123","note":"","count":1,"label":"Quattro Formaggi 32cm","posId":"123","price":24900,"isExtra":false},{"id":"K0000","note":"","count":1,"label":"Balné","posId":"K0000","price":1500,"isExtra":true}]</t>
  </si>
  <si>
    <t>2026-05-15T22:34:53.802+02:00</t>
  </si>
  <si>
    <t>2026-05-15T22:55:08.946+02:00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</si>
  <si>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</si>
  <si>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2026-05-15T22:30:54.146+02:00</t>
  </si>
  <si>
    <t>2026-05-15T22:54:33.185+02:00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</si>
  <si>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</si>
  <si>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2026-05-15T22:30:03.912+02:00</t>
  </si>
  <si>
    <t>2026-05-15T22:59:40.153+02:00</t>
  </si>
  <si>
    <t>[{"id":"a4e8ca23-fe36-4747-a603-19485eee7e76","note":"","count":1,"label":"Hot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</si>
  <si>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Tomáš</t>
  </si>
  <si>
    <t>2026-05-15T22:28:21.172+02:00</t>
  </si>
  <si>
    <t>2026-05-15T22:48:49.097+02:00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</si>
  <si>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základ","posId":"ZRB40","price":0,"isExtra":true}]</t>
  </si>
  <si>
    <t>2026-05-15T22:26:16.536+02:00</t>
  </si>
  <si>
    <t>2026-05-15T22:43:01.110+02:00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</si>
  <si>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bylinky","posId":"A122","price":6500,"isExtra":true},{"id":"54685134","note":"","count":1,"label":"Bez cibule","posId":"X103","price":0,"KDSTags":["redhighlight"],"isExtra":true},{"id":"57405722","note":"","size":"Poděbradská malinovka 0,5l","count":2,"label":"Poděbradská malinovka 0,5l","posId":"N129","price":4900,"isExtra":false}]</t>
  </si>
  <si>
    <t>2026-05-15T22:25:53.902+02:00</t>
  </si>
  <si>
    <t>2026-05-15T22:40:17.156+02:00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</si>
  <si>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</si>
  <si>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2026-05-15T22:25:01.548+02:00</t>
  </si>
  <si>
    <t>2026-05-15T22:44:28.110+02:00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</si>
  <si>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</si>
  <si>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2026-05-15T22:24:03.472+02:00</t>
  </si>
  <si>
    <t>2026-05-15T22:38:30.851+02:00</t>
  </si>
  <si>
    <t>2026-05-15T22:46:06.316+02:00</t>
  </si>
  <si>
    <t>2026-05-15T22:24:17.528+02:00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</si>
  <si>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</si>
  <si>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2026-05-15T22:21:52.575+02:00</t>
  </si>
  <si>
    <t>2026-05-15T22:50:41.094+02:00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</si>
  <si>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🌶️🌶️","posId":"122","price":24900,"isExtra":false},{"id":"54685059","note":"","count":1,"label":"Balné","posId":"K0000","price":1500,"isExtra":true},{"id":"54685097","note":"","count":1,"label":"okraj mozzarella, bbq omáčka","posId":"A123","price":5700,"isExtra":true}]</t>
  </si>
  <si>
    <t>2026-05-15T22:21:03.614+02:00</t>
  </si>
  <si>
    <t>2026-05-15T22:52:43.885+02:00</t>
  </si>
  <si>
    <t>2026-05-15T23:01:12.881+02:00</t>
  </si>
  <si>
    <t>2026-05-15T22:24:11.313+02:00</t>
  </si>
  <si>
    <t>[{"id":"7ee7e3c8-2c54-4dc5-810f-2f52f62e2d14","note":"","count":1,"label":"Comeback 32 cm","posId":"121","price":24900,"isExtra":false},{"id":"d40dcdad-4060-4002-9185-1f39db4f4595","note":"","count":1,"label":"špenát s česnekem","posId":"B107","price":2500,"KDSTags":["greenhighlight"],"isExtra":true},{"id":"978c26ec-8492-4979-8b1c-f7ff8381d413","note":"","count":1,"label":"Pepperoni Rolls, 6 ks","posId":"P100","price":8900,"isExtra":false},{"id":"e1c5136d-42df-4209-a1d5-7b367060d3f2","note":"","count":1,"label":"Spicy Wings","posId":"P101","price":11900,"isExtra":false},{"id":"2a9dc121-ec1e-4cbb-b8d5-66ce6a546664","note":"","count":1,"label":"DIP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</si>
  <si>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2026-05-15T22:19:53.754+02:00</t>
  </si>
  <si>
    <t>2026-05-15T22:35:48.125+02:00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</si>
  <si>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🌶️🌶️","posId":"110","price":30900,"isExtra":false},{"id":"9642908ce4c2f22954c8bbd6","count":1,"label":"Balné","posId":"K0000","price":2000,"isExtra":true},{"id":"6748417db17528cb9bcae5e5","count":1,"label":"Margherita 40cm","posId":"100","price":26900,"isExtra":false},{"id":"9642908ce4c2f22954c8bbd6","count":1,"label":"Balné","posId":"K0000","price":2000,"isExtra":true}]</t>
  </si>
  <si>
    <t>2026-05-15T22:17:37.519+02:00</t>
  </si>
  <si>
    <t>2026-05-15T22:32:59.001+02:00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</si>
  <si>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</si>
  <si>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2026-05-15T22:17:12.077+02:00</t>
  </si>
  <si>
    <t>2026-05-15T22:31:49.837+02:00</t>
  </si>
  <si>
    <t>[{"id":"938c5f48-ae6e-4f69-af1e-f02b510b7868","count":1,"label":"Pizza Hot &amp; Spicy 40","posId":"110","price":30900,"isExtra":false,"creatorId":"Ka8NAFlaujiUKlyQtf874","isPackging":0,"actualLabel":"Pizza Hot &amp; Spicy 40"}]</t>
  </si>
  <si>
    <t>2026-05-15T22:16:03.018+02:00</t>
  </si>
  <si>
    <t>2026-05-15T22:29:21.746+02:00</t>
  </si>
  <si>
    <t>2026-05-15T22:41:09.393+02:00</t>
  </si>
  <si>
    <t>2026-05-15T22:18:57.105+02:00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</si>
  <si>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cm","posId":"111","price":30900,"isExtra":false}]</t>
  </si>
  <si>
    <t>2026-05-15T22:14:56.294+02:00</t>
  </si>
  <si>
    <t>2026-05-15T22:27:34.091+02:00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</si>
  <si>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</si>
  <si>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2026-05-15T22:08:22.593+02:00</t>
  </si>
  <si>
    <t>2026-05-15T22:20:08.068+02:00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</si>
  <si>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32cm","posId":"123","price":24900,"isExtra":false},{"id":"bd23bb29ddc67d336ee4c95b","count":1,"label":"Balné","posId":"K0000","price":1500,"isExtra":true},{"id":"6748417db17528cb9bcae611","count":2,"label":"Baby Špenát &amp; kuře 32cm","posId":"116","price":24900,"isExtra":false},{"id":"bd23bb29ddc67d336ee4c95b","count":2,"label":"Balné","posId":"K0000","price":1500,"isExtra":true}]</t>
  </si>
  <si>
    <t>2026-05-15T22:07:58.136+02:00</t>
  </si>
  <si>
    <t>2026-05-15T22:18:01.050+02:00</t>
  </si>
  <si>
    <t>[{"id":"6748417db17528cb9bcae5f5","count":1,"label":"Hawai 40cm","posId":"102","price":30900,"isExtra":false},{"id":"9642908ce4c2f22954c8bbd6","count":1,"label":"Balné","posId":"K0000","price":2000,"isExtra":true},{"id":"6748417db17528cb9bcae63b","count":3,"label":"Česnekový dip","posId":"P106","price":2000,"isExtra":false},{"id":"bd23bb29ddc67d336ee4c95b","count":3,"label":"Balné","posId":"K0000","price":1500,"isExtra":true},{"id":"6748417db17528cb9bcae655","count":1,"label":"Aquilla černý čaj a broskev 0,5l","posId":"N120","price":4900,"isExtra":false}]</t>
  </si>
  <si>
    <t>2026-05-15T22:04:19.777+02:00</t>
  </si>
  <si>
    <t>2026-05-15T22:13:42.996+02:00</t>
  </si>
  <si>
    <t>[{"id":"6748417db17528cb9bcae60d","count":1,"label":"Hawai 32cm","posId":"114","price":24900,"isExtra":false},{"id":"bd23bb29ddc67d336ee4c95b","count":1,"label":"Balné","posId":"K0000","price":1500,"isExtra":true},{"id":"6748417db17528cb9bcae611","count":1,"label":"Baby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</si>
  <si>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2026-05-15T22:03:34.062+02:00</t>
  </si>
  <si>
    <t>2026-05-15T22:10:08.024+02:00</t>
  </si>
  <si>
    <t>2026-05-15T21:53:02.806+02:00</t>
  </si>
  <si>
    <t>2026-05-15T22:03:21.844+02:00</t>
  </si>
  <si>
    <t>2026-05-15T22:27:42.937+02:00</t>
  </si>
  <si>
    <t>2026-05-15T21:55:11.739+02:00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</si>
  <si>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-cibule","posId":"X103","price":0,"KDSTags":["redhighlight"],"isExtra":true},{"id":"978c26ec-8492-4979-8b1c-f7ff8381d413","note":"","count":1,"label":"Pepperoni Rolls, 6 ks","posId":"P100","price":8900,"isExtra":false}]</t>
  </si>
  <si>
    <t>2026-05-15T21:47:41.061+02:00</t>
  </si>
  <si>
    <t>2026-05-15T21:54:30.009+02:00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</si>
  <si>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</si>
  <si>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card</t>
  </si>
  <si>
    <t>2026-05-15T21:46:04.746+02:00</t>
  </si>
  <si>
    <t>2026-05-15T21:53:00.771+02:00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</si>
  <si>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</si>
  <si>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Martin</t>
  </si>
  <si>
    <t>2026-05-15T21:40:20.865+02:00</t>
  </si>
  <si>
    <t>2026-05-15T21:50:41.805+02:00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</si>
  <si>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</si>
  <si>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2026-05-15T21:37:11.252+02:00</t>
  </si>
  <si>
    <t>2026-05-15T21:49:21.537+02:00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</si>
  <si>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c8060258bf0fd7cbef66bb7b","count":1,"label":"Gorgonzola","posId":"C101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</si>
  <si>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2026-05-15T21:33:14.018+02:00</t>
  </si>
  <si>
    <t>2026-05-15T21:46:20.771+02:00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</si>
  <si>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32cm","posId":"123","price":24900,"isExtra":false},{"id":"54685059","note":"","count":1,"label":"Balné","posId":"K0000","price":1500,"isExtra":true},{"id":"54685124","note":"","count":1,"label":"okraj hotdog, bbq omáčka","posId":"A119","price":5700,"isExtra":true},{"id":"59589716","note":"","size":"Baby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</si>
  <si>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2026-05-15T21:32:34.731+02:00</t>
  </si>
  <si>
    <t>2026-05-15T21:45:13.884+02:00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</si>
  <si>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bylinky","posId":"A122","price":6500,"isExtra":true},{"id":"54685160","note":"","count":1,"label":"Mozzarella","posId":"C113","price":4000,"KDSTags":["greenhighlight"],"isExtra":true},{"id":"57464194","note":"","size":"Dip Jalapeňos","count":1,"label":"Dip Jalapeňos","posId":"P107","price":2000,"isExtra":false},{"id":"54685059","note":"","count":1,"label":"Balné","posId":"K0000","price":1500,"isExtra":true},{"id":"57405720","note":"","size":"Mirinda 1l","count":1,"label":"Mirinda 1l","posId":"N126","price":5900,"isExtra":false}]</t>
  </si>
  <si>
    <t>Radim</t>
  </si>
  <si>
    <t>2026-05-15T21:32:11.263+02:00</t>
  </si>
  <si>
    <t>2026-05-15T21:39:43.757+02:00</t>
  </si>
  <si>
    <t>[{"id":"101","note":"","count":1,"label":"Capricciosa 40cm","posId":"101","price":30900,"isExtra":false},{"id":"K0000","note":"","count":1,"label":"Balné","posId":"K0000","price":2000,"isExtra":true},{"id":"N20","note":"","count":6,"label":"Pilsner Urquell 12","posId":"N20","price":6500,"isExtra":false}]</t>
  </si>
  <si>
    <t>2026-05-15T21:26:46.869+02:00</t>
  </si>
  <si>
    <t>2026-05-15T21:32:35.820+02:00</t>
  </si>
  <si>
    <t>[{"id":"df58a837-7738-491b-9667-43334eccf250","count":1,"label":"Pizza BBQ Meteor 18","posId":"130","price":11900,"isExtra":false,"creatorId":"3vjBoZkujNRXFM5ksfPUX","isPackging":0,"actualLabel":"Pizza BBQ Meteor 18"}]</t>
  </si>
  <si>
    <t>Madiyar</t>
  </si>
  <si>
    <t>2026-05-15T21:24:44.785+02:00</t>
  </si>
  <si>
    <t>2026-05-15T21:31:58.830+02:00</t>
  </si>
  <si>
    <t>[{"id":"102","note":"","count":1,"label":"Hawai 40cm","posId":"102","price":30900,"isExtra":false},{"id":"K0000","note":"","count":1,"label":"Balné","posId":"K0000","price":2000,"isExtra":true}]</t>
  </si>
  <si>
    <t>2026-05-15T21:23:31.519+02:00</t>
  </si>
  <si>
    <t>2026-05-15T21:31:11.922+02:00</t>
  </si>
  <si>
    <t>[{"id":"b5cd6d23-f361-4161-9aa5-cc25896b6767","count":1,"label":"Pizza Comeback 32","posId":"121","price":24900,"isExtra":false,"creatorId":"BQlDmkGoOCwjzItU-qnBk","isPackging":0,"actualLabel":"Pizza Comeback 32"}]</t>
  </si>
  <si>
    <t>2026-05-15T21:16:05.128+02:00</t>
  </si>
  <si>
    <t>2026-05-15T21:29:31.633+02:00</t>
  </si>
  <si>
    <t>2026-05-15T21:46:25.525+02:00</t>
  </si>
  <si>
    <t>2026-05-15T21:16:06.013+02:00</t>
  </si>
  <si>
    <t>[{"id":"088a7edc-ef1e-4c6b-b7a1-36c2c45ab0fe","note":"","count":1,"label":"Capricciosa 32 cm","posId":"113","price":24900,"isExtra":false},{"id":"0491ba2d-7c43-44f5-949a-e82693028cdb","note":"","count":1,"label":"Margherita 32 cm","posId":"136","price":20900,"isExtra":false},{"id":"51742ea4-2dd0-45e1-9eee-08e8ee1273fe","note":"","count":1,"label":"okraj Hotdog bez omáčky","posId":"A125","price":5700,"isExtra":true},{"id":"6e70115f-a0f1-42d6-aaca-1c1f7aa64cb8","note":"","count":1,"label":"šunka","posId":"B106","price":3000,"KDSTags":["greenhighlight"],"isExtra":true}]</t>
  </si>
  <si>
    <t>2026-05-15T21:15:02.900+02:00</t>
  </si>
  <si>
    <t>2026-05-15T21:28:04.518+02:00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</si>
  <si>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bylinky","posId":"A122","price":6500,"isExtra":true},{"id":"2da9e058-428b-42bc-bbe3-e7353c52c9e8","note":"","count":1,"label":"Cibule","posId":"C103","price":3500,"KDSTags":["greenhighlight"],"isExtra":true}]</t>
  </si>
  <si>
    <t>2026-05-15T21:12:32.917+02:00</t>
  </si>
  <si>
    <t>2026-05-15T21:23:10.926+02:00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</si>
  <si>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</si>
  <si>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2026-05-15T21:08:56.741+02:00</t>
  </si>
  <si>
    <t>2026-05-15T21:22:04.429+02:00</t>
  </si>
  <si>
    <t>[{"id":"59589713","note":"","size":"Zeleninová 32cm","count":1,"label":"Zeleninová 32cm","posId":"115","price":24900,"isExtra":false},{"id":"54685059","note":"","count":1,"label":"Balné","posId":"K0000","price":1500,"isExtra":true},{"id":"57279289","note":"","count":1,"label":"BBQ základ","posId":"ZRB32","price":0,"isExtra":true},{"id":"54685101","note":"","count":1,"label":"Bez papriky","posId":"X111","price":0,"KDSTags":["redhighlight"],"isExtra":true}]</t>
  </si>
  <si>
    <t>2026-05-15T21:06:25.940+02:00</t>
  </si>
  <si>
    <t>2026-05-15T21:21:55.807+02:00</t>
  </si>
  <si>
    <t>[{"id":"109","note":"","count":1,"label":"Comeback 40cm 🌶️","posId":"109","price":30900,"isExtra":false},{"id":"K0000","note":"","count":1,"label":"Balné","posId":"K0000","price":2000,"isExtra":true}]</t>
  </si>
  <si>
    <t>2026-05-15T21:06:14.811+02:00</t>
  </si>
  <si>
    <t>2026-05-15T21:20:21.753+02:00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</si>
  <si>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</si>
  <si>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2026-05-15T21:06:14.702+02:00</t>
  </si>
  <si>
    <t>2026-05-15T21:17:58.990+02:00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</si>
  <si>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</si>
  <si>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2026-05-15T21:01:48.784+02:00</t>
  </si>
  <si>
    <t>2026-05-15T21:15:46.324+02:00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</si>
  <si>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</si>
  <si>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2026-05-15T20:58:03.058+02:00</t>
  </si>
  <si>
    <t>2026-05-15T21:14:45.546+02:00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</si>
  <si>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</si>
  <si>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2026-05-15T20:57:03.567+02:00</t>
  </si>
  <si>
    <t>2026-05-15T21:08:09.511+02:00</t>
  </si>
  <si>
    <t>[{"id":"faf7ff40-eef3-48bd-92c4-b33e5bbf095d","note":"","count":1,"label":"Quattro Formaggi 40 cm","posId":"111","price":30900,"isExtra":false}]</t>
  </si>
  <si>
    <t>2026-05-15T20:56:48.148+02:00</t>
  </si>
  <si>
    <t>2026-05-15T21:06:22.828+02:00</t>
  </si>
  <si>
    <t>Rasim</t>
  </si>
  <si>
    <t>2026-05-15T20:55:44.633+02:00</t>
  </si>
  <si>
    <t>2026-05-15T21:05:09.643+02:00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</si>
  <si>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</si>
  <si>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2026-05-15T20:55:03.687+02:00</t>
  </si>
  <si>
    <t>2026-05-15T21:04:01.487+02:00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</si>
  <si>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BBQ","posId":"A124","price":6500,"isExtra":true},{"id":"0604cf40-24b5-4ad5-a9e4-e5834def96b8","note":"","count":2,"label":"Dip česnekový","posId":"P106","price":2000,"isExtra":false}]</t>
  </si>
  <si>
    <t>2026-05-15T20:43:53.154+02:00</t>
  </si>
  <si>
    <t>2026-05-15T20:56:16.695+02:00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</si>
  <si>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🌶️","posId":"109","price":30900,"isExtra":false},{"id":"54685049","note":"","count":1,"label":"Balné","posId":"K0000","price":2000,"isExtra":true},{"id":"54685113","note":"","count":1,"label":"okraj hotdog, hořčice","posId":"A118","price":6500,"isExtra":true}]</t>
  </si>
  <si>
    <t>2026-05-15T20:39:00.460+02:00</t>
  </si>
  <si>
    <t>2026-05-15T20:53:08.680+02:00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</si>
  <si>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</si>
  <si>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2026-05-15T20:38:59.903+02:00</t>
  </si>
  <si>
    <t>2026-05-15T20:49:46.707+02:00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</si>
  <si>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</si>
  <si>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2026-05-15T20:37:12.593+02:00</t>
  </si>
  <si>
    <t>2026-05-15T20:48:56.696+02:00</t>
  </si>
  <si>
    <t>2026-05-15T21:05:29.978+02:00</t>
  </si>
  <si>
    <t>2026-05-15T20:37:14.059+02:00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</si>
  <si>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</si>
  <si>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2026-05-15T20:34:46.602+02:00</t>
  </si>
  <si>
    <t>2026-05-15T20:46:46.984+02:00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</si>
  <si>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</si>
  <si>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2026-05-15T20:30:32.602+02:00</t>
  </si>
  <si>
    <t>2026-05-15T20:43:36.842+02:00</t>
  </si>
  <si>
    <t>[{"id":"112","note":"","count":1,"label":"Margherita 32cm","posId":"112","price":20900,"isExtra":false},{"id":"K0000","note":"","count":1,"label":"Balné","posId":"K0000","price":1500,"isExtra":true},{"id":"122","note":"","count":1,"label":"Hot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</si>
  <si>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2026-05-15T20:29:55.778+02:00</t>
  </si>
  <si>
    <t>2026-05-15T20:40:40.695+02:00</t>
  </si>
  <si>
    <t>[{"id":"6748417db17528cb9bcae5eb","count":1,"label":"Comeback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</si>
  <si>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2026-05-15T20:27:55.728+02:00</t>
  </si>
  <si>
    <t>2026-05-15T20:42:26.836+02:00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</si>
  <si>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</si>
  <si>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2026-05-15T20:24:16.519+02:00</t>
  </si>
  <si>
    <t>2026-05-15T20:38:14.264+02:00</t>
  </si>
  <si>
    <t>[{"id":"59589713","note":"","size":"Zeleninová 32cm","count":1,"label":"Zeleninová 32cm","posId":"115","price":24900,"isExtra":false},{"id":"54685059","note":"","count":1,"label":"Balné","posId":"K0000","price":1500,"isExtra":true},{"id":"54685101","note":"","count":1,"label":"Bez papriky","posId":"X111","price":0,"KDSTags":["redhighlight"],"isExtra":true},{"id":"54685122","note":"","count":1,"label":"Bez cibule","posId":"X103","price":0,"KDSTags":["redhighlight"],"isExtra":true},{"id":"54685125","note":"","count":1,"label":"Bez žampionů","posId":"X105","price":0,"KDSTags":["redhighlight"],"isExtra":true}]</t>
  </si>
  <si>
    <t>2026-05-15T20:24:13.000+02:00</t>
  </si>
  <si>
    <t>2026-05-15T20:38:02.748+02:00</t>
  </si>
  <si>
    <t>[{"id":"54684981","note":"","size":"Hawai 40cm","count":1,"label":"Hawai 40cm","posId":"102","price":30900,"isExtra":false},{"id":"54685049","note":"","count":1,"label":"Balné","posId":"K0000","price":2000,"isExtra":true},{"id":"54684975","note":"","size":"Comeback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</si>
  <si>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2026-05-15T20:24:03.833+02:00</t>
  </si>
  <si>
    <t>2026-05-15T20:35:22.311+02:00</t>
  </si>
  <si>
    <t>[{"id":"0b22568e-4d1c-45db-9aa3-de09ef6c293a","note":"","count":1,"label":"Pepperoni 32 cm","posId":"120","price":24900,"isExtra":false},{"id":"0491ba2d-7c43-44f5-949a-e82693028cdb","note":"","count":1,"label":"Margherita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</si>
  <si>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2026-05-15T20:24:03.810+02:00</t>
  </si>
  <si>
    <t>2026-05-15T20:33:21.445+02:00</t>
  </si>
  <si>
    <t>[{"id":"c17837f5-7a43-4caf-86f2-7f4c925f90fb","note":"","count":1,"label":"BBQ Meteor 32 cm","posId":"118","price":24900,"isExtra":false}]</t>
  </si>
  <si>
    <t>2026-05-15T20:22:03.123+02:00</t>
  </si>
  <si>
    <t>2026-05-15T20:30:50.533+02:00</t>
  </si>
  <si>
    <t>2026-05-15T20:38:35.674+02:00</t>
  </si>
  <si>
    <t>2026-05-15T20:22:04.104+02:00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</si>
  <si>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cm","posId":"122","price":24900,"isExtra":false},{"id":"158f381e-7b09-45c4-95d8-d131055d3875","note":"","count":1,"label":"okraj Hotdog BBQ","posId":"A119","price":5700,"isExtra":true}]</t>
  </si>
  <si>
    <t>2026-05-15T20:18:05.997+02:00</t>
  </si>
  <si>
    <t>2026-05-15T20:31:57.456+02:00</t>
  </si>
  <si>
    <t>2026-05-15T20:56:31.254+02:00</t>
  </si>
  <si>
    <t>2026-05-15T20:20:48.796+02:00</t>
  </si>
  <si>
    <t>[{"id":"1edf54fc-1032-442c-939f-e6e2033b2270","note":"","count":1,"label":"Comeback 40 cm","posId":"109","price":30900,"isExtra":false}]</t>
  </si>
  <si>
    <t>2026-05-15T20:14:18.482+02:00</t>
  </si>
  <si>
    <t>2026-05-15T20:24:23.581+02:00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</si>
  <si>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🌶️🌶️","posId":"110","price":30900,"isExtra":false},{"id":"9642908ce4c2f22954c8bbd6","count":1,"label":"Balné","posId":"K0000","price":2000,"isExtra":true},{"id":"6748417db17528cb9bcae637","count":1,"label":"Česnekový chléb 18cm","posId":"P104","price":7900,"isExtra":false},{"id":"bd23bb29ddc67d336ee4c95b","count":1,"label":"Balné","posId":"K0000","price":1500,"isExtra":true}]</t>
  </si>
  <si>
    <t>2026-05-15T20:11:06.158+02:00</t>
  </si>
  <si>
    <t>2026-05-15T20:28:17.552+02:00</t>
  </si>
  <si>
    <t>2026-05-15T20:51:05.300+02:00</t>
  </si>
  <si>
    <t>2026-05-15T20:11:08.398+02:00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</si>
  <si>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-olivy","posId":"X112","price":0,"KDSTags":["redhighlight"],"isExtra":true}]</t>
  </si>
  <si>
    <t>2026-05-15T20:10:06.437+02:00</t>
  </si>
  <si>
    <t>2026-05-15T20:26:51.323+02:00</t>
  </si>
  <si>
    <t>2026-05-15T20:45:36.564+02:00</t>
  </si>
  <si>
    <t>2026-05-15T20:10:07.835+02:00</t>
  </si>
  <si>
    <t>[{"id":"9b3fd0f9-6a36-4a8e-95ad-00dbae675705","note":"","count":1,"label":"Capricciosa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cm","posId":"111","price":30900,"isExtra":false}]</t>
  </si>
  <si>
    <t>2026-05-15T20:09:02.841+02:00</t>
  </si>
  <si>
    <t>2026-05-15T20:21:20.267+02:00</t>
  </si>
  <si>
    <t>2026-05-15T20:33:23.076+02:00</t>
  </si>
  <si>
    <t>2026-05-15T20:09:04.127+02:00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</si>
  <si>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cm","posId":"126","price":11900,"isExtra":false},{"id":"729a5bf7-1e81-474d-93e1-129401ad77bd","note":"","count":1,"label":"Dip BBQ","posId":"P105","price":2000,"isExtra":false}]</t>
  </si>
  <si>
    <t>2026-05-15T20:07:03.384+02:00</t>
  </si>
  <si>
    <t>2026-05-15T20:18:34.530+02:00</t>
  </si>
  <si>
    <t>[{"id":"3ca6f105-5e70-48ee-bc31-76525f0a0b11","note":"","count":1,"label":"BBQ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,{"id":"e1c5136d-42df-4209-a1d5-7b367060d3f2","note":"","count":1,"label":"Spicy Wings","posId":"P101","price":11900,"isExtra":false}]</t>
  </si>
  <si>
    <t>2026-05-15T20:02:03.023+02:00</t>
  </si>
  <si>
    <t>2026-05-15T20:16:33.308+02:00</t>
  </si>
  <si>
    <t>2026-05-15T20:40:44.834+02:00</t>
  </si>
  <si>
    <t>2026-05-15T20:02:03.872+02:00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</si>
  <si>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základ","posId":"A127","price":0,"isExtra":true},{"id":"896d2264-b315-4ee3-b331-0fa7b26bb96f","note":"","count":1,"label":"Hawai 32 cm","posId":"114","price":24900,"isExtra":false}]</t>
  </si>
  <si>
    <t>2026-05-15T20:00:46.237+02:00</t>
  </si>
  <si>
    <t>2026-05-15T20:12:36.526+02:00</t>
  </si>
  <si>
    <t>2026-05-15T19:58:41.361+02:00</t>
  </si>
  <si>
    <t>2026-05-15T20:11:43.795+02:00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</si>
  <si>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</si>
  <si>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2026-05-15T19:58:03.834+02:00</t>
  </si>
  <si>
    <t>2026-05-15T20:11:00.456+02:00</t>
  </si>
  <si>
    <t>2026-05-15T20:28:31.601+02:00</t>
  </si>
  <si>
    <t>2026-05-15T19:58:04.871+02:00</t>
  </si>
  <si>
    <t>[{"id":"431e159e-af3b-4bad-9f72-f07001b572f8","note":"","count":1,"label":"Baby špenát &amp; kuře 40 cm","posId":"104","price":30900,"isExtra":false},{"id":"896d2264-b315-4ee3-b331-0fa7b26bb96f","note":"","count":1,"label":"Hawai 32 cm","posId":"114","price":24900,"isExtra":false},{"id":"7eae80af-3fb0-4484-825a-00dd12db3ff3","note":"","count":1,"label":"Jalapenos Rolls, 6 ks","posId":"jpr200","price":8900,"isExtra":false}]</t>
  </si>
  <si>
    <t>2026-05-15T19:56:07.042+02:00</t>
  </si>
  <si>
    <t>2026-05-15T20:07:17.963+02:00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</si>
  <si>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,{"id":"54685160","note":"","count":1,"label":"Mozzarella","posId":"C113","price":4000,"KDSTags":["greenhighlight"],"isExtra":true}]</t>
  </si>
  <si>
    <t>2026-05-15T19:52:06.483+02:00</t>
  </si>
  <si>
    <t>2026-05-15T20:03:47.359+02:00</t>
  </si>
  <si>
    <t>2026-05-15T20:14:13.947+02:00</t>
  </si>
  <si>
    <t>2026-05-15T19:52:07.364+02:00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</si>
  <si>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cm","posId":"123","price":24900,"isExtra":false}]</t>
  </si>
  <si>
    <t>2026-05-15T19:39:02.985+02:00</t>
  </si>
  <si>
    <t>2026-05-15T20:02:32.747+02:00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</si>
  <si>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</si>
  <si>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2026-05-15T19:38:03.944+02:00</t>
  </si>
  <si>
    <t>2026-05-15T20:00:54.545+02:00</t>
  </si>
  <si>
    <t>2026-05-15T20:07:43.566+02:00</t>
  </si>
  <si>
    <t>2026-05-15T19:38:05.101+02:00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</si>
  <si>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česnekový","posId":"P106","price":2000,"isExtra":false}]</t>
  </si>
  <si>
    <t>2026-05-15T19:35:04.013+02:00</t>
  </si>
  <si>
    <t>2026-05-15T19:51:28.606+02:00</t>
  </si>
  <si>
    <t>[{"id":"088a7edc-ef1e-4c6b-b7a1-36c2c45ab0fe","note":"","count":1,"label":"Capricciosa 32 cm","posId":"113","price":24900,"isExtra":false}]</t>
  </si>
  <si>
    <t>2026-05-15T19:34:03.718+02:00</t>
  </si>
  <si>
    <t>2026-05-15T19:57:02.473+02:00</t>
  </si>
  <si>
    <t>2026-05-15T20:03:09.865+02:00</t>
  </si>
  <si>
    <t>2026-05-15T19:34:04.654+02:00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</si>
  <si>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bylinky","posId":"A121","price":5700,"isExtra":true},{"id":"75667a6e-daec-4fb6-917e-f318f7121924","note":"","count":1,"label":"Pepperoni 18 cm","posId":"132","price":11900,"isExtra":false}]</t>
  </si>
  <si>
    <t>2026-05-15T19:32:12.381+02:00</t>
  </si>
  <si>
    <t>2026-05-15T19:50:19.468+02:00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</si>
  <si>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</si>
  <si>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2026-05-15T19:32:00.214+02:00</t>
  </si>
  <si>
    <t>2026-05-15T19:46:02.596+02:00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</si>
  <si>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</si>
  <si>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2026-05-15T19:26:55.439+02:00</t>
  </si>
  <si>
    <t>2026-05-15T19:40:50.451+02:00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</si>
  <si>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</si>
  <si>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2026-05-15T19:18:09.272+02:00</t>
  </si>
  <si>
    <t>2026-05-15T19:38:56.225+02:00</t>
  </si>
  <si>
    <t>[{"id":"7f0c5098-18bf-4c65-bec8-dd6bf68eb768","note":"","count":1,"label":"Masové kuličky, 10 ks","posId":"P102","price":9900,"isExtra":false},{"id":"1da6e618-5f95-4707-b8bd-b1685e13f67a","note":"","count":1,"label":"Hawai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-ananas","posId":"X100","price":0,"KDSTags":["redhighlight"],"isExtra":true}]</t>
  </si>
  <si>
    <t>2026-05-15T19:18:09.003+02:00</t>
  </si>
  <si>
    <t>2026-05-15T19:35:08.342+02:00</t>
  </si>
  <si>
    <t>2026-05-15T19:56:48.909+02:00</t>
  </si>
  <si>
    <t>2026-05-15T19:18:14.186+02:00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</si>
  <si>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</si>
  <si>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2026-05-15T19:12:04.112+02:00</t>
  </si>
  <si>
    <t>2026-05-15T19:39:37.176+02:00</t>
  </si>
  <si>
    <t>2026-05-15T19:39:41.073+02:00</t>
  </si>
  <si>
    <t>2026-05-15T19:12:05.741+02:00</t>
  </si>
  <si>
    <t>[{"id":"1bf82332-f38e-4349-ab02-2ebafec00ff8","note":"","count":1,"label":"Zeleninová 32 cm","posId":"115","price":24900,"isExtra":false},{"id":"7ebac4a7-6cce-442e-b2bb-06b929c16076","note":"","count":1,"label":"Baby špenát &amp; kuře 32 cm","posId":"116","price":24900,"isExtra":false},{"id":"7eae80af-3fb0-4484-825a-00dd12db3ff3","note":"","count":1,"label":"Jalapenos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</si>
  <si>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2026-05-15T19:07:14.553+02:00</t>
  </si>
  <si>
    <t>2026-05-15T19:30:36.695+02:00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</si>
  <si>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základ","posId":"ZRS32","price":0,"isExtra":true},{"id":"5f2a50eca1a44e5dc7ac4a4d","count":1,"label":"okraj hotdog, bbq omáčka","posId":"A119","price":5700,"isExtra":true},{"id":"77106882b6d8ba4f0ccb4cc6","count":1,"label":"Šunka","posId":"B106","price":3000,"KDSTags":["greenhighlight"],"isExtra":true}]</t>
  </si>
  <si>
    <t>2026-05-15T19:06:03.395+02:00</t>
  </si>
  <si>
    <t>2026-05-15T19:25:42.267+02:00</t>
  </si>
  <si>
    <t>[{"id":"a78b511f-836b-415e-9285-dd47f293529b","note":"","count":1,"label":"Pepperoni 40 cm","posId":"108","price":30900,"isExtra":false},{"id":"2da9e058-428b-42bc-bbe3-e7353c52c9e8","note":"","count":1,"label":"Cibule","posId":"C103","price":3500,"KDSTags":["greenhighlight"],"isExtra":true},{"id":"2a9dc121-ec1e-4cbb-b8d5-66ce6a546664","note":"","count":1,"label":"DIP jalapenos","posId":"P107","price":2000,"isExtra":false}]</t>
  </si>
  <si>
    <t>2026-05-15T19:06:03.333+02:00</t>
  </si>
  <si>
    <t>2026-05-15T19:24:35.356+02:00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</si>
  <si>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</si>
  <si>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2026-05-15T19:05:03.354+02:00</t>
  </si>
  <si>
    <t>2026-05-15T19:23:48.502+02:00</t>
  </si>
  <si>
    <t>2026-05-15T19:32:47.338+02:00</t>
  </si>
  <si>
    <t>2026-05-15T19:05:07.236+02:00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</si>
  <si>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</si>
  <si>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2026-05-15T19:02:35.414+02:00</t>
  </si>
  <si>
    <t>2026-05-15T19:22:34.318+02:00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</si>
  <si>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</si>
  <si>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2026-05-15T19:02:06.636+02:00</t>
  </si>
  <si>
    <t>2026-05-15T19:20:27.444+02:00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</si>
  <si>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základ","posId":"ZBR32","price":0,"isExtra":true},{"id":"6748417db17528cb9bcae5ff","count":1,"label":"Quattro Formaggi 32cm","posId":"123","price":24900,"isExtra":false},{"id":"bd23bb29ddc67d336ee4c95b","count":1,"label":"Balné","posId":"K0000","price":1500,"isExtra":true}]</t>
  </si>
  <si>
    <t>2026-05-15T18:59:59.483+02:00</t>
  </si>
  <si>
    <t>2026-05-15T19:17:09.629+02:00</t>
  </si>
  <si>
    <t>[{"id":"59589708","note":"Bez salámu","size":"Hot &amp; Spicy 32cm 🌶️🌶️","count":1,"label":"Hot &amp; Spicy 32cm 🌶️🌶️","posId":"122","price":24900,"isExtra":false},{"id":"54685059","note":"","count":1,"label":"Balné","posId":"K0000","price":1500,"isExtra":true},{"id":"54685020","note":"","size":"Jalapenos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</si>
  <si>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2026-05-15T18:59:34.917+02:00</t>
  </si>
  <si>
    <t>2026-05-15T19:14:24.909+02:00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</si>
  <si>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</si>
  <si>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2026-05-15T18:56:49.551+02:00</t>
  </si>
  <si>
    <t>2026-05-15T19:13:36.210+02:00</t>
  </si>
  <si>
    <t>[{"id":"59589714","note":"","size":"Hawai 32cm","count":1,"label":"Hawai 32cm","posId":"114","price":24900,"isExtra":false},{"id":"54685059","note":"","count":1,"label":"Balné","posId":"K0000","price":1500,"isExtra":true},{"id":"59589711","note":"","size":"BBQ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</si>
  <si>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2026-05-15T18:54:09.313+02:00</t>
  </si>
  <si>
    <t>2026-05-15T19:06:01.620+02:00</t>
  </si>
  <si>
    <t>2026-05-15T19:18:18.165+02:00</t>
  </si>
  <si>
    <t>2026-05-15T18:54:12.662+02:00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</si>
  <si>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6bc8a133-7fb0-4f29-b8bc-6b6353a5cf9c","note":"","count":1,"label":"Paprika","posId":"C111","price":3500,"KDSTags":["greenhighlight"],"isExtra":true},{"id":"d620bc6b-ecfa-4465-a21e-5ad55002e77c","note":"","count":1,"label":"Žampiony","posId":"C105","price":3500,"KDSTags":["greenhighlight"],"isExtra":true}]</t>
  </si>
  <si>
    <t>2026-05-15T18:54:04.889+02:00</t>
  </si>
  <si>
    <t>2026-05-15T19:10:12.764+02:00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</si>
  <si>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</si>
  <si>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2026-05-15T18:51:02.935+02:00</t>
  </si>
  <si>
    <t>2026-05-15T19:01:39.754+02:00</t>
  </si>
  <si>
    <t>2026-05-15T19:15:10.722+02:00</t>
  </si>
  <si>
    <t>2026-05-15T18:51:03.714+02:00</t>
  </si>
  <si>
    <t>[{"id":"978c26ec-8492-4979-8b1c-f7ff8381d413","note":"","count":1,"label":"Pepperoni Rolls, 6 ks","posId":"P100","price":8900,"isExtra":false},{"id":"0604cf40-24b5-4ad5-a9e4-e5834def96b8","note":"","count":1,"label":"Dip česnekový","posId":"P106","price":2000,"isExtra":false},{"id":"7686bc6d-289e-4e5c-a90d-990f071c04d2","note":"","count":1,"label":"BBQ Meteor 18 cm","posId":"130","price":11900,"isExtra":false},{"id":"41f21dd3-e301-4232-8347-2fbf132057d4","note":"","count":1,"label":"změna na Rajčatový základ","posId":"A127","price":0,"isExtra":true}]</t>
  </si>
  <si>
    <t>2026-05-15T18:43:32.965+02:00</t>
  </si>
  <si>
    <t>2026-05-15T18:53:24.653+02:00</t>
  </si>
  <si>
    <t>2026-05-15T18:43:02.977+02:00</t>
  </si>
  <si>
    <t>2026-05-15T18:51:42.770+02:00</t>
  </si>
  <si>
    <t>2026-05-15T19:07:55.225+02:00</t>
  </si>
  <si>
    <t>2026-05-15T18:43:03.725+02:00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</si>
  <si>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</si>
  <si>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2026-05-15T18:42:59.565+02:00</t>
  </si>
  <si>
    <t>2026-05-15T18:55:42.896+02:00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</si>
  <si>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🌶️","posId":"121","price":24900,"isExtra":false},{"id":"bd23bb29ddc67d336ee4c95b","count":1,"label":"Balné","posId":"K0000","price":1500,"isExtra":true},{"id":"18c190203278836a4d4b7095","count":1,"label":"Smetanový základ","posId":"ZRS32","price":0,"isExtra":true},{"id":"066a3df44113592702f70f66","count":1,"label":"Jalapeňos","posId":"B102","price":2500,"KDSTags":["greenhighlight"],"isExtra":true}]</t>
  </si>
  <si>
    <t>Valerii</t>
  </si>
  <si>
    <t>2026-05-15T18:37:36.519+02:00</t>
  </si>
  <si>
    <t>2026-05-15T18:48:32.022+02:00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</si>
  <si>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základ","posId":"ZRB32","price":0,"isExtra":true},{"id":"N124","note":"","count":1,"label":"Pepsi 1l","posId":"N124","price":5900,"isExtra":false}]</t>
  </si>
  <si>
    <t>2026-05-15T18:36:03.025+02:00</t>
  </si>
  <si>
    <t>2026-05-15T18:47:26.608+02:00</t>
  </si>
  <si>
    <t>2026-05-15T18:58:03.642+02:00</t>
  </si>
  <si>
    <t>2026-05-15T18:36:04.127+02:00</t>
  </si>
  <si>
    <t>[{"id":"3ca6f105-5e70-48ee-bc31-76525f0a0b11","note":"","count":1,"label":"BBQ Texas 40 cm","posId":"107","price":30900,"isExtra":false}]</t>
  </si>
  <si>
    <t>2026-05-15T18:35:03.739+02:00</t>
  </si>
  <si>
    <t>2026-05-15T18:59:13.595+02:00</t>
  </si>
  <si>
    <t>[{"id":"a78b511f-836b-415e-9285-dd47f293529b","note":"","count":1,"label":"Pepperoni 40 cm","posId":"108","price":30900,"isExtra":false}]</t>
  </si>
  <si>
    <t>2026-05-15T18:34:23.834+02:00</t>
  </si>
  <si>
    <t>2026-05-15T18:46:17.325+02:00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</si>
  <si>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</si>
  <si>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Manjinder</t>
  </si>
  <si>
    <t>2026-05-15T18:33:30.083+02:00</t>
  </si>
  <si>
    <t>2026-05-15T18:43:18.787+02:00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</si>
  <si>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bylinky","posId":"A122","price":6500,"isExtra":true}]</t>
  </si>
  <si>
    <t>2026-05-15T18:30:48.324+02:00</t>
  </si>
  <si>
    <t>2026-05-15T18:41:37.579+02:00</t>
  </si>
  <si>
    <t>[{"id":"b5cd6d23-f361-4161-9aa5-cc25896b6767","count":1,"label":"Pizza Comeback 32","posId":"121","price":24900,"isExtra":false,"creatorId":"S8uXZjAhZJJp1uVwUgS6E","isPackging":0,"actualLabel":"Pizza Comeback 32"}]</t>
  </si>
  <si>
    <t>2026-05-15T18:29:54.138+02:00</t>
  </si>
  <si>
    <t>2026-05-15T18:44:27.707+02:00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</si>
  <si>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4fa946e0627bb4926ac02981","count":1,"label":"masové kuličky","posId":"P102","price":0,"isExtra":true},{"id":"575541d164394f25df38dd18","count":1,"label":"Pepsi zero sugar 1l","posId":"N125","price":0,"isExtra":true},{"id":"6748417db17528cb9bcae60d","count":1,"label":"Hawai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</si>
  <si>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2026-05-15T18:29:43.540+02:00</t>
  </si>
  <si>
    <t>2026-05-15T18:35:48.513+02:00</t>
  </si>
  <si>
    <t>[{"id":"c5cd6366-75ae-472a-946a-ba481f78390e","count":1,"label":"Pizza Špenát kuře 40 cm","posId":"104","price":30900,"isExtra":false,"creatorId":"cnGmCfXgnuoIyTv06LAhK","isPackging":0,"actualLabel":"Pizza Špenát kuře 40 cm"},{"id":"ad41b401-fc7f-449d-87be-dfb46bf9a126","count":1,"label":"Dip česnekový","posId":"P106","price":2000,"isExtra":false,"creatorId":"mel1m8LRqdlL8LB_iaZpX","isPackging":0,"actualLabel":"Dip česnekový"}]</t>
  </si>
  <si>
    <t>2026-05-15T18:27:03.476+02:00</t>
  </si>
  <si>
    <t>2026-05-15T18:34:45.467+02:00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</si>
  <si>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</si>
  <si>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2026-05-15T18:24:05.117+02:00</t>
  </si>
  <si>
    <t>2026-05-15T18:50:36.989+02:00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</si>
  <si>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cm","posId":"126","price":11900,"isExtra":false}]</t>
  </si>
  <si>
    <t>2026-05-15T18:18:03.478+02:00</t>
  </si>
  <si>
    <t>2026-05-15T18:32:12.597+02:00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</si>
  <si>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</si>
  <si>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2026-05-15T18:14:10.188+02:00</t>
  </si>
  <si>
    <t>2026-05-15T18:31:59.845+02:00</t>
  </si>
  <si>
    <t>2026-05-15T18:12:38.469+02:00</t>
  </si>
  <si>
    <t>2026-05-15T18:29:35.807+02:00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</si>
  <si>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40cm","posId":"102","price":30900,"isExtra":false},{"id":"54685049","note":"","count":1,"label":"Balné","posId":"K0000","price":2000,"isExtra":true},{"id":"66426845","note":"","size":"Pilsner Urquell 12","count":2,"label":"Pilsner Urquell 12","posId":"N20","price":6500,"isExtra":false}]</t>
  </si>
  <si>
    <t>2026-05-15T18:12:19.428+02:00</t>
  </si>
  <si>
    <t>2026-05-15T18:27:16.493+02:00</t>
  </si>
  <si>
    <t>[{"id":"e5451f2b-b3cd-46cc-9299-d98fd3b2ef12","count":1,"label":"Pizza Hawai 40 cm","posId":"102","price":30900,"isExtra":false,"creatorId":"EG3r_w1P5qMw-PdZYsNEu","isPackging":0,"actualLabel":"Pizza Hawai 40 cm"}]</t>
  </si>
  <si>
    <t>Vít</t>
  </si>
  <si>
    <t>2026-05-15T18:10:42.349+02:00</t>
  </si>
  <si>
    <t>2026-05-15T18:27:09.666+02:00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</si>
  <si>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B114","note":"","count":1,"label":"Kuře","posId":"B114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</si>
  <si>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2026-05-15T18:08:03.854+02:00</t>
  </si>
  <si>
    <t>2026-05-15T18:20:45.672+02:00</t>
  </si>
  <si>
    <t>2026-05-15T18:32:10.580+02:00</t>
  </si>
  <si>
    <t>2026-05-15T18:08:04.797+02:00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</si>
  <si>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431e159e-af3b-4bad-9f72-f07001b572f8","note":"","count":1,"label":"Baby špenát &amp; kuře 40 cm","posId":"104","price":30900,"isExtra":false}]</t>
  </si>
  <si>
    <t>2026-05-15T18:05:03.942+02:00</t>
  </si>
  <si>
    <t>2026-05-15T18:23:27.438+02:00</t>
  </si>
  <si>
    <t>2026-05-15T18:43:56.553+02:00</t>
  </si>
  <si>
    <t>2026-05-15T18:05:04.704+02:00</t>
  </si>
  <si>
    <t>2026-05-15T18:03:03.272+02:00</t>
  </si>
  <si>
    <t>2026-05-15T18:18:35.362+02:00</t>
  </si>
  <si>
    <t>[{"id":"0491ba2d-7c43-44f5-949a-e82693028cdb","note":"","count":1,"label":"Margherita 32 cm","posId":"136","price":20900,"isExtra":false},{"id":"78606be9-7e01-4fe9-a37c-d9a4b62d5696","note":"","count":1,"label":"změna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</si>
  <si>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2026-05-15T18:01:03.076+02:00</t>
  </si>
  <si>
    <t>2026-05-15T18:17:43.087+02:00</t>
  </si>
  <si>
    <t>[{"id":"9069d980-0a24-408c-a214-618aed030839","note":"","count":1,"label":"BBQ Texas 32 cm","posId":"143","price":24900,"isExtra":false},{"id":"0604cf40-24b5-4ad5-a9e4-e5834def96b8","note":"","count":1,"label":"Dip česnekový","posId":"P106","price":2000,"isExtra":false}]</t>
  </si>
  <si>
    <t>2026-05-15T17:59:24.486+02:00</t>
  </si>
  <si>
    <t>2026-05-15T18:15:49.553+02:00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</si>
  <si>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bylinky","posId":"A122","price":6500,"isExtra":true},{"id":"54685094","note":"","count":1,"label":"Bez ananasu","posId":"X100","price":0,"KDSTags":["redhighlight"],"isExtra":true},{"id":"54685152","note":"","count":1,"label":"Kukuřice","posId":"C115","price":3500,"KDSTags":["greenhighlight"],"isExtra":true},{"id":"54685018","note":"","size":"Česnekový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</si>
  <si>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2026-05-15T17:56:36.561+02:00</t>
  </si>
  <si>
    <t>2026-05-15T18:16:10.642+02:00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</si>
  <si>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základ","posId":"ZSR32","price":0,"isExtra":true},{"id":"54685170","note":"","count":1,"label":"Slanina","posId":"B108","price":3000,"KDSTags":["greenhighlight"],"isExtra":true}]</t>
  </si>
  <si>
    <t>Roman</t>
  </si>
  <si>
    <t>2026-05-15T17:52:09.697+02:00</t>
  </si>
  <si>
    <t>2026-05-15T18:13:02.841+02:00</t>
  </si>
  <si>
    <t>[{"id":"108","note":"","count":1,"label":"Pepperoni 40cm 🌶️🌶️","posId":"108","price":30900,"isExtra":false},{"id":"K0000","note":"","count":1,"label":"Balné","posId":"K0000","price":2000,"isExtra":true},{"id":"120","note":"","count":1,"label":"Pepperoni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</si>
  <si>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2026-05-15T17:47:05.037+02:00</t>
  </si>
  <si>
    <t>2026-05-15T18:04:24.231+02:00</t>
  </si>
  <si>
    <t>[{"id":"e3c2803b-7f1a-469b-99b1-979be30e115e","count":1,"label":"Pizza BBQ Texas 32","posId":"119","price":24900,"isExtra":false,"creatorId":"qBABgqHMJ4Gtr4xOqLQNR","isPackging":0,"actualLabel":"Pizza BBQ Texas 32"},{"id":"b5cd6d23-f361-4161-9aa5-cc25896b6767","count":1,"label":"Pizza Comeback 32","posId":"121","price":24900,"isExtra":false,"creatorId":"z517Reg-Mia1_kCqIUc9y","isPackging":0,"actualLabel":"Pizza Comeback 32"},{"id":"ymBOCn5TmdXromQHrpfrr","count":1,"label":"Smetanový základ","posId":"ZRS32","price":0,"isExtra":true,"mainItemId":"b5cd6d23-f361-4161-9aa5-cc25896b6767"}]</t>
  </si>
  <si>
    <t>2026-05-15T17:46:22.846+02:00</t>
  </si>
  <si>
    <t>2026-05-15T18:10:08.807+02:00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</si>
  <si>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</si>
  <si>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2026-05-15T17:42:02.863+02:00</t>
  </si>
  <si>
    <t>2026-05-15T18:01:58.169+02:00</t>
  </si>
  <si>
    <t>2026-05-15T18:18:53.644+02:00</t>
  </si>
  <si>
    <t>2026-05-15T17:42:03.630+02:00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</si>
  <si>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ea4ce1a4-078c-4572-96c4-02a16e7abbbc","note":"","count":1,"label":"Masové kuličky","posId":"C116","price":8900,"KDSTags":["greenhighlight"],"isExtra":true}]</t>
  </si>
  <si>
    <t>2026-05-15T17:39:19.331+02:00</t>
  </si>
  <si>
    <t>2026-05-15T17:49:20.380+02:00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</si>
  <si>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</si>
  <si>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2026-05-15T17:39:03.879+02:00</t>
  </si>
  <si>
    <t>2026-05-15T17:56:47.327+02:00</t>
  </si>
  <si>
    <t>2026-05-15T18:20:27.474+02:00</t>
  </si>
  <si>
    <t>2026-05-15T17:43:17.981+02:00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</si>
  <si>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cm","posId":"119","price":24900,"isExtra":false},{"id":"51742ea4-2dd0-45e1-9eee-08e8ee1273fe","note":"","count":1,"label":"okraj Hotdog bez omáčky","posId":"A125","price":5700,"isExtra":true},{"id":"1460d93c-4159-4d87-aaf2-4ef8fb5e31b1","note":"","count":1,"label":"Margherita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</si>
  <si>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2026-05-15T17:38:19.281+02:00</t>
  </si>
  <si>
    <t>2026-05-15T17:45:31.227+02:00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</si>
  <si>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</si>
  <si>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2026-05-15T17:36:03.174+02:00</t>
  </si>
  <si>
    <t>2026-05-15T17:42:32.035+02:00</t>
  </si>
  <si>
    <t>[{"id":"1460d93c-4159-4d87-aaf2-4ef8fb5e31b1","note":"","count":1,"label":"Margherita 32 cm","posId":"112","price":20900,"isExtra":false}]</t>
  </si>
  <si>
    <t>2026-05-15T17:20:13.523+02:00</t>
  </si>
  <si>
    <t>2026-05-15T17:33:16.178+02:00</t>
  </si>
  <si>
    <t>[{"id":"101","note":"","count":1,"label":"Capricciosa 40cm","posId":"101","price":30900,"isExtra":false},{"id":"K0000","note":"","count":1,"label":"Balné","posId":"K0000","price":2000,"isExtra":true},{"id":"N126","note":"","count":1,"label":"Mirinda 1l","posId":"N126","price":5900,"isExtra":false}]</t>
  </si>
  <si>
    <t>2026-05-15T17:16:14.801+02:00</t>
  </si>
  <si>
    <t>2026-05-15T17:31:31.193+02:00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</si>
  <si>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</si>
  <si>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2026-05-15T17:16:04.020+02:00</t>
  </si>
  <si>
    <t>2026-05-15T17:36:27.011+02:00</t>
  </si>
  <si>
    <t>2026-05-15T17:51:27.233+02:00</t>
  </si>
  <si>
    <t>2026-05-15T17:16:04.890+02:00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</si>
  <si>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</si>
  <si>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2026-05-15T17:16:04.008+02:00</t>
  </si>
  <si>
    <t>2026-05-15T17:39:19.060+02:00</t>
  </si>
  <si>
    <t>2026-05-15T17:53:45.119+02:00</t>
  </si>
  <si>
    <t>2026-05-15T17:16:04.969+02:00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</si>
  <si>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-cibule","posId":"X103","price":0,"KDSTags":["redhighlight"],"isExtra":true},{"id":"7805ed20-b7fb-4253-865d-b1d6ba10a291","note":"","count":1,"label":"Baby špenát &amp; kuře 32 cm","posId":"140","price":24900,"isExtra":false},{"id":"fc3fa22b-be90-4e3e-a05f-41f62444ffb3","note":"","count":1,"label":"olivy","posId":"B112","price":2500,"KDSTags":["greenhighlight"],"isExtra":true},{"id":"0d7a09d5-0cc0-41d1-92da-1fd2b06b2d07","note":"","count":1,"label":"Česnekový chléb","posId":"P104","price":7900,"isExtra":false},{"id":"2a9dc121-ec1e-4cbb-b8d5-66ce6a546664","note":"","count":1,"label":"DIP jalapenos","posId":"P107","price":2000,"isExtra":false}]</t>
  </si>
  <si>
    <t>2026-05-15T17:14:03.339+02:00</t>
  </si>
  <si>
    <t>2026-05-15T17:26:43.022+02:00</t>
  </si>
  <si>
    <t>[{"id":"faf7ff40-eef3-48bd-92c4-b33e5bbf095d","note":"","count":1,"label":"Quattro Formaggi 40 cm","posId":"111","price":30900,"isExtra":false},{"id":"088a7edc-ef1e-4c6b-b7a1-36c2c45ab0fe","note":"","count":1,"label":"Capricciosa 32 cm","posId":"113","price":24900,"isExtra":false}]</t>
  </si>
  <si>
    <t>2026-05-15T17:13:57.476+02:00</t>
  </si>
  <si>
    <t>2026-05-15T17:28:25.277+02:00</t>
  </si>
  <si>
    <t>[{"id":"102","note":"Poprosím kukuřici jen na půlku pizzy. Děkuji","count":1,"label":"Hawai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základ","posId":"ZRB40","price":0,"isExtra":true},{"id":"X100","note":"","count":1,"label":"Bez ananasu","posId":"X100","price":0,"KDSTags":["redhighlight"],"isExtra":true},{"id":"C115","note":"","count":1,"label":"Kukuřice","posId":"C115","price":3500,"KDSTags":["greenhighlight"],"isExtra":true}]</t>
  </si>
  <si>
    <t>2026-05-15T17:05:03.816+02:00</t>
  </si>
  <si>
    <t>2026-05-15T17:15:09.002+02:00</t>
  </si>
  <si>
    <t>2026-05-15T17:32:52.361+02:00</t>
  </si>
  <si>
    <t>2026-05-15T17:05:04.388+02:00</t>
  </si>
  <si>
    <t>[{"id":"3ca6f105-5e70-48ee-bc31-76525f0a0b11","note":"","count":1,"label":"BBQ Texas 40 cm","posId":"107","price":30900,"isExtra":false},{"id":"7ee7e3c8-2c54-4dc5-810f-2f52f62e2d14","note":"","count":1,"label":"Comeback 32 cm","posId":"121","price":24900,"isExtra":false}]</t>
  </si>
  <si>
    <t>2026-05-15T17:01:02.909+02:00</t>
  </si>
  <si>
    <t>2026-05-15T17:11:40.916+02:00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</si>
  <si>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</si>
  <si>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2026-05-15T16:59:22.428+02:00</t>
  </si>
  <si>
    <t>2026-05-15T17:10:55.207+02:00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</si>
  <si>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</si>
  <si>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2026-05-15T16:59:22.377+02:00</t>
  </si>
  <si>
    <t>2026-05-15T17:07:03.203+02:00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</si>
  <si>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</si>
  <si>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2026-05-15T16:53:02.825+02:00</t>
  </si>
  <si>
    <t>2026-05-15T17:01:23.961+02:00</t>
  </si>
  <si>
    <t>2026-05-15T17:12:46.944+02:00</t>
  </si>
  <si>
    <t>2026-05-15T16:53:03.389+02:00</t>
  </si>
  <si>
    <t>[{"id":"6e4aed3e-b988-442a-8864-0b2ad4a4403d","note":"","count":1,"label":"Quattro Formaggi 32 cm","posId":"147","price":24900,"isExtra":false}]</t>
  </si>
  <si>
    <t>2026-05-15T16:52:02.843+02:00</t>
  </si>
  <si>
    <t>2026-05-15T17:00:07.934+02:00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</si>
  <si>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základ","posId":"A129","price":0,"isExtra":true},{"id":"28e96b57-144a-4147-bd66-1530a9858e97","note":"","count":1,"label":"BEZ -pepperoni salám","posId":"X109","price":0,"KDSTags":["redhighlight"],"isExtra":true}]</t>
  </si>
  <si>
    <t>2026-05-15T16:36:19.117+02:00</t>
  </si>
  <si>
    <t>2026-05-15T16:51:15.491+02:00</t>
  </si>
  <si>
    <t>2026-05-15T16:34:03.524+02:00</t>
  </si>
  <si>
    <t>2026-05-15T16:54:23.925+02:00</t>
  </si>
  <si>
    <t>2026-05-15T17:09:45.029+02:00</t>
  </si>
  <si>
    <t>2026-05-15T16:34:04.397+02:00</t>
  </si>
  <si>
    <t>[{"id":"3a5867b0-8da1-4c8b-bd1f-70418434cae8","note":"","count":1,"label":"BBQ Texas 32 cm","posId":"119","price":24900,"isExtra":false},{"id":"6747ad56-2f52-4f5b-b96c-109c91cf97bd","note":"","count":1,"label":"Hawai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</si>
  <si>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2026-05-15T16:34:03.505+02:00</t>
  </si>
  <si>
    <t>2026-05-15T16:57:45.858+02:00</t>
  </si>
  <si>
    <t>2026-05-15T17:13:08.986+02:00</t>
  </si>
  <si>
    <t>2026-05-15T16:34:04.393+02:00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</si>
  <si>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</si>
  <si>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2026-05-15T16:28:22.072+02:00</t>
  </si>
  <si>
    <t>2026-05-15T16:37:15.259+02:00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</si>
  <si>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</si>
  <si>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2026-05-15T16:24:03.692+02:00</t>
  </si>
  <si>
    <t>2026-05-15T16:30:50.697+02:00</t>
  </si>
  <si>
    <t>2026-05-15T16:17:41.372+02:00</t>
  </si>
  <si>
    <t>2026-05-15T16:27:35.416+02:00</t>
  </si>
  <si>
    <t>2026-05-15T16:01:58.056+02:00</t>
  </si>
  <si>
    <t>2026-05-15T16:09:16.073+02:00</t>
  </si>
  <si>
    <t>[{"id":"6748417db17528cb9bcae60f","count":1,"label":"Capricciosa 32cm","posId":"113","price":24900,"isExtra":false},{"id":"bd23bb29ddc67d336ee4c95b","count":1,"label":"Balné","posId":"K0000","price":1500,"isExtra":true},{"id":"97278f8f579333a42d2bbe2f","count":1,"label":"BBQ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</si>
  <si>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2026-05-15T15:55:54.043+02:00</t>
  </si>
  <si>
    <t>2026-05-15T16:07:49.834+02:00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</si>
  <si>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bylinky","posId":"A121","price":5700,"isExtra":true},{"id":"54685191","note":"","count":1,"label":"Masové kuličky","posId":"B116","price":5900,"KDSTags":["greenhighlight"],"isExtra":true}]</t>
  </si>
  <si>
    <t>2026-05-15T15:50:25.195+02:00</t>
  </si>
  <si>
    <t>2026-05-15T16:04:01.924+02:00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</si>
  <si>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</si>
  <si>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2026-05-15T15:32:04.707+02:00</t>
  </si>
  <si>
    <t>2026-05-15T15:34:55.717+02:00</t>
  </si>
  <si>
    <t>[{"id":"32b2a3ff-927f-4ec7-ba06-c837ec2d25f7","count":1,"label":"Mirinda 1l","posId":"N126","price":5900,"isExtra":false,"creatorId":"oQd2vl5U9pjxpBSi-R3Mi","isPackging":0,"actualLabel":"Mirinda 1l"}]</t>
  </si>
  <si>
    <t>2026-05-15T15:28:43.598+02:00</t>
  </si>
  <si>
    <t>2026-05-15T15:38:38.751+02:00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</si>
  <si>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</si>
  <si>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2026-05-15T15:23:03.372+02:00</t>
  </si>
  <si>
    <t>2026-05-15T15:36:06.656+02:00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</si>
  <si>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d79a29ea-c5ce-49c2-9a5d-787665203983","note":"","count":1,"label":"paprika","posId":"B111","price":2500,"KDSTags":["green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,{"id":"bf272b1b-93ab-4050-9aff-ea1151ab5f41","note":"","count":1,"label":"pepperoni salám","posId":"B109","price":3000,"KDSTags":["greenhighlight"],"isExtra":true}]</t>
  </si>
  <si>
    <t>2026-05-15T15:17:15.973+02:00</t>
  </si>
  <si>
    <t>2026-05-15T15:26:00.230+02:00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</si>
  <si>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</si>
  <si>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2026-05-15T15:10:16.938+02:00</t>
  </si>
  <si>
    <t>2026-05-15T15:17:16.831+02:00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</si>
  <si>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</si>
  <si>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2026-05-15T14:47:21.204+02:00</t>
  </si>
  <si>
    <t>2026-05-15T15:00:54.673+02:00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</si>
  <si>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základ","posId":"ZRB40","price":0,"isExtra":true},{"id":"6748417db17528cb9bcae63d","count":1,"label":"BBQ dip","posId":"P105","price":2000,"isExtra":false},{"id":"bd23bb29ddc67d336ee4c95b","count":1,"label":"Balné","posId":"K0000","price":1500,"isExtra":true}]</t>
  </si>
  <si>
    <t>2026-05-15T14:42:21.826+02:00</t>
  </si>
  <si>
    <t>2026-05-15T14:54:30.504+02:00</t>
  </si>
  <si>
    <t>[{"id":"4d404c70-83e0-4d17-8dce-d711c6217316","count":1,"label":"Pizza Pepperoni 32","posId":"120","price":24900,"isExtra":false,"creatorId":"BEt_sv3_PkbgIVkucgXB0","isPackging":0,"actualLabel":"Pizza Pepperoni 32"},{"id":"extra_20230331101812_75","count":1,"label":"Kukuřice","posId":"B115","price":2500,"KDSTags":["greenhighlight"],"isExtra":true,"mainItemId":"4d404c70-83e0-4d17-8dce-d711c6217316"}]</t>
  </si>
  <si>
    <t>2026-05-15T14:41:03.399+02:00</t>
  </si>
  <si>
    <t>2026-05-15T14:52:00.668+02:00</t>
  </si>
  <si>
    <t>2026-05-15T15:02:00.910+02:00</t>
  </si>
  <si>
    <t>2026-05-15T14:41:04.061+02:00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</si>
  <si>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česnekový","posId":"P106","price":2000,"isExtra":false},{"id":"b98b13a4-28e7-4c43-90f2-32f5a9a58eb3","note":"","count":1,"label":"Baby špenát &amp; kuře 18 cm","posId":"128","price":11900,"isExtra":false},{"id":"2a9dc121-ec1e-4cbb-b8d5-66ce6a546664","note":"","count":1,"label":"DIP jalapenos","posId":"P107","price":2000,"isExtra":false}]</t>
  </si>
  <si>
    <t>2026-05-15T14:27:55.862+02:00</t>
  </si>
  <si>
    <t>2026-05-15T14:45:30.615+02:00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</si>
  <si>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🌶️","posId":"109","price":30900,"isExtra":false},{"id":"54685049","note":"","count":1,"label":"Balné","posId":"K0000","price":2000,"isExtra":true},{"id":"54685090","note":"","count":1,"label":"okraj mozzarella, bbq omáčka","posId":"A124","price":6500,"isExtra":true},{"id":"54685134","note":"","count":1,"label":"Bez cibule","posId":"X103","price":0,"KDSTags":["redhighlight"],"isExtra":true},{"id":"54685018","note":"","size":"Česnekový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</si>
  <si>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2026-05-15T14:25:39.862+02:00</t>
  </si>
  <si>
    <t>2026-05-15T14:39:52.816+02:00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</si>
  <si>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</si>
  <si>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2026-05-15T14:25:16.280+02:00</t>
  </si>
  <si>
    <t>2026-05-15T14:38:09.705+02:00</t>
  </si>
  <si>
    <t>[{"id":"54684981","note":"","size":"Hawai 40cm","count":1,"label":"Hawai 40cm","posId":"102","price":30900,"isExtra":false},{"id":"54685049","note":"","count":1,"label":"Balné","posId":"K0000","price":2000,"isExtra":true},{"id":"54684973","note":"","size":"Quattro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</si>
  <si>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2026-05-15T14:18:03.637+02:00</t>
  </si>
  <si>
    <t>2026-05-15T14:26:43.379+02:00</t>
  </si>
  <si>
    <t>2026-05-15T14:32:13.997+02:00</t>
  </si>
  <si>
    <t>2026-05-15T14:18:04.323+02:00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</si>
  <si>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cm","posId":"109","price":30900,"isExtra":false},{"id":"5baf9524-d195-4f98-ac4e-12383c85b672","note":"","count":1,"label":"Mozzarella","posId":"C113","price":4000,"KDSTags":["greenhighlight"],"isExtra":true}]</t>
  </si>
  <si>
    <t>Thanh Tung</t>
  </si>
  <si>
    <t>2026-05-15T14:10:50.700+02:00</t>
  </si>
  <si>
    <t>2026-05-15T14:18:19.441+02:00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</si>
  <si>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</si>
  <si>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2026-05-15T14:00:15.902+02:00</t>
  </si>
  <si>
    <t>2026-05-15T14:15:00.528+02:00</t>
  </si>
  <si>
    <t>[{"id":"6748417db17528cb9bcae60d","count":1,"label":"Hawai 32cm","posId":"114","price":24900,"isExtra":false},{"id":"bd23bb29ddc67d336ee4c95b","count":1,"label":"Balné","posId":"K0000","price":1500,"isExtra":true},{"id":"6748417db17528cb9bcae5f9","count":1,"label":"Baby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</si>
  <si>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2026-05-15T13:24:03.619+02:00</t>
  </si>
  <si>
    <t>2026-05-15T13:35:01.306+02:00</t>
  </si>
  <si>
    <t>2026-05-15T13:53:53.187+02:00</t>
  </si>
  <si>
    <t>2026-05-15T13:24:04.272+02:00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</si>
  <si>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</si>
  <si>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2026-05-15T13:20:03.193+02:00</t>
  </si>
  <si>
    <t>2026-05-15T13:32:35.154+02:00</t>
  </si>
  <si>
    <t>2026-05-15T13:40:29.018+02:00</t>
  </si>
  <si>
    <t>2026-05-15T13:20:03.723+02:00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</si>
  <si>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</si>
  <si>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2026-05-15T13:12:56.321+02:00</t>
  </si>
  <si>
    <t>2026-05-15T13:31:19.496+02:00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</si>
  <si>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2e4ad0e1c65a1f75ea4c127d","count":1,"label":"Slanina","posId":"C108","price":4000,"KDSTags":["greenhighlight"],"isExtra":true},{"id":"6748417db17528cb9bcae641","count":1,"label":"Choco Rolls","posId":"chr100","price":8900,"isExtra":false},{"id":"bd23bb29ddc67d336ee4c95b","count":1,"label":"Balné","posId":"K0000","price":1500,"isExtra":true},{"id":"6748417db17528cb9bcae64d","count":1,"label":"Opočno vanilková","posId":"D108","price":12900,"isExtra":false},{"id":"6748417db17528cb9bcae64f","count":1,"label":"Opočno čokoládová","posId":"D107","price":12900,"isExtra":false},{"id":"675ac5aa810ce2d9b6865b4a","count":1,"label":"Jablečno-skořicové rolls","posId":"18","price":8900,"isExtra":false},{"id":"bd23bb29ddc67d336ee4c95b","count":1,"label":"Balné","posId":"K0000","price":1500,"isExtra":true}]</t>
  </si>
  <si>
    <t>2026-05-15T13:12:03.331+02:00</t>
  </si>
  <si>
    <t>2026-05-15T13:21:44.446+02:00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</si>
  <si>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</si>
  <si>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2026-05-15T12:55:03.125+02:00</t>
  </si>
  <si>
    <t>2026-05-15T13:11:46.084+02:00</t>
  </si>
  <si>
    <t>2026-05-15T13:17:11.645+02:00</t>
  </si>
  <si>
    <t>2026-05-15T12:55:03.570+02:00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</si>
  <si>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1l","posId":"N125","price":5900,"isExtra":false}]</t>
  </si>
  <si>
    <t>2026-05-15T12:54:59.600+02:00</t>
  </si>
  <si>
    <t>2026-05-15T13:07:10.401+02:00</t>
  </si>
  <si>
    <t>[{"id":"7fc95d28-5c0a-421a-9f5c-f72977e30b93","count":1,"label":"Pizza Quattro Formaggi 40","posId":"111","price":30900,"isExtra":false,"creatorId":"j-fHvsSmr6FZOW2C2Xyzb","isPackging":0,"actualLabel":"Pizza Quattro Formaggi 40"},{"id":"d0b4da65-56e2-444e-b81f-865254dcc811","count":1,"label":"Pizza BBQ Meteor 32","posId":"118","price":24900,"isExtra":false,"creatorId":"bh5wv14obTweiFnrB6TK6","isPackging":0,"actualLabel":"Pizza BBQ Meteor 32"},{"id":"20c9da7d-ee44-4aaa-baef-bdd9f8efd57d","count":1,"label":"Masové kuličky","posId":"P102","price":9900,"isExtra":false,"creatorId":"RIKQ3gI5WXIv41VKVC2Wv","isPackging":0,"actualLabel":"Masové kuličky"},{"id":"0a49663b-9e35-4f4a-a85c-108bd9827ef5","count":1,"label":"Pepperoni Rolls","posId":"P100","price":8900,"isExtra":false,"creatorId":"CsPQcWvlbTQLg3EdKem2N","isPackging":0,"actualLabel":"Pepperoni Rolls"}]</t>
  </si>
  <si>
    <t>2026-05-15T12:54:48.034+02:00</t>
  </si>
  <si>
    <t>2026-05-15T13:02:11.327+02:00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</si>
  <si>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</si>
  <si>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2026-05-15T12:44:44.700+02:00</t>
  </si>
  <si>
    <t>2026-05-15T12:51:18.366+02:00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</si>
  <si>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základ","posId":"ZSR40","price":0,"isExtra":true}]</t>
  </si>
  <si>
    <t>2026-05-15T12:38:24.116+02:00</t>
  </si>
  <si>
    <t>2026-05-15T12:49:47.595+02:00</t>
  </si>
  <si>
    <t>[{"id":"64781306","note":"","size":"Opočno karamel","count":1,"label":"Opočno karamel","posId":"D112","price":12900,"isExtra":false},{"id":"61817993","note":"","size":"Guarana kiwi a jablko","count":2,"label":"Guarana kiwi a jablko","posId":"N144","price":5500,"isExtra":false},{"id":"54685018","note":"","size":"Česnekový dip","count":1,"label":"Česnekový dip","posId":"P106","price":2000,"isExtra":false},{"id":"54685059","note":"","count":1,"label":"Balné","posId":"K0000","price":1500,"isExtra":true},{"id":"54684981","note":"","size":"Hawai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základ","posId":"ZRB40","price":0,"isExtra":true},{"id":"54685148","note":"","count":1,"label":"Cibule","posId":"C103","price":3500,"KDSTags":["greenhighlight"],"isExtra":true},{"id":"54685113","note":"","count":1,"label":"okraj hotdog, hořčice","posId":"A118","price":6500,"isExtra":true},{"id":"57405720","note":"","size":"Mirinda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</si>
  <si>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2026-05-15T12:21:03.370+02:00</t>
  </si>
  <si>
    <t>2026-05-15T12:28:01.285+02:00</t>
  </si>
  <si>
    <t>2026-05-15T12:16:03.131+02:00</t>
  </si>
  <si>
    <t>2026-05-15T12:37:15.029+02:00</t>
  </si>
  <si>
    <t>2026-05-15T12:42:48.199+02:00</t>
  </si>
  <si>
    <t>2026-05-15T12:16:04.221+02:00</t>
  </si>
  <si>
    <t>[{"id":"088a7edc-ef1e-4c6b-b7a1-36c2c45ab0fe","note":"","count":1,"label":"Capricciosa 32 cm","posId":"113","price":24900,"isExtra":false},{"id":"7ebac4a7-6cce-442e-b2bb-06b929c16076","note":"","count":1,"label":"Baby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cm","posId":"119","price":24900,"isExtra":false}]</t>
  </si>
  <si>
    <t>2026-05-15T12:05:50.958+02:00</t>
  </si>
  <si>
    <t>2026-05-15T12:18:03.200+02:00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</si>
  <si>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32cm","posId":"116","price":24900,"isExtra":false},{"id":"54685059","note":"","count":1,"label":"Balné","posId":"K0000","price":1500,"isExtra":true},{"id":"54685137","note":"","count":1,"label":"okraj hotdog, bez omáčky","posId":"A125","price":5700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54685177","note":"","count":1,"label":"Kuře","posId":"B114","price":3000,"KDSTags":["greenhighlight"],"isExtra":true},{"id":"57405717","note":"","size":"BIRGO grapefruit 0,5l","count":2,"label":"BIRGO grapefruit 0,5l","posId":"N131","price":4900,"isExtra":false}]</t>
  </si>
  <si>
    <t>2026-05-15T12:03:03.142+02:00</t>
  </si>
  <si>
    <t>2026-05-15T12:11:23.044+02:00</t>
  </si>
  <si>
    <t>2026-05-15T11:58:03.323+02:00</t>
  </si>
  <si>
    <t>2026-05-15T12:08:31.929+02:00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</si>
  <si>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</si>
  <si>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2026-05-15T11:54:36.076+02:00</t>
  </si>
  <si>
    <t>2026-05-15T11:55:00.106+02:00</t>
  </si>
  <si>
    <t>[{"id":"2d776283-f92a-4ef0-8770-6771d3ddf4a2","count":1,"label":"Poděbradská malinovka 0,5l","posId":"N129","price":4900,"isExtra":false,"creatorId":"LZWU2prrXgZ0uOeYTpjgF","isPackging":0,"actualLabel":"Poděbradská malinovka 0,5l"}]</t>
  </si>
  <si>
    <t>2026-05-15T11:50:47.073+02:00</t>
  </si>
  <si>
    <t>2026-05-15T12:06:35.176+02:00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</si>
  <si>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</si>
  <si>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2026-05-15T11:49:02.466+02:00</t>
  </si>
  <si>
    <t>2026-05-15T11:58:36.160+02:00</t>
  </si>
  <si>
    <t>2026-05-15T12:09:50.326+02:00</t>
  </si>
  <si>
    <t>2026-05-15T11:49:03.190+02:00</t>
  </si>
  <si>
    <t>[{"id":"52687002-58c9-40ea-ba22-d2ae7a4b5889","note":"","count":1,"label":"Comeback 32 cm","posId":"145","price":24900,"isExtra":false},{"id":"5e12eeee-b5aa-4c49-a6bd-974da981715a","note":"","count":1,"label":"grana padano","posId":"B130","price":3000,"KDSTags":["greenhighlight"],"isExtra":true},{"id":"729a5bf7-1e81-474d-93e1-129401ad77bd","note":"","count":1,"label":"Dip BBQ","posId":"P105","price":2000,"isExtra":false}]</t>
  </si>
  <si>
    <t>2026-05-15T11:46:25.002+02:00</t>
  </si>
  <si>
    <t>2026-05-15T11:55:31.244+02:00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</si>
  <si>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</si>
  <si>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2026-05-15T11:41:02.468+02:00</t>
  </si>
  <si>
    <t>2026-05-15T12:02:51.327+02:00</t>
  </si>
  <si>
    <t>2026-05-15T12:21:14.509+02:00</t>
  </si>
  <si>
    <t>2026-05-15T11:41:03.313+02:00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</si>
  <si>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</si>
  <si>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2026-05-15T11:17:03.128+02:00</t>
  </si>
  <si>
    <t>2026-05-15T11:51:02.845+02:00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</si>
  <si>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6429499b-bd57-4ad7-b257-96da4ce175b3","note":"","count":1,"label":"Jalapeños","posId":"C102","price":3500,"KDSTags":["greenhighlight"],"isExtra":true},{"id":"9b3fd0f9-6a36-4a8e-95ad-00dbae675705","note":"","count":1,"label":"Capricciosa 40 cm","posId":"101","price":30900,"isExtra":false}]</t>
  </si>
  <si>
    <t>2026-05-15T11:04:03.333+02:00</t>
  </si>
  <si>
    <t>2026-05-15T11:26:15.853+02:00</t>
  </si>
  <si>
    <t>2026-05-15T11:35:28.771+02:00</t>
  </si>
  <si>
    <t>2026-05-15T11:04:04.348+02:00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</si>
  <si>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česnekový","posId":"P106","price":2000,"isExtra":false},{"id":"f7043b16-784c-4471-87d9-9c8cbc7d5ab8","note":"","count":1,"label":"Capricciosa 32 cm","posId":"137","price":24900,"isExtra":false}]</t>
  </si>
  <si>
    <t>2026-05-15T11:02:27.237+02:00</t>
  </si>
  <si>
    <t>2026-05-15T11:19:47.981+02:00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</si>
  <si>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</si>
  <si>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2026-05-15T10:57:24.968+02:00</t>
  </si>
  <si>
    <t>2026-05-15T11:10:16.039+02:00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</si>
  <si>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</si>
  <si>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2026-05-15T10:56:23.900+02:00</t>
  </si>
  <si>
    <t>2026-05-15T11:16:53.045+02:00</t>
  </si>
  <si>
    <t>[{"id":"54684977","note":"","size":"BBQ Texas 40cm","count":1,"label":"BBQ Texas 40cm","posId":"107","price":30900,"isExtra":false},{"id":"54685049","note":"","count":1,"label":"Balné","posId":"K0000","price":2000,"isExtra":true},{"id":"54684979","note":"","size":"Baby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40cm","posId":"104","price":30900,"isExtra":false},{"id":"54685049","note":"","count":1,"label":"Balné","posId":"K0000","price":2000,"isExtra":true},{"id":"59555751","note":"","count":1,"label":"BBQ základ","posId":"ZSB49","price":0,"isExtra":true},{"id":"54684982","note":"","size":"Capricciosa 40cm","count":1,"label":"Capricciosa 40cm","posId":"101","price":30900,"isExtra":false},{"id":"54685049","note":"","count":1,"label":"Balné","posId":"K0000","price":2000,"isExtra":true}]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</si>
  <si>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</si>
  <si>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</si>
  <si>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</si>
  <si>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</si>
  <si>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</si>
  <si>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</si>
  <si>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</si>
  <si>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</si>
  <si>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</si>
  <si>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</si>
  <si>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</si>
  <si>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</si>
  <si>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</si>
  <si>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</si>
  <si>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</si>
  <si>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</si>
  <si>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</si>
  <si>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</si>
  <si>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</si>
  <si>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</si>
  <si>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</si>
  <si>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</si>
  <si>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</si>
  <si>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</si>
  <si>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</si>
  <si>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</si>
  <si>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</si>
  <si>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</si>
  <si>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</si>
  <si>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07:00</t>
  </si>
  <si>
    <t>Zbyněk Hyský</t>
  </si>
  <si>
    <t>00:00</t>
  </si>
  <si>
    <t>06:00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</si>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</sst>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46157.0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tržbu"")"),0.18373122987364143)</f>
        <v>0.1837312299</v>
      </c>
      <c r="H2" s="15"/>
      <c r="I2" s="16">
        <f>SUM(RestiaCSV!C:C) - SUMIFS(RestiaCSV!C:C, RestiaCSV!B:B, "canceled")</f>
        <v>92923</v>
      </c>
      <c r="K2" s="15"/>
      <c r="L2" s="17" t="s">
        <v>5</v>
      </c>
      <c r="M2" s="18">
        <f>SUMIFS(RestiaCSV!C:C, RestiaCSV!A:A, Report!L2, RestiaCSV!B:B, "&lt;&gt;canceled")</f>
        <v>22953</v>
      </c>
    </row>
    <row r="3">
      <c r="A3" s="1"/>
      <c r="B3" s="19" t="str">
        <f>CHOOSE(WEEKDAY(D1), "Neděle", "Pondělí", "Úterý", "Středa", "Čtvrtek", "Pátek", "Sobota")</f>
        <v>Pátek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11437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19066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25340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1688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1505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7087.0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3732.0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2001.648</v>
      </c>
      <c r="B13" s="48" t="s">
        <v>27</v>
      </c>
      <c r="C13" s="44" t="s">
        <v>28</v>
      </c>
      <c r="D13" s="44" t="s">
        <v>25</v>
      </c>
      <c r="E13" s="49"/>
      <c r="F13" s="46" t="str">
        <f t="shared" si="1"/>
        <v>08:00</v>
      </c>
      <c r="G13" s="21"/>
      <c r="H13" s="21"/>
      <c r="I13" s="13"/>
      <c r="J13" s="29"/>
      <c r="K13" s="15"/>
      <c r="L13" s="17" t="s">
        <v>29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1251.03</v>
      </c>
      <c r="B14" s="43" t="s">
        <v>30</v>
      </c>
      <c r="C14" s="44" t="s">
        <v>28</v>
      </c>
      <c r="D14" s="44" t="s">
        <v>31</v>
      </c>
      <c r="E14" s="45"/>
      <c r="F14" s="51" t="str">
        <f t="shared" si="1"/>
        <v>05:00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34</v>
      </c>
      <c r="M16" s="50">
        <v>180.0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1440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23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4</v>
      </c>
      <c r="M23" s="73" t="str">
        <f>INT(AVERAGE(RestiaCSV!N2:N32)) &amp; " min " &amp; TEXT(MOD(AVERAGE(RestiaCSV!N2:N32) * 60, 60), "00") &amp; " s"
</f>
        <v>13 min 57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1157.37</v>
      </c>
      <c r="B25" s="43" t="s">
        <v>49</v>
      </c>
      <c r="C25" s="44" t="s">
        <v>28</v>
      </c>
      <c r="D25" s="44" t="s">
        <v>31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05:00</v>
      </c>
      <c r="G25" s="81">
        <f>COUNTIF(RestiaCSV!E:E, B25)</f>
        <v>14</v>
      </c>
      <c r="H25" s="82" t="b">
        <v>1</v>
      </c>
      <c r="I25" s="83">
        <f t="shared" ref="I25:I31" si="3">IF(H25,G25*40, 0)</f>
        <v>560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1751.442</v>
      </c>
      <c r="B26" s="85" t="s">
        <v>50</v>
      </c>
      <c r="C26" s="44" t="s">
        <v>51</v>
      </c>
      <c r="D26" s="44" t="s">
        <v>52</v>
      </c>
      <c r="E26" s="86"/>
      <c r="F26" s="46" t="str">
        <f t="shared" si="2"/>
        <v>07:00</v>
      </c>
      <c r="G26" s="81">
        <f>COUNTIF(RestiaCSV!E:E, B26)</f>
        <v>11</v>
      </c>
      <c r="H26" s="82" t="b">
        <v>1</v>
      </c>
      <c r="I26" s="87">
        <f t="shared" si="3"/>
        <v>440</v>
      </c>
      <c r="J26" s="88">
        <f>COUNTIF(I25:I31, "&gt;0")</f>
        <v>3</v>
      </c>
      <c r="K26" s="75">
        <f>IFERROR(__xludf.DUMMYFUNCTION("COUNTA(FILTER(RestiaCSV!B2:B32, RestiaCSV!B2:B32 &lt;&gt; ""canceled""))"),208.0)</f>
        <v>208</v>
      </c>
      <c r="L26" s="75">
        <f>COUNTIF(RestiaCSV!F1:F32, "delivery")</f>
        <v>49</v>
      </c>
      <c r="M26" s="89">
        <f>COUNTIF(RestiaCSV!M:M, "&gt;5")</f>
        <v>2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1000.824</v>
      </c>
      <c r="B27" s="43" t="s">
        <v>53</v>
      </c>
      <c r="C27" s="90" t="s">
        <v>52</v>
      </c>
      <c r="D27" s="91" t="s">
        <v>31</v>
      </c>
      <c r="E27" s="86"/>
      <c r="F27" s="51" t="str">
        <f t="shared" si="2"/>
        <v>04:00</v>
      </c>
      <c r="G27" s="81">
        <f>COUNTIF(RestiaCSV!E:E, B27)</f>
        <v>11</v>
      </c>
      <c r="H27" s="82" t="b">
        <v>1</v>
      </c>
      <c r="I27" s="87">
        <f t="shared" si="3"/>
        <v>440</v>
      </c>
      <c r="J27" s="92" t="s">
        <v>54</v>
      </c>
      <c r="K27" s="93"/>
      <c r="L27" s="94" t="s">
        <v>55</v>
      </c>
      <c r="M27" s="79" t="s">
        <v>56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3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1</v>
      </c>
      <c r="K29" s="99"/>
      <c r="L29" s="100">
        <f>L23/L26</f>
        <v>0.08163265306</v>
      </c>
      <c r="M29" s="75">
        <f>COUNTIFS(RestiaCSV!L:L, "&gt;5", RestiaCSV!F:F, "delivery", RestiaCSV!E:E, "Wolt Kurýr")</f>
        <v>4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57</v>
      </c>
      <c r="M30" s="104" t="s">
        <v>58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59</v>
      </c>
      <c r="C32" s="111" t="s">
        <v>60</v>
      </c>
      <c r="D32" s="21"/>
      <c r="E32" s="21"/>
      <c r="F32" s="112"/>
      <c r="G32" s="113">
        <f>COUNTIFS(RestiaCSV!E:E, "wolt kurýr", RestiaCSV!A:A, "&lt;&gt;wolt")</f>
        <v>13</v>
      </c>
      <c r="H32" s="114" t="b">
        <v>1</v>
      </c>
      <c r="I32" s="115">
        <f>G32*127</f>
        <v>1651</v>
      </c>
      <c r="J32" s="116"/>
      <c r="K32" s="116"/>
      <c r="L32" s="100">
        <f>100%-L29</f>
        <v>0.9183673469</v>
      </c>
      <c r="M32" s="100">
        <f>M29/L26</f>
        <v>0.08163265306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"Kinkorová Petra,Mirga Simon,Yarushynskyi Vladyslav,Ahurieva Viktoriia"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Chodov</v>
      </c>
      <c r="C1" s="119">
        <v>46028.0</v>
      </c>
      <c r="D1" s="120" t="s">
        <v>61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62</v>
      </c>
      <c r="C5" s="20"/>
      <c r="D5" s="20"/>
      <c r="E5" s="5"/>
      <c r="F5" s="136" t="s">
        <v>63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41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64</v>
      </c>
      <c r="D9" s="150" t="s">
        <v>22</v>
      </c>
      <c r="E9" s="151"/>
      <c r="F9" s="149" t="s">
        <v>18</v>
      </c>
      <c r="G9" s="150" t="s">
        <v>64</v>
      </c>
      <c r="H9" s="150" t="s">
        <v>22</v>
      </c>
      <c r="I9" s="152" t="s">
        <v>42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65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66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67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67</v>
      </c>
      <c r="F13" s="156"/>
      <c r="G13" s="156"/>
      <c r="H13" s="156"/>
      <c r="I13" s="156"/>
      <c r="K13" s="15"/>
      <c r="L13" s="126" t="s">
        <v>29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68</v>
      </c>
      <c r="F14" s="156"/>
      <c r="G14" s="156"/>
      <c r="H14" s="156"/>
      <c r="I14" s="156"/>
      <c r="K14" s="15"/>
      <c r="L14" s="160" t="s">
        <v>32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68</v>
      </c>
      <c r="F15" s="156"/>
      <c r="G15" s="156"/>
      <c r="H15" s="156"/>
      <c r="I15" s="156"/>
      <c r="K15" s="15"/>
      <c r="L15" s="160" t="s">
        <v>33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34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35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37</v>
      </c>
      <c r="K19" s="166" t="s">
        <v>38</v>
      </c>
      <c r="L19" s="167" t="s">
        <v>39</v>
      </c>
      <c r="M19" s="168" t="s">
        <v>40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69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45</v>
      </c>
      <c r="K22" s="176" t="s">
        <v>46</v>
      </c>
      <c r="L22" s="177" t="s">
        <v>47</v>
      </c>
      <c r="M22" s="178" t="s">
        <v>48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54</v>
      </c>
      <c r="K25" s="93"/>
      <c r="L25" s="177" t="s">
        <v>55</v>
      </c>
      <c r="M25" s="178" t="s">
        <v>56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57</v>
      </c>
      <c r="M28" s="178" t="s">
        <v>58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70</v>
      </c>
      <c r="B1" s="191" t="s">
        <v>71</v>
      </c>
      <c r="C1" s="191" t="s">
        <v>72</v>
      </c>
      <c r="D1" s="191" t="s">
        <v>73</v>
      </c>
      <c r="E1" s="191" t="s">
        <v>41</v>
      </c>
      <c r="F1" s="191" t="s">
        <v>74</v>
      </c>
      <c r="G1" s="191" t="s">
        <v>75</v>
      </c>
      <c r="H1" s="191" t="s">
        <v>76</v>
      </c>
      <c r="I1" s="191" t="s">
        <v>77</v>
      </c>
      <c r="J1" s="191" t="s">
        <v>78</v>
      </c>
      <c r="K1" s="191" t="s">
        <v>79</v>
      </c>
      <c r="L1" s="191" t="s">
        <v>80</v>
      </c>
      <c r="M1" s="191" t="s">
        <v>81</v>
      </c>
      <c r="N1" s="191" t="s">
        <v>82</v>
      </c>
      <c r="O1" s="191" t="s">
        <v>83</v>
      </c>
      <c r="P1" s="191" t="s">
        <v>84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85</v>
      </c>
      <c r="B2" s="191" t="s">
        <v>86</v>
      </c>
      <c r="C2" s="191">
        <v>264.0</v>
      </c>
      <c r="D2" s="191">
        <v>0.0</v>
      </c>
      <c r="E2" s="191" t="s">
        <v>87</v>
      </c>
      <c r="F2" s="191" t="s">
        <v>88</v>
      </c>
      <c r="G2" s="191" t="s">
        <v>89</v>
      </c>
      <c r="H2" s="191" t="s">
        <v>90</v>
      </c>
      <c r="I2" s="191" t="s">
        <v>91</v>
      </c>
      <c r="J2" s="191" t="s">
        <v>91</v>
      </c>
      <c r="K2" s="192"/>
      <c r="L2" s="191">
        <v>-4.0</v>
      </c>
      <c r="M2" s="191"/>
      <c r="N2" s="191">
        <v>10.497766666666667</v>
      </c>
      <c r="O2" s="191" t="s">
        <v>92</v>
      </c>
      <c r="P2" s="191" t="s">
        <v>93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94</v>
      </c>
      <c r="B3" s="191" t="s">
        <v>86</v>
      </c>
      <c r="C3" s="191">
        <v>259.0</v>
      </c>
      <c r="D3" s="191">
        <v>0.0</v>
      </c>
      <c r="E3" s="191" t="s">
        <v>59</v>
      </c>
      <c r="F3" s="191" t="s">
        <v>88</v>
      </c>
      <c r="G3" s="191" t="s">
        <v>89</v>
      </c>
      <c r="H3" s="191" t="s">
        <v>95</v>
      </c>
      <c r="I3" s="191" t="s">
        <v>96</v>
      </c>
      <c r="J3" s="191" t="s">
        <v>96</v>
      </c>
      <c r="K3" s="192"/>
      <c r="L3" s="191">
        <v>1.0</v>
      </c>
      <c r="M3" s="191"/>
      <c r="N3" s="191">
        <v>16.896466666666665</v>
      </c>
      <c r="O3" s="191" t="s">
        <v>92</v>
      </c>
      <c r="P3" s="191" t="s">
        <v>97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98</v>
      </c>
      <c r="B4" s="191" t="s">
        <v>86</v>
      </c>
      <c r="C4" s="193">
        <v>400.0</v>
      </c>
      <c r="D4" s="191">
        <v>0.0</v>
      </c>
      <c r="E4" s="191" t="s">
        <v>59</v>
      </c>
      <c r="F4" s="191" t="s">
        <v>99</v>
      </c>
      <c r="G4" s="191" t="s">
        <v>89</v>
      </c>
      <c r="H4" s="191" t="s">
        <v>100</v>
      </c>
      <c r="I4" s="191" t="s">
        <v>101</v>
      </c>
      <c r="J4" s="191" t="s">
        <v>102</v>
      </c>
      <c r="K4" s="191" t="s">
        <v>103</v>
      </c>
      <c r="L4" s="191">
        <v>4.0</v>
      </c>
      <c r="M4" s="191">
        <v>0.94725</v>
      </c>
      <c r="N4" s="191">
        <v>13.5334</v>
      </c>
      <c r="O4" s="191" t="s">
        <v>104</v>
      </c>
      <c r="P4" s="191" t="s">
        <v>105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85</v>
      </c>
      <c r="B5" s="191" t="s">
        <v>86</v>
      </c>
      <c r="C5" s="191">
        <v>583.0</v>
      </c>
      <c r="D5" s="191">
        <v>0.0</v>
      </c>
      <c r="E5" s="191" t="s">
        <v>106</v>
      </c>
      <c r="F5" s="191" t="s">
        <v>88</v>
      </c>
      <c r="G5" s="191" t="s">
        <v>89</v>
      </c>
      <c r="H5" s="191" t="s">
        <v>107</v>
      </c>
      <c r="I5" s="191" t="s">
        <v>108</v>
      </c>
      <c r="J5" s="191" t="s">
        <v>108</v>
      </c>
      <c r="K5" s="192"/>
      <c r="L5" s="191">
        <v>-1.0</v>
      </c>
      <c r="M5" s="191"/>
      <c r="N5" s="191">
        <v>13.138183333333334</v>
      </c>
      <c r="O5" s="191" t="s">
        <v>92</v>
      </c>
      <c r="P5" s="191" t="s">
        <v>109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98</v>
      </c>
      <c r="B6" s="191" t="s">
        <v>86</v>
      </c>
      <c r="C6" s="193">
        <v>486.0</v>
      </c>
      <c r="D6" s="191">
        <v>0.0</v>
      </c>
      <c r="E6" s="191" t="s">
        <v>59</v>
      </c>
      <c r="F6" s="191" t="s">
        <v>99</v>
      </c>
      <c r="G6" s="191" t="s">
        <v>89</v>
      </c>
      <c r="H6" s="191" t="s">
        <v>110</v>
      </c>
      <c r="I6" s="191" t="s">
        <v>111</v>
      </c>
      <c r="J6" s="191" t="s">
        <v>112</v>
      </c>
      <c r="K6" s="191" t="s">
        <v>113</v>
      </c>
      <c r="L6" s="191">
        <v>23.0</v>
      </c>
      <c r="M6" s="191">
        <v>0.8294166666666667</v>
      </c>
      <c r="N6" s="191">
        <v>8.61095</v>
      </c>
      <c r="O6" s="191" t="s">
        <v>104</v>
      </c>
      <c r="P6" s="191" t="s">
        <v>114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94</v>
      </c>
      <c r="B7" s="191" t="s">
        <v>86</v>
      </c>
      <c r="C7" s="193">
        <v>655.0</v>
      </c>
      <c r="D7" s="191">
        <v>0.0</v>
      </c>
      <c r="E7" s="191" t="s">
        <v>59</v>
      </c>
      <c r="F7" s="191" t="s">
        <v>88</v>
      </c>
      <c r="G7" s="191" t="s">
        <v>89</v>
      </c>
      <c r="H7" s="191" t="s">
        <v>115</v>
      </c>
      <c r="I7" s="191" t="s">
        <v>116</v>
      </c>
      <c r="J7" s="191" t="s">
        <v>116</v>
      </c>
      <c r="K7" s="192"/>
      <c r="L7" s="191">
        <v>-2.0</v>
      </c>
      <c r="M7" s="191"/>
      <c r="N7" s="191">
        <v>12.05045</v>
      </c>
      <c r="O7" s="191" t="s">
        <v>92</v>
      </c>
      <c r="P7" s="191" t="s">
        <v>117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98</v>
      </c>
      <c r="B8" s="191" t="s">
        <v>86</v>
      </c>
      <c r="C8" s="193">
        <v>539.0</v>
      </c>
      <c r="D8" s="191">
        <v>0.0</v>
      </c>
      <c r="E8" s="191" t="s">
        <v>59</v>
      </c>
      <c r="F8" s="191" t="s">
        <v>99</v>
      </c>
      <c r="G8" s="191" t="s">
        <v>118</v>
      </c>
      <c r="H8" s="191" t="s">
        <v>119</v>
      </c>
      <c r="I8" s="191" t="s">
        <v>120</v>
      </c>
      <c r="J8" s="191" t="s">
        <v>121</v>
      </c>
      <c r="K8" s="191" t="s">
        <v>122</v>
      </c>
      <c r="L8" s="191">
        <v>10.0</v>
      </c>
      <c r="M8" s="191">
        <v>0.8439833333333333</v>
      </c>
      <c r="N8" s="191">
        <v>10.27115</v>
      </c>
      <c r="O8" s="191" t="s">
        <v>104</v>
      </c>
      <c r="P8" s="191" t="s">
        <v>123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124</v>
      </c>
      <c r="B9" s="191" t="s">
        <v>86</v>
      </c>
      <c r="C9" s="191">
        <v>264.0</v>
      </c>
      <c r="D9" s="191">
        <v>0.0</v>
      </c>
      <c r="E9" s="192"/>
      <c r="F9" s="191" t="s">
        <v>88</v>
      </c>
      <c r="G9" s="191" t="s">
        <v>89</v>
      </c>
      <c r="H9" s="191" t="s">
        <v>125</v>
      </c>
      <c r="I9" s="191" t="s">
        <v>126</v>
      </c>
      <c r="J9" s="191" t="s">
        <v>126</v>
      </c>
      <c r="K9" s="192"/>
      <c r="L9" s="191">
        <v>-8.0</v>
      </c>
      <c r="M9" s="191"/>
      <c r="N9" s="191">
        <v>6.774333333333334</v>
      </c>
      <c r="O9" s="191" t="s">
        <v>92</v>
      </c>
      <c r="P9" s="191" t="s">
        <v>127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124</v>
      </c>
      <c r="B10" s="191" t="s">
        <v>86</v>
      </c>
      <c r="C10" s="193">
        <v>329.0</v>
      </c>
      <c r="D10" s="191">
        <v>0.0</v>
      </c>
      <c r="E10" s="192"/>
      <c r="F10" s="191" t="s">
        <v>88</v>
      </c>
      <c r="G10" s="191" t="s">
        <v>89</v>
      </c>
      <c r="H10" s="191" t="s">
        <v>128</v>
      </c>
      <c r="I10" s="191" t="s">
        <v>129</v>
      </c>
      <c r="J10" s="191" t="s">
        <v>129</v>
      </c>
      <c r="K10" s="192"/>
      <c r="L10" s="191">
        <v>-4.0</v>
      </c>
      <c r="M10" s="191"/>
      <c r="N10" s="191">
        <v>6.238466666666667</v>
      </c>
      <c r="O10" s="191" t="s">
        <v>92</v>
      </c>
      <c r="P10" s="191" t="s">
        <v>130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94</v>
      </c>
      <c r="B11" s="191" t="s">
        <v>86</v>
      </c>
      <c r="C11" s="191">
        <v>329.0</v>
      </c>
      <c r="D11" s="191">
        <v>0.0</v>
      </c>
      <c r="E11" s="191" t="s">
        <v>59</v>
      </c>
      <c r="F11" s="191" t="s">
        <v>88</v>
      </c>
      <c r="G11" s="191" t="s">
        <v>89</v>
      </c>
      <c r="H11" s="191" t="s">
        <v>131</v>
      </c>
      <c r="I11" s="191" t="s">
        <v>132</v>
      </c>
      <c r="J11" s="191" t="s">
        <v>132</v>
      </c>
      <c r="K11" s="192"/>
      <c r="L11" s="191">
        <v>-5.0</v>
      </c>
      <c r="M11" s="191"/>
      <c r="N11" s="191">
        <v>9.715716666666667</v>
      </c>
      <c r="O11" s="191" t="s">
        <v>92</v>
      </c>
      <c r="P11" s="191" t="s">
        <v>133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94</v>
      </c>
      <c r="B12" s="191" t="s">
        <v>86</v>
      </c>
      <c r="C12" s="193">
        <v>264.0</v>
      </c>
      <c r="D12" s="191">
        <v>0.0</v>
      </c>
      <c r="E12" s="191" t="s">
        <v>59</v>
      </c>
      <c r="F12" s="191" t="s">
        <v>88</v>
      </c>
      <c r="G12" s="191" t="s">
        <v>89</v>
      </c>
      <c r="H12" s="191" t="s">
        <v>134</v>
      </c>
      <c r="I12" s="191" t="s">
        <v>135</v>
      </c>
      <c r="J12" s="191" t="s">
        <v>135</v>
      </c>
      <c r="K12" s="192"/>
      <c r="L12" s="191">
        <v>-4.0</v>
      </c>
      <c r="M12" s="191"/>
      <c r="N12" s="191">
        <v>10.17365</v>
      </c>
      <c r="O12" s="191" t="s">
        <v>92</v>
      </c>
      <c r="P12" s="191" t="s">
        <v>136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98</v>
      </c>
      <c r="B13" s="191" t="s">
        <v>86</v>
      </c>
      <c r="C13" s="191">
        <v>318.0</v>
      </c>
      <c r="D13" s="191">
        <v>0.0</v>
      </c>
      <c r="E13" s="191" t="s">
        <v>59</v>
      </c>
      <c r="F13" s="191" t="s">
        <v>99</v>
      </c>
      <c r="G13" s="191" t="s">
        <v>118</v>
      </c>
      <c r="H13" s="191" t="s">
        <v>137</v>
      </c>
      <c r="I13" s="191" t="s">
        <v>138</v>
      </c>
      <c r="J13" s="191" t="s">
        <v>139</v>
      </c>
      <c r="K13" s="191" t="s">
        <v>140</v>
      </c>
      <c r="L13" s="191">
        <v>1.0</v>
      </c>
      <c r="M13" s="191">
        <v>6.989133333333333</v>
      </c>
      <c r="N13" s="191">
        <v>16.922283333333333</v>
      </c>
      <c r="O13" s="191" t="s">
        <v>104</v>
      </c>
      <c r="P13" s="191" t="s">
        <v>141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98</v>
      </c>
      <c r="B14" s="191" t="s">
        <v>86</v>
      </c>
      <c r="C14" s="191">
        <v>250.0</v>
      </c>
      <c r="D14" s="191">
        <v>0.0</v>
      </c>
      <c r="E14" s="191" t="s">
        <v>59</v>
      </c>
      <c r="F14" s="191" t="s">
        <v>99</v>
      </c>
      <c r="G14" s="191" t="s">
        <v>89</v>
      </c>
      <c r="H14" s="191" t="s">
        <v>142</v>
      </c>
      <c r="I14" s="191" t="s">
        <v>143</v>
      </c>
      <c r="J14" s="191" t="s">
        <v>144</v>
      </c>
      <c r="K14" s="191" t="s">
        <v>145</v>
      </c>
      <c r="L14" s="191">
        <v>9.0</v>
      </c>
      <c r="M14" s="191">
        <v>7.891183333333333</v>
      </c>
      <c r="N14" s="191">
        <v>14.143</v>
      </c>
      <c r="O14" s="191" t="s">
        <v>104</v>
      </c>
      <c r="P14" s="191" t="s">
        <v>146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124</v>
      </c>
      <c r="B15" s="191" t="s">
        <v>86</v>
      </c>
      <c r="C15" s="193">
        <v>463.0</v>
      </c>
      <c r="D15" s="191">
        <v>0.0</v>
      </c>
      <c r="E15" s="192"/>
      <c r="F15" s="191" t="s">
        <v>88</v>
      </c>
      <c r="G15" s="191" t="s">
        <v>89</v>
      </c>
      <c r="H15" s="191" t="s">
        <v>147</v>
      </c>
      <c r="I15" s="191" t="s">
        <v>148</v>
      </c>
      <c r="J15" s="191" t="s">
        <v>148</v>
      </c>
      <c r="K15" s="192"/>
      <c r="L15" s="191">
        <v>-1.0</v>
      </c>
      <c r="M15" s="191"/>
      <c r="N15" s="191">
        <v>13.3556</v>
      </c>
      <c r="O15" s="191" t="s">
        <v>92</v>
      </c>
      <c r="P15" s="191" t="s">
        <v>149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85</v>
      </c>
      <c r="B16" s="191" t="s">
        <v>86</v>
      </c>
      <c r="C16" s="193">
        <v>289.0</v>
      </c>
      <c r="D16" s="191">
        <v>0.0</v>
      </c>
      <c r="E16" s="191" t="s">
        <v>150</v>
      </c>
      <c r="F16" s="191" t="s">
        <v>88</v>
      </c>
      <c r="G16" s="191" t="s">
        <v>89</v>
      </c>
      <c r="H16" s="191" t="s">
        <v>151</v>
      </c>
      <c r="I16" s="191" t="s">
        <v>152</v>
      </c>
      <c r="J16" s="191" t="s">
        <v>152</v>
      </c>
      <c r="K16" s="192"/>
      <c r="L16" s="191">
        <v>-4.0</v>
      </c>
      <c r="M16" s="191"/>
      <c r="N16" s="191">
        <v>10.56385</v>
      </c>
      <c r="O16" s="191" t="s">
        <v>92</v>
      </c>
      <c r="P16" s="191" t="s">
        <v>153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94</v>
      </c>
      <c r="B17" s="191" t="s">
        <v>86</v>
      </c>
      <c r="C17" s="193">
        <v>388.0</v>
      </c>
      <c r="D17" s="191">
        <v>0.0</v>
      </c>
      <c r="E17" s="191" t="s">
        <v>59</v>
      </c>
      <c r="F17" s="191" t="s">
        <v>88</v>
      </c>
      <c r="G17" s="191" t="s">
        <v>89</v>
      </c>
      <c r="H17" s="191" t="s">
        <v>154</v>
      </c>
      <c r="I17" s="191" t="s">
        <v>155</v>
      </c>
      <c r="J17" s="191" t="s">
        <v>155</v>
      </c>
      <c r="K17" s="192"/>
      <c r="L17" s="191">
        <v>-1.0</v>
      </c>
      <c r="M17" s="191"/>
      <c r="N17" s="191">
        <v>13.83935</v>
      </c>
      <c r="O17" s="191" t="s">
        <v>92</v>
      </c>
      <c r="P17" s="191" t="s">
        <v>156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85</v>
      </c>
      <c r="B18" s="191" t="s">
        <v>86</v>
      </c>
      <c r="C18" s="191">
        <v>394.0</v>
      </c>
      <c r="D18" s="191">
        <v>0.0</v>
      </c>
      <c r="E18" s="191" t="s">
        <v>157</v>
      </c>
      <c r="F18" s="191" t="s">
        <v>88</v>
      </c>
      <c r="G18" s="191" t="s">
        <v>89</v>
      </c>
      <c r="H18" s="191" t="s">
        <v>158</v>
      </c>
      <c r="I18" s="191" t="s">
        <v>159</v>
      </c>
      <c r="J18" s="191" t="s">
        <v>159</v>
      </c>
      <c r="K18" s="192"/>
      <c r="L18" s="191">
        <v>-2.0</v>
      </c>
      <c r="M18" s="191"/>
      <c r="N18" s="191">
        <v>12.792483333333333</v>
      </c>
      <c r="O18" s="191" t="s">
        <v>92</v>
      </c>
      <c r="P18" s="191" t="s">
        <v>160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85</v>
      </c>
      <c r="B19" s="191" t="s">
        <v>86</v>
      </c>
      <c r="C19" s="193">
        <v>329.0</v>
      </c>
      <c r="D19" s="191">
        <v>0.0</v>
      </c>
      <c r="E19" s="191" t="s">
        <v>161</v>
      </c>
      <c r="F19" s="191" t="s">
        <v>88</v>
      </c>
      <c r="G19" s="191" t="s">
        <v>89</v>
      </c>
      <c r="H19" s="191" t="s">
        <v>162</v>
      </c>
      <c r="I19" s="191" t="s">
        <v>163</v>
      </c>
      <c r="J19" s="191" t="s">
        <v>163</v>
      </c>
      <c r="K19" s="192"/>
      <c r="L19" s="191">
        <v>-5.0</v>
      </c>
      <c r="M19" s="191"/>
      <c r="N19" s="191">
        <v>9.253216666666667</v>
      </c>
      <c r="O19" s="191" t="s">
        <v>92</v>
      </c>
      <c r="P19" s="191" t="s">
        <v>164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98</v>
      </c>
      <c r="B20" s="191" t="s">
        <v>86</v>
      </c>
      <c r="C20" s="191">
        <v>314.0</v>
      </c>
      <c r="D20" s="191">
        <v>0.0</v>
      </c>
      <c r="E20" s="191" t="s">
        <v>59</v>
      </c>
      <c r="F20" s="191" t="s">
        <v>99</v>
      </c>
      <c r="G20" s="191" t="s">
        <v>89</v>
      </c>
      <c r="H20" s="191" t="s">
        <v>165</v>
      </c>
      <c r="I20" s="191" t="s">
        <v>166</v>
      </c>
      <c r="J20" s="191" t="s">
        <v>167</v>
      </c>
      <c r="K20" s="191" t="s">
        <v>168</v>
      </c>
      <c r="L20" s="191">
        <v>1.0</v>
      </c>
      <c r="M20" s="191">
        <v>1.2664333333333333</v>
      </c>
      <c r="N20" s="191">
        <v>12.464833333333333</v>
      </c>
      <c r="O20" s="191" t="s">
        <v>104</v>
      </c>
      <c r="P20" s="191" t="s">
        <v>169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98</v>
      </c>
      <c r="B21" s="191" t="s">
        <v>86</v>
      </c>
      <c r="C21" s="193">
        <v>562.0</v>
      </c>
      <c r="D21" s="191">
        <v>0.0</v>
      </c>
      <c r="E21" s="191" t="s">
        <v>59</v>
      </c>
      <c r="F21" s="191" t="s">
        <v>99</v>
      </c>
      <c r="G21" s="191" t="s">
        <v>89</v>
      </c>
      <c r="H21" s="191" t="s">
        <v>170</v>
      </c>
      <c r="I21" s="191" t="s">
        <v>171</v>
      </c>
      <c r="J21" s="191" t="s">
        <v>172</v>
      </c>
      <c r="K21" s="191" t="s">
        <v>173</v>
      </c>
      <c r="L21" s="191">
        <v>7.0</v>
      </c>
      <c r="M21" s="191">
        <v>4.76975</v>
      </c>
      <c r="N21" s="191">
        <v>15.670566666666666</v>
      </c>
      <c r="O21" s="191" t="s">
        <v>104</v>
      </c>
      <c r="P21" s="191" t="s">
        <v>174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124</v>
      </c>
      <c r="B22" s="191" t="s">
        <v>86</v>
      </c>
      <c r="C22" s="191">
        <v>388.0</v>
      </c>
      <c r="D22" s="191">
        <v>0.0</v>
      </c>
      <c r="E22" s="192"/>
      <c r="F22" s="191" t="s">
        <v>88</v>
      </c>
      <c r="G22" s="191" t="s">
        <v>89</v>
      </c>
      <c r="H22" s="191" t="s">
        <v>175</v>
      </c>
      <c r="I22" s="191" t="s">
        <v>176</v>
      </c>
      <c r="J22" s="191" t="s">
        <v>176</v>
      </c>
      <c r="K22" s="192"/>
      <c r="L22" s="191">
        <v>0.0</v>
      </c>
      <c r="M22" s="191"/>
      <c r="N22" s="191">
        <v>15.753933333333332</v>
      </c>
      <c r="O22" s="191" t="s">
        <v>92</v>
      </c>
      <c r="P22" s="191" t="s">
        <v>177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94</v>
      </c>
      <c r="B23" s="191" t="s">
        <v>86</v>
      </c>
      <c r="C23" s="191">
        <v>1525.0</v>
      </c>
      <c r="D23" s="191">
        <v>0.0</v>
      </c>
      <c r="E23" s="191" t="s">
        <v>59</v>
      </c>
      <c r="F23" s="191" t="s">
        <v>88</v>
      </c>
      <c r="G23" s="191" t="s">
        <v>89</v>
      </c>
      <c r="H23" s="191" t="s">
        <v>178</v>
      </c>
      <c r="I23" s="191" t="s">
        <v>179</v>
      </c>
      <c r="J23" s="191" t="s">
        <v>179</v>
      </c>
      <c r="K23" s="192"/>
      <c r="L23" s="191">
        <v>11.0</v>
      </c>
      <c r="M23" s="191"/>
      <c r="N23" s="191">
        <v>26.4239</v>
      </c>
      <c r="O23" s="191" t="s">
        <v>92</v>
      </c>
      <c r="P23" s="191" t="s">
        <v>180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85</v>
      </c>
      <c r="B24" s="191" t="s">
        <v>86</v>
      </c>
      <c r="C24" s="191">
        <v>788.0</v>
      </c>
      <c r="D24" s="191">
        <v>0.0</v>
      </c>
      <c r="E24" s="191" t="s">
        <v>181</v>
      </c>
      <c r="F24" s="191" t="s">
        <v>88</v>
      </c>
      <c r="G24" s="191" t="s">
        <v>89</v>
      </c>
      <c r="H24" s="191" t="s">
        <v>182</v>
      </c>
      <c r="I24" s="191" t="s">
        <v>183</v>
      </c>
      <c r="J24" s="191" t="s">
        <v>183</v>
      </c>
      <c r="K24" s="192"/>
      <c r="L24" s="191">
        <v>5.0</v>
      </c>
      <c r="M24" s="191"/>
      <c r="N24" s="191">
        <v>21.73218333333333</v>
      </c>
      <c r="O24" s="191" t="s">
        <v>92</v>
      </c>
      <c r="P24" s="191" t="s">
        <v>184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185</v>
      </c>
      <c r="B25" s="191" t="s">
        <v>86</v>
      </c>
      <c r="C25" s="191">
        <v>428.0</v>
      </c>
      <c r="D25" s="191">
        <v>0.0</v>
      </c>
      <c r="E25" s="192"/>
      <c r="F25" s="191" t="s">
        <v>186</v>
      </c>
      <c r="G25" s="191" t="s">
        <v>118</v>
      </c>
      <c r="H25" s="191" t="s">
        <v>187</v>
      </c>
      <c r="I25" s="191" t="s">
        <v>188</v>
      </c>
      <c r="J25" s="191" t="s">
        <v>188</v>
      </c>
      <c r="K25" s="192"/>
      <c r="L25" s="191">
        <v>8.0</v>
      </c>
      <c r="M25" s="191"/>
      <c r="N25" s="191">
        <v>13.0877</v>
      </c>
      <c r="O25" s="191" t="s">
        <v>189</v>
      </c>
      <c r="P25" s="191" t="s">
        <v>190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94</v>
      </c>
      <c r="B26" s="191" t="s">
        <v>86</v>
      </c>
      <c r="C26" s="191">
        <v>553.0</v>
      </c>
      <c r="D26" s="191">
        <v>0.0</v>
      </c>
      <c r="E26" s="191" t="s">
        <v>59</v>
      </c>
      <c r="F26" s="191" t="s">
        <v>88</v>
      </c>
      <c r="G26" s="191" t="s">
        <v>89</v>
      </c>
      <c r="H26" s="191" t="s">
        <v>191</v>
      </c>
      <c r="I26" s="191" t="s">
        <v>192</v>
      </c>
      <c r="J26" s="191" t="s">
        <v>192</v>
      </c>
      <c r="K26" s="192"/>
      <c r="L26" s="191">
        <v>-3.0</v>
      </c>
      <c r="M26" s="191"/>
      <c r="N26" s="191">
        <v>11.371066666666668</v>
      </c>
      <c r="O26" s="191" t="s">
        <v>92</v>
      </c>
      <c r="P26" s="191" t="s">
        <v>193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94</v>
      </c>
      <c r="B27" s="191" t="s">
        <v>86</v>
      </c>
      <c r="C27" s="193">
        <v>364.0</v>
      </c>
      <c r="D27" s="191">
        <v>0.0</v>
      </c>
      <c r="E27" s="191" t="s">
        <v>59</v>
      </c>
      <c r="F27" s="191" t="s">
        <v>88</v>
      </c>
      <c r="G27" s="191" t="s">
        <v>89</v>
      </c>
      <c r="H27" s="191" t="s">
        <v>194</v>
      </c>
      <c r="I27" s="191" t="s">
        <v>195</v>
      </c>
      <c r="J27" s="191" t="s">
        <v>195</v>
      </c>
      <c r="K27" s="192"/>
      <c r="L27" s="191">
        <v>10.0</v>
      </c>
      <c r="M27" s="191"/>
      <c r="N27" s="191">
        <v>25.01781666666667</v>
      </c>
      <c r="O27" s="191" t="s">
        <v>92</v>
      </c>
      <c r="P27" s="191" t="s">
        <v>196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85</v>
      </c>
      <c r="B28" s="191" t="s">
        <v>197</v>
      </c>
      <c r="C28" s="193">
        <v>264.0</v>
      </c>
      <c r="D28" s="191">
        <v>0.0</v>
      </c>
      <c r="E28" s="191" t="s">
        <v>161</v>
      </c>
      <c r="F28" s="191" t="s">
        <v>88</v>
      </c>
      <c r="G28" s="191" t="s">
        <v>89</v>
      </c>
      <c r="H28" s="191" t="s">
        <v>198</v>
      </c>
      <c r="I28" s="191" t="s">
        <v>199</v>
      </c>
      <c r="J28" s="191" t="s">
        <v>199</v>
      </c>
      <c r="K28" s="192"/>
      <c r="L28" s="191">
        <v>5.0</v>
      </c>
      <c r="M28" s="191"/>
      <c r="N28" s="191">
        <v>20.747866666666667</v>
      </c>
      <c r="O28" s="191" t="s">
        <v>92</v>
      </c>
      <c r="P28" s="191" t="s">
        <v>200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124</v>
      </c>
      <c r="B29" s="191" t="s">
        <v>197</v>
      </c>
      <c r="C29" s="193">
        <v>224.0</v>
      </c>
      <c r="D29" s="191">
        <v>0.0</v>
      </c>
      <c r="E29" s="192"/>
      <c r="F29" s="191" t="s">
        <v>88</v>
      </c>
      <c r="G29" s="191" t="s">
        <v>89</v>
      </c>
      <c r="H29" s="191" t="s">
        <v>201</v>
      </c>
      <c r="I29" s="191" t="s">
        <v>202</v>
      </c>
      <c r="J29" s="191" t="s">
        <v>202</v>
      </c>
      <c r="K29" s="192"/>
      <c r="L29" s="191">
        <v>5.0</v>
      </c>
      <c r="M29" s="191"/>
      <c r="N29" s="191">
        <v>20.2524</v>
      </c>
      <c r="O29" s="191" t="s">
        <v>92</v>
      </c>
      <c r="P29" s="191" t="s">
        <v>203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124</v>
      </c>
      <c r="B30" s="191" t="s">
        <v>197</v>
      </c>
      <c r="C30" s="193">
        <v>264.0</v>
      </c>
      <c r="D30" s="191">
        <v>0.0</v>
      </c>
      <c r="E30" s="192"/>
      <c r="F30" s="191" t="s">
        <v>88</v>
      </c>
      <c r="G30" s="191" t="s">
        <v>89</v>
      </c>
      <c r="H30" s="191" t="s">
        <v>204</v>
      </c>
      <c r="I30" s="191" t="s">
        <v>205</v>
      </c>
      <c r="J30" s="191" t="s">
        <v>205</v>
      </c>
      <c r="K30" s="192"/>
      <c r="L30" s="191">
        <v>8.0</v>
      </c>
      <c r="M30" s="191"/>
      <c r="N30" s="191">
        <v>23.65065</v>
      </c>
      <c r="O30" s="191" t="s">
        <v>92</v>
      </c>
      <c r="P30" s="191" t="s">
        <v>206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98</v>
      </c>
      <c r="B31" s="191" t="s">
        <v>86</v>
      </c>
      <c r="C31" s="191">
        <v>598.0</v>
      </c>
      <c r="D31" s="191">
        <v>149.0</v>
      </c>
      <c r="E31" s="192"/>
      <c r="F31" s="191" t="s">
        <v>186</v>
      </c>
      <c r="G31" s="191" t="s">
        <v>118</v>
      </c>
      <c r="H31" s="191" t="s">
        <v>207</v>
      </c>
      <c r="I31" s="191" t="s">
        <v>208</v>
      </c>
      <c r="J31" s="191" t="s">
        <v>208</v>
      </c>
      <c r="K31" s="192"/>
      <c r="L31" s="191">
        <v>10.0</v>
      </c>
      <c r="M31" s="191"/>
      <c r="N31" s="191">
        <v>29.604016666666666</v>
      </c>
      <c r="O31" s="191" t="s">
        <v>104</v>
      </c>
      <c r="P31" s="191" t="s">
        <v>209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85</v>
      </c>
      <c r="B32" s="191" t="s">
        <v>197</v>
      </c>
      <c r="C32" s="191">
        <v>658.0</v>
      </c>
      <c r="D32" s="191">
        <v>0.0</v>
      </c>
      <c r="E32" s="191" t="s">
        <v>210</v>
      </c>
      <c r="F32" s="191" t="s">
        <v>88</v>
      </c>
      <c r="G32" s="191" t="s">
        <v>89</v>
      </c>
      <c r="H32" s="191" t="s">
        <v>211</v>
      </c>
      <c r="I32" s="191" t="s">
        <v>212</v>
      </c>
      <c r="J32" s="191" t="s">
        <v>212</v>
      </c>
      <c r="K32" s="192"/>
      <c r="L32" s="191">
        <v>5.0</v>
      </c>
      <c r="M32" s="191"/>
      <c r="N32" s="191">
        <v>20.465416666666666</v>
      </c>
      <c r="O32" s="191" t="s">
        <v>92</v>
      </c>
      <c r="P32" s="191" t="s">
        <v>213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124</v>
      </c>
      <c r="B33" s="191" t="s">
        <v>197</v>
      </c>
      <c r="C33" s="191">
        <v>492.0</v>
      </c>
      <c r="D33" s="191">
        <v>0.0</v>
      </c>
      <c r="E33" s="192"/>
      <c r="F33" s="191" t="s">
        <v>88</v>
      </c>
      <c r="G33" s="191" t="s">
        <v>89</v>
      </c>
      <c r="H33" s="191" t="s">
        <v>214</v>
      </c>
      <c r="I33" s="191" t="s">
        <v>215</v>
      </c>
      <c r="J33" s="191" t="s">
        <v>215</v>
      </c>
      <c r="K33" s="192"/>
      <c r="L33" s="191">
        <v>1.0</v>
      </c>
      <c r="M33" s="191"/>
      <c r="N33" s="191">
        <v>16.7429</v>
      </c>
      <c r="O33" s="191" t="s">
        <v>92</v>
      </c>
      <c r="P33" s="191" t="s">
        <v>216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124</v>
      </c>
      <c r="B34" s="191" t="s">
        <v>197</v>
      </c>
      <c r="C34" s="193">
        <v>329.0</v>
      </c>
      <c r="D34" s="191">
        <v>0.0</v>
      </c>
      <c r="E34" s="192"/>
      <c r="F34" s="191" t="s">
        <v>88</v>
      </c>
      <c r="G34" s="191" t="s">
        <v>89</v>
      </c>
      <c r="H34" s="191" t="s">
        <v>217</v>
      </c>
      <c r="I34" s="191" t="s">
        <v>218</v>
      </c>
      <c r="J34" s="191" t="s">
        <v>218</v>
      </c>
      <c r="K34" s="192"/>
      <c r="L34" s="191">
        <v>0.0</v>
      </c>
      <c r="M34" s="191"/>
      <c r="N34" s="191">
        <v>14.387566666666666</v>
      </c>
      <c r="O34" s="191" t="s">
        <v>92</v>
      </c>
      <c r="P34" s="191" t="s">
        <v>219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94</v>
      </c>
      <c r="B35" s="191" t="s">
        <v>86</v>
      </c>
      <c r="C35" s="193">
        <v>299.0</v>
      </c>
      <c r="D35" s="191">
        <v>0.0</v>
      </c>
      <c r="E35" s="191" t="s">
        <v>59</v>
      </c>
      <c r="F35" s="191" t="s">
        <v>88</v>
      </c>
      <c r="G35" s="191" t="s">
        <v>89</v>
      </c>
      <c r="H35" s="191" t="s">
        <v>220</v>
      </c>
      <c r="I35" s="191" t="s">
        <v>221</v>
      </c>
      <c r="J35" s="191" t="s">
        <v>221</v>
      </c>
      <c r="K35" s="192"/>
      <c r="L35" s="191">
        <v>2.0</v>
      </c>
      <c r="M35" s="191"/>
      <c r="N35" s="191">
        <v>19.4427</v>
      </c>
      <c r="O35" s="191" t="s">
        <v>92</v>
      </c>
      <c r="P35" s="191" t="s">
        <v>222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98</v>
      </c>
      <c r="B36" s="191" t="s">
        <v>86</v>
      </c>
      <c r="C36" s="193">
        <v>349.0</v>
      </c>
      <c r="D36" s="191">
        <v>0.0</v>
      </c>
      <c r="E36" s="191" t="s">
        <v>59</v>
      </c>
      <c r="F36" s="191" t="s">
        <v>99</v>
      </c>
      <c r="G36" s="191" t="s">
        <v>118</v>
      </c>
      <c r="H36" s="191" t="s">
        <v>223</v>
      </c>
      <c r="I36" s="191" t="s">
        <v>224</v>
      </c>
      <c r="J36" s="191" t="s">
        <v>225</v>
      </c>
      <c r="K36" s="191" t="s">
        <v>226</v>
      </c>
      <c r="L36" s="191">
        <v>-7.0</v>
      </c>
      <c r="M36" s="191">
        <v>0.23426666666666668</v>
      </c>
      <c r="N36" s="191">
        <v>14.456316666666666</v>
      </c>
      <c r="O36" s="191" t="s">
        <v>104</v>
      </c>
      <c r="P36" s="191" t="s">
        <v>227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124</v>
      </c>
      <c r="B37" s="191" t="s">
        <v>197</v>
      </c>
      <c r="C37" s="191">
        <v>321.0</v>
      </c>
      <c r="D37" s="191">
        <v>0.0</v>
      </c>
      <c r="E37" s="192"/>
      <c r="F37" s="191" t="s">
        <v>88</v>
      </c>
      <c r="G37" s="191" t="s">
        <v>89</v>
      </c>
      <c r="H37" s="191" t="s">
        <v>228</v>
      </c>
      <c r="I37" s="191" t="s">
        <v>229</v>
      </c>
      <c r="J37" s="191" t="s">
        <v>229</v>
      </c>
      <c r="K37" s="192"/>
      <c r="L37" s="191">
        <v>13.0</v>
      </c>
      <c r="M37" s="191"/>
      <c r="N37" s="191">
        <v>28.80865</v>
      </c>
      <c r="O37" s="191" t="s">
        <v>92</v>
      </c>
      <c r="P37" s="191" t="s">
        <v>230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98</v>
      </c>
      <c r="B38" s="191" t="s">
        <v>86</v>
      </c>
      <c r="C38" s="193">
        <v>518.0</v>
      </c>
      <c r="D38" s="191">
        <v>34.0</v>
      </c>
      <c r="E38" s="191" t="s">
        <v>59</v>
      </c>
      <c r="F38" s="191" t="s">
        <v>99</v>
      </c>
      <c r="G38" s="191" t="s">
        <v>89</v>
      </c>
      <c r="H38" s="191" t="s">
        <v>231</v>
      </c>
      <c r="I38" s="191" t="s">
        <v>232</v>
      </c>
      <c r="J38" s="191" t="s">
        <v>233</v>
      </c>
      <c r="K38" s="191" t="s">
        <v>234</v>
      </c>
      <c r="L38" s="191">
        <v>2.0</v>
      </c>
      <c r="M38" s="191">
        <v>3.1283166666666666</v>
      </c>
      <c r="N38" s="191">
        <v>31.67118333333333</v>
      </c>
      <c r="O38" s="191" t="s">
        <v>104</v>
      </c>
      <c r="P38" s="191" t="s">
        <v>235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94</v>
      </c>
      <c r="B39" s="191" t="s">
        <v>86</v>
      </c>
      <c r="C39" s="191">
        <v>618.0</v>
      </c>
      <c r="D39" s="191">
        <v>0.0</v>
      </c>
      <c r="E39" s="191" t="s">
        <v>59</v>
      </c>
      <c r="F39" s="191" t="s">
        <v>88</v>
      </c>
      <c r="G39" s="191" t="s">
        <v>89</v>
      </c>
      <c r="H39" s="191" t="s">
        <v>236</v>
      </c>
      <c r="I39" s="191" t="s">
        <v>237</v>
      </c>
      <c r="J39" s="191" t="s">
        <v>237</v>
      </c>
      <c r="K39" s="192"/>
      <c r="L39" s="191">
        <v>0.0</v>
      </c>
      <c r="M39" s="191"/>
      <c r="N39" s="191">
        <v>15.906183333333333</v>
      </c>
      <c r="O39" s="191" t="s">
        <v>92</v>
      </c>
      <c r="P39" s="191" t="s">
        <v>238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85</v>
      </c>
      <c r="B40" s="191" t="s">
        <v>197</v>
      </c>
      <c r="C40" s="191">
        <v>299.0</v>
      </c>
      <c r="D40" s="191">
        <v>0.0</v>
      </c>
      <c r="E40" s="191" t="s">
        <v>181</v>
      </c>
      <c r="F40" s="191" t="s">
        <v>88</v>
      </c>
      <c r="G40" s="191" t="s">
        <v>89</v>
      </c>
      <c r="H40" s="191" t="s">
        <v>239</v>
      </c>
      <c r="I40" s="191" t="s">
        <v>240</v>
      </c>
      <c r="J40" s="191" t="s">
        <v>240</v>
      </c>
      <c r="K40" s="192"/>
      <c r="L40" s="191">
        <v>0.0</v>
      </c>
      <c r="M40" s="191"/>
      <c r="N40" s="191">
        <v>15.358033333333333</v>
      </c>
      <c r="O40" s="191" t="s">
        <v>92</v>
      </c>
      <c r="P40" s="191" t="s">
        <v>241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185</v>
      </c>
      <c r="B41" s="191" t="s">
        <v>86</v>
      </c>
      <c r="C41" s="193">
        <v>309.0</v>
      </c>
      <c r="D41" s="191">
        <v>0.0</v>
      </c>
      <c r="E41" s="192"/>
      <c r="F41" s="191" t="s">
        <v>186</v>
      </c>
      <c r="G41" s="191" t="s">
        <v>118</v>
      </c>
      <c r="H41" s="191" t="s">
        <v>242</v>
      </c>
      <c r="I41" s="191" t="s">
        <v>243</v>
      </c>
      <c r="J41" s="191" t="s">
        <v>243</v>
      </c>
      <c r="K41" s="192"/>
      <c r="L41" s="191">
        <v>9.0</v>
      </c>
      <c r="M41" s="191"/>
      <c r="N41" s="191">
        <v>14.629333333333333</v>
      </c>
      <c r="O41" s="191" t="s">
        <v>189</v>
      </c>
      <c r="P41" s="191" t="s">
        <v>244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98</v>
      </c>
      <c r="B42" s="191" t="s">
        <v>86</v>
      </c>
      <c r="C42" s="193">
        <v>600.0</v>
      </c>
      <c r="D42" s="191">
        <v>18.0</v>
      </c>
      <c r="E42" s="191" t="s">
        <v>59</v>
      </c>
      <c r="F42" s="191" t="s">
        <v>99</v>
      </c>
      <c r="G42" s="191" t="s">
        <v>89</v>
      </c>
      <c r="H42" s="191" t="s">
        <v>245</v>
      </c>
      <c r="I42" s="191" t="s">
        <v>246</v>
      </c>
      <c r="J42" s="191" t="s">
        <v>247</v>
      </c>
      <c r="K42" s="191" t="s">
        <v>248</v>
      </c>
      <c r="L42" s="191">
        <v>-3.0</v>
      </c>
      <c r="M42" s="191">
        <v>2.90145</v>
      </c>
      <c r="N42" s="191">
        <v>13.312133333333334</v>
      </c>
      <c r="O42" s="191" t="s">
        <v>104</v>
      </c>
      <c r="P42" s="191" t="s">
        <v>249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124</v>
      </c>
      <c r="B43" s="191" t="s">
        <v>197</v>
      </c>
      <c r="C43" s="191">
        <v>329.0</v>
      </c>
      <c r="D43" s="191">
        <v>0.0</v>
      </c>
      <c r="E43" s="192"/>
      <c r="F43" s="191" t="s">
        <v>88</v>
      </c>
      <c r="G43" s="191" t="s">
        <v>89</v>
      </c>
      <c r="H43" s="191" t="s">
        <v>250</v>
      </c>
      <c r="I43" s="191" t="s">
        <v>251</v>
      </c>
      <c r="J43" s="191" t="s">
        <v>251</v>
      </c>
      <c r="K43" s="192"/>
      <c r="L43" s="191">
        <v>-2.0</v>
      </c>
      <c r="M43" s="191"/>
      <c r="N43" s="191">
        <v>12.62995</v>
      </c>
      <c r="O43" s="191" t="s">
        <v>92</v>
      </c>
      <c r="P43" s="191" t="s">
        <v>252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94</v>
      </c>
      <c r="B44" s="191" t="s">
        <v>86</v>
      </c>
      <c r="C44" s="193">
        <v>792.0</v>
      </c>
      <c r="D44" s="191">
        <v>0.0</v>
      </c>
      <c r="E44" s="191" t="s">
        <v>59</v>
      </c>
      <c r="F44" s="191" t="s">
        <v>88</v>
      </c>
      <c r="G44" s="191" t="s">
        <v>89</v>
      </c>
      <c r="H44" s="191" t="s">
        <v>253</v>
      </c>
      <c r="I44" s="191" t="s">
        <v>254</v>
      </c>
      <c r="J44" s="191" t="s">
        <v>254</v>
      </c>
      <c r="K44" s="192"/>
      <c r="L44" s="191">
        <v>-3.0</v>
      </c>
      <c r="M44" s="191"/>
      <c r="N44" s="191">
        <v>11.757916666666667</v>
      </c>
      <c r="O44" s="191" t="s">
        <v>92</v>
      </c>
      <c r="P44" s="191" t="s">
        <v>255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1" t="s">
        <v>94</v>
      </c>
      <c r="B45" s="191" t="s">
        <v>86</v>
      </c>
      <c r="C45" s="191">
        <v>483.0</v>
      </c>
      <c r="D45" s="191">
        <v>0.0</v>
      </c>
      <c r="E45" s="191" t="s">
        <v>59</v>
      </c>
      <c r="F45" s="191" t="s">
        <v>88</v>
      </c>
      <c r="G45" s="191" t="s">
        <v>89</v>
      </c>
      <c r="H45" s="191" t="s">
        <v>256</v>
      </c>
      <c r="I45" s="191" t="s">
        <v>257</v>
      </c>
      <c r="J45" s="191" t="s">
        <v>257</v>
      </c>
      <c r="K45" s="192"/>
      <c r="L45" s="191">
        <v>-4.0</v>
      </c>
      <c r="M45" s="191"/>
      <c r="N45" s="191">
        <v>10.048566666666666</v>
      </c>
      <c r="O45" s="191" t="s">
        <v>92</v>
      </c>
      <c r="P45" s="191" t="s">
        <v>258</v>
      </c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1" t="s">
        <v>94</v>
      </c>
      <c r="B46" s="191" t="s">
        <v>86</v>
      </c>
      <c r="C46" s="193">
        <v>528.0</v>
      </c>
      <c r="D46" s="191">
        <v>0.0</v>
      </c>
      <c r="E46" s="191" t="s">
        <v>59</v>
      </c>
      <c r="F46" s="191" t="s">
        <v>88</v>
      </c>
      <c r="G46" s="191" t="s">
        <v>89</v>
      </c>
      <c r="H46" s="191" t="s">
        <v>259</v>
      </c>
      <c r="I46" s="191" t="s">
        <v>260</v>
      </c>
      <c r="J46" s="191" t="s">
        <v>260</v>
      </c>
      <c r="K46" s="192"/>
      <c r="L46" s="191">
        <v>-5.0</v>
      </c>
      <c r="M46" s="191"/>
      <c r="N46" s="191">
        <v>9.386983333333333</v>
      </c>
      <c r="O46" s="191" t="s">
        <v>92</v>
      </c>
      <c r="P46" s="191" t="s">
        <v>261</v>
      </c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1" t="s">
        <v>124</v>
      </c>
      <c r="B47" s="191" t="s">
        <v>197</v>
      </c>
      <c r="C47" s="193">
        <v>264.0</v>
      </c>
      <c r="D47" s="191">
        <v>0.0</v>
      </c>
      <c r="E47" s="192"/>
      <c r="F47" s="191" t="s">
        <v>88</v>
      </c>
      <c r="G47" s="191" t="s">
        <v>89</v>
      </c>
      <c r="H47" s="191" t="s">
        <v>262</v>
      </c>
      <c r="I47" s="191" t="s">
        <v>263</v>
      </c>
      <c r="J47" s="191" t="s">
        <v>263</v>
      </c>
      <c r="K47" s="192"/>
      <c r="L47" s="191">
        <v>-8.0</v>
      </c>
      <c r="M47" s="191"/>
      <c r="N47" s="191">
        <v>6.566033333333333</v>
      </c>
      <c r="O47" s="191" t="s">
        <v>92</v>
      </c>
      <c r="P47" s="191" t="s">
        <v>127</v>
      </c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1" t="s">
        <v>98</v>
      </c>
      <c r="B48" s="191" t="s">
        <v>86</v>
      </c>
      <c r="C48" s="193">
        <v>482.0</v>
      </c>
      <c r="D48" s="191">
        <v>0.0</v>
      </c>
      <c r="E48" s="191" t="s">
        <v>59</v>
      </c>
      <c r="F48" s="191" t="s">
        <v>99</v>
      </c>
      <c r="G48" s="191" t="s">
        <v>118</v>
      </c>
      <c r="H48" s="191" t="s">
        <v>264</v>
      </c>
      <c r="I48" s="191" t="s">
        <v>265</v>
      </c>
      <c r="J48" s="191" t="s">
        <v>266</v>
      </c>
      <c r="K48" s="191" t="s">
        <v>267</v>
      </c>
      <c r="L48" s="191">
        <v>-4.0</v>
      </c>
      <c r="M48" s="191">
        <v>2.1488833333333335</v>
      </c>
      <c r="N48" s="191">
        <v>10.3173</v>
      </c>
      <c r="O48" s="191" t="s">
        <v>104</v>
      </c>
      <c r="P48" s="191" t="s">
        <v>268</v>
      </c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1" t="s">
        <v>94</v>
      </c>
      <c r="B49" s="191" t="s">
        <v>86</v>
      </c>
      <c r="C49" s="191">
        <v>264.0</v>
      </c>
      <c r="D49" s="191">
        <v>0.0</v>
      </c>
      <c r="E49" s="191" t="s">
        <v>59</v>
      </c>
      <c r="F49" s="191" t="s">
        <v>88</v>
      </c>
      <c r="G49" s="191" t="s">
        <v>89</v>
      </c>
      <c r="H49" s="191" t="s">
        <v>269</v>
      </c>
      <c r="I49" s="191" t="s">
        <v>270</v>
      </c>
      <c r="J49" s="191" t="s">
        <v>270</v>
      </c>
      <c r="K49" s="192"/>
      <c r="L49" s="191">
        <v>-8.0</v>
      </c>
      <c r="M49" s="191"/>
      <c r="N49" s="191">
        <v>6.8158</v>
      </c>
      <c r="O49" s="191" t="s">
        <v>92</v>
      </c>
      <c r="P49" s="191" t="s">
        <v>271</v>
      </c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1" t="s">
        <v>98</v>
      </c>
      <c r="B50" s="191" t="s">
        <v>86</v>
      </c>
      <c r="C50" s="191">
        <v>299.0</v>
      </c>
      <c r="D50" s="191">
        <v>75.0</v>
      </c>
      <c r="E50" s="192"/>
      <c r="F50" s="191" t="s">
        <v>186</v>
      </c>
      <c r="G50" s="191" t="s">
        <v>272</v>
      </c>
      <c r="H50" s="191" t="s">
        <v>273</v>
      </c>
      <c r="I50" s="191" t="s">
        <v>274</v>
      </c>
      <c r="J50" s="191" t="s">
        <v>274</v>
      </c>
      <c r="K50" s="192"/>
      <c r="L50" s="191">
        <v>-12.0</v>
      </c>
      <c r="M50" s="191"/>
      <c r="N50" s="191">
        <v>6.93375</v>
      </c>
      <c r="O50" s="191" t="s">
        <v>104</v>
      </c>
      <c r="P50" s="191" t="s">
        <v>275</v>
      </c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1" t="s">
        <v>85</v>
      </c>
      <c r="B51" s="193" t="s">
        <v>197</v>
      </c>
      <c r="C51" s="191">
        <v>658.0</v>
      </c>
      <c r="D51" s="191">
        <v>0.0</v>
      </c>
      <c r="E51" s="191" t="s">
        <v>276</v>
      </c>
      <c r="F51" s="191" t="s">
        <v>88</v>
      </c>
      <c r="G51" s="191" t="s">
        <v>89</v>
      </c>
      <c r="H51" s="191" t="s">
        <v>277</v>
      </c>
      <c r="I51" s="191" t="s">
        <v>278</v>
      </c>
      <c r="J51" s="191" t="s">
        <v>278</v>
      </c>
      <c r="K51" s="192"/>
      <c r="L51" s="191">
        <v>-4.0</v>
      </c>
      <c r="M51" s="191"/>
      <c r="N51" s="191">
        <v>10.349</v>
      </c>
      <c r="O51" s="191" t="s">
        <v>92</v>
      </c>
      <c r="P51" s="191" t="s">
        <v>279</v>
      </c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1" t="s">
        <v>94</v>
      </c>
      <c r="B52" s="191" t="s">
        <v>86</v>
      </c>
      <c r="C52" s="193">
        <v>544.0</v>
      </c>
      <c r="D52" s="191">
        <v>0.0</v>
      </c>
      <c r="E52" s="191" t="s">
        <v>59</v>
      </c>
      <c r="F52" s="191" t="s">
        <v>88</v>
      </c>
      <c r="G52" s="191" t="s">
        <v>89</v>
      </c>
      <c r="H52" s="191" t="s">
        <v>280</v>
      </c>
      <c r="I52" s="191" t="s">
        <v>281</v>
      </c>
      <c r="J52" s="191" t="s">
        <v>281</v>
      </c>
      <c r="K52" s="192"/>
      <c r="L52" s="191">
        <v>-2.0</v>
      </c>
      <c r="M52" s="191"/>
      <c r="N52" s="191">
        <v>12.171416666666667</v>
      </c>
      <c r="O52" s="191" t="s">
        <v>92</v>
      </c>
      <c r="P52" s="191" t="s">
        <v>282</v>
      </c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1" t="s">
        <v>124</v>
      </c>
      <c r="B53" s="191" t="s">
        <v>197</v>
      </c>
      <c r="C53" s="193">
        <v>642.0</v>
      </c>
      <c r="D53" s="191">
        <v>0.0</v>
      </c>
      <c r="E53" s="192"/>
      <c r="F53" s="191" t="s">
        <v>88</v>
      </c>
      <c r="G53" s="191" t="s">
        <v>89</v>
      </c>
      <c r="H53" s="191" t="s">
        <v>283</v>
      </c>
      <c r="I53" s="191" t="s">
        <v>284</v>
      </c>
      <c r="J53" s="191" t="s">
        <v>284</v>
      </c>
      <c r="K53" s="192"/>
      <c r="L53" s="191">
        <v>-1.0</v>
      </c>
      <c r="M53" s="191"/>
      <c r="N53" s="191">
        <v>13.11255</v>
      </c>
      <c r="O53" s="191" t="s">
        <v>92</v>
      </c>
      <c r="P53" s="191" t="s">
        <v>285</v>
      </c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1" t="s">
        <v>124</v>
      </c>
      <c r="B54" s="191" t="s">
        <v>197</v>
      </c>
      <c r="C54" s="191">
        <v>528.0</v>
      </c>
      <c r="D54" s="191">
        <v>0.0</v>
      </c>
      <c r="E54" s="192"/>
      <c r="F54" s="191" t="s">
        <v>88</v>
      </c>
      <c r="G54" s="191" t="s">
        <v>89</v>
      </c>
      <c r="H54" s="191" t="s">
        <v>286</v>
      </c>
      <c r="I54" s="191" t="s">
        <v>287</v>
      </c>
      <c r="J54" s="191" t="s">
        <v>287</v>
      </c>
      <c r="K54" s="192"/>
      <c r="L54" s="191">
        <v>-2.0</v>
      </c>
      <c r="M54" s="191"/>
      <c r="N54" s="191">
        <v>12.65255</v>
      </c>
      <c r="O54" s="191" t="s">
        <v>92</v>
      </c>
      <c r="P54" s="191" t="s">
        <v>288</v>
      </c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1" t="s">
        <v>85</v>
      </c>
      <c r="B55" s="191" t="s">
        <v>197</v>
      </c>
      <c r="C55" s="193">
        <v>719.0</v>
      </c>
      <c r="D55" s="191">
        <v>0.0</v>
      </c>
      <c r="E55" s="191" t="s">
        <v>289</v>
      </c>
      <c r="F55" s="191" t="s">
        <v>88</v>
      </c>
      <c r="G55" s="191" t="s">
        <v>89</v>
      </c>
      <c r="H55" s="191" t="s">
        <v>290</v>
      </c>
      <c r="I55" s="191" t="s">
        <v>291</v>
      </c>
      <c r="J55" s="191" t="s">
        <v>291</v>
      </c>
      <c r="K55" s="192"/>
      <c r="L55" s="191">
        <v>-7.0</v>
      </c>
      <c r="M55" s="191"/>
      <c r="N55" s="191">
        <v>7.541566666666666</v>
      </c>
      <c r="O55" s="191" t="s">
        <v>92</v>
      </c>
      <c r="P55" s="191" t="s">
        <v>292</v>
      </c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1" t="s">
        <v>185</v>
      </c>
      <c r="B56" s="191" t="s">
        <v>86</v>
      </c>
      <c r="C56" s="193">
        <v>119.0</v>
      </c>
      <c r="D56" s="191">
        <v>0.0</v>
      </c>
      <c r="E56" s="192"/>
      <c r="F56" s="191" t="s">
        <v>186</v>
      </c>
      <c r="G56" s="191" t="s">
        <v>118</v>
      </c>
      <c r="H56" s="191" t="s">
        <v>293</v>
      </c>
      <c r="I56" s="191" t="s">
        <v>294</v>
      </c>
      <c r="J56" s="191" t="s">
        <v>294</v>
      </c>
      <c r="K56" s="192"/>
      <c r="L56" s="191">
        <v>0.0</v>
      </c>
      <c r="M56" s="191"/>
      <c r="N56" s="191">
        <v>5.81585</v>
      </c>
      <c r="O56" s="191" t="s">
        <v>189</v>
      </c>
      <c r="P56" s="191" t="s">
        <v>295</v>
      </c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1" t="s">
        <v>85</v>
      </c>
      <c r="B57" s="191" t="s">
        <v>197</v>
      </c>
      <c r="C57" s="193">
        <v>329.0</v>
      </c>
      <c r="D57" s="191">
        <v>0.0</v>
      </c>
      <c r="E57" s="191" t="s">
        <v>296</v>
      </c>
      <c r="F57" s="191" t="s">
        <v>88</v>
      </c>
      <c r="G57" s="191" t="s">
        <v>89</v>
      </c>
      <c r="H57" s="191" t="s">
        <v>297</v>
      </c>
      <c r="I57" s="191" t="s">
        <v>298</v>
      </c>
      <c r="J57" s="191" t="s">
        <v>298</v>
      </c>
      <c r="K57" s="192"/>
      <c r="L57" s="191">
        <v>-7.0</v>
      </c>
      <c r="M57" s="191"/>
      <c r="N57" s="191">
        <v>7.234083333333333</v>
      </c>
      <c r="O57" s="191" t="s">
        <v>92</v>
      </c>
      <c r="P57" s="191" t="s">
        <v>299</v>
      </c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1" t="s">
        <v>185</v>
      </c>
      <c r="B58" s="191" t="s">
        <v>86</v>
      </c>
      <c r="C58" s="191">
        <v>249.0</v>
      </c>
      <c r="D58" s="191">
        <v>0.0</v>
      </c>
      <c r="E58" s="192"/>
      <c r="F58" s="191" t="s">
        <v>186</v>
      </c>
      <c r="G58" s="191" t="s">
        <v>118</v>
      </c>
      <c r="H58" s="191" t="s">
        <v>300</v>
      </c>
      <c r="I58" s="191" t="s">
        <v>301</v>
      </c>
      <c r="J58" s="191" t="s">
        <v>301</v>
      </c>
      <c r="K58" s="192"/>
      <c r="L58" s="191">
        <v>2.0</v>
      </c>
      <c r="M58" s="191"/>
      <c r="N58" s="191">
        <v>7.673383333333334</v>
      </c>
      <c r="O58" s="191" t="s">
        <v>189</v>
      </c>
      <c r="P58" s="191" t="s">
        <v>302</v>
      </c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1" t="s">
        <v>98</v>
      </c>
      <c r="B59" s="191" t="s">
        <v>86</v>
      </c>
      <c r="C59" s="193">
        <v>555.0</v>
      </c>
      <c r="D59" s="191">
        <v>0.0</v>
      </c>
      <c r="E59" s="191" t="s">
        <v>49</v>
      </c>
      <c r="F59" s="191" t="s">
        <v>99</v>
      </c>
      <c r="G59" s="191" t="s">
        <v>89</v>
      </c>
      <c r="H59" s="191" t="s">
        <v>303</v>
      </c>
      <c r="I59" s="191" t="s">
        <v>304</v>
      </c>
      <c r="J59" s="191" t="s">
        <v>305</v>
      </c>
      <c r="K59" s="191" t="s">
        <v>306</v>
      </c>
      <c r="L59" s="191">
        <v>-8.0</v>
      </c>
      <c r="M59" s="191">
        <v>0.01475</v>
      </c>
      <c r="N59" s="191">
        <v>13.44175</v>
      </c>
      <c r="O59" s="191" t="s">
        <v>104</v>
      </c>
      <c r="P59" s="191" t="s">
        <v>307</v>
      </c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1" t="s">
        <v>98</v>
      </c>
      <c r="B60" s="191" t="s">
        <v>86</v>
      </c>
      <c r="C60" s="191">
        <v>526.0</v>
      </c>
      <c r="D60" s="191">
        <v>132.0</v>
      </c>
      <c r="E60" s="192"/>
      <c r="F60" s="191" t="s">
        <v>186</v>
      </c>
      <c r="G60" s="191" t="s">
        <v>272</v>
      </c>
      <c r="H60" s="191" t="s">
        <v>308</v>
      </c>
      <c r="I60" s="191" t="s">
        <v>309</v>
      </c>
      <c r="J60" s="191" t="s">
        <v>309</v>
      </c>
      <c r="K60" s="192"/>
      <c r="L60" s="191">
        <v>-6.0</v>
      </c>
      <c r="M60" s="191"/>
      <c r="N60" s="191">
        <v>13.026966666666667</v>
      </c>
      <c r="O60" s="191" t="s">
        <v>104</v>
      </c>
      <c r="P60" s="191" t="s">
        <v>310</v>
      </c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1" t="s">
        <v>124</v>
      </c>
      <c r="B61" s="191" t="s">
        <v>197</v>
      </c>
      <c r="C61" s="193">
        <v>329.0</v>
      </c>
      <c r="D61" s="191">
        <v>0.0</v>
      </c>
      <c r="E61" s="192"/>
      <c r="F61" s="191" t="s">
        <v>88</v>
      </c>
      <c r="G61" s="191" t="s">
        <v>89</v>
      </c>
      <c r="H61" s="191" t="s">
        <v>311</v>
      </c>
      <c r="I61" s="191" t="s">
        <v>312</v>
      </c>
      <c r="J61" s="191" t="s">
        <v>312</v>
      </c>
      <c r="K61" s="192"/>
      <c r="L61" s="191">
        <v>-4.0</v>
      </c>
      <c r="M61" s="191"/>
      <c r="N61" s="191">
        <v>10.633483333333333</v>
      </c>
      <c r="O61" s="191" t="s">
        <v>92</v>
      </c>
      <c r="P61" s="191" t="s">
        <v>313</v>
      </c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1" t="s">
        <v>124</v>
      </c>
      <c r="B62" s="191" t="s">
        <v>197</v>
      </c>
      <c r="C62" s="191">
        <v>264.0</v>
      </c>
      <c r="D62" s="191">
        <v>0.0</v>
      </c>
      <c r="E62" s="192"/>
      <c r="F62" s="191" t="s">
        <v>88</v>
      </c>
      <c r="G62" s="191" t="s">
        <v>89</v>
      </c>
      <c r="H62" s="191" t="s">
        <v>314</v>
      </c>
      <c r="I62" s="191" t="s">
        <v>315</v>
      </c>
      <c r="J62" s="191" t="s">
        <v>315</v>
      </c>
      <c r="K62" s="192"/>
      <c r="L62" s="191">
        <v>-1.0</v>
      </c>
      <c r="M62" s="191"/>
      <c r="N62" s="191">
        <v>13.128133333333333</v>
      </c>
      <c r="O62" s="191" t="s">
        <v>92</v>
      </c>
      <c r="P62" s="191" t="s">
        <v>316</v>
      </c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1" t="s">
        <v>85</v>
      </c>
      <c r="B63" s="191" t="s">
        <v>197</v>
      </c>
      <c r="C63" s="191">
        <v>329.0</v>
      </c>
      <c r="D63" s="191">
        <v>0.0</v>
      </c>
      <c r="E63" s="191" t="s">
        <v>296</v>
      </c>
      <c r="F63" s="191" t="s">
        <v>88</v>
      </c>
      <c r="G63" s="191" t="s">
        <v>89</v>
      </c>
      <c r="H63" s="191" t="s">
        <v>317</v>
      </c>
      <c r="I63" s="191" t="s">
        <v>318</v>
      </c>
      <c r="J63" s="191" t="s">
        <v>318</v>
      </c>
      <c r="K63" s="192"/>
      <c r="L63" s="191">
        <v>0.0</v>
      </c>
      <c r="M63" s="191"/>
      <c r="N63" s="191">
        <v>15.497783333333333</v>
      </c>
      <c r="O63" s="191" t="s">
        <v>92</v>
      </c>
      <c r="P63" s="191" t="s">
        <v>319</v>
      </c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1" t="s">
        <v>124</v>
      </c>
      <c r="B64" s="191" t="s">
        <v>197</v>
      </c>
      <c r="C64" s="191">
        <v>394.0</v>
      </c>
      <c r="D64" s="191">
        <v>0.0</v>
      </c>
      <c r="E64" s="192"/>
      <c r="F64" s="191" t="s">
        <v>88</v>
      </c>
      <c r="G64" s="191" t="s">
        <v>89</v>
      </c>
      <c r="H64" s="191" t="s">
        <v>320</v>
      </c>
      <c r="I64" s="191" t="s">
        <v>321</v>
      </c>
      <c r="J64" s="191" t="s">
        <v>321</v>
      </c>
      <c r="K64" s="192"/>
      <c r="L64" s="191">
        <v>0.0</v>
      </c>
      <c r="M64" s="191"/>
      <c r="N64" s="191">
        <v>14.1157</v>
      </c>
      <c r="O64" s="191" t="s">
        <v>92</v>
      </c>
      <c r="P64" s="191" t="s">
        <v>322</v>
      </c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1" t="s">
        <v>124</v>
      </c>
      <c r="B65" s="191" t="s">
        <v>197</v>
      </c>
      <c r="C65" s="193">
        <v>593.0</v>
      </c>
      <c r="D65" s="191">
        <v>0.0</v>
      </c>
      <c r="E65" s="192"/>
      <c r="F65" s="191" t="s">
        <v>88</v>
      </c>
      <c r="G65" s="191" t="s">
        <v>89</v>
      </c>
      <c r="H65" s="191" t="s">
        <v>323</v>
      </c>
      <c r="I65" s="191" t="s">
        <v>324</v>
      </c>
      <c r="J65" s="191" t="s">
        <v>324</v>
      </c>
      <c r="K65" s="192"/>
      <c r="L65" s="191">
        <v>-3.0</v>
      </c>
      <c r="M65" s="191"/>
      <c r="N65" s="191">
        <v>11.738133333333334</v>
      </c>
      <c r="O65" s="191" t="s">
        <v>92</v>
      </c>
      <c r="P65" s="191" t="s">
        <v>325</v>
      </c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1" t="s">
        <v>94</v>
      </c>
      <c r="B66" s="191" t="s">
        <v>86</v>
      </c>
      <c r="C66" s="191">
        <v>331.0</v>
      </c>
      <c r="D66" s="191">
        <v>0.0</v>
      </c>
      <c r="E66" s="191" t="s">
        <v>59</v>
      </c>
      <c r="F66" s="191" t="s">
        <v>88</v>
      </c>
      <c r="G66" s="191" t="s">
        <v>89</v>
      </c>
      <c r="H66" s="191" t="s">
        <v>326</v>
      </c>
      <c r="I66" s="191" t="s">
        <v>327</v>
      </c>
      <c r="J66" s="191" t="s">
        <v>327</v>
      </c>
      <c r="K66" s="192"/>
      <c r="L66" s="191">
        <v>-1.0</v>
      </c>
      <c r="M66" s="191"/>
      <c r="N66" s="191">
        <v>13.959</v>
      </c>
      <c r="O66" s="191" t="s">
        <v>92</v>
      </c>
      <c r="P66" s="191" t="s">
        <v>328</v>
      </c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1" t="s">
        <v>98</v>
      </c>
      <c r="B67" s="191" t="s">
        <v>86</v>
      </c>
      <c r="C67" s="191">
        <v>762.0</v>
      </c>
      <c r="D67" s="191">
        <v>185.0</v>
      </c>
      <c r="E67" s="192"/>
      <c r="F67" s="191" t="s">
        <v>186</v>
      </c>
      <c r="G67" s="191" t="s">
        <v>272</v>
      </c>
      <c r="H67" s="191" t="s">
        <v>329</v>
      </c>
      <c r="I67" s="191" t="s">
        <v>330</v>
      </c>
      <c r="J67" s="191" t="s">
        <v>330</v>
      </c>
      <c r="K67" s="192"/>
      <c r="L67" s="191">
        <v>-2.0</v>
      </c>
      <c r="M67" s="191"/>
      <c r="N67" s="191">
        <v>16.708133333333333</v>
      </c>
      <c r="O67" s="191" t="s">
        <v>104</v>
      </c>
      <c r="P67" s="191" t="s">
        <v>331</v>
      </c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1" t="s">
        <v>98</v>
      </c>
      <c r="B68" s="191" t="s">
        <v>86</v>
      </c>
      <c r="C68" s="191">
        <v>247.0</v>
      </c>
      <c r="D68" s="191">
        <v>62.0</v>
      </c>
      <c r="E68" s="192"/>
      <c r="F68" s="191" t="s">
        <v>186</v>
      </c>
      <c r="G68" s="191" t="s">
        <v>118</v>
      </c>
      <c r="H68" s="191" t="s">
        <v>332</v>
      </c>
      <c r="I68" s="191" t="s">
        <v>333</v>
      </c>
      <c r="J68" s="191" t="s">
        <v>333</v>
      </c>
      <c r="K68" s="192"/>
      <c r="L68" s="191">
        <v>-8.0</v>
      </c>
      <c r="M68" s="191"/>
      <c r="N68" s="191">
        <v>11.099066666666667</v>
      </c>
      <c r="O68" s="191" t="s">
        <v>104</v>
      </c>
      <c r="P68" s="191" t="s">
        <v>334</v>
      </c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1" t="s">
        <v>94</v>
      </c>
      <c r="B69" s="191" t="s">
        <v>86</v>
      </c>
      <c r="C69" s="191">
        <v>264.0</v>
      </c>
      <c r="D69" s="191">
        <v>0.0</v>
      </c>
      <c r="E69" s="191" t="s">
        <v>59</v>
      </c>
      <c r="F69" s="191" t="s">
        <v>88</v>
      </c>
      <c r="G69" s="191" t="s">
        <v>89</v>
      </c>
      <c r="H69" s="191" t="s">
        <v>335</v>
      </c>
      <c r="I69" s="191" t="s">
        <v>336</v>
      </c>
      <c r="J69" s="191" t="s">
        <v>336</v>
      </c>
      <c r="K69" s="192"/>
      <c r="L69" s="191">
        <v>-5.0</v>
      </c>
      <c r="M69" s="191"/>
      <c r="N69" s="191">
        <v>9.578</v>
      </c>
      <c r="O69" s="191" t="s">
        <v>92</v>
      </c>
      <c r="P69" s="191" t="s">
        <v>271</v>
      </c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1" t="s">
        <v>85</v>
      </c>
      <c r="B70" s="191" t="s">
        <v>197</v>
      </c>
      <c r="C70" s="193">
        <v>264.0</v>
      </c>
      <c r="D70" s="191">
        <v>0.0</v>
      </c>
      <c r="E70" s="191" t="s">
        <v>337</v>
      </c>
      <c r="F70" s="191" t="s">
        <v>88</v>
      </c>
      <c r="G70" s="191" t="s">
        <v>89</v>
      </c>
      <c r="H70" s="191" t="s">
        <v>338</v>
      </c>
      <c r="I70" s="191" t="s">
        <v>339</v>
      </c>
      <c r="J70" s="191" t="s">
        <v>339</v>
      </c>
      <c r="K70" s="192"/>
      <c r="L70" s="191">
        <v>-5.0</v>
      </c>
      <c r="M70" s="191"/>
      <c r="N70" s="191">
        <v>9.416833333333333</v>
      </c>
      <c r="O70" s="191" t="s">
        <v>92</v>
      </c>
      <c r="P70" s="191" t="s">
        <v>340</v>
      </c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1" t="s">
        <v>98</v>
      </c>
      <c r="B71" s="191" t="s">
        <v>86</v>
      </c>
      <c r="C71" s="191">
        <v>323.0</v>
      </c>
      <c r="D71" s="191">
        <v>91.0</v>
      </c>
      <c r="E71" s="192"/>
      <c r="F71" s="191" t="s">
        <v>186</v>
      </c>
      <c r="G71" s="191" t="s">
        <v>272</v>
      </c>
      <c r="H71" s="191" t="s">
        <v>341</v>
      </c>
      <c r="I71" s="191" t="s">
        <v>342</v>
      </c>
      <c r="J71" s="191" t="s">
        <v>342</v>
      </c>
      <c r="K71" s="192"/>
      <c r="L71" s="191">
        <v>-10.0</v>
      </c>
      <c r="M71" s="191"/>
      <c r="N71" s="191">
        <v>8.963333333333333</v>
      </c>
      <c r="O71" s="191" t="s">
        <v>104</v>
      </c>
      <c r="P71" s="191" t="s">
        <v>343</v>
      </c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1" t="s">
        <v>124</v>
      </c>
      <c r="B72" s="191" t="s">
        <v>197</v>
      </c>
      <c r="C72" s="191">
        <v>394.0</v>
      </c>
      <c r="D72" s="191">
        <v>0.0</v>
      </c>
      <c r="E72" s="192"/>
      <c r="F72" s="191" t="s">
        <v>88</v>
      </c>
      <c r="G72" s="191" t="s">
        <v>89</v>
      </c>
      <c r="H72" s="191" t="s">
        <v>344</v>
      </c>
      <c r="I72" s="191" t="s">
        <v>345</v>
      </c>
      <c r="J72" s="191" t="s">
        <v>345</v>
      </c>
      <c r="K72" s="192"/>
      <c r="L72" s="191">
        <v>-2.0</v>
      </c>
      <c r="M72" s="191"/>
      <c r="N72" s="191">
        <v>12.39235</v>
      </c>
      <c r="O72" s="191" t="s">
        <v>92</v>
      </c>
      <c r="P72" s="191" t="s">
        <v>346</v>
      </c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1" t="s">
        <v>124</v>
      </c>
      <c r="B73" s="191" t="s">
        <v>197</v>
      </c>
      <c r="C73" s="191">
        <v>538.0</v>
      </c>
      <c r="D73" s="191">
        <v>0.0</v>
      </c>
      <c r="E73" s="192"/>
      <c r="F73" s="191" t="s">
        <v>88</v>
      </c>
      <c r="G73" s="191" t="s">
        <v>89</v>
      </c>
      <c r="H73" s="191" t="s">
        <v>347</v>
      </c>
      <c r="I73" s="191" t="s">
        <v>348</v>
      </c>
      <c r="J73" s="191" t="s">
        <v>348</v>
      </c>
      <c r="K73" s="192"/>
      <c r="L73" s="191">
        <v>0.0</v>
      </c>
      <c r="M73" s="191"/>
      <c r="N73" s="191">
        <v>14.137</v>
      </c>
      <c r="O73" s="191" t="s">
        <v>92</v>
      </c>
      <c r="P73" s="191" t="s">
        <v>349</v>
      </c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1" t="s">
        <v>124</v>
      </c>
      <c r="B74" s="193" t="s">
        <v>197</v>
      </c>
      <c r="C74" s="193">
        <v>423.0</v>
      </c>
      <c r="D74" s="191">
        <v>0.0</v>
      </c>
      <c r="E74" s="192"/>
      <c r="F74" s="191" t="s">
        <v>88</v>
      </c>
      <c r="G74" s="191" t="s">
        <v>89</v>
      </c>
      <c r="H74" s="191" t="s">
        <v>350</v>
      </c>
      <c r="I74" s="191" t="s">
        <v>351</v>
      </c>
      <c r="J74" s="191" t="s">
        <v>351</v>
      </c>
      <c r="K74" s="192"/>
      <c r="L74" s="191">
        <v>-4.0</v>
      </c>
      <c r="M74" s="191"/>
      <c r="N74" s="191">
        <v>10.780066666666666</v>
      </c>
      <c r="O74" s="191" t="s">
        <v>92</v>
      </c>
      <c r="P74" s="191" t="s">
        <v>352</v>
      </c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1" t="s">
        <v>98</v>
      </c>
      <c r="B75" s="191" t="s">
        <v>86</v>
      </c>
      <c r="C75" s="191">
        <v>345.0</v>
      </c>
      <c r="D75" s="191">
        <v>0.0</v>
      </c>
      <c r="E75" s="191" t="s">
        <v>53</v>
      </c>
      <c r="F75" s="191" t="s">
        <v>99</v>
      </c>
      <c r="G75" s="191" t="s">
        <v>89</v>
      </c>
      <c r="H75" s="191" t="s">
        <v>353</v>
      </c>
      <c r="I75" s="191" t="s">
        <v>354</v>
      </c>
      <c r="J75" s="191" t="s">
        <v>355</v>
      </c>
      <c r="K75" s="191" t="s">
        <v>356</v>
      </c>
      <c r="L75" s="191">
        <v>-10.0</v>
      </c>
      <c r="M75" s="191">
        <v>0.024433333333333335</v>
      </c>
      <c r="N75" s="191">
        <v>11.73505</v>
      </c>
      <c r="O75" s="191" t="s">
        <v>104</v>
      </c>
      <c r="P75" s="191" t="s">
        <v>357</v>
      </c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1" t="s">
        <v>85</v>
      </c>
      <c r="B76" s="191" t="s">
        <v>197</v>
      </c>
      <c r="C76" s="191">
        <v>662.0</v>
      </c>
      <c r="D76" s="191">
        <v>0.0</v>
      </c>
      <c r="E76" s="191" t="s">
        <v>276</v>
      </c>
      <c r="F76" s="191" t="s">
        <v>88</v>
      </c>
      <c r="G76" s="191" t="s">
        <v>89</v>
      </c>
      <c r="H76" s="191" t="s">
        <v>358</v>
      </c>
      <c r="I76" s="191" t="s">
        <v>359</v>
      </c>
      <c r="J76" s="191" t="s">
        <v>359</v>
      </c>
      <c r="K76" s="192"/>
      <c r="L76" s="191">
        <v>-3.0</v>
      </c>
      <c r="M76" s="191"/>
      <c r="N76" s="191">
        <v>12.006366666666667</v>
      </c>
      <c r="O76" s="191" t="s">
        <v>92</v>
      </c>
      <c r="P76" s="191" t="s">
        <v>360</v>
      </c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1" t="s">
        <v>85</v>
      </c>
      <c r="B77" s="191" t="s">
        <v>197</v>
      </c>
      <c r="C77" s="193">
        <v>498.0</v>
      </c>
      <c r="D77" s="191">
        <v>0.0</v>
      </c>
      <c r="E77" s="191" t="s">
        <v>150</v>
      </c>
      <c r="F77" s="191" t="s">
        <v>88</v>
      </c>
      <c r="G77" s="191" t="s">
        <v>89</v>
      </c>
      <c r="H77" s="191" t="s">
        <v>361</v>
      </c>
      <c r="I77" s="191" t="s">
        <v>362</v>
      </c>
      <c r="J77" s="191" t="s">
        <v>362</v>
      </c>
      <c r="K77" s="192"/>
      <c r="L77" s="191">
        <v>-1.0</v>
      </c>
      <c r="M77" s="191"/>
      <c r="N77" s="191">
        <v>13.070666666666666</v>
      </c>
      <c r="O77" s="191" t="s">
        <v>92</v>
      </c>
      <c r="P77" s="191" t="s">
        <v>363</v>
      </c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1" t="s">
        <v>94</v>
      </c>
      <c r="B78" s="191" t="s">
        <v>86</v>
      </c>
      <c r="C78" s="191">
        <v>439.0</v>
      </c>
      <c r="D78" s="191">
        <v>0.0</v>
      </c>
      <c r="E78" s="191" t="s">
        <v>59</v>
      </c>
      <c r="F78" s="191" t="s">
        <v>88</v>
      </c>
      <c r="G78" s="191" t="s">
        <v>89</v>
      </c>
      <c r="H78" s="191" t="s">
        <v>364</v>
      </c>
      <c r="I78" s="191" t="s">
        <v>365</v>
      </c>
      <c r="J78" s="191" t="s">
        <v>365</v>
      </c>
      <c r="K78" s="192"/>
      <c r="L78" s="191">
        <v>-4.0</v>
      </c>
      <c r="M78" s="191"/>
      <c r="N78" s="191">
        <v>10.748616666666667</v>
      </c>
      <c r="O78" s="191" t="s">
        <v>92</v>
      </c>
      <c r="P78" s="191" t="s">
        <v>366</v>
      </c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1" t="s">
        <v>94</v>
      </c>
      <c r="B79" s="191" t="s">
        <v>86</v>
      </c>
      <c r="C79" s="191">
        <v>329.0</v>
      </c>
      <c r="D79" s="191">
        <v>0.0</v>
      </c>
      <c r="E79" s="191" t="s">
        <v>59</v>
      </c>
      <c r="F79" s="191" t="s">
        <v>88</v>
      </c>
      <c r="G79" s="191" t="s">
        <v>89</v>
      </c>
      <c r="H79" s="191" t="s">
        <v>367</v>
      </c>
      <c r="I79" s="191" t="s">
        <v>368</v>
      </c>
      <c r="J79" s="191" t="s">
        <v>368</v>
      </c>
      <c r="K79" s="192"/>
      <c r="L79" s="191">
        <v>-5.0</v>
      </c>
      <c r="M79" s="191"/>
      <c r="N79" s="191">
        <v>14.518466666666667</v>
      </c>
      <c r="O79" s="191" t="s">
        <v>92</v>
      </c>
      <c r="P79" s="191" t="s">
        <v>369</v>
      </c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1" t="s">
        <v>124</v>
      </c>
      <c r="B80" s="191" t="s">
        <v>197</v>
      </c>
      <c r="C80" s="193">
        <v>264.0</v>
      </c>
      <c r="D80" s="191">
        <v>0.0</v>
      </c>
      <c r="E80" s="192"/>
      <c r="F80" s="191" t="s">
        <v>88</v>
      </c>
      <c r="G80" s="191" t="s">
        <v>89</v>
      </c>
      <c r="H80" s="191" t="s">
        <v>370</v>
      </c>
      <c r="I80" s="191" t="s">
        <v>371</v>
      </c>
      <c r="J80" s="191" t="s">
        <v>371</v>
      </c>
      <c r="K80" s="192"/>
      <c r="L80" s="191">
        <v>-1.0</v>
      </c>
      <c r="M80" s="191"/>
      <c r="N80" s="191">
        <v>13.962416666666666</v>
      </c>
      <c r="O80" s="191" t="s">
        <v>92</v>
      </c>
      <c r="P80" s="191" t="s">
        <v>372</v>
      </c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1" t="s">
        <v>124</v>
      </c>
      <c r="B81" s="191" t="s">
        <v>197</v>
      </c>
      <c r="C81" s="191">
        <v>658.0</v>
      </c>
      <c r="D81" s="191">
        <v>0.0</v>
      </c>
      <c r="E81" s="192"/>
      <c r="F81" s="191" t="s">
        <v>88</v>
      </c>
      <c r="G81" s="191" t="s">
        <v>89</v>
      </c>
      <c r="H81" s="191" t="s">
        <v>373</v>
      </c>
      <c r="I81" s="191" t="s">
        <v>374</v>
      </c>
      <c r="J81" s="191" t="s">
        <v>374</v>
      </c>
      <c r="K81" s="192"/>
      <c r="L81" s="191">
        <v>-1.0</v>
      </c>
      <c r="M81" s="191"/>
      <c r="N81" s="191">
        <v>13.829133333333333</v>
      </c>
      <c r="O81" s="191" t="s">
        <v>92</v>
      </c>
      <c r="P81" s="191" t="s">
        <v>375</v>
      </c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1" t="s">
        <v>98</v>
      </c>
      <c r="B82" s="191" t="s">
        <v>86</v>
      </c>
      <c r="C82" s="193">
        <v>410.0</v>
      </c>
      <c r="D82" s="191">
        <v>103.0</v>
      </c>
      <c r="E82" s="192"/>
      <c r="F82" s="191" t="s">
        <v>186</v>
      </c>
      <c r="G82" s="191" t="s">
        <v>89</v>
      </c>
      <c r="H82" s="191" t="s">
        <v>376</v>
      </c>
      <c r="I82" s="191" t="s">
        <v>377</v>
      </c>
      <c r="J82" s="191" t="s">
        <v>377</v>
      </c>
      <c r="K82" s="192"/>
      <c r="L82" s="191">
        <v>-7.0</v>
      </c>
      <c r="M82" s="191"/>
      <c r="N82" s="191">
        <v>11.307966666666667</v>
      </c>
      <c r="O82" s="191" t="s">
        <v>104</v>
      </c>
      <c r="P82" s="191" t="s">
        <v>378</v>
      </c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1" t="s">
        <v>98</v>
      </c>
      <c r="B83" s="191" t="s">
        <v>86</v>
      </c>
      <c r="C83" s="191">
        <v>199.0</v>
      </c>
      <c r="D83" s="191">
        <v>50.0</v>
      </c>
      <c r="E83" s="192"/>
      <c r="F83" s="191" t="s">
        <v>186</v>
      </c>
      <c r="G83" s="191" t="s">
        <v>272</v>
      </c>
      <c r="H83" s="191" t="s">
        <v>379</v>
      </c>
      <c r="I83" s="191" t="s">
        <v>380</v>
      </c>
      <c r="J83" s="191" t="s">
        <v>380</v>
      </c>
      <c r="K83" s="192"/>
      <c r="L83" s="191">
        <v>-10.0</v>
      </c>
      <c r="M83" s="191"/>
      <c r="N83" s="191">
        <v>9.293916666666666</v>
      </c>
      <c r="O83" s="191" t="s">
        <v>104</v>
      </c>
      <c r="P83" s="191" t="s">
        <v>381</v>
      </c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1" t="s">
        <v>98</v>
      </c>
      <c r="B84" s="191" t="s">
        <v>86</v>
      </c>
      <c r="C84" s="193">
        <v>575.0</v>
      </c>
      <c r="D84" s="191">
        <v>0.0</v>
      </c>
      <c r="E84" s="191" t="s">
        <v>49</v>
      </c>
      <c r="F84" s="191" t="s">
        <v>99</v>
      </c>
      <c r="G84" s="191" t="s">
        <v>89</v>
      </c>
      <c r="H84" s="191" t="s">
        <v>382</v>
      </c>
      <c r="I84" s="191" t="s">
        <v>383</v>
      </c>
      <c r="J84" s="191" t="s">
        <v>384</v>
      </c>
      <c r="K84" s="191" t="s">
        <v>385</v>
      </c>
      <c r="L84" s="191">
        <v>-12.0</v>
      </c>
      <c r="M84" s="191">
        <v>0.01635</v>
      </c>
      <c r="N84" s="191">
        <v>8.790166666666666</v>
      </c>
      <c r="O84" s="191" t="s">
        <v>104</v>
      </c>
      <c r="P84" s="191" t="s">
        <v>386</v>
      </c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1" t="s">
        <v>98</v>
      </c>
      <c r="B85" s="191" t="s">
        <v>86</v>
      </c>
      <c r="C85" s="193">
        <v>378.0</v>
      </c>
      <c r="D85" s="191">
        <v>0.0</v>
      </c>
      <c r="E85" s="191" t="s">
        <v>59</v>
      </c>
      <c r="F85" s="191" t="s">
        <v>99</v>
      </c>
      <c r="G85" s="191" t="s">
        <v>89</v>
      </c>
      <c r="H85" s="191" t="s">
        <v>387</v>
      </c>
      <c r="I85" s="191" t="s">
        <v>388</v>
      </c>
      <c r="J85" s="191" t="s">
        <v>389</v>
      </c>
      <c r="K85" s="191" t="s">
        <v>390</v>
      </c>
      <c r="L85" s="191">
        <v>0.0</v>
      </c>
      <c r="M85" s="191">
        <v>2.7133166666666666</v>
      </c>
      <c r="N85" s="191">
        <v>13.85765</v>
      </c>
      <c r="O85" s="191" t="s">
        <v>104</v>
      </c>
      <c r="P85" s="191" t="s">
        <v>391</v>
      </c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1" t="s">
        <v>94</v>
      </c>
      <c r="B86" s="191" t="s">
        <v>86</v>
      </c>
      <c r="C86" s="191">
        <v>423.0</v>
      </c>
      <c r="D86" s="191">
        <v>0.0</v>
      </c>
      <c r="E86" s="191" t="s">
        <v>59</v>
      </c>
      <c r="F86" s="191" t="s">
        <v>88</v>
      </c>
      <c r="G86" s="191" t="s">
        <v>89</v>
      </c>
      <c r="H86" s="191" t="s">
        <v>392</v>
      </c>
      <c r="I86" s="191" t="s">
        <v>393</v>
      </c>
      <c r="J86" s="191" t="s">
        <v>393</v>
      </c>
      <c r="K86" s="192"/>
      <c r="L86" s="191">
        <v>-4.0</v>
      </c>
      <c r="M86" s="191"/>
      <c r="N86" s="191">
        <v>10.084983333333334</v>
      </c>
      <c r="O86" s="191" t="s">
        <v>92</v>
      </c>
      <c r="P86" s="191" t="s">
        <v>394</v>
      </c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1" t="s">
        <v>98</v>
      </c>
      <c r="B87" s="191" t="s">
        <v>86</v>
      </c>
      <c r="C87" s="191">
        <v>323.0</v>
      </c>
      <c r="D87" s="191">
        <v>0.0</v>
      </c>
      <c r="E87" s="191" t="s">
        <v>49</v>
      </c>
      <c r="F87" s="191" t="s">
        <v>99</v>
      </c>
      <c r="G87" s="191" t="s">
        <v>118</v>
      </c>
      <c r="H87" s="191" t="s">
        <v>395</v>
      </c>
      <c r="I87" s="191" t="s">
        <v>396</v>
      </c>
      <c r="J87" s="191" t="s">
        <v>397</v>
      </c>
      <c r="K87" s="191" t="s">
        <v>398</v>
      </c>
      <c r="L87" s="191">
        <v>0.0</v>
      </c>
      <c r="M87" s="191">
        <v>0.037333333333333336</v>
      </c>
      <c r="N87" s="191">
        <v>17.1899</v>
      </c>
      <c r="O87" s="191" t="s">
        <v>104</v>
      </c>
      <c r="P87" s="191" t="s">
        <v>399</v>
      </c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1" t="s">
        <v>98</v>
      </c>
      <c r="B88" s="191" t="s">
        <v>86</v>
      </c>
      <c r="C88" s="191">
        <v>618.0</v>
      </c>
      <c r="D88" s="191">
        <v>0.0</v>
      </c>
      <c r="E88" s="191" t="s">
        <v>49</v>
      </c>
      <c r="F88" s="191" t="s">
        <v>99</v>
      </c>
      <c r="G88" s="191" t="s">
        <v>89</v>
      </c>
      <c r="H88" s="191" t="s">
        <v>400</v>
      </c>
      <c r="I88" s="191" t="s">
        <v>401</v>
      </c>
      <c r="J88" s="191" t="s">
        <v>402</v>
      </c>
      <c r="K88" s="191" t="s">
        <v>403</v>
      </c>
      <c r="L88" s="191">
        <v>-3.0</v>
      </c>
      <c r="M88" s="191">
        <v>0.0233</v>
      </c>
      <c r="N88" s="191">
        <v>16.7481</v>
      </c>
      <c r="O88" s="191" t="s">
        <v>104</v>
      </c>
      <c r="P88" s="191" t="s">
        <v>404</v>
      </c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1" t="s">
        <v>98</v>
      </c>
      <c r="B89" s="191" t="s">
        <v>86</v>
      </c>
      <c r="C89" s="193">
        <v>478.0</v>
      </c>
      <c r="D89" s="191">
        <v>0.0</v>
      </c>
      <c r="E89" s="191" t="s">
        <v>53</v>
      </c>
      <c r="F89" s="191" t="s">
        <v>99</v>
      </c>
      <c r="G89" s="191" t="s">
        <v>89</v>
      </c>
      <c r="H89" s="191" t="s">
        <v>405</v>
      </c>
      <c r="I89" s="191" t="s">
        <v>406</v>
      </c>
      <c r="J89" s="191" t="s">
        <v>407</v>
      </c>
      <c r="K89" s="191" t="s">
        <v>408</v>
      </c>
      <c r="L89" s="191">
        <v>-4.0</v>
      </c>
      <c r="M89" s="191">
        <v>0.021433333333333332</v>
      </c>
      <c r="N89" s="191">
        <v>12.290433333333333</v>
      </c>
      <c r="O89" s="191" t="s">
        <v>104</v>
      </c>
      <c r="P89" s="191" t="s">
        <v>409</v>
      </c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1" t="s">
        <v>98</v>
      </c>
      <c r="B90" s="191" t="s">
        <v>86</v>
      </c>
      <c r="C90" s="193">
        <v>381.0</v>
      </c>
      <c r="D90" s="191">
        <v>82.0</v>
      </c>
      <c r="E90" s="192"/>
      <c r="F90" s="191" t="s">
        <v>186</v>
      </c>
      <c r="G90" s="191" t="s">
        <v>89</v>
      </c>
      <c r="H90" s="191" t="s">
        <v>410</v>
      </c>
      <c r="I90" s="191" t="s">
        <v>411</v>
      </c>
      <c r="J90" s="191" t="s">
        <v>411</v>
      </c>
      <c r="K90" s="192"/>
      <c r="L90" s="191">
        <v>-7.0</v>
      </c>
      <c r="M90" s="191"/>
      <c r="N90" s="191">
        <v>11.5191</v>
      </c>
      <c r="O90" s="191" t="s">
        <v>104</v>
      </c>
      <c r="P90" s="191" t="s">
        <v>412</v>
      </c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1" t="s">
        <v>98</v>
      </c>
      <c r="B91" s="191" t="s">
        <v>86</v>
      </c>
      <c r="C91" s="191">
        <v>814.0</v>
      </c>
      <c r="D91" s="191">
        <v>0.0</v>
      </c>
      <c r="E91" s="191" t="s">
        <v>53</v>
      </c>
      <c r="F91" s="191" t="s">
        <v>99</v>
      </c>
      <c r="G91" s="191" t="s">
        <v>89</v>
      </c>
      <c r="H91" s="191" t="s">
        <v>413</v>
      </c>
      <c r="I91" s="191" t="s">
        <v>414</v>
      </c>
      <c r="J91" s="191" t="s">
        <v>415</v>
      </c>
      <c r="K91" s="191" t="s">
        <v>416</v>
      </c>
      <c r="L91" s="191">
        <v>0.0</v>
      </c>
      <c r="M91" s="191">
        <v>0.01415</v>
      </c>
      <c r="N91" s="191">
        <v>14.50475</v>
      </c>
      <c r="O91" s="191" t="s">
        <v>104</v>
      </c>
      <c r="P91" s="191" t="s">
        <v>417</v>
      </c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1" t="s">
        <v>94</v>
      </c>
      <c r="B92" s="191" t="s">
        <v>86</v>
      </c>
      <c r="C92" s="191">
        <v>264.0</v>
      </c>
      <c r="D92" s="191">
        <v>0.0</v>
      </c>
      <c r="E92" s="191" t="s">
        <v>59</v>
      </c>
      <c r="F92" s="191" t="s">
        <v>88</v>
      </c>
      <c r="G92" s="191" t="s">
        <v>89</v>
      </c>
      <c r="H92" s="191" t="s">
        <v>418</v>
      </c>
      <c r="I92" s="191" t="s">
        <v>419</v>
      </c>
      <c r="J92" s="191" t="s">
        <v>419</v>
      </c>
      <c r="K92" s="192"/>
      <c r="L92" s="191">
        <v>-3.0</v>
      </c>
      <c r="M92" s="191"/>
      <c r="N92" s="191">
        <v>11.83815</v>
      </c>
      <c r="O92" s="191" t="s">
        <v>92</v>
      </c>
      <c r="P92" s="191" t="s">
        <v>271</v>
      </c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1" t="s">
        <v>94</v>
      </c>
      <c r="B93" s="191" t="s">
        <v>86</v>
      </c>
      <c r="C93" s="193">
        <v>264.0</v>
      </c>
      <c r="D93" s="191">
        <v>0.0</v>
      </c>
      <c r="E93" s="191" t="s">
        <v>59</v>
      </c>
      <c r="F93" s="191" t="s">
        <v>88</v>
      </c>
      <c r="G93" s="191" t="s">
        <v>89</v>
      </c>
      <c r="H93" s="191" t="s">
        <v>420</v>
      </c>
      <c r="I93" s="191" t="s">
        <v>421</v>
      </c>
      <c r="J93" s="191" t="s">
        <v>421</v>
      </c>
      <c r="K93" s="192"/>
      <c r="L93" s="191">
        <v>-1.0</v>
      </c>
      <c r="M93" s="191"/>
      <c r="N93" s="191">
        <v>13.040566666666667</v>
      </c>
      <c r="O93" s="191" t="s">
        <v>92</v>
      </c>
      <c r="P93" s="191" t="s">
        <v>422</v>
      </c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1" t="s">
        <v>98</v>
      </c>
      <c r="B94" s="191" t="s">
        <v>86</v>
      </c>
      <c r="C94" s="191">
        <v>647.0</v>
      </c>
      <c r="D94" s="191">
        <v>0.0</v>
      </c>
      <c r="E94" s="191" t="s">
        <v>53</v>
      </c>
      <c r="F94" s="191" t="s">
        <v>99</v>
      </c>
      <c r="G94" s="191" t="s">
        <v>89</v>
      </c>
      <c r="H94" s="191" t="s">
        <v>423</v>
      </c>
      <c r="I94" s="191" t="s">
        <v>424</v>
      </c>
      <c r="J94" s="191" t="s">
        <v>425</v>
      </c>
      <c r="K94" s="191" t="s">
        <v>426</v>
      </c>
      <c r="L94" s="191">
        <v>1.0</v>
      </c>
      <c r="M94" s="191">
        <v>0.017283333333333335</v>
      </c>
      <c r="N94" s="191">
        <v>12.9437</v>
      </c>
      <c r="O94" s="191" t="s">
        <v>104</v>
      </c>
      <c r="P94" s="191" t="s">
        <v>427</v>
      </c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1" t="s">
        <v>124</v>
      </c>
      <c r="B95" s="191" t="s">
        <v>197</v>
      </c>
      <c r="C95" s="191">
        <v>504.0</v>
      </c>
      <c r="D95" s="191">
        <v>0.0</v>
      </c>
      <c r="E95" s="192"/>
      <c r="F95" s="191" t="s">
        <v>88</v>
      </c>
      <c r="G95" s="191" t="s">
        <v>89</v>
      </c>
      <c r="H95" s="191" t="s">
        <v>428</v>
      </c>
      <c r="I95" s="191" t="s">
        <v>429</v>
      </c>
      <c r="J95" s="191" t="s">
        <v>429</v>
      </c>
      <c r="K95" s="192"/>
      <c r="L95" s="191">
        <v>-3.0</v>
      </c>
      <c r="M95" s="191"/>
      <c r="N95" s="191">
        <v>11.182016666666666</v>
      </c>
      <c r="O95" s="191" t="s">
        <v>92</v>
      </c>
      <c r="P95" s="191" t="s">
        <v>430</v>
      </c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1" t="s">
        <v>98</v>
      </c>
      <c r="B96" s="191" t="s">
        <v>86</v>
      </c>
      <c r="C96" s="191">
        <v>458.0</v>
      </c>
      <c r="D96" s="191">
        <v>0.0</v>
      </c>
      <c r="E96" s="191" t="s">
        <v>53</v>
      </c>
      <c r="F96" s="191" t="s">
        <v>99</v>
      </c>
      <c r="G96" s="191" t="s">
        <v>118</v>
      </c>
      <c r="H96" s="191" t="s">
        <v>431</v>
      </c>
      <c r="I96" s="191" t="s">
        <v>432</v>
      </c>
      <c r="J96" s="191" t="s">
        <v>433</v>
      </c>
      <c r="K96" s="191" t="s">
        <v>434</v>
      </c>
      <c r="L96" s="191">
        <v>-6.0</v>
      </c>
      <c r="M96" s="191">
        <v>0.014683333333333333</v>
      </c>
      <c r="N96" s="191">
        <v>11.681266666666666</v>
      </c>
      <c r="O96" s="191" t="s">
        <v>104</v>
      </c>
      <c r="P96" s="191" t="s">
        <v>435</v>
      </c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1" t="s">
        <v>94</v>
      </c>
      <c r="B97" s="191" t="s">
        <v>86</v>
      </c>
      <c r="C97" s="193">
        <v>528.0</v>
      </c>
      <c r="D97" s="191">
        <v>0.0</v>
      </c>
      <c r="E97" s="191" t="s">
        <v>59</v>
      </c>
      <c r="F97" s="191" t="s">
        <v>88</v>
      </c>
      <c r="G97" s="191" t="s">
        <v>89</v>
      </c>
      <c r="H97" s="191" t="s">
        <v>436</v>
      </c>
      <c r="I97" s="191" t="s">
        <v>437</v>
      </c>
      <c r="J97" s="191" t="s">
        <v>437</v>
      </c>
      <c r="K97" s="192"/>
      <c r="L97" s="191">
        <v>8.0</v>
      </c>
      <c r="M97" s="191"/>
      <c r="N97" s="191">
        <v>23.496033333333333</v>
      </c>
      <c r="O97" s="191" t="s">
        <v>92</v>
      </c>
      <c r="P97" s="191" t="s">
        <v>438</v>
      </c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1" t="s">
        <v>98</v>
      </c>
      <c r="B98" s="191" t="s">
        <v>86</v>
      </c>
      <c r="C98" s="191">
        <v>434.0</v>
      </c>
      <c r="D98" s="191">
        <v>0.0</v>
      </c>
      <c r="E98" s="191" t="s">
        <v>49</v>
      </c>
      <c r="F98" s="191" t="s">
        <v>99</v>
      </c>
      <c r="G98" s="191" t="s">
        <v>89</v>
      </c>
      <c r="H98" s="191" t="s">
        <v>439</v>
      </c>
      <c r="I98" s="191" t="s">
        <v>440</v>
      </c>
      <c r="J98" s="191" t="s">
        <v>441</v>
      </c>
      <c r="K98" s="191" t="s">
        <v>442</v>
      </c>
      <c r="L98" s="191">
        <v>0.0</v>
      </c>
      <c r="M98" s="191">
        <v>0.019283333333333333</v>
      </c>
      <c r="N98" s="191">
        <v>22.84335</v>
      </c>
      <c r="O98" s="191" t="s">
        <v>104</v>
      </c>
      <c r="P98" s="191" t="s">
        <v>443</v>
      </c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1" t="s">
        <v>98</v>
      </c>
      <c r="B99" s="191" t="s">
        <v>86</v>
      </c>
      <c r="C99" s="193">
        <v>199.0</v>
      </c>
      <c r="D99" s="191">
        <v>50.0</v>
      </c>
      <c r="E99" s="192"/>
      <c r="F99" s="191" t="s">
        <v>186</v>
      </c>
      <c r="G99" s="191" t="s">
        <v>118</v>
      </c>
      <c r="H99" s="191" t="s">
        <v>444</v>
      </c>
      <c r="I99" s="191" t="s">
        <v>445</v>
      </c>
      <c r="J99" s="191" t="s">
        <v>445</v>
      </c>
      <c r="K99" s="192"/>
      <c r="L99" s="191">
        <v>-8.0</v>
      </c>
      <c r="M99" s="191"/>
      <c r="N99" s="191">
        <v>16.409883333333333</v>
      </c>
      <c r="O99" s="191" t="s">
        <v>104</v>
      </c>
      <c r="P99" s="191" t="s">
        <v>446</v>
      </c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1" t="s">
        <v>98</v>
      </c>
      <c r="B100" s="191" t="s">
        <v>86</v>
      </c>
      <c r="C100" s="193">
        <v>1030.0</v>
      </c>
      <c r="D100" s="191">
        <v>0.0</v>
      </c>
      <c r="E100" s="191" t="s">
        <v>49</v>
      </c>
      <c r="F100" s="191" t="s">
        <v>99</v>
      </c>
      <c r="G100" s="191" t="s">
        <v>89</v>
      </c>
      <c r="H100" s="191" t="s">
        <v>447</v>
      </c>
      <c r="I100" s="191" t="s">
        <v>448</v>
      </c>
      <c r="J100" s="191" t="s">
        <v>449</v>
      </c>
      <c r="K100" s="191" t="s">
        <v>450</v>
      </c>
      <c r="L100" s="191">
        <v>0.0</v>
      </c>
      <c r="M100" s="191">
        <v>0.0156</v>
      </c>
      <c r="N100" s="191">
        <v>22.97925</v>
      </c>
      <c r="O100" s="191" t="s">
        <v>104</v>
      </c>
      <c r="P100" s="191" t="s">
        <v>451</v>
      </c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1" t="s">
        <v>98</v>
      </c>
      <c r="B101" s="191" t="s">
        <v>86</v>
      </c>
      <c r="C101" s="193">
        <v>698.0</v>
      </c>
      <c r="D101" s="191">
        <v>150.0</v>
      </c>
      <c r="E101" s="192"/>
      <c r="F101" s="191" t="s">
        <v>186</v>
      </c>
      <c r="G101" s="191" t="s">
        <v>89</v>
      </c>
      <c r="H101" s="191" t="s">
        <v>452</v>
      </c>
      <c r="I101" s="191" t="s">
        <v>453</v>
      </c>
      <c r="J101" s="191" t="s">
        <v>453</v>
      </c>
      <c r="K101" s="192"/>
      <c r="L101" s="191">
        <v>0.0</v>
      </c>
      <c r="M101" s="191"/>
      <c r="N101" s="191">
        <v>18.118116666666666</v>
      </c>
      <c r="O101" s="191" t="s">
        <v>104</v>
      </c>
      <c r="P101" s="191" t="s">
        <v>454</v>
      </c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1" t="s">
        <v>94</v>
      </c>
      <c r="B102" s="191" t="s">
        <v>86</v>
      </c>
      <c r="C102" s="191">
        <v>846.0</v>
      </c>
      <c r="D102" s="191">
        <v>0.0</v>
      </c>
      <c r="E102" s="191" t="s">
        <v>59</v>
      </c>
      <c r="F102" s="191" t="s">
        <v>88</v>
      </c>
      <c r="G102" s="191" t="s">
        <v>89</v>
      </c>
      <c r="H102" s="191" t="s">
        <v>455</v>
      </c>
      <c r="I102" s="191" t="s">
        <v>456</v>
      </c>
      <c r="J102" s="191" t="s">
        <v>456</v>
      </c>
      <c r="K102" s="192"/>
      <c r="L102" s="191">
        <v>0.0</v>
      </c>
      <c r="M102" s="191"/>
      <c r="N102" s="191">
        <v>14.0397</v>
      </c>
      <c r="O102" s="191" t="s">
        <v>92</v>
      </c>
      <c r="P102" s="191" t="s">
        <v>457</v>
      </c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1" t="s">
        <v>94</v>
      </c>
      <c r="B103" s="191" t="s">
        <v>86</v>
      </c>
      <c r="C103" s="191">
        <v>264.0</v>
      </c>
      <c r="D103" s="191">
        <v>0.0</v>
      </c>
      <c r="E103" s="191" t="s">
        <v>59</v>
      </c>
      <c r="F103" s="191" t="s">
        <v>88</v>
      </c>
      <c r="G103" s="191" t="s">
        <v>89</v>
      </c>
      <c r="H103" s="191" t="s">
        <v>458</v>
      </c>
      <c r="I103" s="191" t="s">
        <v>459</v>
      </c>
      <c r="J103" s="191" t="s">
        <v>459</v>
      </c>
      <c r="K103" s="192"/>
      <c r="L103" s="191">
        <v>-1.0</v>
      </c>
      <c r="M103" s="191"/>
      <c r="N103" s="191">
        <v>13.916866666666667</v>
      </c>
      <c r="O103" s="191" t="s">
        <v>92</v>
      </c>
      <c r="P103" s="191" t="s">
        <v>460</v>
      </c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1" t="s">
        <v>98</v>
      </c>
      <c r="B104" s="191" t="s">
        <v>86</v>
      </c>
      <c r="C104" s="191">
        <v>346.0</v>
      </c>
      <c r="D104" s="191">
        <v>62.0</v>
      </c>
      <c r="E104" s="192"/>
      <c r="F104" s="191" t="s">
        <v>186</v>
      </c>
      <c r="G104" s="191" t="s">
        <v>89</v>
      </c>
      <c r="H104" s="191" t="s">
        <v>461</v>
      </c>
      <c r="I104" s="191" t="s">
        <v>462</v>
      </c>
      <c r="J104" s="191" t="s">
        <v>462</v>
      </c>
      <c r="K104" s="192"/>
      <c r="L104" s="191">
        <v>1.0</v>
      </c>
      <c r="M104" s="191"/>
      <c r="N104" s="191">
        <v>20.78255</v>
      </c>
      <c r="O104" s="191" t="s">
        <v>104</v>
      </c>
      <c r="P104" s="191" t="s">
        <v>463</v>
      </c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1" t="s">
        <v>98</v>
      </c>
      <c r="B105" s="191" t="s">
        <v>86</v>
      </c>
      <c r="C105" s="191">
        <v>375.0</v>
      </c>
      <c r="D105" s="191">
        <v>0.0</v>
      </c>
      <c r="E105" s="191" t="s">
        <v>53</v>
      </c>
      <c r="F105" s="191" t="s">
        <v>99</v>
      </c>
      <c r="G105" s="191" t="s">
        <v>89</v>
      </c>
      <c r="H105" s="191" t="s">
        <v>464</v>
      </c>
      <c r="I105" s="191" t="s">
        <v>465</v>
      </c>
      <c r="J105" s="191" t="s">
        <v>466</v>
      </c>
      <c r="K105" s="191" t="s">
        <v>467</v>
      </c>
      <c r="L105" s="191">
        <v>0.0</v>
      </c>
      <c r="M105" s="191">
        <v>0.08638333333333334</v>
      </c>
      <c r="N105" s="191">
        <v>16.988983333333334</v>
      </c>
      <c r="O105" s="191" t="s">
        <v>104</v>
      </c>
      <c r="P105" s="191" t="s">
        <v>468</v>
      </c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1" t="s">
        <v>98</v>
      </c>
      <c r="B106" s="191" t="s">
        <v>86</v>
      </c>
      <c r="C106" s="191">
        <v>640.0</v>
      </c>
      <c r="D106" s="191">
        <v>25.0</v>
      </c>
      <c r="E106" s="191" t="s">
        <v>53</v>
      </c>
      <c r="F106" s="191" t="s">
        <v>99</v>
      </c>
      <c r="G106" s="191" t="s">
        <v>89</v>
      </c>
      <c r="H106" s="191" t="s">
        <v>469</v>
      </c>
      <c r="I106" s="191" t="s">
        <v>470</v>
      </c>
      <c r="J106" s="191" t="s">
        <v>471</v>
      </c>
      <c r="K106" s="191" t="s">
        <v>472</v>
      </c>
      <c r="L106" s="191">
        <v>0.0</v>
      </c>
      <c r="M106" s="191">
        <v>0.02715</v>
      </c>
      <c r="N106" s="191">
        <v>27.551066666666667</v>
      </c>
      <c r="O106" s="191" t="s">
        <v>104</v>
      </c>
      <c r="P106" s="191" t="s">
        <v>473</v>
      </c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1" t="s">
        <v>94</v>
      </c>
      <c r="B107" s="191" t="s">
        <v>86</v>
      </c>
      <c r="C107" s="191">
        <v>790.0</v>
      </c>
      <c r="D107" s="191">
        <v>0.0</v>
      </c>
      <c r="E107" s="191" t="s">
        <v>59</v>
      </c>
      <c r="F107" s="191" t="s">
        <v>88</v>
      </c>
      <c r="G107" s="191" t="s">
        <v>89</v>
      </c>
      <c r="H107" s="191" t="s">
        <v>474</v>
      </c>
      <c r="I107" s="191" t="s">
        <v>475</v>
      </c>
      <c r="J107" s="191" t="s">
        <v>475</v>
      </c>
      <c r="K107" s="192"/>
      <c r="L107" s="191">
        <v>8.0</v>
      </c>
      <c r="M107" s="191"/>
      <c r="N107" s="191">
        <v>23.369033333333334</v>
      </c>
      <c r="O107" s="191" t="s">
        <v>92</v>
      </c>
      <c r="P107" s="191" t="s">
        <v>476</v>
      </c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1" t="s">
        <v>98</v>
      </c>
      <c r="B108" s="191" t="s">
        <v>86</v>
      </c>
      <c r="C108" s="191">
        <v>295.0</v>
      </c>
      <c r="D108" s="191">
        <v>69.0</v>
      </c>
      <c r="E108" s="192"/>
      <c r="F108" s="191" t="s">
        <v>186</v>
      </c>
      <c r="G108" s="191" t="s">
        <v>89</v>
      </c>
      <c r="H108" s="191" t="s">
        <v>477</v>
      </c>
      <c r="I108" s="191" t="s">
        <v>478</v>
      </c>
      <c r="J108" s="191" t="s">
        <v>478</v>
      </c>
      <c r="K108" s="192"/>
      <c r="L108" s="191">
        <v>0.0</v>
      </c>
      <c r="M108" s="191"/>
      <c r="N108" s="191">
        <v>19.647866666666665</v>
      </c>
      <c r="O108" s="191" t="s">
        <v>104</v>
      </c>
      <c r="P108" s="191" t="s">
        <v>479</v>
      </c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1" t="s">
        <v>98</v>
      </c>
      <c r="B109" s="191" t="s">
        <v>86</v>
      </c>
      <c r="C109" s="191">
        <v>219.0</v>
      </c>
      <c r="D109" s="191">
        <v>55.0</v>
      </c>
      <c r="E109" s="192"/>
      <c r="F109" s="191" t="s">
        <v>186</v>
      </c>
      <c r="G109" s="191" t="s">
        <v>118</v>
      </c>
      <c r="H109" s="191" t="s">
        <v>480</v>
      </c>
      <c r="I109" s="191" t="s">
        <v>481</v>
      </c>
      <c r="J109" s="191" t="s">
        <v>481</v>
      </c>
      <c r="K109" s="192"/>
      <c r="L109" s="191">
        <v>0.0</v>
      </c>
      <c r="M109" s="191"/>
      <c r="N109" s="191">
        <v>18.533716666666667</v>
      </c>
      <c r="O109" s="191" t="s">
        <v>104</v>
      </c>
      <c r="P109" s="191" t="s">
        <v>482</v>
      </c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1" t="s">
        <v>98</v>
      </c>
      <c r="B110" s="191" t="s">
        <v>86</v>
      </c>
      <c r="C110" s="193">
        <v>330.0</v>
      </c>
      <c r="D110" s="191">
        <v>19.0</v>
      </c>
      <c r="E110" s="191" t="s">
        <v>49</v>
      </c>
      <c r="F110" s="191" t="s">
        <v>99</v>
      </c>
      <c r="G110" s="191" t="s">
        <v>89</v>
      </c>
      <c r="H110" s="191" t="s">
        <v>483</v>
      </c>
      <c r="I110" s="191" t="s">
        <v>484</v>
      </c>
      <c r="J110" s="191" t="s">
        <v>485</v>
      </c>
      <c r="K110" s="191" t="s">
        <v>486</v>
      </c>
      <c r="L110" s="191">
        <v>-1.0</v>
      </c>
      <c r="M110" s="191">
        <v>0.0647</v>
      </c>
      <c r="N110" s="191">
        <v>18.752466666666667</v>
      </c>
      <c r="O110" s="191" t="s">
        <v>104</v>
      </c>
      <c r="P110" s="191" t="s">
        <v>487</v>
      </c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1" t="s">
        <v>94</v>
      </c>
      <c r="B111" s="191" t="s">
        <v>86</v>
      </c>
      <c r="C111" s="193">
        <v>413.0</v>
      </c>
      <c r="D111" s="191">
        <v>0.0</v>
      </c>
      <c r="E111" s="191" t="s">
        <v>59</v>
      </c>
      <c r="F111" s="191" t="s">
        <v>88</v>
      </c>
      <c r="G111" s="191" t="s">
        <v>89</v>
      </c>
      <c r="H111" s="191" t="s">
        <v>488</v>
      </c>
      <c r="I111" s="191" t="s">
        <v>489</v>
      </c>
      <c r="J111" s="191" t="s">
        <v>489</v>
      </c>
      <c r="K111" s="192"/>
      <c r="L111" s="191">
        <v>4.0</v>
      </c>
      <c r="M111" s="191"/>
      <c r="N111" s="191">
        <v>19.981733333333334</v>
      </c>
      <c r="O111" s="191" t="s">
        <v>92</v>
      </c>
      <c r="P111" s="191" t="s">
        <v>490</v>
      </c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1" t="s">
        <v>94</v>
      </c>
      <c r="B112" s="191" t="s">
        <v>86</v>
      </c>
      <c r="C112" s="191">
        <v>802.0</v>
      </c>
      <c r="D112" s="191">
        <v>0.0</v>
      </c>
      <c r="E112" s="191" t="s">
        <v>59</v>
      </c>
      <c r="F112" s="191" t="s">
        <v>88</v>
      </c>
      <c r="G112" s="191" t="s">
        <v>89</v>
      </c>
      <c r="H112" s="191" t="s">
        <v>491</v>
      </c>
      <c r="I112" s="191" t="s">
        <v>492</v>
      </c>
      <c r="J112" s="191" t="s">
        <v>492</v>
      </c>
      <c r="K112" s="192"/>
      <c r="L112" s="191">
        <v>3.0</v>
      </c>
      <c r="M112" s="191"/>
      <c r="N112" s="191">
        <v>18.3468</v>
      </c>
      <c r="O112" s="191" t="s">
        <v>92</v>
      </c>
      <c r="P112" s="191" t="s">
        <v>493</v>
      </c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1" t="s">
        <v>124</v>
      </c>
      <c r="B113" s="191" t="s">
        <v>197</v>
      </c>
      <c r="C113" s="191">
        <v>632.0</v>
      </c>
      <c r="D113" s="191">
        <v>0.0</v>
      </c>
      <c r="E113" s="192"/>
      <c r="F113" s="191" t="s">
        <v>88</v>
      </c>
      <c r="G113" s="191" t="s">
        <v>89</v>
      </c>
      <c r="H113" s="191" t="s">
        <v>494</v>
      </c>
      <c r="I113" s="191" t="s">
        <v>495</v>
      </c>
      <c r="J113" s="191" t="s">
        <v>495</v>
      </c>
      <c r="K113" s="192"/>
      <c r="L113" s="191">
        <v>2.0</v>
      </c>
      <c r="M113" s="191"/>
      <c r="N113" s="191">
        <v>17.1691</v>
      </c>
      <c r="O113" s="191" t="s">
        <v>92</v>
      </c>
      <c r="P113" s="191" t="s">
        <v>496</v>
      </c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1" t="s">
        <v>94</v>
      </c>
      <c r="B114" s="191" t="s">
        <v>86</v>
      </c>
      <c r="C114" s="191">
        <v>329.0</v>
      </c>
      <c r="D114" s="191">
        <v>0.0</v>
      </c>
      <c r="E114" s="191" t="s">
        <v>59</v>
      </c>
      <c r="F114" s="191" t="s">
        <v>88</v>
      </c>
      <c r="G114" s="191" t="s">
        <v>89</v>
      </c>
      <c r="H114" s="191" t="s">
        <v>497</v>
      </c>
      <c r="I114" s="191" t="s">
        <v>498</v>
      </c>
      <c r="J114" s="191" t="s">
        <v>498</v>
      </c>
      <c r="K114" s="192"/>
      <c r="L114" s="191">
        <v>0.0</v>
      </c>
      <c r="M114" s="191"/>
      <c r="N114" s="191">
        <v>14.8332</v>
      </c>
      <c r="O114" s="191" t="s">
        <v>92</v>
      </c>
      <c r="P114" s="191" t="s">
        <v>499</v>
      </c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1" t="s">
        <v>124</v>
      </c>
      <c r="B115" s="191" t="s">
        <v>197</v>
      </c>
      <c r="C115" s="191">
        <v>585.0</v>
      </c>
      <c r="D115" s="191">
        <v>0.0</v>
      </c>
      <c r="E115" s="192"/>
      <c r="F115" s="191" t="s">
        <v>88</v>
      </c>
      <c r="G115" s="191" t="s">
        <v>89</v>
      </c>
      <c r="H115" s="191" t="s">
        <v>500</v>
      </c>
      <c r="I115" s="191" t="s">
        <v>501</v>
      </c>
      <c r="J115" s="191" t="s">
        <v>501</v>
      </c>
      <c r="K115" s="192"/>
      <c r="L115" s="191">
        <v>1.0</v>
      </c>
      <c r="M115" s="191"/>
      <c r="N115" s="191">
        <v>16.77765</v>
      </c>
      <c r="O115" s="191" t="s">
        <v>92</v>
      </c>
      <c r="P115" s="191" t="s">
        <v>502</v>
      </c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1" t="s">
        <v>98</v>
      </c>
      <c r="B116" s="191" t="s">
        <v>86</v>
      </c>
      <c r="C116" s="191">
        <v>674.0</v>
      </c>
      <c r="D116" s="191">
        <v>44.0</v>
      </c>
      <c r="E116" s="191" t="s">
        <v>53</v>
      </c>
      <c r="F116" s="191" t="s">
        <v>99</v>
      </c>
      <c r="G116" s="191" t="s">
        <v>89</v>
      </c>
      <c r="H116" s="191" t="s">
        <v>503</v>
      </c>
      <c r="I116" s="191" t="s">
        <v>504</v>
      </c>
      <c r="J116" s="191" t="s">
        <v>505</v>
      </c>
      <c r="K116" s="191" t="s">
        <v>506</v>
      </c>
      <c r="L116" s="191">
        <v>-4.0</v>
      </c>
      <c r="M116" s="191">
        <v>0.05581666666666667</v>
      </c>
      <c r="N116" s="191">
        <v>11.871783333333333</v>
      </c>
      <c r="O116" s="191" t="s">
        <v>104</v>
      </c>
      <c r="P116" s="191" t="s">
        <v>507</v>
      </c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1" t="s">
        <v>94</v>
      </c>
      <c r="B117" s="191" t="s">
        <v>86</v>
      </c>
      <c r="C117" s="191">
        <v>329.0</v>
      </c>
      <c r="D117" s="191">
        <v>0.0</v>
      </c>
      <c r="E117" s="191" t="s">
        <v>59</v>
      </c>
      <c r="F117" s="191" t="s">
        <v>88</v>
      </c>
      <c r="G117" s="191" t="s">
        <v>89</v>
      </c>
      <c r="H117" s="191" t="s">
        <v>508</v>
      </c>
      <c r="I117" s="191" t="s">
        <v>509</v>
      </c>
      <c r="J117" s="191" t="s">
        <v>509</v>
      </c>
      <c r="K117" s="192"/>
      <c r="L117" s="191">
        <v>1.0</v>
      </c>
      <c r="M117" s="191"/>
      <c r="N117" s="191">
        <v>16.13125</v>
      </c>
      <c r="O117" s="191" t="s">
        <v>92</v>
      </c>
      <c r="P117" s="191" t="s">
        <v>510</v>
      </c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1" t="s">
        <v>98</v>
      </c>
      <c r="B118" s="191" t="s">
        <v>86</v>
      </c>
      <c r="C118" s="191">
        <v>270.0</v>
      </c>
      <c r="D118" s="191">
        <v>0.0</v>
      </c>
      <c r="E118" s="191" t="s">
        <v>53</v>
      </c>
      <c r="F118" s="191" t="s">
        <v>99</v>
      </c>
      <c r="G118" s="191" t="s">
        <v>89</v>
      </c>
      <c r="H118" s="191" t="s">
        <v>511</v>
      </c>
      <c r="I118" s="191" t="s">
        <v>512</v>
      </c>
      <c r="J118" s="191" t="s">
        <v>513</v>
      </c>
      <c r="K118" s="191" t="s">
        <v>514</v>
      </c>
      <c r="L118" s="191">
        <v>-5.0</v>
      </c>
      <c r="M118" s="191">
        <v>0.012983333333333333</v>
      </c>
      <c r="N118" s="191">
        <v>10.61365</v>
      </c>
      <c r="O118" s="191" t="s">
        <v>104</v>
      </c>
      <c r="P118" s="191" t="s">
        <v>515</v>
      </c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1" t="s">
        <v>124</v>
      </c>
      <c r="B119" s="191" t="s">
        <v>197</v>
      </c>
      <c r="C119" s="191">
        <v>329.0</v>
      </c>
      <c r="D119" s="191">
        <v>0.0</v>
      </c>
      <c r="E119" s="192"/>
      <c r="F119" s="191" t="s">
        <v>88</v>
      </c>
      <c r="G119" s="191" t="s">
        <v>89</v>
      </c>
      <c r="H119" s="191" t="s">
        <v>516</v>
      </c>
      <c r="I119" s="191" t="s">
        <v>517</v>
      </c>
      <c r="J119" s="191" t="s">
        <v>517</v>
      </c>
      <c r="K119" s="192"/>
      <c r="L119" s="191">
        <v>-5.0</v>
      </c>
      <c r="M119" s="191"/>
      <c r="N119" s="191">
        <v>9.861466666666667</v>
      </c>
      <c r="O119" s="191" t="s">
        <v>92</v>
      </c>
      <c r="P119" s="191" t="s">
        <v>219</v>
      </c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1" t="s">
        <v>98</v>
      </c>
      <c r="B120" s="191" t="s">
        <v>86</v>
      </c>
      <c r="C120" s="193">
        <v>250.0</v>
      </c>
      <c r="D120" s="191">
        <v>0.0</v>
      </c>
      <c r="E120" s="191" t="s">
        <v>49</v>
      </c>
      <c r="F120" s="191" t="s">
        <v>99</v>
      </c>
      <c r="G120" s="191" t="s">
        <v>89</v>
      </c>
      <c r="H120" s="191" t="s">
        <v>518</v>
      </c>
      <c r="I120" s="191" t="s">
        <v>519</v>
      </c>
      <c r="J120" s="191" t="s">
        <v>520</v>
      </c>
      <c r="K120" s="191" t="s">
        <v>521</v>
      </c>
      <c r="L120" s="191">
        <v>-3.0</v>
      </c>
      <c r="M120" s="191">
        <v>0.012466666666666666</v>
      </c>
      <c r="N120" s="191">
        <v>8.663216666666667</v>
      </c>
      <c r="O120" s="191" t="s">
        <v>104</v>
      </c>
      <c r="P120" s="191" t="s">
        <v>522</v>
      </c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1" t="s">
        <v>94</v>
      </c>
      <c r="B121" s="191" t="s">
        <v>86</v>
      </c>
      <c r="C121" s="191">
        <v>553.0</v>
      </c>
      <c r="D121" s="191">
        <v>0.0</v>
      </c>
      <c r="E121" s="191" t="s">
        <v>59</v>
      </c>
      <c r="F121" s="191" t="s">
        <v>88</v>
      </c>
      <c r="G121" s="191" t="s">
        <v>89</v>
      </c>
      <c r="H121" s="191" t="s">
        <v>523</v>
      </c>
      <c r="I121" s="191" t="s">
        <v>524</v>
      </c>
      <c r="J121" s="191" t="s">
        <v>524</v>
      </c>
      <c r="K121" s="192"/>
      <c r="L121" s="191">
        <v>-8.0</v>
      </c>
      <c r="M121" s="191"/>
      <c r="N121" s="191">
        <v>12.722183333333334</v>
      </c>
      <c r="O121" s="191" t="s">
        <v>92</v>
      </c>
      <c r="P121" s="191" t="s">
        <v>525</v>
      </c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1" t="s">
        <v>85</v>
      </c>
      <c r="B122" s="191" t="s">
        <v>197</v>
      </c>
      <c r="C122" s="191">
        <v>323.0</v>
      </c>
      <c r="D122" s="191">
        <v>0.0</v>
      </c>
      <c r="E122" s="191" t="s">
        <v>526</v>
      </c>
      <c r="F122" s="191" t="s">
        <v>88</v>
      </c>
      <c r="G122" s="191" t="s">
        <v>89</v>
      </c>
      <c r="H122" s="191" t="s">
        <v>527</v>
      </c>
      <c r="I122" s="191" t="s">
        <v>528</v>
      </c>
      <c r="J122" s="191" t="s">
        <v>528</v>
      </c>
      <c r="K122" s="192"/>
      <c r="L122" s="191">
        <v>-4.0</v>
      </c>
      <c r="M122" s="191"/>
      <c r="N122" s="191">
        <v>10.92505</v>
      </c>
      <c r="O122" s="191" t="s">
        <v>92</v>
      </c>
      <c r="P122" s="191" t="s">
        <v>529</v>
      </c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1" t="s">
        <v>98</v>
      </c>
      <c r="B123" s="191" t="s">
        <v>86</v>
      </c>
      <c r="C123" s="191">
        <v>329.0</v>
      </c>
      <c r="D123" s="191">
        <v>0.0</v>
      </c>
      <c r="E123" s="191" t="s">
        <v>49</v>
      </c>
      <c r="F123" s="191" t="s">
        <v>99</v>
      </c>
      <c r="G123" s="191" t="s">
        <v>89</v>
      </c>
      <c r="H123" s="191" t="s">
        <v>530</v>
      </c>
      <c r="I123" s="191" t="s">
        <v>531</v>
      </c>
      <c r="J123" s="191" t="s">
        <v>532</v>
      </c>
      <c r="K123" s="191" t="s">
        <v>533</v>
      </c>
      <c r="L123" s="191">
        <v>-7.0</v>
      </c>
      <c r="M123" s="191">
        <v>0.018366666666666667</v>
      </c>
      <c r="N123" s="191">
        <v>11.39305</v>
      </c>
      <c r="O123" s="191" t="s">
        <v>104</v>
      </c>
      <c r="P123" s="191" t="s">
        <v>534</v>
      </c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1" t="s">
        <v>98</v>
      </c>
      <c r="B124" s="191" t="s">
        <v>86</v>
      </c>
      <c r="C124" s="191">
        <v>247.0</v>
      </c>
      <c r="D124" s="191">
        <v>62.0</v>
      </c>
      <c r="E124" s="192"/>
      <c r="F124" s="191" t="s">
        <v>186</v>
      </c>
      <c r="G124" s="191" t="s">
        <v>118</v>
      </c>
      <c r="H124" s="191" t="s">
        <v>535</v>
      </c>
      <c r="I124" s="191" t="s">
        <v>536</v>
      </c>
      <c r="J124" s="191" t="s">
        <v>536</v>
      </c>
      <c r="K124" s="192"/>
      <c r="L124" s="191">
        <v>-15.0</v>
      </c>
      <c r="M124" s="191"/>
      <c r="N124" s="191">
        <v>24.164266666666666</v>
      </c>
      <c r="O124" s="191" t="s">
        <v>104</v>
      </c>
      <c r="P124" s="191" t="s">
        <v>537</v>
      </c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1" t="s">
        <v>94</v>
      </c>
      <c r="B125" s="191" t="s">
        <v>86</v>
      </c>
      <c r="C125" s="191">
        <v>453.0</v>
      </c>
      <c r="D125" s="191">
        <v>0.0</v>
      </c>
      <c r="E125" s="191" t="s">
        <v>59</v>
      </c>
      <c r="F125" s="191" t="s">
        <v>88</v>
      </c>
      <c r="G125" s="191" t="s">
        <v>89</v>
      </c>
      <c r="H125" s="191" t="s">
        <v>538</v>
      </c>
      <c r="I125" s="191" t="s">
        <v>539</v>
      </c>
      <c r="J125" s="191" t="s">
        <v>539</v>
      </c>
      <c r="K125" s="192"/>
      <c r="L125" s="191">
        <v>-3.0</v>
      </c>
      <c r="M125" s="191"/>
      <c r="N125" s="191">
        <v>11.891516666666666</v>
      </c>
      <c r="O125" s="191" t="s">
        <v>92</v>
      </c>
      <c r="P125" s="191" t="s">
        <v>540</v>
      </c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1" t="s">
        <v>85</v>
      </c>
      <c r="B126" s="191" t="s">
        <v>197</v>
      </c>
      <c r="C126" s="191">
        <v>394.0</v>
      </c>
      <c r="D126" s="191">
        <v>0.0</v>
      </c>
      <c r="E126" s="191" t="s">
        <v>541</v>
      </c>
      <c r="F126" s="191" t="s">
        <v>88</v>
      </c>
      <c r="G126" s="191" t="s">
        <v>89</v>
      </c>
      <c r="H126" s="191" t="s">
        <v>542</v>
      </c>
      <c r="I126" s="191" t="s">
        <v>543</v>
      </c>
      <c r="J126" s="191" t="s">
        <v>543</v>
      </c>
      <c r="K126" s="192"/>
      <c r="L126" s="191">
        <v>-5.0</v>
      </c>
      <c r="M126" s="191"/>
      <c r="N126" s="191">
        <v>9.811733333333333</v>
      </c>
      <c r="O126" s="191" t="s">
        <v>92</v>
      </c>
      <c r="P126" s="191" t="s">
        <v>544</v>
      </c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1" t="s">
        <v>185</v>
      </c>
      <c r="B127" s="191" t="s">
        <v>86</v>
      </c>
      <c r="C127" s="191">
        <v>249.0</v>
      </c>
      <c r="D127" s="191">
        <v>0.0</v>
      </c>
      <c r="E127" s="192"/>
      <c r="F127" s="191" t="s">
        <v>186</v>
      </c>
      <c r="G127" s="191" t="s">
        <v>118</v>
      </c>
      <c r="H127" s="191" t="s">
        <v>545</v>
      </c>
      <c r="I127" s="191" t="s">
        <v>546</v>
      </c>
      <c r="J127" s="191" t="s">
        <v>546</v>
      </c>
      <c r="K127" s="192"/>
      <c r="L127" s="191">
        <v>5.0</v>
      </c>
      <c r="M127" s="191"/>
      <c r="N127" s="191">
        <v>10.820916666666667</v>
      </c>
      <c r="O127" s="191" t="s">
        <v>189</v>
      </c>
      <c r="P127" s="191" t="s">
        <v>547</v>
      </c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1" t="s">
        <v>94</v>
      </c>
      <c r="B128" s="193" t="s">
        <v>86</v>
      </c>
      <c r="C128" s="191">
        <v>700.0</v>
      </c>
      <c r="D128" s="191">
        <v>0.0</v>
      </c>
      <c r="E128" s="191" t="s">
        <v>59</v>
      </c>
      <c r="F128" s="191" t="s">
        <v>88</v>
      </c>
      <c r="G128" s="191" t="s">
        <v>89</v>
      </c>
      <c r="H128" s="191" t="s">
        <v>548</v>
      </c>
      <c r="I128" s="191" t="s">
        <v>549</v>
      </c>
      <c r="J128" s="191" t="s">
        <v>549</v>
      </c>
      <c r="K128" s="192"/>
      <c r="L128" s="191">
        <v>0.0</v>
      </c>
      <c r="M128" s="191"/>
      <c r="N128" s="191">
        <v>14.559483333333333</v>
      </c>
      <c r="O128" s="191" t="s">
        <v>92</v>
      </c>
      <c r="P128" s="191" t="s">
        <v>550</v>
      </c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1" t="s">
        <v>185</v>
      </c>
      <c r="B129" s="191" t="s">
        <v>86</v>
      </c>
      <c r="C129" s="193">
        <v>329.0</v>
      </c>
      <c r="D129" s="191">
        <v>0.0</v>
      </c>
      <c r="E129" s="192"/>
      <c r="F129" s="191" t="s">
        <v>186</v>
      </c>
      <c r="G129" s="191" t="s">
        <v>118</v>
      </c>
      <c r="H129" s="191" t="s">
        <v>551</v>
      </c>
      <c r="I129" s="191" t="s">
        <v>552</v>
      </c>
      <c r="J129" s="191" t="s">
        <v>552</v>
      </c>
      <c r="K129" s="192"/>
      <c r="L129" s="191">
        <v>1.0</v>
      </c>
      <c r="M129" s="191"/>
      <c r="N129" s="191">
        <v>6.082883333333333</v>
      </c>
      <c r="O129" s="191" t="s">
        <v>189</v>
      </c>
      <c r="P129" s="191" t="s">
        <v>553</v>
      </c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1" t="s">
        <v>98</v>
      </c>
      <c r="B130" s="191" t="s">
        <v>86</v>
      </c>
      <c r="C130" s="191">
        <v>209.0</v>
      </c>
      <c r="D130" s="191">
        <v>50.0</v>
      </c>
      <c r="E130" s="192"/>
      <c r="F130" s="191" t="s">
        <v>186</v>
      </c>
      <c r="G130" s="191" t="s">
        <v>89</v>
      </c>
      <c r="H130" s="191" t="s">
        <v>554</v>
      </c>
      <c r="I130" s="191" t="s">
        <v>555</v>
      </c>
      <c r="J130" s="191" t="s">
        <v>555</v>
      </c>
      <c r="K130" s="192"/>
      <c r="L130" s="191">
        <v>-11.0</v>
      </c>
      <c r="M130" s="191"/>
      <c r="N130" s="191">
        <v>7.69985</v>
      </c>
      <c r="O130" s="191" t="s">
        <v>104</v>
      </c>
      <c r="P130" s="191" t="s">
        <v>556</v>
      </c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1" t="s">
        <v>98</v>
      </c>
      <c r="B131" s="191" t="s">
        <v>86</v>
      </c>
      <c r="C131" s="193">
        <v>406.0</v>
      </c>
      <c r="D131" s="191">
        <v>62.0</v>
      </c>
      <c r="E131" s="192"/>
      <c r="F131" s="191" t="s">
        <v>186</v>
      </c>
      <c r="G131" s="191" t="s">
        <v>89</v>
      </c>
      <c r="H131" s="191" t="s">
        <v>557</v>
      </c>
      <c r="I131" s="191" t="s">
        <v>558</v>
      </c>
      <c r="J131" s="191" t="s">
        <v>558</v>
      </c>
      <c r="K131" s="192"/>
      <c r="L131" s="191">
        <v>-9.0</v>
      </c>
      <c r="M131" s="191"/>
      <c r="N131" s="191">
        <v>26.5312</v>
      </c>
      <c r="O131" s="191" t="s">
        <v>104</v>
      </c>
      <c r="P131" s="191" t="s">
        <v>559</v>
      </c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1" t="s">
        <v>98</v>
      </c>
      <c r="B132" s="191" t="s">
        <v>86</v>
      </c>
      <c r="C132" s="193">
        <v>247.0</v>
      </c>
      <c r="D132" s="191">
        <v>62.0</v>
      </c>
      <c r="E132" s="192"/>
      <c r="F132" s="191" t="s">
        <v>186</v>
      </c>
      <c r="G132" s="191" t="s">
        <v>89</v>
      </c>
      <c r="H132" s="191" t="s">
        <v>560</v>
      </c>
      <c r="I132" s="191" t="s">
        <v>561</v>
      </c>
      <c r="J132" s="191" t="s">
        <v>561</v>
      </c>
      <c r="K132" s="192"/>
      <c r="L132" s="191">
        <v>-4.0</v>
      </c>
      <c r="M132" s="191"/>
      <c r="N132" s="191">
        <v>14.151983333333334</v>
      </c>
      <c r="O132" s="191" t="s">
        <v>104</v>
      </c>
      <c r="P132" s="191" t="s">
        <v>562</v>
      </c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E132" s="192"/>
      <c r="AF132" s="192"/>
    </row>
    <row r="133">
      <c r="A133" s="191" t="s">
        <v>85</v>
      </c>
      <c r="B133" s="191" t="s">
        <v>197</v>
      </c>
      <c r="C133" s="191">
        <v>329.0</v>
      </c>
      <c r="D133" s="191">
        <v>0.0</v>
      </c>
      <c r="E133" s="191" t="s">
        <v>276</v>
      </c>
      <c r="F133" s="191" t="s">
        <v>88</v>
      </c>
      <c r="G133" s="191" t="s">
        <v>89</v>
      </c>
      <c r="H133" s="191" t="s">
        <v>563</v>
      </c>
      <c r="I133" s="191" t="s">
        <v>564</v>
      </c>
      <c r="J133" s="191" t="s">
        <v>564</v>
      </c>
      <c r="K133" s="192"/>
      <c r="L133" s="191">
        <v>2.0</v>
      </c>
      <c r="M133" s="191"/>
      <c r="N133" s="191">
        <v>17.827616666666668</v>
      </c>
      <c r="O133" s="191" t="s">
        <v>92</v>
      </c>
      <c r="P133" s="191" t="s">
        <v>319</v>
      </c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1" t="s">
        <v>124</v>
      </c>
      <c r="B134" s="191" t="s">
        <v>197</v>
      </c>
      <c r="C134" s="191">
        <v>788.0</v>
      </c>
      <c r="D134" s="191">
        <v>0.0</v>
      </c>
      <c r="E134" s="192"/>
      <c r="F134" s="191" t="s">
        <v>88</v>
      </c>
      <c r="G134" s="191" t="s">
        <v>89</v>
      </c>
      <c r="H134" s="191" t="s">
        <v>565</v>
      </c>
      <c r="I134" s="191" t="s">
        <v>566</v>
      </c>
      <c r="J134" s="191" t="s">
        <v>566</v>
      </c>
      <c r="K134" s="192"/>
      <c r="L134" s="191">
        <v>1.0</v>
      </c>
      <c r="M134" s="191"/>
      <c r="N134" s="191">
        <v>16.955633333333335</v>
      </c>
      <c r="O134" s="191" t="s">
        <v>92</v>
      </c>
      <c r="P134" s="191" t="s">
        <v>567</v>
      </c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1" t="s">
        <v>185</v>
      </c>
      <c r="B135" s="191" t="s">
        <v>86</v>
      </c>
      <c r="C135" s="191">
        <v>309.0</v>
      </c>
      <c r="D135" s="191">
        <v>0.0</v>
      </c>
      <c r="E135" s="192"/>
      <c r="F135" s="191" t="s">
        <v>186</v>
      </c>
      <c r="G135" s="191" t="s">
        <v>118</v>
      </c>
      <c r="H135" s="191" t="s">
        <v>568</v>
      </c>
      <c r="I135" s="191" t="s">
        <v>569</v>
      </c>
      <c r="J135" s="191" t="s">
        <v>569</v>
      </c>
      <c r="K135" s="192"/>
      <c r="L135" s="191">
        <v>9.0</v>
      </c>
      <c r="M135" s="191"/>
      <c r="N135" s="191">
        <v>14.951083333333333</v>
      </c>
      <c r="O135" s="191" t="s">
        <v>189</v>
      </c>
      <c r="P135" s="191" t="s">
        <v>570</v>
      </c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1" t="s">
        <v>85</v>
      </c>
      <c r="B136" s="191" t="s">
        <v>197</v>
      </c>
      <c r="C136" s="191">
        <v>732.0</v>
      </c>
      <c r="D136" s="191">
        <v>0.0</v>
      </c>
      <c r="E136" s="191" t="s">
        <v>571</v>
      </c>
      <c r="F136" s="191" t="s">
        <v>88</v>
      </c>
      <c r="G136" s="191" t="s">
        <v>89</v>
      </c>
      <c r="H136" s="191" t="s">
        <v>572</v>
      </c>
      <c r="I136" s="191" t="s">
        <v>573</v>
      </c>
      <c r="J136" s="191" t="s">
        <v>573</v>
      </c>
      <c r="K136" s="192"/>
      <c r="L136" s="191">
        <v>0.0</v>
      </c>
      <c r="M136" s="191"/>
      <c r="N136" s="191">
        <v>16.455283333333334</v>
      </c>
      <c r="O136" s="191" t="s">
        <v>92</v>
      </c>
      <c r="P136" s="191" t="s">
        <v>574</v>
      </c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1" t="s">
        <v>98</v>
      </c>
      <c r="B137" s="191" t="s">
        <v>86</v>
      </c>
      <c r="C137" s="193">
        <v>638.0</v>
      </c>
      <c r="D137" s="191">
        <v>0.0</v>
      </c>
      <c r="E137" s="191" t="s">
        <v>53</v>
      </c>
      <c r="F137" s="191" t="s">
        <v>99</v>
      </c>
      <c r="G137" s="191" t="s">
        <v>89</v>
      </c>
      <c r="H137" s="191" t="s">
        <v>575</v>
      </c>
      <c r="I137" s="191" t="s">
        <v>576</v>
      </c>
      <c r="J137" s="191" t="s">
        <v>577</v>
      </c>
      <c r="K137" s="191" t="s">
        <v>578</v>
      </c>
      <c r="L137" s="191">
        <v>-4.0</v>
      </c>
      <c r="M137" s="191">
        <v>0.015716666666666667</v>
      </c>
      <c r="N137" s="191">
        <v>12.696966666666667</v>
      </c>
      <c r="O137" s="191" t="s">
        <v>104</v>
      </c>
      <c r="P137" s="191" t="s">
        <v>579</v>
      </c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1" t="s">
        <v>98</v>
      </c>
      <c r="B138" s="191" t="s">
        <v>86</v>
      </c>
      <c r="C138" s="191">
        <v>433.0</v>
      </c>
      <c r="D138" s="191">
        <v>0.0</v>
      </c>
      <c r="E138" s="191" t="s">
        <v>53</v>
      </c>
      <c r="F138" s="191" t="s">
        <v>99</v>
      </c>
      <c r="G138" s="191" t="s">
        <v>89</v>
      </c>
      <c r="H138" s="191" t="s">
        <v>580</v>
      </c>
      <c r="I138" s="191" t="s">
        <v>581</v>
      </c>
      <c r="J138" s="191" t="s">
        <v>582</v>
      </c>
      <c r="K138" s="191" t="s">
        <v>583</v>
      </c>
      <c r="L138" s="191">
        <v>0.0</v>
      </c>
      <c r="M138" s="191">
        <v>0.0127</v>
      </c>
      <c r="N138" s="191">
        <v>18.3916</v>
      </c>
      <c r="O138" s="191" t="s">
        <v>104</v>
      </c>
      <c r="P138" s="191" t="s">
        <v>275</v>
      </c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1" t="s">
        <v>98</v>
      </c>
      <c r="B139" s="191" t="s">
        <v>86</v>
      </c>
      <c r="C139" s="191">
        <v>207.0</v>
      </c>
      <c r="D139" s="191">
        <v>42.0</v>
      </c>
      <c r="E139" s="192"/>
      <c r="F139" s="191" t="s">
        <v>186</v>
      </c>
      <c r="G139" s="191" t="s">
        <v>89</v>
      </c>
      <c r="H139" s="191" t="s">
        <v>584</v>
      </c>
      <c r="I139" s="191" t="s">
        <v>585</v>
      </c>
      <c r="J139" s="191" t="s">
        <v>585</v>
      </c>
      <c r="K139" s="192"/>
      <c r="L139" s="191">
        <v>-3.0</v>
      </c>
      <c r="M139" s="191"/>
      <c r="N139" s="191">
        <v>15.534833333333333</v>
      </c>
      <c r="O139" s="191" t="s">
        <v>104</v>
      </c>
      <c r="P139" s="191" t="s">
        <v>586</v>
      </c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1" t="s">
        <v>98</v>
      </c>
      <c r="B140" s="191" t="s">
        <v>86</v>
      </c>
      <c r="C140" s="191">
        <v>219.0</v>
      </c>
      <c r="D140" s="191">
        <v>50.0</v>
      </c>
      <c r="E140" s="192"/>
      <c r="F140" s="191" t="s">
        <v>186</v>
      </c>
      <c r="G140" s="191" t="s">
        <v>89</v>
      </c>
      <c r="H140" s="191" t="s">
        <v>587</v>
      </c>
      <c r="I140" s="191" t="s">
        <v>588</v>
      </c>
      <c r="J140" s="191" t="s">
        <v>588</v>
      </c>
      <c r="K140" s="192"/>
      <c r="L140" s="191">
        <v>-2.0</v>
      </c>
      <c r="M140" s="191"/>
      <c r="N140" s="191">
        <v>16.66685</v>
      </c>
      <c r="O140" s="191" t="s">
        <v>104</v>
      </c>
      <c r="P140" s="191" t="s">
        <v>589</v>
      </c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1" t="s">
        <v>124</v>
      </c>
      <c r="B141" s="191" t="s">
        <v>197</v>
      </c>
      <c r="C141" s="191">
        <v>464.0</v>
      </c>
      <c r="D141" s="191">
        <v>0.0</v>
      </c>
      <c r="E141" s="192"/>
      <c r="F141" s="191" t="s">
        <v>88</v>
      </c>
      <c r="G141" s="191" t="s">
        <v>89</v>
      </c>
      <c r="H141" s="191" t="s">
        <v>590</v>
      </c>
      <c r="I141" s="191" t="s">
        <v>591</v>
      </c>
      <c r="J141" s="191" t="s">
        <v>591</v>
      </c>
      <c r="K141" s="192"/>
      <c r="L141" s="191">
        <v>1.0</v>
      </c>
      <c r="M141" s="191"/>
      <c r="N141" s="191">
        <v>16.417783333333333</v>
      </c>
      <c r="O141" s="191" t="s">
        <v>92</v>
      </c>
      <c r="P141" s="191" t="s">
        <v>592</v>
      </c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1" t="s">
        <v>124</v>
      </c>
      <c r="B142" s="191" t="s">
        <v>197</v>
      </c>
      <c r="C142" s="193">
        <v>294.0</v>
      </c>
      <c r="D142" s="191">
        <v>0.0</v>
      </c>
      <c r="E142" s="192"/>
      <c r="F142" s="191" t="s">
        <v>88</v>
      </c>
      <c r="G142" s="191" t="s">
        <v>89</v>
      </c>
      <c r="H142" s="191" t="s">
        <v>593</v>
      </c>
      <c r="I142" s="191" t="s">
        <v>594</v>
      </c>
      <c r="J142" s="191" t="s">
        <v>594</v>
      </c>
      <c r="K142" s="192"/>
      <c r="L142" s="191">
        <v>4.0</v>
      </c>
      <c r="M142" s="191"/>
      <c r="N142" s="191">
        <v>19.568016666666665</v>
      </c>
      <c r="O142" s="191" t="s">
        <v>92</v>
      </c>
      <c r="P142" s="191" t="s">
        <v>595</v>
      </c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1" t="s">
        <v>85</v>
      </c>
      <c r="B143" s="191" t="s">
        <v>197</v>
      </c>
      <c r="C143" s="191">
        <v>922.0</v>
      </c>
      <c r="D143" s="191">
        <v>0.0</v>
      </c>
      <c r="E143" s="191" t="s">
        <v>596</v>
      </c>
      <c r="F143" s="191" t="s">
        <v>88</v>
      </c>
      <c r="G143" s="191" t="s">
        <v>89</v>
      </c>
      <c r="H143" s="191" t="s">
        <v>597</v>
      </c>
      <c r="I143" s="191" t="s">
        <v>598</v>
      </c>
      <c r="J143" s="191" t="s">
        <v>598</v>
      </c>
      <c r="K143" s="192"/>
      <c r="L143" s="191">
        <v>5.0</v>
      </c>
      <c r="M143" s="191"/>
      <c r="N143" s="191">
        <v>20.885733333333334</v>
      </c>
      <c r="O143" s="191" t="s">
        <v>92</v>
      </c>
      <c r="P143" s="191" t="s">
        <v>599</v>
      </c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1" t="s">
        <v>185</v>
      </c>
      <c r="B144" s="191" t="s">
        <v>86</v>
      </c>
      <c r="C144" s="193">
        <v>249.0</v>
      </c>
      <c r="D144" s="191">
        <v>249.0</v>
      </c>
      <c r="E144" s="192"/>
      <c r="F144" s="191" t="s">
        <v>186</v>
      </c>
      <c r="G144" s="191" t="s">
        <v>118</v>
      </c>
      <c r="H144" s="191" t="s">
        <v>600</v>
      </c>
      <c r="I144" s="191" t="s">
        <v>601</v>
      </c>
      <c r="J144" s="191" t="s">
        <v>601</v>
      </c>
      <c r="K144" s="192"/>
      <c r="L144" s="191">
        <v>12.0</v>
      </c>
      <c r="M144" s="191"/>
      <c r="N144" s="191">
        <v>17.3199</v>
      </c>
      <c r="O144" s="191" t="s">
        <v>189</v>
      </c>
      <c r="P144" s="191" t="s">
        <v>602</v>
      </c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1" t="s">
        <v>94</v>
      </c>
      <c r="B145" s="191" t="s">
        <v>86</v>
      </c>
      <c r="C145" s="193">
        <v>987.0</v>
      </c>
      <c r="D145" s="191">
        <v>0.0</v>
      </c>
      <c r="E145" s="191" t="s">
        <v>59</v>
      </c>
      <c r="F145" s="191" t="s">
        <v>88</v>
      </c>
      <c r="G145" s="191" t="s">
        <v>89</v>
      </c>
      <c r="H145" s="191" t="s">
        <v>603</v>
      </c>
      <c r="I145" s="191" t="s">
        <v>604</v>
      </c>
      <c r="J145" s="191" t="s">
        <v>604</v>
      </c>
      <c r="K145" s="192"/>
      <c r="L145" s="191">
        <v>8.0</v>
      </c>
      <c r="M145" s="191"/>
      <c r="N145" s="191">
        <v>23.766016666666665</v>
      </c>
      <c r="O145" s="191" t="s">
        <v>92</v>
      </c>
      <c r="P145" s="191" t="s">
        <v>605</v>
      </c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1" t="s">
        <v>98</v>
      </c>
      <c r="B146" s="191" t="s">
        <v>86</v>
      </c>
      <c r="C146" s="191">
        <v>492.0</v>
      </c>
      <c r="D146" s="191">
        <v>0.0</v>
      </c>
      <c r="E146" s="191" t="s">
        <v>49</v>
      </c>
      <c r="F146" s="191" t="s">
        <v>99</v>
      </c>
      <c r="G146" s="191" t="s">
        <v>89</v>
      </c>
      <c r="H146" s="191" t="s">
        <v>606</v>
      </c>
      <c r="I146" s="191" t="s">
        <v>607</v>
      </c>
      <c r="J146" s="191" t="s">
        <v>608</v>
      </c>
      <c r="K146" s="191" t="s">
        <v>609</v>
      </c>
      <c r="L146" s="191">
        <v>-1.0</v>
      </c>
      <c r="M146" s="191">
        <v>0.012783333333333334</v>
      </c>
      <c r="N146" s="191">
        <v>19.921766666666667</v>
      </c>
      <c r="O146" s="191" t="s">
        <v>104</v>
      </c>
      <c r="P146" s="191" t="s">
        <v>610</v>
      </c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1" t="s">
        <v>94</v>
      </c>
      <c r="B147" s="191" t="s">
        <v>86</v>
      </c>
      <c r="C147" s="191">
        <v>321.0</v>
      </c>
      <c r="D147" s="191">
        <v>0.0</v>
      </c>
      <c r="E147" s="191" t="s">
        <v>59</v>
      </c>
      <c r="F147" s="191" t="s">
        <v>88</v>
      </c>
      <c r="G147" s="191" t="s">
        <v>89</v>
      </c>
      <c r="H147" s="191" t="s">
        <v>611</v>
      </c>
      <c r="I147" s="191" t="s">
        <v>612</v>
      </c>
      <c r="J147" s="191" t="s">
        <v>612</v>
      </c>
      <c r="K147" s="192"/>
      <c r="L147" s="191">
        <v>-5.0</v>
      </c>
      <c r="M147" s="191"/>
      <c r="N147" s="191">
        <v>10.017483333333333</v>
      </c>
      <c r="O147" s="191" t="s">
        <v>92</v>
      </c>
      <c r="P147" s="191" t="s">
        <v>613</v>
      </c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1" t="s">
        <v>98</v>
      </c>
      <c r="B148" s="191" t="s">
        <v>86</v>
      </c>
      <c r="C148" s="191">
        <v>1017.0</v>
      </c>
      <c r="D148" s="191">
        <v>0.0</v>
      </c>
      <c r="E148" s="191" t="s">
        <v>59</v>
      </c>
      <c r="F148" s="191" t="s">
        <v>99</v>
      </c>
      <c r="G148" s="191" t="s">
        <v>89</v>
      </c>
      <c r="H148" s="191" t="s">
        <v>614</v>
      </c>
      <c r="I148" s="191" t="s">
        <v>615</v>
      </c>
      <c r="J148" s="191" t="s">
        <v>616</v>
      </c>
      <c r="K148" s="191" t="s">
        <v>617</v>
      </c>
      <c r="L148" s="191">
        <v>2.0</v>
      </c>
      <c r="M148" s="191">
        <v>4.235033333333333</v>
      </c>
      <c r="N148" s="191">
        <v>17.724133333333334</v>
      </c>
      <c r="O148" s="191" t="s">
        <v>104</v>
      </c>
      <c r="P148" s="191" t="s">
        <v>618</v>
      </c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1" t="s">
        <v>94</v>
      </c>
      <c r="B149" s="191" t="s">
        <v>86</v>
      </c>
      <c r="C149" s="191">
        <v>528.0</v>
      </c>
      <c r="D149" s="191">
        <v>0.0</v>
      </c>
      <c r="E149" s="191" t="s">
        <v>59</v>
      </c>
      <c r="F149" s="191" t="s">
        <v>88</v>
      </c>
      <c r="G149" s="191" t="s">
        <v>89</v>
      </c>
      <c r="H149" s="191" t="s">
        <v>619</v>
      </c>
      <c r="I149" s="191" t="s">
        <v>620</v>
      </c>
      <c r="J149" s="191" t="s">
        <v>620</v>
      </c>
      <c r="K149" s="192"/>
      <c r="L149" s="191">
        <v>-7.0</v>
      </c>
      <c r="M149" s="191"/>
      <c r="N149" s="191">
        <v>7.1991</v>
      </c>
      <c r="O149" s="191" t="s">
        <v>92</v>
      </c>
      <c r="P149" s="191" t="s">
        <v>621</v>
      </c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1" t="s">
        <v>98</v>
      </c>
      <c r="B150" s="191" t="s">
        <v>86</v>
      </c>
      <c r="C150" s="191">
        <v>167.0</v>
      </c>
      <c r="D150" s="191">
        <v>42.0</v>
      </c>
      <c r="E150" s="192"/>
      <c r="F150" s="191" t="s">
        <v>186</v>
      </c>
      <c r="G150" s="191" t="s">
        <v>272</v>
      </c>
      <c r="H150" s="191" t="s">
        <v>622</v>
      </c>
      <c r="I150" s="191" t="s">
        <v>623</v>
      </c>
      <c r="J150" s="191" t="s">
        <v>623</v>
      </c>
      <c r="K150" s="192"/>
      <c r="L150" s="191">
        <v>-13.0</v>
      </c>
      <c r="M150" s="191"/>
      <c r="N150" s="191">
        <v>6.481016666666667</v>
      </c>
      <c r="O150" s="191" t="s">
        <v>104</v>
      </c>
      <c r="P150" s="191" t="s">
        <v>624</v>
      </c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1" t="s">
        <v>85</v>
      </c>
      <c r="B151" s="191" t="s">
        <v>197</v>
      </c>
      <c r="C151" s="191">
        <v>388.0</v>
      </c>
      <c r="D151" s="191">
        <v>0.0</v>
      </c>
      <c r="E151" s="191" t="s">
        <v>526</v>
      </c>
      <c r="F151" s="191" t="s">
        <v>88</v>
      </c>
      <c r="G151" s="191" t="s">
        <v>89</v>
      </c>
      <c r="H151" s="191" t="s">
        <v>625</v>
      </c>
      <c r="I151" s="191" t="s">
        <v>626</v>
      </c>
      <c r="J151" s="191" t="s">
        <v>626</v>
      </c>
      <c r="K151" s="192"/>
      <c r="L151" s="191">
        <v>-1.0</v>
      </c>
      <c r="M151" s="191"/>
      <c r="N151" s="191">
        <v>13.04425</v>
      </c>
      <c r="O151" s="191" t="s">
        <v>92</v>
      </c>
      <c r="P151" s="191" t="s">
        <v>627</v>
      </c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1" t="s">
        <v>94</v>
      </c>
      <c r="B152" s="191" t="s">
        <v>86</v>
      </c>
      <c r="C152" s="191">
        <v>882.0</v>
      </c>
      <c r="D152" s="191">
        <v>0.0</v>
      </c>
      <c r="E152" s="191" t="s">
        <v>59</v>
      </c>
      <c r="F152" s="191" t="s">
        <v>88</v>
      </c>
      <c r="G152" s="191" t="s">
        <v>89</v>
      </c>
      <c r="H152" s="191" t="s">
        <v>628</v>
      </c>
      <c r="I152" s="191" t="s">
        <v>629</v>
      </c>
      <c r="J152" s="191" t="s">
        <v>629</v>
      </c>
      <c r="K152" s="192"/>
      <c r="L152" s="191">
        <v>0.0</v>
      </c>
      <c r="M152" s="191"/>
      <c r="N152" s="191">
        <v>15.2732</v>
      </c>
      <c r="O152" s="191" t="s">
        <v>92</v>
      </c>
      <c r="P152" s="191" t="s">
        <v>630</v>
      </c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1" t="s">
        <v>98</v>
      </c>
      <c r="B153" s="191" t="s">
        <v>86</v>
      </c>
      <c r="C153" s="191">
        <v>443.0</v>
      </c>
      <c r="D153" s="191">
        <v>0.0</v>
      </c>
      <c r="E153" s="191" t="s">
        <v>49</v>
      </c>
      <c r="F153" s="191" t="s">
        <v>99</v>
      </c>
      <c r="G153" s="191" t="s">
        <v>89</v>
      </c>
      <c r="H153" s="191" t="s">
        <v>631</v>
      </c>
      <c r="I153" s="191" t="s">
        <v>632</v>
      </c>
      <c r="J153" s="191" t="s">
        <v>633</v>
      </c>
      <c r="K153" s="191" t="s">
        <v>634</v>
      </c>
      <c r="L153" s="191">
        <v>-3.0</v>
      </c>
      <c r="M153" s="191">
        <v>0.0145</v>
      </c>
      <c r="N153" s="191">
        <v>20.383183333333335</v>
      </c>
      <c r="O153" s="191" t="s">
        <v>104</v>
      </c>
      <c r="P153" s="191" t="s">
        <v>635</v>
      </c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1" t="s">
        <v>98</v>
      </c>
      <c r="B154" s="191" t="s">
        <v>86</v>
      </c>
      <c r="C154" s="191">
        <v>672.0</v>
      </c>
      <c r="D154" s="191">
        <v>0.0</v>
      </c>
      <c r="E154" s="191" t="s">
        <v>49</v>
      </c>
      <c r="F154" s="191" t="s">
        <v>99</v>
      </c>
      <c r="G154" s="191" t="s">
        <v>89</v>
      </c>
      <c r="H154" s="191" t="s">
        <v>636</v>
      </c>
      <c r="I154" s="191" t="s">
        <v>637</v>
      </c>
      <c r="J154" s="191" t="s">
        <v>638</v>
      </c>
      <c r="K154" s="191" t="s">
        <v>639</v>
      </c>
      <c r="L154" s="191">
        <v>-1.0</v>
      </c>
      <c r="M154" s="191">
        <v>0.016016666666666665</v>
      </c>
      <c r="N154" s="191">
        <v>23.250866666666667</v>
      </c>
      <c r="O154" s="191" t="s">
        <v>104</v>
      </c>
      <c r="P154" s="191" t="s">
        <v>640</v>
      </c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1" t="s">
        <v>98</v>
      </c>
      <c r="B155" s="191" t="s">
        <v>86</v>
      </c>
      <c r="C155" s="191">
        <v>446.0</v>
      </c>
      <c r="D155" s="191">
        <v>112.0</v>
      </c>
      <c r="E155" s="192"/>
      <c r="F155" s="191" t="s">
        <v>186</v>
      </c>
      <c r="G155" s="191" t="s">
        <v>89</v>
      </c>
      <c r="H155" s="191" t="s">
        <v>641</v>
      </c>
      <c r="I155" s="191" t="s">
        <v>642</v>
      </c>
      <c r="J155" s="191" t="s">
        <v>642</v>
      </c>
      <c r="K155" s="192"/>
      <c r="L155" s="191">
        <v>-6.0</v>
      </c>
      <c r="M155" s="191"/>
      <c r="N155" s="191">
        <v>12.661383333333333</v>
      </c>
      <c r="O155" s="191" t="s">
        <v>104</v>
      </c>
      <c r="P155" s="191" t="s">
        <v>643</v>
      </c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1" t="s">
        <v>85</v>
      </c>
      <c r="B156" s="191" t="s">
        <v>197</v>
      </c>
      <c r="C156" s="191">
        <v>364.0</v>
      </c>
      <c r="D156" s="191">
        <v>0.0</v>
      </c>
      <c r="E156" s="191" t="s">
        <v>289</v>
      </c>
      <c r="F156" s="191" t="s">
        <v>88</v>
      </c>
      <c r="G156" s="191" t="s">
        <v>89</v>
      </c>
      <c r="H156" s="191" t="s">
        <v>644</v>
      </c>
      <c r="I156" s="191" t="s">
        <v>645</v>
      </c>
      <c r="J156" s="191" t="s">
        <v>645</v>
      </c>
      <c r="K156" s="192"/>
      <c r="L156" s="191">
        <v>0.0</v>
      </c>
      <c r="M156" s="191"/>
      <c r="N156" s="191">
        <v>14.46335</v>
      </c>
      <c r="O156" s="191" t="s">
        <v>92</v>
      </c>
      <c r="P156" s="191" t="s">
        <v>646</v>
      </c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E156" s="192"/>
      <c r="AF156" s="192"/>
    </row>
    <row r="157">
      <c r="A157" s="191" t="s">
        <v>98</v>
      </c>
      <c r="B157" s="191" t="s">
        <v>86</v>
      </c>
      <c r="C157" s="193">
        <v>545.0</v>
      </c>
      <c r="D157" s="191">
        <v>33.0</v>
      </c>
      <c r="E157" s="191" t="s">
        <v>50</v>
      </c>
      <c r="F157" s="191" t="s">
        <v>99</v>
      </c>
      <c r="G157" s="191" t="s">
        <v>89</v>
      </c>
      <c r="H157" s="191" t="s">
        <v>647</v>
      </c>
      <c r="I157" s="191" t="s">
        <v>648</v>
      </c>
      <c r="J157" s="191" t="s">
        <v>649</v>
      </c>
      <c r="K157" s="191" t="s">
        <v>650</v>
      </c>
      <c r="L157" s="191">
        <v>-8.0</v>
      </c>
      <c r="M157" s="191">
        <v>0.009533333333333333</v>
      </c>
      <c r="N157" s="191">
        <v>10.086433333333334</v>
      </c>
      <c r="O157" s="191" t="s">
        <v>104</v>
      </c>
      <c r="P157" s="191" t="s">
        <v>651</v>
      </c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1" t="s">
        <v>98</v>
      </c>
      <c r="B158" s="191" t="s">
        <v>86</v>
      </c>
      <c r="C158" s="191">
        <v>318.0</v>
      </c>
      <c r="D158" s="191">
        <v>50.0</v>
      </c>
      <c r="E158" s="192"/>
      <c r="F158" s="191" t="s">
        <v>186</v>
      </c>
      <c r="G158" s="191" t="s">
        <v>272</v>
      </c>
      <c r="H158" s="191" t="s">
        <v>652</v>
      </c>
      <c r="I158" s="191" t="s">
        <v>653</v>
      </c>
      <c r="J158" s="191" t="s">
        <v>653</v>
      </c>
      <c r="K158" s="192"/>
      <c r="L158" s="191">
        <v>-8.0</v>
      </c>
      <c r="M158" s="191"/>
      <c r="N158" s="191">
        <v>10.63345</v>
      </c>
      <c r="O158" s="191" t="s">
        <v>104</v>
      </c>
      <c r="P158" s="191" t="s">
        <v>654</v>
      </c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1" t="s">
        <v>124</v>
      </c>
      <c r="B159" s="191" t="s">
        <v>197</v>
      </c>
      <c r="C159" s="191">
        <v>394.0</v>
      </c>
      <c r="D159" s="191">
        <v>0.0</v>
      </c>
      <c r="E159" s="192"/>
      <c r="F159" s="191" t="s">
        <v>88</v>
      </c>
      <c r="G159" s="191" t="s">
        <v>89</v>
      </c>
      <c r="H159" s="191" t="s">
        <v>655</v>
      </c>
      <c r="I159" s="191" t="s">
        <v>656</v>
      </c>
      <c r="J159" s="191" t="s">
        <v>656</v>
      </c>
      <c r="K159" s="192"/>
      <c r="L159" s="191">
        <v>-3.0</v>
      </c>
      <c r="M159" s="191"/>
      <c r="N159" s="191">
        <v>11.546316666666666</v>
      </c>
      <c r="O159" s="191" t="s">
        <v>92</v>
      </c>
      <c r="P159" s="191" t="s">
        <v>657</v>
      </c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1" t="s">
        <v>124</v>
      </c>
      <c r="B160" s="191" t="s">
        <v>197</v>
      </c>
      <c r="C160" s="191">
        <v>528.0</v>
      </c>
      <c r="D160" s="191">
        <v>0.0</v>
      </c>
      <c r="E160" s="192"/>
      <c r="F160" s="191" t="s">
        <v>88</v>
      </c>
      <c r="G160" s="191" t="s">
        <v>89</v>
      </c>
      <c r="H160" s="191" t="s">
        <v>658</v>
      </c>
      <c r="I160" s="191" t="s">
        <v>659</v>
      </c>
      <c r="J160" s="191" t="s">
        <v>659</v>
      </c>
      <c r="K160" s="192"/>
      <c r="L160" s="191">
        <v>-7.0</v>
      </c>
      <c r="M160" s="191"/>
      <c r="N160" s="191">
        <v>7.680433333333333</v>
      </c>
      <c r="O160" s="191" t="s">
        <v>92</v>
      </c>
      <c r="P160" s="191" t="s">
        <v>660</v>
      </c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1" t="s">
        <v>98</v>
      </c>
      <c r="B161" s="191" t="s">
        <v>86</v>
      </c>
      <c r="C161" s="191">
        <v>250.0</v>
      </c>
      <c r="D161" s="191">
        <v>0.0</v>
      </c>
      <c r="E161" s="191" t="s">
        <v>50</v>
      </c>
      <c r="F161" s="191" t="s">
        <v>99</v>
      </c>
      <c r="G161" s="191" t="s">
        <v>89</v>
      </c>
      <c r="H161" s="191" t="s">
        <v>661</v>
      </c>
      <c r="I161" s="191" t="s">
        <v>662</v>
      </c>
      <c r="J161" s="191" t="s">
        <v>663</v>
      </c>
      <c r="K161" s="191" t="s">
        <v>664</v>
      </c>
      <c r="L161" s="191">
        <v>-9.0</v>
      </c>
      <c r="M161" s="191">
        <v>0.0094</v>
      </c>
      <c r="N161" s="191">
        <v>8.352266666666667</v>
      </c>
      <c r="O161" s="191" t="s">
        <v>104</v>
      </c>
      <c r="P161" s="191" t="s">
        <v>665</v>
      </c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1" t="s">
        <v>98</v>
      </c>
      <c r="B162" s="191" t="s">
        <v>86</v>
      </c>
      <c r="C162" s="191">
        <v>199.0</v>
      </c>
      <c r="D162" s="191">
        <v>50.0</v>
      </c>
      <c r="E162" s="192"/>
      <c r="F162" s="191" t="s">
        <v>186</v>
      </c>
      <c r="G162" s="191" t="s">
        <v>89</v>
      </c>
      <c r="H162" s="191" t="s">
        <v>666</v>
      </c>
      <c r="I162" s="191" t="s">
        <v>667</v>
      </c>
      <c r="J162" s="191" t="s">
        <v>667</v>
      </c>
      <c r="K162" s="192"/>
      <c r="L162" s="191">
        <v>-11.0</v>
      </c>
      <c r="M162" s="191"/>
      <c r="N162" s="191">
        <v>8.08485</v>
      </c>
      <c r="O162" s="191" t="s">
        <v>104</v>
      </c>
      <c r="P162" s="191" t="s">
        <v>668</v>
      </c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1" t="s">
        <v>94</v>
      </c>
      <c r="B163" s="191" t="s">
        <v>86</v>
      </c>
      <c r="C163" s="191">
        <v>329.0</v>
      </c>
      <c r="D163" s="191">
        <v>0.0</v>
      </c>
      <c r="E163" s="191" t="s">
        <v>59</v>
      </c>
      <c r="F163" s="191" t="s">
        <v>88</v>
      </c>
      <c r="G163" s="191" t="s">
        <v>89</v>
      </c>
      <c r="H163" s="191" t="s">
        <v>669</v>
      </c>
      <c r="I163" s="191" t="s">
        <v>670</v>
      </c>
      <c r="J163" s="191" t="s">
        <v>670</v>
      </c>
      <c r="K163" s="192"/>
      <c r="L163" s="191">
        <v>0.0</v>
      </c>
      <c r="M163" s="191"/>
      <c r="N163" s="191">
        <v>14.939566666666666</v>
      </c>
      <c r="O163" s="191" t="s">
        <v>92</v>
      </c>
      <c r="P163" s="191" t="s">
        <v>510</v>
      </c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1" t="s">
        <v>98</v>
      </c>
      <c r="B164" s="191" t="s">
        <v>86</v>
      </c>
      <c r="C164" s="191">
        <v>457.0</v>
      </c>
      <c r="D164" s="191">
        <v>0.0</v>
      </c>
      <c r="E164" s="191" t="s">
        <v>49</v>
      </c>
      <c r="F164" s="191" t="s">
        <v>99</v>
      </c>
      <c r="G164" s="191" t="s">
        <v>89</v>
      </c>
      <c r="H164" s="191" t="s">
        <v>671</v>
      </c>
      <c r="I164" s="191" t="s">
        <v>672</v>
      </c>
      <c r="J164" s="191" t="s">
        <v>673</v>
      </c>
      <c r="K164" s="191" t="s">
        <v>674</v>
      </c>
      <c r="L164" s="191">
        <v>-1.0</v>
      </c>
      <c r="M164" s="191">
        <v>0.01455</v>
      </c>
      <c r="N164" s="191">
        <v>20.340016666666667</v>
      </c>
      <c r="O164" s="191" t="s">
        <v>104</v>
      </c>
      <c r="P164" s="191" t="s">
        <v>675</v>
      </c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1" t="s">
        <v>98</v>
      </c>
      <c r="B165" s="191" t="s">
        <v>86</v>
      </c>
      <c r="C165" s="191">
        <v>378.0</v>
      </c>
      <c r="D165" s="191">
        <v>0.0</v>
      </c>
      <c r="E165" s="191" t="s">
        <v>49</v>
      </c>
      <c r="F165" s="191" t="s">
        <v>99</v>
      </c>
      <c r="G165" s="191" t="s">
        <v>89</v>
      </c>
      <c r="H165" s="191" t="s">
        <v>676</v>
      </c>
      <c r="I165" s="191" t="s">
        <v>677</v>
      </c>
      <c r="J165" s="191" t="s">
        <v>678</v>
      </c>
      <c r="K165" s="191" t="s">
        <v>679</v>
      </c>
      <c r="L165" s="191">
        <v>0.0</v>
      </c>
      <c r="M165" s="191">
        <v>0.0148</v>
      </c>
      <c r="N165" s="191">
        <v>23.705883333333333</v>
      </c>
      <c r="O165" s="191" t="s">
        <v>104</v>
      </c>
      <c r="P165" s="191" t="s">
        <v>680</v>
      </c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1" t="s">
        <v>124</v>
      </c>
      <c r="B166" s="191" t="s">
        <v>197</v>
      </c>
      <c r="C166" s="191">
        <v>380.0</v>
      </c>
      <c r="D166" s="191">
        <v>0.0</v>
      </c>
      <c r="E166" s="192"/>
      <c r="F166" s="191" t="s">
        <v>88</v>
      </c>
      <c r="G166" s="191" t="s">
        <v>89</v>
      </c>
      <c r="H166" s="191" t="s">
        <v>681</v>
      </c>
      <c r="I166" s="191" t="s">
        <v>682</v>
      </c>
      <c r="J166" s="191" t="s">
        <v>682</v>
      </c>
      <c r="K166" s="192"/>
      <c r="L166" s="191">
        <v>-6.0</v>
      </c>
      <c r="M166" s="191"/>
      <c r="N166" s="191">
        <v>8.88645</v>
      </c>
      <c r="O166" s="191" t="s">
        <v>92</v>
      </c>
      <c r="P166" s="191" t="s">
        <v>683</v>
      </c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1" t="s">
        <v>98</v>
      </c>
      <c r="B167" s="191" t="s">
        <v>86</v>
      </c>
      <c r="C167" s="191">
        <v>228.0</v>
      </c>
      <c r="D167" s="191">
        <v>81.0</v>
      </c>
      <c r="E167" s="192"/>
      <c r="F167" s="191" t="s">
        <v>186</v>
      </c>
      <c r="G167" s="191" t="s">
        <v>272</v>
      </c>
      <c r="H167" s="191" t="s">
        <v>684</v>
      </c>
      <c r="I167" s="191" t="s">
        <v>685</v>
      </c>
      <c r="J167" s="191" t="s">
        <v>685</v>
      </c>
      <c r="K167" s="192"/>
      <c r="L167" s="191">
        <v>-12.0</v>
      </c>
      <c r="M167" s="191"/>
      <c r="N167" s="191">
        <v>6.783416666666667</v>
      </c>
      <c r="O167" s="191" t="s">
        <v>104</v>
      </c>
      <c r="P167" s="191" t="s">
        <v>537</v>
      </c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1" t="s">
        <v>124</v>
      </c>
      <c r="B168" s="191" t="s">
        <v>197</v>
      </c>
      <c r="C168" s="191">
        <v>329.0</v>
      </c>
      <c r="D168" s="191">
        <v>0.0</v>
      </c>
      <c r="E168" s="192"/>
      <c r="F168" s="191" t="s">
        <v>88</v>
      </c>
      <c r="G168" s="191" t="s">
        <v>89</v>
      </c>
      <c r="H168" s="191" t="s">
        <v>686</v>
      </c>
      <c r="I168" s="191" t="s">
        <v>687</v>
      </c>
      <c r="J168" s="191" t="s">
        <v>687</v>
      </c>
      <c r="K168" s="192"/>
      <c r="L168" s="191">
        <v>-5.0</v>
      </c>
      <c r="M168" s="191"/>
      <c r="N168" s="191">
        <v>9.900733333333333</v>
      </c>
      <c r="O168" s="191" t="s">
        <v>92</v>
      </c>
      <c r="P168" s="191" t="s">
        <v>219</v>
      </c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1" t="s">
        <v>94</v>
      </c>
      <c r="B169" s="191" t="s">
        <v>86</v>
      </c>
      <c r="C169" s="191">
        <v>264.0</v>
      </c>
      <c r="D169" s="191">
        <v>0.0</v>
      </c>
      <c r="E169" s="191" t="s">
        <v>59</v>
      </c>
      <c r="F169" s="191" t="s">
        <v>88</v>
      </c>
      <c r="G169" s="191" t="s">
        <v>89</v>
      </c>
      <c r="H169" s="191" t="s">
        <v>688</v>
      </c>
      <c r="I169" s="191" t="s">
        <v>689</v>
      </c>
      <c r="J169" s="191" t="s">
        <v>689</v>
      </c>
      <c r="K169" s="192"/>
      <c r="L169" s="191">
        <v>-7.0</v>
      </c>
      <c r="M169" s="191"/>
      <c r="N169" s="191">
        <v>7.300283333333334</v>
      </c>
      <c r="O169" s="191" t="s">
        <v>92</v>
      </c>
      <c r="P169" s="191" t="s">
        <v>690</v>
      </c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1" t="s">
        <v>124</v>
      </c>
      <c r="B170" s="191" t="s">
        <v>197</v>
      </c>
      <c r="C170" s="191">
        <v>415.0</v>
      </c>
      <c r="D170" s="191">
        <v>0.0</v>
      </c>
      <c r="E170" s="192"/>
      <c r="F170" s="191" t="s">
        <v>88</v>
      </c>
      <c r="G170" s="191" t="s">
        <v>89</v>
      </c>
      <c r="H170" s="191" t="s">
        <v>691</v>
      </c>
      <c r="I170" s="191" t="s">
        <v>692</v>
      </c>
      <c r="J170" s="191" t="s">
        <v>692</v>
      </c>
      <c r="K170" s="192"/>
      <c r="L170" s="191">
        <v>-3.0</v>
      </c>
      <c r="M170" s="191"/>
      <c r="N170" s="191">
        <v>11.92985</v>
      </c>
      <c r="O170" s="191" t="s">
        <v>92</v>
      </c>
      <c r="P170" s="191" t="s">
        <v>693</v>
      </c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1" t="s">
        <v>124</v>
      </c>
      <c r="B171" s="191" t="s">
        <v>197</v>
      </c>
      <c r="C171" s="193">
        <v>518.0</v>
      </c>
      <c r="D171" s="191">
        <v>0.0</v>
      </c>
      <c r="E171" s="192"/>
      <c r="F171" s="191" t="s">
        <v>88</v>
      </c>
      <c r="G171" s="191" t="s">
        <v>118</v>
      </c>
      <c r="H171" s="191" t="s">
        <v>694</v>
      </c>
      <c r="I171" s="191" t="s">
        <v>695</v>
      </c>
      <c r="J171" s="191" t="s">
        <v>695</v>
      </c>
      <c r="K171" s="192"/>
      <c r="L171" s="191">
        <v>-1.0</v>
      </c>
      <c r="M171" s="191"/>
      <c r="N171" s="191">
        <v>13.61215</v>
      </c>
      <c r="O171" s="191" t="s">
        <v>92</v>
      </c>
      <c r="P171" s="191" t="s">
        <v>696</v>
      </c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1" t="s">
        <v>185</v>
      </c>
      <c r="B172" s="191" t="s">
        <v>86</v>
      </c>
      <c r="C172" s="191">
        <v>59.0</v>
      </c>
      <c r="D172" s="191">
        <v>0.0</v>
      </c>
      <c r="E172" s="192"/>
      <c r="F172" s="191" t="s">
        <v>186</v>
      </c>
      <c r="G172" s="191" t="s">
        <v>118</v>
      </c>
      <c r="H172" s="191" t="s">
        <v>697</v>
      </c>
      <c r="I172" s="191" t="s">
        <v>698</v>
      </c>
      <c r="J172" s="191" t="s">
        <v>698</v>
      </c>
      <c r="K172" s="192"/>
      <c r="L172" s="191">
        <v>-2.0</v>
      </c>
      <c r="M172" s="191"/>
      <c r="N172" s="191">
        <v>2.8501666666666665</v>
      </c>
      <c r="O172" s="191" t="s">
        <v>189</v>
      </c>
      <c r="P172" s="191" t="s">
        <v>699</v>
      </c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1" t="s">
        <v>94</v>
      </c>
      <c r="B173" s="191" t="s">
        <v>86</v>
      </c>
      <c r="C173" s="191">
        <v>423.0</v>
      </c>
      <c r="D173" s="191">
        <v>0.0</v>
      </c>
      <c r="E173" s="191" t="s">
        <v>59</v>
      </c>
      <c r="F173" s="191" t="s">
        <v>88</v>
      </c>
      <c r="G173" s="191" t="s">
        <v>89</v>
      </c>
      <c r="H173" s="191" t="s">
        <v>700</v>
      </c>
      <c r="I173" s="191" t="s">
        <v>701</v>
      </c>
      <c r="J173" s="191" t="s">
        <v>701</v>
      </c>
      <c r="K173" s="192"/>
      <c r="L173" s="191">
        <v>-11.0</v>
      </c>
      <c r="M173" s="191"/>
      <c r="N173" s="191">
        <v>9.919216666666667</v>
      </c>
      <c r="O173" s="191" t="s">
        <v>92</v>
      </c>
      <c r="P173" s="191" t="s">
        <v>702</v>
      </c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1" t="s">
        <v>98</v>
      </c>
      <c r="B174" s="191" t="s">
        <v>86</v>
      </c>
      <c r="C174" s="191">
        <v>521.0</v>
      </c>
      <c r="D174" s="191">
        <v>144.0</v>
      </c>
      <c r="E174" s="192"/>
      <c r="F174" s="191" t="s">
        <v>186</v>
      </c>
      <c r="G174" s="191" t="s">
        <v>272</v>
      </c>
      <c r="H174" s="191" t="s">
        <v>703</v>
      </c>
      <c r="I174" s="191" t="s">
        <v>704</v>
      </c>
      <c r="J174" s="191" t="s">
        <v>704</v>
      </c>
      <c r="K174" s="192"/>
      <c r="L174" s="191">
        <v>-6.0</v>
      </c>
      <c r="M174" s="191"/>
      <c r="N174" s="191">
        <v>13.054733333333333</v>
      </c>
      <c r="O174" s="191" t="s">
        <v>104</v>
      </c>
      <c r="P174" s="191" t="s">
        <v>705</v>
      </c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1" t="s">
        <v>85</v>
      </c>
      <c r="B175" s="191" t="s">
        <v>197</v>
      </c>
      <c r="C175" s="191">
        <v>394.0</v>
      </c>
      <c r="D175" s="191">
        <v>0.0</v>
      </c>
      <c r="E175" s="191" t="s">
        <v>596</v>
      </c>
      <c r="F175" s="191" t="s">
        <v>88</v>
      </c>
      <c r="G175" s="191" t="s">
        <v>89</v>
      </c>
      <c r="H175" s="191" t="s">
        <v>706</v>
      </c>
      <c r="I175" s="191" t="s">
        <v>707</v>
      </c>
      <c r="J175" s="191" t="s">
        <v>707</v>
      </c>
      <c r="K175" s="192"/>
      <c r="L175" s="191">
        <v>-6.0</v>
      </c>
      <c r="M175" s="191"/>
      <c r="N175" s="191">
        <v>8.737616666666666</v>
      </c>
      <c r="O175" s="191" t="s">
        <v>92</v>
      </c>
      <c r="P175" s="191" t="s">
        <v>708</v>
      </c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1" t="s">
        <v>124</v>
      </c>
      <c r="B176" s="191" t="s">
        <v>197</v>
      </c>
      <c r="C176" s="193">
        <v>299.0</v>
      </c>
      <c r="D176" s="191">
        <v>0.0</v>
      </c>
      <c r="E176" s="192"/>
      <c r="F176" s="191" t="s">
        <v>88</v>
      </c>
      <c r="G176" s="191" t="s">
        <v>89</v>
      </c>
      <c r="H176" s="191" t="s">
        <v>709</v>
      </c>
      <c r="I176" s="191" t="s">
        <v>710</v>
      </c>
      <c r="J176" s="191" t="s">
        <v>710</v>
      </c>
      <c r="K176" s="192"/>
      <c r="L176" s="191">
        <v>-8.0</v>
      </c>
      <c r="M176" s="191"/>
      <c r="N176" s="191">
        <v>6.998216666666667</v>
      </c>
      <c r="O176" s="191" t="s">
        <v>92</v>
      </c>
      <c r="P176" s="191" t="s">
        <v>711</v>
      </c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1" t="s">
        <v>94</v>
      </c>
      <c r="B177" s="191" t="s">
        <v>86</v>
      </c>
      <c r="C177" s="191">
        <v>628.0</v>
      </c>
      <c r="D177" s="191">
        <v>0.0</v>
      </c>
      <c r="E177" s="191" t="s">
        <v>59</v>
      </c>
      <c r="F177" s="191" t="s">
        <v>88</v>
      </c>
      <c r="G177" s="191" t="s">
        <v>89</v>
      </c>
      <c r="H177" s="191" t="s">
        <v>712</v>
      </c>
      <c r="I177" s="191" t="s">
        <v>713</v>
      </c>
      <c r="J177" s="191" t="s">
        <v>713</v>
      </c>
      <c r="K177" s="192"/>
      <c r="L177" s="191">
        <v>-1.0</v>
      </c>
      <c r="M177" s="191"/>
      <c r="N177" s="191">
        <v>13.557816666666668</v>
      </c>
      <c r="O177" s="191" t="s">
        <v>92</v>
      </c>
      <c r="P177" s="191" t="s">
        <v>714</v>
      </c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1" t="s">
        <v>185</v>
      </c>
      <c r="B178" s="191" t="s">
        <v>86</v>
      </c>
      <c r="C178" s="193">
        <v>274.0</v>
      </c>
      <c r="D178" s="191">
        <v>0.0</v>
      </c>
      <c r="E178" s="192"/>
      <c r="F178" s="191" t="s">
        <v>186</v>
      </c>
      <c r="G178" s="191" t="s">
        <v>118</v>
      </c>
      <c r="H178" s="191" t="s">
        <v>715</v>
      </c>
      <c r="I178" s="191" t="s">
        <v>716</v>
      </c>
      <c r="J178" s="191" t="s">
        <v>716</v>
      </c>
      <c r="K178" s="192"/>
      <c r="L178" s="191">
        <v>7.0</v>
      </c>
      <c r="M178" s="191"/>
      <c r="N178" s="191">
        <v>12.144633333333333</v>
      </c>
      <c r="O178" s="191" t="s">
        <v>189</v>
      </c>
      <c r="P178" s="191" t="s">
        <v>717</v>
      </c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1" t="s">
        <v>98</v>
      </c>
      <c r="B179" s="191" t="s">
        <v>86</v>
      </c>
      <c r="C179" s="191">
        <v>557.0</v>
      </c>
      <c r="D179" s="191">
        <v>0.0</v>
      </c>
      <c r="E179" s="191" t="s">
        <v>50</v>
      </c>
      <c r="F179" s="191" t="s">
        <v>99</v>
      </c>
      <c r="G179" s="191" t="s">
        <v>89</v>
      </c>
      <c r="H179" s="191" t="s">
        <v>718</v>
      </c>
      <c r="I179" s="191" t="s">
        <v>719</v>
      </c>
      <c r="J179" s="191" t="s">
        <v>720</v>
      </c>
      <c r="K179" s="191" t="s">
        <v>721</v>
      </c>
      <c r="L179" s="191">
        <v>-18.0</v>
      </c>
      <c r="M179" s="191">
        <v>0.011033333333333332</v>
      </c>
      <c r="N179" s="191">
        <v>10.954483333333334</v>
      </c>
      <c r="O179" s="191" t="s">
        <v>104</v>
      </c>
      <c r="P179" s="191" t="s">
        <v>722</v>
      </c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1" t="s">
        <v>124</v>
      </c>
      <c r="B180" s="191" t="s">
        <v>197</v>
      </c>
      <c r="C180" s="193">
        <v>464.0</v>
      </c>
      <c r="D180" s="191">
        <v>0.0</v>
      </c>
      <c r="E180" s="192"/>
      <c r="F180" s="191" t="s">
        <v>88</v>
      </c>
      <c r="G180" s="191" t="s">
        <v>89</v>
      </c>
      <c r="H180" s="191" t="s">
        <v>723</v>
      </c>
      <c r="I180" s="191" t="s">
        <v>724</v>
      </c>
      <c r="J180" s="191" t="s">
        <v>724</v>
      </c>
      <c r="K180" s="192"/>
      <c r="L180" s="191">
        <v>2.0</v>
      </c>
      <c r="M180" s="191"/>
      <c r="N180" s="191">
        <v>17.579216666666667</v>
      </c>
      <c r="O180" s="191" t="s">
        <v>92</v>
      </c>
      <c r="P180" s="191" t="s">
        <v>725</v>
      </c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1" t="s">
        <v>94</v>
      </c>
      <c r="B181" s="191" t="s">
        <v>86</v>
      </c>
      <c r="C181" s="193">
        <v>329.0</v>
      </c>
      <c r="D181" s="191">
        <v>0.0</v>
      </c>
      <c r="E181" s="191" t="s">
        <v>59</v>
      </c>
      <c r="F181" s="191" t="s">
        <v>88</v>
      </c>
      <c r="G181" s="191" t="s">
        <v>89</v>
      </c>
      <c r="H181" s="191" t="s">
        <v>726</v>
      </c>
      <c r="I181" s="191" t="s">
        <v>727</v>
      </c>
      <c r="J181" s="191" t="s">
        <v>727</v>
      </c>
      <c r="K181" s="192"/>
      <c r="L181" s="191">
        <v>0.0</v>
      </c>
      <c r="M181" s="191"/>
      <c r="N181" s="191">
        <v>14.2159</v>
      </c>
      <c r="O181" s="191" t="s">
        <v>92</v>
      </c>
      <c r="P181" s="191" t="s">
        <v>728</v>
      </c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1" t="s">
        <v>124</v>
      </c>
      <c r="B182" s="191" t="s">
        <v>86</v>
      </c>
      <c r="C182" s="193">
        <v>658.0</v>
      </c>
      <c r="D182" s="191">
        <v>0.0</v>
      </c>
      <c r="E182" s="192"/>
      <c r="F182" s="191" t="s">
        <v>88</v>
      </c>
      <c r="G182" s="191" t="s">
        <v>89</v>
      </c>
      <c r="H182" s="191" t="s">
        <v>729</v>
      </c>
      <c r="I182" s="191" t="s">
        <v>730</v>
      </c>
      <c r="J182" s="191" t="s">
        <v>730</v>
      </c>
      <c r="K182" s="192"/>
      <c r="L182" s="191">
        <v>-2.0</v>
      </c>
      <c r="M182" s="191"/>
      <c r="N182" s="191">
        <v>12.890416666666667</v>
      </c>
      <c r="O182" s="191" t="s">
        <v>92</v>
      </c>
      <c r="P182" s="191" t="s">
        <v>731</v>
      </c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1" t="s">
        <v>98</v>
      </c>
      <c r="B183" s="191" t="s">
        <v>86</v>
      </c>
      <c r="C183" s="191">
        <v>349.0</v>
      </c>
      <c r="D183" s="191">
        <v>0.0</v>
      </c>
      <c r="E183" s="191" t="s">
        <v>50</v>
      </c>
      <c r="F183" s="191" t="s">
        <v>99</v>
      </c>
      <c r="G183" s="191" t="s">
        <v>118</v>
      </c>
      <c r="H183" s="191" t="s">
        <v>732</v>
      </c>
      <c r="I183" s="191" t="s">
        <v>733</v>
      </c>
      <c r="J183" s="191" t="s">
        <v>734</v>
      </c>
      <c r="K183" s="191" t="s">
        <v>735</v>
      </c>
      <c r="L183" s="191">
        <v>-15.0</v>
      </c>
      <c r="M183" s="191">
        <v>0.011433333333333334</v>
      </c>
      <c r="N183" s="191">
        <v>8.662366666666667</v>
      </c>
      <c r="O183" s="191" t="s">
        <v>104</v>
      </c>
      <c r="P183" s="191" t="s">
        <v>736</v>
      </c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1" t="s">
        <v>85</v>
      </c>
      <c r="B184" s="191" t="s">
        <v>86</v>
      </c>
      <c r="C184" s="191">
        <v>264.0</v>
      </c>
      <c r="D184" s="191">
        <v>0.0</v>
      </c>
      <c r="E184" s="191" t="s">
        <v>737</v>
      </c>
      <c r="F184" s="191" t="s">
        <v>88</v>
      </c>
      <c r="G184" s="191" t="s">
        <v>89</v>
      </c>
      <c r="H184" s="191" t="s">
        <v>738</v>
      </c>
      <c r="I184" s="191" t="s">
        <v>739</v>
      </c>
      <c r="J184" s="191" t="s">
        <v>739</v>
      </c>
      <c r="K184" s="192"/>
      <c r="L184" s="191">
        <v>-7.0</v>
      </c>
      <c r="M184" s="191"/>
      <c r="N184" s="191">
        <v>7.479016666666666</v>
      </c>
      <c r="O184" s="191" t="s">
        <v>92</v>
      </c>
      <c r="P184" s="191" t="s">
        <v>740</v>
      </c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1" t="s">
        <v>94</v>
      </c>
      <c r="B185" s="191" t="s">
        <v>86</v>
      </c>
      <c r="C185" s="191">
        <v>593.0</v>
      </c>
      <c r="D185" s="191">
        <v>0.0</v>
      </c>
      <c r="E185" s="191" t="s">
        <v>59</v>
      </c>
      <c r="F185" s="191" t="s">
        <v>88</v>
      </c>
      <c r="G185" s="191" t="s">
        <v>89</v>
      </c>
      <c r="H185" s="191" t="s">
        <v>741</v>
      </c>
      <c r="I185" s="191" t="s">
        <v>742</v>
      </c>
      <c r="J185" s="191" t="s">
        <v>742</v>
      </c>
      <c r="K185" s="192"/>
      <c r="L185" s="191">
        <v>0.0</v>
      </c>
      <c r="M185" s="191"/>
      <c r="N185" s="191">
        <v>14.743766666666666</v>
      </c>
      <c r="O185" s="191" t="s">
        <v>92</v>
      </c>
      <c r="P185" s="191" t="s">
        <v>743</v>
      </c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1" t="s">
        <v>98</v>
      </c>
      <c r="B186" s="191" t="s">
        <v>86</v>
      </c>
      <c r="C186" s="191">
        <v>408.0</v>
      </c>
      <c r="D186" s="191">
        <v>0.0</v>
      </c>
      <c r="E186" s="191" t="s">
        <v>50</v>
      </c>
      <c r="F186" s="191" t="s">
        <v>99</v>
      </c>
      <c r="G186" s="191" t="s">
        <v>89</v>
      </c>
      <c r="H186" s="191" t="s">
        <v>744</v>
      </c>
      <c r="I186" s="191" t="s">
        <v>745</v>
      </c>
      <c r="J186" s="191" t="s">
        <v>746</v>
      </c>
      <c r="K186" s="191" t="s">
        <v>747</v>
      </c>
      <c r="L186" s="191">
        <v>-8.0</v>
      </c>
      <c r="M186" s="191">
        <v>0.010883333333333333</v>
      </c>
      <c r="N186" s="191">
        <v>10.96145</v>
      </c>
      <c r="O186" s="191" t="s">
        <v>104</v>
      </c>
      <c r="P186" s="191" t="s">
        <v>748</v>
      </c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1" t="s">
        <v>98</v>
      </c>
      <c r="B187" s="191" t="s">
        <v>86</v>
      </c>
      <c r="C187" s="191">
        <v>276.0</v>
      </c>
      <c r="D187" s="191">
        <v>13.0</v>
      </c>
      <c r="E187" s="191" t="s">
        <v>50</v>
      </c>
      <c r="F187" s="191" t="s">
        <v>99</v>
      </c>
      <c r="G187" s="191" t="s">
        <v>89</v>
      </c>
      <c r="H187" s="191" t="s">
        <v>749</v>
      </c>
      <c r="I187" s="191" t="s">
        <v>750</v>
      </c>
      <c r="J187" s="191" t="s">
        <v>751</v>
      </c>
      <c r="K187" s="191" t="s">
        <v>752</v>
      </c>
      <c r="L187" s="191">
        <v>-7.0</v>
      </c>
      <c r="M187" s="191">
        <v>0.008833333333333334</v>
      </c>
      <c r="N187" s="191">
        <v>12.532683333333333</v>
      </c>
      <c r="O187" s="191" t="s">
        <v>104</v>
      </c>
      <c r="P187" s="191" t="s">
        <v>753</v>
      </c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1" t="s">
        <v>94</v>
      </c>
      <c r="B188" s="191" t="s">
        <v>86</v>
      </c>
      <c r="C188" s="191">
        <v>910.0</v>
      </c>
      <c r="D188" s="191">
        <v>0.0</v>
      </c>
      <c r="E188" s="191" t="s">
        <v>59</v>
      </c>
      <c r="F188" s="191" t="s">
        <v>88</v>
      </c>
      <c r="G188" s="191" t="s">
        <v>89</v>
      </c>
      <c r="H188" s="191" t="s">
        <v>754</v>
      </c>
      <c r="I188" s="191" t="s">
        <v>755</v>
      </c>
      <c r="J188" s="191" t="s">
        <v>755</v>
      </c>
      <c r="K188" s="192"/>
      <c r="L188" s="191">
        <v>3.0</v>
      </c>
      <c r="M188" s="191"/>
      <c r="N188" s="191">
        <v>18.38625</v>
      </c>
      <c r="O188" s="191" t="s">
        <v>92</v>
      </c>
      <c r="P188" s="191" t="s">
        <v>756</v>
      </c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1" t="s">
        <v>124</v>
      </c>
      <c r="B189" s="191" t="s">
        <v>86</v>
      </c>
      <c r="C189" s="191">
        <v>658.0</v>
      </c>
      <c r="D189" s="191">
        <v>0.0</v>
      </c>
      <c r="E189" s="192"/>
      <c r="F189" s="191" t="s">
        <v>88</v>
      </c>
      <c r="G189" s="191" t="s">
        <v>89</v>
      </c>
      <c r="H189" s="191" t="s">
        <v>757</v>
      </c>
      <c r="I189" s="191" t="s">
        <v>758</v>
      </c>
      <c r="J189" s="191" t="s">
        <v>758</v>
      </c>
      <c r="K189" s="192"/>
      <c r="L189" s="191">
        <v>-5.0</v>
      </c>
      <c r="M189" s="191"/>
      <c r="N189" s="191">
        <v>9.68525</v>
      </c>
      <c r="O189" s="191" t="s">
        <v>92</v>
      </c>
      <c r="P189" s="191" t="s">
        <v>759</v>
      </c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1" t="s">
        <v>98</v>
      </c>
      <c r="B190" s="191" t="s">
        <v>86</v>
      </c>
      <c r="C190" s="191">
        <v>582.0</v>
      </c>
      <c r="D190" s="191">
        <v>0.0</v>
      </c>
      <c r="E190" s="191" t="s">
        <v>50</v>
      </c>
      <c r="F190" s="191" t="s">
        <v>99</v>
      </c>
      <c r="G190" s="191" t="s">
        <v>89</v>
      </c>
      <c r="H190" s="191" t="s">
        <v>760</v>
      </c>
      <c r="I190" s="191" t="s">
        <v>761</v>
      </c>
      <c r="J190" s="191" t="s">
        <v>762</v>
      </c>
      <c r="K190" s="191" t="s">
        <v>763</v>
      </c>
      <c r="L190" s="191">
        <v>-5.0</v>
      </c>
      <c r="M190" s="191">
        <v>0.007416666666666667</v>
      </c>
      <c r="N190" s="191">
        <v>16.715983333333334</v>
      </c>
      <c r="O190" s="191" t="s">
        <v>104</v>
      </c>
      <c r="P190" s="191" t="s">
        <v>764</v>
      </c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1" t="s">
        <v>185</v>
      </c>
      <c r="B191" s="191" t="s">
        <v>86</v>
      </c>
      <c r="C191" s="193">
        <v>746.0</v>
      </c>
      <c r="D191" s="191">
        <v>0.0</v>
      </c>
      <c r="E191" s="192"/>
      <c r="F191" s="191" t="s">
        <v>186</v>
      </c>
      <c r="G191" s="191" t="s">
        <v>118</v>
      </c>
      <c r="H191" s="191" t="s">
        <v>765</v>
      </c>
      <c r="I191" s="191" t="s">
        <v>766</v>
      </c>
      <c r="J191" s="191" t="s">
        <v>766</v>
      </c>
      <c r="K191" s="192"/>
      <c r="L191" s="191">
        <v>7.0</v>
      </c>
      <c r="M191" s="191"/>
      <c r="N191" s="191">
        <v>12.180016666666667</v>
      </c>
      <c r="O191" s="191" t="s">
        <v>189</v>
      </c>
      <c r="P191" s="191" t="s">
        <v>767</v>
      </c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1" t="s">
        <v>94</v>
      </c>
      <c r="B192" s="191" t="s">
        <v>86</v>
      </c>
      <c r="C192" s="191">
        <v>299.0</v>
      </c>
      <c r="D192" s="191">
        <v>0.0</v>
      </c>
      <c r="E192" s="191" t="s">
        <v>59</v>
      </c>
      <c r="F192" s="191" t="s">
        <v>88</v>
      </c>
      <c r="G192" s="191" t="s">
        <v>89</v>
      </c>
      <c r="H192" s="191" t="s">
        <v>768</v>
      </c>
      <c r="I192" s="191" t="s">
        <v>769</v>
      </c>
      <c r="J192" s="191" t="s">
        <v>769</v>
      </c>
      <c r="K192" s="192"/>
      <c r="L192" s="191">
        <v>-7.0</v>
      </c>
      <c r="M192" s="191"/>
      <c r="N192" s="191">
        <v>7.388216666666667</v>
      </c>
      <c r="O192" s="191" t="s">
        <v>92</v>
      </c>
      <c r="P192" s="191" t="s">
        <v>770</v>
      </c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1" t="s">
        <v>124</v>
      </c>
      <c r="B193" s="191" t="s">
        <v>197</v>
      </c>
      <c r="C193" s="193">
        <v>329.0</v>
      </c>
      <c r="D193" s="191">
        <v>0.0</v>
      </c>
      <c r="E193" s="192"/>
      <c r="F193" s="191" t="s">
        <v>88</v>
      </c>
      <c r="G193" s="191" t="s">
        <v>89</v>
      </c>
      <c r="H193" s="191" t="s">
        <v>771</v>
      </c>
      <c r="I193" s="191" t="s">
        <v>772</v>
      </c>
      <c r="J193" s="191" t="s">
        <v>772</v>
      </c>
      <c r="K193" s="192"/>
      <c r="L193" s="191">
        <v>-8.0</v>
      </c>
      <c r="M193" s="191"/>
      <c r="N193" s="191">
        <v>6.5611</v>
      </c>
      <c r="O193" s="191" t="s">
        <v>92</v>
      </c>
      <c r="P193" s="191" t="s">
        <v>773</v>
      </c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1" t="s">
        <v>124</v>
      </c>
      <c r="B194" s="191" t="s">
        <v>197</v>
      </c>
      <c r="C194" s="191">
        <v>846.0</v>
      </c>
      <c r="D194" s="191">
        <v>0.0</v>
      </c>
      <c r="E194" s="192"/>
      <c r="F194" s="191" t="s">
        <v>88</v>
      </c>
      <c r="G194" s="191" t="s">
        <v>89</v>
      </c>
      <c r="H194" s="191" t="s">
        <v>774</v>
      </c>
      <c r="I194" s="191" t="s">
        <v>775</v>
      </c>
      <c r="J194" s="191" t="s">
        <v>775</v>
      </c>
      <c r="K194" s="192"/>
      <c r="L194" s="191">
        <v>-3.0</v>
      </c>
      <c r="M194" s="191"/>
      <c r="N194" s="191">
        <v>11.391316666666667</v>
      </c>
      <c r="O194" s="191" t="s">
        <v>92</v>
      </c>
      <c r="P194" s="191" t="s">
        <v>776</v>
      </c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1" t="s">
        <v>98</v>
      </c>
      <c r="B195" s="191" t="s">
        <v>86</v>
      </c>
      <c r="C195" s="191">
        <v>366.0</v>
      </c>
      <c r="D195" s="191">
        <v>92.0</v>
      </c>
      <c r="E195" s="192"/>
      <c r="F195" s="191" t="s">
        <v>186</v>
      </c>
      <c r="G195" s="191" t="s">
        <v>272</v>
      </c>
      <c r="H195" s="191" t="s">
        <v>777</v>
      </c>
      <c r="I195" s="191" t="s">
        <v>778</v>
      </c>
      <c r="J195" s="191" t="s">
        <v>778</v>
      </c>
      <c r="K195" s="192"/>
      <c r="L195" s="191">
        <v>-12.0</v>
      </c>
      <c r="M195" s="191"/>
      <c r="N195" s="191">
        <v>6.96525</v>
      </c>
      <c r="O195" s="191" t="s">
        <v>104</v>
      </c>
      <c r="P195" s="191" t="s">
        <v>435</v>
      </c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1" t="s">
        <v>98</v>
      </c>
      <c r="B196" s="191" t="s">
        <v>86</v>
      </c>
      <c r="C196" s="191">
        <v>777.0</v>
      </c>
      <c r="D196" s="191">
        <v>0.0</v>
      </c>
      <c r="E196" s="191" t="s">
        <v>50</v>
      </c>
      <c r="F196" s="191" t="s">
        <v>99</v>
      </c>
      <c r="G196" s="191" t="s">
        <v>89</v>
      </c>
      <c r="H196" s="191" t="s">
        <v>779</v>
      </c>
      <c r="I196" s="191" t="s">
        <v>780</v>
      </c>
      <c r="J196" s="191" t="s">
        <v>781</v>
      </c>
      <c r="K196" s="191" t="s">
        <v>782</v>
      </c>
      <c r="L196" s="191">
        <v>-2.0</v>
      </c>
      <c r="M196" s="191">
        <v>0.018166666666666668</v>
      </c>
      <c r="N196" s="191">
        <v>21.1983</v>
      </c>
      <c r="O196" s="191" t="s">
        <v>104</v>
      </c>
      <c r="P196" s="191" t="s">
        <v>783</v>
      </c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1" t="s">
        <v>124</v>
      </c>
      <c r="B197" s="191" t="s">
        <v>197</v>
      </c>
      <c r="C197" s="191">
        <v>504.0</v>
      </c>
      <c r="D197" s="191">
        <v>0.0</v>
      </c>
      <c r="E197" s="192"/>
      <c r="F197" s="191" t="s">
        <v>88</v>
      </c>
      <c r="G197" s="191" t="s">
        <v>89</v>
      </c>
      <c r="H197" s="191" t="s">
        <v>784</v>
      </c>
      <c r="I197" s="191" t="s">
        <v>785</v>
      </c>
      <c r="J197" s="191" t="s">
        <v>785</v>
      </c>
      <c r="K197" s="192"/>
      <c r="L197" s="191">
        <v>-2.0</v>
      </c>
      <c r="M197" s="191"/>
      <c r="N197" s="191">
        <v>12.204033333333333</v>
      </c>
      <c r="O197" s="191" t="s">
        <v>92</v>
      </c>
      <c r="P197" s="191" t="s">
        <v>786</v>
      </c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1" t="s">
        <v>98</v>
      </c>
      <c r="B198" s="191" t="s">
        <v>86</v>
      </c>
      <c r="C198" s="191">
        <v>247.0</v>
      </c>
      <c r="D198" s="191">
        <v>62.0</v>
      </c>
      <c r="E198" s="192"/>
      <c r="F198" s="191" t="s">
        <v>186</v>
      </c>
      <c r="G198" s="191" t="s">
        <v>118</v>
      </c>
      <c r="H198" s="191" t="s">
        <v>787</v>
      </c>
      <c r="I198" s="191" t="s">
        <v>788</v>
      </c>
      <c r="J198" s="191" t="s">
        <v>788</v>
      </c>
      <c r="K198" s="192"/>
      <c r="L198" s="191">
        <v>-11.0</v>
      </c>
      <c r="M198" s="191"/>
      <c r="N198" s="191">
        <v>8.3317</v>
      </c>
      <c r="O198" s="191" t="s">
        <v>104</v>
      </c>
      <c r="P198" s="191" t="s">
        <v>391</v>
      </c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1" t="s">
        <v>98</v>
      </c>
      <c r="B199" s="191" t="s">
        <v>86</v>
      </c>
      <c r="C199" s="191">
        <v>199.0</v>
      </c>
      <c r="D199" s="191">
        <v>50.0</v>
      </c>
      <c r="E199" s="192"/>
      <c r="F199" s="191" t="s">
        <v>186</v>
      </c>
      <c r="G199" s="191" t="s">
        <v>272</v>
      </c>
      <c r="H199" s="191" t="s">
        <v>789</v>
      </c>
      <c r="I199" s="191" t="s">
        <v>790</v>
      </c>
      <c r="J199" s="191" t="s">
        <v>790</v>
      </c>
      <c r="K199" s="192"/>
      <c r="L199" s="191">
        <v>-9.0</v>
      </c>
      <c r="M199" s="191"/>
      <c r="N199" s="191">
        <v>10.476766666666666</v>
      </c>
      <c r="O199" s="191" t="s">
        <v>104</v>
      </c>
      <c r="P199" s="191" t="s">
        <v>791</v>
      </c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1" t="s">
        <v>185</v>
      </c>
      <c r="B200" s="191" t="s">
        <v>86</v>
      </c>
      <c r="C200" s="191">
        <v>49.0</v>
      </c>
      <c r="D200" s="191">
        <v>0.0</v>
      </c>
      <c r="E200" s="192"/>
      <c r="F200" s="191" t="s">
        <v>186</v>
      </c>
      <c r="G200" s="191" t="s">
        <v>118</v>
      </c>
      <c r="H200" s="191" t="s">
        <v>792</v>
      </c>
      <c r="I200" s="191" t="s">
        <v>793</v>
      </c>
      <c r="J200" s="191" t="s">
        <v>793</v>
      </c>
      <c r="K200" s="192"/>
      <c r="L200" s="191">
        <v>-4.0</v>
      </c>
      <c r="M200" s="191"/>
      <c r="N200" s="191">
        <v>0.4005</v>
      </c>
      <c r="O200" s="191" t="s">
        <v>189</v>
      </c>
      <c r="P200" s="191" t="s">
        <v>794</v>
      </c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1" t="s">
        <v>94</v>
      </c>
      <c r="B201" s="191" t="s">
        <v>86</v>
      </c>
      <c r="C201" s="191">
        <v>274.0</v>
      </c>
      <c r="D201" s="191">
        <v>0.0</v>
      </c>
      <c r="E201" s="191" t="s">
        <v>59</v>
      </c>
      <c r="F201" s="191" t="s">
        <v>88</v>
      </c>
      <c r="G201" s="191" t="s">
        <v>89</v>
      </c>
      <c r="H201" s="191" t="s">
        <v>795</v>
      </c>
      <c r="I201" s="191" t="s">
        <v>796</v>
      </c>
      <c r="J201" s="191" t="s">
        <v>796</v>
      </c>
      <c r="K201" s="192"/>
      <c r="L201" s="191">
        <v>0.0</v>
      </c>
      <c r="M201" s="191"/>
      <c r="N201" s="191">
        <v>15.801716666666668</v>
      </c>
      <c r="O201" s="191" t="s">
        <v>92</v>
      </c>
      <c r="P201" s="191" t="s">
        <v>797</v>
      </c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1" t="s">
        <v>98</v>
      </c>
      <c r="B202" s="191" t="s">
        <v>86</v>
      </c>
      <c r="C202" s="191">
        <v>309.0</v>
      </c>
      <c r="D202" s="191">
        <v>0.0</v>
      </c>
      <c r="E202" s="191" t="s">
        <v>50</v>
      </c>
      <c r="F202" s="191" t="s">
        <v>99</v>
      </c>
      <c r="G202" s="191" t="s">
        <v>89</v>
      </c>
      <c r="H202" s="191" t="s">
        <v>798</v>
      </c>
      <c r="I202" s="191" t="s">
        <v>799</v>
      </c>
      <c r="J202" s="191" t="s">
        <v>800</v>
      </c>
      <c r="K202" s="191" t="s">
        <v>801</v>
      </c>
      <c r="L202" s="191">
        <v>-7.0</v>
      </c>
      <c r="M202" s="191">
        <v>0.012066666666666667</v>
      </c>
      <c r="N202" s="191">
        <v>9.561566666666666</v>
      </c>
      <c r="O202" s="191" t="s">
        <v>104</v>
      </c>
      <c r="P202" s="191" t="s">
        <v>802</v>
      </c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1" t="s">
        <v>124</v>
      </c>
      <c r="B203" s="191" t="s">
        <v>197</v>
      </c>
      <c r="C203" s="191">
        <v>329.0</v>
      </c>
      <c r="D203" s="191">
        <v>0.0</v>
      </c>
      <c r="E203" s="192"/>
      <c r="F203" s="191" t="s">
        <v>88</v>
      </c>
      <c r="G203" s="191" t="s">
        <v>89</v>
      </c>
      <c r="H203" s="191" t="s">
        <v>803</v>
      </c>
      <c r="I203" s="191" t="s">
        <v>804</v>
      </c>
      <c r="J203" s="191" t="s">
        <v>804</v>
      </c>
      <c r="K203" s="192"/>
      <c r="L203" s="191">
        <v>0.0</v>
      </c>
      <c r="M203" s="191"/>
      <c r="N203" s="191">
        <v>9.104033333333334</v>
      </c>
      <c r="O203" s="191" t="s">
        <v>92</v>
      </c>
      <c r="P203" s="191" t="s">
        <v>805</v>
      </c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1" t="s">
        <v>98</v>
      </c>
      <c r="B204" s="191" t="s">
        <v>86</v>
      </c>
      <c r="C204" s="191">
        <v>648.0</v>
      </c>
      <c r="D204" s="191">
        <v>0.0</v>
      </c>
      <c r="E204" s="191" t="s">
        <v>50</v>
      </c>
      <c r="F204" s="191" t="s">
        <v>99</v>
      </c>
      <c r="G204" s="191" t="s">
        <v>89</v>
      </c>
      <c r="H204" s="191" t="s">
        <v>806</v>
      </c>
      <c r="I204" s="191" t="s">
        <v>807</v>
      </c>
      <c r="J204" s="191" t="s">
        <v>808</v>
      </c>
      <c r="K204" s="191" t="s">
        <v>809</v>
      </c>
      <c r="L204" s="191">
        <v>1.0</v>
      </c>
      <c r="M204" s="191">
        <v>0.014083333333333333</v>
      </c>
      <c r="N204" s="191">
        <v>21.814316666666667</v>
      </c>
      <c r="O204" s="191" t="s">
        <v>104</v>
      </c>
      <c r="P204" s="191" t="s">
        <v>810</v>
      </c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1" t="s">
        <v>98</v>
      </c>
      <c r="B205" s="191" t="s">
        <v>86</v>
      </c>
      <c r="C205" s="191">
        <v>770.0</v>
      </c>
      <c r="D205" s="191">
        <v>192.0</v>
      </c>
      <c r="E205" s="192"/>
      <c r="F205" s="191" t="s">
        <v>186</v>
      </c>
      <c r="G205" s="191" t="s">
        <v>272</v>
      </c>
      <c r="H205" s="191" t="s">
        <v>811</v>
      </c>
      <c r="I205" s="191" t="s">
        <v>812</v>
      </c>
      <c r="J205" s="191" t="s">
        <v>812</v>
      </c>
      <c r="K205" s="192"/>
      <c r="L205" s="191">
        <v>-8.0</v>
      </c>
      <c r="M205" s="191"/>
      <c r="N205" s="191">
        <v>33.99528333333333</v>
      </c>
      <c r="O205" s="191" t="s">
        <v>104</v>
      </c>
      <c r="P205" s="191" t="s">
        <v>813</v>
      </c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1" t="s">
        <v>98</v>
      </c>
      <c r="B206" s="191" t="s">
        <v>86</v>
      </c>
      <c r="C206" s="191">
        <v>523.0</v>
      </c>
      <c r="D206" s="191">
        <v>0.0</v>
      </c>
      <c r="E206" s="191" t="s">
        <v>50</v>
      </c>
      <c r="F206" s="191" t="s">
        <v>99</v>
      </c>
      <c r="G206" s="191" t="s">
        <v>89</v>
      </c>
      <c r="H206" s="191" t="s">
        <v>814</v>
      </c>
      <c r="I206" s="191" t="s">
        <v>815</v>
      </c>
      <c r="J206" s="191" t="s">
        <v>816</v>
      </c>
      <c r="K206" s="191" t="s">
        <v>817</v>
      </c>
      <c r="L206" s="191">
        <v>-9.0</v>
      </c>
      <c r="M206" s="191">
        <v>0.016916666666666667</v>
      </c>
      <c r="N206" s="191">
        <v>22.208666666666666</v>
      </c>
      <c r="O206" s="191" t="s">
        <v>104</v>
      </c>
      <c r="P206" s="191" t="s">
        <v>818</v>
      </c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1" t="s">
        <v>124</v>
      </c>
      <c r="B207" s="191" t="s">
        <v>197</v>
      </c>
      <c r="C207" s="191">
        <v>264.0</v>
      </c>
      <c r="D207" s="191">
        <v>0.0</v>
      </c>
      <c r="E207" s="192"/>
      <c r="F207" s="191" t="s">
        <v>88</v>
      </c>
      <c r="G207" s="191" t="s">
        <v>89</v>
      </c>
      <c r="H207" s="191" t="s">
        <v>819</v>
      </c>
      <c r="I207" s="191" t="s">
        <v>820</v>
      </c>
      <c r="J207" s="191" t="s">
        <v>820</v>
      </c>
      <c r="K207" s="192"/>
      <c r="L207" s="191">
        <v>2.0</v>
      </c>
      <c r="M207" s="191"/>
      <c r="N207" s="191">
        <v>17.34573333333333</v>
      </c>
      <c r="O207" s="191" t="s">
        <v>92</v>
      </c>
      <c r="P207" s="191" t="s">
        <v>821</v>
      </c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1" t="s">
        <v>124</v>
      </c>
      <c r="B208" s="191" t="s">
        <v>197</v>
      </c>
      <c r="C208" s="191">
        <v>379.0</v>
      </c>
      <c r="D208" s="191">
        <v>0.0</v>
      </c>
      <c r="E208" s="192"/>
      <c r="F208" s="191" t="s">
        <v>88</v>
      </c>
      <c r="G208" s="191" t="s">
        <v>89</v>
      </c>
      <c r="H208" s="191" t="s">
        <v>822</v>
      </c>
      <c r="I208" s="191" t="s">
        <v>823</v>
      </c>
      <c r="J208" s="191" t="s">
        <v>823</v>
      </c>
      <c r="K208" s="192"/>
      <c r="L208" s="191">
        <v>1.0</v>
      </c>
      <c r="M208" s="191"/>
      <c r="N208" s="191">
        <v>12.851183333333333</v>
      </c>
      <c r="O208" s="191" t="s">
        <v>92</v>
      </c>
      <c r="P208" s="191" t="s">
        <v>824</v>
      </c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1" t="s">
        <v>124</v>
      </c>
      <c r="B209" s="191" t="s">
        <v>197</v>
      </c>
      <c r="C209" s="191">
        <v>987.0</v>
      </c>
      <c r="D209" s="191">
        <v>0.0</v>
      </c>
      <c r="E209" s="192"/>
      <c r="F209" s="191" t="s">
        <v>88</v>
      </c>
      <c r="G209" s="191" t="s">
        <v>118</v>
      </c>
      <c r="H209" s="191" t="s">
        <v>825</v>
      </c>
      <c r="I209" s="191" t="s">
        <v>826</v>
      </c>
      <c r="J209" s="191" t="s">
        <v>826</v>
      </c>
      <c r="K209" s="192"/>
      <c r="L209" s="191">
        <v>5.0</v>
      </c>
      <c r="M209" s="191"/>
      <c r="N209" s="191">
        <v>20.48575</v>
      </c>
      <c r="O209" s="191" t="s">
        <v>92</v>
      </c>
      <c r="P209" s="191" t="s">
        <v>827</v>
      </c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828</v>
      </c>
      <c r="C1" s="191" t="s">
        <v>829</v>
      </c>
      <c r="D1" s="191" t="s">
        <v>830</v>
      </c>
      <c r="E1" s="191" t="s">
        <v>831</v>
      </c>
      <c r="F1" s="191" t="s">
        <v>832</v>
      </c>
      <c r="G1" s="191" t="s">
        <v>833</v>
      </c>
      <c r="H1" s="191" t="s">
        <v>834</v>
      </c>
      <c r="I1" s="191" t="s">
        <v>835</v>
      </c>
      <c r="J1" s="191" t="s">
        <v>836</v>
      </c>
      <c r="K1" s="191" t="s">
        <v>837</v>
      </c>
      <c r="L1" s="191" t="s">
        <v>838</v>
      </c>
      <c r="M1" s="191" t="s">
        <v>839</v>
      </c>
      <c r="N1" s="191" t="s">
        <v>840</v>
      </c>
      <c r="O1" s="191" t="s">
        <v>44</v>
      </c>
      <c r="P1" s="191" t="s">
        <v>60</v>
      </c>
      <c r="Q1" s="191" t="s">
        <v>15</v>
      </c>
      <c r="R1" s="191" t="s">
        <v>36</v>
      </c>
      <c r="S1" s="191" t="s">
        <v>841</v>
      </c>
      <c r="T1" s="191" t="s">
        <v>842</v>
      </c>
      <c r="U1" s="191" t="s">
        <v>843</v>
      </c>
      <c r="V1" s="191" t="s">
        <v>844</v>
      </c>
      <c r="W1" s="191" t="s">
        <v>845</v>
      </c>
      <c r="X1" s="191" t="s">
        <v>846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847</v>
      </c>
      <c r="AD1" s="191" t="s">
        <v>2</v>
      </c>
      <c r="AE1" s="191" t="s">
        <v>29</v>
      </c>
      <c r="AF1" s="191" t="s">
        <v>32</v>
      </c>
      <c r="AG1" s="191" t="s">
        <v>33</v>
      </c>
      <c r="AH1" s="191" t="s">
        <v>34</v>
      </c>
      <c r="AI1" s="191" t="s">
        <v>35</v>
      </c>
      <c r="AJ1" s="191" t="s">
        <v>37</v>
      </c>
      <c r="AK1" s="191" t="s">
        <v>38</v>
      </c>
      <c r="AL1" s="191" t="s">
        <v>848</v>
      </c>
      <c r="AM1" s="191" t="s">
        <v>40</v>
      </c>
      <c r="AN1" s="191" t="s">
        <v>849</v>
      </c>
      <c r="AO1" s="191" t="s">
        <v>46</v>
      </c>
      <c r="AP1" s="191" t="s">
        <v>47</v>
      </c>
      <c r="AQ1" s="191" t="s">
        <v>48</v>
      </c>
      <c r="AR1" s="191" t="s">
        <v>850</v>
      </c>
      <c r="AS1" s="191" t="s">
        <v>55</v>
      </c>
      <c r="AT1" s="191" t="s">
        <v>56</v>
      </c>
      <c r="AU1" s="191" t="s">
        <v>57</v>
      </c>
      <c r="AV1" s="191" t="s">
        <v>58</v>
      </c>
    </row>
    <row r="2">
      <c r="A2" s="195">
        <v>45524.0</v>
      </c>
      <c r="B2" s="191" t="s">
        <v>851</v>
      </c>
      <c r="C2" s="191" t="s">
        <v>852</v>
      </c>
      <c r="D2" s="196" t="s">
        <v>24</v>
      </c>
      <c r="E2" s="196" t="s">
        <v>67</v>
      </c>
      <c r="G2" s="196" t="s">
        <v>853</v>
      </c>
    </row>
    <row r="3">
      <c r="A3" s="195">
        <v>45524.0</v>
      </c>
      <c r="B3" s="191" t="s">
        <v>851</v>
      </c>
      <c r="C3" s="191" t="s">
        <v>854</v>
      </c>
      <c r="D3" s="196" t="s">
        <v>67</v>
      </c>
      <c r="E3" s="196" t="s">
        <v>25</v>
      </c>
      <c r="G3" s="196" t="s">
        <v>855</v>
      </c>
    </row>
    <row r="4">
      <c r="A4" s="195">
        <v>45524.0</v>
      </c>
      <c r="B4" s="191" t="s">
        <v>851</v>
      </c>
      <c r="H4" s="191" t="s">
        <v>856</v>
      </c>
      <c r="I4" s="196" t="s">
        <v>51</v>
      </c>
      <c r="J4" s="196" t="s">
        <v>52</v>
      </c>
      <c r="L4" s="196" t="s">
        <v>857</v>
      </c>
      <c r="M4" s="197">
        <v>9.0</v>
      </c>
    </row>
    <row r="5">
      <c r="A5" s="195">
        <v>45524.0</v>
      </c>
      <c r="B5" s="191" t="s">
        <v>851</v>
      </c>
      <c r="H5" s="191" t="s">
        <v>858</v>
      </c>
      <c r="I5" s="196" t="s">
        <v>52</v>
      </c>
      <c r="J5" s="196" t="s">
        <v>859</v>
      </c>
      <c r="L5" s="196" t="s">
        <v>860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851</v>
      </c>
      <c r="H6" s="191" t="s">
        <v>23</v>
      </c>
      <c r="I6" s="196" t="s">
        <v>28</v>
      </c>
      <c r="J6" s="196" t="s">
        <v>25</v>
      </c>
      <c r="L6" s="196" t="s">
        <v>861</v>
      </c>
    </row>
    <row r="7">
      <c r="A7" s="195">
        <v>45524.0</v>
      </c>
      <c r="B7" s="191" t="s">
        <v>851</v>
      </c>
      <c r="P7" s="197">
        <v>7.0</v>
      </c>
      <c r="Q7" s="191" t="s">
        <v>852</v>
      </c>
      <c r="R7" s="191" t="s">
        <v>854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862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863</v>
      </c>
      <c r="B4" s="202" t="s">
        <v>864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IFERROR(__xludf.DUMMYFUNCTION("""COMPUTED_VALUE"""),2789.082580645161)</f>
        <v>2789.082581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>Sova Martin</v>
      </c>
      <c r="B6" s="203" t="str">
        <f>IF(OR(E6=Report!$B$1, F6=Report!$B$1, G6=Report!$B$1, H6=Report!$B$1), D6, "")</f>
        <v>Sova Martin</v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IFERROR(__xludf.DUMMYFUNCTION("""COMPUTED_VALUE"""),2789.082580645161)</f>
        <v>2789.082581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IFERROR(__xludf.DUMMYFUNCTION("""COMPUTED_VALUE"""),2201.2258064516127)</f>
        <v>2201.225806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/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IFERROR(__xludf.DUMMYFUNCTION("""COMPUTED_VALUE"""),"Zličín")</f>
        <v>Zličín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IFERROR(__xludf.DUMMYFUNCTION("""COMPUTED_VALUE"""),2789.082580645161)</f>
        <v>2789.082581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>Pešová Hana</v>
      </c>
      <c r="B9" s="203" t="str">
        <f>IF(OR(E9=Report!$B$1, F9=Report!$B$1, G9=Report!$B$1, H9=Report!$B$1), D9, "")</f>
        <v>Pešová Hana</v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IFERROR(__xludf.DUMMYFUNCTION("""COMPUTED_VALUE"""),2201.2258064516127)</f>
        <v>2201.225806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>Šebesta Tomáš</v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IFERROR(__xludf.DUMMYFUNCTION("""COMPUTED_VALUE"""),2789.082580645161)</f>
        <v>2789.082581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IFERROR(__xludf.DUMMYFUNCTION("""COMPUTED_VALUE"""),2201.2258064516127)</f>
        <v>2201.225806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/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IFERROR(__xludf.DUMMYFUNCTION("""COMPUTED_VALUE"""),2201.2258064516127)</f>
        <v>2201.225806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IFERROR(__xludf.DUMMYFUNCTION("""COMPUTED_VALUE"""),2201.2258064516127)</f>
        <v>2201.225806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/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/>
      </c>
      <c r="B21" s="203" t="str">
        <f>IF(OR(E21=Report!$B$1, F21=Report!$B$1, G21=Report!$B$1, H21=Report!$B$1), D21, "")</f>
        <v>Hegedüs Erik</v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IFERROR(__xludf.DUMMYFUNCTION("""COMPUTED_VALUE"""),2789.082580645161)</f>
        <v>2789.082581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/>
      </c>
      <c r="B22" s="203" t="str">
        <f>IF(OR(E22=Report!$B$1, F22=Report!$B$1, G22=Report!$B$1, H22=Report!$B$1), D22, "")</f>
        <v/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IFERROR(__xludf.DUMMYFUNCTION("""COMPUTED_VALUE"""),2789.082580645161)</f>
        <v>2789.082581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/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/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>Yarushynskyi Vladyslav</v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IFERROR(__xludf.DUMMYFUNCTION("""COMPUTED_VALUE"""),"Chodov")</f>
        <v>Chodov</v>
      </c>
      <c r="F28" s="198" t="str">
        <f>IFERROR(__xludf.DUMMYFUNCTION("""COMPUTED_VALUE"""),"Malešice")</f>
        <v>Malešice</v>
      </c>
      <c r="G28" s="198" t="str">
        <f>IFERROR(__xludf.DUMMYFUNCTION("""COMPUTED_VALUE"""),"Zličín")</f>
        <v>Zličín</v>
      </c>
      <c r="H28" s="198"/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/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>Židek Petr</v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/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/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/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/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>Kursheva Diana</v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/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/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/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>Chlubnová Adéla</v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>Jurkovič Martin</v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>Navrátil Ondřej</v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>Nekolný Vladimír</v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/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/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>Lanský Zoltan</v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>Hyský Aleš</v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>Šmídová Sabina</v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>Lažek Jaroslav</v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>Chlubna Tomáš</v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>Hřebík Martin</v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IFERROR(__xludf.DUMMYFUNCTION("""COMPUTED_VALUE"""),2494.722580645161)</f>
        <v>2494.722581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/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>Reischl Jan</v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/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>Pražák Aleš</v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>Chyský David</v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/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/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/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/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/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/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/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>Fabera Tomáš</v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/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/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/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IFERROR(__xludf.DUMMYFUNCTION("""COMPUTED_VALUE"""),1596.967741935484)</f>
        <v>1596.967742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/>
      </c>
      <c r="C126" s="198" t="b">
        <f>IFERROR(__xludf.DUMMYFUNCTION("""COMPUTED_VALUE"""),FALSE)</f>
        <v>0</v>
      </c>
      <c r="D126" s="198" t="str">
        <f>IFERROR(__xludf.DUMMYFUNCTION("""COMPUTED_VALUE"""),"Pavel Břicháč")</f>
        <v>Pavel Břicháč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IFERROR(__xludf.DUMMYFUNCTION("""COMPUTED_VALUE"""),0.0)</f>
        <v>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/>
      </c>
      <c r="C128" s="198" t="b">
        <f>IFERROR(__xludf.DUMMYFUNCTION("""COMPUTED_VALUE"""),FALSE)</f>
        <v>0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IFERROR(__xludf.DUMMYFUNCTION("""COMPUTED_VALUE"""),0.0)</f>
        <v>0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IFERROR(__xludf.DUMMYFUNCTION("""COMPUTED_VALUE"""),0.0)</f>
        <v>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