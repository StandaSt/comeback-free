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<sst xmlns="http://schemas.openxmlformats.org/spreadsheetml/2006/main" count="963" uniqueCount="397">
  <si>
    <t>Prosek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</si>
  <si>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</si>
  <si>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</si>
  <si>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</si>
  <si>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</si>
  <si>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</si>
  <si>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</si>
  <si>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</si>
  <si>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</si>
  <si>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</si>
  <si>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</si>
  <si>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</si>
  <si>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</si>
  <si>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</si>
  <si>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</si>
  <si>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</si>
  <si>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</si>
  <si>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</si>
  <si>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</si>
  <si>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</si>
  <si>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</si>
  <si>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</si>
  <si>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</si>
  <si>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Pešová Hana</t>
  </si>
  <si>
    <t>10:00</t>
  </si>
  <si>
    <t>15:00</t>
  </si>
  <si>
    <t>Výdaje</t>
  </si>
  <si>
    <t>Šebesta Tomáš</t>
  </si>
  <si>
    <t>00:00</t>
  </si>
  <si>
    <t>Benzín</t>
  </si>
  <si>
    <t>Fáberová Kateřina</t>
  </si>
  <si>
    <t>17:00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</si>
  <si>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</si>
  <si>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</si>
  <si>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</si>
  <si>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</si>
  <si>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</si>
  <si>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</si>
  <si>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</si>
  <si>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</si>
  <si>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</si>
  <si>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</si>
  <si>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</si>
  <si>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</si>
  <si>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</si>
  <si>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</si>
  <si>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</si>
  <si>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</si>
  <si>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</si>
  <si>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Kormash Liubov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</si>
  <si>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</si>
  <si>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</si>
  <si>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</si>
  <si>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</si>
  <si>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</si>
  <si>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</si>
  <si>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</si>
  <si>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</si>
  <si>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</si>
  <si>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</si>
  <si>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</si>
  <si>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</si>
  <si>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</si>
  <si>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</si>
  <si>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</si>
  <si>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</si>
  <si>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</si>
  <si>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</si>
  <si>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</si>
  <si>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</si>
  <si>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</si>
  <si>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</si>
  <si>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</si>
  <si>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</si>
  <si>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</si>
  <si>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</si>
  <si>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</si>
  <si>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</si>
  <si>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</si>
  <si>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</si>
  <si>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</si>
  <si>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bolt</t>
  </si>
  <si>
    <t>ready_pickup</t>
  </si>
  <si>
    <t>Michael</t>
  </si>
  <si>
    <t>external-delivery</t>
  </si>
  <si>
    <t>online</t>
  </si>
  <si>
    <t>2026-04-12T23:23:43.878+02:00</t>
  </si>
  <si>
    <t>2026-04-12T23:31:34.297+02:00</t>
  </si>
  <si>
    <t>Pizza Comeback Prosek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</si>
  <si>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B112","note":"","count":1,"label":"Olivy","posId":"B112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]</t>
  </si>
  <si>
    <t>manual</t>
  </si>
  <si>
    <t>delivered</t>
  </si>
  <si>
    <t>pickup</t>
  </si>
  <si>
    <t>cash</t>
  </si>
  <si>
    <t>2026-04-12T23:11:45.045+02:00</t>
  </si>
  <si>
    <t>2026-04-12T23:15:54.236+02:00</t>
  </si>
  <si>
    <t>2026-04-13T05:59:59.999+02:00</t>
  </si>
  <si>
    <t>Ručně zadané obj.</t>
  </si>
  <si>
    <t>[{"id":"a902d94b-4667-4702-ad71-4744adfe8fad","count":1,"label":"Pizza Quattro Formaggi 32","posId":"123","price":24900,"isExtra":false,"creatorId":"5GLBtyF_DrtkkHjdmjSp_","isPackging":0,"actualLabel":"Pizza Quattro Formaggi 32"},{"id":"4eeb048e-8511-4f7b-a48f-e54c8aa107e5","count":1,"label":"Aquilla zelený čaj/citron","posId":"N121","price":4900,"isExtra":false,"creatorId":"nDQg4HcT0Db62_FapUaif","isPackging":0,"actualLabel":"Aquilla zelený čaj/citron"}]</t>
  </si>
  <si>
    <t>wolt</t>
  </si>
  <si>
    <t>2026-04-12T23:02:05.929+02:00</t>
  </si>
  <si>
    <t>2026-04-12T23:06:19.266+02:00</t>
  </si>
  <si>
    <t>[{"id":"69400db90dc626f6c3c3fc1d","count":1,"label":"Quattro Formaggi 32cm","posId":"123","price":24900,"isExtra":false},{"id":"0828382bbc0f39abdadd9b99","count":1,"label":"Balné","posId":"K0000","price":1500,"isExtra":true}]</t>
  </si>
  <si>
    <t>damejidlo</t>
  </si>
  <si>
    <t>2026-04-12T22:54:26.240+02:00</t>
  </si>
  <si>
    <t>2026-04-12T23:04:46.364+02:00</t>
  </si>
  <si>
    <t>[{"id":"57081026","note":"","size":"Comeback 40cm 🌶️","count":1,"label":"Comeback 40cm 🌶️","posId":"109","price":30900,"isExtra":false},{"id":"57081101","note":"","count":1,"label":"Balné","posId":"K0000","price":2000,"isExtra":true}]</t>
  </si>
  <si>
    <t>2026-04-12T22:53:32.639+02:00</t>
  </si>
  <si>
    <t>2026-04-12T23:03:03.399+02:00</t>
  </si>
  <si>
    <t>[{"id":"69400db90dc626f6c3c3fc53","count":1,"label":"Spicy Wings 🌶️","posId":"P101","price":11900,"isExtra":false},{"id":"0828382bbc0f39abdadd9b99","count":1,"label":"Balné","posId":"K0000","price":1500,"isExtra":true},{"id":"69400db90dc626f6c3c3fc57","count":1,"label":"Pečené brambory","posId":"P103","price":6900,"isExtra":false},{"id":"0828382bbc0f39abdadd9b99","count":1,"label":"Balné","posId":"K0000","price":1500,"isExtra":true}]</t>
  </si>
  <si>
    <t>2026-04-12T22:50:35.498+02:00</t>
  </si>
  <si>
    <t>2026-04-12T22:56:04.985+02:00</t>
  </si>
  <si>
    <t>[{"id":"cd7798b9-deb2-4229-a68e-ebefba7ee9e4","count":1,"label":"Pizza Comeback 32","posId":"121","price":24900,"isExtra":false,"creatorId":"-EWyeaIZTdSMQ6pIPryuJ","isPackging":0,"actualLabel":"Pizza Comeback 32"}]</t>
  </si>
  <si>
    <t>2026-04-12T22:47:00.150+02:00</t>
  </si>
  <si>
    <t>2026-04-12T22:55:20.212+02:00</t>
  </si>
  <si>
    <t>[{"id":"69400db90dc626f6c3c3fc15","count":1,"label":"Baby špenát &amp; kuře 40cm","posId":"104","price":30900,"isExtra":false},{"id":"01f1f771ad243e9a3e1e67cc","count":1,"label":"Balné","posId":"K0000","price":2000,"isExtra":true},{"id":"69bfb59f31761dcca50835ec","count":1,"label":"okraj mozzarella, bbq omáčka","posId":"A124","price":6500,"isExtra":true}]</t>
  </si>
  <si>
    <t>Svetozar</t>
  </si>
  <si>
    <t>2026-04-12T22:41:45.378+02:00</t>
  </si>
  <si>
    <t>2026-04-12T22:51:29.110+02:00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</si>
  <si>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základ","posId":"ZSR40","price":0,"isExtra":true},{"id":"C102","note":"","count":1,"label":"Jalapeňos","posId":"C102","price":3500,"KDSTags":["greenhighlight"],"isExtra":true}]</t>
  </si>
  <si>
    <t>2026-04-12T22:30:51.315+02:00</t>
  </si>
  <si>
    <t>2026-04-12T22:40:52.104+02:00</t>
  </si>
  <si>
    <t>tomáš</t>
  </si>
  <si>
    <t>2026-04-12T22:30:39.402+02:00</t>
  </si>
  <si>
    <t>2026-04-12T22:39:59.172+02:00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</si>
  <si>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omáčka","posId":"A120","price":6500,"isExtra":true},{"id":"C112","note":"","count":1,"label":"Olivy","posId":"C112","price":3500,"KDSTags":["greenhighlight"],"isExtra":true},{"id":"N125","note":"","count":1,"label":"Pepsi zero sugar 1l","posId":"N125","price":5900,"isExtra":false}]</t>
  </si>
  <si>
    <t>Ashok</t>
  </si>
  <si>
    <t>2026-04-12T22:21:51.311+02:00</t>
  </si>
  <si>
    <t>2026-04-12T22:26:54.137+02:00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</si>
  <si>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</si>
  <si>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2026-04-12T22:13:38.990+02:00</t>
  </si>
  <si>
    <t>2026-04-12T22:24:49.087+02:00</t>
  </si>
  <si>
    <t>[{"id":"69400db90dc626f6c3c3fc15","count":1,"label":"Baby špenát &amp; kuře 40cm","posId":"104","price":30900,"isExtra":false},{"id":"01f1f771ad243e9a3e1e67cc","count":1,"label":"Balné","posId":"K0000","price":2000,"isExtra":true}]</t>
  </si>
  <si>
    <t>2026-04-12T22:11:08.478+02:00</t>
  </si>
  <si>
    <t>2026-04-12T22:19:12.186+02:00</t>
  </si>
  <si>
    <t>[{"id":"69400db90dc626f6c3c3fc09","count":1,"label":"Pepperoni 40cm 🌶️🌶️","posId":"108","price":30900,"isExtra":false},{"id":"01f1f771ad243e9a3e1e67cc","count":1,"label":"Balné","posId":"K0000","price":2000,"isExtra":true}]</t>
  </si>
  <si>
    <t>2026-04-12T22:10:36.456+02:00</t>
  </si>
  <si>
    <t>2026-04-12T22:20:56.161+02:00</t>
  </si>
  <si>
    <t>[{"id":"69400db90dc626f6c3c3fc25","count":1,"label":"BBQ Texas 32cm","posId":"119","price":24900,"isExtra":false},{"id":"0828382bbc0f39abdadd9b99","count":1,"label":"Balné","posId":"K0000","price":1500,"isExtra":true},{"id":"684ae9784182d05e5daecb3f","count":1,"label":"Bez slaniny","posId":"X108","price":0,"KDSTags":["redhighlight"],"isExtra":true},{"id":"695458c28103d4672f51abc4","count":1,"label":"Ananas","posId":"B100","price":2500,"KDSTags":["greenhighlight"],"isExtra":true},{"id":"695458c28103d4672f51abd2","count":1,"label":"Masové kuličky","posId":"B116","price":5900,"KDSTags":["greenhighlight"],"isExtra":true},{"id":"69400db90dc626f6c3c3fc5d","count":1,"label":"Česnekový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</si>
  <si>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2026-04-12T22:05:34.982+02:00</t>
  </si>
  <si>
    <t>2026-04-12T22:16:02.100+02:00</t>
  </si>
  <si>
    <t>[{"id":"69400db90dc626f6c3c3fc27","count":1,"label":"BBQ Meteor 32cm","posId":"118","price":24900,"isExtra":false},{"id":"0828382bbc0f39abdadd9b99","count":1,"label":"Balné","posId":"K0000","price":1500,"isExtra":true}]</t>
  </si>
  <si>
    <t>Abdurakhmon</t>
  </si>
  <si>
    <t>2026-04-12T22:02:35.222+02:00</t>
  </si>
  <si>
    <t>2026-04-12T22:10:31.399+02:00</t>
  </si>
  <si>
    <t>[{"id":"102","note":"Poprosil bych pizzu šunkovou těsto tenké sýru nedávat moc a šunku nasekat na malé kostičky a také šunky nedávat moc děkuji.","count":1,"label":"Hawai 40cm","posId":"102","price":30900,"isExtra":false},{"id":"K0000","note":"","count":1,"label":"Balné","posId":"K0000","price":2000,"isExtra":true},{"id":"X100","note":"","count":1,"label":"Bez ananasu","posId":"X100","price":0,"KDSTags":["redhighlight"],"isExtra":true},{"id":"P103","note":"","count":1,"label":"Pečené brambory","posId":"P103","price":6900,"isExtra":false},{"id":"K0000","note":"","count":1,"label":"Balné","posId":"K0000","price":1500,"isExtra":true},{"id":"N129","note":"","count":1,"label":"Poděbradská malinovka 0,5l","posId":"N129","price":4900,"isExtra":false}]</t>
  </si>
  <si>
    <t>generic</t>
  </si>
  <si>
    <t>Liuba</t>
  </si>
  <si>
    <t>delivery</t>
  </si>
  <si>
    <t>2026-04-12T21:34:05.242+02:00</t>
  </si>
  <si>
    <t>2026-04-12T21:45:16.699+02:00</t>
  </si>
  <si>
    <t>2026-04-12T22:01:31.517+02:00</t>
  </si>
  <si>
    <t>2026-04-12T21:34:06.349+02:00</t>
  </si>
  <si>
    <t>Adaptee bridge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</si>
  <si>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bylinky","posId":"A121","price":5700,"isExtra":true},{"id":"92786627-aa7f-470b-9a46-ca4d5978f1b3","note":"","count":1,"label":"ananas","posId":"B100","price":2500,"KDSTags":["greenhighlight"],"isExtra":true}]</t>
  </si>
  <si>
    <t>2026-04-12T21:27:45.485+02:00</t>
  </si>
  <si>
    <t>2026-04-12T21:40:18.185+02:00</t>
  </si>
  <si>
    <t>[{"id":"69400db90dc626f6c3c3fc25","count":1,"label":"BBQ Texas 32cm","posId":"119","price":24900,"isExtra":false},{"id":"0828382bbc0f39abdadd9b99","count":1,"label":"Balné","posId":"K0000","price":1500,"isExtra":true},{"id":"69400db90dc626f6c3c3fc1d","count":1,"label":"Quattro Formaggi 32cm","posId":"123","price":24900,"isExtra":false},{"id":"0828382bbc0f39abdadd9b99","count":1,"label":"Balné","posId":"K0000","price":1500,"isExtra":true}]</t>
  </si>
  <si>
    <t>2026-04-12T21:27:21.755+02:00</t>
  </si>
  <si>
    <t>2026-04-12T21:38:18.987+02:00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</si>
  <si>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základ","posId":"ZRS32","price":0,"isExtra":true},{"id":"57081176","note":"","count":1,"label":"okraj hotdog, bbq omáčka","posId":"A119","price":5700,"isExtra":true},{"id":"57081186","note":"","count":1,"label":"Bez cibule","posId":"X103","price":0,"KDSTags":["redhighlight"],"isExtra":true}]</t>
  </si>
  <si>
    <t>2026-04-12T20:47:07.614+02:00</t>
  </si>
  <si>
    <t>2026-04-12T21:03:04.336+02:00</t>
  </si>
  <si>
    <t>[{"id":"57081028","note":"","size":"BBQ Texas 40cm","count":1,"label":"BBQ Texas 40cm","posId":"107","price":30900,"isExtra":false},{"id":"57081101","note":"","count":1,"label":"Balné","posId":"K0000","price":2000,"isExtra":true},{"id":"59555792","note":"","count":1,"label":"Rajčatový základ","posId":"ZBR40","price":0,"isExtra":true},{"id":"57081135","note":"","count":1,"label":"okraj mozzarella, bylinky","posId":"A122","price":6500,"isExtra":true},{"id":"57081223","note":"","count":1,"label":"Slanina","posId":"C108","price":4000,"KDSTags":["greenhighlight"],"isExtra":true}]</t>
  </si>
  <si>
    <t>2026-04-12T20:37:41.938+02:00</t>
  </si>
  <si>
    <t>2026-04-12T20:58:56.146+02:00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</si>
  <si>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32cm","posId":"123","price":24900,"isExtra":false},{"id":"0828382bbc0f39abdadd9b99","count":1,"label":"Balné","posId":"K0000","price":1500,"isExtra":true},{"id":"69bfb59f31761dcca50839df","count":1,"label":"okraj hotdog, bbq omáčka","posId":"A119","price":5700,"isExtra":true},{"id":"69400db90dc626f6c3c3fc25","count":1,"label":"BBQ Texas 32cm","posId":"119","price":24900,"isExtra":false},{"id":"0828382bbc0f39abdadd9b99","count":1,"label":"Balné","posId":"K0000","price":1500,"isExtra":true}]</t>
  </si>
  <si>
    <t>2026-04-12T20:36:57.899+02:00</t>
  </si>
  <si>
    <t>2026-04-12T20:45:42.769+02:00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</si>
  <si>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</si>
  <si>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2026-04-12T20:36:56.127+02:00</t>
  </si>
  <si>
    <t>2026-04-12T20:46:57.781+02:00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</si>
  <si>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</si>
  <si>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2026-04-12T20:36:20.755+02:00</t>
  </si>
  <si>
    <t>2026-04-12T20:56:32.861+02:00</t>
  </si>
  <si>
    <t>[{"id":"57081071","note":"","size":"Jalapenos Rolls","count":1,"label":"Jalapenos Rolls","posId":"jpr200","price":8900,"isExtra":false},{"id":"57081111","note":"","count":1,"label":"Balné","posId":"K0000","price":1500,"isExtra":true},{"id":"57081068","note":"","size":"Pepperoni Rolls 🌶️","count":1,"label":"Pepperoni Rolls 🌶️","posId":"P100","price":8900,"isExtra":false},{"id":"57081111","note":"","count":1,"label":"Balné","posId":"K0000","price":1500,"isExtra":true},{"id":"57081025","note":"","size":"Hot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57081212","note":"","count":1,"label":"Mozzarella","posId":"C113","price":4000,"KDSTags":["greenhighlight"],"isExtra":true},{"id":"57081230","note":"","count":1,"label":"Kuře","posId":"C114","price":4000,"KDSTags":["greenhighlight"],"isExtra":true},{"id":"57405792","note":"","size":"Mirinda 1l","count":1,"label":"Mirinda 1l","posId":"N126","price":5900,"isExtra":false}]</t>
  </si>
  <si>
    <t>2026-04-12T20:33:13.785+02:00</t>
  </si>
  <si>
    <t>2026-04-12T20:55:13.788+02:00</t>
  </si>
  <si>
    <t>[{"id":"69400db90dc626f6c3c3fc07","count":1,"label":"Comeback 40cm 🌶️","posId":"109","price":30900,"isExtra":false},{"id":"01f1f771ad243e9a3e1e67cc","count":1,"label":"Balné","posId":"K0000","price":2000,"isExtra":true},{"id":"69400db90dc626f6c3c3fc5d","count":1,"label":"Česnekový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</si>
  <si>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Parveen</t>
  </si>
  <si>
    <t>2026-04-12T20:24:18.191+02:00</t>
  </si>
  <si>
    <t>2026-04-12T20:30:44.921+02:00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</si>
  <si>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</si>
  <si>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2026-04-12T20:05:33.137+02:00</t>
  </si>
  <si>
    <t>2026-04-12T20:25:16.930+02:00</t>
  </si>
  <si>
    <t>[{"id":"69400db90dc626f6c3c3fc07","count":1,"label":"Comeback 40cm 🌶️","posId":"109","price":30900,"isExtra":false},{"id":"01f1f771ad243e9a3e1e67cc","count":1,"label":"Balné","posId":"K0000","price":2000,"isExtra":true},{"id":"69400db90dc626f6c3c3fc0f","count":1,"label":"Zeleninová 40cm","posId":"103","price":30900,"isExtra":false},{"id":"01f1f771ad243e9a3e1e67cc","count":1,"label":"Balné","posId":"K0000","price":2000,"isExtra":true},{"id":"69400db90dc626f6c3c3fc11","count":1,"label":"Hawai 40cm","posId":"102","price":30900,"isExtra":false},{"id":"01f1f771ad243e9a3e1e67cc","count":1,"label":"Balné","posId":"K0000","price":2000,"isExtra":true},{"id":"69400db90dc626f6c3c3fc79","count":1,"label":"Pepsi zero sugar 1l","posId":"N125","price":5900,"isExtra":false},{"id":"69400db90dc626f6c3c3fc7b","count":1,"label":"Mirinda 1l","posId":"N126","price":5900,"isExtra":false}]</t>
  </si>
  <si>
    <t>2026-04-12T20:02:51.566+02:00</t>
  </si>
  <si>
    <t>2026-04-12T20:09:41.540+02:00</t>
  </si>
  <si>
    <t>[{"id":"14d74183-8108-4914-8e03-e680c274b617","count":1,"label":"Pizza Capricciosa 40","posId":"101","price":30900,"isExtra":false,"creatorId":"nSnEfjtt3tJpBFFK3Nf1d","isPackging":0,"actualLabel":"Pizza Capricciosa 40"},{"id":"Ftfe1QZwY08mXcTtABkcO","count":1,"label":"Bez šunky","posId":"X106","price":0,"KDSTags":["redhighlight"],"isExtra":true,"mainItemId":"14d74183-8108-4914-8e03-e680c274b617"},{"id":"extra_20230331101812_102","count":1,"label":"Kuře","posId":"C114","price":4000,"KDSTags":["greenhighlight"],"isExtra":true,"mainItemId":"14d74183-8108-4914-8e03-e680c274b617"},{"id":"51b6e656-73cd-4dc6-9ae7-5ae6861e6242","count":2,"label":"Dip česnekový","posId":"P106","price":2000,"isExtra":false,"creatorId":"eW4JxiggpTLKUI39Gl7dQ","isPackging":0,"actualLabel":"Dip česnekový"}]</t>
  </si>
  <si>
    <t>2026-04-12T19:59:04.125+02:00</t>
  </si>
  <si>
    <t>2026-04-12T20:13:11.328+02:00</t>
  </si>
  <si>
    <t>2026-04-12T20:41:46.450+02:00</t>
  </si>
  <si>
    <t>2026-04-12T19:59:04.878+02:00</t>
  </si>
  <si>
    <t>[{"id":"4d0fe7ad-c88a-4a73-8015-c60680489cf8","note":"","count":1,"label":"Baby špenát &amp; kuře 32 cm","posId":"116","price":24900,"isExtra":false},{"id":"8b18781f-3bd0-464d-aa33-9f081ecc1a3a","note":"","count":1,"label":"mozzarella","posId":"B113","price":3000,"KDSTags":["greenhighlight"],"isExtra":true},{"id":"4d0fe7ad-c88a-4a73-8015-c60680489cf8","note":"","count":1,"label":"Baby špenát &amp; kuře 32 cm","posId":"116","price":24900,"isExtra":false}]</t>
  </si>
  <si>
    <t>2026-04-12T19:57:03.735+02:00</t>
  </si>
  <si>
    <t>2026-04-12T20:16:33.424+02:00</t>
  </si>
  <si>
    <t>2026-04-12T20:28:08.822+02:00</t>
  </si>
  <si>
    <t>2026-04-12T19:57:04.468+02:00</t>
  </si>
  <si>
    <t>[{"id":"4cd25cb7-e092-43a0-ab38-89c50a7e6a77","note":"","count":1,"label":"Pepperoni 18 cm","posId":"132","price":11900,"isExtra":false},{"id":"462128cc-c624-4311-afaf-4bd0a1d219e6","note":"","count":1,"label":"Pepperoni salám.","posId":"A109","price":2000,"isExtra":true},{"id":"670e963a-3bc6-4d99-8aed-b86eae3c2021","note":"","count":1,"label":"BEZ -mozzarella","posId":"X113","price":0,"KDSTags":["redhighlight"],"isExtra":true},{"id":"194f980e-141e-4220-9f1e-0e1e9edc412e","note":"","count":1,"label":"Quattro Formaggi 18 cm","posId":"135","price":11900,"isExtra":false},{"id":"bf8dc38b-6c8e-42b6-9da3-3170253a57d4","note":"","count":1,"label":"Hot &amp; Spicy 32 cm","posId":"122","price":24900,"isExtra":false},{"id":"7bf5fb6e-17f1-4e62-b7d1-e31d7c483eb9","note":"","count":1,"label":"cibule","posId":"B103","price":2500,"KDSTags":["greenhighlight"],"isExtra":true}]</t>
  </si>
  <si>
    <t>2026-04-12T19:44:42.405+02:00</t>
  </si>
  <si>
    <t>2026-04-12T19:52:33.521+02:00</t>
  </si>
  <si>
    <t>[{"id":"69400db90dc626f6c3c3fc2d","count":1,"label":"Capricciosa 32cm","posId":"113","price":24900,"isExtra":false},{"id":"0828382bbc0f39abdadd9b99","count":1,"label":"Balné","posId":"K0000","price":1500,"isExtra":true}]</t>
  </si>
  <si>
    <t>2026-04-12T19:33:06.415+02:00</t>
  </si>
  <si>
    <t>2026-04-12T19:40:34.256+02:00</t>
  </si>
  <si>
    <t>2026-04-12T20:06:59.230+02:00</t>
  </si>
  <si>
    <t>2026-04-12T19:33:07.318+02:00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</si>
  <si>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</si>
  <si>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2026-04-12T19:28:03.145+02:00</t>
  </si>
  <si>
    <t>2026-04-12T19:36:04.405+02:00</t>
  </si>
  <si>
    <t>2026-04-12T19:53:25.291+02:00</t>
  </si>
  <si>
    <t>2026-04-12T19:28:03.632+02:00</t>
  </si>
  <si>
    <t>[{"id":"8c704055-e242-493d-b754-bb711e5a6c0b","note":"","count":1,"label":"Hawai 40 cm","posId":"102","price":30900,"isExtra":false}]</t>
  </si>
  <si>
    <t>2026-04-12T19:23:04.317+02:00</t>
  </si>
  <si>
    <t>2026-04-12T19:30:03.399+02:00</t>
  </si>
  <si>
    <t>[{"id":"35e045f9-bc36-46e9-8142-6579de78a05b","note":"","count":1,"label":"Comeback 32 cm","posId":"121","price":24900,"isExtra":false}]</t>
  </si>
  <si>
    <t>2026-04-12T19:16:04.223+02:00</t>
  </si>
  <si>
    <t>2026-04-12T19:24:04.662+02:00</t>
  </si>
  <si>
    <t>[{"id":"59278382","note":"","size":"Spicy menu Comeback","count":1,"label":"Spicy menu Comeback","posId":"M100","price":34900,"isExtra":false},{"id":"57081180","note":"","count":1,"label":"Pepperoni","posId":"Y120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1l","posId":"N124","price":0,"isExtra":true},{"id":"57081105","note":"","count":1,"label":"bez plněných okrajů","posId":"X1000","price":0,"isExtra":true}]</t>
  </si>
  <si>
    <t>Andrea</t>
  </si>
  <si>
    <t>2026-04-12T19:07:36.552+02:00</t>
  </si>
  <si>
    <t>2026-04-12T19:13:04.575+02:00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</si>
  <si>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základ","posId":"ZSR40","price":0,"isExtra":true},{"id":"C114","note":"","count":1,"label":"Kuře","posId":"C114","price":4000,"KDSTags":["greenhighlight"],"isExtra":true}]</t>
  </si>
  <si>
    <t>2026-04-12T19:02:03.233+02:00</t>
  </si>
  <si>
    <t>2026-04-12T19:11:31.489+02:00</t>
  </si>
  <si>
    <t>2026-04-12T19:30:00.758+02:00</t>
  </si>
  <si>
    <t>2026-04-12T19:02:04.087+02:00</t>
  </si>
  <si>
    <t>[{"id":"ee394832-8137-440a-84b7-b9e0df42a9ab","note":"","count":1,"label":"Hawai 32 cm","posId":"114","price":24900,"isExtra":false},{"id":"80cdc162-f69f-4138-b690-77917e93790e","note":"","count":1,"label":"SPICY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wings","posId":"P101","price":0,"isExtra":true},{"id":"7b0a83b4-7f6f-4c46-87ee-f352311da876","note":"","count":1,"label":"Pepsi 1l","posId":"N124","price":0,"isExtra":true}]</t>
  </si>
  <si>
    <t>2026-04-12T18:44:23.495+02:00</t>
  </si>
  <si>
    <t>2026-04-12T18:54:26.616+02:00</t>
  </si>
  <si>
    <t>[{"id":"57081023","note":"","size":"Margherita 40cm","count":1,"label":"Margherita 40cm","posId":"100","price":26900,"isExtra":false},{"id":"57081101","note":"","count":1,"label":"Balné","posId":"K0000","price":2000,"isExtra":true},{"id":"57081025","note":"","size":"Hot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🌶️🌶️","posId":"110","price":30900,"isExtra":false},{"id":"57081101","note":"","count":1,"label":"Balné","posId":"K0000","price":2000,"isExtra":true},{"id":"57081027","note":"","size":"Pepperoni 40cm 🌶️🌶️","count":1,"label":"Pepperoni 40cm 🌶️🌶️","posId":"108","price":30900,"isExtra":false},{"id":"57081101","note":"","count":1,"label":"Balné","posId":"K0000","price":2000,"isExtra":true},{"id":"59278384","note":"","size":"Spicy Wings 🌶️","count":1,"label":"Spicy Wings 🌶️","posId":"P101","price":11900,"isExtra":false},{"id":"57081111","note":"","count":1,"label":"Balné","posId":"K0000","price":1500,"isExtra":true}]</t>
  </si>
  <si>
    <t>2026-04-12T18:29:35.193+02:00</t>
  </si>
  <si>
    <t>2026-04-12T18:38:26.677+02:00</t>
  </si>
  <si>
    <t>[{"id":"69400db90dc626f6c3c3fc11","count":1,"label":"Hawai 40cm","posId":"102","price":30900,"isExtra":false},{"id":"01f1f771ad243e9a3e1e67cc","count":1,"label":"Balné","posId":"K0000","price":2000,"isExtra":true}]</t>
  </si>
  <si>
    <t>2026-04-12T18:22:29.999+02:00</t>
  </si>
  <si>
    <t>2026-04-12T18:30:02.692+02:00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</si>
  <si>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🌶️🌶️","posId":"122","price":24900,"isExtra":false},{"id":"0828382bbc0f39abdadd9b99","count":1,"label":"Balné","posId":"K0000","price":1500,"isExtra":true},{"id":"674840e52b930230e954cbf7","count":1,"label":"Smetanový základ","posId":"ZRS32","price":0,"isExtra":true},{"id":"684ae9784182d05e5daecae5","count":1,"label":"Bez cibule","posId":"X103","price":0,"KDSTags":["redhighlight"],"isExtra":true},{"id":"69400db90dc626f6c3c3fc5d","count":1,"label":"Česnekový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</si>
  <si>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2026-04-12T18:03:46.707+02:00</t>
  </si>
  <si>
    <t>2026-04-12T18:25:03.638+02:00</t>
  </si>
  <si>
    <t>[{"id":"69400db90dc626f6c3c3fc11","count":1,"label":"Hawai 40cm","posId":"102","price":30900,"isExtra":false},{"id":"01f1f771ad243e9a3e1e67cc","count":1,"label":"Balné","posId":"K0000","price":2000,"isExtra":true},{"id":"69bfb59f31761dcca50835ea","count":1,"label":"bez plněných okrajů","posId":"X1000","price":0,"isExtra":true},{"id":"684ae9784182d05e5daecba3","count":1,"label":"Bez ananasu","posId":"X100","price":0,"KDSTags":["redhighlight"],"isExtra":true},{"id":"69400db90dc626f6c3c3fc07","count":1,"label":"Comeback 40cm 🌶️","posId":"109","price":30900,"isExtra":false},{"id":"01f1f771ad243e9a3e1e67cc","count":1,"label":"Balné","posId":"K0000","price":2000,"isExtra":true},{"id":"69bfb59f31761dcca50835ea","count":1,"label":"bez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</si>
  <si>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card</t>
  </si>
  <si>
    <t>2026-04-12T17:58:03.399+02:00</t>
  </si>
  <si>
    <t>2026-04-12T18:19:23.388+02:00</t>
  </si>
  <si>
    <t>[{"id":"8c704055-e242-493d-b754-bb711e5a6c0b","note":"","count":1,"label":"Hawai 40 cm","posId":"102","price":30900,"isExtra":false},{"id":"e8f571e6-dd36-42d7-8826-52c90315986b","note":"","count":1,"label":"Baby špenát &amp; kuře 40 cm","posId":"104","price":30900,"isExtra":false},{"id":"74b60a0c-fcbc-4171-95e9-291adbfbe523","note":"","count":1,"label":"Cibule","posId":"C103","price":3500,"KDSTags":["greenhighlight"],"isExtra":true},{"id":"e8f571e6-dd36-42d7-8826-52c90315986b","note":"","count":1,"label":"Baby špenát &amp; kuře 40 cm","posId":"104","price":30900,"isExtra":false}]</t>
  </si>
  <si>
    <t>2026-04-12T17:57:17.707+02:00</t>
  </si>
  <si>
    <t>2026-04-12T18:09:17.462+02:00</t>
  </si>
  <si>
    <t>[{"id":"3d349fca-a560-44e4-966f-e75699784d8e","count":1,"label":"Pizza Comeback 40","posId":"109","price":30900,"isExtra":false,"creatorId":"te1VPfT43AufnXMWZWyq4","isPackging":0,"actualLabel":"Pizza Comeback 40"}]</t>
  </si>
  <si>
    <t>2026-04-12T17:57:04.134+02:00</t>
  </si>
  <si>
    <t>2026-04-12T18:09:31.651+02:00</t>
  </si>
  <si>
    <t>2026-04-12T18:41:04.783+02:00</t>
  </si>
  <si>
    <t>2026-04-12T17:58:10.687+02:00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</si>
  <si>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117c830b-d7db-490d-a3b9-365f8c4fa2d3","note":"","count":1,"label":"Zeleninová 32 cm","posId":"115","price":24900,"isExtra":false},{"id":"57c816b2-3e3f-46c2-b126-b09910d79cb0","note":"","count":1,"label":"změna na Smetanový základ","posId":"57c816b2-3e3f-46c2-b126-b09910d79cb0","price":0,"isExtra":true}]</t>
  </si>
  <si>
    <t>2026-04-12T17:47:04.673+02:00</t>
  </si>
  <si>
    <t>2026-04-12T18:04:47.665+02:00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</si>
  <si>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🌶️🌶️","posId":"108","price":30900,"isExtra":false},{"id":"57081101","note":"","count":1,"label":"Balné","posId":"K0000","price":2000,"isExtra":true},{"id":"57081135","note":"","count":1,"label":"okraj mozzarella, bylinky","posId":"A122","price":6500,"isExtra":true},{"id":"59610967","note":"","size":"Comeback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</si>
  <si>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2026-04-12T17:40:03.730+02:00</t>
  </si>
  <si>
    <t>2026-04-12T17:53:11.469+02:00</t>
  </si>
  <si>
    <t>2026-04-12T18:14:17.576+02:00</t>
  </si>
  <si>
    <t>2026-04-12T17:40:04.509+02:00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</si>
  <si>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-cibule","posId":"X103","price":0,"KDSTags":["redhighlight"],"isExtra":true}]</t>
  </si>
  <si>
    <t>2026-04-12T17:37:22.647+02:00</t>
  </si>
  <si>
    <t>2026-04-12T17:46:50.575+02:00</t>
  </si>
  <si>
    <t>[{"id":"69400db90dc626f6c3c3fc2d","count":1,"label":"Capricciosa 32cm","posId":"113","price":24900,"isExtra":false},{"id":"0828382bbc0f39abdadd9b99","count":1,"label":"Balné","posId":"K0000","price":1500,"isExtra":true},{"id":"674840e52b930230e954cbf7","count":1,"label":"Smetanový základ","posId":"ZRS32","price":0,"isExtra":true},{"id":"69bfb59f31761dcca50839db","count":1,"label":"bez plněných okrajů","posId":"X1000","price":0,"isExtra":true}]</t>
  </si>
  <si>
    <t>Oleh</t>
  </si>
  <si>
    <t>2026-04-12T17:35:46.794+02:00</t>
  </si>
  <si>
    <t>2026-04-12T17:45:46.582+02:00</t>
  </si>
  <si>
    <t>[{"id":"N143","note":"","count":2,"label":"Guarana classic zero","posId":"N143","price":5500,"isExtra":false},{"id":"123","note":"","count":1,"label":"Quattro Formaggi 32cm","posId":"123","price":24900,"isExtra":false},{"id":"K0000","note":"","count":1,"label":"Balné","posId":"K0000","price":1500,"isExtra":true}]</t>
  </si>
  <si>
    <t>2026-04-12T17:33:03.328+02:00</t>
  </si>
  <si>
    <t>2026-04-12T17:42:26.424+02:00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</si>
  <si>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1fae666b-4102-4ed0-b317-2a07b21ae279","note":"","count":1,"label":"Hot &amp; Spicy 40 cm","posId":"110","price":30900,"isExtra":false}]</t>
  </si>
  <si>
    <t>2026-04-12T17:23:49.234+02:00</t>
  </si>
  <si>
    <t>2026-04-12T17:31:42.528+02:00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</si>
  <si>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bylinky","posId":"A121","price":5700,"isExtra":true},{"id":"695458c28103d4672f51abc7","count":1,"label":"Kukuřice","posId":"B115","price":2500,"KDSTags":["greenhighlight"],"isExtra":true}]</t>
  </si>
  <si>
    <t>Rakesh</t>
  </si>
  <si>
    <t>2026-04-12T17:03:38.758+02:00</t>
  </si>
  <si>
    <t>2026-04-12T17:12:38.449+02:00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</si>
  <si>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</si>
  <si>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Yevhenii</t>
  </si>
  <si>
    <t>2026-04-12T17:00:42.779+02:00</t>
  </si>
  <si>
    <t>2026-04-12T17:09:16.807+02:00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</si>
  <si>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</si>
  <si>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Jamser Singh</t>
  </si>
  <si>
    <t>2026-04-12T16:47:14.529+02:00</t>
  </si>
  <si>
    <t>2026-04-12T16:56:04.415+02:00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</si>
  <si>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</si>
  <si>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2026-04-12T16:31:10.006+02:00</t>
  </si>
  <si>
    <t>2026-04-12T16:39:09.450+02:00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</si>
  <si>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základ","posId":"ZRB40","price":0,"isExtra":true},{"id":"69400db90dc626f6c3c3fc5b","count":1,"label":"Pepperoni Rolls 🌶️","posId":"P100","price":8900,"isExtra":false},{"id":"0828382bbc0f39abdadd9b99","count":1,"label":"Balné","posId":"K0000","price":1500,"isExtra":true},{"id":"69400db90dc626f6c3c3fc79","count":1,"label":"Pepsi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</si>
  <si>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2026-04-12T16:19:28.656+02:00</t>
  </si>
  <si>
    <t>2026-04-12T16:31:26.310+02:00</t>
  </si>
  <si>
    <t>[{"id":"69400db90dc626f6c3c3fc2b","count":1,"label":"Hawai 32cm","posId":"114","price":24900,"isExtra":false},{"id":"0828382bbc0f39abdadd9b99","count":1,"label":"Balné","posId":"K0000","price":1500,"isExtra":true},{"id":"69400db90dc626f6c3c3fc79","count":1,"label":"Pepsi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</si>
  <si>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2026-04-12T16:14:56.648+02:00</t>
  </si>
  <si>
    <t>2026-04-12T16:30:06.395+02:00</t>
  </si>
  <si>
    <t>[{"id":"69400db90dc626f6c3c3fc27","count":1,"label":"BBQ Meteor 32cm","posId":"118","price":24900,"isExtra":false},{"id":"0828382bbc0f39abdadd9b99","count":1,"label":"Balné","posId":"K0000","price":1500,"isExtra":true},{"id":"674840e52b930230e954c943","count":1,"label":"Rajčatový základ","posId":"ZBR32","price":0,"isExtra":true},{"id":"695458c28103d4672f51abc5","count":1,"label":"Paprika","posId":"B111","price":2500,"KDSTags":["greenhighlight"],"isExtra":true},{"id":"695458c28103d4672f51abcd","count":1,"label":"Kuře","posId":"B114","price":3000,"KDSTags":["greenhighlight"],"isExtra":true}]</t>
  </si>
  <si>
    <t>2026-04-12T16:03:17.008+02:00</t>
  </si>
  <si>
    <t>2026-04-12T16:10:57.889+02:00</t>
  </si>
  <si>
    <t>[{"id":"59610969","note":"","size":"BBQ Texas 32cm","count":1,"label":"BBQ Texas 32cm","posId":"119","price":24900,"isExtra":false},{"id":"57081111","note":"","count":1,"label":"Balné","posId":"K0000","price":1500,"isExtra":true}]</t>
  </si>
  <si>
    <t>2026-04-12T15:39:33.341+02:00</t>
  </si>
  <si>
    <t>2026-04-12T15:46:55.821+02:00</t>
  </si>
  <si>
    <t>[{"id":"69400db90dc626f6c3c3fc07","count":1,"label":"Comeback 40cm 🌶️","posId":"109","price":30900,"isExtra":false},{"id":"01f1f771ad243e9a3e1e67cc","count":1,"label":"Balné","posId":"K0000","price":2000,"isExtra":true}]</t>
  </si>
  <si>
    <t>2026-04-12T15:38:03.248+02:00</t>
  </si>
  <si>
    <t>2026-04-12T15:44:33.321+02:00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</si>
  <si>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okrajů","posId":"X1000","price":0,"isExtra":true},{"id":"69400db90dc626f6c3c3fc77","count":1,"label":"Pepsi 1l","posId":"N124","price":5900,"isExtra":false}]</t>
  </si>
  <si>
    <t>2026-04-12T15:14:03.607+02:00</t>
  </si>
  <si>
    <t>2026-04-12T15:20:28.171+02:00</t>
  </si>
  <si>
    <t>2026-04-12T15:06:46.429+02:00</t>
  </si>
  <si>
    <t>2026-04-12T15:17:35.060+02:00</t>
  </si>
  <si>
    <t>[{"id":"a902d94b-4667-4702-ad71-4744adfe8fad","count":1,"label":"Pizza Quattro Formaggi 32","posId":"123","price":24900,"isExtra":false,"creatorId":"P0wGt-2btv4P2XZksZTrO","isPackging":0,"actualLabel":"Pizza Quattro Formaggi 32"}]</t>
  </si>
  <si>
    <t>2026-04-12T15:06:06.801+02:00</t>
  </si>
  <si>
    <t>2026-04-12T15:18:24.987+02:00</t>
  </si>
  <si>
    <t>[{"id":"a902d94b-4667-4702-ad71-4744adfe8fad","count":1,"label":"Pizza Quattro Formaggi 32","posId":"123","price":24900,"isExtra":false,"creatorId":"6OJK3qeSiL2fQPUaRiWcS","isPackging":0,"actualLabel":"Pizza Quattro Formaggi 32"},{"id":"97205e8a-60b5-439e-8af0-7f8def52aeb6","count":1,"label":"Pizza Hawai 32 cm","posId":"114","price":24900,"isExtra":false,"creatorId":"Z7nd-1hJHnkEAsYX7tyCA","isPackging":0,"actualLabel":"Pizza Hawai 32 cm"}]</t>
  </si>
  <si>
    <t>Deepak</t>
  </si>
  <si>
    <t>2026-04-12T14:53:58.118+02:00</t>
  </si>
  <si>
    <t>2026-04-12T15:01:27.058+02:00</t>
  </si>
  <si>
    <t>[{"id":"101","note":"","count":1,"label":"Capricciosa 40cm","posId":"101","price":30900,"isExtra":false},{"id":"K0000","note":"","count":1,"label":"Balné","posId":"K0000","price":2000,"isExtra":true},{"id":"N124","note":"","count":1,"label":"Pepsi 1l","posId":"N124","price":5900,"isExtra":false}]</t>
  </si>
  <si>
    <t>2026-04-12T14:44:16.004+02:00</t>
  </si>
  <si>
    <t>2026-04-12T14:51:52.028+02:00</t>
  </si>
  <si>
    <t>[{"id":"69400db90dc626f6c3c3fc03","count":1,"label":"Quattro Formaggi 40cm","posId":"111","price":30900,"isExtra":false},{"id":"01f1f771ad243e9a3e1e67cc","count":1,"label":"Balné","posId":"K0000","price":2000,"isExtra":true}]</t>
  </si>
  <si>
    <t>Madaminkhon</t>
  </si>
  <si>
    <t>2026-04-12T13:52:49.894+02:00</t>
  </si>
  <si>
    <t>2026-04-12T14:03:33.103+02:00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</si>
  <si>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</si>
  <si>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2026-04-12T13:24:03.697+02:00</t>
  </si>
  <si>
    <t>2026-04-12T13:36:16.981+02:00</t>
  </si>
  <si>
    <t>2026-04-12T14:06:45.474+02:00</t>
  </si>
  <si>
    <t>2026-04-12T13:24:41.919+02:00</t>
  </si>
  <si>
    <t>[{"id":"ad7c292a-48c9-48db-b64c-0f7f8ebced7f","note":"","count":1,"label":"BBQ Meteor 40 cm","posId":"106","price":30900,"isExtra":false},{"id":"eae0baf6-2c0e-4081-8ab5-5266bc363ee5","note":"","count":1,"label":"Okraj mozzarella, BBQ omáčka","posId":"A124","price":6500,"isExtra":true},{"id":"1fae666b-4102-4ed0-b317-2a07b21ae279","note":"","count":1,"label":"Hot &amp; Spicy 40 cm","posId":"110","price":30900,"isExtra":false},{"id":"622835b8-8ccd-4776-9f66-ccee484725e6","note":"","count":1,"label":"Okraj Hotdog, hořčice","posId":"A118","price":6500,"isExtra":true},{"id":"3a8b6a85-3b5c-4ee4-be2d-261ab8731d6e","note":"","count":2,"label":"Dip česnekový","posId":"P106","price":2000,"isExtra":false}]</t>
  </si>
  <si>
    <t>2026-04-12T13:07:52.859+02:00</t>
  </si>
  <si>
    <t>2026-04-12T13:19:10.064+02:00</t>
  </si>
  <si>
    <t>[{"id":"69400db90dc626f6c3c3fc2b","count":1,"label":"Hawai 32cm","posId":"114","price":24900,"isExtra":false},{"id":"0828382bbc0f39abdadd9b99","count":1,"label":"Balné","posId":"K0000","price":1500,"isExtra":true},{"id":"69400db90dc626f6c3c3fc2d","count":1,"label":"Capricciosa 32cm","posId":"113","price":24900,"isExtra":false},{"id":"0828382bbc0f39abdadd9b99","count":1,"label":"Balné","posId":"K0000","price":1500,"isExtra":true}]</t>
  </si>
  <si>
    <t>Miloslav</t>
  </si>
  <si>
    <t>2026-04-12T13:03:08.389+02:00</t>
  </si>
  <si>
    <t>2026-04-12T13:14:05.918+02:00</t>
  </si>
  <si>
    <t>[{"id":"N125","note":"","count":1,"label":"Pepsi zero sugar 1l","posId":"N125","price":5900,"isExtra":false},{"id":"106","note":"","count":1,"label":"BBQ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okrajů","posId":"X1000","price":0,"isExtra":true},{"id":"X116","note":"","count":1,"label":"Bez masových kuliček","posId":"X116","price":0,"KDSTags":["redhighlight"],"isExtra":true},{"id":"102","note":"","count":1,"label":"Hawai 40cm","posId":"102","price":30900,"isExtra":false},{"id":"K0000","note":"","count":1,"label":"Balné","posId":"K0000","price":2000,"isExtra":true},{"id":"A126","note":"","count":1,"label":"okraj hotdog, bez omáčky","posId":"A126","price":6500,"isExtra":true}]</t>
  </si>
  <si>
    <t>Miroslav</t>
  </si>
  <si>
    <t>2026-04-12T12:56:31.661+02:00</t>
  </si>
  <si>
    <t>2026-04-12T13:03:54.019+02:00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</si>
  <si>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bylinky","posId":"A121","price":5700,"isExtra":true}]</t>
  </si>
  <si>
    <t>2026-04-12T12:42:18.770+02:00</t>
  </si>
  <si>
    <t>2026-04-12T12:53:20.677+02:00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</si>
  <si>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</si>
  <si>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Navdeep</t>
  </si>
  <si>
    <t>2026-04-12T12:20:51.519+02:00</t>
  </si>
  <si>
    <t>2026-04-12T12:29:32.733+02:00</t>
  </si>
  <si>
    <t>[{"id":"123","note":"","count":1,"label":"Quattro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</si>
  <si>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2026-04-12T12:00:28.777+02:00</t>
  </si>
  <si>
    <t>2026-04-12T12:09:06.648+02:00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</si>
  <si>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40cm","posId":"111","price":30900,"isExtra":false},{"id":"01f1f771ad243e9a3e1e67cc","count":1,"label":"Balné","posId":"K0000","price":2000,"isExtra":true},{"id":"69bfb59f31761dcca50835ec","count":1,"label":"okraj mozzarella, bbq omáčka","posId":"A124","price":6500,"isExtra":true}]</t>
  </si>
  <si>
    <t>2026-04-12T11:33:37.921+02:00</t>
  </si>
  <si>
    <t>2026-04-12T11:41:21.476+02:00</t>
  </si>
  <si>
    <t>2026-04-12T11:33:34.802+02:00</t>
  </si>
  <si>
    <t>2026-04-12T11:40:01.494+02:00</t>
  </si>
  <si>
    <t>[{"id":"cd7798b9-deb2-4229-a68e-ebefba7ee9e4","count":1,"label":"Pizza Comeback 32","posId":"121","price":24900,"isExtra":false,"creatorId":"-AQRgXVDdpMFr3yX9tGOI","isPackging":0,"actualLabel":"Pizza Comeback 32"}]</t>
  </si>
  <si>
    <t>2026-04-12T11:26:08.498+02:00</t>
  </si>
  <si>
    <t>2026-04-12T11:32:26.402+02:00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</si>
  <si>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</si>
  <si>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2026-04-12T11:10:49.789+02:00</t>
  </si>
  <si>
    <t>2026-04-12T11:19:52.364+02:00</t>
  </si>
  <si>
    <t>[{"id":"69400db90dc626f6c3c3fc23","count":1,"label":"Pepperoni 32cm 🌶️🌶️","posId":"120","price":24900,"isExtra":false},{"id":"0828382bbc0f39abdadd9b99","count":1,"label":"Balné","posId":"K0000","price":1500,"isExtra":true}]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</si>
  <si>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</si>
  <si>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</si>
  <si>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</si>
  <si>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</si>
  <si>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</si>
  <si>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</si>
  <si>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</si>
  <si>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</si>
  <si>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</si>
  <si>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</si>
  <si>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</si>
  <si>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</si>
  <si>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</si>
  <si>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</si>
  <si>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</si>
  <si>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</si>
  <si>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</si>
  <si>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</si>
  <si>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</si>
  <si>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</si>
  <si>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</si>
  <si>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</si>
  <si>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</si>
  <si>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</si>
  <si>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</si>
  <si>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</si>
  <si>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</si>
  <si>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01:00</t>
  </si>
  <si>
    <t>12:00</t>
  </si>
  <si>
    <t>Ondřej Navrátil</t>
  </si>
  <si>
    <t>11:00</t>
  </si>
  <si>
    <t>18:00</t>
  </si>
  <si>
    <t>07:00</t>
  </si>
  <si>
    <t>Zbyněk Hyský</t>
  </si>
  <si>
    <t>06:00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</si>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</sst>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.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1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4" fillId="8" fontId="1" numFmtId="49" xfId="0" applyAlignment="1" applyBorder="1" applyFont="1" applyNumberFormat="1">
      <alignment horizontal="center" shrinkToFit="0" vertical="center" wrapText="0"/>
    </xf>
    <xf borderId="25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6" fillId="8" fontId="1" numFmtId="0" xfId="0" applyAlignment="1" applyBorder="1" applyFont="1">
      <alignment readingOrder="0" vertical="bottom"/>
    </xf>
    <xf borderId="24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8" fontId="16" numFmtId="0" xfId="0" applyAlignment="1" applyBorder="1" applyFont="1">
      <alignment horizontal="left" readingOrder="0"/>
    </xf>
    <xf borderId="25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6" fillId="8" fontId="1" numFmtId="0" xfId="0" applyAlignment="1" applyBorder="1" applyFont="1">
      <alignment readingOrder="0"/>
    </xf>
    <xf borderId="24" fillId="8" fontId="1" numFmtId="20" xfId="0" applyAlignment="1" applyBorder="1" applyFont="1" applyNumberFormat="1">
      <alignment horizontal="center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5" fillId="9" fontId="17" numFmtId="0" xfId="0" applyAlignment="1" applyBorder="1" applyFont="1">
      <alignment horizontal="center" shrinkToFit="0" vertical="bottom" wrapText="1"/>
    </xf>
    <xf borderId="25" fillId="9" fontId="13" numFmtId="0" xfId="0" applyAlignment="1" applyBorder="1" applyFont="1">
      <alignment horizontal="center" shrinkToFit="0" vertical="bottom" wrapText="1"/>
    </xf>
    <xf borderId="25" fillId="12" fontId="17" numFmtId="0" xfId="0" applyAlignment="1" applyBorder="1" applyFill="1" applyFont="1">
      <alignment horizontal="center" shrinkToFit="0" vertical="bottom" wrapText="1"/>
    </xf>
    <xf borderId="25" fillId="12" fontId="17" numFmtId="166" xfId="0" applyAlignment="1" applyBorder="1" applyFont="1" applyNumberFormat="1">
      <alignment horizontal="center" shrinkToFit="0" vertical="bottom" wrapText="1"/>
    </xf>
    <xf borderId="25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5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24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25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5" fillId="14" fontId="17" numFmtId="0" xfId="0" applyAlignment="1" applyBorder="1" applyFill="1" applyFont="1">
      <alignment horizontal="center" shrinkToFit="0" vertical="bottom" wrapText="1"/>
    </xf>
    <xf borderId="25" fillId="15" fontId="1" numFmtId="0" xfId="0" applyAlignment="1" applyBorder="1" applyFill="1" applyFont="1">
      <alignment horizontal="center" vertical="bottom"/>
    </xf>
    <xf borderId="3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33" fillId="9" fontId="13" numFmtId="0" xfId="0" applyAlignment="1" applyBorder="1" applyFont="1">
      <alignment horizontal="center" shrinkToFit="0" vertical="bottom" wrapText="1"/>
    </xf>
    <xf borderId="34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5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shrinkToFit="0" vertical="center" wrapText="0"/>
    </xf>
    <xf borderId="36" fillId="15" fontId="1" numFmtId="0" xfId="0" applyAlignment="1" applyBorder="1" applyFont="1">
      <alignment horizontal="center" vertical="bottom"/>
    </xf>
    <xf borderId="32" fillId="0" fontId="5" numFmtId="0" xfId="0" applyBorder="1" applyFont="1"/>
    <xf borderId="25" fillId="12" fontId="1" numFmtId="10" xfId="0" applyAlignment="1" applyBorder="1" applyFont="1" applyNumberFormat="1">
      <alignment horizontal="center" vertical="bottom"/>
    </xf>
    <xf borderId="32" fillId="8" fontId="1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4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7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8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4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4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39" fillId="9" fontId="17" numFmtId="0" xfId="0" applyAlignment="1" applyBorder="1" applyFont="1">
      <alignment horizontal="center" readingOrder="0" shrinkToFit="0" vertical="center" wrapText="1"/>
    </xf>
    <xf borderId="40" fillId="9" fontId="17" numFmtId="0" xfId="0" applyAlignment="1" applyBorder="1" applyFont="1">
      <alignment horizontal="center" readingOrder="0" shrinkToFit="0" vertical="center" wrapText="1"/>
    </xf>
    <xf borderId="40" fillId="9" fontId="13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2" fillId="0" fontId="5" numFmtId="0" xfId="0" applyBorder="1" applyFont="1"/>
    <xf borderId="43" fillId="12" fontId="17" numFmtId="0" xfId="0" applyAlignment="1" applyBorder="1" applyFont="1">
      <alignment horizontal="center" readingOrder="0" shrinkToFit="0" vertical="center" wrapText="1"/>
    </xf>
    <xf borderId="25" fillId="12" fontId="17" numFmtId="166" xfId="0" applyAlignment="1" applyBorder="1" applyFont="1" applyNumberFormat="1">
      <alignment horizontal="center" readingOrder="0" shrinkToFit="0" vertical="center" wrapText="1"/>
    </xf>
    <xf borderId="25" fillId="12" fontId="1" numFmtId="0" xfId="0" applyAlignment="1" applyBorder="1" applyFont="1">
      <alignment horizontal="center" readingOrder="0" vertical="center"/>
    </xf>
    <xf borderId="44" fillId="12" fontId="17" numFmtId="0" xfId="0" applyAlignment="1" applyBorder="1" applyFont="1">
      <alignment horizontal="center" readingOrder="0" shrinkToFit="0" vertical="center" wrapText="1"/>
    </xf>
    <xf borderId="45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6" fillId="9" fontId="17" numFmtId="0" xfId="0" applyAlignment="1" applyBorder="1" applyFont="1">
      <alignment horizontal="center" readingOrder="0" shrinkToFit="0" vertical="center" wrapText="1"/>
    </xf>
    <xf borderId="43" fillId="14" fontId="17" numFmtId="0" xfId="0" applyAlignment="1" applyBorder="1" applyFont="1">
      <alignment horizontal="center" readingOrder="0" shrinkToFit="0" vertical="center" wrapText="1"/>
    </xf>
    <xf borderId="44" fillId="19" fontId="1" numFmtId="0" xfId="0" applyAlignment="1" applyBorder="1" applyFill="1" applyFont="1">
      <alignment horizontal="center" readingOrder="0" vertical="center"/>
    </xf>
    <xf borderId="47" fillId="9" fontId="13" numFmtId="0" xfId="0" applyAlignment="1" applyBorder="1" applyFont="1">
      <alignment horizontal="center" readingOrder="0" shrinkToFit="0" vertical="center" wrapText="1"/>
    </xf>
    <xf borderId="48" fillId="0" fontId="5" numFmtId="0" xfId="0" applyBorder="1" applyFont="1"/>
    <xf borderId="49" fillId="19" fontId="1" numFmtId="0" xfId="0" applyAlignment="1" applyBorder="1" applyFont="1">
      <alignment horizontal="center" readingOrder="0" vertical="center"/>
    </xf>
    <xf borderId="25" fillId="12" fontId="1" numFmtId="10" xfId="0" applyAlignment="1" applyBorder="1" applyFont="1" applyNumberFormat="1">
      <alignment horizontal="center" readingOrder="0" vertical="center"/>
    </xf>
    <xf borderId="44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0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46124.0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tržbu"")"),0.3331082939030745)</f>
        <v>0.3331082939</v>
      </c>
      <c r="H2" s="15"/>
      <c r="I2" s="16">
        <f>SUM(RestiaCSV!C:C) - SUMIFS(RestiaCSV!C:C, RestiaCSV!B:B, "canceled")</f>
        <v>33582.5</v>
      </c>
      <c r="K2" s="15"/>
      <c r="L2" s="17" t="s">
        <v>5</v>
      </c>
      <c r="M2" s="18">
        <f>SUMIFS(RestiaCSV!C:C, RestiaCSV!A:A, Report!L2, RestiaCSV!B:B, "&lt;&gt;canceled")</f>
        <v>11211</v>
      </c>
    </row>
    <row r="3">
      <c r="A3" s="1"/>
      <c r="B3" s="19" t="str">
        <f>CHOOSE(WEEKDAY(D1), "Neděle", "Pondělí", "Úterý", "Středa", "Čtvrtek", "Pátek", "Sobota")</f>
        <v>Neděle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7226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5632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5362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0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2967.0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0.5</v>
      </c>
      <c r="K11" s="5"/>
      <c r="L11" s="41" t="s">
        <v>12</v>
      </c>
      <c r="M11" s="31">
        <v>170.0</v>
      </c>
    </row>
    <row r="12">
      <c r="A12" s="42">
        <f t="array" ref="A12">IF(ISBLANK(B12), 0, IF(ISNUMBER(MATCH(B12, HR!A:A, 0)), 0, IF(ISNUMBER(MATCH(B12, HR!B:B, 0)), INDEX(HR!V:V, MATCH(B12, HR!B:B, 0)) * (F12 * 24), 0)))</f>
        <v>1705.95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05:00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 t="s">
        <v>27</v>
      </c>
      <c r="C13" s="44" t="s">
        <v>25</v>
      </c>
      <c r="D13" s="44" t="s">
        <v>28</v>
      </c>
      <c r="E13" s="49"/>
      <c r="F13" s="46" t="str">
        <f t="shared" si="1"/>
        <v>09:00</v>
      </c>
      <c r="G13" s="21"/>
      <c r="H13" s="21"/>
      <c r="I13" s="13"/>
      <c r="J13" s="29"/>
      <c r="K13" s="15"/>
      <c r="L13" s="17" t="s">
        <v>29</v>
      </c>
      <c r="M13" s="50">
        <v>700.0</v>
      </c>
    </row>
    <row r="14">
      <c r="A14" s="42">
        <f t="array" ref="A14">IF(ISBLANK(B14), 0, IF(ISNUMBER(MATCH(B14, HR!A:A, 0)), 0, IF(ISNUMBER(MATCH(B14, HR!B:B, 0)), INDEX(HR!V:V, MATCH(B14, HR!B:B, 0)) * (F14 * 24), 0)))</f>
        <v>1751.442</v>
      </c>
      <c r="B14" s="51" t="s">
        <v>30</v>
      </c>
      <c r="C14" s="44" t="s">
        <v>31</v>
      </c>
      <c r="D14" s="44" t="s">
        <v>28</v>
      </c>
      <c r="E14" s="45"/>
      <c r="F14" s="52" t="str">
        <f t="shared" si="1"/>
        <v>07:00</v>
      </c>
      <c r="G14" s="53"/>
      <c r="I14" s="15"/>
      <c r="J14" s="29"/>
      <c r="K14" s="15"/>
      <c r="L14" s="54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5"/>
      <c r="C15" s="44"/>
      <c r="D15" s="44"/>
      <c r="E15" s="56"/>
      <c r="F15" s="52" t="str">
        <f t="shared" si="1"/>
        <v>0:00</v>
      </c>
      <c r="I15" s="15"/>
      <c r="J15" s="29"/>
      <c r="K15" s="15"/>
      <c r="L15" s="54" t="s">
        <v>33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43"/>
      <c r="C16" s="44"/>
      <c r="D16" s="44"/>
      <c r="E16" s="56"/>
      <c r="F16" s="52" t="str">
        <f t="shared" si="1"/>
        <v>0:00</v>
      </c>
      <c r="I16" s="15"/>
      <c r="J16" s="29"/>
      <c r="K16" s="15"/>
      <c r="L16" s="54" t="s">
        <v>34</v>
      </c>
      <c r="M16" s="50">
        <v>315.0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43"/>
      <c r="C17" s="44"/>
      <c r="D17" s="44"/>
      <c r="E17" s="45"/>
      <c r="F17" s="52" t="str">
        <f t="shared" si="1"/>
        <v>0:00</v>
      </c>
      <c r="G17" s="21"/>
      <c r="H17" s="21"/>
      <c r="I17" s="13"/>
      <c r="J17" s="12"/>
      <c r="K17" s="13"/>
      <c r="L17" s="57" t="s">
        <v>35</v>
      </c>
      <c r="M17" s="58">
        <f>SUM(I25:I31)</f>
        <v>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6"/>
      <c r="F18" s="52" t="str">
        <f t="shared" si="1"/>
        <v>0:00</v>
      </c>
      <c r="G18" s="33" t="s">
        <v>36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6"/>
      <c r="F19" s="52" t="str">
        <f t="shared" si="1"/>
        <v>0:00</v>
      </c>
      <c r="G19" s="39" t="s">
        <v>27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6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37</v>
      </c>
      <c r="K22" s="71" t="s">
        <v>38</v>
      </c>
      <c r="L22" s="72" t="s">
        <v>39</v>
      </c>
      <c r="M22" s="72" t="s">
        <v>40</v>
      </c>
    </row>
    <row r="23">
      <c r="A23" s="69"/>
      <c r="B23" s="32" t="s">
        <v>41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1</v>
      </c>
      <c r="M23" s="73" t="str">
        <f>INT(AVERAGE(RestiaCSV!N2:N32)) &amp; " min " &amp; TEXT(MOD(AVERAGE(RestiaCSV!N2:N32) * 60, 60), "00") &amp; " s"
</f>
        <v>10 min 19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42</v>
      </c>
      <c r="H24" s="76" t="s">
        <v>43</v>
      </c>
      <c r="I24" s="77" t="s">
        <v>44</v>
      </c>
      <c r="J24" s="78" t="s">
        <v>45</v>
      </c>
      <c r="K24" s="79" t="s">
        <v>46</v>
      </c>
      <c r="L24" s="78" t="s">
        <v>47</v>
      </c>
      <c r="M24" s="79" t="s">
        <v>48</v>
      </c>
    </row>
    <row r="25">
      <c r="A25" s="42">
        <f t="array" ref="A25">IF(ISBLANK(B25), 0, IF(ISNUMBER(MATCH(B25, HR!A:A, 0)), 0, IF(ISNUMBER(MATCH(B25, HR!B:B, 0)), INDEX(HR!V:V, MATCH(B25, HR!B:B, 0)) * (F25 * 24), 0)))</f>
        <v>1120</v>
      </c>
      <c r="B25" s="51" t="s">
        <v>49</v>
      </c>
      <c r="C25" s="44" t="s">
        <v>31</v>
      </c>
      <c r="D25" s="44" t="s">
        <v>28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07:00</v>
      </c>
      <c r="G25" s="81">
        <f>COUNTIF(RestiaCSV!E:E, B25)</f>
        <v>0</v>
      </c>
      <c r="H25" s="82" t="b">
        <v>1</v>
      </c>
      <c r="I25" s="83">
        <f t="shared" ref="I25:I31" si="3">IF(H25,G25*40, 0)</f>
        <v>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55"/>
      <c r="C26" s="44"/>
      <c r="D26" s="44"/>
      <c r="E26" s="85"/>
      <c r="F26" s="46" t="str">
        <f t="shared" si="2"/>
        <v>0:00</v>
      </c>
      <c r="G26" s="81">
        <f>COUNTIF(RestiaCSV!E:E, B26)</f>
        <v>0</v>
      </c>
      <c r="H26" s="82"/>
      <c r="I26" s="86">
        <f t="shared" si="3"/>
        <v>0</v>
      </c>
      <c r="J26" s="87">
        <f>COUNTIF(I25:I31, "&gt;0")</f>
        <v>0</v>
      </c>
      <c r="K26" s="75">
        <f>IFERROR(__xludf.DUMMYFUNCTION("COUNTA(FILTER(RestiaCSV!B2:B32, RestiaCSV!B2:B32 &lt;&gt; ""canceled""))"),76.0)</f>
        <v>76</v>
      </c>
      <c r="L26" s="75">
        <f>COUNTIF(RestiaCSV!F1:F32, "delivery")</f>
        <v>9</v>
      </c>
      <c r="M26" s="88">
        <f>COUNTIF(RestiaCSV!M:M, "&gt;5")</f>
        <v>0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51"/>
      <c r="C27" s="89"/>
      <c r="D27" s="90"/>
      <c r="E27" s="85"/>
      <c r="F27" s="52" t="str">
        <f t="shared" si="2"/>
        <v>0:00</v>
      </c>
      <c r="G27" s="81">
        <f>COUNTIF(RestiaCSV!E:E, B27)</f>
        <v>0</v>
      </c>
      <c r="H27" s="82"/>
      <c r="I27" s="86">
        <f t="shared" si="3"/>
        <v>0</v>
      </c>
      <c r="J27" s="91" t="s">
        <v>50</v>
      </c>
      <c r="K27" s="92"/>
      <c r="L27" s="93" t="s">
        <v>51</v>
      </c>
      <c r="M27" s="79" t="s">
        <v>52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3"/>
      <c r="C28" s="89"/>
      <c r="D28" s="90"/>
      <c r="E28" s="85"/>
      <c r="F28" s="52" t="str">
        <f t="shared" si="2"/>
        <v>0:00</v>
      </c>
      <c r="G28" s="81">
        <f>COUNTIF(RestiaCSV!E:E, B28)</f>
        <v>0</v>
      </c>
      <c r="H28" s="82"/>
      <c r="I28" s="86">
        <f t="shared" si="3"/>
        <v>0</v>
      </c>
      <c r="J28" s="94"/>
      <c r="K28" s="95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43"/>
      <c r="C29" s="89"/>
      <c r="D29" s="90"/>
      <c r="E29" s="85"/>
      <c r="F29" s="52" t="str">
        <f t="shared" si="2"/>
        <v>0:00</v>
      </c>
      <c r="G29" s="81">
        <f>COUNTIF(RestiaCSV!E:E, B29)</f>
        <v>0</v>
      </c>
      <c r="H29" s="96"/>
      <c r="I29" s="86">
        <f t="shared" si="3"/>
        <v>0</v>
      </c>
      <c r="J29" s="97">
        <f>COUNTIFS(RestiaCSV!M:M, "&gt;5", RestiaCSV!L:L, "&gt;5")</f>
        <v>0</v>
      </c>
      <c r="K29" s="98"/>
      <c r="L29" s="99">
        <f>L23/L26</f>
        <v>0.1111111111</v>
      </c>
      <c r="M29" s="75">
        <f>COUNTIFS(RestiaCSV!L:L, "&gt;5", RestiaCSV!F:F, "delivery", RestiaCSV!E:E, "Wolt Kurýr")</f>
        <v>1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0"/>
      <c r="D30" s="80"/>
      <c r="E30" s="85"/>
      <c r="F30" s="52" t="str">
        <f t="shared" si="2"/>
        <v>0:00</v>
      </c>
      <c r="G30" s="81">
        <f>COUNTIF(RestiaCSV!E:E, B30)</f>
        <v>0</v>
      </c>
      <c r="H30" s="96"/>
      <c r="I30" s="86">
        <f t="shared" si="3"/>
        <v>0</v>
      </c>
      <c r="J30" s="101"/>
      <c r="K30" s="101"/>
      <c r="L30" s="102" t="s">
        <v>53</v>
      </c>
      <c r="M30" s="102" t="s">
        <v>54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3"/>
      <c r="C31" s="100"/>
      <c r="D31" s="80"/>
      <c r="E31" s="85"/>
      <c r="F31" s="52" t="str">
        <f t="shared" si="2"/>
        <v>0:00</v>
      </c>
      <c r="G31" s="104">
        <f>COUNTIF(RestiaCSV!E:E, B31)</f>
        <v>0</v>
      </c>
      <c r="H31" s="105"/>
      <c r="I31" s="106">
        <f t="shared" si="3"/>
        <v>0</v>
      </c>
      <c r="J31" s="107"/>
      <c r="K31" s="107"/>
      <c r="L31" s="84"/>
      <c r="M31" s="84"/>
    </row>
    <row r="32">
      <c r="A32" s="35"/>
      <c r="B32" s="108" t="s">
        <v>55</v>
      </c>
      <c r="C32" s="109" t="s">
        <v>56</v>
      </c>
      <c r="D32" s="21"/>
      <c r="E32" s="21"/>
      <c r="F32" s="110"/>
      <c r="G32" s="111">
        <f>COUNTIFS(RestiaCSV!E:E, "wolt kurýr", RestiaCSV!A:A, "&lt;&gt;wolt")</f>
        <v>2</v>
      </c>
      <c r="H32" s="112" t="b">
        <v>1</v>
      </c>
      <c r="I32" s="113">
        <f>G32*127</f>
        <v>254</v>
      </c>
      <c r="J32" s="114"/>
      <c r="K32" s="114"/>
      <c r="L32" s="99">
        <f>100%-L29</f>
        <v>0.8888888889</v>
      </c>
      <c r="M32" s="99">
        <f>M29/L26</f>
        <v>0.1111111111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25:B31">
      <formula1>"Hanibal Filip,Mikuš Pavel,Šmídová Sabina,Kormash Liubov,Vychivskyi Volodymyr,Petržilka Lukáš,Dvořák Radim,Hřebík Martin,Reischl Jan,Kináč Jozef,Bednařík Peter,Kulinič Michail,Čonka Ludovít,Novák Dalibor,Novák Matěj"</formula1>
    </dataValidation>
    <dataValidation type="list" allowBlank="1" sqref="G11 G19">
      <formula1>"Nováková Adéla"</formula1>
    </dataValidation>
    <dataValidation type="list" allowBlank="1" sqref="B1">
      <formula1>"Bolevec,Malešice,Prosek,Zličín,Libuš,Chodov,Výroba,Předloha"</formula1>
    </dataValidation>
    <dataValidation type="list" allowBlank="1" sqref="B12:B21">
      <formula1>"Nedbal Michal,Ahurieva Viktoriia,Šebesta Tomáš,Pekárková Milena,Nováková Adéla,Makula Radek,Bušek Pavel,Kopic Jakub,Fáberová Kateřina"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5"/>
      <c r="B1" s="116" t="str">
        <f>Report!B1</f>
        <v>Prosek</v>
      </c>
      <c r="C1" s="117">
        <v>46028.0</v>
      </c>
      <c r="D1" s="118" t="s">
        <v>57</v>
      </c>
      <c r="E1" s="119">
        <v>46028.0</v>
      </c>
      <c r="F1" s="120" t="s">
        <v>2</v>
      </c>
      <c r="G1" s="7"/>
      <c r="H1" s="8"/>
      <c r="I1" s="120" t="s">
        <v>3</v>
      </c>
      <c r="J1" s="7"/>
      <c r="K1" s="8"/>
      <c r="L1" s="121" t="s">
        <v>4</v>
      </c>
      <c r="M1" s="15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21"/>
      <c r="BS1" s="121"/>
      <c r="BT1" s="121"/>
      <c r="BU1" s="121"/>
      <c r="BV1" s="121"/>
      <c r="BW1" s="121"/>
      <c r="BX1" s="121"/>
      <c r="BY1" s="121"/>
      <c r="BZ1" s="121"/>
      <c r="CA1" s="121"/>
      <c r="CB1" s="121"/>
      <c r="CC1" s="121"/>
      <c r="CD1" s="121"/>
      <c r="CE1" s="121"/>
      <c r="CF1" s="121"/>
      <c r="CG1" s="121"/>
      <c r="CH1" s="121"/>
      <c r="CI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L1" s="121"/>
      <c r="DM1" s="121"/>
      <c r="DN1" s="121"/>
      <c r="DO1" s="121"/>
      <c r="DP1" s="121"/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1"/>
      <c r="GG1" s="121"/>
      <c r="GH1" s="121"/>
      <c r="GI1" s="121"/>
      <c r="GJ1" s="121"/>
      <c r="GK1" s="121"/>
      <c r="GL1" s="121"/>
      <c r="GM1" s="121"/>
      <c r="GN1" s="121"/>
      <c r="GO1" s="121"/>
      <c r="GP1" s="121"/>
      <c r="GQ1" s="121"/>
      <c r="GR1" s="121"/>
      <c r="GS1" s="121"/>
      <c r="GT1" s="121"/>
      <c r="GU1" s="121"/>
      <c r="GV1" s="121"/>
      <c r="GW1" s="121"/>
      <c r="GX1" s="121"/>
      <c r="GY1" s="121"/>
      <c r="GZ1" s="121"/>
      <c r="HA1" s="121"/>
      <c r="HB1" s="121"/>
      <c r="HC1" s="121"/>
      <c r="HD1" s="121"/>
      <c r="HE1" s="121"/>
      <c r="HF1" s="121"/>
      <c r="HG1" s="121"/>
      <c r="HH1" s="121"/>
      <c r="HI1" s="121"/>
      <c r="HJ1" s="121"/>
      <c r="HK1" s="121"/>
      <c r="HL1" s="121"/>
      <c r="HM1" s="121"/>
      <c r="HN1" s="121"/>
      <c r="HO1" s="121"/>
      <c r="HP1" s="121"/>
      <c r="HQ1" s="121"/>
      <c r="HR1" s="121"/>
      <c r="HS1" s="121"/>
      <c r="HT1" s="121"/>
      <c r="HU1" s="121"/>
      <c r="HV1" s="121"/>
      <c r="HW1" s="121"/>
      <c r="HX1" s="121"/>
      <c r="HY1" s="121"/>
      <c r="HZ1" s="121"/>
      <c r="IA1" s="121"/>
      <c r="IB1" s="121"/>
      <c r="IC1" s="121"/>
      <c r="ID1" s="121"/>
      <c r="IE1" s="121"/>
      <c r="IF1" s="121"/>
      <c r="IG1" s="121"/>
      <c r="IH1" s="121"/>
      <c r="II1" s="121"/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1"/>
      <c r="JD1" s="121"/>
      <c r="JE1" s="121"/>
      <c r="JF1" s="121"/>
      <c r="JG1" s="121"/>
      <c r="JH1" s="121"/>
      <c r="JI1" s="121"/>
      <c r="JJ1" s="121"/>
      <c r="JK1" s="121"/>
    </row>
    <row r="2" ht="19.5" customHeight="1">
      <c r="A2" s="115"/>
      <c r="B2" s="11"/>
      <c r="C2" s="12"/>
      <c r="D2" s="11"/>
      <c r="E2" s="13"/>
      <c r="F2" s="122">
        <v>0.23392066851018306</v>
      </c>
      <c r="H2" s="15"/>
      <c r="I2" s="123">
        <v>49543.0</v>
      </c>
      <c r="K2" s="15"/>
      <c r="L2" s="124" t="s">
        <v>5</v>
      </c>
      <c r="M2" s="125"/>
      <c r="N2" s="126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  <c r="IX2" s="127"/>
      <c r="IY2" s="127"/>
      <c r="IZ2" s="127"/>
      <c r="JA2" s="127"/>
      <c r="JB2" s="127"/>
      <c r="JC2" s="127"/>
      <c r="JD2" s="127"/>
      <c r="JE2" s="127"/>
      <c r="JF2" s="127"/>
      <c r="JG2" s="127"/>
      <c r="JH2" s="127"/>
      <c r="JI2" s="127"/>
      <c r="JJ2" s="127"/>
      <c r="JK2" s="127"/>
    </row>
    <row r="3">
      <c r="A3" s="128"/>
      <c r="B3" s="129" t="str">
        <f>CHOOSE(WEEKDAY(C1), "Neděle", "Pondělí", "Úterý", "Středa", "Čtvrtek", "Pátek", "Sobota")</f>
        <v>Úterý</v>
      </c>
      <c r="C3" s="20"/>
      <c r="D3" s="129" t="str">
        <f>CHOOSE(WEEKDAY(E1), "Neděle", "Pondělí", "Úterý", "Středa", "Čtvrtek", "Pátek", "Sobota")</f>
        <v>Úterý</v>
      </c>
      <c r="E3" s="5"/>
      <c r="H3" s="15"/>
      <c r="K3" s="15"/>
      <c r="L3" s="130" t="s">
        <v>6</v>
      </c>
      <c r="M3" s="131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  <c r="GV3" s="127"/>
      <c r="GW3" s="127"/>
      <c r="GX3" s="127"/>
      <c r="GY3" s="127"/>
      <c r="GZ3" s="127"/>
      <c r="HA3" s="127"/>
      <c r="HB3" s="127"/>
      <c r="HC3" s="127"/>
      <c r="HD3" s="127"/>
      <c r="HE3" s="127"/>
      <c r="HF3" s="127"/>
      <c r="HG3" s="127"/>
      <c r="HH3" s="127"/>
      <c r="HI3" s="127"/>
      <c r="HJ3" s="127"/>
      <c r="HK3" s="127"/>
      <c r="HL3" s="127"/>
      <c r="HM3" s="127"/>
      <c r="HN3" s="127"/>
      <c r="HO3" s="127"/>
      <c r="HP3" s="127"/>
      <c r="HQ3" s="127"/>
      <c r="HR3" s="127"/>
      <c r="HS3" s="127"/>
      <c r="HT3" s="127"/>
      <c r="HU3" s="127"/>
      <c r="HV3" s="127"/>
      <c r="HW3" s="127"/>
      <c r="HX3" s="127"/>
      <c r="HY3" s="127"/>
      <c r="HZ3" s="127"/>
      <c r="IA3" s="127"/>
      <c r="IB3" s="127"/>
      <c r="IC3" s="127"/>
      <c r="ID3" s="127"/>
      <c r="IE3" s="127"/>
      <c r="IF3" s="127"/>
      <c r="IG3" s="127"/>
      <c r="IH3" s="127"/>
      <c r="II3" s="127"/>
      <c r="IJ3" s="127"/>
      <c r="IK3" s="127"/>
      <c r="IL3" s="127"/>
      <c r="IM3" s="127"/>
      <c r="IN3" s="127"/>
      <c r="IO3" s="127"/>
      <c r="IP3" s="127"/>
      <c r="IQ3" s="127"/>
      <c r="IR3" s="127"/>
      <c r="IS3" s="127"/>
      <c r="IT3" s="127"/>
      <c r="IU3" s="127"/>
      <c r="IV3" s="127"/>
      <c r="IW3" s="127"/>
      <c r="IX3" s="127"/>
      <c r="IY3" s="127"/>
      <c r="IZ3" s="127"/>
      <c r="JA3" s="127"/>
      <c r="JB3" s="127"/>
      <c r="JC3" s="127"/>
      <c r="JD3" s="127"/>
      <c r="JE3" s="127"/>
      <c r="JF3" s="127"/>
      <c r="JG3" s="127"/>
      <c r="JH3" s="127"/>
      <c r="JI3" s="127"/>
      <c r="JJ3" s="127"/>
      <c r="JK3" s="127"/>
    </row>
    <row r="4">
      <c r="A4" s="128"/>
      <c r="B4" s="12"/>
      <c r="C4" s="21"/>
      <c r="D4" s="12"/>
      <c r="E4" s="13"/>
      <c r="F4" s="21"/>
      <c r="G4" s="21"/>
      <c r="H4" s="13"/>
      <c r="I4" s="21"/>
      <c r="J4" s="21"/>
      <c r="K4" s="13"/>
      <c r="L4" s="130" t="s">
        <v>7</v>
      </c>
      <c r="M4" s="131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7"/>
      <c r="CJ4" s="127"/>
      <c r="CK4" s="127"/>
      <c r="CL4" s="127"/>
      <c r="CM4" s="127"/>
      <c r="CN4" s="127"/>
      <c r="CO4" s="127"/>
      <c r="CP4" s="127"/>
      <c r="CQ4" s="127"/>
      <c r="CR4" s="127"/>
      <c r="CS4" s="127"/>
      <c r="CT4" s="127"/>
      <c r="CU4" s="127"/>
      <c r="CV4" s="127"/>
      <c r="CW4" s="127"/>
      <c r="CX4" s="127"/>
      <c r="CY4" s="127"/>
      <c r="CZ4" s="127"/>
      <c r="DA4" s="127"/>
      <c r="DB4" s="127"/>
      <c r="DC4" s="127"/>
      <c r="DD4" s="127"/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7"/>
      <c r="DY4" s="127"/>
      <c r="DZ4" s="127"/>
      <c r="EA4" s="127"/>
      <c r="EB4" s="127"/>
      <c r="EC4" s="127"/>
      <c r="ED4" s="127"/>
      <c r="EE4" s="127"/>
      <c r="EF4" s="127"/>
      <c r="EG4" s="127"/>
      <c r="EH4" s="127"/>
      <c r="EI4" s="127"/>
      <c r="EJ4" s="127"/>
      <c r="EK4" s="127"/>
      <c r="EL4" s="127"/>
      <c r="EM4" s="127"/>
      <c r="EN4" s="127"/>
      <c r="EO4" s="127"/>
      <c r="EP4" s="127"/>
      <c r="EQ4" s="127"/>
      <c r="ER4" s="127"/>
      <c r="ES4" s="127"/>
      <c r="ET4" s="127"/>
      <c r="EU4" s="127"/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  <c r="FG4" s="127"/>
      <c r="FH4" s="127"/>
      <c r="FI4" s="127"/>
      <c r="FJ4" s="127"/>
      <c r="FK4" s="127"/>
      <c r="FL4" s="127"/>
      <c r="FM4" s="127"/>
      <c r="FN4" s="127"/>
      <c r="FO4" s="127"/>
      <c r="FP4" s="127"/>
      <c r="FQ4" s="127"/>
      <c r="FR4" s="127"/>
      <c r="FS4" s="127"/>
      <c r="FT4" s="127"/>
      <c r="FU4" s="127"/>
      <c r="FV4" s="127"/>
      <c r="FW4" s="127"/>
      <c r="FX4" s="127"/>
      <c r="FY4" s="127"/>
      <c r="FZ4" s="127"/>
      <c r="GA4" s="127"/>
      <c r="GB4" s="127"/>
      <c r="GC4" s="127"/>
      <c r="GD4" s="127"/>
      <c r="GE4" s="127"/>
      <c r="GF4" s="127"/>
      <c r="GG4" s="127"/>
      <c r="GH4" s="127"/>
      <c r="GI4" s="127"/>
      <c r="GJ4" s="127"/>
      <c r="GK4" s="127"/>
      <c r="GL4" s="127"/>
      <c r="GM4" s="127"/>
      <c r="GN4" s="127"/>
      <c r="GO4" s="127"/>
      <c r="GP4" s="127"/>
      <c r="GQ4" s="127"/>
      <c r="GR4" s="127"/>
      <c r="GS4" s="127"/>
      <c r="GT4" s="127"/>
      <c r="GU4" s="127"/>
      <c r="GV4" s="127"/>
      <c r="GW4" s="127"/>
      <c r="GX4" s="127"/>
      <c r="GY4" s="127"/>
      <c r="GZ4" s="127"/>
      <c r="HA4" s="127"/>
      <c r="HB4" s="127"/>
      <c r="HC4" s="127"/>
      <c r="HD4" s="127"/>
      <c r="HE4" s="127"/>
      <c r="HF4" s="127"/>
      <c r="HG4" s="127"/>
      <c r="HH4" s="127"/>
      <c r="HI4" s="127"/>
      <c r="HJ4" s="127"/>
      <c r="HK4" s="127"/>
      <c r="HL4" s="127"/>
      <c r="HM4" s="127"/>
      <c r="HN4" s="127"/>
      <c r="HO4" s="127"/>
      <c r="HP4" s="127"/>
      <c r="HQ4" s="127"/>
      <c r="HR4" s="127"/>
      <c r="HS4" s="127"/>
      <c r="HT4" s="127"/>
      <c r="HU4" s="127"/>
      <c r="HV4" s="127"/>
      <c r="HW4" s="127"/>
      <c r="HX4" s="127"/>
      <c r="HY4" s="127"/>
      <c r="HZ4" s="127"/>
      <c r="IA4" s="127"/>
      <c r="IB4" s="127"/>
      <c r="IC4" s="127"/>
      <c r="ID4" s="127"/>
      <c r="IE4" s="127"/>
      <c r="IF4" s="127"/>
      <c r="IG4" s="127"/>
      <c r="IH4" s="127"/>
      <c r="II4" s="127"/>
      <c r="IJ4" s="127"/>
      <c r="IK4" s="127"/>
      <c r="IL4" s="127"/>
      <c r="IM4" s="127"/>
      <c r="IN4" s="127"/>
      <c r="IO4" s="127"/>
      <c r="IP4" s="127"/>
      <c r="IQ4" s="127"/>
      <c r="IR4" s="127"/>
      <c r="IS4" s="127"/>
      <c r="IT4" s="127"/>
      <c r="IU4" s="127"/>
      <c r="IV4" s="127"/>
      <c r="IW4" s="127"/>
      <c r="IX4" s="127"/>
      <c r="IY4" s="127"/>
      <c r="IZ4" s="127"/>
      <c r="JA4" s="127"/>
      <c r="JB4" s="127"/>
      <c r="JC4" s="127"/>
      <c r="JD4" s="127"/>
      <c r="JE4" s="127"/>
      <c r="JF4" s="127"/>
      <c r="JG4" s="127"/>
      <c r="JH4" s="127"/>
      <c r="JI4" s="127"/>
      <c r="JJ4" s="127"/>
      <c r="JK4" s="127"/>
    </row>
    <row r="5">
      <c r="A5" s="132"/>
      <c r="B5" s="133" t="s">
        <v>58</v>
      </c>
      <c r="C5" s="20"/>
      <c r="D5" s="20"/>
      <c r="E5" s="5"/>
      <c r="F5" s="134" t="s">
        <v>59</v>
      </c>
      <c r="G5" s="20"/>
      <c r="H5" s="20"/>
      <c r="I5" s="20"/>
      <c r="J5" s="20"/>
      <c r="K5" s="5"/>
      <c r="L5" s="135" t="s">
        <v>9</v>
      </c>
      <c r="M5" s="125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27"/>
      <c r="CC5" s="127"/>
      <c r="CD5" s="127"/>
      <c r="CE5" s="127"/>
      <c r="CF5" s="127"/>
      <c r="CG5" s="127"/>
      <c r="CH5" s="127"/>
      <c r="CI5" s="127"/>
      <c r="CJ5" s="127"/>
      <c r="CK5" s="127"/>
      <c r="CL5" s="127"/>
      <c r="CM5" s="127"/>
      <c r="CN5" s="127"/>
      <c r="CO5" s="127"/>
      <c r="CP5" s="127"/>
      <c r="CQ5" s="127"/>
      <c r="CR5" s="127"/>
      <c r="CS5" s="127"/>
      <c r="CT5" s="127"/>
      <c r="CU5" s="127"/>
      <c r="CV5" s="127"/>
      <c r="CW5" s="127"/>
      <c r="CX5" s="127"/>
      <c r="CY5" s="127"/>
      <c r="CZ5" s="127"/>
      <c r="DA5" s="127"/>
      <c r="DB5" s="127"/>
      <c r="DC5" s="127"/>
      <c r="DD5" s="127"/>
      <c r="DE5" s="127"/>
      <c r="DF5" s="127"/>
      <c r="DG5" s="127"/>
      <c r="DH5" s="127"/>
      <c r="DI5" s="127"/>
      <c r="DJ5" s="127"/>
      <c r="DK5" s="127"/>
      <c r="DL5" s="127"/>
      <c r="DM5" s="127"/>
      <c r="DN5" s="127"/>
      <c r="DO5" s="127"/>
      <c r="DP5" s="127"/>
      <c r="DQ5" s="127"/>
      <c r="DR5" s="127"/>
      <c r="DS5" s="127"/>
      <c r="DT5" s="127"/>
      <c r="DU5" s="127"/>
      <c r="DV5" s="127"/>
      <c r="DW5" s="127"/>
      <c r="DX5" s="127"/>
      <c r="DY5" s="127"/>
      <c r="DZ5" s="127"/>
      <c r="EA5" s="127"/>
      <c r="EB5" s="127"/>
      <c r="EC5" s="127"/>
      <c r="ED5" s="127"/>
      <c r="EE5" s="127"/>
      <c r="EF5" s="127"/>
      <c r="EG5" s="127"/>
      <c r="EH5" s="127"/>
      <c r="EI5" s="127"/>
      <c r="EJ5" s="127"/>
      <c r="EK5" s="127"/>
      <c r="EL5" s="127"/>
      <c r="EM5" s="127"/>
      <c r="EN5" s="127"/>
      <c r="EO5" s="127"/>
      <c r="EP5" s="127"/>
      <c r="EQ5" s="127"/>
      <c r="ER5" s="127"/>
      <c r="ES5" s="127"/>
      <c r="ET5" s="127"/>
      <c r="EU5" s="127"/>
      <c r="EV5" s="127"/>
      <c r="EW5" s="127"/>
      <c r="EX5" s="127"/>
      <c r="EY5" s="127"/>
      <c r="EZ5" s="127"/>
      <c r="FA5" s="127"/>
      <c r="FB5" s="127"/>
      <c r="FC5" s="127"/>
      <c r="FD5" s="127"/>
      <c r="FE5" s="127"/>
      <c r="FF5" s="127"/>
      <c r="FG5" s="127"/>
      <c r="FH5" s="127"/>
      <c r="FI5" s="127"/>
      <c r="FJ5" s="127"/>
      <c r="FK5" s="127"/>
      <c r="FL5" s="127"/>
      <c r="FM5" s="127"/>
      <c r="FN5" s="127"/>
      <c r="FO5" s="127"/>
      <c r="FP5" s="127"/>
      <c r="FQ5" s="127"/>
      <c r="FR5" s="127"/>
      <c r="FS5" s="127"/>
      <c r="FT5" s="127"/>
      <c r="FU5" s="127"/>
      <c r="FV5" s="127"/>
      <c r="FW5" s="127"/>
      <c r="FX5" s="127"/>
      <c r="FY5" s="127"/>
      <c r="FZ5" s="127"/>
      <c r="GA5" s="127"/>
      <c r="GB5" s="127"/>
      <c r="GC5" s="127"/>
      <c r="GD5" s="127"/>
      <c r="GE5" s="127"/>
      <c r="GF5" s="127"/>
      <c r="GG5" s="127"/>
      <c r="GH5" s="127"/>
      <c r="GI5" s="127"/>
      <c r="GJ5" s="127"/>
      <c r="GK5" s="127"/>
      <c r="GL5" s="127"/>
      <c r="GM5" s="127"/>
      <c r="GN5" s="127"/>
      <c r="GO5" s="127"/>
      <c r="GP5" s="127"/>
      <c r="GQ5" s="127"/>
      <c r="GR5" s="127"/>
      <c r="GS5" s="127"/>
      <c r="GT5" s="127"/>
      <c r="GU5" s="127"/>
      <c r="GV5" s="127"/>
      <c r="GW5" s="127"/>
      <c r="GX5" s="127"/>
      <c r="GY5" s="127"/>
      <c r="GZ5" s="127"/>
      <c r="HA5" s="127"/>
      <c r="HB5" s="127"/>
      <c r="HC5" s="127"/>
      <c r="HD5" s="127"/>
      <c r="HE5" s="127"/>
      <c r="HF5" s="127"/>
      <c r="HG5" s="127"/>
      <c r="HH5" s="127"/>
      <c r="HI5" s="127"/>
      <c r="HJ5" s="127"/>
      <c r="HK5" s="127"/>
      <c r="HL5" s="127"/>
      <c r="HM5" s="127"/>
      <c r="HN5" s="127"/>
      <c r="HO5" s="127"/>
      <c r="HP5" s="127"/>
      <c r="HQ5" s="127"/>
      <c r="HR5" s="127"/>
      <c r="HS5" s="127"/>
      <c r="HT5" s="127"/>
      <c r="HU5" s="127"/>
      <c r="HV5" s="127"/>
      <c r="HW5" s="127"/>
      <c r="HX5" s="127"/>
      <c r="HY5" s="127"/>
      <c r="HZ5" s="127"/>
      <c r="IA5" s="127"/>
      <c r="IB5" s="127"/>
      <c r="IC5" s="127"/>
      <c r="ID5" s="127"/>
      <c r="IE5" s="127"/>
      <c r="IF5" s="127"/>
      <c r="IG5" s="127"/>
      <c r="IH5" s="127"/>
      <c r="II5" s="127"/>
      <c r="IJ5" s="127"/>
      <c r="IK5" s="127"/>
      <c r="IL5" s="127"/>
      <c r="IM5" s="127"/>
      <c r="IN5" s="127"/>
      <c r="IO5" s="127"/>
      <c r="IP5" s="127"/>
      <c r="IQ5" s="127"/>
      <c r="IR5" s="127"/>
      <c r="IS5" s="127"/>
      <c r="IT5" s="127"/>
      <c r="IU5" s="127"/>
      <c r="IV5" s="127"/>
      <c r="IW5" s="127"/>
      <c r="IX5" s="127"/>
      <c r="IY5" s="127"/>
      <c r="IZ5" s="127"/>
      <c r="JA5" s="127"/>
      <c r="JB5" s="127"/>
      <c r="JC5" s="127"/>
      <c r="JD5" s="127"/>
      <c r="JE5" s="127"/>
      <c r="JF5" s="127"/>
      <c r="JG5" s="127"/>
      <c r="JH5" s="127"/>
      <c r="JI5" s="127"/>
      <c r="JJ5" s="127"/>
      <c r="JK5" s="127"/>
    </row>
    <row r="6">
      <c r="A6" s="132"/>
      <c r="B6" s="12"/>
      <c r="C6" s="21"/>
      <c r="D6" s="21"/>
      <c r="E6" s="13"/>
      <c r="F6" s="21"/>
      <c r="G6" s="21"/>
      <c r="H6" s="21"/>
      <c r="I6" s="21"/>
      <c r="J6" s="21"/>
      <c r="K6" s="13"/>
      <c r="L6" s="135" t="s">
        <v>10</v>
      </c>
      <c r="M6" s="131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  <c r="IX6" s="127"/>
      <c r="IY6" s="127"/>
      <c r="IZ6" s="127"/>
      <c r="JA6" s="127"/>
      <c r="JB6" s="127"/>
      <c r="JC6" s="127"/>
      <c r="JD6" s="127"/>
      <c r="JE6" s="127"/>
      <c r="JF6" s="127"/>
      <c r="JG6" s="127"/>
      <c r="JH6" s="127"/>
      <c r="JI6" s="127"/>
      <c r="JJ6" s="127"/>
      <c r="JK6" s="127"/>
    </row>
    <row r="7">
      <c r="A7" s="136"/>
      <c r="B7" s="137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8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39"/>
      <c r="K7" s="139"/>
      <c r="L7" s="140" t="s">
        <v>11</v>
      </c>
      <c r="M7" s="131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  <c r="IX7" s="127"/>
      <c r="IY7" s="127"/>
      <c r="IZ7" s="127"/>
      <c r="JA7" s="127"/>
      <c r="JB7" s="127"/>
      <c r="JC7" s="127"/>
      <c r="JD7" s="127"/>
      <c r="JE7" s="127"/>
      <c r="JF7" s="127"/>
      <c r="JG7" s="127"/>
      <c r="JH7" s="127"/>
      <c r="JI7" s="127"/>
      <c r="JJ7" s="127"/>
      <c r="JK7" s="127"/>
    </row>
    <row r="8">
      <c r="A8" s="141"/>
      <c r="B8" s="142" t="s">
        <v>14</v>
      </c>
      <c r="C8" s="20"/>
      <c r="D8" s="20"/>
      <c r="E8" s="5"/>
      <c r="F8" s="143" t="s">
        <v>41</v>
      </c>
      <c r="G8" s="20"/>
      <c r="H8" s="20"/>
      <c r="I8" s="5"/>
      <c r="J8" s="144" t="s">
        <v>16</v>
      </c>
      <c r="K8" s="5"/>
      <c r="L8" s="145" t="s">
        <v>12</v>
      </c>
      <c r="M8" s="8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21"/>
      <c r="CC8" s="121"/>
      <c r="CD8" s="121"/>
      <c r="CE8" s="121"/>
      <c r="CF8" s="121"/>
      <c r="CG8" s="121"/>
      <c r="CH8" s="121"/>
      <c r="CI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  <c r="DD8" s="121"/>
      <c r="DE8" s="121"/>
      <c r="DF8" s="121"/>
      <c r="DG8" s="121"/>
      <c r="DH8" s="121"/>
      <c r="DI8" s="121"/>
      <c r="DJ8" s="121"/>
      <c r="DK8" s="121"/>
      <c r="DL8" s="121"/>
      <c r="DM8" s="121"/>
      <c r="DN8" s="121"/>
      <c r="DO8" s="121"/>
      <c r="DP8" s="121"/>
      <c r="DQ8" s="121"/>
      <c r="DR8" s="121"/>
      <c r="DS8" s="121"/>
      <c r="DT8" s="121"/>
      <c r="DU8" s="121"/>
      <c r="DV8" s="121"/>
      <c r="DW8" s="121"/>
      <c r="DX8" s="121"/>
      <c r="DY8" s="121"/>
      <c r="DZ8" s="121"/>
      <c r="EA8" s="121"/>
      <c r="EB8" s="121"/>
      <c r="EC8" s="121"/>
      <c r="ED8" s="121"/>
      <c r="EE8" s="121"/>
      <c r="EF8" s="121"/>
      <c r="EG8" s="121"/>
      <c r="EH8" s="121"/>
      <c r="EI8" s="121"/>
      <c r="EJ8" s="121"/>
      <c r="EK8" s="121"/>
      <c r="EL8" s="121"/>
      <c r="EM8" s="121"/>
      <c r="EN8" s="121"/>
      <c r="EO8" s="121"/>
      <c r="EP8" s="121"/>
      <c r="EQ8" s="121"/>
      <c r="ER8" s="121"/>
      <c r="ES8" s="121"/>
      <c r="ET8" s="121"/>
      <c r="EU8" s="121"/>
      <c r="EV8" s="121"/>
      <c r="EW8" s="121"/>
      <c r="EX8" s="121"/>
      <c r="EY8" s="121"/>
      <c r="EZ8" s="121"/>
      <c r="FA8" s="121"/>
      <c r="FB8" s="121"/>
      <c r="FC8" s="121"/>
      <c r="FD8" s="121"/>
      <c r="FE8" s="121"/>
      <c r="FF8" s="121"/>
      <c r="FG8" s="121"/>
      <c r="FH8" s="121"/>
      <c r="FI8" s="121"/>
      <c r="FJ8" s="121"/>
      <c r="FK8" s="121"/>
      <c r="FL8" s="121"/>
      <c r="FM8" s="121"/>
      <c r="FN8" s="121"/>
      <c r="FO8" s="121"/>
      <c r="FP8" s="121"/>
      <c r="FQ8" s="121"/>
      <c r="FR8" s="121"/>
      <c r="FS8" s="121"/>
      <c r="FT8" s="121"/>
      <c r="FU8" s="121"/>
      <c r="FV8" s="121"/>
      <c r="FW8" s="121"/>
      <c r="FX8" s="121"/>
      <c r="FY8" s="121"/>
      <c r="FZ8" s="121"/>
      <c r="GA8" s="121"/>
      <c r="GB8" s="121"/>
      <c r="GC8" s="121"/>
      <c r="GD8" s="121"/>
      <c r="GE8" s="121"/>
      <c r="GF8" s="121"/>
      <c r="GG8" s="121"/>
      <c r="GH8" s="121"/>
      <c r="GI8" s="121"/>
      <c r="GJ8" s="121"/>
      <c r="GK8" s="121"/>
      <c r="GL8" s="121"/>
      <c r="GM8" s="121"/>
      <c r="GN8" s="121"/>
      <c r="GO8" s="121"/>
      <c r="GP8" s="121"/>
      <c r="GQ8" s="121"/>
      <c r="GR8" s="121"/>
      <c r="GS8" s="121"/>
      <c r="GT8" s="121"/>
      <c r="GU8" s="121"/>
      <c r="GV8" s="121"/>
      <c r="GW8" s="121"/>
      <c r="GX8" s="121"/>
      <c r="GY8" s="121"/>
      <c r="GZ8" s="121"/>
      <c r="HA8" s="121"/>
      <c r="HB8" s="121"/>
      <c r="HC8" s="121"/>
      <c r="HD8" s="121"/>
      <c r="HE8" s="121"/>
      <c r="HF8" s="121"/>
      <c r="HG8" s="121"/>
      <c r="HH8" s="121"/>
      <c r="HI8" s="121"/>
      <c r="HJ8" s="121"/>
      <c r="HK8" s="121"/>
      <c r="HL8" s="121"/>
      <c r="HM8" s="121"/>
      <c r="HN8" s="121"/>
      <c r="HO8" s="121"/>
      <c r="HP8" s="121"/>
      <c r="HQ8" s="121"/>
      <c r="HR8" s="121"/>
      <c r="HS8" s="121"/>
      <c r="HT8" s="121"/>
      <c r="HU8" s="121"/>
      <c r="HV8" s="121"/>
      <c r="HW8" s="121"/>
      <c r="HX8" s="121"/>
      <c r="HY8" s="121"/>
      <c r="HZ8" s="121"/>
      <c r="IA8" s="121"/>
      <c r="IB8" s="121"/>
      <c r="IC8" s="121"/>
      <c r="ID8" s="121"/>
      <c r="IE8" s="121"/>
      <c r="IF8" s="121"/>
      <c r="IG8" s="121"/>
      <c r="IH8" s="121"/>
      <c r="II8" s="121"/>
      <c r="IJ8" s="121"/>
      <c r="IK8" s="121"/>
      <c r="IL8" s="121"/>
      <c r="IM8" s="121"/>
      <c r="IN8" s="121"/>
      <c r="IO8" s="121"/>
      <c r="IP8" s="121"/>
      <c r="IQ8" s="121"/>
      <c r="IR8" s="121"/>
      <c r="IS8" s="121"/>
      <c r="IT8" s="121"/>
      <c r="IU8" s="121"/>
      <c r="IV8" s="121"/>
      <c r="IW8" s="121"/>
      <c r="IX8" s="121"/>
      <c r="IY8" s="121"/>
      <c r="IZ8" s="121"/>
      <c r="JA8" s="121"/>
      <c r="JB8" s="121"/>
      <c r="JC8" s="121"/>
      <c r="JD8" s="121"/>
      <c r="JE8" s="121"/>
      <c r="JF8" s="121"/>
      <c r="JG8" s="121"/>
      <c r="JH8" s="121"/>
      <c r="JI8" s="121"/>
      <c r="JJ8" s="121"/>
      <c r="JK8" s="121"/>
    </row>
    <row r="9">
      <c r="A9" s="146"/>
      <c r="B9" s="147" t="s">
        <v>18</v>
      </c>
      <c r="C9" s="148" t="s">
        <v>60</v>
      </c>
      <c r="D9" s="148" t="s">
        <v>22</v>
      </c>
      <c r="E9" s="149"/>
      <c r="F9" s="147" t="s">
        <v>18</v>
      </c>
      <c r="G9" s="148" t="s">
        <v>60</v>
      </c>
      <c r="H9" s="148" t="s">
        <v>22</v>
      </c>
      <c r="I9" s="150" t="s">
        <v>42</v>
      </c>
      <c r="J9" s="151">
        <v>-1.0</v>
      </c>
      <c r="K9" s="5"/>
      <c r="L9" s="152" t="s">
        <v>13</v>
      </c>
      <c r="M9" s="125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DY9" s="127"/>
      <c r="DZ9" s="127"/>
      <c r="EA9" s="127"/>
      <c r="EB9" s="127"/>
      <c r="EC9" s="127"/>
      <c r="ED9" s="127"/>
      <c r="EE9" s="127"/>
      <c r="EF9" s="127"/>
      <c r="EG9" s="127"/>
      <c r="EH9" s="127"/>
      <c r="EI9" s="127"/>
      <c r="EJ9" s="127"/>
      <c r="EK9" s="127"/>
      <c r="EL9" s="127"/>
      <c r="EM9" s="127"/>
      <c r="EN9" s="127"/>
      <c r="EO9" s="127"/>
      <c r="EP9" s="127"/>
      <c r="EQ9" s="127"/>
      <c r="ER9" s="127"/>
      <c r="ES9" s="127"/>
      <c r="ET9" s="127"/>
      <c r="EU9" s="127"/>
      <c r="EV9" s="127"/>
      <c r="EW9" s="127"/>
      <c r="EX9" s="127"/>
      <c r="EY9" s="127"/>
      <c r="EZ9" s="127"/>
      <c r="FA9" s="127"/>
      <c r="FB9" s="127"/>
      <c r="FC9" s="127"/>
      <c r="FD9" s="127"/>
      <c r="FE9" s="127"/>
      <c r="FF9" s="127"/>
      <c r="FG9" s="127"/>
      <c r="FH9" s="127"/>
      <c r="FI9" s="127"/>
      <c r="FJ9" s="127"/>
      <c r="FK9" s="127"/>
      <c r="FL9" s="127"/>
      <c r="FM9" s="127"/>
      <c r="FN9" s="127"/>
      <c r="FO9" s="127"/>
      <c r="FP9" s="127"/>
      <c r="FQ9" s="127"/>
      <c r="FR9" s="127"/>
      <c r="FS9" s="127"/>
      <c r="FT9" s="127"/>
      <c r="FU9" s="127"/>
      <c r="FV9" s="127"/>
      <c r="FW9" s="127"/>
      <c r="FX9" s="127"/>
      <c r="FY9" s="127"/>
      <c r="FZ9" s="127"/>
      <c r="GA9" s="127"/>
      <c r="GB9" s="127"/>
      <c r="GC9" s="127"/>
      <c r="GD9" s="127"/>
      <c r="GE9" s="127"/>
      <c r="GF9" s="127"/>
      <c r="GG9" s="127"/>
      <c r="GH9" s="127"/>
      <c r="GI9" s="127"/>
      <c r="GJ9" s="127"/>
      <c r="GK9" s="127"/>
      <c r="GL9" s="127"/>
      <c r="GM9" s="127"/>
      <c r="GN9" s="127"/>
      <c r="GO9" s="127"/>
      <c r="GP9" s="127"/>
      <c r="GQ9" s="127"/>
      <c r="GR9" s="127"/>
      <c r="GS9" s="127"/>
      <c r="GT9" s="127"/>
      <c r="GU9" s="127"/>
      <c r="GV9" s="127"/>
      <c r="GW9" s="127"/>
      <c r="GX9" s="127"/>
      <c r="GY9" s="127"/>
      <c r="GZ9" s="127"/>
      <c r="HA9" s="127"/>
      <c r="HB9" s="127"/>
      <c r="HC9" s="127"/>
      <c r="HD9" s="127"/>
      <c r="HE9" s="127"/>
      <c r="HF9" s="127"/>
      <c r="HG9" s="127"/>
      <c r="HH9" s="127"/>
      <c r="HI9" s="127"/>
      <c r="HJ9" s="127"/>
      <c r="HK9" s="127"/>
      <c r="HL9" s="127"/>
      <c r="HM9" s="127"/>
      <c r="HN9" s="127"/>
      <c r="HO9" s="127"/>
      <c r="HP9" s="127"/>
      <c r="HQ9" s="127"/>
      <c r="HR9" s="127"/>
      <c r="HS9" s="127"/>
      <c r="HT9" s="127"/>
      <c r="HU9" s="127"/>
      <c r="HV9" s="127"/>
      <c r="HW9" s="127"/>
      <c r="HX9" s="127"/>
      <c r="HY9" s="127"/>
      <c r="HZ9" s="127"/>
      <c r="IA9" s="127"/>
      <c r="IB9" s="127"/>
      <c r="IC9" s="127"/>
      <c r="ID9" s="127"/>
      <c r="IE9" s="127"/>
      <c r="IF9" s="127"/>
      <c r="IG9" s="127"/>
      <c r="IH9" s="127"/>
      <c r="II9" s="127"/>
      <c r="IJ9" s="127"/>
      <c r="IK9" s="127"/>
      <c r="IL9" s="127"/>
      <c r="IM9" s="127"/>
      <c r="IN9" s="127"/>
      <c r="IO9" s="127"/>
      <c r="IP9" s="127"/>
      <c r="IQ9" s="127"/>
      <c r="IR9" s="127"/>
      <c r="IS9" s="127"/>
      <c r="IT9" s="127"/>
      <c r="IU9" s="127"/>
      <c r="IV9" s="127"/>
      <c r="IW9" s="127"/>
      <c r="IX9" s="127"/>
      <c r="IY9" s="127"/>
      <c r="IZ9" s="127"/>
      <c r="JA9" s="127"/>
      <c r="JB9" s="127"/>
      <c r="JC9" s="127"/>
      <c r="JD9" s="127"/>
      <c r="JE9" s="127"/>
      <c r="JF9" s="127"/>
      <c r="JG9" s="127"/>
      <c r="JH9" s="127"/>
      <c r="JI9" s="127"/>
      <c r="JJ9" s="127"/>
      <c r="JK9" s="127"/>
    </row>
    <row r="10" ht="18.75" customHeight="1">
      <c r="A10" s="153"/>
      <c r="B10" s="154"/>
      <c r="C10" s="154"/>
      <c r="D10" s="154"/>
      <c r="E10" s="155" t="s">
        <v>61</v>
      </c>
      <c r="F10" s="154"/>
      <c r="G10" s="154"/>
      <c r="H10" s="154"/>
      <c r="I10" s="154"/>
      <c r="K10" s="15"/>
      <c r="L10" s="152" t="s">
        <v>17</v>
      </c>
      <c r="M10" s="131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DY10" s="127"/>
      <c r="DZ10" s="127"/>
      <c r="EA10" s="127"/>
      <c r="EB10" s="127"/>
      <c r="EC10" s="127"/>
      <c r="ED10" s="127"/>
      <c r="EE10" s="127"/>
      <c r="EF10" s="127"/>
      <c r="EG10" s="127"/>
      <c r="EH10" s="127"/>
      <c r="EI10" s="127"/>
      <c r="EJ10" s="127"/>
      <c r="EK10" s="127"/>
      <c r="EL10" s="127"/>
      <c r="EM10" s="127"/>
      <c r="EN10" s="127"/>
      <c r="EO10" s="127"/>
      <c r="EP10" s="127"/>
      <c r="EQ10" s="127"/>
      <c r="ER10" s="127"/>
      <c r="ES10" s="127"/>
      <c r="ET10" s="127"/>
      <c r="EU10" s="127"/>
      <c r="EV10" s="127"/>
      <c r="EW10" s="127"/>
      <c r="EX10" s="127"/>
      <c r="EY10" s="127"/>
      <c r="EZ10" s="127"/>
      <c r="FA10" s="127"/>
      <c r="FB10" s="127"/>
      <c r="FC10" s="127"/>
      <c r="FD10" s="127"/>
      <c r="FE10" s="127"/>
      <c r="FF10" s="127"/>
      <c r="FG10" s="127"/>
      <c r="FH10" s="127"/>
      <c r="FI10" s="127"/>
      <c r="FJ10" s="127"/>
      <c r="FK10" s="127"/>
      <c r="FL10" s="127"/>
      <c r="FM10" s="127"/>
      <c r="FN10" s="127"/>
      <c r="FO10" s="127"/>
      <c r="FP10" s="127"/>
      <c r="FQ10" s="127"/>
      <c r="FR10" s="127"/>
      <c r="FS10" s="127"/>
      <c r="FT10" s="127"/>
      <c r="FU10" s="127"/>
      <c r="FV10" s="127"/>
      <c r="FW10" s="127"/>
      <c r="FX10" s="127"/>
      <c r="FY10" s="127"/>
      <c r="FZ10" s="127"/>
      <c r="GA10" s="127"/>
      <c r="GB10" s="127"/>
      <c r="GC10" s="127"/>
      <c r="GD10" s="127"/>
      <c r="GE10" s="127"/>
      <c r="GF10" s="127"/>
      <c r="GG10" s="127"/>
      <c r="GH10" s="127"/>
      <c r="GI10" s="127"/>
      <c r="GJ10" s="127"/>
      <c r="GK10" s="127"/>
      <c r="GL10" s="127"/>
      <c r="GM10" s="127"/>
      <c r="GN10" s="127"/>
      <c r="GO10" s="127"/>
      <c r="GP10" s="127"/>
      <c r="GQ10" s="127"/>
      <c r="GR10" s="127"/>
      <c r="GS10" s="127"/>
      <c r="GT10" s="127"/>
      <c r="GU10" s="127"/>
      <c r="GV10" s="127"/>
      <c r="GW10" s="127"/>
      <c r="GX10" s="127"/>
      <c r="GY10" s="127"/>
      <c r="GZ10" s="127"/>
      <c r="HA10" s="127"/>
      <c r="HB10" s="127"/>
      <c r="HC10" s="127"/>
      <c r="HD10" s="127"/>
      <c r="HE10" s="127"/>
      <c r="HF10" s="127"/>
      <c r="HG10" s="127"/>
      <c r="HH10" s="127"/>
      <c r="HI10" s="127"/>
      <c r="HJ10" s="127"/>
      <c r="HK10" s="127"/>
      <c r="HL10" s="127"/>
      <c r="HM10" s="127"/>
      <c r="HN10" s="127"/>
      <c r="HO10" s="127"/>
      <c r="HP10" s="127"/>
      <c r="HQ10" s="127"/>
      <c r="HR10" s="127"/>
      <c r="HS10" s="127"/>
      <c r="HT10" s="127"/>
      <c r="HU10" s="127"/>
      <c r="HV10" s="127"/>
      <c r="HW10" s="127"/>
      <c r="HX10" s="127"/>
      <c r="HY10" s="127"/>
      <c r="HZ10" s="127"/>
      <c r="IA10" s="127"/>
      <c r="IB10" s="127"/>
      <c r="IC10" s="127"/>
      <c r="ID10" s="127"/>
      <c r="IE10" s="127"/>
      <c r="IF10" s="127"/>
      <c r="IG10" s="127"/>
      <c r="IH10" s="127"/>
      <c r="II10" s="127"/>
      <c r="IJ10" s="127"/>
      <c r="IK10" s="127"/>
      <c r="IL10" s="127"/>
      <c r="IM10" s="127"/>
      <c r="IN10" s="127"/>
      <c r="IO10" s="127"/>
      <c r="IP10" s="127"/>
      <c r="IQ10" s="127"/>
      <c r="IR10" s="127"/>
      <c r="IS10" s="127"/>
      <c r="IT10" s="127"/>
      <c r="IU10" s="127"/>
      <c r="IV10" s="127"/>
      <c r="IW10" s="127"/>
      <c r="IX10" s="127"/>
      <c r="IY10" s="127"/>
      <c r="IZ10" s="127"/>
      <c r="JA10" s="127"/>
      <c r="JB10" s="127"/>
      <c r="JC10" s="127"/>
      <c r="JD10" s="127"/>
      <c r="JE10" s="127"/>
      <c r="JF10" s="127"/>
      <c r="JG10" s="127"/>
      <c r="JH10" s="127"/>
      <c r="JI10" s="127"/>
      <c r="JJ10" s="127"/>
      <c r="JK10" s="127"/>
    </row>
    <row r="11" ht="18.75" customHeight="1">
      <c r="A11" s="153"/>
      <c r="B11" s="154"/>
      <c r="C11" s="154"/>
      <c r="D11" s="154"/>
      <c r="E11" s="155" t="s">
        <v>62</v>
      </c>
      <c r="F11" s="154"/>
      <c r="G11" s="154"/>
      <c r="H11" s="154"/>
      <c r="I11" s="154"/>
      <c r="K11" s="15"/>
      <c r="L11" s="156" t="s">
        <v>12</v>
      </c>
      <c r="M11" s="131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DY11" s="127"/>
      <c r="DZ11" s="127"/>
      <c r="EA11" s="127"/>
      <c r="EB11" s="127"/>
      <c r="EC11" s="127"/>
      <c r="ED11" s="127"/>
      <c r="EE11" s="127"/>
      <c r="EF11" s="127"/>
      <c r="EG11" s="127"/>
      <c r="EH11" s="127"/>
      <c r="EI11" s="127"/>
      <c r="EJ11" s="127"/>
      <c r="EK11" s="127"/>
      <c r="EL11" s="127"/>
      <c r="EM11" s="127"/>
      <c r="EN11" s="127"/>
      <c r="EO11" s="127"/>
      <c r="EP11" s="127"/>
      <c r="EQ11" s="127"/>
      <c r="ER11" s="127"/>
      <c r="ES11" s="127"/>
      <c r="ET11" s="127"/>
      <c r="EU11" s="127"/>
      <c r="EV11" s="127"/>
      <c r="EW11" s="127"/>
      <c r="EX11" s="127"/>
      <c r="EY11" s="127"/>
      <c r="EZ11" s="127"/>
      <c r="FA11" s="127"/>
      <c r="FB11" s="127"/>
      <c r="FC11" s="127"/>
      <c r="FD11" s="127"/>
      <c r="FE11" s="127"/>
      <c r="FF11" s="127"/>
      <c r="FG11" s="127"/>
      <c r="FH11" s="127"/>
      <c r="FI11" s="127"/>
      <c r="FJ11" s="127"/>
      <c r="FK11" s="127"/>
      <c r="FL11" s="127"/>
      <c r="FM11" s="127"/>
      <c r="FN11" s="127"/>
      <c r="FO11" s="127"/>
      <c r="FP11" s="127"/>
      <c r="FQ11" s="127"/>
      <c r="FR11" s="127"/>
      <c r="FS11" s="127"/>
      <c r="FT11" s="127"/>
      <c r="FU11" s="127"/>
      <c r="FV11" s="127"/>
      <c r="FW11" s="127"/>
      <c r="FX11" s="127"/>
      <c r="FY11" s="127"/>
      <c r="FZ11" s="127"/>
      <c r="GA11" s="127"/>
      <c r="GB11" s="127"/>
      <c r="GC11" s="127"/>
      <c r="GD11" s="127"/>
      <c r="GE11" s="127"/>
      <c r="GF11" s="127"/>
      <c r="GG11" s="127"/>
      <c r="GH11" s="127"/>
      <c r="GI11" s="127"/>
      <c r="GJ11" s="127"/>
      <c r="GK11" s="127"/>
      <c r="GL11" s="127"/>
      <c r="GM11" s="127"/>
      <c r="GN11" s="127"/>
      <c r="GO11" s="127"/>
      <c r="GP11" s="127"/>
      <c r="GQ11" s="127"/>
      <c r="GR11" s="127"/>
      <c r="GS11" s="127"/>
      <c r="GT11" s="127"/>
      <c r="GU11" s="127"/>
      <c r="GV11" s="127"/>
      <c r="GW11" s="127"/>
      <c r="GX11" s="127"/>
      <c r="GY11" s="127"/>
      <c r="GZ11" s="127"/>
      <c r="HA11" s="127"/>
      <c r="HB11" s="127"/>
      <c r="HC11" s="127"/>
      <c r="HD11" s="127"/>
      <c r="HE11" s="127"/>
      <c r="HF11" s="127"/>
      <c r="HG11" s="127"/>
      <c r="HH11" s="127"/>
      <c r="HI11" s="127"/>
      <c r="HJ11" s="127"/>
      <c r="HK11" s="127"/>
      <c r="HL11" s="127"/>
      <c r="HM11" s="127"/>
      <c r="HN11" s="127"/>
      <c r="HO11" s="127"/>
      <c r="HP11" s="127"/>
      <c r="HQ11" s="127"/>
      <c r="HR11" s="127"/>
      <c r="HS11" s="127"/>
      <c r="HT11" s="127"/>
      <c r="HU11" s="127"/>
      <c r="HV11" s="127"/>
      <c r="HW11" s="127"/>
      <c r="HX11" s="127"/>
      <c r="HY11" s="127"/>
      <c r="HZ11" s="127"/>
      <c r="IA11" s="127"/>
      <c r="IB11" s="127"/>
      <c r="IC11" s="127"/>
      <c r="ID11" s="127"/>
      <c r="IE11" s="127"/>
      <c r="IF11" s="127"/>
      <c r="IG11" s="127"/>
      <c r="IH11" s="127"/>
      <c r="II11" s="127"/>
      <c r="IJ11" s="127"/>
      <c r="IK11" s="127"/>
      <c r="IL11" s="127"/>
      <c r="IM11" s="127"/>
      <c r="IN11" s="127"/>
      <c r="IO11" s="127"/>
      <c r="IP11" s="127"/>
      <c r="IQ11" s="127"/>
      <c r="IR11" s="127"/>
      <c r="IS11" s="127"/>
      <c r="IT11" s="127"/>
      <c r="IU11" s="127"/>
      <c r="IV11" s="127"/>
      <c r="IW11" s="127"/>
      <c r="IX11" s="127"/>
      <c r="IY11" s="127"/>
      <c r="IZ11" s="127"/>
      <c r="JA11" s="127"/>
      <c r="JB11" s="127"/>
      <c r="JC11" s="127"/>
      <c r="JD11" s="127"/>
      <c r="JE11" s="127"/>
      <c r="JF11" s="127"/>
      <c r="JG11" s="127"/>
      <c r="JH11" s="127"/>
      <c r="JI11" s="127"/>
      <c r="JJ11" s="127"/>
      <c r="JK11" s="127"/>
    </row>
    <row r="12" ht="18.75" customHeight="1">
      <c r="A12" s="153"/>
      <c r="B12" s="154"/>
      <c r="C12" s="154"/>
      <c r="D12" s="154"/>
      <c r="E12" s="155" t="s">
        <v>63</v>
      </c>
      <c r="F12" s="154"/>
      <c r="G12" s="154"/>
      <c r="H12" s="154"/>
      <c r="I12" s="154"/>
      <c r="K12" s="15"/>
      <c r="L12" s="157" t="s">
        <v>26</v>
      </c>
      <c r="M12" s="13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21"/>
      <c r="DC12" s="121"/>
      <c r="DD12" s="121"/>
      <c r="DE12" s="121"/>
      <c r="DF12" s="121"/>
      <c r="DG12" s="121"/>
      <c r="DH12" s="121"/>
      <c r="DI12" s="121"/>
      <c r="DJ12" s="121"/>
      <c r="DK12" s="121"/>
      <c r="DL12" s="121"/>
      <c r="DM12" s="121"/>
      <c r="DN12" s="121"/>
      <c r="DO12" s="121"/>
      <c r="DP12" s="121"/>
      <c r="DQ12" s="121"/>
      <c r="DR12" s="121"/>
      <c r="DS12" s="121"/>
      <c r="DT12" s="121"/>
      <c r="DU12" s="121"/>
      <c r="DV12" s="121"/>
      <c r="DW12" s="121"/>
      <c r="DX12" s="121"/>
      <c r="DY12" s="121"/>
      <c r="DZ12" s="121"/>
      <c r="EA12" s="121"/>
      <c r="EB12" s="121"/>
      <c r="EC12" s="121"/>
      <c r="ED12" s="121"/>
      <c r="EE12" s="121"/>
      <c r="EF12" s="121"/>
      <c r="EG12" s="121"/>
      <c r="EH12" s="121"/>
      <c r="EI12" s="121"/>
      <c r="EJ12" s="121"/>
      <c r="EK12" s="121"/>
      <c r="EL12" s="121"/>
      <c r="EM12" s="121"/>
      <c r="EN12" s="121"/>
      <c r="EO12" s="121"/>
      <c r="EP12" s="121"/>
      <c r="EQ12" s="121"/>
      <c r="ER12" s="121"/>
      <c r="ES12" s="121"/>
      <c r="ET12" s="121"/>
      <c r="EU12" s="121"/>
      <c r="EV12" s="121"/>
      <c r="EW12" s="121"/>
      <c r="EX12" s="121"/>
      <c r="EY12" s="121"/>
      <c r="EZ12" s="121"/>
      <c r="FA12" s="121"/>
      <c r="FB12" s="121"/>
      <c r="FC12" s="121"/>
      <c r="FD12" s="121"/>
      <c r="FE12" s="121"/>
      <c r="FF12" s="121"/>
      <c r="FG12" s="121"/>
      <c r="FH12" s="121"/>
      <c r="FI12" s="121"/>
      <c r="FJ12" s="121"/>
      <c r="FK12" s="121"/>
      <c r="FL12" s="121"/>
      <c r="FM12" s="121"/>
      <c r="FN12" s="121"/>
      <c r="FO12" s="121"/>
      <c r="FP12" s="121"/>
      <c r="FQ12" s="121"/>
      <c r="FR12" s="121"/>
      <c r="FS12" s="121"/>
      <c r="FT12" s="121"/>
      <c r="FU12" s="121"/>
      <c r="FV12" s="121"/>
      <c r="FW12" s="121"/>
      <c r="FX12" s="121"/>
      <c r="FY12" s="121"/>
      <c r="FZ12" s="121"/>
      <c r="GA12" s="121"/>
      <c r="GB12" s="121"/>
      <c r="GC12" s="121"/>
      <c r="GD12" s="121"/>
      <c r="GE12" s="121"/>
      <c r="GF12" s="121"/>
      <c r="GG12" s="121"/>
      <c r="GH12" s="121"/>
      <c r="GI12" s="121"/>
      <c r="GJ12" s="121"/>
      <c r="GK12" s="121"/>
      <c r="GL12" s="121"/>
      <c r="GM12" s="121"/>
      <c r="GN12" s="121"/>
      <c r="GO12" s="121"/>
      <c r="GP12" s="121"/>
      <c r="GQ12" s="121"/>
      <c r="GR12" s="121"/>
      <c r="GS12" s="121"/>
      <c r="GT12" s="121"/>
      <c r="GU12" s="121"/>
      <c r="GV12" s="121"/>
      <c r="GW12" s="121"/>
      <c r="GX12" s="121"/>
      <c r="GY12" s="121"/>
      <c r="GZ12" s="121"/>
      <c r="HA12" s="121"/>
      <c r="HB12" s="121"/>
      <c r="HC12" s="121"/>
      <c r="HD12" s="121"/>
      <c r="HE12" s="121"/>
      <c r="HF12" s="121"/>
      <c r="HG12" s="121"/>
      <c r="HH12" s="121"/>
      <c r="HI12" s="121"/>
      <c r="HJ12" s="121"/>
      <c r="HK12" s="121"/>
      <c r="HL12" s="121"/>
      <c r="HM12" s="121"/>
      <c r="HN12" s="121"/>
      <c r="HO12" s="121"/>
      <c r="HP12" s="121"/>
      <c r="HQ12" s="121"/>
      <c r="HR12" s="121"/>
      <c r="HS12" s="121"/>
      <c r="HT12" s="121"/>
      <c r="HU12" s="121"/>
      <c r="HV12" s="121"/>
      <c r="HW12" s="121"/>
      <c r="HX12" s="121"/>
      <c r="HY12" s="121"/>
      <c r="HZ12" s="121"/>
      <c r="IA12" s="121"/>
      <c r="IB12" s="121"/>
      <c r="IC12" s="121"/>
      <c r="ID12" s="121"/>
      <c r="IE12" s="121"/>
      <c r="IF12" s="121"/>
      <c r="IG12" s="121"/>
      <c r="IH12" s="121"/>
      <c r="II12" s="121"/>
      <c r="IJ12" s="121"/>
      <c r="IK12" s="121"/>
      <c r="IL12" s="121"/>
      <c r="IM12" s="121"/>
      <c r="IN12" s="121"/>
      <c r="IO12" s="121"/>
      <c r="IP12" s="121"/>
      <c r="IQ12" s="121"/>
      <c r="IR12" s="121"/>
      <c r="IS12" s="121"/>
      <c r="IT12" s="121"/>
      <c r="IU12" s="121"/>
      <c r="IV12" s="121"/>
      <c r="IW12" s="121"/>
      <c r="IX12" s="121"/>
      <c r="IY12" s="121"/>
      <c r="IZ12" s="121"/>
      <c r="JA12" s="121"/>
      <c r="JB12" s="121"/>
      <c r="JC12" s="121"/>
      <c r="JD12" s="121"/>
      <c r="JE12" s="121"/>
      <c r="JF12" s="121"/>
      <c r="JG12" s="121"/>
      <c r="JH12" s="121"/>
      <c r="JI12" s="121"/>
      <c r="JJ12" s="121"/>
      <c r="JK12" s="121"/>
    </row>
    <row r="13" ht="18.75" customHeight="1">
      <c r="A13" s="153"/>
      <c r="B13" s="154"/>
      <c r="C13" s="154"/>
      <c r="D13" s="154"/>
      <c r="E13" s="155" t="s">
        <v>63</v>
      </c>
      <c r="F13" s="154"/>
      <c r="G13" s="154"/>
      <c r="H13" s="154"/>
      <c r="I13" s="154"/>
      <c r="K13" s="15"/>
      <c r="L13" s="124" t="s">
        <v>29</v>
      </c>
      <c r="M13" s="125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DY13" s="127"/>
      <c r="DZ13" s="127"/>
      <c r="EA13" s="127"/>
      <c r="EB13" s="127"/>
      <c r="EC13" s="127"/>
      <c r="ED13" s="127"/>
      <c r="EE13" s="127"/>
      <c r="EF13" s="127"/>
      <c r="EG13" s="127"/>
      <c r="EH13" s="127"/>
      <c r="EI13" s="127"/>
      <c r="EJ13" s="127"/>
      <c r="EK13" s="127"/>
      <c r="EL13" s="127"/>
      <c r="EM13" s="127"/>
      <c r="EN13" s="127"/>
      <c r="EO13" s="127"/>
      <c r="EP13" s="127"/>
      <c r="EQ13" s="127"/>
      <c r="ER13" s="127"/>
      <c r="ES13" s="127"/>
      <c r="ET13" s="127"/>
      <c r="EU13" s="127"/>
      <c r="EV13" s="127"/>
      <c r="EW13" s="127"/>
      <c r="EX13" s="127"/>
      <c r="EY13" s="127"/>
      <c r="EZ13" s="127"/>
      <c r="FA13" s="127"/>
      <c r="FB13" s="127"/>
      <c r="FC13" s="127"/>
      <c r="FD13" s="127"/>
      <c r="FE13" s="127"/>
      <c r="FF13" s="127"/>
      <c r="FG13" s="127"/>
      <c r="FH13" s="127"/>
      <c r="FI13" s="127"/>
      <c r="FJ13" s="127"/>
      <c r="FK13" s="127"/>
      <c r="FL13" s="127"/>
      <c r="FM13" s="127"/>
      <c r="FN13" s="127"/>
      <c r="FO13" s="127"/>
      <c r="FP13" s="127"/>
      <c r="FQ13" s="127"/>
      <c r="FR13" s="127"/>
      <c r="FS13" s="127"/>
      <c r="FT13" s="127"/>
      <c r="FU13" s="127"/>
      <c r="FV13" s="127"/>
      <c r="FW13" s="127"/>
      <c r="FX13" s="127"/>
      <c r="FY13" s="127"/>
      <c r="FZ13" s="127"/>
      <c r="GA13" s="127"/>
      <c r="GB13" s="127"/>
      <c r="GC13" s="127"/>
      <c r="GD13" s="127"/>
      <c r="GE13" s="127"/>
      <c r="GF13" s="127"/>
      <c r="GG13" s="127"/>
      <c r="GH13" s="127"/>
      <c r="GI13" s="127"/>
      <c r="GJ13" s="127"/>
      <c r="GK13" s="127"/>
      <c r="GL13" s="127"/>
      <c r="GM13" s="127"/>
      <c r="GN13" s="127"/>
      <c r="GO13" s="127"/>
      <c r="GP13" s="127"/>
      <c r="GQ13" s="127"/>
      <c r="GR13" s="127"/>
      <c r="GS13" s="127"/>
      <c r="GT13" s="127"/>
      <c r="GU13" s="127"/>
      <c r="GV13" s="127"/>
      <c r="GW13" s="127"/>
      <c r="GX13" s="127"/>
      <c r="GY13" s="127"/>
      <c r="GZ13" s="127"/>
      <c r="HA13" s="127"/>
      <c r="HB13" s="127"/>
      <c r="HC13" s="127"/>
      <c r="HD13" s="127"/>
      <c r="HE13" s="127"/>
      <c r="HF13" s="127"/>
      <c r="HG13" s="127"/>
      <c r="HH13" s="127"/>
      <c r="HI13" s="127"/>
      <c r="HJ13" s="127"/>
      <c r="HK13" s="127"/>
      <c r="HL13" s="127"/>
      <c r="HM13" s="127"/>
      <c r="HN13" s="127"/>
      <c r="HO13" s="127"/>
      <c r="HP13" s="127"/>
      <c r="HQ13" s="127"/>
      <c r="HR13" s="127"/>
      <c r="HS13" s="127"/>
      <c r="HT13" s="127"/>
      <c r="HU13" s="127"/>
      <c r="HV13" s="127"/>
      <c r="HW13" s="127"/>
      <c r="HX13" s="127"/>
      <c r="HY13" s="127"/>
      <c r="HZ13" s="127"/>
      <c r="IA13" s="127"/>
      <c r="IB13" s="127"/>
      <c r="IC13" s="127"/>
      <c r="ID13" s="127"/>
      <c r="IE13" s="127"/>
      <c r="IF13" s="127"/>
      <c r="IG13" s="127"/>
      <c r="IH13" s="127"/>
      <c r="II13" s="127"/>
      <c r="IJ13" s="127"/>
      <c r="IK13" s="127"/>
      <c r="IL13" s="127"/>
      <c r="IM13" s="127"/>
      <c r="IN13" s="127"/>
      <c r="IO13" s="127"/>
      <c r="IP13" s="127"/>
      <c r="IQ13" s="127"/>
      <c r="IR13" s="127"/>
      <c r="IS13" s="127"/>
      <c r="IT13" s="127"/>
      <c r="IU13" s="127"/>
      <c r="IV13" s="127"/>
      <c r="IW13" s="127"/>
      <c r="IX13" s="127"/>
      <c r="IY13" s="127"/>
      <c r="IZ13" s="127"/>
      <c r="JA13" s="127"/>
      <c r="JB13" s="127"/>
      <c r="JC13" s="127"/>
      <c r="JD13" s="127"/>
      <c r="JE13" s="127"/>
      <c r="JF13" s="127"/>
      <c r="JG13" s="127"/>
      <c r="JH13" s="127"/>
      <c r="JI13" s="127"/>
      <c r="JJ13" s="127"/>
      <c r="JK13" s="127"/>
    </row>
    <row r="14" ht="18.75" customHeight="1">
      <c r="A14" s="153"/>
      <c r="B14" s="154"/>
      <c r="C14" s="154"/>
      <c r="D14" s="154"/>
      <c r="E14" s="155" t="s">
        <v>64</v>
      </c>
      <c r="F14" s="154"/>
      <c r="G14" s="154"/>
      <c r="H14" s="154"/>
      <c r="I14" s="154"/>
      <c r="K14" s="15"/>
      <c r="L14" s="158" t="s">
        <v>32</v>
      </c>
      <c r="M14" s="131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27"/>
      <c r="EX14" s="127"/>
      <c r="EY14" s="127"/>
      <c r="EZ14" s="127"/>
      <c r="FA14" s="127"/>
      <c r="FB14" s="127"/>
      <c r="FC14" s="127"/>
      <c r="FD14" s="127"/>
      <c r="FE14" s="127"/>
      <c r="FF14" s="127"/>
      <c r="FG14" s="127"/>
      <c r="FH14" s="127"/>
      <c r="FI14" s="127"/>
      <c r="FJ14" s="127"/>
      <c r="FK14" s="127"/>
      <c r="FL14" s="127"/>
      <c r="FM14" s="127"/>
      <c r="FN14" s="127"/>
      <c r="FO14" s="127"/>
      <c r="FP14" s="127"/>
      <c r="FQ14" s="127"/>
      <c r="FR14" s="127"/>
      <c r="FS14" s="127"/>
      <c r="FT14" s="127"/>
      <c r="FU14" s="127"/>
      <c r="FV14" s="127"/>
      <c r="FW14" s="127"/>
      <c r="FX14" s="127"/>
      <c r="FY14" s="127"/>
      <c r="FZ14" s="127"/>
      <c r="GA14" s="127"/>
      <c r="GB14" s="127"/>
      <c r="GC14" s="127"/>
      <c r="GD14" s="127"/>
      <c r="GE14" s="127"/>
      <c r="GF14" s="127"/>
      <c r="GG14" s="127"/>
      <c r="GH14" s="127"/>
      <c r="GI14" s="127"/>
      <c r="GJ14" s="127"/>
      <c r="GK14" s="127"/>
      <c r="GL14" s="127"/>
      <c r="GM14" s="127"/>
      <c r="GN14" s="127"/>
      <c r="GO14" s="127"/>
      <c r="GP14" s="127"/>
      <c r="GQ14" s="127"/>
      <c r="GR14" s="127"/>
      <c r="GS14" s="127"/>
      <c r="GT14" s="127"/>
      <c r="GU14" s="127"/>
      <c r="GV14" s="127"/>
      <c r="GW14" s="127"/>
      <c r="GX14" s="127"/>
      <c r="GY14" s="127"/>
      <c r="GZ14" s="127"/>
      <c r="HA14" s="127"/>
      <c r="HB14" s="127"/>
      <c r="HC14" s="127"/>
      <c r="HD14" s="127"/>
      <c r="HE14" s="127"/>
      <c r="HF14" s="127"/>
      <c r="HG14" s="127"/>
      <c r="HH14" s="127"/>
      <c r="HI14" s="127"/>
      <c r="HJ14" s="127"/>
      <c r="HK14" s="127"/>
      <c r="HL14" s="127"/>
      <c r="HM14" s="127"/>
      <c r="HN14" s="127"/>
      <c r="HO14" s="127"/>
      <c r="HP14" s="127"/>
      <c r="HQ14" s="127"/>
      <c r="HR14" s="127"/>
      <c r="HS14" s="127"/>
      <c r="HT14" s="127"/>
      <c r="HU14" s="127"/>
      <c r="HV14" s="127"/>
      <c r="HW14" s="127"/>
      <c r="HX14" s="127"/>
      <c r="HY14" s="127"/>
      <c r="HZ14" s="127"/>
      <c r="IA14" s="127"/>
      <c r="IB14" s="127"/>
      <c r="IC14" s="127"/>
      <c r="ID14" s="127"/>
      <c r="IE14" s="127"/>
      <c r="IF14" s="127"/>
      <c r="IG14" s="127"/>
      <c r="IH14" s="127"/>
      <c r="II14" s="127"/>
      <c r="IJ14" s="127"/>
      <c r="IK14" s="127"/>
      <c r="IL14" s="127"/>
      <c r="IM14" s="127"/>
      <c r="IN14" s="127"/>
      <c r="IO14" s="127"/>
      <c r="IP14" s="127"/>
      <c r="IQ14" s="127"/>
      <c r="IR14" s="127"/>
      <c r="IS14" s="127"/>
      <c r="IT14" s="127"/>
      <c r="IU14" s="127"/>
      <c r="IV14" s="127"/>
      <c r="IW14" s="127"/>
      <c r="IX14" s="127"/>
      <c r="IY14" s="127"/>
      <c r="IZ14" s="127"/>
      <c r="JA14" s="127"/>
      <c r="JB14" s="127"/>
      <c r="JC14" s="127"/>
      <c r="JD14" s="127"/>
      <c r="JE14" s="127"/>
      <c r="JF14" s="127"/>
      <c r="JG14" s="127"/>
      <c r="JH14" s="127"/>
      <c r="JI14" s="127"/>
      <c r="JJ14" s="127"/>
      <c r="JK14" s="127"/>
    </row>
    <row r="15" ht="18.75" customHeight="1">
      <c r="A15" s="153"/>
      <c r="B15" s="154"/>
      <c r="C15" s="154"/>
      <c r="D15" s="154"/>
      <c r="E15" s="155" t="s">
        <v>64</v>
      </c>
      <c r="F15" s="154"/>
      <c r="G15" s="154"/>
      <c r="H15" s="154"/>
      <c r="I15" s="154"/>
      <c r="K15" s="15"/>
      <c r="L15" s="158" t="s">
        <v>33</v>
      </c>
      <c r="M15" s="125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7"/>
      <c r="EZ15" s="127"/>
      <c r="FA15" s="127"/>
      <c r="FB15" s="127"/>
      <c r="FC15" s="127"/>
      <c r="FD15" s="127"/>
      <c r="FE15" s="127"/>
      <c r="FF15" s="127"/>
      <c r="FG15" s="127"/>
      <c r="FH15" s="127"/>
      <c r="FI15" s="127"/>
      <c r="FJ15" s="127"/>
      <c r="FK15" s="127"/>
      <c r="FL15" s="127"/>
      <c r="FM15" s="127"/>
      <c r="FN15" s="127"/>
      <c r="FO15" s="127"/>
      <c r="FP15" s="127"/>
      <c r="FQ15" s="127"/>
      <c r="FR15" s="127"/>
      <c r="FS15" s="127"/>
      <c r="FT15" s="127"/>
      <c r="FU15" s="127"/>
      <c r="FV15" s="127"/>
      <c r="FW15" s="127"/>
      <c r="FX15" s="127"/>
      <c r="FY15" s="127"/>
      <c r="FZ15" s="127"/>
      <c r="GA15" s="127"/>
      <c r="GB15" s="127"/>
      <c r="GC15" s="127"/>
      <c r="GD15" s="127"/>
      <c r="GE15" s="127"/>
      <c r="GF15" s="127"/>
      <c r="GG15" s="127"/>
      <c r="GH15" s="127"/>
      <c r="GI15" s="127"/>
      <c r="GJ15" s="127"/>
      <c r="GK15" s="127"/>
      <c r="GL15" s="127"/>
      <c r="GM15" s="127"/>
      <c r="GN15" s="127"/>
      <c r="GO15" s="127"/>
      <c r="GP15" s="127"/>
      <c r="GQ15" s="127"/>
      <c r="GR15" s="127"/>
      <c r="GS15" s="127"/>
      <c r="GT15" s="127"/>
      <c r="GU15" s="127"/>
      <c r="GV15" s="127"/>
      <c r="GW15" s="127"/>
      <c r="GX15" s="127"/>
      <c r="GY15" s="127"/>
      <c r="GZ15" s="127"/>
      <c r="HA15" s="127"/>
      <c r="HB15" s="127"/>
      <c r="HC15" s="127"/>
      <c r="HD15" s="127"/>
      <c r="HE15" s="127"/>
      <c r="HF15" s="127"/>
      <c r="HG15" s="127"/>
      <c r="HH15" s="127"/>
      <c r="HI15" s="127"/>
      <c r="HJ15" s="127"/>
      <c r="HK15" s="127"/>
      <c r="HL15" s="127"/>
      <c r="HM15" s="127"/>
      <c r="HN15" s="127"/>
      <c r="HO15" s="127"/>
      <c r="HP15" s="127"/>
      <c r="HQ15" s="127"/>
      <c r="HR15" s="127"/>
      <c r="HS15" s="127"/>
      <c r="HT15" s="127"/>
      <c r="HU15" s="127"/>
      <c r="HV15" s="127"/>
      <c r="HW15" s="127"/>
      <c r="HX15" s="127"/>
      <c r="HY15" s="127"/>
      <c r="HZ15" s="127"/>
      <c r="IA15" s="127"/>
      <c r="IB15" s="127"/>
      <c r="IC15" s="127"/>
      <c r="ID15" s="127"/>
      <c r="IE15" s="127"/>
      <c r="IF15" s="127"/>
      <c r="IG15" s="127"/>
      <c r="IH15" s="127"/>
      <c r="II15" s="127"/>
      <c r="IJ15" s="127"/>
      <c r="IK15" s="127"/>
      <c r="IL15" s="127"/>
      <c r="IM15" s="127"/>
      <c r="IN15" s="127"/>
      <c r="IO15" s="127"/>
      <c r="IP15" s="127"/>
      <c r="IQ15" s="127"/>
      <c r="IR15" s="127"/>
      <c r="IS15" s="127"/>
      <c r="IT15" s="127"/>
      <c r="IU15" s="127"/>
      <c r="IV15" s="127"/>
      <c r="IW15" s="127"/>
      <c r="IX15" s="127"/>
      <c r="IY15" s="127"/>
      <c r="IZ15" s="127"/>
      <c r="JA15" s="127"/>
      <c r="JB15" s="127"/>
      <c r="JC15" s="127"/>
      <c r="JD15" s="127"/>
      <c r="JE15" s="127"/>
      <c r="JF15" s="127"/>
      <c r="JG15" s="127"/>
      <c r="JH15" s="127"/>
      <c r="JI15" s="127"/>
      <c r="JJ15" s="127"/>
      <c r="JK15" s="127"/>
    </row>
    <row r="16" ht="18.75" customHeight="1">
      <c r="A16" s="153"/>
      <c r="B16" s="154"/>
      <c r="C16" s="154"/>
      <c r="D16" s="154"/>
      <c r="E16" s="159"/>
      <c r="F16" s="154"/>
      <c r="G16" s="154"/>
      <c r="H16" s="154"/>
      <c r="I16" s="154"/>
      <c r="K16" s="15"/>
      <c r="L16" s="158" t="s">
        <v>34</v>
      </c>
      <c r="M16" s="131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DY16" s="127"/>
      <c r="DZ16" s="127"/>
      <c r="EA16" s="127"/>
      <c r="EB16" s="127"/>
      <c r="EC16" s="127"/>
      <c r="ED16" s="127"/>
      <c r="EE16" s="127"/>
      <c r="EF16" s="127"/>
      <c r="EG16" s="127"/>
      <c r="EH16" s="127"/>
      <c r="EI16" s="127"/>
      <c r="EJ16" s="127"/>
      <c r="EK16" s="127"/>
      <c r="EL16" s="127"/>
      <c r="EM16" s="127"/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7"/>
      <c r="EZ16" s="127"/>
      <c r="FA16" s="127"/>
      <c r="FB16" s="127"/>
      <c r="FC16" s="127"/>
      <c r="FD16" s="127"/>
      <c r="FE16" s="127"/>
      <c r="FF16" s="127"/>
      <c r="FG16" s="127"/>
      <c r="FH16" s="127"/>
      <c r="FI16" s="127"/>
      <c r="FJ16" s="127"/>
      <c r="FK16" s="127"/>
      <c r="FL16" s="127"/>
      <c r="FM16" s="127"/>
      <c r="FN16" s="127"/>
      <c r="FO16" s="127"/>
      <c r="FP16" s="127"/>
      <c r="FQ16" s="127"/>
      <c r="FR16" s="127"/>
      <c r="FS16" s="127"/>
      <c r="FT16" s="127"/>
      <c r="FU16" s="127"/>
      <c r="FV16" s="127"/>
      <c r="FW16" s="127"/>
      <c r="FX16" s="127"/>
      <c r="FY16" s="127"/>
      <c r="FZ16" s="127"/>
      <c r="GA16" s="127"/>
      <c r="GB16" s="127"/>
      <c r="GC16" s="127"/>
      <c r="GD16" s="127"/>
      <c r="GE16" s="127"/>
      <c r="GF16" s="127"/>
      <c r="GG16" s="127"/>
      <c r="GH16" s="127"/>
      <c r="GI16" s="127"/>
      <c r="GJ16" s="127"/>
      <c r="GK16" s="127"/>
      <c r="GL16" s="127"/>
      <c r="GM16" s="127"/>
      <c r="GN16" s="127"/>
      <c r="GO16" s="127"/>
      <c r="GP16" s="127"/>
      <c r="GQ16" s="127"/>
      <c r="GR16" s="127"/>
      <c r="GS16" s="127"/>
      <c r="GT16" s="127"/>
      <c r="GU16" s="127"/>
      <c r="GV16" s="127"/>
      <c r="GW16" s="127"/>
      <c r="GX16" s="127"/>
      <c r="GY16" s="127"/>
      <c r="GZ16" s="127"/>
      <c r="HA16" s="127"/>
      <c r="HB16" s="127"/>
      <c r="HC16" s="127"/>
      <c r="HD16" s="127"/>
      <c r="HE16" s="127"/>
      <c r="HF16" s="127"/>
      <c r="HG16" s="127"/>
      <c r="HH16" s="127"/>
      <c r="HI16" s="127"/>
      <c r="HJ16" s="127"/>
      <c r="HK16" s="127"/>
      <c r="HL16" s="127"/>
      <c r="HM16" s="127"/>
      <c r="HN16" s="127"/>
      <c r="HO16" s="127"/>
      <c r="HP16" s="127"/>
      <c r="HQ16" s="127"/>
      <c r="HR16" s="127"/>
      <c r="HS16" s="127"/>
      <c r="HT16" s="127"/>
      <c r="HU16" s="127"/>
      <c r="HV16" s="127"/>
      <c r="HW16" s="127"/>
      <c r="HX16" s="127"/>
      <c r="HY16" s="127"/>
      <c r="HZ16" s="127"/>
      <c r="IA16" s="127"/>
      <c r="IB16" s="127"/>
      <c r="IC16" s="127"/>
      <c r="ID16" s="127"/>
      <c r="IE16" s="127"/>
      <c r="IF16" s="127"/>
      <c r="IG16" s="127"/>
      <c r="IH16" s="127"/>
      <c r="II16" s="127"/>
      <c r="IJ16" s="127"/>
      <c r="IK16" s="127"/>
      <c r="IL16" s="127"/>
      <c r="IM16" s="127"/>
      <c r="IN16" s="127"/>
      <c r="IO16" s="127"/>
      <c r="IP16" s="127"/>
      <c r="IQ16" s="127"/>
      <c r="IR16" s="127"/>
      <c r="IS16" s="127"/>
      <c r="IT16" s="127"/>
      <c r="IU16" s="127"/>
      <c r="IV16" s="127"/>
      <c r="IW16" s="127"/>
      <c r="IX16" s="127"/>
      <c r="IY16" s="127"/>
      <c r="IZ16" s="127"/>
      <c r="JA16" s="127"/>
      <c r="JB16" s="127"/>
      <c r="JC16" s="127"/>
      <c r="JD16" s="127"/>
      <c r="JE16" s="127"/>
      <c r="JF16" s="127"/>
      <c r="JG16" s="127"/>
      <c r="JH16" s="127"/>
      <c r="JI16" s="127"/>
      <c r="JJ16" s="127"/>
      <c r="JK16" s="127"/>
    </row>
    <row r="17" ht="18.75" customHeight="1">
      <c r="A17" s="153"/>
      <c r="B17" s="154"/>
      <c r="C17" s="154"/>
      <c r="D17" s="154"/>
      <c r="E17" s="159"/>
      <c r="F17" s="154"/>
      <c r="G17" s="154"/>
      <c r="H17" s="154"/>
      <c r="I17" s="154"/>
      <c r="J17" s="21"/>
      <c r="K17" s="13"/>
      <c r="L17" s="160" t="s">
        <v>35</v>
      </c>
      <c r="M17" s="131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  <c r="IX17" s="127"/>
      <c r="IY17" s="127"/>
      <c r="IZ17" s="127"/>
      <c r="JA17" s="127"/>
      <c r="JB17" s="127"/>
      <c r="JC17" s="127"/>
      <c r="JD17" s="127"/>
      <c r="JE17" s="127"/>
      <c r="JF17" s="127"/>
      <c r="JG17" s="127"/>
      <c r="JH17" s="127"/>
      <c r="JI17" s="127"/>
      <c r="JJ17" s="127"/>
      <c r="JK17" s="127"/>
    </row>
    <row r="18" ht="18.75" customHeight="1">
      <c r="A18" s="153"/>
      <c r="B18" s="154"/>
      <c r="C18" s="154"/>
      <c r="D18" s="154"/>
      <c r="E18" s="159"/>
      <c r="F18" s="154"/>
      <c r="G18" s="154"/>
      <c r="H18" s="154"/>
      <c r="I18" s="154"/>
      <c r="J18" s="161"/>
      <c r="K18" s="7"/>
      <c r="L18" s="7"/>
      <c r="M18" s="8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62"/>
      <c r="BD18" s="162"/>
      <c r="BE18" s="162"/>
      <c r="BF18" s="162"/>
      <c r="BG18" s="162"/>
      <c r="BH18" s="162"/>
      <c r="BI18" s="162"/>
      <c r="BJ18" s="162"/>
      <c r="BK18" s="162"/>
      <c r="BL18" s="162"/>
      <c r="BM18" s="162"/>
      <c r="BN18" s="162"/>
      <c r="BO18" s="162"/>
      <c r="BP18" s="162"/>
      <c r="BQ18" s="162"/>
      <c r="BR18" s="162"/>
      <c r="BS18" s="162"/>
      <c r="BT18" s="162"/>
      <c r="BU18" s="162"/>
      <c r="BV18" s="162"/>
      <c r="BW18" s="162"/>
      <c r="BX18" s="162"/>
      <c r="BY18" s="162"/>
      <c r="BZ18" s="162"/>
      <c r="CA18" s="162"/>
      <c r="CB18" s="162"/>
      <c r="CC18" s="162"/>
      <c r="CD18" s="162"/>
      <c r="CE18" s="162"/>
      <c r="CF18" s="162"/>
      <c r="CG18" s="162"/>
      <c r="CH18" s="162"/>
      <c r="CI18" s="162"/>
      <c r="CJ18" s="162"/>
      <c r="CK18" s="162"/>
      <c r="CL18" s="162"/>
      <c r="CM18" s="162"/>
      <c r="CN18" s="162"/>
      <c r="CO18" s="162"/>
      <c r="CP18" s="162"/>
      <c r="CQ18" s="162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  <c r="DB18" s="162"/>
      <c r="DC18" s="162"/>
      <c r="DD18" s="162"/>
      <c r="DE18" s="162"/>
      <c r="DF18" s="162"/>
      <c r="DG18" s="162"/>
      <c r="DH18" s="162"/>
      <c r="DI18" s="162"/>
      <c r="DJ18" s="162"/>
      <c r="DK18" s="162"/>
      <c r="DL18" s="162"/>
      <c r="DM18" s="162"/>
      <c r="DN18" s="162"/>
      <c r="DO18" s="162"/>
      <c r="DP18" s="162"/>
      <c r="DQ18" s="162"/>
      <c r="DR18" s="162"/>
      <c r="DS18" s="162"/>
      <c r="DT18" s="162"/>
      <c r="DU18" s="162"/>
      <c r="DV18" s="162"/>
      <c r="DW18" s="162"/>
      <c r="DX18" s="162"/>
      <c r="DY18" s="162"/>
      <c r="DZ18" s="162"/>
      <c r="EA18" s="162"/>
      <c r="EB18" s="162"/>
      <c r="EC18" s="162"/>
      <c r="ED18" s="162"/>
      <c r="EE18" s="162"/>
      <c r="EF18" s="162"/>
      <c r="EG18" s="162"/>
      <c r="EH18" s="162"/>
      <c r="EI18" s="162"/>
      <c r="EJ18" s="162"/>
      <c r="EK18" s="162"/>
      <c r="EL18" s="162"/>
      <c r="EM18" s="162"/>
      <c r="EN18" s="162"/>
      <c r="EO18" s="162"/>
      <c r="EP18" s="162"/>
      <c r="EQ18" s="162"/>
      <c r="ER18" s="162"/>
      <c r="ES18" s="162"/>
      <c r="ET18" s="162"/>
      <c r="EU18" s="162"/>
      <c r="EV18" s="162"/>
      <c r="EW18" s="162"/>
      <c r="EX18" s="162"/>
      <c r="EY18" s="162"/>
      <c r="EZ18" s="162"/>
      <c r="FA18" s="162"/>
      <c r="FB18" s="162"/>
      <c r="FC18" s="162"/>
      <c r="FD18" s="162"/>
      <c r="FE18" s="162"/>
      <c r="FF18" s="162"/>
      <c r="FG18" s="162"/>
      <c r="FH18" s="162"/>
      <c r="FI18" s="162"/>
      <c r="FJ18" s="162"/>
      <c r="FK18" s="162"/>
      <c r="FL18" s="162"/>
      <c r="FM18" s="162"/>
      <c r="FN18" s="162"/>
      <c r="FO18" s="162"/>
      <c r="FP18" s="162"/>
      <c r="FQ18" s="162"/>
      <c r="FR18" s="162"/>
      <c r="FS18" s="162"/>
      <c r="FT18" s="162"/>
      <c r="FU18" s="162"/>
      <c r="FV18" s="162"/>
      <c r="FW18" s="162"/>
      <c r="FX18" s="162"/>
      <c r="FY18" s="162"/>
      <c r="FZ18" s="162"/>
      <c r="GA18" s="162"/>
      <c r="GB18" s="162"/>
      <c r="GC18" s="162"/>
      <c r="GD18" s="162"/>
      <c r="GE18" s="162"/>
      <c r="GF18" s="162"/>
      <c r="GG18" s="162"/>
      <c r="GH18" s="162"/>
      <c r="GI18" s="162"/>
      <c r="GJ18" s="162"/>
      <c r="GK18" s="162"/>
      <c r="GL18" s="162"/>
      <c r="GM18" s="162"/>
      <c r="GN18" s="162"/>
      <c r="GO18" s="162"/>
      <c r="GP18" s="162"/>
      <c r="GQ18" s="162"/>
      <c r="GR18" s="162"/>
      <c r="GS18" s="162"/>
      <c r="GT18" s="162"/>
      <c r="GU18" s="162"/>
      <c r="GV18" s="162"/>
      <c r="GW18" s="162"/>
      <c r="GX18" s="162"/>
      <c r="GY18" s="162"/>
      <c r="GZ18" s="162"/>
      <c r="HA18" s="162"/>
      <c r="HB18" s="162"/>
      <c r="HC18" s="162"/>
      <c r="HD18" s="162"/>
      <c r="HE18" s="162"/>
      <c r="HF18" s="162"/>
      <c r="HG18" s="162"/>
      <c r="HH18" s="162"/>
      <c r="HI18" s="162"/>
      <c r="HJ18" s="162"/>
      <c r="HK18" s="162"/>
      <c r="HL18" s="162"/>
      <c r="HM18" s="162"/>
      <c r="HN18" s="162"/>
      <c r="HO18" s="162"/>
      <c r="HP18" s="162"/>
      <c r="HQ18" s="162"/>
      <c r="HR18" s="162"/>
      <c r="HS18" s="162"/>
      <c r="HT18" s="162"/>
      <c r="HU18" s="162"/>
      <c r="HV18" s="162"/>
      <c r="HW18" s="162"/>
      <c r="HX18" s="162"/>
      <c r="HY18" s="162"/>
      <c r="HZ18" s="162"/>
      <c r="IA18" s="162"/>
      <c r="IB18" s="162"/>
      <c r="IC18" s="162"/>
      <c r="ID18" s="162"/>
      <c r="IE18" s="162"/>
      <c r="IF18" s="162"/>
      <c r="IG18" s="162"/>
      <c r="IH18" s="162"/>
      <c r="II18" s="162"/>
      <c r="IJ18" s="162"/>
      <c r="IK18" s="162"/>
      <c r="IL18" s="162"/>
      <c r="IM18" s="162"/>
      <c r="IN18" s="162"/>
      <c r="IO18" s="162"/>
      <c r="IP18" s="162"/>
      <c r="IQ18" s="162"/>
      <c r="IR18" s="162"/>
      <c r="IS18" s="162"/>
      <c r="IT18" s="162"/>
      <c r="IU18" s="162"/>
      <c r="IV18" s="162"/>
      <c r="IW18" s="162"/>
      <c r="IX18" s="162"/>
      <c r="IY18" s="162"/>
      <c r="IZ18" s="162"/>
      <c r="JA18" s="162"/>
      <c r="JB18" s="162"/>
      <c r="JC18" s="162"/>
      <c r="JD18" s="162"/>
      <c r="JE18" s="162"/>
      <c r="JF18" s="162"/>
      <c r="JG18" s="162"/>
      <c r="JH18" s="162"/>
      <c r="JI18" s="162"/>
      <c r="JJ18" s="162"/>
      <c r="JK18" s="162"/>
    </row>
    <row r="19" ht="18.75" customHeight="1">
      <c r="A19" s="153"/>
      <c r="B19" s="154"/>
      <c r="C19" s="154"/>
      <c r="D19" s="154"/>
      <c r="E19" s="159"/>
      <c r="F19" s="154"/>
      <c r="G19" s="154"/>
      <c r="H19" s="154"/>
      <c r="I19" s="154"/>
      <c r="J19" s="163" t="s">
        <v>37</v>
      </c>
      <c r="K19" s="164" t="s">
        <v>38</v>
      </c>
      <c r="L19" s="165" t="s">
        <v>39</v>
      </c>
      <c r="M19" s="166" t="s">
        <v>40</v>
      </c>
    </row>
    <row r="20" ht="18.75" customHeight="1">
      <c r="A20" s="153"/>
      <c r="B20" s="154"/>
      <c r="C20" s="154"/>
      <c r="D20" s="154"/>
      <c r="E20" s="159"/>
      <c r="F20" s="154"/>
      <c r="G20" s="154"/>
      <c r="H20" s="154"/>
      <c r="I20" s="154"/>
      <c r="J20" s="167"/>
      <c r="K20" s="84"/>
      <c r="L20" s="84"/>
      <c r="M20" s="168"/>
    </row>
    <row r="21" ht="18.75" customHeight="1">
      <c r="A21" s="153"/>
      <c r="B21" s="154"/>
      <c r="C21" s="154"/>
      <c r="D21" s="154"/>
      <c r="E21" s="159"/>
      <c r="F21" s="154"/>
      <c r="G21" s="154"/>
      <c r="H21" s="154"/>
      <c r="I21" s="154"/>
      <c r="J21" s="169">
        <v>0.0</v>
      </c>
      <c r="K21" s="170">
        <v>0.0</v>
      </c>
      <c r="L21" s="171">
        <v>2.0</v>
      </c>
      <c r="M21" s="172" t="s">
        <v>65</v>
      </c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  <c r="BA21" s="162"/>
      <c r="BB21" s="162"/>
      <c r="BC21" s="162"/>
      <c r="BD21" s="162"/>
      <c r="BE21" s="162"/>
      <c r="BF21" s="162"/>
      <c r="BG21" s="162"/>
      <c r="BH21" s="162"/>
      <c r="BI21" s="162"/>
      <c r="BJ21" s="162"/>
      <c r="BK21" s="162"/>
      <c r="BL21" s="162"/>
      <c r="BM21" s="162"/>
      <c r="BN21" s="162"/>
      <c r="BO21" s="162"/>
      <c r="BP21" s="162"/>
      <c r="BQ21" s="162"/>
      <c r="BR21" s="162"/>
      <c r="BS21" s="162"/>
      <c r="BT21" s="162"/>
      <c r="BU21" s="162"/>
      <c r="BV21" s="162"/>
      <c r="BW21" s="162"/>
      <c r="BX21" s="162"/>
      <c r="BY21" s="162"/>
      <c r="BZ21" s="162"/>
      <c r="CA21" s="162"/>
      <c r="CB21" s="162"/>
      <c r="CC21" s="162"/>
      <c r="CD21" s="162"/>
      <c r="CE21" s="162"/>
      <c r="CF21" s="162"/>
      <c r="CG21" s="162"/>
      <c r="CH21" s="162"/>
      <c r="CI21" s="162"/>
      <c r="CJ21" s="162"/>
      <c r="CK21" s="162"/>
      <c r="CL21" s="162"/>
      <c r="CM21" s="162"/>
      <c r="CN21" s="162"/>
      <c r="CO21" s="162"/>
      <c r="CP21" s="162"/>
      <c r="CQ21" s="162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  <c r="DB21" s="162"/>
      <c r="DC21" s="162"/>
      <c r="DD21" s="162"/>
      <c r="DE21" s="162"/>
      <c r="DF21" s="162"/>
      <c r="DG21" s="162"/>
      <c r="DH21" s="162"/>
      <c r="DI21" s="162"/>
      <c r="DJ21" s="162"/>
      <c r="DK21" s="162"/>
      <c r="DL21" s="162"/>
      <c r="DM21" s="162"/>
      <c r="DN21" s="162"/>
      <c r="DO21" s="162"/>
      <c r="DP21" s="162"/>
      <c r="DQ21" s="162"/>
      <c r="DR21" s="162"/>
      <c r="DS21" s="162"/>
      <c r="DT21" s="162"/>
      <c r="DU21" s="162"/>
      <c r="DV21" s="162"/>
      <c r="DW21" s="162"/>
      <c r="DX21" s="162"/>
      <c r="DY21" s="162"/>
      <c r="DZ21" s="162"/>
      <c r="EA21" s="162"/>
      <c r="EB21" s="162"/>
      <c r="EC21" s="162"/>
      <c r="ED21" s="162"/>
      <c r="EE21" s="162"/>
      <c r="EF21" s="162"/>
      <c r="EG21" s="162"/>
      <c r="EH21" s="162"/>
      <c r="EI21" s="162"/>
      <c r="EJ21" s="162"/>
      <c r="EK21" s="162"/>
      <c r="EL21" s="162"/>
      <c r="EM21" s="162"/>
      <c r="EN21" s="162"/>
      <c r="EO21" s="162"/>
      <c r="EP21" s="162"/>
      <c r="EQ21" s="162"/>
      <c r="ER21" s="162"/>
      <c r="ES21" s="162"/>
      <c r="ET21" s="162"/>
      <c r="EU21" s="162"/>
      <c r="EV21" s="162"/>
      <c r="EW21" s="162"/>
      <c r="EX21" s="162"/>
      <c r="EY21" s="162"/>
      <c r="EZ21" s="162"/>
      <c r="FA21" s="162"/>
      <c r="FB21" s="162"/>
      <c r="FC21" s="162"/>
      <c r="FD21" s="162"/>
      <c r="FE21" s="162"/>
      <c r="FF21" s="162"/>
      <c r="FG21" s="162"/>
      <c r="FH21" s="162"/>
      <c r="FI21" s="162"/>
      <c r="FJ21" s="162"/>
      <c r="FK21" s="162"/>
      <c r="FL21" s="162"/>
      <c r="FM21" s="162"/>
      <c r="FN21" s="162"/>
      <c r="FO21" s="162"/>
      <c r="FP21" s="162"/>
      <c r="FQ21" s="162"/>
      <c r="FR21" s="162"/>
      <c r="FS21" s="162"/>
      <c r="FT21" s="162"/>
      <c r="FU21" s="162"/>
      <c r="FV21" s="162"/>
      <c r="FW21" s="162"/>
      <c r="FX21" s="162"/>
      <c r="FY21" s="162"/>
      <c r="FZ21" s="162"/>
      <c r="GA21" s="162"/>
      <c r="GB21" s="162"/>
      <c r="GC21" s="162"/>
      <c r="GD21" s="162"/>
      <c r="GE21" s="162"/>
      <c r="GF21" s="162"/>
      <c r="GG21" s="162"/>
      <c r="GH21" s="162"/>
      <c r="GI21" s="162"/>
      <c r="GJ21" s="162"/>
      <c r="GK21" s="162"/>
      <c r="GL21" s="162"/>
      <c r="GM21" s="162"/>
      <c r="GN21" s="162"/>
      <c r="GO21" s="162"/>
      <c r="GP21" s="162"/>
      <c r="GQ21" s="162"/>
      <c r="GR21" s="162"/>
      <c r="GS21" s="162"/>
      <c r="GT21" s="162"/>
      <c r="GU21" s="162"/>
      <c r="GV21" s="162"/>
      <c r="GW21" s="162"/>
      <c r="GX21" s="162"/>
      <c r="GY21" s="162"/>
      <c r="GZ21" s="162"/>
      <c r="HA21" s="162"/>
      <c r="HB21" s="162"/>
      <c r="HC21" s="162"/>
      <c r="HD21" s="162"/>
      <c r="HE21" s="162"/>
      <c r="HF21" s="162"/>
      <c r="HG21" s="162"/>
      <c r="HH21" s="162"/>
      <c r="HI21" s="162"/>
      <c r="HJ21" s="162"/>
      <c r="HK21" s="162"/>
      <c r="HL21" s="162"/>
      <c r="HM21" s="162"/>
      <c r="HN21" s="162"/>
      <c r="HO21" s="162"/>
      <c r="HP21" s="162"/>
      <c r="HQ21" s="162"/>
      <c r="HR21" s="162"/>
      <c r="HS21" s="162"/>
      <c r="HT21" s="162"/>
      <c r="HU21" s="162"/>
      <c r="HV21" s="162"/>
      <c r="HW21" s="162"/>
      <c r="HX21" s="162"/>
      <c r="HY21" s="162"/>
      <c r="HZ21" s="162"/>
      <c r="IA21" s="162"/>
      <c r="IB21" s="162"/>
      <c r="IC21" s="162"/>
      <c r="ID21" s="162"/>
      <c r="IE21" s="162"/>
      <c r="IF21" s="162"/>
      <c r="IG21" s="162"/>
      <c r="IH21" s="162"/>
      <c r="II21" s="162"/>
      <c r="IJ21" s="162"/>
      <c r="IK21" s="162"/>
      <c r="IL21" s="162"/>
      <c r="IM21" s="162"/>
      <c r="IN21" s="162"/>
      <c r="IO21" s="162"/>
      <c r="IP21" s="162"/>
      <c r="IQ21" s="162"/>
      <c r="IR21" s="162"/>
      <c r="IS21" s="162"/>
      <c r="IT21" s="162"/>
      <c r="IU21" s="162"/>
      <c r="IV21" s="162"/>
      <c r="IW21" s="162"/>
      <c r="IX21" s="162"/>
      <c r="IY21" s="162"/>
      <c r="IZ21" s="162"/>
      <c r="JA21" s="162"/>
      <c r="JB21" s="162"/>
      <c r="JC21" s="162"/>
      <c r="JD21" s="162"/>
      <c r="JE21" s="162"/>
      <c r="JF21" s="162"/>
      <c r="JG21" s="162"/>
      <c r="JH21" s="162"/>
      <c r="JI21" s="162"/>
      <c r="JJ21" s="162"/>
      <c r="JK21" s="162"/>
    </row>
    <row r="22" ht="18.75" customHeight="1">
      <c r="A22" s="153"/>
      <c r="B22" s="154"/>
      <c r="C22" s="154"/>
      <c r="D22" s="154"/>
      <c r="E22" s="159"/>
      <c r="F22" s="154"/>
      <c r="G22" s="154"/>
      <c r="H22" s="154"/>
      <c r="I22" s="154"/>
      <c r="J22" s="173" t="s">
        <v>45</v>
      </c>
      <c r="K22" s="174" t="s">
        <v>46</v>
      </c>
      <c r="L22" s="175" t="s">
        <v>47</v>
      </c>
      <c r="M22" s="176" t="s">
        <v>48</v>
      </c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162"/>
      <c r="BB22" s="162"/>
      <c r="BC22" s="162"/>
      <c r="BD22" s="162"/>
      <c r="BE22" s="162"/>
      <c r="BF22" s="162"/>
      <c r="BG22" s="162"/>
      <c r="BH22" s="162"/>
      <c r="BI22" s="162"/>
      <c r="BJ22" s="162"/>
      <c r="BK22" s="162"/>
      <c r="BL22" s="162"/>
      <c r="BM22" s="162"/>
      <c r="BN22" s="162"/>
      <c r="BO22" s="162"/>
      <c r="BP22" s="162"/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162"/>
      <c r="CC22" s="162"/>
      <c r="CD22" s="162"/>
      <c r="CE22" s="162"/>
      <c r="CF22" s="162"/>
      <c r="CG22" s="162"/>
      <c r="CH22" s="162"/>
      <c r="CI22" s="162"/>
      <c r="CJ22" s="162"/>
      <c r="CK22" s="162"/>
      <c r="CL22" s="162"/>
      <c r="CM22" s="162"/>
      <c r="CN22" s="162"/>
      <c r="CO22" s="162"/>
      <c r="CP22" s="162"/>
      <c r="CQ22" s="162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  <c r="DB22" s="162"/>
      <c r="DC22" s="162"/>
      <c r="DD22" s="162"/>
      <c r="DE22" s="162"/>
      <c r="DF22" s="162"/>
      <c r="DG22" s="162"/>
      <c r="DH22" s="162"/>
      <c r="DI22" s="162"/>
      <c r="DJ22" s="162"/>
      <c r="DK22" s="162"/>
      <c r="DL22" s="162"/>
      <c r="DM22" s="162"/>
      <c r="DN22" s="162"/>
      <c r="DO22" s="162"/>
      <c r="DP22" s="162"/>
      <c r="DQ22" s="162"/>
      <c r="DR22" s="162"/>
      <c r="DS22" s="162"/>
      <c r="DT22" s="162"/>
      <c r="DU22" s="162"/>
      <c r="DV22" s="162"/>
      <c r="DW22" s="162"/>
      <c r="DX22" s="162"/>
      <c r="DY22" s="162"/>
      <c r="DZ22" s="162"/>
      <c r="EA22" s="162"/>
      <c r="EB22" s="162"/>
      <c r="EC22" s="162"/>
      <c r="ED22" s="162"/>
      <c r="EE22" s="162"/>
      <c r="EF22" s="162"/>
      <c r="EG22" s="162"/>
      <c r="EH22" s="162"/>
      <c r="EI22" s="162"/>
      <c r="EJ22" s="162"/>
      <c r="EK22" s="162"/>
      <c r="EL22" s="162"/>
      <c r="EM22" s="162"/>
      <c r="EN22" s="162"/>
      <c r="EO22" s="162"/>
      <c r="EP22" s="162"/>
      <c r="EQ22" s="162"/>
      <c r="ER22" s="162"/>
      <c r="ES22" s="162"/>
      <c r="ET22" s="162"/>
      <c r="EU22" s="162"/>
      <c r="EV22" s="162"/>
      <c r="EW22" s="162"/>
      <c r="EX22" s="162"/>
      <c r="EY22" s="162"/>
      <c r="EZ22" s="162"/>
      <c r="FA22" s="162"/>
      <c r="FB22" s="162"/>
      <c r="FC22" s="162"/>
      <c r="FD22" s="162"/>
      <c r="FE22" s="162"/>
      <c r="FF22" s="162"/>
      <c r="FG22" s="162"/>
      <c r="FH22" s="162"/>
      <c r="FI22" s="162"/>
      <c r="FJ22" s="162"/>
      <c r="FK22" s="162"/>
      <c r="FL22" s="162"/>
      <c r="FM22" s="162"/>
      <c r="FN22" s="162"/>
      <c r="FO22" s="162"/>
      <c r="FP22" s="162"/>
      <c r="FQ22" s="162"/>
      <c r="FR22" s="162"/>
      <c r="FS22" s="162"/>
      <c r="FT22" s="162"/>
      <c r="FU22" s="162"/>
      <c r="FV22" s="162"/>
      <c r="FW22" s="162"/>
      <c r="FX22" s="162"/>
      <c r="FY22" s="162"/>
      <c r="FZ22" s="162"/>
      <c r="GA22" s="162"/>
      <c r="GB22" s="162"/>
      <c r="GC22" s="162"/>
      <c r="GD22" s="162"/>
      <c r="GE22" s="162"/>
      <c r="GF22" s="162"/>
      <c r="GG22" s="162"/>
      <c r="GH22" s="162"/>
      <c r="GI22" s="162"/>
      <c r="GJ22" s="162"/>
      <c r="GK22" s="162"/>
      <c r="GL22" s="162"/>
      <c r="GM22" s="162"/>
      <c r="GN22" s="162"/>
      <c r="GO22" s="162"/>
      <c r="GP22" s="162"/>
      <c r="GQ22" s="162"/>
      <c r="GR22" s="162"/>
      <c r="GS22" s="162"/>
      <c r="GT22" s="162"/>
      <c r="GU22" s="162"/>
      <c r="GV22" s="162"/>
      <c r="GW22" s="162"/>
      <c r="GX22" s="162"/>
      <c r="GY22" s="162"/>
      <c r="GZ22" s="162"/>
      <c r="HA22" s="162"/>
      <c r="HB22" s="162"/>
      <c r="HC22" s="162"/>
      <c r="HD22" s="162"/>
      <c r="HE22" s="162"/>
      <c r="HF22" s="162"/>
      <c r="HG22" s="162"/>
      <c r="HH22" s="162"/>
      <c r="HI22" s="162"/>
      <c r="HJ22" s="162"/>
      <c r="HK22" s="162"/>
      <c r="HL22" s="162"/>
      <c r="HM22" s="162"/>
      <c r="HN22" s="162"/>
      <c r="HO22" s="162"/>
      <c r="HP22" s="162"/>
      <c r="HQ22" s="162"/>
      <c r="HR22" s="162"/>
      <c r="HS22" s="162"/>
      <c r="HT22" s="162"/>
      <c r="HU22" s="162"/>
      <c r="HV22" s="162"/>
      <c r="HW22" s="162"/>
      <c r="HX22" s="162"/>
      <c r="HY22" s="162"/>
      <c r="HZ22" s="162"/>
      <c r="IA22" s="162"/>
      <c r="IB22" s="162"/>
      <c r="IC22" s="162"/>
      <c r="ID22" s="162"/>
      <c r="IE22" s="162"/>
      <c r="IF22" s="162"/>
      <c r="IG22" s="162"/>
      <c r="IH22" s="162"/>
      <c r="II22" s="162"/>
      <c r="IJ22" s="162"/>
      <c r="IK22" s="162"/>
      <c r="IL22" s="162"/>
      <c r="IM22" s="162"/>
      <c r="IN22" s="162"/>
      <c r="IO22" s="162"/>
      <c r="IP22" s="162"/>
      <c r="IQ22" s="162"/>
      <c r="IR22" s="162"/>
      <c r="IS22" s="162"/>
      <c r="IT22" s="162"/>
      <c r="IU22" s="162"/>
      <c r="IV22" s="162"/>
      <c r="IW22" s="162"/>
      <c r="IX22" s="162"/>
      <c r="IY22" s="162"/>
      <c r="IZ22" s="162"/>
      <c r="JA22" s="162"/>
      <c r="JB22" s="162"/>
      <c r="JC22" s="162"/>
      <c r="JD22" s="162"/>
      <c r="JE22" s="162"/>
      <c r="JF22" s="162"/>
      <c r="JG22" s="162"/>
      <c r="JH22" s="162"/>
      <c r="JI22" s="162"/>
      <c r="JJ22" s="162"/>
      <c r="JK22" s="162"/>
    </row>
    <row r="23" ht="18.75" customHeight="1">
      <c r="A23" s="153"/>
      <c r="B23" s="154"/>
      <c r="C23" s="154"/>
      <c r="D23" s="154"/>
      <c r="E23" s="159"/>
      <c r="F23" s="154"/>
      <c r="G23" s="154"/>
      <c r="H23" s="154"/>
      <c r="I23" s="154"/>
      <c r="J23" s="167"/>
      <c r="K23" s="84"/>
      <c r="L23" s="84"/>
      <c r="M23" s="168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  <c r="BB23" s="162"/>
      <c r="BC23" s="162"/>
      <c r="BD23" s="162"/>
      <c r="BE23" s="162"/>
      <c r="BF23" s="162"/>
      <c r="BG23" s="162"/>
      <c r="BH23" s="162"/>
      <c r="BI23" s="162"/>
      <c r="BJ23" s="162"/>
      <c r="BK23" s="162"/>
      <c r="BL23" s="162"/>
      <c r="BM23" s="162"/>
      <c r="BN23" s="162"/>
      <c r="BO23" s="162"/>
      <c r="BP23" s="162"/>
      <c r="BQ23" s="162"/>
      <c r="BR23" s="162"/>
      <c r="BS23" s="162"/>
      <c r="BT23" s="162"/>
      <c r="BU23" s="162"/>
      <c r="BV23" s="162"/>
      <c r="BW23" s="162"/>
      <c r="BX23" s="162"/>
      <c r="BY23" s="162"/>
      <c r="BZ23" s="162"/>
      <c r="CA23" s="162"/>
      <c r="CB23" s="162"/>
      <c r="CC23" s="162"/>
      <c r="CD23" s="162"/>
      <c r="CE23" s="162"/>
      <c r="CF23" s="162"/>
      <c r="CG23" s="162"/>
      <c r="CH23" s="162"/>
      <c r="CI23" s="162"/>
      <c r="CJ23" s="162"/>
      <c r="CK23" s="162"/>
      <c r="CL23" s="162"/>
      <c r="CM23" s="162"/>
      <c r="CN23" s="162"/>
      <c r="CO23" s="162"/>
      <c r="CP23" s="162"/>
      <c r="CQ23" s="162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  <c r="DB23" s="162"/>
      <c r="DC23" s="162"/>
      <c r="DD23" s="162"/>
      <c r="DE23" s="162"/>
      <c r="DF23" s="162"/>
      <c r="DG23" s="162"/>
      <c r="DH23" s="162"/>
      <c r="DI23" s="162"/>
      <c r="DJ23" s="162"/>
      <c r="DK23" s="162"/>
      <c r="DL23" s="162"/>
      <c r="DM23" s="162"/>
      <c r="DN23" s="162"/>
      <c r="DO23" s="162"/>
      <c r="DP23" s="162"/>
      <c r="DQ23" s="162"/>
      <c r="DR23" s="162"/>
      <c r="DS23" s="162"/>
      <c r="DT23" s="162"/>
      <c r="DU23" s="162"/>
      <c r="DV23" s="162"/>
      <c r="DW23" s="162"/>
      <c r="DX23" s="162"/>
      <c r="DY23" s="162"/>
      <c r="DZ23" s="162"/>
      <c r="EA23" s="162"/>
      <c r="EB23" s="162"/>
      <c r="EC23" s="162"/>
      <c r="ED23" s="162"/>
      <c r="EE23" s="162"/>
      <c r="EF23" s="162"/>
      <c r="EG23" s="162"/>
      <c r="EH23" s="162"/>
      <c r="EI23" s="162"/>
      <c r="EJ23" s="162"/>
      <c r="EK23" s="162"/>
      <c r="EL23" s="162"/>
      <c r="EM23" s="162"/>
      <c r="EN23" s="162"/>
      <c r="EO23" s="162"/>
      <c r="EP23" s="162"/>
      <c r="EQ23" s="162"/>
      <c r="ER23" s="162"/>
      <c r="ES23" s="162"/>
      <c r="ET23" s="162"/>
      <c r="EU23" s="162"/>
      <c r="EV23" s="162"/>
      <c r="EW23" s="162"/>
      <c r="EX23" s="162"/>
      <c r="EY23" s="162"/>
      <c r="EZ23" s="162"/>
      <c r="FA23" s="162"/>
      <c r="FB23" s="162"/>
      <c r="FC23" s="162"/>
      <c r="FD23" s="162"/>
      <c r="FE23" s="162"/>
      <c r="FF23" s="162"/>
      <c r="FG23" s="162"/>
      <c r="FH23" s="162"/>
      <c r="FI23" s="162"/>
      <c r="FJ23" s="162"/>
      <c r="FK23" s="162"/>
      <c r="FL23" s="162"/>
      <c r="FM23" s="162"/>
      <c r="FN23" s="162"/>
      <c r="FO23" s="162"/>
      <c r="FP23" s="162"/>
      <c r="FQ23" s="162"/>
      <c r="FR23" s="162"/>
      <c r="FS23" s="162"/>
      <c r="FT23" s="162"/>
      <c r="FU23" s="162"/>
      <c r="FV23" s="162"/>
      <c r="FW23" s="162"/>
      <c r="FX23" s="162"/>
      <c r="FY23" s="162"/>
      <c r="FZ23" s="162"/>
      <c r="GA23" s="162"/>
      <c r="GB23" s="162"/>
      <c r="GC23" s="162"/>
      <c r="GD23" s="162"/>
      <c r="GE23" s="162"/>
      <c r="GF23" s="162"/>
      <c r="GG23" s="162"/>
      <c r="GH23" s="162"/>
      <c r="GI23" s="162"/>
      <c r="GJ23" s="162"/>
      <c r="GK23" s="162"/>
      <c r="GL23" s="162"/>
      <c r="GM23" s="162"/>
      <c r="GN23" s="162"/>
      <c r="GO23" s="162"/>
      <c r="GP23" s="162"/>
      <c r="GQ23" s="162"/>
      <c r="GR23" s="162"/>
      <c r="GS23" s="162"/>
      <c r="GT23" s="162"/>
      <c r="GU23" s="162"/>
      <c r="GV23" s="162"/>
      <c r="GW23" s="162"/>
      <c r="GX23" s="162"/>
      <c r="GY23" s="162"/>
      <c r="GZ23" s="162"/>
      <c r="HA23" s="162"/>
      <c r="HB23" s="162"/>
      <c r="HC23" s="162"/>
      <c r="HD23" s="162"/>
      <c r="HE23" s="162"/>
      <c r="HF23" s="162"/>
      <c r="HG23" s="162"/>
      <c r="HH23" s="162"/>
      <c r="HI23" s="162"/>
      <c r="HJ23" s="162"/>
      <c r="HK23" s="162"/>
      <c r="HL23" s="162"/>
      <c r="HM23" s="162"/>
      <c r="HN23" s="162"/>
      <c r="HO23" s="162"/>
      <c r="HP23" s="162"/>
      <c r="HQ23" s="162"/>
      <c r="HR23" s="162"/>
      <c r="HS23" s="162"/>
      <c r="HT23" s="162"/>
      <c r="HU23" s="162"/>
      <c r="HV23" s="162"/>
      <c r="HW23" s="162"/>
      <c r="HX23" s="162"/>
      <c r="HY23" s="162"/>
      <c r="HZ23" s="162"/>
      <c r="IA23" s="162"/>
      <c r="IB23" s="162"/>
      <c r="IC23" s="162"/>
      <c r="ID23" s="162"/>
      <c r="IE23" s="162"/>
      <c r="IF23" s="162"/>
      <c r="IG23" s="162"/>
      <c r="IH23" s="162"/>
      <c r="II23" s="162"/>
      <c r="IJ23" s="162"/>
      <c r="IK23" s="162"/>
      <c r="IL23" s="162"/>
      <c r="IM23" s="162"/>
      <c r="IN23" s="162"/>
      <c r="IO23" s="162"/>
      <c r="IP23" s="162"/>
      <c r="IQ23" s="162"/>
      <c r="IR23" s="162"/>
      <c r="IS23" s="162"/>
      <c r="IT23" s="162"/>
      <c r="IU23" s="162"/>
      <c r="IV23" s="162"/>
      <c r="IW23" s="162"/>
      <c r="IX23" s="162"/>
      <c r="IY23" s="162"/>
      <c r="IZ23" s="162"/>
      <c r="JA23" s="162"/>
      <c r="JB23" s="162"/>
      <c r="JC23" s="162"/>
      <c r="JD23" s="162"/>
      <c r="JE23" s="162"/>
      <c r="JF23" s="162"/>
      <c r="JG23" s="162"/>
      <c r="JH23" s="162"/>
      <c r="JI23" s="162"/>
      <c r="JJ23" s="162"/>
      <c r="JK23" s="162"/>
    </row>
    <row r="24" ht="18.75" customHeight="1">
      <c r="A24" s="153"/>
      <c r="B24" s="154"/>
      <c r="C24" s="154"/>
      <c r="D24" s="154"/>
      <c r="E24" s="159"/>
      <c r="F24" s="154"/>
      <c r="G24" s="154"/>
      <c r="H24" s="154"/>
      <c r="I24" s="154"/>
      <c r="J24" s="177">
        <v>2.0</v>
      </c>
      <c r="K24" s="171">
        <v>124.0</v>
      </c>
      <c r="L24" s="171">
        <v>27.0</v>
      </c>
      <c r="M24" s="178">
        <v>0.0</v>
      </c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2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  <c r="BB24" s="162"/>
      <c r="BC24" s="162"/>
      <c r="BD24" s="162"/>
      <c r="BE24" s="162"/>
      <c r="BF24" s="162"/>
      <c r="BG24" s="162"/>
      <c r="BH24" s="162"/>
      <c r="BI24" s="162"/>
      <c r="BJ24" s="162"/>
      <c r="BK24" s="162"/>
      <c r="BL24" s="162"/>
      <c r="BM24" s="162"/>
      <c r="BN24" s="162"/>
      <c r="BO24" s="162"/>
      <c r="BP24" s="162"/>
      <c r="BQ24" s="162"/>
      <c r="BR24" s="162"/>
      <c r="BS24" s="162"/>
      <c r="BT24" s="162"/>
      <c r="BU24" s="162"/>
      <c r="BV24" s="162"/>
      <c r="BW24" s="162"/>
      <c r="BX24" s="162"/>
      <c r="BY24" s="162"/>
      <c r="BZ24" s="162"/>
      <c r="CA24" s="162"/>
      <c r="CB24" s="162"/>
      <c r="CC24" s="162"/>
      <c r="CD24" s="162"/>
      <c r="CE24" s="162"/>
      <c r="CF24" s="162"/>
      <c r="CG24" s="162"/>
      <c r="CH24" s="162"/>
      <c r="CI24" s="162"/>
      <c r="CJ24" s="162"/>
      <c r="CK24" s="162"/>
      <c r="CL24" s="162"/>
      <c r="CM24" s="162"/>
      <c r="CN24" s="162"/>
      <c r="CO24" s="162"/>
      <c r="CP24" s="162"/>
      <c r="CQ24" s="162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  <c r="DB24" s="162"/>
      <c r="DC24" s="162"/>
      <c r="DD24" s="162"/>
      <c r="DE24" s="162"/>
      <c r="DF24" s="162"/>
      <c r="DG24" s="162"/>
      <c r="DH24" s="162"/>
      <c r="DI24" s="162"/>
      <c r="DJ24" s="162"/>
      <c r="DK24" s="162"/>
      <c r="DL24" s="162"/>
      <c r="DM24" s="162"/>
      <c r="DN24" s="162"/>
      <c r="DO24" s="162"/>
      <c r="DP24" s="162"/>
      <c r="DQ24" s="162"/>
      <c r="DR24" s="162"/>
      <c r="DS24" s="162"/>
      <c r="DT24" s="162"/>
      <c r="DU24" s="162"/>
      <c r="DV24" s="162"/>
      <c r="DW24" s="162"/>
      <c r="DX24" s="162"/>
      <c r="DY24" s="162"/>
      <c r="DZ24" s="162"/>
      <c r="EA24" s="162"/>
      <c r="EB24" s="162"/>
      <c r="EC24" s="162"/>
      <c r="ED24" s="162"/>
      <c r="EE24" s="162"/>
      <c r="EF24" s="162"/>
      <c r="EG24" s="162"/>
      <c r="EH24" s="162"/>
      <c r="EI24" s="162"/>
      <c r="EJ24" s="162"/>
      <c r="EK24" s="162"/>
      <c r="EL24" s="162"/>
      <c r="EM24" s="162"/>
      <c r="EN24" s="162"/>
      <c r="EO24" s="162"/>
      <c r="EP24" s="162"/>
      <c r="EQ24" s="162"/>
      <c r="ER24" s="162"/>
      <c r="ES24" s="162"/>
      <c r="ET24" s="162"/>
      <c r="EU24" s="162"/>
      <c r="EV24" s="162"/>
      <c r="EW24" s="162"/>
      <c r="EX24" s="162"/>
      <c r="EY24" s="162"/>
      <c r="EZ24" s="162"/>
      <c r="FA24" s="162"/>
      <c r="FB24" s="162"/>
      <c r="FC24" s="162"/>
      <c r="FD24" s="162"/>
      <c r="FE24" s="162"/>
      <c r="FF24" s="162"/>
      <c r="FG24" s="162"/>
      <c r="FH24" s="162"/>
      <c r="FI24" s="162"/>
      <c r="FJ24" s="162"/>
      <c r="FK24" s="162"/>
      <c r="FL24" s="162"/>
      <c r="FM24" s="162"/>
      <c r="FN24" s="162"/>
      <c r="FO24" s="162"/>
      <c r="FP24" s="162"/>
      <c r="FQ24" s="162"/>
      <c r="FR24" s="162"/>
      <c r="FS24" s="162"/>
      <c r="FT24" s="162"/>
      <c r="FU24" s="162"/>
      <c r="FV24" s="162"/>
      <c r="FW24" s="162"/>
      <c r="FX24" s="162"/>
      <c r="FY24" s="162"/>
      <c r="FZ24" s="162"/>
      <c r="GA24" s="162"/>
      <c r="GB24" s="162"/>
      <c r="GC24" s="162"/>
      <c r="GD24" s="162"/>
      <c r="GE24" s="162"/>
      <c r="GF24" s="162"/>
      <c r="GG24" s="162"/>
      <c r="GH24" s="162"/>
      <c r="GI24" s="162"/>
      <c r="GJ24" s="162"/>
      <c r="GK24" s="162"/>
      <c r="GL24" s="162"/>
      <c r="GM24" s="162"/>
      <c r="GN24" s="162"/>
      <c r="GO24" s="162"/>
      <c r="GP24" s="162"/>
      <c r="GQ24" s="162"/>
      <c r="GR24" s="162"/>
      <c r="GS24" s="162"/>
      <c r="GT24" s="162"/>
      <c r="GU24" s="162"/>
      <c r="GV24" s="162"/>
      <c r="GW24" s="162"/>
      <c r="GX24" s="162"/>
      <c r="GY24" s="162"/>
      <c r="GZ24" s="162"/>
      <c r="HA24" s="162"/>
      <c r="HB24" s="162"/>
      <c r="HC24" s="162"/>
      <c r="HD24" s="162"/>
      <c r="HE24" s="162"/>
      <c r="HF24" s="162"/>
      <c r="HG24" s="162"/>
      <c r="HH24" s="162"/>
      <c r="HI24" s="162"/>
      <c r="HJ24" s="162"/>
      <c r="HK24" s="162"/>
      <c r="HL24" s="162"/>
      <c r="HM24" s="162"/>
      <c r="HN24" s="162"/>
      <c r="HO24" s="162"/>
      <c r="HP24" s="162"/>
      <c r="HQ24" s="162"/>
      <c r="HR24" s="162"/>
      <c r="HS24" s="162"/>
      <c r="HT24" s="162"/>
      <c r="HU24" s="162"/>
      <c r="HV24" s="162"/>
      <c r="HW24" s="162"/>
      <c r="HX24" s="162"/>
      <c r="HY24" s="162"/>
      <c r="HZ24" s="162"/>
      <c r="IA24" s="162"/>
      <c r="IB24" s="162"/>
      <c r="IC24" s="162"/>
      <c r="ID24" s="162"/>
      <c r="IE24" s="162"/>
      <c r="IF24" s="162"/>
      <c r="IG24" s="162"/>
      <c r="IH24" s="162"/>
      <c r="II24" s="162"/>
      <c r="IJ24" s="162"/>
      <c r="IK24" s="162"/>
      <c r="IL24" s="162"/>
      <c r="IM24" s="162"/>
      <c r="IN24" s="162"/>
      <c r="IO24" s="162"/>
      <c r="IP24" s="162"/>
      <c r="IQ24" s="162"/>
      <c r="IR24" s="162"/>
      <c r="IS24" s="162"/>
      <c r="IT24" s="162"/>
      <c r="IU24" s="162"/>
      <c r="IV24" s="162"/>
      <c r="IW24" s="162"/>
      <c r="IX24" s="162"/>
      <c r="IY24" s="162"/>
      <c r="IZ24" s="162"/>
      <c r="JA24" s="162"/>
      <c r="JB24" s="162"/>
      <c r="JC24" s="162"/>
      <c r="JD24" s="162"/>
      <c r="JE24" s="162"/>
      <c r="JF24" s="162"/>
      <c r="JG24" s="162"/>
      <c r="JH24" s="162"/>
      <c r="JI24" s="162"/>
      <c r="JJ24" s="162"/>
      <c r="JK24" s="162"/>
    </row>
    <row r="25" ht="18.75" customHeight="1">
      <c r="A25" s="153"/>
      <c r="B25" s="154"/>
      <c r="C25" s="154"/>
      <c r="D25" s="154"/>
      <c r="E25" s="159"/>
      <c r="F25" s="154"/>
      <c r="G25" s="154"/>
      <c r="H25" s="154"/>
      <c r="I25" s="154"/>
      <c r="J25" s="179" t="s">
        <v>50</v>
      </c>
      <c r="K25" s="92"/>
      <c r="L25" s="175" t="s">
        <v>51</v>
      </c>
      <c r="M25" s="176" t="s">
        <v>52</v>
      </c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  <c r="BI25" s="162"/>
      <c r="BJ25" s="162"/>
      <c r="BK25" s="162"/>
      <c r="BL25" s="162"/>
      <c r="BM25" s="162"/>
      <c r="BN25" s="162"/>
      <c r="BO25" s="162"/>
      <c r="BP25" s="162"/>
      <c r="BQ25" s="162"/>
      <c r="BR25" s="162"/>
      <c r="BS25" s="162"/>
      <c r="BT25" s="162"/>
      <c r="BU25" s="162"/>
      <c r="BV25" s="162"/>
      <c r="BW25" s="162"/>
      <c r="BX25" s="162"/>
      <c r="BY25" s="162"/>
      <c r="BZ25" s="162"/>
      <c r="CA25" s="162"/>
      <c r="CB25" s="162"/>
      <c r="CC25" s="162"/>
      <c r="CD25" s="162"/>
      <c r="CE25" s="162"/>
      <c r="CF25" s="162"/>
      <c r="CG25" s="162"/>
      <c r="CH25" s="162"/>
      <c r="CI25" s="162"/>
      <c r="CJ25" s="162"/>
      <c r="CK25" s="162"/>
      <c r="CL25" s="162"/>
      <c r="CM25" s="162"/>
      <c r="CN25" s="162"/>
      <c r="CO25" s="162"/>
      <c r="CP25" s="162"/>
      <c r="CQ25" s="162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  <c r="DB25" s="162"/>
      <c r="DC25" s="162"/>
      <c r="DD25" s="162"/>
      <c r="DE25" s="162"/>
      <c r="DF25" s="162"/>
      <c r="DG25" s="162"/>
      <c r="DH25" s="162"/>
      <c r="DI25" s="162"/>
      <c r="DJ25" s="162"/>
      <c r="DK25" s="162"/>
      <c r="DL25" s="162"/>
      <c r="DM25" s="162"/>
      <c r="DN25" s="162"/>
      <c r="DO25" s="162"/>
      <c r="DP25" s="162"/>
      <c r="DQ25" s="162"/>
      <c r="DR25" s="162"/>
      <c r="DS25" s="162"/>
      <c r="DT25" s="162"/>
      <c r="DU25" s="162"/>
      <c r="DV25" s="162"/>
      <c r="DW25" s="162"/>
      <c r="DX25" s="162"/>
      <c r="DY25" s="162"/>
      <c r="DZ25" s="162"/>
      <c r="EA25" s="162"/>
      <c r="EB25" s="162"/>
      <c r="EC25" s="162"/>
      <c r="ED25" s="162"/>
      <c r="EE25" s="162"/>
      <c r="EF25" s="162"/>
      <c r="EG25" s="162"/>
      <c r="EH25" s="162"/>
      <c r="EI25" s="162"/>
      <c r="EJ25" s="162"/>
      <c r="EK25" s="162"/>
      <c r="EL25" s="162"/>
      <c r="EM25" s="162"/>
      <c r="EN25" s="162"/>
      <c r="EO25" s="162"/>
      <c r="EP25" s="162"/>
      <c r="EQ25" s="162"/>
      <c r="ER25" s="162"/>
      <c r="ES25" s="162"/>
      <c r="ET25" s="162"/>
      <c r="EU25" s="162"/>
      <c r="EV25" s="162"/>
      <c r="EW25" s="162"/>
      <c r="EX25" s="162"/>
      <c r="EY25" s="162"/>
      <c r="EZ25" s="162"/>
      <c r="FA25" s="162"/>
      <c r="FB25" s="162"/>
      <c r="FC25" s="162"/>
      <c r="FD25" s="162"/>
      <c r="FE25" s="162"/>
      <c r="FF25" s="162"/>
      <c r="FG25" s="162"/>
      <c r="FH25" s="162"/>
      <c r="FI25" s="162"/>
      <c r="FJ25" s="162"/>
      <c r="FK25" s="162"/>
      <c r="FL25" s="162"/>
      <c r="FM25" s="162"/>
      <c r="FN25" s="162"/>
      <c r="FO25" s="162"/>
      <c r="FP25" s="162"/>
      <c r="FQ25" s="162"/>
      <c r="FR25" s="162"/>
      <c r="FS25" s="162"/>
      <c r="FT25" s="162"/>
      <c r="FU25" s="162"/>
      <c r="FV25" s="162"/>
      <c r="FW25" s="162"/>
      <c r="FX25" s="162"/>
      <c r="FY25" s="162"/>
      <c r="FZ25" s="162"/>
      <c r="GA25" s="162"/>
      <c r="GB25" s="162"/>
      <c r="GC25" s="162"/>
      <c r="GD25" s="162"/>
      <c r="GE25" s="162"/>
      <c r="GF25" s="162"/>
      <c r="GG25" s="162"/>
      <c r="GH25" s="162"/>
      <c r="GI25" s="162"/>
      <c r="GJ25" s="162"/>
      <c r="GK25" s="162"/>
      <c r="GL25" s="162"/>
      <c r="GM25" s="162"/>
      <c r="GN25" s="162"/>
      <c r="GO25" s="162"/>
      <c r="GP25" s="162"/>
      <c r="GQ25" s="162"/>
      <c r="GR25" s="162"/>
      <c r="GS25" s="162"/>
      <c r="GT25" s="162"/>
      <c r="GU25" s="162"/>
      <c r="GV25" s="162"/>
      <c r="GW25" s="162"/>
      <c r="GX25" s="162"/>
      <c r="GY25" s="162"/>
      <c r="GZ25" s="162"/>
      <c r="HA25" s="162"/>
      <c r="HB25" s="162"/>
      <c r="HC25" s="162"/>
      <c r="HD25" s="162"/>
      <c r="HE25" s="162"/>
      <c r="HF25" s="162"/>
      <c r="HG25" s="162"/>
      <c r="HH25" s="162"/>
      <c r="HI25" s="162"/>
      <c r="HJ25" s="162"/>
      <c r="HK25" s="162"/>
      <c r="HL25" s="162"/>
      <c r="HM25" s="162"/>
      <c r="HN25" s="162"/>
      <c r="HO25" s="162"/>
      <c r="HP25" s="162"/>
      <c r="HQ25" s="162"/>
      <c r="HR25" s="162"/>
      <c r="HS25" s="162"/>
      <c r="HT25" s="162"/>
      <c r="HU25" s="162"/>
      <c r="HV25" s="162"/>
      <c r="HW25" s="162"/>
      <c r="HX25" s="162"/>
      <c r="HY25" s="162"/>
      <c r="HZ25" s="162"/>
      <c r="IA25" s="162"/>
      <c r="IB25" s="162"/>
      <c r="IC25" s="162"/>
      <c r="ID25" s="162"/>
      <c r="IE25" s="162"/>
      <c r="IF25" s="162"/>
      <c r="IG25" s="162"/>
      <c r="IH25" s="162"/>
      <c r="II25" s="162"/>
      <c r="IJ25" s="162"/>
      <c r="IK25" s="162"/>
      <c r="IL25" s="162"/>
      <c r="IM25" s="162"/>
      <c r="IN25" s="162"/>
      <c r="IO25" s="162"/>
      <c r="IP25" s="162"/>
      <c r="IQ25" s="162"/>
      <c r="IR25" s="162"/>
      <c r="IS25" s="162"/>
      <c r="IT25" s="162"/>
      <c r="IU25" s="162"/>
      <c r="IV25" s="162"/>
      <c r="IW25" s="162"/>
      <c r="IX25" s="162"/>
      <c r="IY25" s="162"/>
      <c r="IZ25" s="162"/>
      <c r="JA25" s="162"/>
      <c r="JB25" s="162"/>
      <c r="JC25" s="162"/>
      <c r="JD25" s="162"/>
      <c r="JE25" s="162"/>
      <c r="JF25" s="162"/>
      <c r="JG25" s="162"/>
      <c r="JH25" s="162"/>
      <c r="JI25" s="162"/>
      <c r="JJ25" s="162"/>
      <c r="JK25" s="162"/>
    </row>
    <row r="26" ht="18.75" customHeight="1">
      <c r="A26" s="153"/>
      <c r="B26" s="154"/>
      <c r="C26" s="154"/>
      <c r="D26" s="154"/>
      <c r="E26" s="159"/>
      <c r="F26" s="154"/>
      <c r="G26" s="154"/>
      <c r="H26" s="154"/>
      <c r="I26" s="154"/>
      <c r="J26" s="180"/>
      <c r="K26" s="95"/>
      <c r="L26" s="84"/>
      <c r="M26" s="168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162"/>
      <c r="BB26" s="162"/>
      <c r="BC26" s="162"/>
      <c r="BD26" s="162"/>
      <c r="BE26" s="162"/>
      <c r="BF26" s="162"/>
      <c r="BG26" s="162"/>
      <c r="BH26" s="162"/>
      <c r="BI26" s="162"/>
      <c r="BJ26" s="162"/>
      <c r="BK26" s="162"/>
      <c r="BL26" s="162"/>
      <c r="BM26" s="162"/>
      <c r="BN26" s="162"/>
      <c r="BO26" s="162"/>
      <c r="BP26" s="162"/>
      <c r="BQ26" s="162"/>
      <c r="BR26" s="162"/>
      <c r="BS26" s="162"/>
      <c r="BT26" s="162"/>
      <c r="BU26" s="162"/>
      <c r="BV26" s="162"/>
      <c r="BW26" s="162"/>
      <c r="BX26" s="162"/>
      <c r="BY26" s="162"/>
      <c r="BZ26" s="162"/>
      <c r="CA26" s="162"/>
      <c r="CB26" s="162"/>
      <c r="CC26" s="162"/>
      <c r="CD26" s="162"/>
      <c r="CE26" s="162"/>
      <c r="CF26" s="162"/>
      <c r="CG26" s="162"/>
      <c r="CH26" s="162"/>
      <c r="CI26" s="162"/>
      <c r="CJ26" s="162"/>
      <c r="CK26" s="162"/>
      <c r="CL26" s="162"/>
      <c r="CM26" s="162"/>
      <c r="CN26" s="162"/>
      <c r="CO26" s="162"/>
      <c r="CP26" s="162"/>
      <c r="CQ26" s="162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  <c r="DB26" s="162"/>
      <c r="DC26" s="162"/>
      <c r="DD26" s="162"/>
      <c r="DE26" s="162"/>
      <c r="DF26" s="162"/>
      <c r="DG26" s="162"/>
      <c r="DH26" s="162"/>
      <c r="DI26" s="162"/>
      <c r="DJ26" s="162"/>
      <c r="DK26" s="162"/>
      <c r="DL26" s="162"/>
      <c r="DM26" s="162"/>
      <c r="DN26" s="162"/>
      <c r="DO26" s="162"/>
      <c r="DP26" s="162"/>
      <c r="DQ26" s="162"/>
      <c r="DR26" s="162"/>
      <c r="DS26" s="162"/>
      <c r="DT26" s="162"/>
      <c r="DU26" s="162"/>
      <c r="DV26" s="162"/>
      <c r="DW26" s="162"/>
      <c r="DX26" s="162"/>
      <c r="DY26" s="162"/>
      <c r="DZ26" s="162"/>
      <c r="EA26" s="162"/>
      <c r="EB26" s="162"/>
      <c r="EC26" s="162"/>
      <c r="ED26" s="162"/>
      <c r="EE26" s="162"/>
      <c r="EF26" s="162"/>
      <c r="EG26" s="162"/>
      <c r="EH26" s="162"/>
      <c r="EI26" s="162"/>
      <c r="EJ26" s="162"/>
      <c r="EK26" s="162"/>
      <c r="EL26" s="162"/>
      <c r="EM26" s="162"/>
      <c r="EN26" s="162"/>
      <c r="EO26" s="162"/>
      <c r="EP26" s="162"/>
      <c r="EQ26" s="162"/>
      <c r="ER26" s="162"/>
      <c r="ES26" s="162"/>
      <c r="ET26" s="162"/>
      <c r="EU26" s="162"/>
      <c r="EV26" s="162"/>
      <c r="EW26" s="162"/>
      <c r="EX26" s="162"/>
      <c r="EY26" s="162"/>
      <c r="EZ26" s="162"/>
      <c r="FA26" s="162"/>
      <c r="FB26" s="162"/>
      <c r="FC26" s="162"/>
      <c r="FD26" s="162"/>
      <c r="FE26" s="162"/>
      <c r="FF26" s="162"/>
      <c r="FG26" s="162"/>
      <c r="FH26" s="162"/>
      <c r="FI26" s="162"/>
      <c r="FJ26" s="162"/>
      <c r="FK26" s="162"/>
      <c r="FL26" s="162"/>
      <c r="FM26" s="162"/>
      <c r="FN26" s="162"/>
      <c r="FO26" s="162"/>
      <c r="FP26" s="162"/>
      <c r="FQ26" s="162"/>
      <c r="FR26" s="162"/>
      <c r="FS26" s="162"/>
      <c r="FT26" s="162"/>
      <c r="FU26" s="162"/>
      <c r="FV26" s="162"/>
      <c r="FW26" s="162"/>
      <c r="FX26" s="162"/>
      <c r="FY26" s="162"/>
      <c r="FZ26" s="162"/>
      <c r="GA26" s="162"/>
      <c r="GB26" s="162"/>
      <c r="GC26" s="162"/>
      <c r="GD26" s="162"/>
      <c r="GE26" s="162"/>
      <c r="GF26" s="162"/>
      <c r="GG26" s="162"/>
      <c r="GH26" s="162"/>
      <c r="GI26" s="162"/>
      <c r="GJ26" s="162"/>
      <c r="GK26" s="162"/>
      <c r="GL26" s="162"/>
      <c r="GM26" s="162"/>
      <c r="GN26" s="162"/>
      <c r="GO26" s="162"/>
      <c r="GP26" s="162"/>
      <c r="GQ26" s="162"/>
      <c r="GR26" s="162"/>
      <c r="GS26" s="162"/>
      <c r="GT26" s="162"/>
      <c r="GU26" s="162"/>
      <c r="GV26" s="162"/>
      <c r="GW26" s="162"/>
      <c r="GX26" s="162"/>
      <c r="GY26" s="162"/>
      <c r="GZ26" s="162"/>
      <c r="HA26" s="162"/>
      <c r="HB26" s="162"/>
      <c r="HC26" s="162"/>
      <c r="HD26" s="162"/>
      <c r="HE26" s="162"/>
      <c r="HF26" s="162"/>
      <c r="HG26" s="162"/>
      <c r="HH26" s="162"/>
      <c r="HI26" s="162"/>
      <c r="HJ26" s="162"/>
      <c r="HK26" s="162"/>
      <c r="HL26" s="162"/>
      <c r="HM26" s="162"/>
      <c r="HN26" s="162"/>
      <c r="HO26" s="162"/>
      <c r="HP26" s="162"/>
      <c r="HQ26" s="162"/>
      <c r="HR26" s="162"/>
      <c r="HS26" s="162"/>
      <c r="HT26" s="162"/>
      <c r="HU26" s="162"/>
      <c r="HV26" s="162"/>
      <c r="HW26" s="162"/>
      <c r="HX26" s="162"/>
      <c r="HY26" s="162"/>
      <c r="HZ26" s="162"/>
      <c r="IA26" s="162"/>
      <c r="IB26" s="162"/>
      <c r="IC26" s="162"/>
      <c r="ID26" s="162"/>
      <c r="IE26" s="162"/>
      <c r="IF26" s="162"/>
      <c r="IG26" s="162"/>
      <c r="IH26" s="162"/>
      <c r="II26" s="162"/>
      <c r="IJ26" s="162"/>
      <c r="IK26" s="162"/>
      <c r="IL26" s="162"/>
      <c r="IM26" s="162"/>
      <c r="IN26" s="162"/>
      <c r="IO26" s="162"/>
      <c r="IP26" s="162"/>
      <c r="IQ26" s="162"/>
      <c r="IR26" s="162"/>
      <c r="IS26" s="162"/>
      <c r="IT26" s="162"/>
      <c r="IU26" s="162"/>
      <c r="IV26" s="162"/>
      <c r="IW26" s="162"/>
      <c r="IX26" s="162"/>
      <c r="IY26" s="162"/>
      <c r="IZ26" s="162"/>
      <c r="JA26" s="162"/>
      <c r="JB26" s="162"/>
      <c r="JC26" s="162"/>
      <c r="JD26" s="162"/>
      <c r="JE26" s="162"/>
      <c r="JF26" s="162"/>
      <c r="JG26" s="162"/>
      <c r="JH26" s="162"/>
      <c r="JI26" s="162"/>
      <c r="JJ26" s="162"/>
      <c r="JK26" s="162"/>
    </row>
    <row r="27" ht="18.75" customHeight="1">
      <c r="A27" s="153"/>
      <c r="B27" s="154"/>
      <c r="C27" s="154"/>
      <c r="D27" s="154"/>
      <c r="E27" s="159"/>
      <c r="F27" s="154"/>
      <c r="G27" s="154"/>
      <c r="H27" s="154"/>
      <c r="I27" s="154"/>
      <c r="J27" s="181">
        <v>0.0</v>
      </c>
      <c r="K27" s="98"/>
      <c r="L27" s="182">
        <v>0.07407407407407407</v>
      </c>
      <c r="M27" s="183">
        <v>0.0</v>
      </c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  <c r="BB27" s="162"/>
      <c r="BC27" s="162"/>
      <c r="BD27" s="162"/>
      <c r="BE27" s="162"/>
      <c r="BF27" s="162"/>
      <c r="BG27" s="162"/>
      <c r="BH27" s="162"/>
      <c r="BI27" s="162"/>
      <c r="BJ27" s="162"/>
      <c r="BK27" s="162"/>
      <c r="BL27" s="162"/>
      <c r="BM27" s="162"/>
      <c r="BN27" s="162"/>
      <c r="BO27" s="162"/>
      <c r="BP27" s="162"/>
      <c r="BQ27" s="162"/>
      <c r="BR27" s="162"/>
      <c r="BS27" s="162"/>
      <c r="BT27" s="162"/>
      <c r="BU27" s="162"/>
      <c r="BV27" s="162"/>
      <c r="BW27" s="162"/>
      <c r="BX27" s="162"/>
      <c r="BY27" s="162"/>
      <c r="BZ27" s="162"/>
      <c r="CA27" s="162"/>
      <c r="CB27" s="162"/>
      <c r="CC27" s="162"/>
      <c r="CD27" s="162"/>
      <c r="CE27" s="162"/>
      <c r="CF27" s="162"/>
      <c r="CG27" s="162"/>
      <c r="CH27" s="162"/>
      <c r="CI27" s="162"/>
      <c r="CJ27" s="162"/>
      <c r="CK27" s="162"/>
      <c r="CL27" s="162"/>
      <c r="CM27" s="162"/>
      <c r="CN27" s="162"/>
      <c r="CO27" s="162"/>
      <c r="CP27" s="162"/>
      <c r="CQ27" s="162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  <c r="DB27" s="162"/>
      <c r="DC27" s="162"/>
      <c r="DD27" s="162"/>
      <c r="DE27" s="162"/>
      <c r="DF27" s="162"/>
      <c r="DG27" s="162"/>
      <c r="DH27" s="162"/>
      <c r="DI27" s="162"/>
      <c r="DJ27" s="162"/>
      <c r="DK27" s="162"/>
      <c r="DL27" s="162"/>
      <c r="DM27" s="162"/>
      <c r="DN27" s="162"/>
      <c r="DO27" s="162"/>
      <c r="DP27" s="162"/>
      <c r="DQ27" s="162"/>
      <c r="DR27" s="162"/>
      <c r="DS27" s="162"/>
      <c r="DT27" s="162"/>
      <c r="DU27" s="162"/>
      <c r="DV27" s="162"/>
      <c r="DW27" s="162"/>
      <c r="DX27" s="162"/>
      <c r="DY27" s="162"/>
      <c r="DZ27" s="162"/>
      <c r="EA27" s="162"/>
      <c r="EB27" s="162"/>
      <c r="EC27" s="162"/>
      <c r="ED27" s="162"/>
      <c r="EE27" s="162"/>
      <c r="EF27" s="162"/>
      <c r="EG27" s="162"/>
      <c r="EH27" s="162"/>
      <c r="EI27" s="162"/>
      <c r="EJ27" s="162"/>
      <c r="EK27" s="162"/>
      <c r="EL27" s="162"/>
      <c r="EM27" s="162"/>
      <c r="EN27" s="162"/>
      <c r="EO27" s="162"/>
      <c r="EP27" s="162"/>
      <c r="EQ27" s="162"/>
      <c r="ER27" s="162"/>
      <c r="ES27" s="162"/>
      <c r="ET27" s="162"/>
      <c r="EU27" s="162"/>
      <c r="EV27" s="162"/>
      <c r="EW27" s="162"/>
      <c r="EX27" s="162"/>
      <c r="EY27" s="162"/>
      <c r="EZ27" s="162"/>
      <c r="FA27" s="162"/>
      <c r="FB27" s="162"/>
      <c r="FC27" s="162"/>
      <c r="FD27" s="162"/>
      <c r="FE27" s="162"/>
      <c r="FF27" s="162"/>
      <c r="FG27" s="162"/>
      <c r="FH27" s="162"/>
      <c r="FI27" s="162"/>
      <c r="FJ27" s="162"/>
      <c r="FK27" s="162"/>
      <c r="FL27" s="162"/>
      <c r="FM27" s="162"/>
      <c r="FN27" s="162"/>
      <c r="FO27" s="162"/>
      <c r="FP27" s="162"/>
      <c r="FQ27" s="162"/>
      <c r="FR27" s="162"/>
      <c r="FS27" s="162"/>
      <c r="FT27" s="162"/>
      <c r="FU27" s="162"/>
      <c r="FV27" s="162"/>
      <c r="FW27" s="162"/>
      <c r="FX27" s="162"/>
      <c r="FY27" s="162"/>
      <c r="FZ27" s="162"/>
      <c r="GA27" s="162"/>
      <c r="GB27" s="162"/>
      <c r="GC27" s="162"/>
      <c r="GD27" s="162"/>
      <c r="GE27" s="162"/>
      <c r="GF27" s="162"/>
      <c r="GG27" s="162"/>
      <c r="GH27" s="162"/>
      <c r="GI27" s="162"/>
      <c r="GJ27" s="162"/>
      <c r="GK27" s="162"/>
      <c r="GL27" s="162"/>
      <c r="GM27" s="162"/>
      <c r="GN27" s="162"/>
      <c r="GO27" s="162"/>
      <c r="GP27" s="162"/>
      <c r="GQ27" s="162"/>
      <c r="GR27" s="162"/>
      <c r="GS27" s="162"/>
      <c r="GT27" s="162"/>
      <c r="GU27" s="162"/>
      <c r="GV27" s="162"/>
      <c r="GW27" s="162"/>
      <c r="GX27" s="162"/>
      <c r="GY27" s="162"/>
      <c r="GZ27" s="162"/>
      <c r="HA27" s="162"/>
      <c r="HB27" s="162"/>
      <c r="HC27" s="162"/>
      <c r="HD27" s="162"/>
      <c r="HE27" s="162"/>
      <c r="HF27" s="162"/>
      <c r="HG27" s="162"/>
      <c r="HH27" s="162"/>
      <c r="HI27" s="162"/>
      <c r="HJ27" s="162"/>
      <c r="HK27" s="162"/>
      <c r="HL27" s="162"/>
      <c r="HM27" s="162"/>
      <c r="HN27" s="162"/>
      <c r="HO27" s="162"/>
      <c r="HP27" s="162"/>
      <c r="HQ27" s="162"/>
      <c r="HR27" s="162"/>
      <c r="HS27" s="162"/>
      <c r="HT27" s="162"/>
      <c r="HU27" s="162"/>
      <c r="HV27" s="162"/>
      <c r="HW27" s="162"/>
      <c r="HX27" s="162"/>
      <c r="HY27" s="162"/>
      <c r="HZ27" s="162"/>
      <c r="IA27" s="162"/>
      <c r="IB27" s="162"/>
      <c r="IC27" s="162"/>
      <c r="ID27" s="162"/>
      <c r="IE27" s="162"/>
      <c r="IF27" s="162"/>
      <c r="IG27" s="162"/>
      <c r="IH27" s="162"/>
      <c r="II27" s="162"/>
      <c r="IJ27" s="162"/>
      <c r="IK27" s="162"/>
      <c r="IL27" s="162"/>
      <c r="IM27" s="162"/>
      <c r="IN27" s="162"/>
      <c r="IO27" s="162"/>
      <c r="IP27" s="162"/>
      <c r="IQ27" s="162"/>
      <c r="IR27" s="162"/>
      <c r="IS27" s="162"/>
      <c r="IT27" s="162"/>
      <c r="IU27" s="162"/>
      <c r="IV27" s="162"/>
      <c r="IW27" s="162"/>
      <c r="IX27" s="162"/>
      <c r="IY27" s="162"/>
      <c r="IZ27" s="162"/>
      <c r="JA27" s="162"/>
      <c r="JB27" s="162"/>
      <c r="JC27" s="162"/>
      <c r="JD27" s="162"/>
      <c r="JE27" s="162"/>
      <c r="JF27" s="162"/>
      <c r="JG27" s="162"/>
      <c r="JH27" s="162"/>
      <c r="JI27" s="162"/>
      <c r="JJ27" s="162"/>
      <c r="JK27" s="162"/>
    </row>
    <row r="28" ht="18.75" customHeight="1">
      <c r="A28" s="153"/>
      <c r="B28" s="154"/>
      <c r="C28" s="154"/>
      <c r="D28" s="154"/>
      <c r="E28" s="159"/>
      <c r="F28" s="154"/>
      <c r="G28" s="154"/>
      <c r="H28" s="154"/>
      <c r="I28" s="154"/>
      <c r="J28" s="184"/>
      <c r="L28" s="174" t="s">
        <v>53</v>
      </c>
      <c r="M28" s="176" t="s">
        <v>54</v>
      </c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162"/>
      <c r="BB28" s="162"/>
      <c r="BC28" s="162"/>
      <c r="BD28" s="162"/>
      <c r="BE28" s="162"/>
      <c r="BF28" s="162"/>
      <c r="BG28" s="162"/>
      <c r="BH28" s="162"/>
      <c r="BI28" s="162"/>
      <c r="BJ28" s="162"/>
      <c r="BK28" s="162"/>
      <c r="BL28" s="162"/>
      <c r="BM28" s="162"/>
      <c r="BN28" s="162"/>
      <c r="BO28" s="162"/>
      <c r="BP28" s="162"/>
      <c r="BQ28" s="162"/>
      <c r="BR28" s="162"/>
      <c r="BS28" s="162"/>
      <c r="BT28" s="162"/>
      <c r="BU28" s="162"/>
      <c r="BV28" s="162"/>
      <c r="BW28" s="162"/>
      <c r="BX28" s="162"/>
      <c r="BY28" s="162"/>
      <c r="BZ28" s="162"/>
      <c r="CA28" s="162"/>
      <c r="CB28" s="162"/>
      <c r="CC28" s="162"/>
      <c r="CD28" s="162"/>
      <c r="CE28" s="162"/>
      <c r="CF28" s="162"/>
      <c r="CG28" s="162"/>
      <c r="CH28" s="162"/>
      <c r="CI28" s="162"/>
      <c r="CJ28" s="162"/>
      <c r="CK28" s="162"/>
      <c r="CL28" s="162"/>
      <c r="CM28" s="162"/>
      <c r="CN28" s="162"/>
      <c r="CO28" s="162"/>
      <c r="CP28" s="162"/>
      <c r="CQ28" s="162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  <c r="DB28" s="162"/>
      <c r="DC28" s="162"/>
      <c r="DD28" s="162"/>
      <c r="DE28" s="162"/>
      <c r="DF28" s="162"/>
      <c r="DG28" s="162"/>
      <c r="DH28" s="162"/>
      <c r="DI28" s="162"/>
      <c r="DJ28" s="162"/>
      <c r="DK28" s="162"/>
      <c r="DL28" s="162"/>
      <c r="DM28" s="162"/>
      <c r="DN28" s="162"/>
      <c r="DO28" s="162"/>
      <c r="DP28" s="162"/>
      <c r="DQ28" s="162"/>
      <c r="DR28" s="162"/>
      <c r="DS28" s="162"/>
      <c r="DT28" s="162"/>
      <c r="DU28" s="162"/>
      <c r="DV28" s="162"/>
      <c r="DW28" s="162"/>
      <c r="DX28" s="162"/>
      <c r="DY28" s="162"/>
      <c r="DZ28" s="162"/>
      <c r="EA28" s="162"/>
      <c r="EB28" s="162"/>
      <c r="EC28" s="162"/>
      <c r="ED28" s="162"/>
      <c r="EE28" s="162"/>
      <c r="EF28" s="162"/>
      <c r="EG28" s="162"/>
      <c r="EH28" s="162"/>
      <c r="EI28" s="162"/>
      <c r="EJ28" s="162"/>
      <c r="EK28" s="162"/>
      <c r="EL28" s="162"/>
      <c r="EM28" s="162"/>
      <c r="EN28" s="162"/>
      <c r="EO28" s="162"/>
      <c r="EP28" s="162"/>
      <c r="EQ28" s="162"/>
      <c r="ER28" s="162"/>
      <c r="ES28" s="162"/>
      <c r="ET28" s="162"/>
      <c r="EU28" s="162"/>
      <c r="EV28" s="162"/>
      <c r="EW28" s="162"/>
      <c r="EX28" s="162"/>
      <c r="EY28" s="162"/>
      <c r="EZ28" s="162"/>
      <c r="FA28" s="162"/>
      <c r="FB28" s="162"/>
      <c r="FC28" s="162"/>
      <c r="FD28" s="162"/>
      <c r="FE28" s="162"/>
      <c r="FF28" s="162"/>
      <c r="FG28" s="162"/>
      <c r="FH28" s="162"/>
      <c r="FI28" s="162"/>
      <c r="FJ28" s="162"/>
      <c r="FK28" s="162"/>
      <c r="FL28" s="162"/>
      <c r="FM28" s="162"/>
      <c r="FN28" s="162"/>
      <c r="FO28" s="162"/>
      <c r="FP28" s="162"/>
      <c r="FQ28" s="162"/>
      <c r="FR28" s="162"/>
      <c r="FS28" s="162"/>
      <c r="FT28" s="162"/>
      <c r="FU28" s="162"/>
      <c r="FV28" s="162"/>
      <c r="FW28" s="162"/>
      <c r="FX28" s="162"/>
      <c r="FY28" s="162"/>
      <c r="FZ28" s="162"/>
      <c r="GA28" s="162"/>
      <c r="GB28" s="162"/>
      <c r="GC28" s="162"/>
      <c r="GD28" s="162"/>
      <c r="GE28" s="162"/>
      <c r="GF28" s="162"/>
      <c r="GG28" s="162"/>
      <c r="GH28" s="162"/>
      <c r="GI28" s="162"/>
      <c r="GJ28" s="162"/>
      <c r="GK28" s="162"/>
      <c r="GL28" s="162"/>
      <c r="GM28" s="162"/>
      <c r="GN28" s="162"/>
      <c r="GO28" s="162"/>
      <c r="GP28" s="162"/>
      <c r="GQ28" s="162"/>
      <c r="GR28" s="162"/>
      <c r="GS28" s="162"/>
      <c r="GT28" s="162"/>
      <c r="GU28" s="162"/>
      <c r="GV28" s="162"/>
      <c r="GW28" s="162"/>
      <c r="GX28" s="162"/>
      <c r="GY28" s="162"/>
      <c r="GZ28" s="162"/>
      <c r="HA28" s="162"/>
      <c r="HB28" s="162"/>
      <c r="HC28" s="162"/>
      <c r="HD28" s="162"/>
      <c r="HE28" s="162"/>
      <c r="HF28" s="162"/>
      <c r="HG28" s="162"/>
      <c r="HH28" s="162"/>
      <c r="HI28" s="162"/>
      <c r="HJ28" s="162"/>
      <c r="HK28" s="162"/>
      <c r="HL28" s="162"/>
      <c r="HM28" s="162"/>
      <c r="HN28" s="162"/>
      <c r="HO28" s="162"/>
      <c r="HP28" s="162"/>
      <c r="HQ28" s="162"/>
      <c r="HR28" s="162"/>
      <c r="HS28" s="162"/>
      <c r="HT28" s="162"/>
      <c r="HU28" s="162"/>
      <c r="HV28" s="162"/>
      <c r="HW28" s="162"/>
      <c r="HX28" s="162"/>
      <c r="HY28" s="162"/>
      <c r="HZ28" s="162"/>
      <c r="IA28" s="162"/>
      <c r="IB28" s="162"/>
      <c r="IC28" s="162"/>
      <c r="ID28" s="162"/>
      <c r="IE28" s="162"/>
      <c r="IF28" s="162"/>
      <c r="IG28" s="162"/>
      <c r="IH28" s="162"/>
      <c r="II28" s="162"/>
      <c r="IJ28" s="162"/>
      <c r="IK28" s="162"/>
      <c r="IL28" s="162"/>
      <c r="IM28" s="162"/>
      <c r="IN28" s="162"/>
      <c r="IO28" s="162"/>
      <c r="IP28" s="162"/>
      <c r="IQ28" s="162"/>
      <c r="IR28" s="162"/>
      <c r="IS28" s="162"/>
      <c r="IT28" s="162"/>
      <c r="IU28" s="162"/>
      <c r="IV28" s="162"/>
      <c r="IW28" s="162"/>
      <c r="IX28" s="162"/>
      <c r="IY28" s="162"/>
      <c r="IZ28" s="162"/>
      <c r="JA28" s="162"/>
      <c r="JB28" s="162"/>
      <c r="JC28" s="162"/>
      <c r="JD28" s="162"/>
      <c r="JE28" s="162"/>
      <c r="JF28" s="162"/>
      <c r="JG28" s="162"/>
      <c r="JH28" s="162"/>
      <c r="JI28" s="162"/>
      <c r="JJ28" s="162"/>
      <c r="JK28" s="162"/>
    </row>
    <row r="29" ht="18.75" customHeight="1">
      <c r="A29" s="153"/>
      <c r="B29" s="154"/>
      <c r="C29" s="154"/>
      <c r="D29" s="154"/>
      <c r="E29" s="159"/>
      <c r="F29" s="154"/>
      <c r="G29" s="154"/>
      <c r="H29" s="154"/>
      <c r="I29" s="154"/>
      <c r="J29" s="29"/>
      <c r="L29" s="84"/>
      <c r="M29" s="168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162"/>
      <c r="BB29" s="162"/>
      <c r="BC29" s="162"/>
      <c r="BD29" s="162"/>
      <c r="BE29" s="162"/>
      <c r="BF29" s="162"/>
      <c r="BG29" s="162"/>
      <c r="BH29" s="162"/>
      <c r="BI29" s="162"/>
      <c r="BJ29" s="162"/>
      <c r="BK29" s="162"/>
      <c r="BL29" s="162"/>
      <c r="BM29" s="162"/>
      <c r="BN29" s="162"/>
      <c r="BO29" s="162"/>
      <c r="BP29" s="162"/>
      <c r="BQ29" s="162"/>
      <c r="BR29" s="162"/>
      <c r="BS29" s="162"/>
      <c r="BT29" s="162"/>
      <c r="BU29" s="162"/>
      <c r="BV29" s="162"/>
      <c r="BW29" s="162"/>
      <c r="BX29" s="162"/>
      <c r="BY29" s="162"/>
      <c r="BZ29" s="162"/>
      <c r="CA29" s="162"/>
      <c r="CB29" s="162"/>
      <c r="CC29" s="162"/>
      <c r="CD29" s="162"/>
      <c r="CE29" s="162"/>
      <c r="CF29" s="162"/>
      <c r="CG29" s="162"/>
      <c r="CH29" s="162"/>
      <c r="CI29" s="162"/>
      <c r="CJ29" s="162"/>
      <c r="CK29" s="162"/>
      <c r="CL29" s="162"/>
      <c r="CM29" s="162"/>
      <c r="CN29" s="162"/>
      <c r="CO29" s="162"/>
      <c r="CP29" s="162"/>
      <c r="CQ29" s="162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  <c r="DB29" s="162"/>
      <c r="DC29" s="162"/>
      <c r="DD29" s="162"/>
      <c r="DE29" s="162"/>
      <c r="DF29" s="162"/>
      <c r="DG29" s="162"/>
      <c r="DH29" s="162"/>
      <c r="DI29" s="162"/>
      <c r="DJ29" s="162"/>
      <c r="DK29" s="162"/>
      <c r="DL29" s="162"/>
      <c r="DM29" s="162"/>
      <c r="DN29" s="162"/>
      <c r="DO29" s="162"/>
      <c r="DP29" s="162"/>
      <c r="DQ29" s="162"/>
      <c r="DR29" s="162"/>
      <c r="DS29" s="162"/>
      <c r="DT29" s="162"/>
      <c r="DU29" s="162"/>
      <c r="DV29" s="162"/>
      <c r="DW29" s="162"/>
      <c r="DX29" s="162"/>
      <c r="DY29" s="162"/>
      <c r="DZ29" s="162"/>
      <c r="EA29" s="162"/>
      <c r="EB29" s="162"/>
      <c r="EC29" s="162"/>
      <c r="ED29" s="162"/>
      <c r="EE29" s="162"/>
      <c r="EF29" s="162"/>
      <c r="EG29" s="162"/>
      <c r="EH29" s="162"/>
      <c r="EI29" s="162"/>
      <c r="EJ29" s="162"/>
      <c r="EK29" s="162"/>
      <c r="EL29" s="162"/>
      <c r="EM29" s="162"/>
      <c r="EN29" s="162"/>
      <c r="EO29" s="162"/>
      <c r="EP29" s="162"/>
      <c r="EQ29" s="162"/>
      <c r="ER29" s="162"/>
      <c r="ES29" s="162"/>
      <c r="ET29" s="162"/>
      <c r="EU29" s="162"/>
      <c r="EV29" s="162"/>
      <c r="EW29" s="162"/>
      <c r="EX29" s="162"/>
      <c r="EY29" s="162"/>
      <c r="EZ29" s="162"/>
      <c r="FA29" s="162"/>
      <c r="FB29" s="162"/>
      <c r="FC29" s="162"/>
      <c r="FD29" s="162"/>
      <c r="FE29" s="162"/>
      <c r="FF29" s="162"/>
      <c r="FG29" s="162"/>
      <c r="FH29" s="162"/>
      <c r="FI29" s="162"/>
      <c r="FJ29" s="162"/>
      <c r="FK29" s="162"/>
      <c r="FL29" s="162"/>
      <c r="FM29" s="162"/>
      <c r="FN29" s="162"/>
      <c r="FO29" s="162"/>
      <c r="FP29" s="162"/>
      <c r="FQ29" s="162"/>
      <c r="FR29" s="162"/>
      <c r="FS29" s="162"/>
      <c r="FT29" s="162"/>
      <c r="FU29" s="162"/>
      <c r="FV29" s="162"/>
      <c r="FW29" s="162"/>
      <c r="FX29" s="162"/>
      <c r="FY29" s="162"/>
      <c r="FZ29" s="162"/>
      <c r="GA29" s="162"/>
      <c r="GB29" s="162"/>
      <c r="GC29" s="162"/>
      <c r="GD29" s="162"/>
      <c r="GE29" s="162"/>
      <c r="GF29" s="162"/>
      <c r="GG29" s="162"/>
      <c r="GH29" s="162"/>
      <c r="GI29" s="162"/>
      <c r="GJ29" s="162"/>
      <c r="GK29" s="162"/>
      <c r="GL29" s="162"/>
      <c r="GM29" s="162"/>
      <c r="GN29" s="162"/>
      <c r="GO29" s="162"/>
      <c r="GP29" s="162"/>
      <c r="GQ29" s="162"/>
      <c r="GR29" s="162"/>
      <c r="GS29" s="162"/>
      <c r="GT29" s="162"/>
      <c r="GU29" s="162"/>
      <c r="GV29" s="162"/>
      <c r="GW29" s="162"/>
      <c r="GX29" s="162"/>
      <c r="GY29" s="162"/>
      <c r="GZ29" s="162"/>
      <c r="HA29" s="162"/>
      <c r="HB29" s="162"/>
      <c r="HC29" s="162"/>
      <c r="HD29" s="162"/>
      <c r="HE29" s="162"/>
      <c r="HF29" s="162"/>
      <c r="HG29" s="162"/>
      <c r="HH29" s="162"/>
      <c r="HI29" s="162"/>
      <c r="HJ29" s="162"/>
      <c r="HK29" s="162"/>
      <c r="HL29" s="162"/>
      <c r="HM29" s="162"/>
      <c r="HN29" s="162"/>
      <c r="HO29" s="162"/>
      <c r="HP29" s="162"/>
      <c r="HQ29" s="162"/>
      <c r="HR29" s="162"/>
      <c r="HS29" s="162"/>
      <c r="HT29" s="162"/>
      <c r="HU29" s="162"/>
      <c r="HV29" s="162"/>
      <c r="HW29" s="162"/>
      <c r="HX29" s="162"/>
      <c r="HY29" s="162"/>
      <c r="HZ29" s="162"/>
      <c r="IA29" s="162"/>
      <c r="IB29" s="162"/>
      <c r="IC29" s="162"/>
      <c r="ID29" s="162"/>
      <c r="IE29" s="162"/>
      <c r="IF29" s="162"/>
      <c r="IG29" s="162"/>
      <c r="IH29" s="162"/>
      <c r="II29" s="162"/>
      <c r="IJ29" s="162"/>
      <c r="IK29" s="162"/>
      <c r="IL29" s="162"/>
      <c r="IM29" s="162"/>
      <c r="IN29" s="162"/>
      <c r="IO29" s="162"/>
      <c r="IP29" s="162"/>
      <c r="IQ29" s="162"/>
      <c r="IR29" s="162"/>
      <c r="IS29" s="162"/>
      <c r="IT29" s="162"/>
      <c r="IU29" s="162"/>
      <c r="IV29" s="162"/>
      <c r="IW29" s="162"/>
      <c r="IX29" s="162"/>
      <c r="IY29" s="162"/>
      <c r="IZ29" s="162"/>
      <c r="JA29" s="162"/>
      <c r="JB29" s="162"/>
      <c r="JC29" s="162"/>
      <c r="JD29" s="162"/>
      <c r="JE29" s="162"/>
      <c r="JF29" s="162"/>
      <c r="JG29" s="162"/>
      <c r="JH29" s="162"/>
      <c r="JI29" s="162"/>
      <c r="JJ29" s="162"/>
      <c r="JK29" s="162"/>
    </row>
    <row r="30" ht="18.75" customHeight="1">
      <c r="A30" s="153"/>
      <c r="B30" s="185"/>
      <c r="C30" s="185"/>
      <c r="D30" s="185"/>
      <c r="E30" s="186"/>
      <c r="F30" s="185"/>
      <c r="G30" s="185"/>
      <c r="H30" s="185"/>
      <c r="I30" s="185"/>
      <c r="J30" s="12"/>
      <c r="K30" s="21"/>
      <c r="L30" s="187">
        <v>0.9259259259259259</v>
      </c>
      <c r="M30" s="188">
        <v>0.0</v>
      </c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162"/>
      <c r="BB30" s="162"/>
      <c r="BC30" s="162"/>
      <c r="BD30" s="162"/>
      <c r="BE30" s="162"/>
      <c r="BF30" s="162"/>
      <c r="BG30" s="162"/>
      <c r="BH30" s="162"/>
      <c r="BI30" s="162"/>
      <c r="BJ30" s="162"/>
      <c r="BK30" s="162"/>
      <c r="BL30" s="162"/>
      <c r="BM30" s="162"/>
      <c r="BN30" s="162"/>
      <c r="BO30" s="162"/>
      <c r="BP30" s="162"/>
      <c r="BQ30" s="162"/>
      <c r="BR30" s="162"/>
      <c r="BS30" s="162"/>
      <c r="BT30" s="162"/>
      <c r="BU30" s="162"/>
      <c r="BV30" s="162"/>
      <c r="BW30" s="162"/>
      <c r="BX30" s="162"/>
      <c r="BY30" s="162"/>
      <c r="BZ30" s="162"/>
      <c r="CA30" s="162"/>
      <c r="CB30" s="162"/>
      <c r="CC30" s="162"/>
      <c r="CD30" s="162"/>
      <c r="CE30" s="162"/>
      <c r="CF30" s="162"/>
      <c r="CG30" s="162"/>
      <c r="CH30" s="162"/>
      <c r="CI30" s="162"/>
      <c r="CJ30" s="162"/>
      <c r="CK30" s="162"/>
      <c r="CL30" s="162"/>
      <c r="CM30" s="162"/>
      <c r="CN30" s="162"/>
      <c r="CO30" s="162"/>
      <c r="CP30" s="162"/>
      <c r="CQ30" s="162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  <c r="DB30" s="162"/>
      <c r="DC30" s="162"/>
      <c r="DD30" s="162"/>
      <c r="DE30" s="162"/>
      <c r="DF30" s="162"/>
      <c r="DG30" s="162"/>
      <c r="DH30" s="162"/>
      <c r="DI30" s="162"/>
      <c r="DJ30" s="162"/>
      <c r="DK30" s="162"/>
      <c r="DL30" s="162"/>
      <c r="DM30" s="162"/>
      <c r="DN30" s="162"/>
      <c r="DO30" s="162"/>
      <c r="DP30" s="162"/>
      <c r="DQ30" s="162"/>
      <c r="DR30" s="162"/>
      <c r="DS30" s="162"/>
      <c r="DT30" s="162"/>
      <c r="DU30" s="162"/>
      <c r="DV30" s="162"/>
      <c r="DW30" s="162"/>
      <c r="DX30" s="162"/>
      <c r="DY30" s="162"/>
      <c r="DZ30" s="162"/>
      <c r="EA30" s="162"/>
      <c r="EB30" s="162"/>
      <c r="EC30" s="162"/>
      <c r="ED30" s="162"/>
      <c r="EE30" s="162"/>
      <c r="EF30" s="162"/>
      <c r="EG30" s="162"/>
      <c r="EH30" s="162"/>
      <c r="EI30" s="162"/>
      <c r="EJ30" s="162"/>
      <c r="EK30" s="162"/>
      <c r="EL30" s="162"/>
      <c r="EM30" s="162"/>
      <c r="EN30" s="162"/>
      <c r="EO30" s="162"/>
      <c r="EP30" s="162"/>
      <c r="EQ30" s="162"/>
      <c r="ER30" s="162"/>
      <c r="ES30" s="162"/>
      <c r="ET30" s="162"/>
      <c r="EU30" s="162"/>
      <c r="EV30" s="162"/>
      <c r="EW30" s="162"/>
      <c r="EX30" s="162"/>
      <c r="EY30" s="162"/>
      <c r="EZ30" s="162"/>
      <c r="FA30" s="162"/>
      <c r="FB30" s="162"/>
      <c r="FC30" s="162"/>
      <c r="FD30" s="162"/>
      <c r="FE30" s="162"/>
      <c r="FF30" s="162"/>
      <c r="FG30" s="162"/>
      <c r="FH30" s="162"/>
      <c r="FI30" s="162"/>
      <c r="FJ30" s="162"/>
      <c r="FK30" s="162"/>
      <c r="FL30" s="162"/>
      <c r="FM30" s="162"/>
      <c r="FN30" s="162"/>
      <c r="FO30" s="162"/>
      <c r="FP30" s="162"/>
      <c r="FQ30" s="162"/>
      <c r="FR30" s="162"/>
      <c r="FS30" s="162"/>
      <c r="FT30" s="162"/>
      <c r="FU30" s="162"/>
      <c r="FV30" s="162"/>
      <c r="FW30" s="162"/>
      <c r="FX30" s="162"/>
      <c r="FY30" s="162"/>
      <c r="FZ30" s="162"/>
      <c r="GA30" s="162"/>
      <c r="GB30" s="162"/>
      <c r="GC30" s="162"/>
      <c r="GD30" s="162"/>
      <c r="GE30" s="162"/>
      <c r="GF30" s="162"/>
      <c r="GG30" s="162"/>
      <c r="GH30" s="162"/>
      <c r="GI30" s="162"/>
      <c r="GJ30" s="162"/>
      <c r="GK30" s="162"/>
      <c r="GL30" s="162"/>
      <c r="GM30" s="162"/>
      <c r="GN30" s="162"/>
      <c r="GO30" s="162"/>
      <c r="GP30" s="162"/>
      <c r="GQ30" s="162"/>
      <c r="GR30" s="162"/>
      <c r="GS30" s="162"/>
      <c r="GT30" s="162"/>
      <c r="GU30" s="162"/>
      <c r="GV30" s="162"/>
      <c r="GW30" s="162"/>
      <c r="GX30" s="162"/>
      <c r="GY30" s="162"/>
      <c r="GZ30" s="162"/>
      <c r="HA30" s="162"/>
      <c r="HB30" s="162"/>
      <c r="HC30" s="162"/>
      <c r="HD30" s="162"/>
      <c r="HE30" s="162"/>
      <c r="HF30" s="162"/>
      <c r="HG30" s="162"/>
      <c r="HH30" s="162"/>
      <c r="HI30" s="162"/>
      <c r="HJ30" s="162"/>
      <c r="HK30" s="162"/>
      <c r="HL30" s="162"/>
      <c r="HM30" s="162"/>
      <c r="HN30" s="162"/>
      <c r="HO30" s="162"/>
      <c r="HP30" s="162"/>
      <c r="HQ30" s="162"/>
      <c r="HR30" s="162"/>
      <c r="HS30" s="162"/>
      <c r="HT30" s="162"/>
      <c r="HU30" s="162"/>
      <c r="HV30" s="162"/>
      <c r="HW30" s="162"/>
      <c r="HX30" s="162"/>
      <c r="HY30" s="162"/>
      <c r="HZ30" s="162"/>
      <c r="IA30" s="162"/>
      <c r="IB30" s="162"/>
      <c r="IC30" s="162"/>
      <c r="ID30" s="162"/>
      <c r="IE30" s="162"/>
      <c r="IF30" s="162"/>
      <c r="IG30" s="162"/>
      <c r="IH30" s="162"/>
      <c r="II30" s="162"/>
      <c r="IJ30" s="162"/>
      <c r="IK30" s="162"/>
      <c r="IL30" s="162"/>
      <c r="IM30" s="162"/>
      <c r="IN30" s="162"/>
      <c r="IO30" s="162"/>
      <c r="IP30" s="162"/>
      <c r="IQ30" s="162"/>
      <c r="IR30" s="162"/>
      <c r="IS30" s="162"/>
      <c r="IT30" s="162"/>
      <c r="IU30" s="162"/>
      <c r="IV30" s="162"/>
      <c r="IW30" s="162"/>
      <c r="IX30" s="162"/>
      <c r="IY30" s="162"/>
      <c r="IZ30" s="162"/>
      <c r="JA30" s="162"/>
      <c r="JB30" s="162"/>
      <c r="JC30" s="162"/>
      <c r="JD30" s="162"/>
      <c r="JE30" s="162"/>
      <c r="JF30" s="162"/>
      <c r="JG30" s="162"/>
      <c r="JH30" s="162"/>
      <c r="JI30" s="162"/>
      <c r="JJ30" s="162"/>
      <c r="JK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89" t="s">
        <v>66</v>
      </c>
      <c r="B1" s="189" t="s">
        <v>67</v>
      </c>
      <c r="C1" s="189" t="s">
        <v>68</v>
      </c>
      <c r="D1" s="189" t="s">
        <v>69</v>
      </c>
      <c r="E1" s="189" t="s">
        <v>41</v>
      </c>
      <c r="F1" s="189" t="s">
        <v>70</v>
      </c>
      <c r="G1" s="189" t="s">
        <v>71</v>
      </c>
      <c r="H1" s="189" t="s">
        <v>72</v>
      </c>
      <c r="I1" s="189" t="s">
        <v>73</v>
      </c>
      <c r="J1" s="189" t="s">
        <v>74</v>
      </c>
      <c r="K1" s="189" t="s">
        <v>75</v>
      </c>
      <c r="L1" s="189" t="s">
        <v>76</v>
      </c>
      <c r="M1" s="189" t="s">
        <v>77</v>
      </c>
      <c r="N1" s="189" t="s">
        <v>78</v>
      </c>
      <c r="O1" s="189" t="s">
        <v>79</v>
      </c>
      <c r="P1" s="189" t="s">
        <v>80</v>
      </c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>
      <c r="A2" s="189" t="s">
        <v>81</v>
      </c>
      <c r="B2" s="189" t="s">
        <v>82</v>
      </c>
      <c r="C2" s="189">
        <v>683.0</v>
      </c>
      <c r="D2" s="189">
        <v>0.0</v>
      </c>
      <c r="E2" s="189" t="s">
        <v>83</v>
      </c>
      <c r="F2" s="189" t="s">
        <v>84</v>
      </c>
      <c r="G2" s="189" t="s">
        <v>85</v>
      </c>
      <c r="H2" s="189" t="s">
        <v>86</v>
      </c>
      <c r="I2" s="189" t="s">
        <v>87</v>
      </c>
      <c r="J2" s="189" t="s">
        <v>87</v>
      </c>
      <c r="K2" s="190"/>
      <c r="L2" s="189">
        <v>-12.0</v>
      </c>
      <c r="M2" s="189"/>
      <c r="N2" s="189">
        <v>7.840316666666666</v>
      </c>
      <c r="O2" s="189" t="s">
        <v>88</v>
      </c>
      <c r="P2" s="189" t="s">
        <v>89</v>
      </c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</row>
    <row r="3">
      <c r="A3" s="189" t="s">
        <v>90</v>
      </c>
      <c r="B3" s="189" t="s">
        <v>91</v>
      </c>
      <c r="C3" s="189">
        <v>298.0</v>
      </c>
      <c r="D3" s="189">
        <v>0.0</v>
      </c>
      <c r="E3" s="190"/>
      <c r="F3" s="189" t="s">
        <v>92</v>
      </c>
      <c r="G3" s="189" t="s">
        <v>93</v>
      </c>
      <c r="H3" s="189" t="s">
        <v>94</v>
      </c>
      <c r="I3" s="189" t="s">
        <v>95</v>
      </c>
      <c r="J3" s="189" t="s">
        <v>96</v>
      </c>
      <c r="K3" s="190"/>
      <c r="L3" s="189">
        <v>403.0</v>
      </c>
      <c r="M3" s="189"/>
      <c r="N3" s="189">
        <v>4.153183333333334</v>
      </c>
      <c r="O3" s="189" t="s">
        <v>97</v>
      </c>
      <c r="P3" s="189" t="s">
        <v>98</v>
      </c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</row>
    <row r="4">
      <c r="A4" s="189" t="s">
        <v>99</v>
      </c>
      <c r="B4" s="189" t="s">
        <v>91</v>
      </c>
      <c r="C4" s="191">
        <v>264.0</v>
      </c>
      <c r="D4" s="189">
        <v>0.0</v>
      </c>
      <c r="E4" s="189" t="s">
        <v>55</v>
      </c>
      <c r="F4" s="189" t="s">
        <v>84</v>
      </c>
      <c r="G4" s="189" t="s">
        <v>85</v>
      </c>
      <c r="H4" s="189" t="s">
        <v>100</v>
      </c>
      <c r="I4" s="189" t="s">
        <v>101</v>
      </c>
      <c r="J4" s="189" t="s">
        <v>101</v>
      </c>
      <c r="K4" s="190"/>
      <c r="L4" s="189">
        <v>-10.0</v>
      </c>
      <c r="M4" s="189"/>
      <c r="N4" s="189">
        <v>4.222283333333333</v>
      </c>
      <c r="O4" s="189" t="s">
        <v>88</v>
      </c>
      <c r="P4" s="189" t="s">
        <v>102</v>
      </c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E4" s="190"/>
      <c r="AF4" s="190"/>
    </row>
    <row r="5">
      <c r="A5" s="189" t="s">
        <v>103</v>
      </c>
      <c r="B5" s="189" t="s">
        <v>82</v>
      </c>
      <c r="C5" s="189">
        <v>329.0</v>
      </c>
      <c r="D5" s="189">
        <v>0.0</v>
      </c>
      <c r="E5" s="190"/>
      <c r="F5" s="189" t="s">
        <v>84</v>
      </c>
      <c r="G5" s="189" t="s">
        <v>85</v>
      </c>
      <c r="H5" s="189" t="s">
        <v>104</v>
      </c>
      <c r="I5" s="189" t="s">
        <v>105</v>
      </c>
      <c r="J5" s="189" t="s">
        <v>105</v>
      </c>
      <c r="K5" s="190"/>
      <c r="L5" s="189">
        <v>-4.0</v>
      </c>
      <c r="M5" s="189"/>
      <c r="N5" s="189">
        <v>10.3354</v>
      </c>
      <c r="O5" s="189" t="s">
        <v>88</v>
      </c>
      <c r="P5" s="189" t="s">
        <v>106</v>
      </c>
      <c r="Q5" s="190"/>
      <c r="R5" s="190"/>
      <c r="S5" s="190"/>
      <c r="T5" s="190"/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</row>
    <row r="6">
      <c r="A6" s="189" t="s">
        <v>99</v>
      </c>
      <c r="B6" s="189" t="s">
        <v>91</v>
      </c>
      <c r="C6" s="191">
        <v>218.0</v>
      </c>
      <c r="D6" s="189">
        <v>0.0</v>
      </c>
      <c r="E6" s="189" t="s">
        <v>55</v>
      </c>
      <c r="F6" s="189" t="s">
        <v>84</v>
      </c>
      <c r="G6" s="189" t="s">
        <v>85</v>
      </c>
      <c r="H6" s="189" t="s">
        <v>107</v>
      </c>
      <c r="I6" s="189" t="s">
        <v>108</v>
      </c>
      <c r="J6" s="189" t="s">
        <v>108</v>
      </c>
      <c r="K6" s="190"/>
      <c r="L6" s="189">
        <v>-5.0</v>
      </c>
      <c r="M6" s="189"/>
      <c r="N6" s="189">
        <v>9.512666666666666</v>
      </c>
      <c r="O6" s="189" t="s">
        <v>88</v>
      </c>
      <c r="P6" s="189" t="s">
        <v>109</v>
      </c>
      <c r="Q6" s="190"/>
      <c r="R6" s="190"/>
      <c r="S6" s="190"/>
      <c r="T6" s="190"/>
      <c r="U6" s="190"/>
      <c r="V6" s="190"/>
      <c r="W6" s="190"/>
      <c r="X6" s="190"/>
      <c r="Y6" s="190"/>
      <c r="Z6" s="190"/>
      <c r="AA6" s="190"/>
      <c r="AB6" s="190"/>
      <c r="AC6" s="190"/>
      <c r="AD6" s="190"/>
      <c r="AE6" s="190"/>
      <c r="AF6" s="190"/>
    </row>
    <row r="7">
      <c r="A7" s="189" t="s">
        <v>90</v>
      </c>
      <c r="B7" s="189" t="s">
        <v>91</v>
      </c>
      <c r="C7" s="189">
        <v>249.0</v>
      </c>
      <c r="D7" s="189">
        <v>0.0</v>
      </c>
      <c r="E7" s="190"/>
      <c r="F7" s="189" t="s">
        <v>92</v>
      </c>
      <c r="G7" s="189" t="s">
        <v>93</v>
      </c>
      <c r="H7" s="189" t="s">
        <v>110</v>
      </c>
      <c r="I7" s="189" t="s">
        <v>111</v>
      </c>
      <c r="J7" s="189" t="s">
        <v>96</v>
      </c>
      <c r="K7" s="190"/>
      <c r="L7" s="189">
        <v>424.0</v>
      </c>
      <c r="M7" s="189"/>
      <c r="N7" s="189">
        <v>5.49145</v>
      </c>
      <c r="O7" s="189" t="s">
        <v>97</v>
      </c>
      <c r="P7" s="189" t="s">
        <v>112</v>
      </c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</row>
    <row r="8">
      <c r="A8" s="189" t="s">
        <v>99</v>
      </c>
      <c r="B8" s="189" t="s">
        <v>91</v>
      </c>
      <c r="C8" s="189">
        <v>394.0</v>
      </c>
      <c r="D8" s="189">
        <v>0.0</v>
      </c>
      <c r="E8" s="189" t="s">
        <v>55</v>
      </c>
      <c r="F8" s="189" t="s">
        <v>84</v>
      </c>
      <c r="G8" s="189" t="s">
        <v>85</v>
      </c>
      <c r="H8" s="189" t="s">
        <v>113</v>
      </c>
      <c r="I8" s="189" t="s">
        <v>114</v>
      </c>
      <c r="J8" s="189" t="s">
        <v>114</v>
      </c>
      <c r="K8" s="190"/>
      <c r="L8" s="189">
        <v>-6.0</v>
      </c>
      <c r="M8" s="189"/>
      <c r="N8" s="189">
        <v>8.334366666666666</v>
      </c>
      <c r="O8" s="189" t="s">
        <v>88</v>
      </c>
      <c r="P8" s="189" t="s">
        <v>115</v>
      </c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</row>
    <row r="9">
      <c r="A9" s="189" t="s">
        <v>81</v>
      </c>
      <c r="B9" s="189" t="s">
        <v>82</v>
      </c>
      <c r="C9" s="189">
        <v>364.0</v>
      </c>
      <c r="D9" s="189">
        <v>0.0</v>
      </c>
      <c r="E9" s="189" t="s">
        <v>116</v>
      </c>
      <c r="F9" s="189" t="s">
        <v>84</v>
      </c>
      <c r="G9" s="189" t="s">
        <v>85</v>
      </c>
      <c r="H9" s="189" t="s">
        <v>117</v>
      </c>
      <c r="I9" s="189" t="s">
        <v>118</v>
      </c>
      <c r="J9" s="189" t="s">
        <v>118</v>
      </c>
      <c r="K9" s="190"/>
      <c r="L9" s="189">
        <v>-5.0</v>
      </c>
      <c r="M9" s="189"/>
      <c r="N9" s="189">
        <v>9.728866666666667</v>
      </c>
      <c r="O9" s="189" t="s">
        <v>88</v>
      </c>
      <c r="P9" s="189" t="s">
        <v>119</v>
      </c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</row>
    <row r="10">
      <c r="A10" s="189" t="s">
        <v>99</v>
      </c>
      <c r="B10" s="189" t="s">
        <v>91</v>
      </c>
      <c r="C10" s="191">
        <v>264.0</v>
      </c>
      <c r="D10" s="189">
        <v>0.0</v>
      </c>
      <c r="E10" s="189" t="s">
        <v>55</v>
      </c>
      <c r="F10" s="189" t="s">
        <v>84</v>
      </c>
      <c r="G10" s="189" t="s">
        <v>85</v>
      </c>
      <c r="H10" s="189" t="s">
        <v>120</v>
      </c>
      <c r="I10" s="189" t="s">
        <v>121</v>
      </c>
      <c r="J10" s="189" t="s">
        <v>121</v>
      </c>
      <c r="K10" s="190"/>
      <c r="L10" s="189">
        <v>-4.0</v>
      </c>
      <c r="M10" s="189"/>
      <c r="N10" s="189">
        <v>10.01315</v>
      </c>
      <c r="O10" s="189" t="s">
        <v>88</v>
      </c>
      <c r="P10" s="189" t="s">
        <v>102</v>
      </c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</row>
    <row r="11">
      <c r="A11" s="189" t="s">
        <v>81</v>
      </c>
      <c r="B11" s="189" t="s">
        <v>82</v>
      </c>
      <c r="C11" s="189">
        <v>488.0</v>
      </c>
      <c r="D11" s="189">
        <v>0.0</v>
      </c>
      <c r="E11" s="189" t="s">
        <v>122</v>
      </c>
      <c r="F11" s="189" t="s">
        <v>84</v>
      </c>
      <c r="G11" s="189" t="s">
        <v>85</v>
      </c>
      <c r="H11" s="189" t="s">
        <v>123</v>
      </c>
      <c r="I11" s="189" t="s">
        <v>124</v>
      </c>
      <c r="J11" s="189" t="s">
        <v>124</v>
      </c>
      <c r="K11" s="190"/>
      <c r="L11" s="189">
        <v>-5.0</v>
      </c>
      <c r="M11" s="189"/>
      <c r="N11" s="189">
        <v>9.3295</v>
      </c>
      <c r="O11" s="189" t="s">
        <v>88</v>
      </c>
      <c r="P11" s="189" t="s">
        <v>125</v>
      </c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</row>
    <row r="12">
      <c r="A12" s="189" t="s">
        <v>81</v>
      </c>
      <c r="B12" s="189" t="s">
        <v>82</v>
      </c>
      <c r="C12" s="189">
        <v>264.0</v>
      </c>
      <c r="D12" s="189">
        <v>0.0</v>
      </c>
      <c r="E12" s="189" t="s">
        <v>126</v>
      </c>
      <c r="F12" s="189" t="s">
        <v>84</v>
      </c>
      <c r="G12" s="189" t="s">
        <v>85</v>
      </c>
      <c r="H12" s="189" t="s">
        <v>127</v>
      </c>
      <c r="I12" s="189" t="s">
        <v>128</v>
      </c>
      <c r="J12" s="189" t="s">
        <v>128</v>
      </c>
      <c r="K12" s="190"/>
      <c r="L12" s="189">
        <v>-9.0</v>
      </c>
      <c r="M12" s="189"/>
      <c r="N12" s="189">
        <v>5.0471</v>
      </c>
      <c r="O12" s="189" t="s">
        <v>88</v>
      </c>
      <c r="P12" s="189" t="s">
        <v>129</v>
      </c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</row>
    <row r="13">
      <c r="A13" s="189" t="s">
        <v>99</v>
      </c>
      <c r="B13" s="189" t="s">
        <v>91</v>
      </c>
      <c r="C13" s="189">
        <v>329.0</v>
      </c>
      <c r="D13" s="189">
        <v>0.0</v>
      </c>
      <c r="E13" s="189" t="s">
        <v>55</v>
      </c>
      <c r="F13" s="189" t="s">
        <v>84</v>
      </c>
      <c r="G13" s="189" t="s">
        <v>85</v>
      </c>
      <c r="H13" s="189" t="s">
        <v>130</v>
      </c>
      <c r="I13" s="189" t="s">
        <v>131</v>
      </c>
      <c r="J13" s="189" t="s">
        <v>131</v>
      </c>
      <c r="K13" s="190"/>
      <c r="L13" s="189">
        <v>-3.0</v>
      </c>
      <c r="M13" s="189"/>
      <c r="N13" s="189">
        <v>11.168283333333333</v>
      </c>
      <c r="O13" s="189" t="s">
        <v>88</v>
      </c>
      <c r="P13" s="189" t="s">
        <v>132</v>
      </c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E13" s="190"/>
      <c r="AF13" s="190"/>
    </row>
    <row r="14">
      <c r="A14" s="189" t="s">
        <v>99</v>
      </c>
      <c r="B14" s="189" t="s">
        <v>91</v>
      </c>
      <c r="C14" s="189">
        <v>329.0</v>
      </c>
      <c r="D14" s="189">
        <v>0.0</v>
      </c>
      <c r="E14" s="189" t="s">
        <v>55</v>
      </c>
      <c r="F14" s="189" t="s">
        <v>84</v>
      </c>
      <c r="G14" s="189" t="s">
        <v>85</v>
      </c>
      <c r="H14" s="189" t="s">
        <v>133</v>
      </c>
      <c r="I14" s="189" t="s">
        <v>134</v>
      </c>
      <c r="J14" s="189" t="s">
        <v>134</v>
      </c>
      <c r="K14" s="190"/>
      <c r="L14" s="189">
        <v>-6.0</v>
      </c>
      <c r="M14" s="189"/>
      <c r="N14" s="189">
        <v>8.0618</v>
      </c>
      <c r="O14" s="189" t="s">
        <v>88</v>
      </c>
      <c r="P14" s="189" t="s">
        <v>135</v>
      </c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</row>
    <row r="15">
      <c r="A15" s="189" t="s">
        <v>99</v>
      </c>
      <c r="B15" s="189" t="s">
        <v>91</v>
      </c>
      <c r="C15" s="191">
        <v>383.0</v>
      </c>
      <c r="D15" s="189">
        <v>0.0</v>
      </c>
      <c r="E15" s="189" t="s">
        <v>55</v>
      </c>
      <c r="F15" s="189" t="s">
        <v>84</v>
      </c>
      <c r="G15" s="189" t="s">
        <v>85</v>
      </c>
      <c r="H15" s="189" t="s">
        <v>136</v>
      </c>
      <c r="I15" s="189" t="s">
        <v>137</v>
      </c>
      <c r="J15" s="189" t="s">
        <v>137</v>
      </c>
      <c r="K15" s="190"/>
      <c r="L15" s="189">
        <v>-4.0</v>
      </c>
      <c r="M15" s="189"/>
      <c r="N15" s="189">
        <v>10.328416666666667</v>
      </c>
      <c r="O15" s="189" t="s">
        <v>88</v>
      </c>
      <c r="P15" s="189" t="s">
        <v>138</v>
      </c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>
      <c r="A16" s="189" t="s">
        <v>99</v>
      </c>
      <c r="B16" s="189" t="s">
        <v>91</v>
      </c>
      <c r="C16" s="191">
        <v>264.0</v>
      </c>
      <c r="D16" s="189">
        <v>0.0</v>
      </c>
      <c r="E16" s="189" t="s">
        <v>55</v>
      </c>
      <c r="F16" s="189" t="s">
        <v>84</v>
      </c>
      <c r="G16" s="189" t="s">
        <v>85</v>
      </c>
      <c r="H16" s="189" t="s">
        <v>139</v>
      </c>
      <c r="I16" s="189" t="s">
        <v>140</v>
      </c>
      <c r="J16" s="189" t="s">
        <v>140</v>
      </c>
      <c r="K16" s="190"/>
      <c r="L16" s="189">
        <v>-6.0</v>
      </c>
      <c r="M16" s="189"/>
      <c r="N16" s="189">
        <v>10.451966666666667</v>
      </c>
      <c r="O16" s="189" t="s">
        <v>88</v>
      </c>
      <c r="P16" s="189" t="s">
        <v>141</v>
      </c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</row>
    <row r="17">
      <c r="A17" s="189" t="s">
        <v>81</v>
      </c>
      <c r="B17" s="189" t="s">
        <v>82</v>
      </c>
      <c r="C17" s="191">
        <v>462.0</v>
      </c>
      <c r="D17" s="189">
        <v>0.0</v>
      </c>
      <c r="E17" s="189" t="s">
        <v>142</v>
      </c>
      <c r="F17" s="189" t="s">
        <v>84</v>
      </c>
      <c r="G17" s="189" t="s">
        <v>85</v>
      </c>
      <c r="H17" s="189" t="s">
        <v>143</v>
      </c>
      <c r="I17" s="189" t="s">
        <v>144</v>
      </c>
      <c r="J17" s="189" t="s">
        <v>144</v>
      </c>
      <c r="K17" s="190"/>
      <c r="L17" s="189">
        <v>-7.0</v>
      </c>
      <c r="M17" s="189"/>
      <c r="N17" s="189">
        <v>7.936283333333333</v>
      </c>
      <c r="O17" s="189" t="s">
        <v>88</v>
      </c>
      <c r="P17" s="189" t="s">
        <v>145</v>
      </c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</row>
    <row r="18">
      <c r="A18" s="189" t="s">
        <v>146</v>
      </c>
      <c r="B18" s="189" t="s">
        <v>91</v>
      </c>
      <c r="C18" s="189">
        <v>697.0</v>
      </c>
      <c r="D18" s="189">
        <v>24.0</v>
      </c>
      <c r="E18" s="189" t="s">
        <v>147</v>
      </c>
      <c r="F18" s="189" t="s">
        <v>148</v>
      </c>
      <c r="G18" s="189" t="s">
        <v>85</v>
      </c>
      <c r="H18" s="189" t="s">
        <v>149</v>
      </c>
      <c r="I18" s="189" t="s">
        <v>150</v>
      </c>
      <c r="J18" s="189" t="s">
        <v>151</v>
      </c>
      <c r="K18" s="189" t="s">
        <v>152</v>
      </c>
      <c r="L18" s="189">
        <v>-22.0</v>
      </c>
      <c r="M18" s="189">
        <v>0.01845</v>
      </c>
      <c r="N18" s="189">
        <v>11.19095</v>
      </c>
      <c r="O18" s="189" t="s">
        <v>153</v>
      </c>
      <c r="P18" s="189" t="s">
        <v>154</v>
      </c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</row>
    <row r="19">
      <c r="A19" s="189" t="s">
        <v>99</v>
      </c>
      <c r="B19" s="189" t="s">
        <v>91</v>
      </c>
      <c r="C19" s="191">
        <v>528.0</v>
      </c>
      <c r="D19" s="189">
        <v>0.0</v>
      </c>
      <c r="E19" s="189" t="s">
        <v>55</v>
      </c>
      <c r="F19" s="189" t="s">
        <v>84</v>
      </c>
      <c r="G19" s="189" t="s">
        <v>85</v>
      </c>
      <c r="H19" s="189" t="s">
        <v>155</v>
      </c>
      <c r="I19" s="189" t="s">
        <v>156</v>
      </c>
      <c r="J19" s="189" t="s">
        <v>156</v>
      </c>
      <c r="K19" s="190"/>
      <c r="L19" s="189">
        <v>-7.0</v>
      </c>
      <c r="M19" s="189"/>
      <c r="N19" s="189">
        <v>12.545</v>
      </c>
      <c r="O19" s="189" t="s">
        <v>88</v>
      </c>
      <c r="P19" s="189" t="s">
        <v>157</v>
      </c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</row>
    <row r="20">
      <c r="A20" s="189" t="s">
        <v>103</v>
      </c>
      <c r="B20" s="189" t="s">
        <v>82</v>
      </c>
      <c r="C20" s="189">
        <v>321.0</v>
      </c>
      <c r="D20" s="189">
        <v>0.0</v>
      </c>
      <c r="E20" s="190"/>
      <c r="F20" s="189" t="s">
        <v>84</v>
      </c>
      <c r="G20" s="189" t="s">
        <v>85</v>
      </c>
      <c r="H20" s="189" t="s">
        <v>158</v>
      </c>
      <c r="I20" s="189" t="s">
        <v>159</v>
      </c>
      <c r="J20" s="189" t="s">
        <v>159</v>
      </c>
      <c r="K20" s="190"/>
      <c r="L20" s="189">
        <v>-4.0</v>
      </c>
      <c r="M20" s="189"/>
      <c r="N20" s="189">
        <v>10.953866666666666</v>
      </c>
      <c r="O20" s="189" t="s">
        <v>88</v>
      </c>
      <c r="P20" s="189" t="s">
        <v>160</v>
      </c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</row>
    <row r="21">
      <c r="A21" s="189" t="s">
        <v>103</v>
      </c>
      <c r="B21" s="189" t="s">
        <v>82</v>
      </c>
      <c r="C21" s="191">
        <v>434.0</v>
      </c>
      <c r="D21" s="189">
        <v>0.0</v>
      </c>
      <c r="E21" s="190"/>
      <c r="F21" s="189" t="s">
        <v>84</v>
      </c>
      <c r="G21" s="189" t="s">
        <v>85</v>
      </c>
      <c r="H21" s="189" t="s">
        <v>161</v>
      </c>
      <c r="I21" s="189" t="s">
        <v>162</v>
      </c>
      <c r="J21" s="189" t="s">
        <v>162</v>
      </c>
      <c r="K21" s="190"/>
      <c r="L21" s="189">
        <v>0.0</v>
      </c>
      <c r="M21" s="189"/>
      <c r="N21" s="189">
        <v>15.945366666666667</v>
      </c>
      <c r="O21" s="189" t="s">
        <v>88</v>
      </c>
      <c r="P21" s="189" t="s">
        <v>163</v>
      </c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</row>
    <row r="22">
      <c r="A22" s="189" t="s">
        <v>99</v>
      </c>
      <c r="B22" s="189" t="s">
        <v>91</v>
      </c>
      <c r="C22" s="189">
        <v>585.0</v>
      </c>
      <c r="D22" s="189">
        <v>0.0</v>
      </c>
      <c r="E22" s="189" t="s">
        <v>55</v>
      </c>
      <c r="F22" s="189" t="s">
        <v>84</v>
      </c>
      <c r="G22" s="189" t="s">
        <v>85</v>
      </c>
      <c r="H22" s="189" t="s">
        <v>164</v>
      </c>
      <c r="I22" s="189" t="s">
        <v>165</v>
      </c>
      <c r="J22" s="189" t="s">
        <v>165</v>
      </c>
      <c r="K22" s="190"/>
      <c r="L22" s="189">
        <v>1.0</v>
      </c>
      <c r="M22" s="189"/>
      <c r="N22" s="189">
        <v>21.2368</v>
      </c>
      <c r="O22" s="189" t="s">
        <v>88</v>
      </c>
      <c r="P22" s="189" t="s">
        <v>166</v>
      </c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</row>
    <row r="23">
      <c r="A23" s="189" t="s">
        <v>103</v>
      </c>
      <c r="B23" s="189" t="s">
        <v>82</v>
      </c>
      <c r="C23" s="189">
        <v>464.0</v>
      </c>
      <c r="D23" s="189">
        <v>0.0</v>
      </c>
      <c r="E23" s="190"/>
      <c r="F23" s="189" t="s">
        <v>84</v>
      </c>
      <c r="G23" s="189" t="s">
        <v>85</v>
      </c>
      <c r="H23" s="189" t="s">
        <v>167</v>
      </c>
      <c r="I23" s="189" t="s">
        <v>168</v>
      </c>
      <c r="J23" s="189" t="s">
        <v>168</v>
      </c>
      <c r="K23" s="190"/>
      <c r="L23" s="189">
        <v>-6.0</v>
      </c>
      <c r="M23" s="189"/>
      <c r="N23" s="189">
        <v>8.747833333333332</v>
      </c>
      <c r="O23" s="189" t="s">
        <v>88</v>
      </c>
      <c r="P23" s="189" t="s">
        <v>169</v>
      </c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</row>
    <row r="24">
      <c r="A24" s="189" t="s">
        <v>103</v>
      </c>
      <c r="B24" s="189" t="s">
        <v>82</v>
      </c>
      <c r="C24" s="189">
        <v>429.0</v>
      </c>
      <c r="D24" s="189">
        <v>0.0</v>
      </c>
      <c r="E24" s="190"/>
      <c r="F24" s="189" t="s">
        <v>84</v>
      </c>
      <c r="G24" s="189" t="s">
        <v>85</v>
      </c>
      <c r="H24" s="189" t="s">
        <v>170</v>
      </c>
      <c r="I24" s="189" t="s">
        <v>171</v>
      </c>
      <c r="J24" s="189" t="s">
        <v>171</v>
      </c>
      <c r="K24" s="190"/>
      <c r="L24" s="189">
        <v>-4.0</v>
      </c>
      <c r="M24" s="189"/>
      <c r="N24" s="189">
        <v>10.027566666666667</v>
      </c>
      <c r="O24" s="189" t="s">
        <v>88</v>
      </c>
      <c r="P24" s="189" t="s">
        <v>172</v>
      </c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</row>
    <row r="25">
      <c r="A25" s="189" t="s">
        <v>103</v>
      </c>
      <c r="B25" s="189" t="s">
        <v>82</v>
      </c>
      <c r="C25" s="189">
        <v>676.0</v>
      </c>
      <c r="D25" s="189">
        <v>0.0</v>
      </c>
      <c r="E25" s="190"/>
      <c r="F25" s="189" t="s">
        <v>84</v>
      </c>
      <c r="G25" s="189" t="s">
        <v>85</v>
      </c>
      <c r="H25" s="189" t="s">
        <v>173</v>
      </c>
      <c r="I25" s="189" t="s">
        <v>174</v>
      </c>
      <c r="J25" s="189" t="s">
        <v>174</v>
      </c>
      <c r="K25" s="190"/>
      <c r="L25" s="189">
        <v>0.0</v>
      </c>
      <c r="M25" s="189"/>
      <c r="N25" s="189">
        <v>20.201766666666668</v>
      </c>
      <c r="O25" s="189" t="s">
        <v>88</v>
      </c>
      <c r="P25" s="189" t="s">
        <v>175</v>
      </c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</row>
    <row r="26">
      <c r="A26" s="189" t="s">
        <v>99</v>
      </c>
      <c r="B26" s="189" t="s">
        <v>91</v>
      </c>
      <c r="C26" s="189">
        <v>364.0</v>
      </c>
      <c r="D26" s="189">
        <v>0.0</v>
      </c>
      <c r="E26" s="189" t="s">
        <v>55</v>
      </c>
      <c r="F26" s="189" t="s">
        <v>84</v>
      </c>
      <c r="G26" s="189" t="s">
        <v>85</v>
      </c>
      <c r="H26" s="189" t="s">
        <v>176</v>
      </c>
      <c r="I26" s="189" t="s">
        <v>177</v>
      </c>
      <c r="J26" s="189" t="s">
        <v>177</v>
      </c>
      <c r="K26" s="190"/>
      <c r="L26" s="189">
        <v>3.0</v>
      </c>
      <c r="M26" s="189"/>
      <c r="N26" s="189">
        <v>22.00005</v>
      </c>
      <c r="O26" s="189" t="s">
        <v>88</v>
      </c>
      <c r="P26" s="189" t="s">
        <v>178</v>
      </c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</row>
    <row r="27">
      <c r="A27" s="189" t="s">
        <v>81</v>
      </c>
      <c r="B27" s="189" t="s">
        <v>82</v>
      </c>
      <c r="C27" s="191">
        <v>329.0</v>
      </c>
      <c r="D27" s="189">
        <v>0.0</v>
      </c>
      <c r="E27" s="189" t="s">
        <v>179</v>
      </c>
      <c r="F27" s="189" t="s">
        <v>84</v>
      </c>
      <c r="G27" s="189" t="s">
        <v>85</v>
      </c>
      <c r="H27" s="189" t="s">
        <v>180</v>
      </c>
      <c r="I27" s="189" t="s">
        <v>181</v>
      </c>
      <c r="J27" s="189" t="s">
        <v>181</v>
      </c>
      <c r="K27" s="190"/>
      <c r="L27" s="189">
        <v>-8.0</v>
      </c>
      <c r="M27" s="189"/>
      <c r="N27" s="189">
        <v>6.4455</v>
      </c>
      <c r="O27" s="189" t="s">
        <v>88</v>
      </c>
      <c r="P27" s="189" t="s">
        <v>182</v>
      </c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E27" s="190"/>
      <c r="AF27" s="190"/>
    </row>
    <row r="28">
      <c r="A28" s="189" t="s">
        <v>99</v>
      </c>
      <c r="B28" s="189" t="s">
        <v>91</v>
      </c>
      <c r="C28" s="191">
        <v>1105.0</v>
      </c>
      <c r="D28" s="189">
        <v>0.0</v>
      </c>
      <c r="E28" s="189" t="s">
        <v>55</v>
      </c>
      <c r="F28" s="189" t="s">
        <v>84</v>
      </c>
      <c r="G28" s="189" t="s">
        <v>85</v>
      </c>
      <c r="H28" s="189" t="s">
        <v>183</v>
      </c>
      <c r="I28" s="189" t="s">
        <v>184</v>
      </c>
      <c r="J28" s="189" t="s">
        <v>184</v>
      </c>
      <c r="K28" s="190"/>
      <c r="L28" s="189">
        <v>-2.0</v>
      </c>
      <c r="M28" s="189"/>
      <c r="N28" s="189">
        <v>19.729883333333333</v>
      </c>
      <c r="O28" s="189" t="s">
        <v>88</v>
      </c>
      <c r="P28" s="189" t="s">
        <v>185</v>
      </c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E28" s="190"/>
      <c r="AF28" s="190"/>
    </row>
    <row r="29">
      <c r="A29" s="189" t="s">
        <v>90</v>
      </c>
      <c r="B29" s="189" t="s">
        <v>91</v>
      </c>
      <c r="C29" s="191">
        <v>389.0</v>
      </c>
      <c r="D29" s="189">
        <v>0.0</v>
      </c>
      <c r="E29" s="190"/>
      <c r="F29" s="189" t="s">
        <v>92</v>
      </c>
      <c r="G29" s="189" t="s">
        <v>93</v>
      </c>
      <c r="H29" s="189" t="s">
        <v>186</v>
      </c>
      <c r="I29" s="189" t="s">
        <v>187</v>
      </c>
      <c r="J29" s="189" t="s">
        <v>96</v>
      </c>
      <c r="K29" s="190"/>
      <c r="L29" s="189">
        <v>592.0</v>
      </c>
      <c r="M29" s="189"/>
      <c r="N29" s="189">
        <v>6.8329</v>
      </c>
      <c r="O29" s="189" t="s">
        <v>97</v>
      </c>
      <c r="P29" s="189" t="s">
        <v>188</v>
      </c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</row>
    <row r="30">
      <c r="A30" s="189" t="s">
        <v>146</v>
      </c>
      <c r="B30" s="189" t="s">
        <v>91</v>
      </c>
      <c r="C30" s="191">
        <v>557.0</v>
      </c>
      <c r="D30" s="189">
        <v>30.0</v>
      </c>
      <c r="E30" s="189" t="s">
        <v>147</v>
      </c>
      <c r="F30" s="189" t="s">
        <v>148</v>
      </c>
      <c r="G30" s="189" t="s">
        <v>85</v>
      </c>
      <c r="H30" s="189" t="s">
        <v>189</v>
      </c>
      <c r="I30" s="189" t="s">
        <v>190</v>
      </c>
      <c r="J30" s="189" t="s">
        <v>191</v>
      </c>
      <c r="K30" s="189" t="s">
        <v>192</v>
      </c>
      <c r="L30" s="189">
        <v>-12.0</v>
      </c>
      <c r="M30" s="189">
        <v>0.01255</v>
      </c>
      <c r="N30" s="189">
        <v>14.12005</v>
      </c>
      <c r="O30" s="189" t="s">
        <v>153</v>
      </c>
      <c r="P30" s="189" t="s">
        <v>193</v>
      </c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</row>
    <row r="31">
      <c r="A31" s="189" t="s">
        <v>146</v>
      </c>
      <c r="B31" s="189" t="s">
        <v>91</v>
      </c>
      <c r="C31" s="189">
        <v>542.0</v>
      </c>
      <c r="D31" s="189">
        <v>0.0</v>
      </c>
      <c r="E31" s="189" t="s">
        <v>147</v>
      </c>
      <c r="F31" s="189" t="s">
        <v>148</v>
      </c>
      <c r="G31" s="189" t="s">
        <v>85</v>
      </c>
      <c r="H31" s="189" t="s">
        <v>194</v>
      </c>
      <c r="I31" s="189" t="s">
        <v>195</v>
      </c>
      <c r="J31" s="189" t="s">
        <v>196</v>
      </c>
      <c r="K31" s="189" t="s">
        <v>197</v>
      </c>
      <c r="L31" s="189">
        <v>-3.0</v>
      </c>
      <c r="M31" s="189">
        <v>0.012216666666666667</v>
      </c>
      <c r="N31" s="189">
        <v>19.494816666666665</v>
      </c>
      <c r="O31" s="189" t="s">
        <v>153</v>
      </c>
      <c r="P31" s="189" t="s">
        <v>198</v>
      </c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</row>
    <row r="32">
      <c r="A32" s="189" t="s">
        <v>99</v>
      </c>
      <c r="B32" s="189" t="s">
        <v>91</v>
      </c>
      <c r="C32" s="189">
        <v>264.0</v>
      </c>
      <c r="D32" s="189">
        <v>0.0</v>
      </c>
      <c r="E32" s="189" t="s">
        <v>55</v>
      </c>
      <c r="F32" s="189" t="s">
        <v>84</v>
      </c>
      <c r="G32" s="189" t="s">
        <v>85</v>
      </c>
      <c r="H32" s="189" t="s">
        <v>199</v>
      </c>
      <c r="I32" s="189" t="s">
        <v>200</v>
      </c>
      <c r="J32" s="189" t="s">
        <v>200</v>
      </c>
      <c r="K32" s="190"/>
      <c r="L32" s="189">
        <v>-12.0</v>
      </c>
      <c r="M32" s="189"/>
      <c r="N32" s="189">
        <v>7.851933333333333</v>
      </c>
      <c r="O32" s="189" t="s">
        <v>88</v>
      </c>
      <c r="P32" s="189" t="s">
        <v>201</v>
      </c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</row>
    <row r="33">
      <c r="A33" s="189" t="s">
        <v>146</v>
      </c>
      <c r="B33" s="189" t="s">
        <v>91</v>
      </c>
      <c r="C33" s="189">
        <v>490.0</v>
      </c>
      <c r="D33" s="189">
        <v>124.0</v>
      </c>
      <c r="E33" s="189" t="s">
        <v>147</v>
      </c>
      <c r="F33" s="189" t="s">
        <v>148</v>
      </c>
      <c r="G33" s="189" t="s">
        <v>85</v>
      </c>
      <c r="H33" s="189" t="s">
        <v>202</v>
      </c>
      <c r="I33" s="189" t="s">
        <v>203</v>
      </c>
      <c r="J33" s="189" t="s">
        <v>204</v>
      </c>
      <c r="K33" s="189" t="s">
        <v>205</v>
      </c>
      <c r="L33" s="189">
        <v>-14.0</v>
      </c>
      <c r="M33" s="189">
        <v>0.01505</v>
      </c>
      <c r="N33" s="189">
        <v>7.464016666666667</v>
      </c>
      <c r="O33" s="189" t="s">
        <v>153</v>
      </c>
      <c r="P33" s="189" t="s">
        <v>206</v>
      </c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</row>
    <row r="34">
      <c r="A34" s="189" t="s">
        <v>146</v>
      </c>
      <c r="B34" s="189" t="s">
        <v>91</v>
      </c>
      <c r="C34" s="189">
        <v>309.0</v>
      </c>
      <c r="D34" s="189">
        <v>0.0</v>
      </c>
      <c r="E34" s="189" t="s">
        <v>147</v>
      </c>
      <c r="F34" s="189" t="s">
        <v>148</v>
      </c>
      <c r="G34" s="189" t="s">
        <v>85</v>
      </c>
      <c r="H34" s="189" t="s">
        <v>207</v>
      </c>
      <c r="I34" s="189" t="s">
        <v>208</v>
      </c>
      <c r="J34" s="189" t="s">
        <v>209</v>
      </c>
      <c r="K34" s="189" t="s">
        <v>210</v>
      </c>
      <c r="L34" s="189">
        <v>-2.0</v>
      </c>
      <c r="M34" s="189">
        <v>0.008116666666666666</v>
      </c>
      <c r="N34" s="189">
        <v>8.021</v>
      </c>
      <c r="O34" s="189" t="s">
        <v>153</v>
      </c>
      <c r="P34" s="189" t="s">
        <v>211</v>
      </c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</row>
    <row r="35">
      <c r="A35" s="189" t="s">
        <v>146</v>
      </c>
      <c r="B35" s="189" t="s">
        <v>91</v>
      </c>
      <c r="C35" s="191">
        <v>199.0</v>
      </c>
      <c r="D35" s="189">
        <v>50.0</v>
      </c>
      <c r="E35" s="190"/>
      <c r="F35" s="189" t="s">
        <v>92</v>
      </c>
      <c r="G35" s="189" t="s">
        <v>93</v>
      </c>
      <c r="H35" s="189" t="s">
        <v>212</v>
      </c>
      <c r="I35" s="189" t="s">
        <v>213</v>
      </c>
      <c r="J35" s="189" t="s">
        <v>96</v>
      </c>
      <c r="K35" s="190"/>
      <c r="L35" s="189">
        <v>617.0</v>
      </c>
      <c r="M35" s="189"/>
      <c r="N35" s="189">
        <v>6.9847</v>
      </c>
      <c r="O35" s="189" t="s">
        <v>153</v>
      </c>
      <c r="P35" s="189" t="s">
        <v>214</v>
      </c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</row>
    <row r="36">
      <c r="A36" s="189" t="s">
        <v>103</v>
      </c>
      <c r="B36" s="189" t="s">
        <v>82</v>
      </c>
      <c r="C36" s="191">
        <v>379.0</v>
      </c>
      <c r="D36" s="189">
        <v>0.0</v>
      </c>
      <c r="E36" s="190"/>
      <c r="F36" s="189" t="s">
        <v>84</v>
      </c>
      <c r="G36" s="189" t="s">
        <v>85</v>
      </c>
      <c r="H36" s="189" t="s">
        <v>215</v>
      </c>
      <c r="I36" s="189" t="s">
        <v>216</v>
      </c>
      <c r="J36" s="189" t="s">
        <v>216</v>
      </c>
      <c r="K36" s="190"/>
      <c r="L36" s="189">
        <v>-7.0</v>
      </c>
      <c r="M36" s="189"/>
      <c r="N36" s="189">
        <v>8.007316666666666</v>
      </c>
      <c r="O36" s="189" t="s">
        <v>88</v>
      </c>
      <c r="P36" s="189" t="s">
        <v>217</v>
      </c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</row>
    <row r="37">
      <c r="A37" s="189" t="s">
        <v>81</v>
      </c>
      <c r="B37" s="189" t="s">
        <v>82</v>
      </c>
      <c r="C37" s="189">
        <v>369.0</v>
      </c>
      <c r="D37" s="189">
        <v>0.0</v>
      </c>
      <c r="E37" s="189" t="s">
        <v>218</v>
      </c>
      <c r="F37" s="189" t="s">
        <v>84</v>
      </c>
      <c r="G37" s="189" t="s">
        <v>85</v>
      </c>
      <c r="H37" s="189" t="s">
        <v>219</v>
      </c>
      <c r="I37" s="189" t="s">
        <v>220</v>
      </c>
      <c r="J37" s="189" t="s">
        <v>220</v>
      </c>
      <c r="K37" s="190"/>
      <c r="L37" s="189">
        <v>-9.0</v>
      </c>
      <c r="M37" s="189"/>
      <c r="N37" s="189">
        <v>5.46705</v>
      </c>
      <c r="O37" s="189" t="s">
        <v>88</v>
      </c>
      <c r="P37" s="189" t="s">
        <v>221</v>
      </c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</row>
    <row r="38">
      <c r="A38" s="189" t="s">
        <v>146</v>
      </c>
      <c r="B38" s="189" t="s">
        <v>91</v>
      </c>
      <c r="C38" s="191">
        <v>657.0</v>
      </c>
      <c r="D38" s="189">
        <v>0.0</v>
      </c>
      <c r="E38" s="189" t="s">
        <v>147</v>
      </c>
      <c r="F38" s="189" t="s">
        <v>148</v>
      </c>
      <c r="G38" s="189" t="s">
        <v>85</v>
      </c>
      <c r="H38" s="189" t="s">
        <v>222</v>
      </c>
      <c r="I38" s="189" t="s">
        <v>223</v>
      </c>
      <c r="J38" s="189" t="s">
        <v>224</v>
      </c>
      <c r="K38" s="189" t="s">
        <v>225</v>
      </c>
      <c r="L38" s="189">
        <v>-25.0</v>
      </c>
      <c r="M38" s="189">
        <v>0.014233333333333334</v>
      </c>
      <c r="N38" s="189">
        <v>9.470933333333333</v>
      </c>
      <c r="O38" s="189" t="s">
        <v>153</v>
      </c>
      <c r="P38" s="189" t="s">
        <v>226</v>
      </c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</row>
    <row r="39">
      <c r="A39" s="189" t="s">
        <v>103</v>
      </c>
      <c r="B39" s="189" t="s">
        <v>82</v>
      </c>
      <c r="C39" s="189">
        <v>1081.0</v>
      </c>
      <c r="D39" s="189">
        <v>0.0</v>
      </c>
      <c r="E39" s="190"/>
      <c r="F39" s="189" t="s">
        <v>84</v>
      </c>
      <c r="G39" s="189" t="s">
        <v>85</v>
      </c>
      <c r="H39" s="189" t="s">
        <v>227</v>
      </c>
      <c r="I39" s="189" t="s">
        <v>228</v>
      </c>
      <c r="J39" s="189" t="s">
        <v>228</v>
      </c>
      <c r="K39" s="190"/>
      <c r="L39" s="189">
        <v>-9.0</v>
      </c>
      <c r="M39" s="189"/>
      <c r="N39" s="189">
        <v>10.052016666666667</v>
      </c>
      <c r="O39" s="189" t="s">
        <v>88</v>
      </c>
      <c r="P39" s="189" t="s">
        <v>229</v>
      </c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</row>
    <row r="40">
      <c r="A40" s="189" t="s">
        <v>99</v>
      </c>
      <c r="B40" s="189" t="s">
        <v>91</v>
      </c>
      <c r="C40" s="189">
        <v>329.0</v>
      </c>
      <c r="D40" s="189">
        <v>0.0</v>
      </c>
      <c r="E40" s="189" t="s">
        <v>55</v>
      </c>
      <c r="F40" s="189" t="s">
        <v>84</v>
      </c>
      <c r="G40" s="189" t="s">
        <v>85</v>
      </c>
      <c r="H40" s="189" t="s">
        <v>230</v>
      </c>
      <c r="I40" s="189" t="s">
        <v>231</v>
      </c>
      <c r="J40" s="189" t="s">
        <v>231</v>
      </c>
      <c r="K40" s="190"/>
      <c r="L40" s="189">
        <v>-6.0</v>
      </c>
      <c r="M40" s="189"/>
      <c r="N40" s="189">
        <v>8.858066666666666</v>
      </c>
      <c r="O40" s="189" t="s">
        <v>88</v>
      </c>
      <c r="P40" s="189" t="s">
        <v>232</v>
      </c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</row>
    <row r="41">
      <c r="A41" s="189" t="s">
        <v>99</v>
      </c>
      <c r="B41" s="189" t="s">
        <v>91</v>
      </c>
      <c r="C41" s="191">
        <v>299.0</v>
      </c>
      <c r="D41" s="189">
        <v>0.0</v>
      </c>
      <c r="E41" s="189" t="s">
        <v>55</v>
      </c>
      <c r="F41" s="189" t="s">
        <v>84</v>
      </c>
      <c r="G41" s="189" t="s">
        <v>85</v>
      </c>
      <c r="H41" s="189" t="s">
        <v>233</v>
      </c>
      <c r="I41" s="189" t="s">
        <v>234</v>
      </c>
      <c r="J41" s="189" t="s">
        <v>234</v>
      </c>
      <c r="K41" s="190"/>
      <c r="L41" s="189">
        <v>-7.0</v>
      </c>
      <c r="M41" s="189"/>
      <c r="N41" s="189">
        <v>7.544883333333333</v>
      </c>
      <c r="O41" s="189" t="s">
        <v>88</v>
      </c>
      <c r="P41" s="189" t="s">
        <v>235</v>
      </c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</row>
    <row r="42">
      <c r="A42" s="189" t="s">
        <v>99</v>
      </c>
      <c r="B42" s="189" t="s">
        <v>91</v>
      </c>
      <c r="C42" s="191">
        <v>658.0</v>
      </c>
      <c r="D42" s="189">
        <v>0.0</v>
      </c>
      <c r="E42" s="189" t="s">
        <v>55</v>
      </c>
      <c r="F42" s="189" t="s">
        <v>84</v>
      </c>
      <c r="G42" s="189" t="s">
        <v>85</v>
      </c>
      <c r="H42" s="189" t="s">
        <v>236</v>
      </c>
      <c r="I42" s="189" t="s">
        <v>237</v>
      </c>
      <c r="J42" s="189" t="s">
        <v>237</v>
      </c>
      <c r="K42" s="190"/>
      <c r="L42" s="189">
        <v>-2.0</v>
      </c>
      <c r="M42" s="189"/>
      <c r="N42" s="189">
        <v>21.282183333333332</v>
      </c>
      <c r="O42" s="189" t="s">
        <v>88</v>
      </c>
      <c r="P42" s="189" t="s">
        <v>238</v>
      </c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</row>
    <row r="43">
      <c r="A43" s="189" t="s">
        <v>146</v>
      </c>
      <c r="B43" s="189" t="s">
        <v>91</v>
      </c>
      <c r="C43" s="189">
        <v>770.0</v>
      </c>
      <c r="D43" s="189">
        <v>192.0</v>
      </c>
      <c r="E43" s="190"/>
      <c r="F43" s="189" t="s">
        <v>92</v>
      </c>
      <c r="G43" s="189" t="s">
        <v>239</v>
      </c>
      <c r="H43" s="189" t="s">
        <v>240</v>
      </c>
      <c r="I43" s="189" t="s">
        <v>241</v>
      </c>
      <c r="J43" s="189" t="s">
        <v>96</v>
      </c>
      <c r="K43" s="190"/>
      <c r="L43" s="189">
        <v>697.0</v>
      </c>
      <c r="M43" s="189"/>
      <c r="N43" s="189">
        <v>21.33315</v>
      </c>
      <c r="O43" s="189" t="s">
        <v>153</v>
      </c>
      <c r="P43" s="189" t="s">
        <v>242</v>
      </c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</row>
    <row r="44">
      <c r="A44" s="189" t="s">
        <v>90</v>
      </c>
      <c r="B44" s="189" t="s">
        <v>91</v>
      </c>
      <c r="C44" s="191">
        <v>309.0</v>
      </c>
      <c r="D44" s="189">
        <v>0.0</v>
      </c>
      <c r="E44" s="190"/>
      <c r="F44" s="189" t="s">
        <v>92</v>
      </c>
      <c r="G44" s="189" t="s">
        <v>93</v>
      </c>
      <c r="H44" s="189" t="s">
        <v>243</v>
      </c>
      <c r="I44" s="189" t="s">
        <v>244</v>
      </c>
      <c r="J44" s="189" t="s">
        <v>96</v>
      </c>
      <c r="K44" s="190"/>
      <c r="L44" s="189">
        <v>717.0</v>
      </c>
      <c r="M44" s="189"/>
      <c r="N44" s="189">
        <v>11.995916666666666</v>
      </c>
      <c r="O44" s="189" t="s">
        <v>97</v>
      </c>
      <c r="P44" s="189" t="s">
        <v>245</v>
      </c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</row>
    <row r="45">
      <c r="A45" s="189" t="s">
        <v>146</v>
      </c>
      <c r="B45" s="189" t="s">
        <v>91</v>
      </c>
      <c r="C45" s="189">
        <v>592.0</v>
      </c>
      <c r="D45" s="189">
        <v>0.0</v>
      </c>
      <c r="E45" s="189" t="s">
        <v>55</v>
      </c>
      <c r="F45" s="189" t="s">
        <v>148</v>
      </c>
      <c r="G45" s="189" t="s">
        <v>85</v>
      </c>
      <c r="H45" s="189" t="s">
        <v>246</v>
      </c>
      <c r="I45" s="189" t="s">
        <v>247</v>
      </c>
      <c r="J45" s="189" t="s">
        <v>248</v>
      </c>
      <c r="K45" s="189" t="s">
        <v>249</v>
      </c>
      <c r="L45" s="189">
        <v>-3.0</v>
      </c>
      <c r="M45" s="189">
        <v>1.1092166666666667</v>
      </c>
      <c r="N45" s="189">
        <v>12.458616666666666</v>
      </c>
      <c r="O45" s="189" t="s">
        <v>153</v>
      </c>
      <c r="P45" s="189" t="s">
        <v>250</v>
      </c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</row>
    <row r="46">
      <c r="A46" s="189" t="s">
        <v>103</v>
      </c>
      <c r="B46" s="189" t="s">
        <v>82</v>
      </c>
      <c r="C46" s="191">
        <v>819.0</v>
      </c>
      <c r="D46" s="189">
        <v>0.0</v>
      </c>
      <c r="E46" s="190"/>
      <c r="F46" s="189" t="s">
        <v>84</v>
      </c>
      <c r="G46" s="189" t="s">
        <v>85</v>
      </c>
      <c r="H46" s="189" t="s">
        <v>251</v>
      </c>
      <c r="I46" s="189" t="s">
        <v>252</v>
      </c>
      <c r="J46" s="189" t="s">
        <v>252</v>
      </c>
      <c r="K46" s="190"/>
      <c r="L46" s="189">
        <v>-2.0</v>
      </c>
      <c r="M46" s="189"/>
      <c r="N46" s="189">
        <v>17.716533333333334</v>
      </c>
      <c r="O46" s="189" t="s">
        <v>88</v>
      </c>
      <c r="P46" s="189" t="s">
        <v>253</v>
      </c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</row>
    <row r="47">
      <c r="A47" s="189" t="s">
        <v>146</v>
      </c>
      <c r="B47" s="189" t="s">
        <v>91</v>
      </c>
      <c r="C47" s="191">
        <v>720.0</v>
      </c>
      <c r="D47" s="189">
        <v>0.0</v>
      </c>
      <c r="E47" s="189" t="s">
        <v>147</v>
      </c>
      <c r="F47" s="189" t="s">
        <v>148</v>
      </c>
      <c r="G47" s="189" t="s">
        <v>85</v>
      </c>
      <c r="H47" s="189" t="s">
        <v>254</v>
      </c>
      <c r="I47" s="189" t="s">
        <v>255</v>
      </c>
      <c r="J47" s="189" t="s">
        <v>256</v>
      </c>
      <c r="K47" s="189" t="s">
        <v>257</v>
      </c>
      <c r="L47" s="189">
        <v>-20.0</v>
      </c>
      <c r="M47" s="189">
        <v>0.012983333333333333</v>
      </c>
      <c r="N47" s="189">
        <v>13.128983333333334</v>
      </c>
      <c r="O47" s="189" t="s">
        <v>153</v>
      </c>
      <c r="P47" s="189" t="s">
        <v>258</v>
      </c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</row>
    <row r="48">
      <c r="A48" s="189" t="s">
        <v>99</v>
      </c>
      <c r="B48" s="189" t="s">
        <v>91</v>
      </c>
      <c r="C48" s="191">
        <v>264.0</v>
      </c>
      <c r="D48" s="189">
        <v>0.0</v>
      </c>
      <c r="E48" s="189" t="s">
        <v>55</v>
      </c>
      <c r="F48" s="189" t="s">
        <v>84</v>
      </c>
      <c r="G48" s="189" t="s">
        <v>85</v>
      </c>
      <c r="H48" s="189" t="s">
        <v>259</v>
      </c>
      <c r="I48" s="189" t="s">
        <v>260</v>
      </c>
      <c r="J48" s="189" t="s">
        <v>260</v>
      </c>
      <c r="K48" s="190"/>
      <c r="L48" s="189">
        <v>-5.0</v>
      </c>
      <c r="M48" s="189"/>
      <c r="N48" s="189">
        <v>9.465466666666666</v>
      </c>
      <c r="O48" s="189" t="s">
        <v>88</v>
      </c>
      <c r="P48" s="189" t="s">
        <v>261</v>
      </c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</row>
    <row r="49">
      <c r="A49" s="189" t="s">
        <v>81</v>
      </c>
      <c r="B49" s="189" t="s">
        <v>82</v>
      </c>
      <c r="C49" s="189">
        <v>374.0</v>
      </c>
      <c r="D49" s="189">
        <v>0.0</v>
      </c>
      <c r="E49" s="189" t="s">
        <v>262</v>
      </c>
      <c r="F49" s="189" t="s">
        <v>84</v>
      </c>
      <c r="G49" s="189" t="s">
        <v>85</v>
      </c>
      <c r="H49" s="189" t="s">
        <v>263</v>
      </c>
      <c r="I49" s="189" t="s">
        <v>264</v>
      </c>
      <c r="J49" s="189" t="s">
        <v>264</v>
      </c>
      <c r="K49" s="190"/>
      <c r="L49" s="189">
        <v>-5.0</v>
      </c>
      <c r="M49" s="189"/>
      <c r="N49" s="189">
        <v>9.996466666666667</v>
      </c>
      <c r="O49" s="189" t="s">
        <v>88</v>
      </c>
      <c r="P49" s="189" t="s">
        <v>265</v>
      </c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</row>
    <row r="50">
      <c r="A50" s="189" t="s">
        <v>146</v>
      </c>
      <c r="B50" s="189" t="s">
        <v>91</v>
      </c>
      <c r="C50" s="189">
        <v>846.0</v>
      </c>
      <c r="D50" s="189">
        <v>211.0</v>
      </c>
      <c r="E50" s="190"/>
      <c r="F50" s="189" t="s">
        <v>92</v>
      </c>
      <c r="G50" s="189" t="s">
        <v>239</v>
      </c>
      <c r="H50" s="189" t="s">
        <v>266</v>
      </c>
      <c r="I50" s="189" t="s">
        <v>267</v>
      </c>
      <c r="J50" s="189" t="s">
        <v>96</v>
      </c>
      <c r="K50" s="190"/>
      <c r="L50" s="189">
        <v>722.0</v>
      </c>
      <c r="M50" s="189"/>
      <c r="N50" s="189">
        <v>9.384933333333333</v>
      </c>
      <c r="O50" s="189" t="s">
        <v>153</v>
      </c>
      <c r="P50" s="189" t="s">
        <v>268</v>
      </c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</row>
    <row r="51">
      <c r="A51" s="189" t="s">
        <v>99</v>
      </c>
      <c r="B51" s="189" t="s">
        <v>91</v>
      </c>
      <c r="C51" s="189">
        <v>346.0</v>
      </c>
      <c r="D51" s="189">
        <v>0.0</v>
      </c>
      <c r="E51" s="189" t="s">
        <v>55</v>
      </c>
      <c r="F51" s="189" t="s">
        <v>84</v>
      </c>
      <c r="G51" s="189" t="s">
        <v>85</v>
      </c>
      <c r="H51" s="189" t="s">
        <v>269</v>
      </c>
      <c r="I51" s="189" t="s">
        <v>270</v>
      </c>
      <c r="J51" s="189" t="s">
        <v>270</v>
      </c>
      <c r="K51" s="190"/>
      <c r="L51" s="189">
        <v>-10.0</v>
      </c>
      <c r="M51" s="189"/>
      <c r="N51" s="189">
        <v>7.888233333333333</v>
      </c>
      <c r="O51" s="189" t="s">
        <v>88</v>
      </c>
      <c r="P51" s="189" t="s">
        <v>271</v>
      </c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</row>
    <row r="52">
      <c r="A52" s="189" t="s">
        <v>81</v>
      </c>
      <c r="B52" s="189" t="s">
        <v>82</v>
      </c>
      <c r="C52" s="191">
        <v>593.0</v>
      </c>
      <c r="D52" s="189">
        <v>0.0</v>
      </c>
      <c r="E52" s="189" t="s">
        <v>272</v>
      </c>
      <c r="F52" s="189" t="s">
        <v>84</v>
      </c>
      <c r="G52" s="189" t="s">
        <v>85</v>
      </c>
      <c r="H52" s="189" t="s">
        <v>273</v>
      </c>
      <c r="I52" s="189" t="s">
        <v>274</v>
      </c>
      <c r="J52" s="189" t="s">
        <v>274</v>
      </c>
      <c r="K52" s="190"/>
      <c r="L52" s="189">
        <v>-11.0</v>
      </c>
      <c r="M52" s="189"/>
      <c r="N52" s="189">
        <v>8.99485</v>
      </c>
      <c r="O52" s="189" t="s">
        <v>88</v>
      </c>
      <c r="P52" s="189" t="s">
        <v>275</v>
      </c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</row>
    <row r="53">
      <c r="A53" s="189" t="s">
        <v>81</v>
      </c>
      <c r="B53" s="189" t="s">
        <v>82</v>
      </c>
      <c r="C53" s="191">
        <v>404.0</v>
      </c>
      <c r="D53" s="189">
        <v>0.0</v>
      </c>
      <c r="E53" s="189" t="s">
        <v>276</v>
      </c>
      <c r="F53" s="189" t="s">
        <v>84</v>
      </c>
      <c r="G53" s="189" t="s">
        <v>85</v>
      </c>
      <c r="H53" s="189" t="s">
        <v>277</v>
      </c>
      <c r="I53" s="189" t="s">
        <v>278</v>
      </c>
      <c r="J53" s="189" t="s">
        <v>278</v>
      </c>
      <c r="K53" s="190"/>
      <c r="L53" s="189">
        <v>-6.0</v>
      </c>
      <c r="M53" s="189"/>
      <c r="N53" s="189">
        <v>8.567133333333333</v>
      </c>
      <c r="O53" s="189" t="s">
        <v>88</v>
      </c>
      <c r="P53" s="189" t="s">
        <v>279</v>
      </c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</row>
    <row r="54">
      <c r="A54" s="189" t="s">
        <v>81</v>
      </c>
      <c r="B54" s="189" t="s">
        <v>82</v>
      </c>
      <c r="C54" s="189">
        <v>329.0</v>
      </c>
      <c r="D54" s="189">
        <v>0.0</v>
      </c>
      <c r="E54" s="189" t="s">
        <v>280</v>
      </c>
      <c r="F54" s="189" t="s">
        <v>84</v>
      </c>
      <c r="G54" s="189" t="s">
        <v>85</v>
      </c>
      <c r="H54" s="189" t="s">
        <v>281</v>
      </c>
      <c r="I54" s="189" t="s">
        <v>282</v>
      </c>
      <c r="J54" s="189" t="s">
        <v>282</v>
      </c>
      <c r="K54" s="190"/>
      <c r="L54" s="189">
        <v>-6.0</v>
      </c>
      <c r="M54" s="189"/>
      <c r="N54" s="189">
        <v>8.831433333333333</v>
      </c>
      <c r="O54" s="189" t="s">
        <v>88</v>
      </c>
      <c r="P54" s="189" t="s">
        <v>283</v>
      </c>
      <c r="Q54" s="190"/>
      <c r="R54" s="190"/>
      <c r="S54" s="190"/>
      <c r="T54" s="190"/>
      <c r="U54" s="190"/>
      <c r="V54" s="190"/>
      <c r="W54" s="190"/>
      <c r="X54" s="190"/>
      <c r="Y54" s="190"/>
      <c r="Z54" s="190"/>
      <c r="AA54" s="190"/>
      <c r="AB54" s="190"/>
      <c r="AC54" s="190"/>
      <c r="AD54" s="190"/>
      <c r="AE54" s="190"/>
      <c r="AF54" s="190"/>
    </row>
    <row r="55">
      <c r="A55" s="189" t="s">
        <v>99</v>
      </c>
      <c r="B55" s="189" t="s">
        <v>91</v>
      </c>
      <c r="C55" s="191">
        <v>492.0</v>
      </c>
      <c r="D55" s="189">
        <v>0.0</v>
      </c>
      <c r="E55" s="189" t="s">
        <v>55</v>
      </c>
      <c r="F55" s="189" t="s">
        <v>84</v>
      </c>
      <c r="G55" s="189" t="s">
        <v>85</v>
      </c>
      <c r="H55" s="189" t="s">
        <v>284</v>
      </c>
      <c r="I55" s="189" t="s">
        <v>285</v>
      </c>
      <c r="J55" s="189" t="s">
        <v>285</v>
      </c>
      <c r="K55" s="190"/>
      <c r="L55" s="189">
        <v>-18.0</v>
      </c>
      <c r="M55" s="189"/>
      <c r="N55" s="189">
        <v>7.990733333333333</v>
      </c>
      <c r="O55" s="189" t="s">
        <v>88</v>
      </c>
      <c r="P55" s="189" t="s">
        <v>286</v>
      </c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/>
      <c r="AD55" s="190"/>
      <c r="AE55" s="190"/>
      <c r="AF55" s="190"/>
    </row>
    <row r="56">
      <c r="A56" s="189" t="s">
        <v>99</v>
      </c>
      <c r="B56" s="189" t="s">
        <v>91</v>
      </c>
      <c r="C56" s="191">
        <v>323.0</v>
      </c>
      <c r="D56" s="189">
        <v>0.0</v>
      </c>
      <c r="E56" s="189" t="s">
        <v>55</v>
      </c>
      <c r="F56" s="189" t="s">
        <v>84</v>
      </c>
      <c r="G56" s="189" t="s">
        <v>85</v>
      </c>
      <c r="H56" s="189" t="s">
        <v>287</v>
      </c>
      <c r="I56" s="189" t="s">
        <v>288</v>
      </c>
      <c r="J56" s="189" t="s">
        <v>288</v>
      </c>
      <c r="K56" s="190"/>
      <c r="L56" s="189">
        <v>-7.0</v>
      </c>
      <c r="M56" s="189"/>
      <c r="N56" s="189">
        <v>11.9609</v>
      </c>
      <c r="O56" s="189" t="s">
        <v>88</v>
      </c>
      <c r="P56" s="189" t="s">
        <v>289</v>
      </c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</row>
    <row r="57">
      <c r="A57" s="189" t="s">
        <v>99</v>
      </c>
      <c r="B57" s="189" t="s">
        <v>91</v>
      </c>
      <c r="C57" s="191">
        <v>319.0</v>
      </c>
      <c r="D57" s="189">
        <v>0.0</v>
      </c>
      <c r="E57" s="189" t="s">
        <v>55</v>
      </c>
      <c r="F57" s="189" t="s">
        <v>84</v>
      </c>
      <c r="G57" s="189" t="s">
        <v>85</v>
      </c>
      <c r="H57" s="189" t="s">
        <v>290</v>
      </c>
      <c r="I57" s="189" t="s">
        <v>291</v>
      </c>
      <c r="J57" s="189" t="s">
        <v>291</v>
      </c>
      <c r="K57" s="190"/>
      <c r="L57" s="189">
        <v>0.0</v>
      </c>
      <c r="M57" s="189"/>
      <c r="N57" s="189">
        <v>15.16245</v>
      </c>
      <c r="O57" s="189" t="s">
        <v>88</v>
      </c>
      <c r="P57" s="189" t="s">
        <v>292</v>
      </c>
      <c r="Q57" s="190"/>
      <c r="R57" s="190"/>
      <c r="S57" s="190"/>
      <c r="T57" s="190"/>
      <c r="U57" s="190"/>
      <c r="V57" s="190"/>
      <c r="W57" s="190"/>
      <c r="X57" s="190"/>
      <c r="Y57" s="190"/>
      <c r="Z57" s="190"/>
      <c r="AA57" s="190"/>
      <c r="AB57" s="190"/>
      <c r="AC57" s="190"/>
      <c r="AD57" s="190"/>
      <c r="AE57" s="190"/>
      <c r="AF57" s="190"/>
    </row>
    <row r="58">
      <c r="A58" s="189" t="s">
        <v>103</v>
      </c>
      <c r="B58" s="189" t="s">
        <v>82</v>
      </c>
      <c r="C58" s="189">
        <v>264.0</v>
      </c>
      <c r="D58" s="189">
        <v>0.0</v>
      </c>
      <c r="E58" s="190"/>
      <c r="F58" s="189" t="s">
        <v>84</v>
      </c>
      <c r="G58" s="189" t="s">
        <v>85</v>
      </c>
      <c r="H58" s="189" t="s">
        <v>293</v>
      </c>
      <c r="I58" s="189" t="s">
        <v>294</v>
      </c>
      <c r="J58" s="189" t="s">
        <v>294</v>
      </c>
      <c r="K58" s="190"/>
      <c r="L58" s="189">
        <v>-7.0</v>
      </c>
      <c r="M58" s="189"/>
      <c r="N58" s="189">
        <v>7.68135</v>
      </c>
      <c r="O58" s="189" t="s">
        <v>88</v>
      </c>
      <c r="P58" s="189" t="s">
        <v>295</v>
      </c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</row>
    <row r="59">
      <c r="A59" s="189" t="s">
        <v>99</v>
      </c>
      <c r="B59" s="189" t="s">
        <v>91</v>
      </c>
      <c r="C59" s="191">
        <v>329.0</v>
      </c>
      <c r="D59" s="189">
        <v>0.0</v>
      </c>
      <c r="E59" s="189" t="s">
        <v>55</v>
      </c>
      <c r="F59" s="189" t="s">
        <v>84</v>
      </c>
      <c r="G59" s="189" t="s">
        <v>85</v>
      </c>
      <c r="H59" s="189" t="s">
        <v>296</v>
      </c>
      <c r="I59" s="189" t="s">
        <v>297</v>
      </c>
      <c r="J59" s="189" t="s">
        <v>297</v>
      </c>
      <c r="K59" s="190"/>
      <c r="L59" s="189">
        <v>-7.0</v>
      </c>
      <c r="M59" s="189"/>
      <c r="N59" s="189">
        <v>7.374666666666666</v>
      </c>
      <c r="O59" s="189" t="s">
        <v>88</v>
      </c>
      <c r="P59" s="189" t="s">
        <v>298</v>
      </c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/>
      <c r="AD59" s="190"/>
      <c r="AE59" s="190"/>
      <c r="AF59" s="190"/>
    </row>
    <row r="60">
      <c r="A60" s="189" t="s">
        <v>99</v>
      </c>
      <c r="B60" s="189" t="s">
        <v>91</v>
      </c>
      <c r="C60" s="189">
        <v>388.0</v>
      </c>
      <c r="D60" s="189">
        <v>0.0</v>
      </c>
      <c r="E60" s="189" t="s">
        <v>55</v>
      </c>
      <c r="F60" s="189" t="s">
        <v>84</v>
      </c>
      <c r="G60" s="189" t="s">
        <v>85</v>
      </c>
      <c r="H60" s="189" t="s">
        <v>299</v>
      </c>
      <c r="I60" s="189" t="s">
        <v>300</v>
      </c>
      <c r="J60" s="189" t="s">
        <v>300</v>
      </c>
      <c r="K60" s="190"/>
      <c r="L60" s="189">
        <v>-8.0</v>
      </c>
      <c r="M60" s="189"/>
      <c r="N60" s="189">
        <v>6.501216666666667</v>
      </c>
      <c r="O60" s="189" t="s">
        <v>88</v>
      </c>
      <c r="P60" s="189" t="s">
        <v>301</v>
      </c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/>
      <c r="AD60" s="190"/>
      <c r="AE60" s="190"/>
      <c r="AF60" s="190"/>
    </row>
    <row r="61">
      <c r="A61" s="189" t="s">
        <v>146</v>
      </c>
      <c r="B61" s="189" t="s">
        <v>91</v>
      </c>
      <c r="C61" s="191">
        <v>220.0</v>
      </c>
      <c r="D61" s="189">
        <v>89.0</v>
      </c>
      <c r="E61" s="190"/>
      <c r="F61" s="189" t="s">
        <v>92</v>
      </c>
      <c r="G61" s="189" t="s">
        <v>239</v>
      </c>
      <c r="H61" s="189" t="s">
        <v>302</v>
      </c>
      <c r="I61" s="189" t="s">
        <v>303</v>
      </c>
      <c r="J61" s="189" t="s">
        <v>96</v>
      </c>
      <c r="K61" s="190"/>
      <c r="L61" s="189">
        <v>866.0</v>
      </c>
      <c r="M61" s="189"/>
      <c r="N61" s="189">
        <v>6.4094</v>
      </c>
      <c r="O61" s="189" t="s">
        <v>153</v>
      </c>
      <c r="P61" s="189" t="s">
        <v>211</v>
      </c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</row>
    <row r="62">
      <c r="A62" s="189" t="s">
        <v>90</v>
      </c>
      <c r="B62" s="189" t="s">
        <v>91</v>
      </c>
      <c r="C62" s="189">
        <v>249.0</v>
      </c>
      <c r="D62" s="189">
        <v>0.0</v>
      </c>
      <c r="E62" s="190"/>
      <c r="F62" s="189" t="s">
        <v>92</v>
      </c>
      <c r="G62" s="189" t="s">
        <v>93</v>
      </c>
      <c r="H62" s="189" t="s">
        <v>304</v>
      </c>
      <c r="I62" s="189" t="s">
        <v>305</v>
      </c>
      <c r="J62" s="189" t="s">
        <v>96</v>
      </c>
      <c r="K62" s="190"/>
      <c r="L62" s="189">
        <v>888.0</v>
      </c>
      <c r="M62" s="189"/>
      <c r="N62" s="189">
        <v>10.810516666666667</v>
      </c>
      <c r="O62" s="189" t="s">
        <v>97</v>
      </c>
      <c r="P62" s="189" t="s">
        <v>306</v>
      </c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</row>
    <row r="63">
      <c r="A63" s="189" t="s">
        <v>90</v>
      </c>
      <c r="B63" s="189" t="s">
        <v>91</v>
      </c>
      <c r="C63" s="189">
        <v>498.0</v>
      </c>
      <c r="D63" s="189">
        <v>0.0</v>
      </c>
      <c r="E63" s="190"/>
      <c r="F63" s="189" t="s">
        <v>92</v>
      </c>
      <c r="G63" s="189" t="s">
        <v>93</v>
      </c>
      <c r="H63" s="189" t="s">
        <v>307</v>
      </c>
      <c r="I63" s="189" t="s">
        <v>308</v>
      </c>
      <c r="J63" s="189" t="s">
        <v>96</v>
      </c>
      <c r="K63" s="190"/>
      <c r="L63" s="189">
        <v>888.0</v>
      </c>
      <c r="M63" s="189"/>
      <c r="N63" s="189">
        <v>12.3031</v>
      </c>
      <c r="O63" s="189" t="s">
        <v>97</v>
      </c>
      <c r="P63" s="189" t="s">
        <v>309</v>
      </c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0"/>
      <c r="AB63" s="190"/>
      <c r="AC63" s="190"/>
      <c r="AD63" s="190"/>
      <c r="AE63" s="190"/>
      <c r="AF63" s="190"/>
    </row>
    <row r="64">
      <c r="A64" s="189" t="s">
        <v>81</v>
      </c>
      <c r="B64" s="189" t="s">
        <v>91</v>
      </c>
      <c r="C64" s="189">
        <v>388.0</v>
      </c>
      <c r="D64" s="189">
        <v>0.0</v>
      </c>
      <c r="E64" s="189" t="s">
        <v>310</v>
      </c>
      <c r="F64" s="189" t="s">
        <v>84</v>
      </c>
      <c r="G64" s="189" t="s">
        <v>85</v>
      </c>
      <c r="H64" s="189" t="s">
        <v>311</v>
      </c>
      <c r="I64" s="189" t="s">
        <v>312</v>
      </c>
      <c r="J64" s="189" t="s">
        <v>312</v>
      </c>
      <c r="K64" s="190"/>
      <c r="L64" s="189">
        <v>-7.0</v>
      </c>
      <c r="M64" s="189"/>
      <c r="N64" s="189">
        <v>7.482333333333333</v>
      </c>
      <c r="O64" s="189" t="s">
        <v>88</v>
      </c>
      <c r="P64" s="189" t="s">
        <v>313</v>
      </c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</row>
    <row r="65">
      <c r="A65" s="189" t="s">
        <v>99</v>
      </c>
      <c r="B65" s="189" t="s">
        <v>91</v>
      </c>
      <c r="C65" s="191">
        <v>329.0</v>
      </c>
      <c r="D65" s="189">
        <v>0.0</v>
      </c>
      <c r="E65" s="189" t="s">
        <v>55</v>
      </c>
      <c r="F65" s="189" t="s">
        <v>84</v>
      </c>
      <c r="G65" s="189" t="s">
        <v>85</v>
      </c>
      <c r="H65" s="189" t="s">
        <v>314</v>
      </c>
      <c r="I65" s="189" t="s">
        <v>315</v>
      </c>
      <c r="J65" s="189" t="s">
        <v>315</v>
      </c>
      <c r="K65" s="190"/>
      <c r="L65" s="189">
        <v>-7.0</v>
      </c>
      <c r="M65" s="189"/>
      <c r="N65" s="189">
        <v>7.6004</v>
      </c>
      <c r="O65" s="189" t="s">
        <v>88</v>
      </c>
      <c r="P65" s="189" t="s">
        <v>316</v>
      </c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0"/>
      <c r="AB65" s="190"/>
      <c r="AC65" s="190"/>
      <c r="AD65" s="190"/>
      <c r="AE65" s="190"/>
      <c r="AF65" s="190"/>
    </row>
    <row r="66">
      <c r="A66" s="189" t="s">
        <v>81</v>
      </c>
      <c r="B66" s="189" t="s">
        <v>91</v>
      </c>
      <c r="C66" s="189">
        <v>708.0</v>
      </c>
      <c r="D66" s="189">
        <v>0.0</v>
      </c>
      <c r="E66" s="189" t="s">
        <v>317</v>
      </c>
      <c r="F66" s="189" t="s">
        <v>84</v>
      </c>
      <c r="G66" s="189" t="s">
        <v>85</v>
      </c>
      <c r="H66" s="189" t="s">
        <v>318</v>
      </c>
      <c r="I66" s="189" t="s">
        <v>319</v>
      </c>
      <c r="J66" s="189" t="s">
        <v>319</v>
      </c>
      <c r="K66" s="190"/>
      <c r="L66" s="189">
        <v>-9.0</v>
      </c>
      <c r="M66" s="189"/>
      <c r="N66" s="189">
        <v>10.72015</v>
      </c>
      <c r="O66" s="189" t="s">
        <v>88</v>
      </c>
      <c r="P66" s="189" t="s">
        <v>320</v>
      </c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0"/>
      <c r="AB66" s="190"/>
      <c r="AC66" s="190"/>
      <c r="AD66" s="190"/>
      <c r="AE66" s="190"/>
      <c r="AF66" s="190"/>
    </row>
    <row r="67">
      <c r="A67" s="189" t="s">
        <v>146</v>
      </c>
      <c r="B67" s="189" t="s">
        <v>91</v>
      </c>
      <c r="C67" s="189">
        <v>798.0</v>
      </c>
      <c r="D67" s="189">
        <v>0.0</v>
      </c>
      <c r="E67" s="189" t="s">
        <v>55</v>
      </c>
      <c r="F67" s="189" t="s">
        <v>148</v>
      </c>
      <c r="G67" s="189" t="s">
        <v>85</v>
      </c>
      <c r="H67" s="189" t="s">
        <v>321</v>
      </c>
      <c r="I67" s="189" t="s">
        <v>322</v>
      </c>
      <c r="J67" s="189" t="s">
        <v>323</v>
      </c>
      <c r="K67" s="189" t="s">
        <v>324</v>
      </c>
      <c r="L67" s="189">
        <v>9.0</v>
      </c>
      <c r="M67" s="189">
        <v>0.6370333333333333</v>
      </c>
      <c r="N67" s="189">
        <v>12.2214</v>
      </c>
      <c r="O67" s="189" t="s">
        <v>153</v>
      </c>
      <c r="P67" s="189" t="s">
        <v>325</v>
      </c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  <c r="AB67" s="190"/>
      <c r="AC67" s="190"/>
      <c r="AD67" s="190"/>
      <c r="AE67" s="190"/>
      <c r="AF67" s="190"/>
    </row>
    <row r="68">
      <c r="A68" s="189" t="s">
        <v>99</v>
      </c>
      <c r="B68" s="189" t="s">
        <v>91</v>
      </c>
      <c r="C68" s="189">
        <v>528.0</v>
      </c>
      <c r="D68" s="189">
        <v>0.0</v>
      </c>
      <c r="E68" s="189" t="s">
        <v>55</v>
      </c>
      <c r="F68" s="189" t="s">
        <v>84</v>
      </c>
      <c r="G68" s="189" t="s">
        <v>85</v>
      </c>
      <c r="H68" s="189" t="s">
        <v>326</v>
      </c>
      <c r="I68" s="189" t="s">
        <v>327</v>
      </c>
      <c r="J68" s="189" t="s">
        <v>327</v>
      </c>
      <c r="K68" s="190"/>
      <c r="L68" s="189">
        <v>-8.0</v>
      </c>
      <c r="M68" s="189"/>
      <c r="N68" s="189">
        <v>11.28675</v>
      </c>
      <c r="O68" s="189" t="s">
        <v>88</v>
      </c>
      <c r="P68" s="189" t="s">
        <v>328</v>
      </c>
      <c r="Q68" s="190"/>
      <c r="R68" s="190"/>
      <c r="S68" s="190"/>
      <c r="T68" s="190"/>
      <c r="U68" s="190"/>
      <c r="V68" s="190"/>
      <c r="W68" s="190"/>
      <c r="X68" s="190"/>
      <c r="Y68" s="190"/>
      <c r="Z68" s="190"/>
      <c r="AA68" s="190"/>
      <c r="AB68" s="190"/>
      <c r="AC68" s="190"/>
      <c r="AD68" s="190"/>
      <c r="AE68" s="190"/>
      <c r="AF68" s="190"/>
    </row>
    <row r="69">
      <c r="A69" s="189" t="s">
        <v>81</v>
      </c>
      <c r="B69" s="189" t="s">
        <v>91</v>
      </c>
      <c r="C69" s="189">
        <v>782.0</v>
      </c>
      <c r="D69" s="189">
        <v>0.0</v>
      </c>
      <c r="E69" s="189" t="s">
        <v>329</v>
      </c>
      <c r="F69" s="189" t="s">
        <v>84</v>
      </c>
      <c r="G69" s="189" t="s">
        <v>85</v>
      </c>
      <c r="H69" s="189" t="s">
        <v>330</v>
      </c>
      <c r="I69" s="189" t="s">
        <v>331</v>
      </c>
      <c r="J69" s="189" t="s">
        <v>331</v>
      </c>
      <c r="K69" s="190"/>
      <c r="L69" s="189">
        <v>-9.0</v>
      </c>
      <c r="M69" s="189"/>
      <c r="N69" s="189">
        <v>10.958816666666667</v>
      </c>
      <c r="O69" s="189" t="s">
        <v>88</v>
      </c>
      <c r="P69" s="189" t="s">
        <v>332</v>
      </c>
      <c r="Q69" s="190"/>
      <c r="R69" s="190"/>
      <c r="S69" s="190"/>
      <c r="T69" s="190"/>
      <c r="U69" s="190"/>
      <c r="V69" s="190"/>
      <c r="W69" s="190"/>
      <c r="X69" s="190"/>
      <c r="Y69" s="190"/>
      <c r="Z69" s="190"/>
      <c r="AA69" s="190"/>
      <c r="AB69" s="190"/>
      <c r="AC69" s="190"/>
      <c r="AD69" s="190"/>
      <c r="AE69" s="190"/>
      <c r="AF69" s="190"/>
    </row>
    <row r="70">
      <c r="A70" s="189" t="s">
        <v>81</v>
      </c>
      <c r="B70" s="189" t="s">
        <v>91</v>
      </c>
      <c r="C70" s="191">
        <v>321.0</v>
      </c>
      <c r="D70" s="189">
        <v>0.0</v>
      </c>
      <c r="E70" s="189" t="s">
        <v>333</v>
      </c>
      <c r="F70" s="189" t="s">
        <v>84</v>
      </c>
      <c r="G70" s="189" t="s">
        <v>85</v>
      </c>
      <c r="H70" s="189" t="s">
        <v>334</v>
      </c>
      <c r="I70" s="189" t="s">
        <v>335</v>
      </c>
      <c r="J70" s="189" t="s">
        <v>335</v>
      </c>
      <c r="K70" s="190"/>
      <c r="L70" s="189">
        <v>-7.0</v>
      </c>
      <c r="M70" s="189"/>
      <c r="N70" s="189">
        <v>7.372633333333333</v>
      </c>
      <c r="O70" s="189" t="s">
        <v>88</v>
      </c>
      <c r="P70" s="189" t="s">
        <v>336</v>
      </c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0"/>
      <c r="AB70" s="190"/>
      <c r="AC70" s="190"/>
      <c r="AD70" s="190"/>
      <c r="AE70" s="190"/>
      <c r="AF70" s="190"/>
    </row>
    <row r="71">
      <c r="A71" s="189" t="s">
        <v>103</v>
      </c>
      <c r="B71" s="189" t="s">
        <v>91</v>
      </c>
      <c r="C71" s="189">
        <v>436.0</v>
      </c>
      <c r="D71" s="189">
        <v>0.0</v>
      </c>
      <c r="E71" s="190"/>
      <c r="F71" s="189" t="s">
        <v>84</v>
      </c>
      <c r="G71" s="189" t="s">
        <v>85</v>
      </c>
      <c r="H71" s="189" t="s">
        <v>337</v>
      </c>
      <c r="I71" s="189" t="s">
        <v>338</v>
      </c>
      <c r="J71" s="189" t="s">
        <v>338</v>
      </c>
      <c r="K71" s="190"/>
      <c r="L71" s="189">
        <v>-3.0</v>
      </c>
      <c r="M71" s="189"/>
      <c r="N71" s="189">
        <v>11.031783333333333</v>
      </c>
      <c r="O71" s="189" t="s">
        <v>88</v>
      </c>
      <c r="P71" s="189" t="s">
        <v>339</v>
      </c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0"/>
      <c r="AB71" s="190"/>
      <c r="AC71" s="190"/>
      <c r="AD71" s="190"/>
      <c r="AE71" s="190"/>
      <c r="AF71" s="190"/>
    </row>
    <row r="72">
      <c r="A72" s="189" t="s">
        <v>81</v>
      </c>
      <c r="B72" s="189" t="s">
        <v>91</v>
      </c>
      <c r="C72" s="189">
        <v>368.0</v>
      </c>
      <c r="D72" s="189">
        <v>0.0</v>
      </c>
      <c r="E72" s="189" t="s">
        <v>340</v>
      </c>
      <c r="F72" s="189" t="s">
        <v>84</v>
      </c>
      <c r="G72" s="189" t="s">
        <v>85</v>
      </c>
      <c r="H72" s="189" t="s">
        <v>341</v>
      </c>
      <c r="I72" s="189" t="s">
        <v>342</v>
      </c>
      <c r="J72" s="189" t="s">
        <v>342</v>
      </c>
      <c r="K72" s="190"/>
      <c r="L72" s="189">
        <v>-6.0</v>
      </c>
      <c r="M72" s="189"/>
      <c r="N72" s="189">
        <v>8.6869</v>
      </c>
      <c r="O72" s="189" t="s">
        <v>88</v>
      </c>
      <c r="P72" s="189" t="s">
        <v>343</v>
      </c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0"/>
      <c r="AE72" s="190"/>
      <c r="AF72" s="190"/>
    </row>
    <row r="73">
      <c r="A73" s="189" t="s">
        <v>99</v>
      </c>
      <c r="B73" s="189" t="s">
        <v>91</v>
      </c>
      <c r="C73" s="189">
        <v>394.0</v>
      </c>
      <c r="D73" s="189">
        <v>0.0</v>
      </c>
      <c r="E73" s="189" t="s">
        <v>55</v>
      </c>
      <c r="F73" s="189" t="s">
        <v>84</v>
      </c>
      <c r="G73" s="189" t="s">
        <v>85</v>
      </c>
      <c r="H73" s="189" t="s">
        <v>344</v>
      </c>
      <c r="I73" s="189" t="s">
        <v>345</v>
      </c>
      <c r="J73" s="189" t="s">
        <v>345</v>
      </c>
      <c r="K73" s="190"/>
      <c r="L73" s="189">
        <v>-6.0</v>
      </c>
      <c r="M73" s="189"/>
      <c r="N73" s="189">
        <v>8.631183333333333</v>
      </c>
      <c r="O73" s="189" t="s">
        <v>88</v>
      </c>
      <c r="P73" s="189" t="s">
        <v>346</v>
      </c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0"/>
      <c r="AB73" s="190"/>
      <c r="AC73" s="190"/>
      <c r="AD73" s="190"/>
      <c r="AE73" s="190"/>
      <c r="AF73" s="190"/>
    </row>
    <row r="74">
      <c r="A74" s="189" t="s">
        <v>99</v>
      </c>
      <c r="B74" s="189" t="s">
        <v>91</v>
      </c>
      <c r="C74" s="191">
        <v>329.0</v>
      </c>
      <c r="D74" s="189">
        <v>0.0</v>
      </c>
      <c r="E74" s="189" t="s">
        <v>55</v>
      </c>
      <c r="F74" s="189" t="s">
        <v>84</v>
      </c>
      <c r="G74" s="189" t="s">
        <v>85</v>
      </c>
      <c r="H74" s="189" t="s">
        <v>347</v>
      </c>
      <c r="I74" s="189" t="s">
        <v>348</v>
      </c>
      <c r="J74" s="189" t="s">
        <v>348</v>
      </c>
      <c r="K74" s="190"/>
      <c r="L74" s="189">
        <v>-7.0</v>
      </c>
      <c r="M74" s="189"/>
      <c r="N74" s="189">
        <v>7.7259166666666665</v>
      </c>
      <c r="O74" s="189" t="s">
        <v>88</v>
      </c>
      <c r="P74" s="189" t="s">
        <v>135</v>
      </c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</row>
    <row r="75">
      <c r="A75" s="189" t="s">
        <v>90</v>
      </c>
      <c r="B75" s="189" t="s">
        <v>91</v>
      </c>
      <c r="C75" s="189">
        <v>124.5</v>
      </c>
      <c r="D75" s="189">
        <v>124.5</v>
      </c>
      <c r="E75" s="190"/>
      <c r="F75" s="189" t="s">
        <v>92</v>
      </c>
      <c r="G75" s="189" t="s">
        <v>93</v>
      </c>
      <c r="H75" s="189" t="s">
        <v>349</v>
      </c>
      <c r="I75" s="189" t="s">
        <v>350</v>
      </c>
      <c r="J75" s="189" t="s">
        <v>350</v>
      </c>
      <c r="K75" s="190"/>
      <c r="L75" s="189">
        <v>1.0</v>
      </c>
      <c r="M75" s="189"/>
      <c r="N75" s="189">
        <v>6.444866666666667</v>
      </c>
      <c r="O75" s="189" t="s">
        <v>97</v>
      </c>
      <c r="P75" s="189" t="s">
        <v>351</v>
      </c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  <c r="AB75" s="190"/>
      <c r="AC75" s="190"/>
      <c r="AD75" s="190"/>
      <c r="AE75" s="190"/>
      <c r="AF75" s="190"/>
    </row>
    <row r="76">
      <c r="A76" s="189" t="s">
        <v>99</v>
      </c>
      <c r="B76" s="189" t="s">
        <v>91</v>
      </c>
      <c r="C76" s="189">
        <v>329.0</v>
      </c>
      <c r="D76" s="189">
        <v>0.0</v>
      </c>
      <c r="E76" s="189" t="s">
        <v>55</v>
      </c>
      <c r="F76" s="189" t="s">
        <v>84</v>
      </c>
      <c r="G76" s="189" t="s">
        <v>85</v>
      </c>
      <c r="H76" s="189" t="s">
        <v>352</v>
      </c>
      <c r="I76" s="189" t="s">
        <v>353</v>
      </c>
      <c r="J76" s="189" t="s">
        <v>353</v>
      </c>
      <c r="K76" s="190"/>
      <c r="L76" s="189">
        <v>-8.0</v>
      </c>
      <c r="M76" s="189"/>
      <c r="N76" s="189">
        <v>6.2984</v>
      </c>
      <c r="O76" s="189" t="s">
        <v>88</v>
      </c>
      <c r="P76" s="189" t="s">
        <v>354</v>
      </c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90"/>
      <c r="AD76" s="190"/>
      <c r="AE76" s="190"/>
      <c r="AF76" s="190"/>
    </row>
    <row r="77">
      <c r="A77" s="189" t="s">
        <v>99</v>
      </c>
      <c r="B77" s="189" t="s">
        <v>91</v>
      </c>
      <c r="C77" s="191">
        <v>264.0</v>
      </c>
      <c r="D77" s="189">
        <v>0.0</v>
      </c>
      <c r="E77" s="189" t="s">
        <v>55</v>
      </c>
      <c r="F77" s="189" t="s">
        <v>84</v>
      </c>
      <c r="G77" s="189" t="s">
        <v>85</v>
      </c>
      <c r="H77" s="189" t="s">
        <v>355</v>
      </c>
      <c r="I77" s="189" t="s">
        <v>356</v>
      </c>
      <c r="J77" s="189" t="s">
        <v>356</v>
      </c>
      <c r="K77" s="190"/>
      <c r="L77" s="189">
        <v>-5.0</v>
      </c>
      <c r="M77" s="189"/>
      <c r="N77" s="189">
        <v>9.042916666666667</v>
      </c>
      <c r="O77" s="189" t="s">
        <v>88</v>
      </c>
      <c r="P77" s="189" t="s">
        <v>357</v>
      </c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0"/>
      <c r="AB77" s="190"/>
      <c r="AC77" s="190"/>
      <c r="AD77" s="190"/>
      <c r="AE77" s="190"/>
      <c r="AF77" s="190"/>
    </row>
    <row r="78">
      <c r="A78" s="190"/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0"/>
      <c r="U78" s="190"/>
      <c r="V78" s="190"/>
      <c r="W78" s="190"/>
      <c r="X78" s="190"/>
      <c r="Y78" s="190"/>
      <c r="Z78" s="190"/>
      <c r="AA78" s="190"/>
      <c r="AB78" s="190"/>
      <c r="AC78" s="190"/>
      <c r="AD78" s="190"/>
      <c r="AE78" s="190"/>
      <c r="AF78" s="190"/>
    </row>
    <row r="79">
      <c r="A79" s="190"/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0"/>
      <c r="U79" s="190"/>
      <c r="V79" s="190"/>
      <c r="W79" s="190"/>
      <c r="X79" s="190"/>
      <c r="Y79" s="190"/>
      <c r="Z79" s="190"/>
      <c r="AA79" s="190"/>
      <c r="AB79" s="190"/>
      <c r="AC79" s="190"/>
      <c r="AD79" s="190"/>
      <c r="AE79" s="190"/>
      <c r="AF79" s="190"/>
    </row>
    <row r="80">
      <c r="A80" s="190"/>
      <c r="B80" s="190"/>
      <c r="C80" s="192"/>
      <c r="D80" s="190"/>
      <c r="E80" s="190"/>
      <c r="F80" s="190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  <c r="V80" s="190"/>
      <c r="W80" s="190"/>
      <c r="X80" s="190"/>
      <c r="Y80" s="190"/>
      <c r="Z80" s="190"/>
      <c r="AA80" s="190"/>
      <c r="AB80" s="190"/>
      <c r="AC80" s="190"/>
      <c r="AD80" s="190"/>
      <c r="AE80" s="190"/>
      <c r="AF80" s="190"/>
    </row>
    <row r="81">
      <c r="A81" s="190"/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  <c r="V81" s="190"/>
      <c r="W81" s="190"/>
      <c r="X81" s="190"/>
      <c r="Y81" s="190"/>
      <c r="Z81" s="190"/>
      <c r="AA81" s="190"/>
      <c r="AB81" s="190"/>
      <c r="AC81" s="190"/>
      <c r="AD81" s="190"/>
      <c r="AE81" s="190"/>
      <c r="AF81" s="190"/>
    </row>
    <row r="82">
      <c r="A82" s="190"/>
      <c r="B82" s="190"/>
      <c r="C82" s="192"/>
      <c r="D82" s="190"/>
      <c r="E82" s="190"/>
      <c r="F82" s="190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0"/>
      <c r="U82" s="190"/>
      <c r="V82" s="190"/>
      <c r="W82" s="190"/>
      <c r="X82" s="190"/>
      <c r="Y82" s="190"/>
      <c r="Z82" s="190"/>
      <c r="AA82" s="190"/>
      <c r="AB82" s="190"/>
      <c r="AC82" s="190"/>
      <c r="AD82" s="190"/>
      <c r="AE82" s="190"/>
      <c r="AF82" s="190"/>
    </row>
    <row r="83">
      <c r="A83" s="190"/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90"/>
      <c r="AD83" s="190"/>
      <c r="AE83" s="190"/>
      <c r="AF83" s="190"/>
    </row>
    <row r="84">
      <c r="A84" s="190"/>
      <c r="B84" s="190"/>
      <c r="C84" s="192"/>
      <c r="D84" s="190"/>
      <c r="E84" s="190"/>
      <c r="F84" s="190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  <c r="V84" s="190"/>
      <c r="W84" s="190"/>
      <c r="X84" s="190"/>
      <c r="Y84" s="190"/>
      <c r="Z84" s="190"/>
      <c r="AA84" s="190"/>
      <c r="AB84" s="190"/>
      <c r="AC84" s="190"/>
      <c r="AD84" s="190"/>
      <c r="AE84" s="190"/>
      <c r="AF84" s="190"/>
    </row>
    <row r="85">
      <c r="A85" s="190"/>
      <c r="B85" s="190"/>
      <c r="C85" s="192"/>
      <c r="D85" s="190"/>
      <c r="E85" s="190"/>
      <c r="F85" s="190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  <c r="V85" s="190"/>
      <c r="W85" s="190"/>
      <c r="X85" s="190"/>
      <c r="Y85" s="190"/>
      <c r="Z85" s="190"/>
      <c r="AA85" s="190"/>
      <c r="AB85" s="190"/>
      <c r="AC85" s="190"/>
      <c r="AD85" s="190"/>
      <c r="AE85" s="190"/>
      <c r="AF85" s="190"/>
    </row>
    <row r="86">
      <c r="A86" s="190"/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90"/>
      <c r="AB86" s="190"/>
      <c r="AC86" s="190"/>
      <c r="AD86" s="190"/>
      <c r="AE86" s="190"/>
      <c r="AF86" s="190"/>
    </row>
    <row r="87">
      <c r="A87" s="190"/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  <c r="AB87" s="190"/>
      <c r="AC87" s="190"/>
      <c r="AD87" s="190"/>
      <c r="AE87" s="190"/>
      <c r="AF87" s="190"/>
    </row>
    <row r="88">
      <c r="A88" s="190"/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90"/>
      <c r="AB88" s="190"/>
      <c r="AC88" s="190"/>
      <c r="AD88" s="190"/>
      <c r="AE88" s="190"/>
      <c r="AF88" s="190"/>
    </row>
    <row r="89">
      <c r="A89" s="190"/>
      <c r="B89" s="190"/>
      <c r="C89" s="192"/>
      <c r="D89" s="190"/>
      <c r="E89" s="190"/>
      <c r="F89" s="190"/>
      <c r="G89" s="190"/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90"/>
      <c r="AB89" s="190"/>
      <c r="AC89" s="190"/>
      <c r="AD89" s="190"/>
      <c r="AE89" s="190"/>
      <c r="AF89" s="190"/>
    </row>
    <row r="90">
      <c r="A90" s="190"/>
      <c r="B90" s="190"/>
      <c r="C90" s="192"/>
      <c r="D90" s="190"/>
      <c r="E90" s="190"/>
      <c r="F90" s="190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0"/>
      <c r="U90" s="190"/>
      <c r="V90" s="190"/>
      <c r="W90" s="190"/>
      <c r="X90" s="190"/>
      <c r="Y90" s="190"/>
      <c r="Z90" s="190"/>
      <c r="AA90" s="190"/>
      <c r="AB90" s="190"/>
      <c r="AC90" s="190"/>
      <c r="AD90" s="190"/>
      <c r="AE90" s="190"/>
      <c r="AF90" s="190"/>
    </row>
    <row r="91">
      <c r="A91" s="190"/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190"/>
      <c r="AA91" s="190"/>
      <c r="AB91" s="190"/>
      <c r="AC91" s="190"/>
      <c r="AD91" s="190"/>
      <c r="AE91" s="190"/>
      <c r="AF91" s="190"/>
    </row>
    <row r="92">
      <c r="A92" s="190"/>
      <c r="B92" s="190"/>
      <c r="C92" s="190"/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90"/>
      <c r="AB92" s="190"/>
      <c r="AC92" s="190"/>
      <c r="AD92" s="190"/>
      <c r="AE92" s="190"/>
      <c r="AF92" s="190"/>
    </row>
    <row r="93">
      <c r="A93" s="190"/>
      <c r="B93" s="190"/>
      <c r="C93" s="192"/>
      <c r="D93" s="190"/>
      <c r="E93" s="190"/>
      <c r="F93" s="190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90"/>
      <c r="AD93" s="190"/>
      <c r="AE93" s="190"/>
      <c r="AF93" s="190"/>
    </row>
    <row r="94">
      <c r="A94" s="190"/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  <c r="AA94" s="190"/>
      <c r="AB94" s="190"/>
      <c r="AC94" s="190"/>
      <c r="AD94" s="190"/>
      <c r="AE94" s="190"/>
      <c r="AF94" s="190"/>
    </row>
    <row r="95">
      <c r="A95" s="190"/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  <c r="AA95" s="190"/>
      <c r="AB95" s="190"/>
      <c r="AC95" s="190"/>
      <c r="AD95" s="190"/>
      <c r="AE95" s="190"/>
      <c r="AF95" s="190"/>
    </row>
    <row r="96">
      <c r="A96" s="190"/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  <c r="AA96" s="190"/>
      <c r="AB96" s="190"/>
      <c r="AC96" s="190"/>
      <c r="AD96" s="190"/>
      <c r="AE96" s="190"/>
      <c r="AF96" s="190"/>
    </row>
    <row r="97">
      <c r="A97" s="190"/>
      <c r="B97" s="190"/>
      <c r="C97" s="192"/>
      <c r="D97" s="190"/>
      <c r="E97" s="190"/>
      <c r="F97" s="190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  <c r="AA97" s="190"/>
      <c r="AB97" s="190"/>
      <c r="AC97" s="190"/>
      <c r="AD97" s="190"/>
      <c r="AE97" s="190"/>
      <c r="AF97" s="190"/>
    </row>
    <row r="98">
      <c r="A98" s="190"/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  <c r="AA98" s="190"/>
      <c r="AB98" s="190"/>
      <c r="AC98" s="190"/>
      <c r="AD98" s="190"/>
      <c r="AE98" s="190"/>
      <c r="AF98" s="190"/>
    </row>
    <row r="99">
      <c r="A99" s="190"/>
      <c r="B99" s="190"/>
      <c r="C99" s="192"/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90"/>
      <c r="AD99" s="190"/>
      <c r="AE99" s="190"/>
      <c r="AF99" s="190"/>
    </row>
    <row r="100">
      <c r="A100" s="190"/>
      <c r="B100" s="190"/>
      <c r="C100" s="192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90"/>
      <c r="AD100" s="190"/>
      <c r="AE100" s="190"/>
      <c r="AF100" s="190"/>
    </row>
    <row r="101">
      <c r="A101" s="190"/>
      <c r="B101" s="190"/>
      <c r="C101" s="192"/>
      <c r="D101" s="190"/>
      <c r="E101" s="190"/>
      <c r="F101" s="190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90"/>
      <c r="AB101" s="190"/>
      <c r="AC101" s="190"/>
      <c r="AD101" s="190"/>
      <c r="AE101" s="190"/>
      <c r="AF101" s="190"/>
    </row>
    <row r="102">
      <c r="A102" s="190"/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90"/>
      <c r="AB102" s="190"/>
      <c r="AC102" s="190"/>
      <c r="AD102" s="190"/>
      <c r="AE102" s="190"/>
      <c r="AF102" s="190"/>
    </row>
    <row r="103">
      <c r="A103" s="190"/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  <c r="AA103" s="190"/>
      <c r="AB103" s="190"/>
      <c r="AC103" s="190"/>
      <c r="AD103" s="190"/>
      <c r="AE103" s="190"/>
      <c r="AF103" s="190"/>
    </row>
    <row r="104">
      <c r="A104" s="190"/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  <c r="AA104" s="190"/>
      <c r="AB104" s="190"/>
      <c r="AC104" s="190"/>
      <c r="AD104" s="190"/>
      <c r="AE104" s="190"/>
      <c r="AF104" s="190"/>
    </row>
    <row r="105">
      <c r="A105" s="190"/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90"/>
      <c r="AD105" s="190"/>
      <c r="AE105" s="190"/>
      <c r="AF105" s="190"/>
    </row>
    <row r="106">
      <c r="A106" s="190"/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190"/>
      <c r="AD106" s="190"/>
      <c r="AE106" s="190"/>
      <c r="AF106" s="190"/>
    </row>
    <row r="107">
      <c r="A107" s="190"/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90"/>
      <c r="AB107" s="190"/>
      <c r="AC107" s="190"/>
      <c r="AD107" s="190"/>
      <c r="AE107" s="190"/>
      <c r="AF107" s="190"/>
    </row>
    <row r="108">
      <c r="A108" s="190"/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  <c r="AA108" s="190"/>
      <c r="AB108" s="190"/>
      <c r="AC108" s="190"/>
      <c r="AD108" s="190"/>
      <c r="AE108" s="190"/>
      <c r="AF108" s="190"/>
    </row>
    <row r="109">
      <c r="A109" s="190"/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  <c r="AA109" s="190"/>
      <c r="AB109" s="190"/>
      <c r="AC109" s="190"/>
      <c r="AD109" s="190"/>
      <c r="AE109" s="190"/>
      <c r="AF109" s="190"/>
    </row>
    <row r="110">
      <c r="A110" s="190"/>
      <c r="B110" s="190"/>
      <c r="C110" s="192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90"/>
      <c r="AB110" s="190"/>
      <c r="AC110" s="190"/>
      <c r="AD110" s="190"/>
      <c r="AE110" s="190"/>
      <c r="AF110" s="190"/>
    </row>
    <row r="111">
      <c r="A111" s="190"/>
      <c r="B111" s="190"/>
      <c r="C111" s="192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90"/>
      <c r="AB111" s="190"/>
      <c r="AC111" s="190"/>
      <c r="AD111" s="190"/>
      <c r="AE111" s="190"/>
      <c r="AF111" s="190"/>
    </row>
    <row r="112">
      <c r="A112" s="190"/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90"/>
      <c r="AB112" s="190"/>
      <c r="AC112" s="190"/>
      <c r="AD112" s="190"/>
      <c r="AE112" s="190"/>
      <c r="AF112" s="190"/>
    </row>
    <row r="113">
      <c r="A113" s="190"/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  <c r="AA113" s="190"/>
      <c r="AB113" s="190"/>
      <c r="AC113" s="190"/>
      <c r="AD113" s="190"/>
      <c r="AE113" s="190"/>
      <c r="AF113" s="190"/>
    </row>
    <row r="114">
      <c r="A114" s="190"/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90"/>
      <c r="AB114" s="190"/>
      <c r="AC114" s="190"/>
      <c r="AD114" s="190"/>
      <c r="AE114" s="190"/>
      <c r="AF114" s="190"/>
    </row>
    <row r="115">
      <c r="A115" s="190"/>
      <c r="B115" s="190"/>
      <c r="C115" s="190"/>
      <c r="D115" s="190"/>
      <c r="E115" s="190"/>
      <c r="F115" s="190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  <c r="AA115" s="190"/>
      <c r="AB115" s="190"/>
      <c r="AC115" s="190"/>
      <c r="AD115" s="190"/>
      <c r="AE115" s="190"/>
      <c r="AF115" s="190"/>
    </row>
    <row r="116">
      <c r="A116" s="190"/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  <c r="AA116" s="190"/>
      <c r="AB116" s="190"/>
      <c r="AC116" s="190"/>
      <c r="AE116" s="190"/>
      <c r="AF116" s="190"/>
    </row>
    <row r="117">
      <c r="A117" s="190"/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90"/>
      <c r="AE117" s="190"/>
      <c r="AF117" s="190"/>
    </row>
    <row r="118">
      <c r="A118" s="190"/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  <c r="AA118" s="190"/>
      <c r="AB118" s="190"/>
      <c r="AC118" s="190"/>
      <c r="AD118" s="190"/>
      <c r="AE118" s="190"/>
      <c r="AF118" s="190"/>
    </row>
    <row r="119">
      <c r="A119" s="190"/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90"/>
      <c r="AB119" s="190"/>
      <c r="AC119" s="190"/>
      <c r="AE119" s="190"/>
      <c r="AF119" s="190"/>
    </row>
    <row r="120">
      <c r="A120" s="190"/>
      <c r="B120" s="190"/>
      <c r="C120" s="192"/>
      <c r="D120" s="190"/>
      <c r="E120" s="190"/>
      <c r="F120" s="190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  <c r="AA120" s="190"/>
      <c r="AB120" s="190"/>
      <c r="AC120" s="190"/>
      <c r="AD120" s="190"/>
      <c r="AE120" s="190"/>
      <c r="AF120" s="190"/>
    </row>
    <row r="121">
      <c r="A121" s="190"/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  <c r="AA121" s="190"/>
      <c r="AB121" s="190"/>
      <c r="AC121" s="190"/>
      <c r="AD121" s="190"/>
      <c r="AE121" s="190"/>
      <c r="AF121" s="190"/>
    </row>
    <row r="122">
      <c r="A122" s="190"/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  <c r="AA122" s="190"/>
      <c r="AB122" s="190"/>
      <c r="AC122" s="190"/>
      <c r="AD122" s="190"/>
      <c r="AE122" s="190"/>
      <c r="AF122" s="190"/>
    </row>
    <row r="123">
      <c r="A123" s="190"/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90"/>
      <c r="AB123" s="190"/>
      <c r="AC123" s="190"/>
      <c r="AE123" s="190"/>
      <c r="AF123" s="190"/>
    </row>
    <row r="124">
      <c r="A124" s="190"/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  <c r="AA124" s="190"/>
      <c r="AB124" s="190"/>
      <c r="AC124" s="190"/>
      <c r="AD124" s="190"/>
      <c r="AE124" s="190"/>
      <c r="AF124" s="190"/>
    </row>
    <row r="125">
      <c r="A125" s="190"/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  <c r="AA125" s="190"/>
      <c r="AB125" s="190"/>
      <c r="AC125" s="190"/>
      <c r="AD125" s="190"/>
      <c r="AE125" s="190"/>
      <c r="AF125" s="190"/>
    </row>
    <row r="126">
      <c r="A126" s="190"/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90"/>
      <c r="AD126" s="190"/>
      <c r="AE126" s="190"/>
      <c r="AF126" s="190"/>
    </row>
    <row r="127">
      <c r="A127" s="190"/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  <c r="AA127" s="190"/>
      <c r="AB127" s="190"/>
      <c r="AC127" s="190"/>
      <c r="AD127" s="190"/>
      <c r="AE127" s="190"/>
      <c r="AF127" s="190"/>
    </row>
    <row r="128">
      <c r="A128" s="190"/>
      <c r="B128" s="192"/>
      <c r="C128" s="190"/>
      <c r="D128" s="190"/>
      <c r="E128" s="190"/>
      <c r="F128" s="190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90"/>
      <c r="AB128" s="190"/>
      <c r="AC128" s="190"/>
      <c r="AE128" s="190"/>
      <c r="AF128" s="190"/>
    </row>
    <row r="129">
      <c r="A129" s="190"/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  <c r="AA129" s="190"/>
      <c r="AB129" s="190"/>
      <c r="AC129" s="190"/>
      <c r="AD129" s="190"/>
      <c r="AE129" s="190"/>
      <c r="AF129" s="190"/>
    </row>
    <row r="130">
      <c r="A130" s="190"/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  <c r="AA130" s="190"/>
      <c r="AB130" s="190"/>
      <c r="AC130" s="190"/>
      <c r="AE130" s="190"/>
      <c r="AF130" s="190"/>
    </row>
    <row r="131">
      <c r="A131" s="190"/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  <c r="AA131" s="190"/>
      <c r="AB131" s="190"/>
      <c r="AC131" s="190"/>
      <c r="AD131" s="190"/>
      <c r="AE131" s="190"/>
      <c r="AF131" s="190"/>
    </row>
    <row r="132">
      <c r="A132" s="190"/>
      <c r="B132" s="190"/>
      <c r="C132" s="192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  <c r="AA132" s="190"/>
      <c r="AB132" s="190"/>
      <c r="AC132" s="190"/>
      <c r="AE132" s="190"/>
      <c r="AF132" s="190"/>
    </row>
    <row r="133">
      <c r="A133" s="190"/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  <c r="AA133" s="190"/>
      <c r="AB133" s="190"/>
      <c r="AC133" s="190"/>
      <c r="AD133" s="190"/>
      <c r="AE133" s="190"/>
      <c r="AF133" s="190"/>
    </row>
    <row r="134">
      <c r="A134" s="190"/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  <c r="AA134" s="190"/>
      <c r="AB134" s="190"/>
      <c r="AC134" s="190"/>
      <c r="AD134" s="190"/>
      <c r="AE134" s="190"/>
      <c r="AF134" s="190"/>
    </row>
    <row r="135">
      <c r="A135" s="190"/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  <c r="AA135" s="190"/>
      <c r="AB135" s="190"/>
      <c r="AC135" s="190"/>
      <c r="AE135" s="190"/>
      <c r="AF135" s="190"/>
    </row>
    <row r="136">
      <c r="A136" s="190"/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  <c r="AA136" s="190"/>
      <c r="AB136" s="190"/>
      <c r="AC136" s="190"/>
      <c r="AD136" s="190"/>
      <c r="AE136" s="190"/>
      <c r="AF136" s="190"/>
    </row>
    <row r="137">
      <c r="A137" s="190"/>
      <c r="B137" s="190"/>
      <c r="C137" s="192"/>
      <c r="D137" s="190"/>
      <c r="E137" s="190"/>
      <c r="F137" s="190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  <c r="AA137" s="190"/>
      <c r="AB137" s="190"/>
      <c r="AC137" s="190"/>
      <c r="AD137" s="190"/>
      <c r="AE137" s="190"/>
      <c r="AF137" s="190"/>
    </row>
    <row r="138">
      <c r="A138" s="190"/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  <c r="AA138" s="190"/>
      <c r="AB138" s="190"/>
      <c r="AC138" s="190"/>
      <c r="AD138" s="190"/>
      <c r="AE138" s="190"/>
      <c r="AF138" s="190"/>
    </row>
    <row r="139">
      <c r="A139" s="190"/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  <c r="AA139" s="190"/>
      <c r="AB139" s="190"/>
      <c r="AC139" s="190"/>
      <c r="AD139" s="190"/>
      <c r="AE139" s="190"/>
      <c r="AF139" s="190"/>
    </row>
    <row r="140">
      <c r="A140" s="190"/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  <c r="AA140" s="190"/>
      <c r="AB140" s="190"/>
      <c r="AC140" s="190"/>
      <c r="AE140" s="190"/>
      <c r="AF140" s="190"/>
    </row>
    <row r="141">
      <c r="A141" s="190"/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90"/>
      <c r="AB141" s="190"/>
      <c r="AC141" s="190"/>
      <c r="AD141" s="190"/>
      <c r="AE141" s="190"/>
      <c r="AF141" s="190"/>
    </row>
    <row r="142">
      <c r="A142" s="190"/>
      <c r="B142" s="190"/>
      <c r="C142" s="192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  <c r="AA142" s="190"/>
      <c r="AB142" s="190"/>
      <c r="AC142" s="190"/>
      <c r="AD142" s="190"/>
      <c r="AE142" s="190"/>
      <c r="AF142" s="190"/>
    </row>
    <row r="143">
      <c r="A143" s="190"/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  <c r="AA143" s="190"/>
      <c r="AB143" s="190"/>
      <c r="AC143" s="190"/>
      <c r="AD143" s="190"/>
      <c r="AE143" s="190"/>
      <c r="AF143" s="190"/>
    </row>
    <row r="144">
      <c r="A144" s="190"/>
      <c r="B144" s="190"/>
      <c r="C144" s="192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  <c r="AA144" s="190"/>
      <c r="AB144" s="190"/>
      <c r="AC144" s="190"/>
      <c r="AE144" s="190"/>
      <c r="AF144" s="190"/>
    </row>
    <row r="145">
      <c r="A145" s="190"/>
      <c r="B145" s="190"/>
      <c r="C145" s="192"/>
      <c r="D145" s="190"/>
      <c r="E145" s="190"/>
      <c r="F145" s="190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  <c r="AA145" s="190"/>
      <c r="AB145" s="190"/>
      <c r="AC145" s="190"/>
      <c r="AE145" s="190"/>
      <c r="AF145" s="190"/>
    </row>
    <row r="146">
      <c r="A146" s="190"/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  <c r="AA146" s="190"/>
      <c r="AB146" s="190"/>
      <c r="AC146" s="190"/>
      <c r="AD146" s="190"/>
      <c r="AE146" s="190"/>
      <c r="AF146" s="190"/>
    </row>
    <row r="147">
      <c r="A147" s="190"/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  <c r="AA147" s="190"/>
      <c r="AB147" s="190"/>
      <c r="AC147" s="190"/>
      <c r="AD147" s="190"/>
      <c r="AE147" s="190"/>
      <c r="AF147" s="190"/>
    </row>
    <row r="148">
      <c r="A148" s="190"/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  <c r="AA148" s="190"/>
      <c r="AB148" s="190"/>
      <c r="AC148" s="190"/>
      <c r="AD148" s="190"/>
      <c r="AE148" s="190"/>
      <c r="AF148" s="190"/>
    </row>
    <row r="149">
      <c r="A149" s="190"/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  <c r="AA149" s="190"/>
      <c r="AB149" s="190"/>
      <c r="AC149" s="190"/>
      <c r="AE149" s="190"/>
      <c r="AF149" s="190"/>
    </row>
    <row r="150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  <c r="AA150" s="190"/>
      <c r="AB150" s="190"/>
      <c r="AC150" s="190"/>
      <c r="AD150" s="190"/>
      <c r="AE150" s="190"/>
      <c r="AF150" s="190"/>
    </row>
    <row r="151">
      <c r="A151" s="190"/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  <c r="AA151" s="190"/>
      <c r="AB151" s="190"/>
      <c r="AC151" s="190"/>
      <c r="AD151" s="190"/>
      <c r="AE151" s="190"/>
      <c r="AF151" s="190"/>
    </row>
    <row r="152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  <c r="AA152" s="190"/>
      <c r="AB152" s="190"/>
      <c r="AC152" s="190"/>
      <c r="AE152" s="190"/>
      <c r="AF152" s="190"/>
    </row>
    <row r="153">
      <c r="A153" s="190"/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  <c r="AA153" s="190"/>
      <c r="AB153" s="190"/>
      <c r="AC153" s="190"/>
      <c r="AE153" s="190"/>
      <c r="AF153" s="190"/>
    </row>
    <row r="154">
      <c r="A154" s="190"/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  <c r="AA154" s="190"/>
      <c r="AB154" s="190"/>
      <c r="AC154" s="190"/>
      <c r="AD154" s="190"/>
      <c r="AE154" s="190"/>
      <c r="AF154" s="190"/>
    </row>
    <row r="155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  <c r="AA155" s="190"/>
      <c r="AB155" s="190"/>
      <c r="AC155" s="190"/>
      <c r="AE155" s="190"/>
      <c r="AF155" s="190"/>
    </row>
    <row r="156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  <c r="AA156" s="190"/>
      <c r="AB156" s="190"/>
      <c r="AC156" s="190"/>
      <c r="AE156" s="190"/>
      <c r="AF156" s="190"/>
    </row>
    <row r="157">
      <c r="A157" s="190"/>
      <c r="B157" s="190"/>
      <c r="C157" s="192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  <c r="AA157" s="190"/>
      <c r="AB157" s="190"/>
      <c r="AC157" s="190"/>
      <c r="AE157" s="190"/>
      <c r="AF157" s="190"/>
    </row>
    <row r="158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  <c r="AA158" s="190"/>
      <c r="AB158" s="190"/>
      <c r="AC158" s="190"/>
      <c r="AE158" s="190"/>
      <c r="AF158" s="190"/>
    </row>
    <row r="159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  <c r="AA159" s="190"/>
      <c r="AB159" s="190"/>
      <c r="AC159" s="190"/>
      <c r="AD159" s="190"/>
      <c r="AE159" s="190"/>
      <c r="AF159" s="190"/>
    </row>
    <row r="160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  <c r="AA160" s="190"/>
      <c r="AB160" s="190"/>
      <c r="AC160" s="190"/>
      <c r="AE160" s="190"/>
      <c r="AF160" s="190"/>
    </row>
    <row r="161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  <c r="AA161" s="190"/>
      <c r="AB161" s="190"/>
      <c r="AC161" s="190"/>
      <c r="AD161" s="190"/>
      <c r="AE161" s="190"/>
      <c r="AF161" s="190"/>
    </row>
    <row r="162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  <c r="AA162" s="190"/>
      <c r="AB162" s="190"/>
      <c r="AC162" s="190"/>
      <c r="AD162" s="190"/>
      <c r="AE162" s="190"/>
      <c r="AF162" s="190"/>
    </row>
    <row r="163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  <c r="AA163" s="190"/>
      <c r="AB163" s="190"/>
      <c r="AC163" s="190"/>
      <c r="AD163" s="190"/>
      <c r="AE163" s="190"/>
      <c r="AF163" s="190"/>
    </row>
    <row r="164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  <c r="AA164" s="190"/>
      <c r="AB164" s="190"/>
      <c r="AC164" s="190"/>
      <c r="AD164" s="190"/>
      <c r="AE164" s="190"/>
      <c r="AF164" s="190"/>
    </row>
    <row r="165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  <c r="AA165" s="190"/>
      <c r="AB165" s="190"/>
      <c r="AC165" s="190"/>
      <c r="AE165" s="190"/>
      <c r="AF165" s="190"/>
    </row>
    <row r="166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  <c r="AA166" s="190"/>
      <c r="AB166" s="190"/>
      <c r="AC166" s="190"/>
      <c r="AD166" s="190"/>
      <c r="AE166" s="190"/>
      <c r="AF166" s="190"/>
    </row>
    <row r="167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  <c r="AA167" s="190"/>
      <c r="AB167" s="190"/>
      <c r="AC167" s="190"/>
      <c r="AE167" s="190"/>
      <c r="AF167" s="190"/>
    </row>
    <row r="168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  <c r="AA168" s="190"/>
      <c r="AB168" s="190"/>
      <c r="AC168" s="190"/>
      <c r="AD168" s="190"/>
      <c r="AE168" s="190"/>
      <c r="AF168" s="190"/>
    </row>
    <row r="169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  <c r="AA169" s="190"/>
      <c r="AB169" s="190"/>
      <c r="AC169" s="190"/>
      <c r="AE169" s="190"/>
      <c r="AF169" s="190"/>
    </row>
    <row r="170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  <c r="AA170" s="190"/>
      <c r="AB170" s="190"/>
      <c r="AC170" s="190"/>
      <c r="AD170" s="190"/>
      <c r="AE170" s="190"/>
      <c r="AF170" s="190"/>
    </row>
    <row r="171">
      <c r="A171" s="190"/>
      <c r="B171" s="190"/>
      <c r="C171" s="192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  <c r="AA171" s="190"/>
      <c r="AB171" s="190"/>
      <c r="AC171" s="190"/>
      <c r="AE171" s="190"/>
      <c r="AF171" s="190"/>
    </row>
    <row r="172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  <c r="AA172" s="190"/>
      <c r="AB172" s="190"/>
      <c r="AC172" s="190"/>
      <c r="AD172" s="190"/>
      <c r="AE172" s="190"/>
      <c r="AF172" s="190"/>
    </row>
    <row r="173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  <c r="AA173" s="190"/>
      <c r="AB173" s="190"/>
      <c r="AC173" s="190"/>
      <c r="AE173" s="190"/>
      <c r="AF173" s="190"/>
    </row>
    <row r="174">
      <c r="A174" s="190"/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  <c r="AA174" s="190"/>
      <c r="AB174" s="190"/>
      <c r="AC174" s="190"/>
      <c r="AE174" s="190"/>
      <c r="AF174" s="190"/>
    </row>
    <row r="175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  <c r="AA175" s="190"/>
      <c r="AB175" s="190"/>
      <c r="AC175" s="190"/>
      <c r="AE175" s="190"/>
      <c r="AF175" s="190"/>
    </row>
    <row r="176">
      <c r="A176" s="190"/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  <c r="AA176" s="190"/>
      <c r="AB176" s="190"/>
      <c r="AC176" s="190"/>
      <c r="AE176" s="190"/>
      <c r="AF176" s="190"/>
    </row>
    <row r="177">
      <c r="A177" s="190"/>
      <c r="B177" s="190"/>
      <c r="C177" s="190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  <c r="AA177" s="190"/>
      <c r="AB177" s="190"/>
      <c r="AC177" s="190"/>
      <c r="AE177" s="190"/>
      <c r="AF177" s="190"/>
    </row>
    <row r="178">
      <c r="A178" s="190"/>
      <c r="B178" s="190"/>
      <c r="C178" s="192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  <c r="AA178" s="190"/>
      <c r="AB178" s="190"/>
      <c r="AC178" s="190"/>
      <c r="AE178" s="190"/>
      <c r="AF178" s="190"/>
    </row>
    <row r="179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  <c r="AA179" s="190"/>
      <c r="AB179" s="190"/>
      <c r="AC179" s="190"/>
      <c r="AE179" s="190"/>
      <c r="AF179" s="190"/>
    </row>
    <row r="180">
      <c r="A180" s="190"/>
      <c r="B180" s="190"/>
      <c r="C180" s="192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  <c r="AA180" s="190"/>
      <c r="AB180" s="190"/>
      <c r="AC180" s="190"/>
      <c r="AD180" s="190"/>
      <c r="AE180" s="190"/>
      <c r="AF180" s="190"/>
    </row>
    <row r="181">
      <c r="A181" s="190"/>
      <c r="B181" s="190"/>
      <c r="C181" s="192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  <c r="AA181" s="190"/>
      <c r="AB181" s="190"/>
      <c r="AC181" s="190"/>
      <c r="AD181" s="190"/>
      <c r="AE181" s="190"/>
      <c r="AF181" s="190"/>
    </row>
    <row r="182">
      <c r="A182" s="190"/>
      <c r="B182" s="190"/>
      <c r="C182" s="192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  <c r="AA182" s="190"/>
      <c r="AB182" s="190"/>
      <c r="AC182" s="190"/>
      <c r="AE182" s="190"/>
      <c r="AF182" s="190"/>
    </row>
    <row r="183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  <c r="AA183" s="190"/>
      <c r="AB183" s="190"/>
      <c r="AC183" s="190"/>
      <c r="AD183" s="190"/>
      <c r="AE183" s="190"/>
      <c r="AF183" s="190"/>
    </row>
    <row r="184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  <c r="AA184" s="190"/>
      <c r="AB184" s="190"/>
      <c r="AC184" s="190"/>
      <c r="AD184" s="190"/>
      <c r="AE184" s="190"/>
      <c r="AF184" s="190"/>
    </row>
    <row r="185">
      <c r="A185" s="190"/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  <c r="AA185" s="190"/>
      <c r="AB185" s="190"/>
      <c r="AC185" s="190"/>
      <c r="AD185" s="190"/>
      <c r="AE185" s="190"/>
      <c r="AF185" s="190"/>
    </row>
    <row r="186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  <c r="AA186" s="190"/>
      <c r="AB186" s="190"/>
      <c r="AC186" s="190"/>
      <c r="AE186" s="190"/>
      <c r="AF186" s="190"/>
    </row>
    <row r="187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  <c r="AA187" s="190"/>
      <c r="AB187" s="190"/>
      <c r="AC187" s="190"/>
      <c r="AD187" s="190"/>
      <c r="AE187" s="190"/>
      <c r="AF187" s="190"/>
    </row>
    <row r="188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  <c r="AA188" s="190"/>
      <c r="AB188" s="190"/>
      <c r="AC188" s="190"/>
      <c r="AE188" s="190"/>
      <c r="AF188" s="190"/>
    </row>
    <row r="189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  <c r="AA189" s="190"/>
      <c r="AB189" s="190"/>
      <c r="AC189" s="190"/>
      <c r="AE189" s="190"/>
      <c r="AF189" s="190"/>
    </row>
    <row r="190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  <c r="AA190" s="190"/>
      <c r="AB190" s="190"/>
      <c r="AC190" s="190"/>
      <c r="AD190" s="190"/>
      <c r="AE190" s="190"/>
      <c r="AF190" s="190"/>
    </row>
    <row r="191">
      <c r="A191" s="190"/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E191" s="190"/>
      <c r="AF191" s="190"/>
    </row>
    <row r="192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  <c r="AA192" s="190"/>
      <c r="AB192" s="190"/>
      <c r="AC192" s="190"/>
      <c r="AE192" s="190"/>
      <c r="AF192" s="190"/>
    </row>
    <row r="193">
      <c r="A193" s="190"/>
      <c r="B193" s="190"/>
      <c r="C193" s="192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  <c r="AA193" s="190"/>
      <c r="AB193" s="190"/>
      <c r="AC193" s="190"/>
      <c r="AE193" s="190"/>
      <c r="AF193" s="190"/>
    </row>
    <row r="194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  <c r="AA194" s="190"/>
      <c r="AB194" s="190"/>
      <c r="AC194" s="190"/>
      <c r="AE194" s="190"/>
      <c r="AF194" s="190"/>
    </row>
    <row r="195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  <c r="AA195" s="190"/>
      <c r="AB195" s="190"/>
      <c r="AC195" s="190"/>
      <c r="AD195" s="190"/>
      <c r="AE195" s="190"/>
      <c r="AF195" s="190"/>
    </row>
    <row r="196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  <c r="AA196" s="190"/>
      <c r="AB196" s="190"/>
      <c r="AC196" s="190"/>
      <c r="AE196" s="190"/>
    </row>
    <row r="197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  <c r="AA197" s="190"/>
      <c r="AB197" s="190"/>
      <c r="AC197" s="190"/>
      <c r="AE197" s="190"/>
    </row>
    <row r="198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  <c r="AA198" s="190"/>
      <c r="AB198" s="190"/>
      <c r="AC198" s="190"/>
      <c r="AE198" s="190"/>
    </row>
    <row r="199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  <c r="AA199" s="190"/>
      <c r="AB199" s="190"/>
      <c r="AC199" s="190"/>
    </row>
    <row r="200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  <c r="AA200" s="190"/>
      <c r="AB200" s="190"/>
      <c r="AC200" s="190"/>
      <c r="AD200" s="190"/>
    </row>
    <row r="201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  <c r="AA201" s="190"/>
      <c r="AB201" s="190"/>
      <c r="AC201" s="190"/>
    </row>
    <row r="202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  <c r="AA202" s="190"/>
      <c r="AB202" s="190"/>
      <c r="AC202" s="190"/>
    </row>
    <row r="203">
      <c r="A203" s="190"/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  <c r="AA203" s="190"/>
      <c r="AB203" s="190"/>
      <c r="AC203" s="190"/>
    </row>
    <row r="204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  <c r="AA204" s="190"/>
      <c r="AB204" s="190"/>
      <c r="AC204" s="190"/>
    </row>
    <row r="205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  <c r="AA205" s="190"/>
      <c r="AB205" s="190"/>
      <c r="AC205" s="190"/>
    </row>
    <row r="206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  <c r="AA206" s="190"/>
      <c r="AB206" s="190"/>
      <c r="AC206" s="190"/>
    </row>
    <row r="207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  <c r="AA207" s="190"/>
      <c r="AB207" s="190"/>
      <c r="AC207" s="190"/>
    </row>
    <row r="208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  <c r="AA208" s="190"/>
      <c r="AB208" s="190"/>
      <c r="AC208" s="190"/>
    </row>
    <row r="209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  <c r="AA209" s="190"/>
      <c r="AB209" s="190"/>
      <c r="AC209" s="190"/>
    </row>
    <row r="210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  <c r="AA210" s="190"/>
      <c r="AB210" s="190"/>
      <c r="AC210" s="190"/>
    </row>
    <row r="211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  <c r="AA211" s="190"/>
      <c r="AB211" s="190"/>
      <c r="AC211" s="190"/>
    </row>
    <row r="212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  <c r="AA212" s="190"/>
      <c r="AB212" s="190"/>
      <c r="AC212" s="190"/>
    </row>
    <row r="213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  <c r="AA213" s="190"/>
      <c r="AB213" s="190"/>
      <c r="AC213" s="190"/>
    </row>
    <row r="214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  <c r="AA214" s="190"/>
      <c r="AB214" s="190"/>
      <c r="AC214" s="190"/>
      <c r="AD214" s="190"/>
    </row>
    <row r="215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  <c r="AA215" s="190"/>
      <c r="AB215" s="190"/>
      <c r="AC215" s="190"/>
    </row>
    <row r="216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  <c r="AA216" s="190"/>
      <c r="AB216" s="190"/>
      <c r="AC216" s="190"/>
    </row>
    <row r="217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  <c r="AA217" s="190"/>
      <c r="AB217" s="190"/>
      <c r="AC217" s="190"/>
    </row>
    <row r="218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  <c r="AA218" s="190"/>
      <c r="AB218" s="190"/>
      <c r="AC218" s="190"/>
    </row>
    <row r="219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  <c r="AA219" s="190"/>
      <c r="AB219" s="190"/>
      <c r="AC219" s="190"/>
    </row>
    <row r="220">
      <c r="A220" s="190"/>
      <c r="B220" s="190"/>
      <c r="C220" s="192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  <c r="AA220" s="190"/>
      <c r="AB220" s="190"/>
      <c r="AC220" s="190"/>
    </row>
    <row r="221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  <c r="AA221" s="190"/>
      <c r="AB221" s="190"/>
      <c r="AC221" s="190"/>
    </row>
    <row r="222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  <c r="AA222" s="190"/>
      <c r="AB222" s="190"/>
      <c r="AC222" s="190"/>
    </row>
    <row r="223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  <c r="AA223" s="190"/>
      <c r="AB223" s="190"/>
      <c r="AC223" s="190"/>
    </row>
    <row r="224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  <c r="AA224" s="190"/>
      <c r="AB224" s="190"/>
      <c r="AC224" s="190"/>
    </row>
    <row r="225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  <c r="AA225" s="190"/>
      <c r="AB225" s="190"/>
      <c r="AC225" s="190"/>
    </row>
    <row r="226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  <c r="AA226" s="190"/>
      <c r="AB226" s="190"/>
      <c r="AC226" s="190"/>
    </row>
    <row r="227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  <c r="AA227" s="190"/>
      <c r="AB227" s="190"/>
      <c r="AC227" s="190"/>
    </row>
    <row r="228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  <c r="AA228" s="190"/>
      <c r="AB228" s="190"/>
      <c r="AC228" s="190"/>
    </row>
    <row r="229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  <c r="AA229" s="190"/>
      <c r="AB229" s="190"/>
      <c r="AC229" s="190"/>
    </row>
    <row r="230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  <c r="AA230" s="190"/>
      <c r="AB230" s="190"/>
      <c r="AC230" s="190"/>
    </row>
    <row r="231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  <c r="AA231" s="190"/>
      <c r="AB231" s="190"/>
      <c r="AC231" s="190"/>
    </row>
    <row r="232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  <c r="AA232" s="190"/>
      <c r="AB232" s="190"/>
      <c r="AC232" s="190"/>
    </row>
    <row r="233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  <c r="AA233" s="190"/>
      <c r="AB233" s="190"/>
      <c r="AC233" s="190"/>
    </row>
    <row r="234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  <c r="AA234" s="190"/>
      <c r="AB234" s="190"/>
      <c r="AC234" s="190"/>
    </row>
    <row r="235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  <c r="AA235" s="190"/>
      <c r="AB235" s="190"/>
      <c r="AC235" s="190"/>
    </row>
    <row r="236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  <c r="AA236" s="190"/>
      <c r="AB236" s="190"/>
      <c r="AC236" s="190"/>
    </row>
    <row r="237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  <c r="AA237" s="190"/>
      <c r="AB237" s="190"/>
      <c r="AC237" s="190"/>
    </row>
    <row r="238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  <c r="AA238" s="190"/>
      <c r="AB238" s="190"/>
      <c r="AC238" s="190"/>
      <c r="AD238" s="190"/>
    </row>
    <row r="239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  <c r="AA239" s="190"/>
      <c r="AB239" s="190"/>
      <c r="AC239" s="190"/>
    </row>
    <row r="240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  <c r="AA240" s="190"/>
      <c r="AB240" s="190"/>
      <c r="AC240" s="190"/>
    </row>
    <row r="241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  <c r="AA241" s="190"/>
      <c r="AB241" s="190"/>
      <c r="AC241" s="190"/>
    </row>
    <row r="242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  <c r="AA242" s="190"/>
      <c r="AB242" s="190"/>
      <c r="AC242" s="190"/>
    </row>
    <row r="243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  <c r="AA243" s="190"/>
      <c r="AB243" s="190"/>
      <c r="AC243" s="190"/>
    </row>
    <row r="244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  <c r="AA244" s="190"/>
      <c r="AB244" s="190"/>
      <c r="AC244" s="190"/>
    </row>
    <row r="245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  <c r="AA245" s="190"/>
      <c r="AB245" s="190"/>
      <c r="AC245" s="190"/>
    </row>
    <row r="246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  <c r="AA246" s="190"/>
      <c r="AB246" s="190"/>
      <c r="AC246" s="190"/>
      <c r="AD246" s="190"/>
    </row>
    <row r="247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  <c r="AA247" s="190"/>
      <c r="AB247" s="190"/>
      <c r="AC247" s="190"/>
    </row>
    <row r="248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  <c r="AA248" s="190"/>
      <c r="AB248" s="190"/>
      <c r="AC248" s="190"/>
    </row>
    <row r="249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  <c r="AA249" s="190"/>
      <c r="AB249" s="190"/>
      <c r="AC249" s="190"/>
    </row>
    <row r="250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  <c r="AA250" s="190"/>
      <c r="AB250" s="190"/>
      <c r="AC250" s="190"/>
    </row>
    <row r="251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  <c r="AA251" s="190"/>
      <c r="AB251" s="190"/>
      <c r="AC251" s="190"/>
      <c r="AD251" s="190"/>
    </row>
    <row r="252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  <c r="AA252" s="190"/>
      <c r="AB252" s="190"/>
      <c r="AC252" s="190"/>
    </row>
    <row r="253">
      <c r="A253" s="190"/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  <c r="AA253" s="190"/>
      <c r="AB253" s="190"/>
      <c r="AC253" s="190"/>
    </row>
    <row r="254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  <c r="AA254" s="190"/>
      <c r="AB254" s="190"/>
      <c r="AC254" s="190"/>
    </row>
    <row r="255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  <c r="AA255" s="190"/>
      <c r="AB255" s="190"/>
      <c r="AC255" s="190"/>
    </row>
    <row r="256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  <c r="AA256" s="190"/>
      <c r="AB256" s="190"/>
      <c r="AC256" s="190"/>
    </row>
    <row r="257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  <c r="AA257" s="190"/>
      <c r="AB257" s="190"/>
      <c r="AC257" s="190"/>
    </row>
    <row r="258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  <c r="AA258" s="190"/>
      <c r="AB258" s="190"/>
      <c r="AC258" s="190"/>
    </row>
    <row r="259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  <c r="AA259" s="190"/>
      <c r="AB259" s="190"/>
      <c r="AC259" s="190"/>
    </row>
    <row r="260">
      <c r="A260" s="190"/>
      <c r="B260" s="190"/>
      <c r="C260" s="192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  <c r="AA260" s="190"/>
      <c r="AB260" s="190"/>
      <c r="AC260" s="190"/>
    </row>
    <row r="261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  <c r="AA261" s="190"/>
      <c r="AB261" s="190"/>
      <c r="AC261" s="190"/>
    </row>
    <row r="262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  <c r="AA262" s="190"/>
      <c r="AB262" s="190"/>
      <c r="AC262" s="190"/>
    </row>
    <row r="263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  <c r="AA263" s="190"/>
      <c r="AB263" s="190"/>
      <c r="AC263" s="190"/>
    </row>
    <row r="264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  <c r="AA264" s="190"/>
      <c r="AB264" s="190"/>
      <c r="AC264" s="190"/>
    </row>
    <row r="265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  <c r="AA265" s="190"/>
      <c r="AB265" s="190"/>
      <c r="AC265" s="190"/>
    </row>
    <row r="266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  <c r="AA266" s="190"/>
      <c r="AB266" s="190"/>
      <c r="AC266" s="190"/>
    </row>
    <row r="267">
      <c r="A267" s="190"/>
      <c r="B267" s="190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  <c r="AA267" s="190"/>
      <c r="AB267" s="190"/>
      <c r="AC267" s="190"/>
    </row>
    <row r="268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  <c r="AA268" s="190"/>
      <c r="AB268" s="190"/>
      <c r="AC268" s="190"/>
    </row>
    <row r="269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  <c r="AA269" s="190"/>
      <c r="AB269" s="190"/>
      <c r="AC269" s="190"/>
    </row>
    <row r="270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S270" s="190"/>
      <c r="T270" s="190"/>
      <c r="U270" s="190"/>
      <c r="V270" s="190"/>
      <c r="W270" s="190"/>
      <c r="X270" s="190"/>
      <c r="Y270" s="190"/>
      <c r="Z270" s="190"/>
      <c r="AB270" s="190"/>
      <c r="AC270" s="190"/>
    </row>
    <row r="271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  <c r="AA271" s="190"/>
      <c r="AB271" s="190"/>
      <c r="AC271" s="190"/>
    </row>
    <row r="272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  <c r="AA272" s="190"/>
      <c r="AB272" s="190"/>
      <c r="AC272" s="190"/>
    </row>
    <row r="273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  <c r="AA273" s="190"/>
      <c r="AB273" s="190"/>
      <c r="AC273" s="190"/>
    </row>
    <row r="274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  <c r="AA274" s="190"/>
      <c r="AB274" s="190"/>
      <c r="AC274" s="190"/>
    </row>
    <row r="275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  <c r="AA275" s="190"/>
      <c r="AB275" s="190"/>
      <c r="AC275" s="190"/>
    </row>
    <row r="276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  <c r="AA276" s="190"/>
      <c r="AB276" s="190"/>
      <c r="AC276" s="190"/>
    </row>
    <row r="277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  <c r="AA277" s="190"/>
      <c r="AB277" s="190"/>
      <c r="AC277" s="190"/>
    </row>
    <row r="278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  <c r="AA278" s="190"/>
      <c r="AB278" s="190"/>
      <c r="AC278" s="190"/>
    </row>
    <row r="279">
      <c r="A279" s="190"/>
      <c r="B279" s="190"/>
      <c r="C279" s="192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  <c r="AA279" s="190"/>
      <c r="AB279" s="190"/>
      <c r="AC279" s="190"/>
    </row>
    <row r="280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  <c r="AA280" s="190"/>
      <c r="AB280" s="190"/>
      <c r="AC280" s="190"/>
      <c r="AD280" s="190"/>
    </row>
    <row r="281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  <c r="AA281" s="190"/>
      <c r="AB281" s="190"/>
      <c r="AC281" s="190"/>
    </row>
    <row r="282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  <c r="AA282" s="190"/>
      <c r="AB282" s="190"/>
      <c r="AC282" s="190"/>
    </row>
    <row r="283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  <c r="AA283" s="190"/>
      <c r="AB283" s="190"/>
      <c r="AC283" s="190"/>
    </row>
    <row r="284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  <c r="AA284" s="190"/>
      <c r="AB284" s="190"/>
      <c r="AC284" s="190"/>
    </row>
    <row r="285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  <c r="AB285" s="190"/>
      <c r="AC285" s="190"/>
    </row>
    <row r="286">
      <c r="A286" s="190"/>
      <c r="B286" s="190"/>
      <c r="C286" s="192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  <c r="AA286" s="190"/>
      <c r="AB286" s="190"/>
      <c r="AC286" s="190"/>
    </row>
    <row r="287">
      <c r="A287" s="190"/>
      <c r="B287" s="190"/>
      <c r="C287" s="190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S287" s="190"/>
      <c r="T287" s="190"/>
      <c r="U287" s="190"/>
      <c r="V287" s="190"/>
      <c r="W287" s="190"/>
      <c r="X287" s="190"/>
      <c r="Y287" s="190"/>
      <c r="Z287" s="190"/>
      <c r="AB287" s="190"/>
      <c r="AC287" s="190"/>
    </row>
    <row r="288">
      <c r="A288" s="190"/>
      <c r="B288" s="190"/>
      <c r="C288" s="192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S288" s="190"/>
      <c r="T288" s="190"/>
      <c r="U288" s="190"/>
      <c r="V288" s="190"/>
      <c r="W288" s="190"/>
      <c r="X288" s="190"/>
      <c r="Y288" s="190"/>
      <c r="Z288" s="190"/>
      <c r="AB288" s="190"/>
      <c r="AC288" s="190"/>
    </row>
    <row r="289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  <c r="AA289" s="190"/>
      <c r="AB289" s="190"/>
      <c r="AC289" s="190"/>
    </row>
    <row r="290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  <c r="AA290" s="190"/>
      <c r="AB290" s="190"/>
      <c r="AC290" s="190"/>
    </row>
    <row r="291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S291" s="190"/>
      <c r="T291" s="190"/>
      <c r="U291" s="190"/>
      <c r="V291" s="190"/>
      <c r="W291" s="190"/>
      <c r="X291" s="190"/>
      <c r="Y291" s="190"/>
      <c r="Z291" s="190"/>
      <c r="AB291" s="190"/>
      <c r="AC291" s="190"/>
    </row>
    <row r="292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S292" s="190"/>
      <c r="T292" s="190"/>
      <c r="U292" s="190"/>
      <c r="V292" s="190"/>
      <c r="W292" s="190"/>
      <c r="X292" s="190"/>
      <c r="Y292" s="190"/>
      <c r="Z292" s="190"/>
      <c r="AB292" s="190"/>
      <c r="AC292" s="190"/>
    </row>
    <row r="293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  <c r="AA293" s="190"/>
      <c r="AB293" s="190"/>
      <c r="AC293" s="190"/>
    </row>
    <row r="294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  <c r="AA294" s="190"/>
      <c r="AB294" s="190"/>
      <c r="AC294" s="190"/>
    </row>
    <row r="295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  <c r="AA295" s="190"/>
      <c r="AB295" s="190"/>
      <c r="AC295" s="190"/>
    </row>
    <row r="296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  <c r="AA296" s="190"/>
      <c r="AB296" s="190"/>
      <c r="AC296" s="190"/>
    </row>
    <row r="297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  <c r="AA297" s="190"/>
      <c r="AB297" s="190"/>
      <c r="AC297" s="190"/>
    </row>
    <row r="298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S298" s="190"/>
      <c r="T298" s="190"/>
      <c r="U298" s="190"/>
      <c r="V298" s="190"/>
      <c r="W298" s="190"/>
      <c r="X298" s="190"/>
      <c r="Y298" s="190"/>
      <c r="Z298" s="190"/>
      <c r="AB298" s="190"/>
      <c r="AC298" s="190"/>
    </row>
    <row r="299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O299" s="190"/>
      <c r="P299" s="190"/>
      <c r="Q299" s="190"/>
      <c r="S299" s="190"/>
      <c r="T299" s="190"/>
      <c r="U299" s="190"/>
      <c r="V299" s="190"/>
      <c r="W299" s="190"/>
      <c r="X299" s="190"/>
      <c r="Y299" s="190"/>
      <c r="Z299" s="190"/>
      <c r="AB299" s="190"/>
      <c r="AC299" s="190"/>
    </row>
    <row r="300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  <c r="AA300" s="190"/>
      <c r="AB300" s="190"/>
      <c r="AC300" s="190"/>
    </row>
    <row r="301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S301" s="190"/>
      <c r="T301" s="190"/>
      <c r="U301" s="190"/>
      <c r="V301" s="190"/>
      <c r="W301" s="190"/>
      <c r="X301" s="190"/>
      <c r="Y301" s="190"/>
      <c r="Z301" s="190"/>
      <c r="AB301" s="190"/>
      <c r="AC301" s="190"/>
    </row>
    <row r="302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  <c r="AA302" s="190"/>
      <c r="AB302" s="190"/>
      <c r="AC302" s="190"/>
    </row>
    <row r="303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S303" s="190"/>
      <c r="T303" s="190"/>
      <c r="U303" s="190"/>
      <c r="V303" s="190"/>
      <c r="W303" s="190"/>
      <c r="X303" s="190"/>
      <c r="Y303" s="190"/>
      <c r="Z303" s="190"/>
      <c r="AB303" s="190"/>
      <c r="AC303" s="190"/>
    </row>
    <row r="304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  <c r="AA304" s="190"/>
      <c r="AB304" s="190"/>
      <c r="AC304" s="190"/>
    </row>
    <row r="305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S305" s="190"/>
      <c r="T305" s="190"/>
      <c r="U305" s="190"/>
      <c r="V305" s="190"/>
      <c r="W305" s="190"/>
      <c r="X305" s="190"/>
      <c r="Y305" s="190"/>
      <c r="Z305" s="190"/>
      <c r="AB305" s="190"/>
      <c r="AC305" s="190"/>
    </row>
    <row r="306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  <c r="AA306" s="190"/>
      <c r="AB306" s="190"/>
      <c r="AC306" s="190"/>
    </row>
    <row r="307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  <c r="AA307" s="190"/>
      <c r="AB307" s="190"/>
      <c r="AC307" s="190"/>
    </row>
    <row r="308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  <c r="AA308" s="190"/>
      <c r="AB308" s="190"/>
      <c r="AC308" s="190"/>
    </row>
    <row r="309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S309" s="190"/>
      <c r="T309" s="190"/>
      <c r="U309" s="190"/>
      <c r="V309" s="190"/>
      <c r="W309" s="190"/>
      <c r="X309" s="190"/>
      <c r="Y309" s="190"/>
      <c r="Z309" s="190"/>
      <c r="AB309" s="190"/>
      <c r="AC309" s="190"/>
    </row>
    <row r="310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  <c r="AA310" s="190"/>
      <c r="AB310" s="190"/>
      <c r="AC310" s="190"/>
    </row>
    <row r="311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S311" s="190"/>
      <c r="T311" s="190"/>
      <c r="U311" s="190"/>
      <c r="V311" s="190"/>
      <c r="W311" s="190"/>
      <c r="X311" s="190"/>
      <c r="Y311" s="190"/>
      <c r="Z311" s="190"/>
      <c r="AB311" s="190"/>
      <c r="AC311" s="190"/>
    </row>
    <row r="312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S312" s="190"/>
      <c r="T312" s="190"/>
      <c r="U312" s="190"/>
      <c r="V312" s="190"/>
      <c r="W312" s="190"/>
      <c r="X312" s="190"/>
      <c r="Y312" s="190"/>
      <c r="Z312" s="190"/>
      <c r="AB312" s="190"/>
      <c r="AC312" s="190"/>
    </row>
    <row r="313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  <c r="AA313" s="190"/>
      <c r="AB313" s="190"/>
      <c r="AC313" s="190"/>
    </row>
    <row r="314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  <c r="AA314" s="190"/>
      <c r="AB314" s="190"/>
      <c r="AC314" s="190"/>
    </row>
    <row r="315">
      <c r="A315" s="190"/>
      <c r="B315" s="190"/>
      <c r="C315" s="192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  <c r="AA315" s="190"/>
      <c r="AB315" s="190"/>
      <c r="AC315" s="190"/>
    </row>
    <row r="316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S316" s="190"/>
      <c r="T316" s="190"/>
      <c r="U316" s="190"/>
      <c r="V316" s="190"/>
      <c r="W316" s="190"/>
      <c r="X316" s="190"/>
      <c r="Y316" s="190"/>
      <c r="Z316" s="190"/>
      <c r="AB316" s="190"/>
      <c r="AC316" s="190"/>
      <c r="AD316" s="190"/>
    </row>
    <row r="317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  <c r="AA317" s="190"/>
      <c r="AB317" s="190"/>
      <c r="AC317" s="190"/>
    </row>
    <row r="318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S318" s="190"/>
      <c r="T318" s="190"/>
      <c r="U318" s="190"/>
      <c r="V318" s="190"/>
      <c r="W318" s="190"/>
      <c r="X318" s="190"/>
      <c r="Y318" s="190"/>
      <c r="Z318" s="190"/>
      <c r="AB318" s="190"/>
      <c r="AC318" s="190"/>
    </row>
    <row r="319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  <c r="AA319" s="190"/>
      <c r="AB319" s="190"/>
      <c r="AC319" s="190"/>
    </row>
    <row r="320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  <c r="AA320" s="190"/>
      <c r="AB320" s="190"/>
      <c r="AC320" s="190"/>
    </row>
    <row r="321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S321" s="190"/>
      <c r="T321" s="190"/>
      <c r="U321" s="190"/>
      <c r="V321" s="190"/>
      <c r="W321" s="190"/>
      <c r="X321" s="190"/>
      <c r="Y321" s="190"/>
      <c r="Z321" s="190"/>
      <c r="AB321" s="190"/>
      <c r="AC321" s="190"/>
      <c r="AD321" s="190"/>
    </row>
    <row r="322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O322" s="190"/>
      <c r="P322" s="190"/>
      <c r="Q322" s="190"/>
      <c r="S322" s="190"/>
      <c r="T322" s="190"/>
      <c r="U322" s="190"/>
      <c r="V322" s="190"/>
      <c r="W322" s="190"/>
      <c r="X322" s="190"/>
      <c r="Y322" s="190"/>
      <c r="Z322" s="190"/>
      <c r="AB322" s="190"/>
    </row>
    <row r="323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O323" s="190"/>
      <c r="P323" s="190"/>
      <c r="Q323" s="190"/>
      <c r="S323" s="190"/>
      <c r="T323" s="190"/>
      <c r="U323" s="190"/>
      <c r="V323" s="190"/>
      <c r="W323" s="190"/>
      <c r="X323" s="190"/>
      <c r="Y323" s="190"/>
      <c r="Z323" s="190"/>
      <c r="AB323" s="190"/>
    </row>
    <row r="324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O324" s="190"/>
      <c r="P324" s="190"/>
      <c r="Q324" s="190"/>
      <c r="S324" s="190"/>
      <c r="T324" s="190"/>
      <c r="U324" s="190"/>
      <c r="V324" s="190"/>
      <c r="W324" s="190"/>
      <c r="X324" s="190"/>
      <c r="Y324" s="190"/>
      <c r="Z324" s="190"/>
      <c r="AB324" s="190"/>
    </row>
    <row r="325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  <c r="AA325" s="190"/>
      <c r="AB325" s="190"/>
    </row>
    <row r="326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  <c r="AA326" s="190"/>
      <c r="AB326" s="190"/>
    </row>
    <row r="327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O327" s="190"/>
      <c r="P327" s="190"/>
      <c r="Q327" s="190"/>
      <c r="S327" s="190"/>
      <c r="T327" s="190"/>
      <c r="U327" s="190"/>
      <c r="V327" s="190"/>
      <c r="W327" s="190"/>
      <c r="X327" s="190"/>
      <c r="Y327" s="190"/>
      <c r="Z327" s="190"/>
      <c r="AB327" s="190"/>
    </row>
    <row r="328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S328" s="190"/>
      <c r="T328" s="190"/>
      <c r="U328" s="190"/>
      <c r="V328" s="190"/>
      <c r="W328" s="190"/>
      <c r="X328" s="190"/>
      <c r="Y328" s="190"/>
      <c r="Z328" s="190"/>
      <c r="AB328" s="190"/>
    </row>
    <row r="329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S329" s="190"/>
      <c r="T329" s="190"/>
      <c r="U329" s="190"/>
      <c r="V329" s="190"/>
      <c r="W329" s="190"/>
      <c r="X329" s="190"/>
      <c r="Y329" s="190"/>
      <c r="Z329" s="190"/>
      <c r="AB329" s="190"/>
    </row>
    <row r="330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S330" s="190"/>
      <c r="T330" s="190"/>
      <c r="U330" s="190"/>
      <c r="V330" s="190"/>
      <c r="W330" s="190"/>
      <c r="X330" s="190"/>
      <c r="Y330" s="190"/>
      <c r="Z330" s="190"/>
      <c r="AB330" s="190"/>
    </row>
    <row r="331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  <c r="AA331" s="190"/>
      <c r="AB331" s="190"/>
    </row>
    <row r="332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  <c r="AA332" s="190"/>
      <c r="AB332" s="190"/>
    </row>
    <row r="333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  <c r="AA333" s="190"/>
      <c r="AB333" s="190"/>
    </row>
    <row r="334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O334" s="190"/>
      <c r="P334" s="190"/>
      <c r="Q334" s="190"/>
      <c r="S334" s="190"/>
      <c r="T334" s="190"/>
      <c r="U334" s="190"/>
      <c r="V334" s="190"/>
      <c r="W334" s="190"/>
      <c r="X334" s="190"/>
      <c r="Y334" s="190"/>
      <c r="Z334" s="190"/>
      <c r="AB334" s="190"/>
    </row>
    <row r="335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O335" s="190"/>
      <c r="P335" s="190"/>
      <c r="Q335" s="190"/>
      <c r="S335" s="190"/>
      <c r="T335" s="190"/>
      <c r="U335" s="190"/>
      <c r="V335" s="190"/>
      <c r="W335" s="190"/>
      <c r="X335" s="190"/>
      <c r="Y335" s="190"/>
      <c r="Z335" s="190"/>
      <c r="AB335" s="190"/>
    </row>
    <row r="336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  <c r="AA336" s="190"/>
      <c r="AB336" s="190"/>
    </row>
    <row r="337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O337" s="190"/>
      <c r="P337" s="190"/>
      <c r="Q337" s="190"/>
      <c r="S337" s="190"/>
      <c r="T337" s="190"/>
      <c r="U337" s="190"/>
      <c r="V337" s="190"/>
      <c r="W337" s="190"/>
      <c r="X337" s="190"/>
      <c r="Y337" s="190"/>
      <c r="Z337" s="190"/>
      <c r="AB337" s="190"/>
    </row>
    <row r="338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S338" s="190"/>
      <c r="T338" s="190"/>
      <c r="U338" s="190"/>
      <c r="V338" s="190"/>
      <c r="W338" s="190"/>
      <c r="X338" s="190"/>
      <c r="Y338" s="190"/>
      <c r="Z338" s="190"/>
      <c r="AB338" s="190"/>
    </row>
    <row r="339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S339" s="190"/>
      <c r="T339" s="190"/>
      <c r="U339" s="190"/>
      <c r="V339" s="190"/>
      <c r="W339" s="190"/>
      <c r="X339" s="190"/>
      <c r="Y339" s="190"/>
      <c r="Z339" s="190"/>
      <c r="AB339" s="190"/>
    </row>
    <row r="340">
      <c r="A340" s="190"/>
      <c r="B340" s="190"/>
      <c r="C340" s="192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O340" s="190"/>
      <c r="P340" s="190"/>
      <c r="Q340" s="190"/>
      <c r="S340" s="190"/>
      <c r="T340" s="190"/>
      <c r="U340" s="190"/>
      <c r="V340" s="190"/>
      <c r="W340" s="190"/>
      <c r="X340" s="190"/>
      <c r="Y340" s="190"/>
      <c r="Z340" s="190"/>
      <c r="AB340" s="190"/>
    </row>
    <row r="341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O341" s="190"/>
      <c r="P341" s="190"/>
      <c r="Q341" s="190"/>
      <c r="S341" s="190"/>
      <c r="T341" s="190"/>
      <c r="U341" s="190"/>
      <c r="V341" s="190"/>
      <c r="W341" s="190"/>
      <c r="X341" s="190"/>
      <c r="Y341" s="190"/>
      <c r="Z341" s="190"/>
      <c r="AB341" s="190"/>
    </row>
    <row r="342">
      <c r="A342" s="190"/>
      <c r="B342" s="190"/>
      <c r="C342" s="192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O342" s="190"/>
      <c r="P342" s="190"/>
      <c r="Q342" s="190"/>
      <c r="S342" s="190"/>
      <c r="T342" s="190"/>
      <c r="U342" s="190"/>
      <c r="V342" s="190"/>
      <c r="W342" s="190"/>
      <c r="X342" s="190"/>
      <c r="Y342" s="190"/>
      <c r="Z342" s="190"/>
      <c r="AB342" s="190"/>
    </row>
    <row r="343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O343" s="190"/>
      <c r="P343" s="190"/>
      <c r="Q343" s="190"/>
      <c r="S343" s="190"/>
      <c r="T343" s="190"/>
      <c r="U343" s="190"/>
      <c r="V343" s="190"/>
      <c r="W343" s="190"/>
      <c r="X343" s="190"/>
      <c r="Y343" s="190"/>
      <c r="Z343" s="190"/>
      <c r="AB343" s="190"/>
    </row>
    <row r="344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O344" s="190"/>
      <c r="P344" s="190"/>
      <c r="Q344" s="190"/>
      <c r="S344" s="190"/>
      <c r="T344" s="190"/>
      <c r="U344" s="190"/>
      <c r="V344" s="190"/>
      <c r="W344" s="190"/>
      <c r="X344" s="190"/>
      <c r="Y344" s="190"/>
      <c r="Z344" s="190"/>
      <c r="AB344" s="190"/>
    </row>
    <row r="345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O345" s="190"/>
      <c r="P345" s="190"/>
      <c r="Q345" s="190"/>
      <c r="S345" s="190"/>
      <c r="T345" s="190"/>
      <c r="U345" s="190"/>
      <c r="V345" s="190"/>
      <c r="W345" s="190"/>
      <c r="X345" s="190"/>
      <c r="Y345" s="190"/>
      <c r="Z345" s="190"/>
      <c r="AB345" s="190"/>
    </row>
    <row r="346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O346" s="190"/>
      <c r="P346" s="190"/>
      <c r="Q346" s="190"/>
      <c r="S346" s="190"/>
      <c r="T346" s="190"/>
      <c r="U346" s="190"/>
      <c r="V346" s="190"/>
      <c r="W346" s="190"/>
      <c r="X346" s="190"/>
      <c r="Y346" s="190"/>
      <c r="Z346" s="190"/>
      <c r="AB346" s="190"/>
    </row>
    <row r="347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O347" s="190"/>
      <c r="P347" s="190"/>
      <c r="Q347" s="190"/>
      <c r="S347" s="190"/>
      <c r="T347" s="190"/>
      <c r="U347" s="190"/>
      <c r="V347" s="190"/>
      <c r="W347" s="190"/>
      <c r="X347" s="190"/>
      <c r="Y347" s="190"/>
      <c r="Z347" s="190"/>
      <c r="AB347" s="190"/>
    </row>
    <row r="348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O348" s="190"/>
      <c r="P348" s="190"/>
      <c r="Q348" s="190"/>
      <c r="S348" s="190"/>
      <c r="T348" s="190"/>
      <c r="U348" s="190"/>
      <c r="V348" s="190"/>
      <c r="W348" s="190"/>
      <c r="X348" s="190"/>
      <c r="Y348" s="190"/>
      <c r="Z348" s="190"/>
      <c r="AB348" s="190"/>
    </row>
    <row r="349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  <c r="AA349" s="190"/>
      <c r="AB349" s="190"/>
    </row>
    <row r="350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O350" s="190"/>
      <c r="P350" s="190"/>
      <c r="Q350" s="190"/>
      <c r="S350" s="190"/>
      <c r="T350" s="190"/>
      <c r="U350" s="190"/>
      <c r="V350" s="190"/>
      <c r="W350" s="190"/>
      <c r="X350" s="190"/>
      <c r="Y350" s="190"/>
      <c r="Z350" s="190"/>
      <c r="AB350" s="190"/>
    </row>
    <row r="351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  <c r="AA351" s="190"/>
      <c r="AB351" s="190"/>
    </row>
    <row r="352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O352" s="190"/>
      <c r="P352" s="190"/>
      <c r="Q352" s="190"/>
      <c r="S352" s="190"/>
      <c r="T352" s="190"/>
      <c r="U352" s="190"/>
      <c r="V352" s="190"/>
      <c r="W352" s="190"/>
      <c r="X352" s="190"/>
      <c r="Y352" s="190"/>
      <c r="Z352" s="190"/>
      <c r="AB352" s="190"/>
    </row>
    <row r="353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  <c r="AA353" s="190"/>
      <c r="AB353" s="190"/>
    </row>
    <row r="354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S354" s="190"/>
      <c r="T354" s="190"/>
      <c r="U354" s="190"/>
      <c r="V354" s="190"/>
      <c r="W354" s="190"/>
      <c r="X354" s="190"/>
      <c r="Y354" s="190"/>
      <c r="Z354" s="190"/>
      <c r="AB354" s="190"/>
    </row>
    <row r="355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O355" s="190"/>
      <c r="P355" s="190"/>
      <c r="Q355" s="190"/>
      <c r="S355" s="190"/>
      <c r="T355" s="190"/>
      <c r="U355" s="190"/>
      <c r="V355" s="190"/>
      <c r="W355" s="190"/>
      <c r="X355" s="190"/>
      <c r="Y355" s="190"/>
      <c r="Z355" s="190"/>
      <c r="AB355" s="190"/>
    </row>
    <row r="356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O356" s="190"/>
      <c r="P356" s="190"/>
      <c r="Q356" s="190"/>
      <c r="S356" s="190"/>
      <c r="T356" s="190"/>
      <c r="U356" s="190"/>
      <c r="V356" s="190"/>
      <c r="W356" s="190"/>
      <c r="X356" s="190"/>
      <c r="Y356" s="190"/>
      <c r="Z356" s="190"/>
      <c r="AB356" s="190"/>
    </row>
    <row r="357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  <c r="AA357" s="190"/>
      <c r="AB357" s="190"/>
    </row>
    <row r="358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O358" s="190"/>
      <c r="P358" s="190"/>
      <c r="Q358" s="190"/>
      <c r="S358" s="190"/>
      <c r="T358" s="190"/>
      <c r="U358" s="190"/>
      <c r="V358" s="190"/>
      <c r="W358" s="190"/>
      <c r="X358" s="190"/>
      <c r="Y358" s="190"/>
      <c r="Z358" s="190"/>
      <c r="AB358" s="190"/>
    </row>
    <row r="359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O359" s="190"/>
      <c r="P359" s="190"/>
      <c r="Q359" s="190"/>
      <c r="S359" s="190"/>
      <c r="T359" s="190"/>
      <c r="U359" s="190"/>
      <c r="V359" s="190"/>
      <c r="W359" s="190"/>
      <c r="X359" s="190"/>
      <c r="Y359" s="190"/>
      <c r="Z359" s="190"/>
      <c r="AB359" s="190"/>
    </row>
    <row r="360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S360" s="190"/>
      <c r="T360" s="190"/>
      <c r="U360" s="190"/>
      <c r="V360" s="190"/>
      <c r="W360" s="190"/>
      <c r="X360" s="190"/>
      <c r="Y360" s="190"/>
      <c r="Z360" s="190"/>
      <c r="AB360" s="190"/>
    </row>
    <row r="361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O361" s="190"/>
      <c r="P361" s="190"/>
      <c r="Q361" s="190"/>
      <c r="S361" s="190"/>
      <c r="T361" s="190"/>
      <c r="U361" s="190"/>
      <c r="V361" s="190"/>
      <c r="W361" s="190"/>
      <c r="X361" s="190"/>
      <c r="Y361" s="190"/>
      <c r="Z361" s="190"/>
      <c r="AB361" s="190"/>
    </row>
    <row r="362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  <c r="AA362" s="190"/>
      <c r="AB362" s="190"/>
    </row>
    <row r="363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O363" s="190"/>
      <c r="P363" s="190"/>
      <c r="Q363" s="190"/>
      <c r="S363" s="190"/>
      <c r="T363" s="190"/>
      <c r="U363" s="190"/>
      <c r="V363" s="190"/>
      <c r="W363" s="190"/>
      <c r="X363" s="190"/>
      <c r="Y363" s="190"/>
      <c r="Z363" s="190"/>
      <c r="AB363" s="190"/>
    </row>
    <row r="368">
      <c r="C368" s="192"/>
    </row>
    <row r="403">
      <c r="C403" s="192"/>
    </row>
    <row r="414">
      <c r="C414" s="192"/>
    </row>
    <row r="431">
      <c r="C431" s="192"/>
    </row>
    <row r="438">
      <c r="C438" s="192"/>
    </row>
    <row r="443">
      <c r="C443" s="192"/>
    </row>
    <row r="476">
      <c r="C476" s="192"/>
    </row>
    <row r="478">
      <c r="C478" s="192"/>
    </row>
    <row r="584">
      <c r="C584" s="192"/>
    </row>
    <row r="676">
      <c r="C676" s="192"/>
    </row>
    <row r="689">
      <c r="C689" s="192"/>
    </row>
    <row r="725">
      <c r="C725" s="192"/>
    </row>
    <row r="733">
      <c r="C733" s="192"/>
    </row>
    <row r="737">
      <c r="C737" s="192"/>
    </row>
    <row r="797">
      <c r="C797" s="192"/>
    </row>
    <row r="860">
      <c r="C860" s="192"/>
    </row>
    <row r="883">
      <c r="S883" s="192"/>
    </row>
    <row r="884">
      <c r="S884" s="192"/>
    </row>
    <row r="885">
      <c r="S885" s="192"/>
    </row>
    <row r="889">
      <c r="S889" s="192"/>
    </row>
    <row r="890">
      <c r="S890" s="192"/>
    </row>
    <row r="891">
      <c r="S891" s="192"/>
    </row>
    <row r="894">
      <c r="S894" s="192"/>
    </row>
    <row r="896">
      <c r="S896" s="192"/>
    </row>
    <row r="899">
      <c r="S899" s="192"/>
    </row>
    <row r="900">
      <c r="S900" s="192"/>
    </row>
    <row r="901">
      <c r="S901" s="192"/>
    </row>
    <row r="902">
      <c r="S902" s="192"/>
    </row>
    <row r="903">
      <c r="S903" s="192"/>
    </row>
    <row r="904">
      <c r="S904" s="192"/>
    </row>
    <row r="906">
      <c r="S906" s="192"/>
    </row>
    <row r="907">
      <c r="S907" s="192"/>
    </row>
    <row r="909">
      <c r="S909" s="192"/>
    </row>
    <row r="910">
      <c r="S910" s="192"/>
    </row>
    <row r="912">
      <c r="S912" s="192"/>
    </row>
    <row r="913">
      <c r="S913" s="192"/>
    </row>
    <row r="914">
      <c r="S914" s="192"/>
    </row>
    <row r="915">
      <c r="S915" s="192"/>
    </row>
    <row r="916">
      <c r="S916" s="192"/>
    </row>
    <row r="917">
      <c r="S917" s="192"/>
    </row>
    <row r="919">
      <c r="S919" s="192"/>
    </row>
    <row r="920">
      <c r="S920" s="192"/>
    </row>
    <row r="921">
      <c r="S921" s="192"/>
    </row>
    <row r="922">
      <c r="S922" s="192"/>
    </row>
    <row r="923">
      <c r="S923" s="192"/>
    </row>
    <row r="924">
      <c r="S924" s="192"/>
    </row>
    <row r="925">
      <c r="S925" s="192"/>
    </row>
    <row r="927">
      <c r="S927" s="192"/>
    </row>
    <row r="929">
      <c r="S929" s="192"/>
    </row>
    <row r="930">
      <c r="S930" s="192"/>
    </row>
    <row r="932">
      <c r="S932" s="192"/>
    </row>
    <row r="933">
      <c r="S933" s="192"/>
    </row>
    <row r="934">
      <c r="S934" s="192"/>
    </row>
    <row r="935">
      <c r="S935" s="192"/>
    </row>
    <row r="936">
      <c r="S936" s="192"/>
    </row>
    <row r="938">
      <c r="S938" s="192"/>
    </row>
    <row r="939">
      <c r="S939" s="192"/>
    </row>
    <row r="940">
      <c r="C940" s="192"/>
      <c r="S940" s="192"/>
    </row>
    <row r="941">
      <c r="S941" s="192"/>
    </row>
    <row r="942">
      <c r="S942" s="192"/>
    </row>
    <row r="943">
      <c r="S943" s="192"/>
    </row>
    <row r="944">
      <c r="S944" s="192"/>
    </row>
    <row r="945">
      <c r="S945" s="192"/>
    </row>
    <row r="947">
      <c r="S947" s="192"/>
    </row>
    <row r="948">
      <c r="S948" s="192"/>
    </row>
    <row r="949">
      <c r="S949" s="192"/>
    </row>
    <row r="950">
      <c r="S950" s="192"/>
    </row>
    <row r="951">
      <c r="S951" s="192"/>
    </row>
    <row r="953">
      <c r="S953" s="192"/>
    </row>
    <row r="956">
      <c r="S956" s="192"/>
    </row>
    <row r="958">
      <c r="S958" s="192"/>
    </row>
    <row r="960">
      <c r="S960" s="192"/>
    </row>
    <row r="961">
      <c r="S961" s="192"/>
    </row>
    <row r="962">
      <c r="C962" s="192"/>
      <c r="S962" s="192"/>
    </row>
    <row r="965">
      <c r="S965" s="192"/>
    </row>
    <row r="967">
      <c r="S967" s="192"/>
    </row>
    <row r="968">
      <c r="S968" s="192"/>
    </row>
    <row r="970">
      <c r="S970" s="192"/>
    </row>
    <row r="971">
      <c r="S971" s="192"/>
    </row>
    <row r="973">
      <c r="S973" s="192"/>
    </row>
    <row r="975">
      <c r="S975" s="192"/>
    </row>
    <row r="976">
      <c r="S976" s="192"/>
    </row>
    <row r="977">
      <c r="S977" s="192"/>
    </row>
    <row r="979">
      <c r="S979" s="192"/>
    </row>
    <row r="980">
      <c r="S980" s="192"/>
    </row>
    <row r="981">
      <c r="S981" s="192"/>
    </row>
    <row r="982">
      <c r="S982" s="192"/>
    </row>
    <row r="983">
      <c r="S983" s="192"/>
    </row>
    <row r="985">
      <c r="S985" s="192"/>
    </row>
    <row r="986">
      <c r="S986" s="192"/>
    </row>
    <row r="987">
      <c r="S987" s="192"/>
    </row>
    <row r="989">
      <c r="S989" s="192"/>
    </row>
    <row r="990">
      <c r="S990" s="192"/>
    </row>
    <row r="991">
      <c r="S991" s="192"/>
    </row>
    <row r="992">
      <c r="S992" s="192"/>
    </row>
    <row r="993">
      <c r="C993" s="192"/>
    </row>
    <row r="995">
      <c r="S995" s="192"/>
    </row>
    <row r="996">
      <c r="S996" s="192"/>
    </row>
    <row r="997">
      <c r="S997" s="192"/>
    </row>
    <row r="999">
      <c r="S999" s="192"/>
    </row>
    <row r="1000">
      <c r="S1000" s="192"/>
    </row>
    <row r="1001">
      <c r="S1001" s="192"/>
    </row>
    <row r="1003">
      <c r="S1003" s="192"/>
    </row>
    <row r="1004">
      <c r="S1004" s="192"/>
    </row>
    <row r="1005">
      <c r="S1005" s="192"/>
    </row>
    <row r="1006">
      <c r="S1006" s="192"/>
    </row>
    <row r="1007">
      <c r="S1007" s="192"/>
    </row>
    <row r="1008">
      <c r="S1008" s="192"/>
    </row>
    <row r="1009">
      <c r="S1009" s="192"/>
    </row>
    <row r="1010">
      <c r="S1010" s="192"/>
    </row>
    <row r="1014">
      <c r="S1014" s="192"/>
    </row>
    <row r="1015">
      <c r="S1015" s="192"/>
    </row>
    <row r="1016">
      <c r="S1016" s="192"/>
    </row>
    <row r="1018">
      <c r="S1018" s="192"/>
    </row>
    <row r="1019">
      <c r="S1019" s="192"/>
    </row>
    <row r="1020">
      <c r="S1020" s="192"/>
    </row>
    <row r="1021">
      <c r="S1021" s="192"/>
    </row>
    <row r="1022">
      <c r="S1022" s="192"/>
    </row>
    <row r="1023">
      <c r="S1023" s="192"/>
    </row>
    <row r="1024">
      <c r="S1024" s="192"/>
    </row>
    <row r="1025">
      <c r="S1025" s="192"/>
    </row>
    <row r="1027">
      <c r="S1027" s="192"/>
    </row>
    <row r="1028">
      <c r="S1028" s="192"/>
    </row>
    <row r="1029">
      <c r="S1029" s="192"/>
    </row>
    <row r="1031">
      <c r="S1031" s="192"/>
    </row>
    <row r="1032">
      <c r="S1032" s="192"/>
    </row>
    <row r="1034">
      <c r="S1034" s="192"/>
    </row>
    <row r="1035">
      <c r="S1035" s="192"/>
    </row>
    <row r="1036">
      <c r="S1036" s="192"/>
    </row>
    <row r="1037">
      <c r="S1037" s="192"/>
    </row>
    <row r="1038">
      <c r="S1038" s="192"/>
    </row>
    <row r="1039">
      <c r="S1039" s="192"/>
    </row>
    <row r="1040">
      <c r="S1040" s="192"/>
    </row>
    <row r="1041">
      <c r="S1041" s="192"/>
    </row>
    <row r="1043">
      <c r="S1043" s="192"/>
    </row>
    <row r="1044">
      <c r="S1044" s="192"/>
    </row>
    <row r="1045">
      <c r="S1045" s="192"/>
    </row>
    <row r="1047">
      <c r="S1047" s="192"/>
    </row>
    <row r="1048">
      <c r="S1048" s="192"/>
    </row>
    <row r="1050">
      <c r="S1050" s="192"/>
    </row>
    <row r="1051">
      <c r="S1051" s="192"/>
    </row>
    <row r="1052">
      <c r="S1052" s="192"/>
    </row>
    <row r="1053">
      <c r="S1053" s="192"/>
    </row>
    <row r="1054">
      <c r="S1054" s="192"/>
    </row>
    <row r="1055">
      <c r="S1055" s="192"/>
    </row>
    <row r="1056">
      <c r="S1056" s="192"/>
    </row>
    <row r="1058">
      <c r="S1058" s="192"/>
    </row>
    <row r="1060">
      <c r="S1060" s="192"/>
    </row>
    <row r="1062">
      <c r="S1062" s="192"/>
    </row>
    <row r="1065">
      <c r="S1065" s="192"/>
    </row>
    <row r="1066">
      <c r="S1066" s="192"/>
    </row>
    <row r="1067">
      <c r="S1067" s="192"/>
    </row>
    <row r="1068">
      <c r="S1068" s="192"/>
    </row>
    <row r="1069">
      <c r="S1069" s="192"/>
    </row>
    <row r="1071">
      <c r="S1071" s="192"/>
    </row>
    <row r="1072">
      <c r="C1072" s="192"/>
      <c r="S1072" s="192"/>
    </row>
    <row r="1073">
      <c r="C1073" s="192"/>
    </row>
    <row r="1074">
      <c r="S1074" s="192"/>
    </row>
    <row r="1075">
      <c r="S1075" s="192"/>
    </row>
    <row r="1076">
      <c r="S1076" s="192"/>
    </row>
    <row r="1077">
      <c r="S1077" s="192"/>
    </row>
    <row r="1078">
      <c r="S1078" s="192"/>
    </row>
    <row r="1079">
      <c r="S1079" s="192"/>
    </row>
    <row r="1080">
      <c r="S1080" s="192"/>
    </row>
    <row r="1081">
      <c r="S1081" s="192"/>
    </row>
    <row r="1083">
      <c r="S1083" s="192"/>
    </row>
    <row r="1084">
      <c r="S1084" s="192"/>
    </row>
    <row r="1087">
      <c r="S1087" s="192"/>
    </row>
    <row r="1088">
      <c r="S1088" s="192"/>
    </row>
    <row r="1090">
      <c r="S1090" s="192"/>
    </row>
    <row r="1091">
      <c r="S1091" s="192"/>
    </row>
    <row r="1095">
      <c r="S1095" s="192"/>
    </row>
    <row r="1096">
      <c r="S1096" s="192"/>
    </row>
    <row r="1097">
      <c r="S1097" s="192"/>
    </row>
    <row r="1099">
      <c r="S1099" s="192"/>
    </row>
    <row r="1101">
      <c r="S1101" s="192"/>
    </row>
    <row r="1102">
      <c r="S1102" s="192"/>
    </row>
    <row r="1103">
      <c r="S1103" s="192"/>
    </row>
    <row r="1104">
      <c r="C1104" s="192"/>
      <c r="S1104" s="192"/>
    </row>
    <row r="1105">
      <c r="S1105" s="192"/>
    </row>
    <row r="1106">
      <c r="S1106" s="192"/>
    </row>
    <row r="1107">
      <c r="S1107" s="192"/>
    </row>
    <row r="1109">
      <c r="S1109" s="192"/>
    </row>
    <row r="1110">
      <c r="S1110" s="192"/>
    </row>
    <row r="1111">
      <c r="S1111" s="192"/>
    </row>
    <row r="1112">
      <c r="S1112" s="192"/>
    </row>
    <row r="1113">
      <c r="S1113" s="192"/>
    </row>
    <row r="1114">
      <c r="S1114" s="192"/>
    </row>
    <row r="1115">
      <c r="S1115" s="192"/>
    </row>
    <row r="1116">
      <c r="S1116" s="192"/>
    </row>
    <row r="1117">
      <c r="S1117" s="192"/>
    </row>
    <row r="1119">
      <c r="S1119" s="192"/>
    </row>
    <row r="1120">
      <c r="S1120" s="192"/>
    </row>
    <row r="1121">
      <c r="S1121" s="192"/>
    </row>
    <row r="1122">
      <c r="S1122" s="192"/>
    </row>
    <row r="1124">
      <c r="S1124" s="192"/>
    </row>
    <row r="1125">
      <c r="S1125" s="192"/>
    </row>
    <row r="1126">
      <c r="S1126" s="192"/>
    </row>
    <row r="1127">
      <c r="S1127" s="192"/>
    </row>
    <row r="1129">
      <c r="S1129" s="192"/>
    </row>
    <row r="1130">
      <c r="S1130" s="192"/>
    </row>
    <row r="1132">
      <c r="S1132" s="192"/>
    </row>
    <row r="1133">
      <c r="S1133" s="192"/>
    </row>
    <row r="1134">
      <c r="S1134" s="192"/>
    </row>
    <row r="1135">
      <c r="S1135" s="192"/>
    </row>
    <row r="1137">
      <c r="S1137" s="192"/>
    </row>
    <row r="1139">
      <c r="S1139" s="192"/>
    </row>
    <row r="1142">
      <c r="C1142" s="192"/>
      <c r="S1142" s="192"/>
    </row>
    <row r="1143">
      <c r="C1143" s="192"/>
    </row>
    <row r="1145">
      <c r="S1145" s="192"/>
    </row>
    <row r="1146">
      <c r="S1146" s="192"/>
    </row>
    <row r="1147">
      <c r="S1147" s="192"/>
    </row>
    <row r="1148">
      <c r="S1148" s="192"/>
    </row>
    <row r="1152">
      <c r="S1152" s="192"/>
    </row>
    <row r="1153">
      <c r="S1153" s="192"/>
    </row>
    <row r="1154">
      <c r="S1154" s="192"/>
    </row>
    <row r="1155">
      <c r="S1155" s="192"/>
    </row>
    <row r="1157">
      <c r="S1157" s="192"/>
    </row>
    <row r="1158">
      <c r="S1158" s="192"/>
    </row>
    <row r="1159">
      <c r="S1159" s="192"/>
    </row>
    <row r="1161">
      <c r="S1161" s="192"/>
    </row>
    <row r="1162">
      <c r="S1162" s="192"/>
    </row>
    <row r="1163">
      <c r="S1163" s="192"/>
    </row>
    <row r="1164">
      <c r="S1164" s="192"/>
    </row>
    <row r="1165">
      <c r="S1165" s="192"/>
    </row>
    <row r="1166">
      <c r="S1166" s="192"/>
    </row>
    <row r="1167">
      <c r="S1167" s="192"/>
    </row>
    <row r="1168">
      <c r="S1168" s="192"/>
    </row>
    <row r="1169">
      <c r="S1169" s="192"/>
    </row>
    <row r="1170">
      <c r="S1170" s="192"/>
    </row>
    <row r="1171">
      <c r="S1171" s="192"/>
    </row>
    <row r="1172">
      <c r="S1172" s="192"/>
    </row>
    <row r="1173">
      <c r="S1173" s="192"/>
    </row>
    <row r="1174">
      <c r="S1174" s="192"/>
    </row>
    <row r="1175">
      <c r="S1175" s="192"/>
    </row>
    <row r="1176">
      <c r="S1176" s="192"/>
    </row>
    <row r="1177">
      <c r="S1177" s="192"/>
    </row>
    <row r="1178">
      <c r="S1178" s="192"/>
    </row>
    <row r="1180">
      <c r="C1180" s="192"/>
      <c r="S1180" s="192"/>
    </row>
    <row r="1181">
      <c r="C1181" s="192"/>
    </row>
    <row r="1182">
      <c r="C1182" s="192"/>
      <c r="S1182" s="192"/>
    </row>
    <row r="1183">
      <c r="C1183" s="192"/>
    </row>
    <row r="1184">
      <c r="S1184" s="192"/>
    </row>
    <row r="1185">
      <c r="S1185" s="192"/>
    </row>
    <row r="1186">
      <c r="S1186" s="192"/>
    </row>
    <row r="1189">
      <c r="S1189" s="192"/>
    </row>
    <row r="1190">
      <c r="S1190" s="192"/>
    </row>
    <row r="1192">
      <c r="S1192" s="192"/>
    </row>
    <row r="1193">
      <c r="S1193" s="192"/>
    </row>
    <row r="1194">
      <c r="S1194" s="192"/>
    </row>
    <row r="1196">
      <c r="S1196" s="192"/>
    </row>
    <row r="1197">
      <c r="S1197" s="192"/>
    </row>
    <row r="1198">
      <c r="S1198" s="192"/>
    </row>
    <row r="1200">
      <c r="S1200" s="192"/>
    </row>
    <row r="1201">
      <c r="S1201" s="192"/>
    </row>
    <row r="1202">
      <c r="S1202" s="192"/>
    </row>
    <row r="1203">
      <c r="S1203" s="192"/>
    </row>
    <row r="1209">
      <c r="S1209" s="192"/>
    </row>
    <row r="1210">
      <c r="S1210" s="192"/>
    </row>
    <row r="1211">
      <c r="S1211" s="192"/>
    </row>
    <row r="1213">
      <c r="S1213" s="192"/>
    </row>
    <row r="1214">
      <c r="S1214" s="192"/>
    </row>
    <row r="1215">
      <c r="S1215" s="192"/>
    </row>
    <row r="1216">
      <c r="S1216" s="192"/>
    </row>
    <row r="1217">
      <c r="S1217" s="192"/>
    </row>
    <row r="1218">
      <c r="S1218" s="192"/>
    </row>
    <row r="1219">
      <c r="S1219" s="192"/>
    </row>
    <row r="1220">
      <c r="S1220" s="192"/>
    </row>
    <row r="1222">
      <c r="S1222" s="192"/>
    </row>
    <row r="1224">
      <c r="S1224" s="192"/>
    </row>
    <row r="1225">
      <c r="S1225" s="192"/>
    </row>
    <row r="1226">
      <c r="S1226" s="192"/>
    </row>
    <row r="1227">
      <c r="S1227" s="192"/>
    </row>
    <row r="1228">
      <c r="S1228" s="192"/>
    </row>
    <row r="1229">
      <c r="S1229" s="192"/>
    </row>
    <row r="1230">
      <c r="S1230" s="192"/>
    </row>
    <row r="1231">
      <c r="S1231" s="192"/>
    </row>
    <row r="1232">
      <c r="S1232" s="192"/>
    </row>
    <row r="1233">
      <c r="S1233" s="192"/>
    </row>
    <row r="1234">
      <c r="S1234" s="192"/>
    </row>
    <row r="1235">
      <c r="S1235" s="192"/>
    </row>
    <row r="1237">
      <c r="S1237" s="192"/>
    </row>
    <row r="1239">
      <c r="S1239" s="192"/>
    </row>
    <row r="1240">
      <c r="S1240" s="192"/>
    </row>
    <row r="1243">
      <c r="S1243" s="192"/>
    </row>
    <row r="1244">
      <c r="S1244" s="192"/>
    </row>
    <row r="1245">
      <c r="S1245" s="192"/>
    </row>
    <row r="1246">
      <c r="S1246" s="192"/>
    </row>
    <row r="1247">
      <c r="S1247" s="192"/>
    </row>
    <row r="1248">
      <c r="C1248" s="192"/>
    </row>
    <row r="1251">
      <c r="S1251" s="192"/>
    </row>
    <row r="1253">
      <c r="S1253" s="192"/>
    </row>
    <row r="1254">
      <c r="S1254" s="192"/>
    </row>
    <row r="1255">
      <c r="S1255" s="192"/>
    </row>
    <row r="1256">
      <c r="S1256" s="192"/>
    </row>
    <row r="1258">
      <c r="S1258" s="192"/>
    </row>
    <row r="1259">
      <c r="S1259" s="192"/>
    </row>
    <row r="1260">
      <c r="S1260" s="192"/>
    </row>
    <row r="1261">
      <c r="S1261" s="192"/>
    </row>
    <row r="1262">
      <c r="S1262" s="192"/>
    </row>
    <row r="1264">
      <c r="S1264" s="192"/>
    </row>
    <row r="1265">
      <c r="S1265" s="192"/>
    </row>
    <row r="1267">
      <c r="S1267" s="192"/>
    </row>
    <row r="1268">
      <c r="S1268" s="192"/>
    </row>
    <row r="1269">
      <c r="S1269" s="192"/>
    </row>
    <row r="1270">
      <c r="S1270" s="192"/>
    </row>
    <row r="1272">
      <c r="S1272" s="192"/>
    </row>
    <row r="1273">
      <c r="S1273" s="192"/>
    </row>
    <row r="1275">
      <c r="S1275" s="192"/>
    </row>
    <row r="1277">
      <c r="S1277" s="192"/>
    </row>
    <row r="1278">
      <c r="S1278" s="192"/>
    </row>
    <row r="1279">
      <c r="S1279" s="192"/>
    </row>
    <row r="1280">
      <c r="S1280" s="192"/>
    </row>
    <row r="1281">
      <c r="S1281" s="192"/>
    </row>
    <row r="1285">
      <c r="S1285" s="192"/>
    </row>
    <row r="1286">
      <c r="S1286" s="192"/>
    </row>
    <row r="1287">
      <c r="S1287" s="192"/>
    </row>
    <row r="1288">
      <c r="S1288" s="192"/>
    </row>
    <row r="1289">
      <c r="S1289" s="192"/>
    </row>
    <row r="1290">
      <c r="S1290" s="192"/>
    </row>
    <row r="1291">
      <c r="S1291" s="192"/>
    </row>
    <row r="1421">
      <c r="C1421" s="192"/>
    </row>
    <row r="1501">
      <c r="C1501" s="192"/>
    </row>
    <row r="1571">
      <c r="C1571" s="192"/>
    </row>
    <row r="1609">
      <c r="C1609" s="192"/>
    </row>
    <row r="1611">
      <c r="C1611" s="192"/>
    </row>
    <row r="2338">
      <c r="C2338" s="192"/>
    </row>
    <row r="2495">
      <c r="C2495" s="192"/>
    </row>
    <row r="2636">
      <c r="C2636" s="192"/>
    </row>
    <row r="2777">
      <c r="C2777" s="192"/>
    </row>
    <row r="2849">
      <c r="C2849" s="192"/>
    </row>
    <row r="2992">
      <c r="C2992" s="192"/>
    </row>
    <row r="3013">
      <c r="C3013" s="192"/>
    </row>
    <row r="3213">
      <c r="C3213" s="19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9" t="s">
        <v>1</v>
      </c>
      <c r="B1" s="189" t="s">
        <v>358</v>
      </c>
      <c r="C1" s="189" t="s">
        <v>359</v>
      </c>
      <c r="D1" s="189" t="s">
        <v>360</v>
      </c>
      <c r="E1" s="189" t="s">
        <v>361</v>
      </c>
      <c r="F1" s="189" t="s">
        <v>362</v>
      </c>
      <c r="G1" s="189" t="s">
        <v>363</v>
      </c>
      <c r="H1" s="189" t="s">
        <v>364</v>
      </c>
      <c r="I1" s="189" t="s">
        <v>365</v>
      </c>
      <c r="J1" s="189" t="s">
        <v>366</v>
      </c>
      <c r="K1" s="189" t="s">
        <v>367</v>
      </c>
      <c r="L1" s="189" t="s">
        <v>368</v>
      </c>
      <c r="M1" s="189" t="s">
        <v>369</v>
      </c>
      <c r="N1" s="189" t="s">
        <v>370</v>
      </c>
      <c r="O1" s="189" t="s">
        <v>44</v>
      </c>
      <c r="P1" s="189" t="s">
        <v>56</v>
      </c>
      <c r="Q1" s="189" t="s">
        <v>15</v>
      </c>
      <c r="R1" s="189" t="s">
        <v>36</v>
      </c>
      <c r="S1" s="189" t="s">
        <v>371</v>
      </c>
      <c r="T1" s="189" t="s">
        <v>372</v>
      </c>
      <c r="U1" s="189" t="s">
        <v>373</v>
      </c>
      <c r="V1" s="189" t="s">
        <v>374</v>
      </c>
      <c r="W1" s="189" t="s">
        <v>375</v>
      </c>
      <c r="X1" s="189" t="s">
        <v>376</v>
      </c>
      <c r="Y1" s="189" t="s">
        <v>13</v>
      </c>
      <c r="Z1" s="189" t="s">
        <v>17</v>
      </c>
      <c r="AA1" s="189" t="s">
        <v>12</v>
      </c>
      <c r="AB1" s="189" t="s">
        <v>3</v>
      </c>
      <c r="AC1" s="189" t="s">
        <v>377</v>
      </c>
      <c r="AD1" s="189" t="s">
        <v>2</v>
      </c>
      <c r="AE1" s="189" t="s">
        <v>29</v>
      </c>
      <c r="AF1" s="189" t="s">
        <v>32</v>
      </c>
      <c r="AG1" s="189" t="s">
        <v>33</v>
      </c>
      <c r="AH1" s="189" t="s">
        <v>34</v>
      </c>
      <c r="AI1" s="189" t="s">
        <v>35</v>
      </c>
      <c r="AJ1" s="189" t="s">
        <v>37</v>
      </c>
      <c r="AK1" s="189" t="s">
        <v>38</v>
      </c>
      <c r="AL1" s="189" t="s">
        <v>378</v>
      </c>
      <c r="AM1" s="189" t="s">
        <v>40</v>
      </c>
      <c r="AN1" s="189" t="s">
        <v>379</v>
      </c>
      <c r="AO1" s="189" t="s">
        <v>46</v>
      </c>
      <c r="AP1" s="189" t="s">
        <v>47</v>
      </c>
      <c r="AQ1" s="189" t="s">
        <v>48</v>
      </c>
      <c r="AR1" s="189" t="s">
        <v>380</v>
      </c>
      <c r="AS1" s="189" t="s">
        <v>51</v>
      </c>
      <c r="AT1" s="189" t="s">
        <v>52</v>
      </c>
      <c r="AU1" s="189" t="s">
        <v>53</v>
      </c>
      <c r="AV1" s="189" t="s">
        <v>54</v>
      </c>
    </row>
    <row r="2">
      <c r="A2" s="193">
        <v>45524.0</v>
      </c>
      <c r="B2" s="189" t="s">
        <v>381</v>
      </c>
      <c r="C2" s="189" t="s">
        <v>382</v>
      </c>
      <c r="D2" s="194" t="s">
        <v>24</v>
      </c>
      <c r="E2" s="194" t="s">
        <v>63</v>
      </c>
      <c r="G2" s="194" t="s">
        <v>383</v>
      </c>
    </row>
    <row r="3">
      <c r="A3" s="193">
        <v>45524.0</v>
      </c>
      <c r="B3" s="189" t="s">
        <v>381</v>
      </c>
      <c r="C3" s="189" t="s">
        <v>384</v>
      </c>
      <c r="D3" s="194" t="s">
        <v>63</v>
      </c>
      <c r="E3" s="194" t="s">
        <v>385</v>
      </c>
      <c r="G3" s="194" t="s">
        <v>386</v>
      </c>
    </row>
    <row r="4">
      <c r="A4" s="193">
        <v>45524.0</v>
      </c>
      <c r="B4" s="189" t="s">
        <v>381</v>
      </c>
      <c r="H4" s="189" t="s">
        <v>387</v>
      </c>
      <c r="I4" s="194" t="s">
        <v>388</v>
      </c>
      <c r="J4" s="194" t="s">
        <v>389</v>
      </c>
      <c r="L4" s="194" t="s">
        <v>390</v>
      </c>
      <c r="M4" s="195">
        <v>9.0</v>
      </c>
    </row>
    <row r="5">
      <c r="A5" s="193">
        <v>45524.0</v>
      </c>
      <c r="B5" s="189" t="s">
        <v>381</v>
      </c>
      <c r="H5" s="189" t="s">
        <v>391</v>
      </c>
      <c r="I5" s="194" t="s">
        <v>389</v>
      </c>
      <c r="J5" s="194" t="s">
        <v>28</v>
      </c>
      <c r="L5" s="194" t="s">
        <v>392</v>
      </c>
      <c r="M5" s="195">
        <v>13.0</v>
      </c>
      <c r="N5" s="189" t="b">
        <v>1</v>
      </c>
      <c r="O5" s="195">
        <v>520.0</v>
      </c>
    </row>
    <row r="6">
      <c r="A6" s="193">
        <v>45524.0</v>
      </c>
      <c r="B6" s="189" t="s">
        <v>381</v>
      </c>
      <c r="H6" s="189" t="s">
        <v>23</v>
      </c>
      <c r="I6" s="194" t="s">
        <v>31</v>
      </c>
      <c r="J6" s="194" t="s">
        <v>385</v>
      </c>
      <c r="L6" s="194" t="s">
        <v>393</v>
      </c>
    </row>
    <row r="7">
      <c r="A7" s="193">
        <v>45524.0</v>
      </c>
      <c r="B7" s="189" t="s">
        <v>381</v>
      </c>
      <c r="P7" s="195">
        <v>7.0</v>
      </c>
      <c r="Q7" s="189" t="s">
        <v>382</v>
      </c>
      <c r="R7" s="189" t="s">
        <v>384</v>
      </c>
      <c r="S7" s="195">
        <v>8461.0</v>
      </c>
      <c r="T7" s="195">
        <v>3807.0</v>
      </c>
      <c r="U7" s="195">
        <v>8309.0</v>
      </c>
      <c r="V7" s="195">
        <v>10131.0</v>
      </c>
      <c r="W7" s="195">
        <v>1300.0</v>
      </c>
      <c r="X7" s="195">
        <v>2815.0</v>
      </c>
      <c r="Y7" s="195">
        <v>3723.0</v>
      </c>
      <c r="AA7" s="195">
        <v>1160.0</v>
      </c>
      <c r="AB7" s="195">
        <v>42831.0</v>
      </c>
      <c r="AC7" s="195">
        <v>0.0</v>
      </c>
      <c r="AD7" s="195">
        <v>0.38519359264204933</v>
      </c>
      <c r="AE7" s="195">
        <v>2000.0</v>
      </c>
      <c r="AH7" s="195">
        <v>3420.0</v>
      </c>
      <c r="AI7" s="195">
        <v>520.0</v>
      </c>
      <c r="AJ7" s="195">
        <v>0.0</v>
      </c>
      <c r="AK7" s="195">
        <v>0.0</v>
      </c>
      <c r="AL7" s="195">
        <v>7.0</v>
      </c>
      <c r="AM7" s="189" t="s">
        <v>394</v>
      </c>
      <c r="AN7" s="195">
        <v>1.0</v>
      </c>
      <c r="AO7" s="195">
        <v>107.0</v>
      </c>
      <c r="AP7" s="195">
        <v>29.0</v>
      </c>
      <c r="AQ7" s="195">
        <v>5.0</v>
      </c>
      <c r="AR7" s="195">
        <v>5.0</v>
      </c>
      <c r="AS7" s="195">
        <v>0.2413793103448276</v>
      </c>
      <c r="AT7" s="195">
        <v>5.0</v>
      </c>
      <c r="AU7" s="195">
        <v>0.7586206896551724</v>
      </c>
      <c r="AV7" s="195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395</v>
      </c>
      <c r="B4" s="200" t="s">
        <v>396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IFERROR(__xludf.DUMMYFUNCTION("""COMPUTED_VALUE"""),FALSE)</f>
        <v>0</v>
      </c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IFERROR(__xludf.DUMMYFUNCTION("""COMPUTED_VALUE"""),0.0)</f>
        <v>0</v>
      </c>
      <c r="W6" s="199">
        <f>IFERROR(__xludf.DUMMYFUNCTION("""COMPUTED_VALUE"""),0.0)</f>
        <v>0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IFERROR(__xludf.DUMMYFUNCTION("""COMPUTED_VALUE"""),"Sova Martin")</f>
        <v>Sova Martin</v>
      </c>
      <c r="E7" s="196" t="str">
        <f>IFERROR(__xludf.DUMMYFUNCTION("""COMPUTED_VALUE"""),"Chodov")</f>
        <v>Chodov</v>
      </c>
      <c r="F7" s="196" t="str">
        <f>IFERROR(__xludf.DUMMYFUNCTION("""COMPUTED_VALUE"""),"Libuš")</f>
        <v>Libuš</v>
      </c>
      <c r="G7" s="196" t="str">
        <f>IFERROR(__xludf.DUMMYFUNCTION("""COMPUTED_VALUE"""),"Výroba")</f>
        <v>Výroba</v>
      </c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IFERROR(__xludf.DUMMYFUNCTION("""COMPUTED_VALUE"""),432.3078)</f>
        <v>432.3078</v>
      </c>
      <c r="W7" s="199">
        <f>IFERROR(__xludf.DUMMYFUNCTION("""COMPUTED_VALUE"""),2882.052)</f>
        <v>2882.052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/>
      </c>
      <c r="C8" s="196" t="b">
        <f>IFERROR(__xludf.DUMMYFUNCTION("""COMPUTED_VALUE"""),TRUE)</f>
        <v>1</v>
      </c>
      <c r="D8" s="196" t="str">
        <f>IFERROR(__xludf.DUMMYFUNCTION("""COMPUTED_VALUE"""),"Paziak Viktoriia")</f>
        <v>Paziak Viktoriia</v>
      </c>
      <c r="E8" s="196" t="str">
        <f>IFERROR(__xludf.DUMMYFUNCTION("""COMPUTED_VALUE"""),"Výroba")</f>
        <v>Výroba</v>
      </c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IFERROR(__xludf.DUMMYFUNCTION("""COMPUTED_VALUE"""),341.19)</f>
        <v>341.19</v>
      </c>
      <c r="W8" s="199">
        <f>IFERROR(__xludf.DUMMYFUNCTION("""COMPUTED_VALUE"""),2274.6)</f>
        <v>2274.6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>Ahurieva Viktoriia</v>
      </c>
      <c r="C9" s="196" t="b">
        <f>IFERROR(__xludf.DUMMYFUNCTION("""COMPUTED_VALUE"""),FALSE)</f>
        <v>0</v>
      </c>
      <c r="D9" s="196" t="str">
        <f>IFERROR(__xludf.DUMMYFUNCTION("""COMPUTED_VALUE"""),"Ahurieva Viktoriia")</f>
        <v>Ahurieva Viktoriia</v>
      </c>
      <c r="E9" s="196" t="str">
        <f>IFERROR(__xludf.DUMMYFUNCTION("""COMPUTED_VALUE"""),"Libuš")</f>
        <v>Libuš</v>
      </c>
      <c r="F9" s="196" t="str">
        <f>IFERROR(__xludf.DUMMYFUNCTION("""COMPUTED_VALUE"""),"Malešice")</f>
        <v>Malešice</v>
      </c>
      <c r="G9" s="196" t="str">
        <f>IFERROR(__xludf.DUMMYFUNCTION("""COMPUTED_VALUE"""),"Chodov")</f>
        <v>Chodov</v>
      </c>
      <c r="H9" s="196" t="str">
        <f>IFERROR(__xludf.DUMMYFUNCTION("""COMPUTED_VALUE"""),"Prosek")</f>
        <v>Prosek</v>
      </c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IFERROR(__xludf.DUMMYFUNCTION("""COMPUTED_VALUE"""),432.3078)</f>
        <v>432.3078</v>
      </c>
      <c r="W9" s="199">
        <f>IFERROR(__xludf.DUMMYFUNCTION("""COMPUTED_VALUE"""),2882.052)</f>
        <v>2882.052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Pešová Hana</v>
      </c>
      <c r="C10" s="196" t="b">
        <f>IFERROR(__xludf.DUMMYFUNCTION("""COMPUTED_VALUE"""),TRUE)</f>
        <v>1</v>
      </c>
      <c r="D10" s="196" t="str">
        <f>IFERROR(__xludf.DUMMYFUNCTION("""COMPUTED_VALUE"""),"Pešová Hana")</f>
        <v>Pešová Hana</v>
      </c>
      <c r="E10" s="196" t="str">
        <f>IFERROR(__xludf.DUMMYFUNCTION("""COMPUTED_VALUE"""),"Chodov")</f>
        <v>Chodov</v>
      </c>
      <c r="F10" s="196" t="str">
        <f>IFERROR(__xludf.DUMMYFUNCTION("""COMPUTED_VALUE"""),"Prosek")</f>
        <v>Prosek</v>
      </c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IFERROR(__xludf.DUMMYFUNCTION("""COMPUTED_VALUE"""),341.19)</f>
        <v>341.19</v>
      </c>
      <c r="W10" s="199">
        <f>IFERROR(__xludf.DUMMYFUNCTION("""COMPUTED_VALUE"""),2274.6)</f>
        <v>2274.6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>Šebesta Tomáš</v>
      </c>
      <c r="B11" s="201" t="str">
        <f>IF(OR(E11=Report!$B$1, F11=Report!$B$1, G11=Report!$B$1, H11=Report!$B$1), D11, "")</f>
        <v>Šebesta Tomáš</v>
      </c>
      <c r="C11" s="196" t="b">
        <f>IFERROR(__xludf.DUMMYFUNCTION("""COMPUTED_VALUE"""),TRUE)</f>
        <v>1</v>
      </c>
      <c r="D11" s="196" t="str">
        <f>IFERROR(__xludf.DUMMYFUNCTION("""COMPUTED_VALUE"""),"Šebesta Tomáš")</f>
        <v>Šebesta Tomáš</v>
      </c>
      <c r="E11" s="196" t="str">
        <f>IFERROR(__xludf.DUMMYFUNCTION("""COMPUTED_VALUE"""),"Prosek")</f>
        <v>Prosek</v>
      </c>
      <c r="F11" s="196" t="str">
        <f>IFERROR(__xludf.DUMMYFUNCTION("""COMPUTED_VALUE"""),"Libuš")</f>
        <v>Libuš</v>
      </c>
      <c r="G11" s="196" t="str">
        <f>IFERROR(__xludf.DUMMYFUNCTION("""COMPUTED_VALUE"""),"Malešice")</f>
        <v>Malešice</v>
      </c>
      <c r="H11" s="196" t="str">
        <f>IFERROR(__xludf.DUMMYFUNCTION("""COMPUTED_VALUE"""),"Chodov")</f>
        <v>Chodov</v>
      </c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IFERROR(__xludf.DUMMYFUNCTION("""COMPUTED_VALUE"""),432.3078)</f>
        <v>432.3078</v>
      </c>
      <c r="W11" s="199">
        <f>IFERROR(__xludf.DUMMYFUNCTION("""COMPUTED_VALUE"""),2882.052)</f>
        <v>2882.052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IFERROR(__xludf.DUMMYFUNCTION("""COMPUTED_VALUE"""),"Hanakova Ayuna")</f>
        <v>Hanakova Ayuna</v>
      </c>
      <c r="E12" s="196" t="str">
        <f>IFERROR(__xludf.DUMMYFUNCTION("""COMPUTED_VALUE"""),"Zličín")</f>
        <v>Zličín</v>
      </c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IFERROR(__xludf.DUMMYFUNCTION("""COMPUTED_VALUE"""),295.698)</f>
        <v>295.698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/>
      </c>
      <c r="C13" s="196" t="b">
        <f>IFERROR(__xludf.DUMMYFUNCTION("""COMPUTED_VALUE"""),FALSE)</f>
        <v>0</v>
      </c>
      <c r="D13" s="196" t="str">
        <f>IFERROR(__xludf.DUMMYFUNCTION("""COMPUTED_VALUE"""),"Vondráček Lukáš")</f>
        <v>Vondráček Lukáš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IFERROR(__xludf.DUMMYFUNCTION("""COMPUTED_VALUE"""),0.0)</f>
        <v>0</v>
      </c>
      <c r="W13" s="199">
        <f>IFERROR(__xludf.DUMMYFUNCTION("""COMPUTED_VALUE"""),0.0)</f>
        <v>0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/>
      </c>
      <c r="C14" s="196" t="b">
        <f>IFERROR(__xludf.DUMMYFUNCTION("""COMPUTED_VALUE"""),TRUE)</f>
        <v>1</v>
      </c>
      <c r="D14" s="196" t="str">
        <f>IFERROR(__xludf.DUMMYFUNCTION("""COMPUTED_VALUE"""),"Veselý Ondřej")</f>
        <v>Veselý Ondřej</v>
      </c>
      <c r="E14" s="196" t="str">
        <f>IFERROR(__xludf.DUMMYFUNCTION("""COMPUTED_VALUE"""),"Zličín")</f>
        <v>Zličín</v>
      </c>
      <c r="F14" s="196" t="str">
        <f>IFERROR(__xludf.DUMMYFUNCTION("""COMPUTED_VALUE"""),"Malešice")</f>
        <v>Malešice</v>
      </c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IFERROR(__xludf.DUMMYFUNCTION("""COMPUTED_VALUE"""),341.19)</f>
        <v>341.19</v>
      </c>
      <c r="W14" s="199">
        <f>IFERROR(__xludf.DUMMYFUNCTION("""COMPUTED_VALUE"""),2274.6)</f>
        <v>2274.6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/>
      </c>
      <c r="B15" s="201" t="str">
        <f>IF(OR(E15=Report!$B$1, F15=Report!$B$1, G15=Report!$B$1, H15=Report!$B$1), D15, "")</f>
        <v/>
      </c>
      <c r="C15" s="196" t="b">
        <f>IFERROR(__xludf.DUMMYFUNCTION("""COMPUTED_VALUE"""),FALSE)</f>
        <v>0</v>
      </c>
      <c r="D15" s="196" t="str">
        <f>IFERROR(__xludf.DUMMYFUNCTION("""COMPUTED_VALUE"""),"Coufal Jakub")</f>
        <v>Coufal Jakub</v>
      </c>
      <c r="E15" s="196" t="str">
        <f>IFERROR(__xludf.DUMMYFUNCTION("""COMPUTED_VALUE"""),"Libuš")</f>
        <v>Libuš</v>
      </c>
      <c r="F15" s="196" t="str">
        <f>IFERROR(__xludf.DUMMYFUNCTION("""COMPUTED_VALUE"""),"Malešice")</f>
        <v>Malešice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IFERROR(__xludf.DUMMYFUNCTION("""COMPUTED_VALUE"""),250.20600000000002)</f>
        <v>250.206</v>
      </c>
      <c r="W15" s="199">
        <f>IFERROR(__xludf.DUMMYFUNCTION("""COMPUTED_VALUE"""),0.0)</f>
        <v>0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Pekárková Milena</v>
      </c>
      <c r="C16" s="196" t="b">
        <f>IFERROR(__xludf.DUMMYFUNCTION("""COMPUTED_VALUE"""),FALSE)</f>
        <v>0</v>
      </c>
      <c r="D16" s="196" t="str">
        <f>IFERROR(__xludf.DUMMYFUNCTION("""COMPUTED_VALUE"""),"Pekárková Milena")</f>
        <v>Pekárková Milena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IFERROR(__xludf.DUMMYFUNCTION("""COMPUTED_VALUE"""),0.0)</f>
        <v>0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IFERROR(__xludf.DUMMYFUNCTION("""COMPUTED_VALUE"""),TRUE)</f>
        <v>1</v>
      </c>
      <c r="D17" s="196" t="str">
        <f>IFERROR(__xludf.DUMMYFUNCTION("""COMPUTED_VALUE"""),"Kinkorová Petra")</f>
        <v>Kinkorová Petra</v>
      </c>
      <c r="E17" s="196" t="str">
        <f>IFERROR(__xludf.DUMMYFUNCTION("""COMPUTED_VALUE"""),"Malešice")</f>
        <v>Malešice</v>
      </c>
      <c r="F17" s="196" t="str">
        <f>IFERROR(__xludf.DUMMYFUNCTION("""COMPUTED_VALUE"""),"Zličín")</f>
        <v>Zličín</v>
      </c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IFERROR(__xludf.DUMMYFUNCTION("""COMPUTED_VALUE"""),341.19)</f>
        <v>341.19</v>
      </c>
      <c r="W17" s="199">
        <f>IFERROR(__xludf.DUMMYFUNCTION("""COMPUTED_VALUE"""),2274.6)</f>
        <v>2274.6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>Nováková Adéla</v>
      </c>
      <c r="B18" s="201" t="str">
        <f>IF(OR(E18=Report!$B$1, F18=Report!$B$1, G18=Report!$B$1, H18=Report!$B$1), D18, "")</f>
        <v>Nováková Adéla</v>
      </c>
      <c r="C18" s="196" t="b">
        <f>IFERROR(__xludf.DUMMYFUNCTION("""COMPUTED_VALUE"""),TRUE)</f>
        <v>1</v>
      </c>
      <c r="D18" s="196" t="str">
        <f>IFERROR(__xludf.DUMMYFUNCTION("""COMPUTED_VALUE"""),"Nováková Adéla")</f>
        <v>Nováková Adéla</v>
      </c>
      <c r="E18" s="196" t="str">
        <f>IFERROR(__xludf.DUMMYFUNCTION("""COMPUTED_VALUE"""),"Prosek")</f>
        <v>Prosek</v>
      </c>
      <c r="F18" s="196" t="str">
        <f>IFERROR(__xludf.DUMMYFUNCTION("""COMPUTED_VALUE"""),"Malešice")</f>
        <v>Malešice</v>
      </c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IFERROR(__xludf.DUMMYFUNCTION("""COMPUTED_VALUE"""),341.19)</f>
        <v>341.19</v>
      </c>
      <c r="W18" s="199">
        <f>IFERROR(__xludf.DUMMYFUNCTION("""COMPUTED_VALUE"""),2274.6)</f>
        <v>2274.6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IFERROR(__xludf.DUMMYFUNCTION("""COMPUTED_VALUE"""),"Pechová Barbora")</f>
        <v>Pechová Barbora</v>
      </c>
      <c r="E19" s="196" t="str">
        <f>IFERROR(__xludf.DUMMYFUNCTION("""COMPUTED_VALUE"""),"Zličín")</f>
        <v>Zličín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IFERROR(__xludf.DUMMYFUNCTION("""COMPUTED_VALUE"""),267.6)</f>
        <v>267.6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IFERROR(__xludf.DUMMYFUNCTION("""COMPUTED_VALUE"""),"Stepanenko Solomiia")</f>
        <v>Stepanenko Solomiia</v>
      </c>
      <c r="E20" s="196" t="str">
        <f>IFERROR(__xludf.DUMMYFUNCTION("""COMPUTED_VALUE"""),"Výroba")</f>
        <v>Výroba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IFERROR(__xludf.DUMMYFUNCTION("""COMPUTED_VALUE"""),286.332)</f>
        <v>286.332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/>
      </c>
      <c r="C21" s="196" t="b">
        <f>IFERROR(__xludf.DUMMYFUNCTION("""COMPUTED_VALUE"""),FALSE)</f>
        <v>0</v>
      </c>
      <c r="D21" s="196" t="str">
        <f>IFERROR(__xludf.DUMMYFUNCTION("""COMPUTED_VALUE"""),"Rothová Anastasia")</f>
        <v>Rothová Anastasia</v>
      </c>
      <c r="E21" s="196" t="str">
        <f>IFERROR(__xludf.DUMMYFUNCTION("""COMPUTED_VALUE"""),"Bolevec")</f>
        <v>Bolevec</v>
      </c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IFERROR(__xludf.DUMMYFUNCTION("""COMPUTED_VALUE"""),341.19)</f>
        <v>341.19</v>
      </c>
      <c r="W21" s="199">
        <f>IFERROR(__xludf.DUMMYFUNCTION("""COMPUTED_VALUE"""),0.0)</f>
        <v>0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IFERROR(__xludf.DUMMYFUNCTION("""COMPUTED_VALUE"""),FALSE)</f>
        <v>0</v>
      </c>
      <c r="D22" s="196" t="str">
        <f>IFERROR(__xludf.DUMMYFUNCTION("""COMPUTED_VALUE"""),"Pánková Vendula")</f>
        <v>Pánková Vendula</v>
      </c>
      <c r="E22" s="196" t="str">
        <f>IFERROR(__xludf.DUMMYFUNCTION("""COMPUTED_VALUE"""),"Zličín")</f>
        <v>Zličín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IFERROR(__xludf.DUMMYFUNCTION("""COMPUTED_VALUE"""),267.6)</f>
        <v>267.6</v>
      </c>
      <c r="W22" s="199">
        <f>IFERROR(__xludf.DUMMYFUNCTION("""COMPUTED_VALUE"""),0.0)</f>
        <v>0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IFERROR(__xludf.DUMMYFUNCTION("""COMPUTED_VALUE"""),"Vostrý Daniel")</f>
        <v>Vostrý Daniel</v>
      </c>
      <c r="E23" s="196" t="str">
        <f>IFERROR(__xludf.DUMMYFUNCTION("""COMPUTED_VALUE"""),"Bolevec")</f>
        <v>Bolevec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/>
      </c>
      <c r="C24" s="196" t="b">
        <f>IFERROR(__xludf.DUMMYFUNCTION("""COMPUTED_VALUE"""),TRUE)</f>
        <v>1</v>
      </c>
      <c r="D24" s="196" t="str">
        <f>IFERROR(__xludf.DUMMYFUNCTION("""COMPUTED_VALUE"""),"Hegedüs Erik")</f>
        <v>Hegedüs Erik</v>
      </c>
      <c r="E24" s="196" t="str">
        <f>IFERROR(__xludf.DUMMYFUNCTION("""COMPUTED_VALUE"""),"Libuš")</f>
        <v>Libuš</v>
      </c>
      <c r="F24" s="196" t="str">
        <f>IFERROR(__xludf.DUMMYFUNCTION("""COMPUTED_VALUE"""),"Chodov")</f>
        <v>Chodov</v>
      </c>
      <c r="G24" s="196" t="str">
        <f>IFERROR(__xludf.DUMMYFUNCTION("""COMPUTED_VALUE"""),"Malešice")</f>
        <v>Malešice</v>
      </c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IFERROR(__xludf.DUMMYFUNCTION("""COMPUTED_VALUE"""),432.3078)</f>
        <v>432.3078</v>
      </c>
      <c r="W24" s="199">
        <f>IFERROR(__xludf.DUMMYFUNCTION("""COMPUTED_VALUE"""),2882.052)</f>
        <v>2882.052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/>
      </c>
      <c r="C25" s="196" t="b">
        <f>IFERROR(__xludf.DUMMYFUNCTION("""COMPUTED_VALUE"""),TRUE)</f>
        <v>1</v>
      </c>
      <c r="D25" s="196" t="str">
        <f>IFERROR(__xludf.DUMMYFUNCTION("""COMPUTED_VALUE"""),"Roth Stanislav ml.")</f>
        <v>Roth Stanislav ml.</v>
      </c>
      <c r="E25" s="196" t="str">
        <f>IFERROR(__xludf.DUMMYFUNCTION("""COMPUTED_VALUE"""),"Bolevec")</f>
        <v>Bolevec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IFERROR(__xludf.DUMMYFUNCTION("""COMPUTED_VALUE"""),432.3078)</f>
        <v>432.3078</v>
      </c>
      <c r="W25" s="199">
        <f>IFERROR(__xludf.DUMMYFUNCTION("""COMPUTED_VALUE"""),2882.052)</f>
        <v>2882.052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 t="str">
        <f>IFERROR(__xludf.DUMMYFUNCTION("""COMPUTED_VALUE"""),"Strauss Daniel")</f>
        <v>Strauss Daniel</v>
      </c>
      <c r="E26" s="196" t="str">
        <f>IFERROR(__xludf.DUMMYFUNCTION("""COMPUTED_VALUE"""),"Malešice")</f>
        <v>Malešice</v>
      </c>
      <c r="F26" s="196" t="str">
        <f>IFERROR(__xludf.DUMMYFUNCTION("""COMPUTED_VALUE"""),"Zličín")</f>
        <v>Zličín</v>
      </c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IFERROR(__xludf.DUMMYFUNCTION("""COMPUTED_VALUE"""),250.20600000000002)</f>
        <v>250.206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>Makula Radek</v>
      </c>
      <c r="C27" s="196" t="b">
        <f>IFERROR(__xludf.DUMMYFUNCTION("""COMPUTED_VALUE"""),FALSE)</f>
        <v>0</v>
      </c>
      <c r="D27" s="196" t="str">
        <f>IFERROR(__xludf.DUMMYFUNCTION("""COMPUTED_VALUE"""),"Makula Radek")</f>
        <v>Makula Radek</v>
      </c>
      <c r="E27" s="196" t="str">
        <f>IFERROR(__xludf.DUMMYFUNCTION("""COMPUTED_VALUE"""),"Prosek")</f>
        <v>Prosek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IFERROR(__xludf.DUMMYFUNCTION("""COMPUTED_VALUE"""),250.20600000000002)</f>
        <v>250.206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/>
      </c>
      <c r="C28" s="196" t="b">
        <f>IFERROR(__xludf.DUMMYFUNCTION("""COMPUTED_VALUE"""),FALSE)</f>
        <v>0</v>
      </c>
      <c r="D28" s="196" t="str">
        <f>IFERROR(__xludf.DUMMYFUNCTION("""COMPUTED_VALUE"""),"Pelikán Jan")</f>
        <v>Pelikán Jan</v>
      </c>
      <c r="E28" s="196" t="str">
        <f>IFERROR(__xludf.DUMMYFUNCTION("""COMPUTED_VALUE"""),"Chodov")</f>
        <v>Chodov</v>
      </c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IFERROR(__xludf.DUMMYFUNCTION("""COMPUTED_VALUE"""),214.08)</f>
        <v>214.08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IFERROR(__xludf.DUMMYFUNCTION("""COMPUTED_VALUE"""),"Horváth Petr")</f>
        <v>Horváth Petr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IFERROR(__xludf.DUMMYFUNCTION("""COMPUTED_VALUE"""),"Klapperová Giulia Laura")</f>
        <v>Klapperová Giulia Laura</v>
      </c>
      <c r="E30" s="196" t="str">
        <f>IFERROR(__xludf.DUMMYFUNCTION("""COMPUTED_VALUE"""),"Bolevec")</f>
        <v>Bolevec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/>
      </c>
      <c r="C31" s="196" t="b">
        <f>IFERROR(__xludf.DUMMYFUNCTION("""COMPUTED_VALUE"""),FALSE)</f>
        <v>0</v>
      </c>
      <c r="D31" s="196" t="str">
        <f>IFERROR(__xludf.DUMMYFUNCTION("""COMPUTED_VALUE"""),"Bubník Martin")</f>
        <v>Bubník Martin</v>
      </c>
      <c r="E31" s="196" t="str">
        <f>IFERROR(__xludf.DUMMYFUNCTION("""COMPUTED_VALUE"""),"Libuš")</f>
        <v>Libuš</v>
      </c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IFERROR(__xludf.DUMMYFUNCTION("""COMPUTED_VALUE"""),267.6)</f>
        <v>267.6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IFERROR(__xludf.DUMMYFUNCTION("""COMPUTED_VALUE"""),"Mirga Simon")</f>
        <v>Mirga Simon</v>
      </c>
      <c r="E32" s="196" t="str">
        <f>IFERROR(__xludf.DUMMYFUNCTION("""COMPUTED_VALUE"""),"Malešice")</f>
        <v>Malešice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IFERROR(__xludf.DUMMYFUNCTION("""COMPUTED_VALUE"""),231.474)</f>
        <v>231.474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>Bušek Pavel</v>
      </c>
      <c r="C33" s="196" t="b">
        <f>IFERROR(__xludf.DUMMYFUNCTION("""COMPUTED_VALUE"""),FALSE)</f>
        <v>0</v>
      </c>
      <c r="D33" s="196" t="str">
        <f>IFERROR(__xludf.DUMMYFUNCTION("""COMPUTED_VALUE"""),"Bušek Pavel")</f>
        <v>Bušek Pavel</v>
      </c>
      <c r="E33" s="196" t="str">
        <f>IFERROR(__xludf.DUMMYFUNCTION("""COMPUTED_VALUE"""),"Prosek")</f>
        <v>Prosek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IFERROR(__xludf.DUMMYFUNCTION("""COMPUTED_VALUE"""),250.20600000000002)</f>
        <v>250.206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IFERROR(__xludf.DUMMYFUNCTION("""COMPUTED_VALUE"""),"Berdar Vasyl")</f>
        <v>Berdar Vasyl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IFERROR(__xludf.DUMMYFUNCTION("""COMPUTED_VALUE"""),286.332)</f>
        <v>286.332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IFERROR(__xludf.DUMMYFUNCTION("""COMPUTED_VALUE"""),"Yarushynskyi Vladyslav")</f>
        <v>Yarushynskyi Vladyslav</v>
      </c>
      <c r="E35" s="196" t="str">
        <f>IFERROR(__xludf.DUMMYFUNCTION("""COMPUTED_VALUE"""),"Chodov")</f>
        <v>Chodov</v>
      </c>
      <c r="F35" s="196" t="str">
        <f>IFERROR(__xludf.DUMMYFUNCTION("""COMPUTED_VALUE"""),"Malešice")</f>
        <v>Malešice</v>
      </c>
      <c r="G35" s="196" t="str">
        <f>IFERROR(__xludf.DUMMYFUNCTION("""COMPUTED_VALUE"""),"Zličín")</f>
        <v>Zličín</v>
      </c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IFERROR(__xludf.DUMMYFUNCTION("""COMPUTED_VALUE"""),267.6)</f>
        <v>267.6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IFERROR(__xludf.DUMMYFUNCTION("""COMPUTED_VALUE"""),"Raboch Tomáš")</f>
        <v>Raboch Tomáš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IFERROR(__xludf.DUMMYFUNCTION("""COMPUTED_VALUE"""),"Židek Petr")</f>
        <v>Židek Petr</v>
      </c>
      <c r="E37" s="196" t="str">
        <f>IFERROR(__xludf.DUMMYFUNCTION("""COMPUTED_VALUE"""),"Chodov")</f>
        <v>Chodov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IFERROR(__xludf.DUMMYFUNCTION("""COMPUTED_VALUE"""),"Gorol Patrik")</f>
        <v>Gorol Patrik</v>
      </c>
      <c r="E38" s="196" t="str">
        <f>IFERROR(__xludf.DUMMYFUNCTION("""COMPUTED_VALUE"""),"Malešice")</f>
        <v>Malešice</v>
      </c>
      <c r="F38" s="196" t="str">
        <f>IFERROR(__xludf.DUMMYFUNCTION("""COMPUTED_VALUE"""),"Libuš")</f>
        <v>Libuš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IFERROR(__xludf.DUMMYFUNCTION("""COMPUTED_VALUE"""),231.474)</f>
        <v>231.474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/>
      </c>
      <c r="C39" s="196" t="b">
        <f>IFERROR(__xludf.DUMMYFUNCTION("""COMPUTED_VALUE"""),FALSE)</f>
        <v>0</v>
      </c>
      <c r="D39" s="196" t="str">
        <f>IFERROR(__xludf.DUMMYFUNCTION("""COMPUTED_VALUE"""),"Kratochvíl Kryštof")</f>
        <v>Kratochvíl Kryštof</v>
      </c>
      <c r="E39" s="196" t="str">
        <f>IFERROR(__xludf.DUMMYFUNCTION("""COMPUTED_VALUE"""),"Bolevec")</f>
        <v>Bolevec</v>
      </c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IFERROR(__xludf.DUMMYFUNCTION("""COMPUTED_VALUE"""),267.6)</f>
        <v>267.6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IFERROR(__xludf.DUMMYFUNCTION("""COMPUTED_VALUE"""),"Hegedüs Gergö")</f>
        <v>Hegedüs Gergö</v>
      </c>
      <c r="E40" s="196" t="str">
        <f>IFERROR(__xludf.DUMMYFUNCTION("""COMPUTED_VALUE"""),"Libuš")</f>
        <v>Libuš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IFERROR(__xludf.DUMMYFUNCTION("""COMPUTED_VALUE"""),214.08)</f>
        <v>214.08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IFERROR(__xludf.DUMMYFUNCTION("""COMPUTED_VALUE"""),"Barvínková Eliška")</f>
        <v>Barvínková Eliška</v>
      </c>
      <c r="E41" s="196" t="str">
        <f>IFERROR(__xludf.DUMMYFUNCTION("""COMPUTED_VALUE"""),"Libuš")</f>
        <v>Libuš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IFERROR(__xludf.DUMMYFUNCTION("""COMPUTED_VALUE"""),231.474)</f>
        <v>231.474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 t="str">
        <f>IFERROR(__xludf.DUMMYFUNCTION("""COMPUTED_VALUE"""),"Kursheva Diana")</f>
        <v>Kursheva Diana</v>
      </c>
      <c r="E43" s="196" t="str">
        <f>IFERROR(__xludf.DUMMYFUNCTION("""COMPUTED_VALUE"""),"Výroba")</f>
        <v>Výroba</v>
      </c>
      <c r="F43" s="196" t="str">
        <f>IFERROR(__xludf.DUMMYFUNCTION("""COMPUTED_VALUE"""),"Chodov")</f>
        <v>Chodov</v>
      </c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IFERROR(__xludf.DUMMYFUNCTION("""COMPUTED_VALUE"""),250.20600000000002)</f>
        <v>250.206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 t="str">
        <f>IFERROR(__xludf.DUMMYFUNCTION("""COMPUTED_VALUE"""),"Tůma Vladimír")</f>
        <v>Tůma Vladimír</v>
      </c>
      <c r="E45" s="196" t="str">
        <f>IFERROR(__xludf.DUMMYFUNCTION("""COMPUTED_VALUE"""),"Bolevec")</f>
        <v>Bolevec</v>
      </c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IFERROR(__xludf.DUMMYFUNCTION("""COMPUTED_VALUE"""),250.20600000000002)</f>
        <v>250.206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 t="str">
        <f>IFERROR(__xludf.DUMMYFUNCTION("""COMPUTED_VALUE"""),"Kubík Martin")</f>
        <v>Kubík Martin</v>
      </c>
      <c r="E47" s="196" t="str">
        <f>IFERROR(__xludf.DUMMYFUNCTION("""COMPUTED_VALUE"""),"Libuš")</f>
        <v>Libuš</v>
      </c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IFERROR(__xludf.DUMMYFUNCTION("""COMPUTED_VALUE"""),250.20600000000002)</f>
        <v>250.206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>Putna Jaroslav</v>
      </c>
      <c r="C48" s="196" t="b">
        <f>IFERROR(__xludf.DUMMYFUNCTION("""COMPUTED_VALUE"""),FALSE)</f>
        <v>0</v>
      </c>
      <c r="D48" s="196" t="str">
        <f>IFERROR(__xludf.DUMMYFUNCTION("""COMPUTED_VALUE"""),"Putna Jaroslav")</f>
        <v>Putna Jaroslav</v>
      </c>
      <c r="E48" s="196" t="str">
        <f>IFERROR(__xludf.DUMMYFUNCTION("""COMPUTED_VALUE"""),"Zličín")</f>
        <v>Zličín</v>
      </c>
      <c r="F48" s="196" t="str">
        <f>IFERROR(__xludf.DUMMYFUNCTION("""COMPUTED_VALUE"""),"Prosek")</f>
        <v>Prosek</v>
      </c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IFERROR(__xludf.DUMMYFUNCTION("""COMPUTED_VALUE"""),250.20600000000002)</f>
        <v>250.206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 t="str">
        <f>IFERROR(__xludf.DUMMYFUNCTION("""COMPUTED_VALUE"""),"Rataj Pavel")</f>
        <v>Rataj Pavel</v>
      </c>
      <c r="E49" s="196" t="str">
        <f>IFERROR(__xludf.DUMMYFUNCTION("""COMPUTED_VALUE"""),"Bolevec")</f>
        <v>Bolevec</v>
      </c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IFERROR(__xludf.DUMMYFUNCTION("""COMPUTED_VALUE"""),250.20600000000002)</f>
        <v>250.206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 t="str">
        <f>IFERROR(__xludf.DUMMYFUNCTION("""COMPUTED_VALUE"""),"Čermák Tomáš")</f>
        <v>Čermák Tomáš</v>
      </c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IFERROR(__xludf.DUMMYFUNCTION("""COMPUTED_VALUE"""),231.474)</f>
        <v>231.474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IFERROR(__xludf.DUMMYFUNCTION("""COMPUTED_VALUE"""),250.20600000000002)</f>
        <v>250.206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>Kopic Jakub</v>
      </c>
      <c r="C53" s="196" t="b">
        <f>IFERROR(__xludf.DUMMYFUNCTION("""COMPUTED_VALUE"""),FALSE)</f>
        <v>0</v>
      </c>
      <c r="D53" s="196" t="str">
        <f>IFERROR(__xludf.DUMMYFUNCTION("""COMPUTED_VALUE"""),"Kopic Jakub")</f>
        <v>Kopic Jakub</v>
      </c>
      <c r="E53" s="196" t="str">
        <f>IFERROR(__xludf.DUMMYFUNCTION("""COMPUTED_VALUE"""),"Malešice")</f>
        <v>Malešice</v>
      </c>
      <c r="F53" s="196" t="str">
        <f>IFERROR(__xludf.DUMMYFUNCTION("""COMPUTED_VALUE"""),"Prosek")</f>
        <v>Prosek</v>
      </c>
      <c r="G53" s="196" t="str">
        <f>IFERROR(__xludf.DUMMYFUNCTION("""COMPUTED_VALUE"""),"Libuš")</f>
        <v>Libuš</v>
      </c>
      <c r="H53" s="196" t="str">
        <f>IFERROR(__xludf.DUMMYFUNCTION("""COMPUTED_VALUE"""),"Prosek")</f>
        <v>Prosek</v>
      </c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IFERROR(__xludf.DUMMYFUNCTION("""COMPUTED_VALUE"""),250.20600000000002)</f>
        <v>250.206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>Fáberová Kateřina</v>
      </c>
      <c r="C54" s="196" t="b">
        <f>IFERROR(__xludf.DUMMYFUNCTION("""COMPUTED_VALUE"""),FALSE)</f>
        <v>0</v>
      </c>
      <c r="D54" s="196" t="str">
        <f>IFERROR(__xludf.DUMMYFUNCTION("""COMPUTED_VALUE"""),"Fáberová Kateřina")</f>
        <v>Fáberová Kateřina</v>
      </c>
      <c r="E54" s="196" t="str">
        <f>IFERROR(__xludf.DUMMYFUNCTION("""COMPUTED_VALUE"""),"Prosek")</f>
        <v>Prosek</v>
      </c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IFERROR(__xludf.DUMMYFUNCTION("""COMPUTED_VALUE"""),250.20600000000002)</f>
        <v>250.206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 t="str">
        <f>IFERROR(__xludf.DUMMYFUNCTION("""COMPUTED_VALUE"""),"Chlubnová Adéla")</f>
        <v>Chlubnová Adéla</v>
      </c>
      <c r="E55" s="196" t="str">
        <f>IFERROR(__xludf.DUMMYFUNCTION("""COMPUTED_VALUE"""),"Chodov")</f>
        <v>Chodov</v>
      </c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IFERROR(__xludf.DUMMYFUNCTION("""COMPUTED_VALUE"""),250.20600000000002)</f>
        <v>250.206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 t="str">
        <f>IFERROR(__xludf.DUMMYFUNCTION("""COMPUTED_VALUE"""),"Céspedes Miranda Sebastián")</f>
        <v>Céspedes Miranda Sebastián</v>
      </c>
      <c r="E56" s="196" t="str">
        <f>IFERROR(__xludf.DUMMYFUNCTION("""COMPUTED_VALUE"""),"Chodov")</f>
        <v>Chodov</v>
      </c>
      <c r="F56" s="196" t="str">
        <f>IFERROR(__xludf.DUMMYFUNCTION("""COMPUTED_VALUE"""),"Malešice")</f>
        <v>Malešice</v>
      </c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 t="str">
        <f>IFERROR(__xludf.DUMMYFUNCTION("""COMPUTED_VALUE"""),"Kuzníková Nicol")</f>
        <v>Kuzníková Nicol</v>
      </c>
      <c r="E57" s="196" t="str">
        <f>IFERROR(__xludf.DUMMYFUNCTION("""COMPUTED_VALUE"""),"Zličín")</f>
        <v>Zličín</v>
      </c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IFERROR(__xludf.DUMMYFUNCTION("""COMPUTED_VALUE"""),250.20600000000002)</f>
        <v>250.206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/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/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IFERROR(__xludf.DUMMYFUNCTION("""COMPUTED_VALUE"""),214.08)</f>
        <v>214.08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IFERROR(__xludf.DUMMYFUNCTION("""COMPUTED_VALUE"""),"Čerešňák Michal")</f>
        <v>Čerešňák Michal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IFERROR(__xludf.DUMMYFUNCTION("""COMPUTED_VALUE"""),170.0)</f>
        <v>170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IFERROR(__xludf.DUMMYFUNCTION("""COMPUTED_VALUE"""),"Lowe Jana")</f>
        <v>Lowe Jana</v>
      </c>
      <c r="E86" s="196" t="str">
        <f>IFERROR(__xludf.DUMMYFUNCTION("""COMPUTED_VALUE"""),"Zličín")</f>
        <v>Zličín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IFERROR(__xludf.DUMMYFUNCTION("""COMPUTED_VALUE"""),150.0)</f>
        <v>150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>Mikuš Pavel</v>
      </c>
      <c r="C87" s="196" t="b">
        <f>IFERROR(__xludf.DUMMYFUNCTION("""COMPUTED_VALUE"""),FALSE)</f>
        <v>0</v>
      </c>
      <c r="D87" s="196" t="str">
        <f>IFERROR(__xludf.DUMMYFUNCTION("""COMPUTED_VALUE"""),"Mikuš Pavel")</f>
        <v>Mikuš Pavel</v>
      </c>
      <c r="E87" s="196" t="str">
        <f>IFERROR(__xludf.DUMMYFUNCTION("""COMPUTED_VALUE"""),"Prosek")</f>
        <v>Prosek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IFERROR(__xludf.DUMMYFUNCTION("""COMPUTED_VALUE"""),250.20600000000002)</f>
        <v>250.206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IFERROR(__xludf.DUMMYFUNCTION("""COMPUTED_VALUE"""),"Hyský Aleš")</f>
        <v>Hyský Aleš</v>
      </c>
      <c r="E88" s="196" t="str">
        <f>IFERROR(__xludf.DUMMYFUNCTION("""COMPUTED_VALUE"""),"Chodov")</f>
        <v>Chodov</v>
      </c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IFERROR(__xludf.DUMMYFUNCTION("""COMPUTED_VALUE"""),231.474)</f>
        <v>231.474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/>
      </c>
      <c r="C89" s="196" t="b">
        <f>IFERROR(__xludf.DUMMYFUNCTION("""COMPUTED_VALUE"""),FALSE)</f>
        <v>0</v>
      </c>
      <c r="D89" s="196" t="str">
        <f>IFERROR(__xludf.DUMMYFUNCTION("""COMPUTED_VALUE"""),"Vokrojová Eliška")</f>
        <v>Vokrojová Eliška</v>
      </c>
      <c r="E89" s="196" t="str">
        <f>IFERROR(__xludf.DUMMYFUNCTION("""COMPUTED_VALUE"""),"Bolevec")</f>
        <v>Bolevec</v>
      </c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IFERROR(__xludf.DUMMYFUNCTION("""COMPUTED_VALUE"""),214.08)</f>
        <v>214.08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>Šmídová Sabina</v>
      </c>
      <c r="C90" s="196" t="b">
        <f>IFERROR(__xludf.DUMMYFUNCTION("""COMPUTED_VALUE"""),FALSE)</f>
        <v>0</v>
      </c>
      <c r="D90" s="196" t="str">
        <f>IFERROR(__xludf.DUMMYFUNCTION("""COMPUTED_VALUE"""),"Šmídová Sabina")</f>
        <v>Šmídová Sabina</v>
      </c>
      <c r="E90" s="196" t="str">
        <f>IFERROR(__xludf.DUMMYFUNCTION("""COMPUTED_VALUE"""),"Chodov")</f>
        <v>Chodov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IFERROR(__xludf.DUMMYFUNCTION("""COMPUTED_VALUE"""),250.20600000000002)</f>
        <v>250.206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 t="str">
        <f>IFERROR(__xludf.DUMMYFUNCTION("""COMPUTED_VALUE"""),"Lažek Jaroslav")</f>
        <v>Lažek Jaroslav</v>
      </c>
      <c r="E91" s="196" t="str">
        <f>IFERROR(__xludf.DUMMYFUNCTION("""COMPUTED_VALUE"""),"Libuš")</f>
        <v>Libuš</v>
      </c>
      <c r="F91" s="196" t="str">
        <f>IFERROR(__xludf.DUMMYFUNCTION("""COMPUTED_VALUE"""),"Chodov")</f>
        <v>Chodov</v>
      </c>
      <c r="G91" s="196" t="str">
        <f>IFERROR(__xludf.DUMMYFUNCTION("""COMPUTED_VALUE"""),"Malešice")</f>
        <v>Malešice</v>
      </c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IFERROR(__xludf.DUMMYFUNCTION("""COMPUTED_VALUE"""),170.0)</f>
        <v>170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>Kormash Liubov</v>
      </c>
      <c r="C92" s="196" t="b">
        <f>IFERROR(__xludf.DUMMYFUNCTION("""COMPUTED_VALUE"""),FALSE)</f>
        <v>0</v>
      </c>
      <c r="D92" s="196" t="str">
        <f>IFERROR(__xludf.DUMMYFUNCTION("""COMPUTED_VALUE"""),"Kormash Liubov")</f>
        <v>Kormash Liubov</v>
      </c>
      <c r="E92" s="196" t="str">
        <f>IFERROR(__xludf.DUMMYFUNCTION("""COMPUTED_VALUE"""),"Zličín")</f>
        <v>Zličín</v>
      </c>
      <c r="F92" s="196" t="str">
        <f>IFERROR(__xludf.DUMMYFUNCTION("""COMPUTED_VALUE"""),"Prosek")</f>
        <v>Prosek</v>
      </c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IFERROR(__xludf.DUMMYFUNCTION("""COMPUTED_VALUE"""),160.0)</f>
        <v>160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IFERROR(__xludf.DUMMYFUNCTION("""COMPUTED_VALUE"""),"Čermák Jakub")</f>
        <v>Čermák Jakub</v>
      </c>
      <c r="E93" s="196" t="str">
        <f>IFERROR(__xludf.DUMMYFUNCTION("""COMPUTED_VALUE"""),"Chodov")</f>
        <v>Chodov</v>
      </c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IFERROR(__xludf.DUMMYFUNCTION("""COMPUTED_VALUE"""),231.474)</f>
        <v>231.474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/>
      </c>
      <c r="C94" s="196" t="b">
        <f>IFERROR(__xludf.DUMMYFUNCTION("""COMPUTED_VALUE"""),FALSE)</f>
        <v>0</v>
      </c>
      <c r="D94" s="196" t="str">
        <f>IFERROR(__xludf.DUMMYFUNCTION("""COMPUTED_VALUE"""),"Killiakov Andrei")</f>
        <v>Killiakov Andrei</v>
      </c>
      <c r="E94" s="196" t="str">
        <f>IFERROR(__xludf.DUMMYFUNCTION("""COMPUTED_VALUE"""),"Zličín")</f>
        <v>Zličín</v>
      </c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IFERROR(__xludf.DUMMYFUNCTION("""COMPUTED_VALUE"""),231.474)</f>
        <v>231.474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 t="str">
        <f>IFERROR(__xludf.DUMMYFUNCTION("""COMPUTED_VALUE"""),"Chlubna Tomáš")</f>
        <v>Chlubna Tomáš</v>
      </c>
      <c r="E95" s="196" t="str">
        <f>IFERROR(__xludf.DUMMYFUNCTION("""COMPUTED_VALUE"""),"Chodov")</f>
        <v>Chodov</v>
      </c>
      <c r="F95" s="196" t="str">
        <f>IFERROR(__xludf.DUMMYFUNCTION("""COMPUTED_VALUE"""),"Libuš")</f>
        <v>Libuš</v>
      </c>
      <c r="G95" s="196" t="str">
        <f>IFERROR(__xludf.DUMMYFUNCTION("""COMPUTED_VALUE"""),"Výroba")</f>
        <v>Výroba</v>
      </c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IFERROR(__xludf.DUMMYFUNCTION("""COMPUTED_VALUE"""),250.20600000000002)</f>
        <v>250.206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Vychivskyi Volodymyr</v>
      </c>
      <c r="C96" s="196" t="b">
        <f>IFERROR(__xludf.DUMMYFUNCTION("""COMPUTED_VALUE"""),FALSE)</f>
        <v>0</v>
      </c>
      <c r="D96" s="196" t="str">
        <f>IFERROR(__xludf.DUMMYFUNCTION("""COMPUTED_VALUE"""),"Vychivskyi Volodymyr")</f>
        <v>Vychivskyi Volodymyr</v>
      </c>
      <c r="E96" s="196" t="str">
        <f>IFERROR(__xludf.DUMMYFUNCTION("""COMPUTED_VALUE"""),"Malešice")</f>
        <v>Malešice</v>
      </c>
      <c r="F96" s="196" t="str">
        <f>IFERROR(__xludf.DUMMYFUNCTION("""COMPUTED_VALUE"""),"Prosek")</f>
        <v>Prosek</v>
      </c>
      <c r="G96" s="196" t="str">
        <f>IFERROR(__xludf.DUMMYFUNCTION("""COMPUTED_VALUE"""),"Zličín")</f>
        <v>Zličín</v>
      </c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IFERROR(__xludf.DUMMYFUNCTION("""COMPUTED_VALUE"""),250.20600000000002)</f>
        <v>250.206</v>
      </c>
      <c r="W96" s="199">
        <f>IFERROR(__xludf.DUMMYFUNCTION("""COMPUTED_VALUE"""),0.0)</f>
        <v>0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>Petržilka Lukáš</v>
      </c>
      <c r="C97" s="196" t="b">
        <f>IFERROR(__xludf.DUMMYFUNCTION("""COMPUTED_VALUE"""),FALSE)</f>
        <v>0</v>
      </c>
      <c r="D97" s="196" t="str">
        <f>IFERROR(__xludf.DUMMYFUNCTION("""COMPUTED_VALUE"""),"Petržilka Lukáš")</f>
        <v>Petržilka Lukáš</v>
      </c>
      <c r="E97" s="196" t="str">
        <f>IFERROR(__xludf.DUMMYFUNCTION("""COMPUTED_VALUE"""),"Prosek")</f>
        <v>Prosek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Dvořák Radim</v>
      </c>
      <c r="C98" s="196" t="b">
        <f>IFERROR(__xludf.DUMMYFUNCTION("""COMPUTED_VALUE"""),FALSE)</f>
        <v>0</v>
      </c>
      <c r="D98" s="196" t="str">
        <f>IFERROR(__xludf.DUMMYFUNCTION("""COMPUTED_VALUE"""),"Dvořák Radim")</f>
        <v>Dvořák Radim</v>
      </c>
      <c r="E98" s="196" t="str">
        <f>IFERROR(__xludf.DUMMYFUNCTION("""COMPUTED_VALUE"""),"Prosek")</f>
        <v>Prosek</v>
      </c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IFERROR(__xludf.DUMMYFUNCTION("""COMPUTED_VALUE"""),250.20600000000002)</f>
        <v>250.206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>Hřebík Martin</v>
      </c>
      <c r="C99" s="196" t="b">
        <f>IFERROR(__xludf.DUMMYFUNCTION("""COMPUTED_VALUE"""),FALSE)</f>
        <v>0</v>
      </c>
      <c r="D99" s="196" t="str">
        <f>IFERROR(__xludf.DUMMYFUNCTION("""COMPUTED_VALUE"""),"Hřebík Martin")</f>
        <v>Hřebík Martin</v>
      </c>
      <c r="E99" s="196" t="str">
        <f>IFERROR(__xludf.DUMMYFUNCTION("""COMPUTED_VALUE"""),"Výroba")</f>
        <v>Výroba</v>
      </c>
      <c r="F99" s="196" t="str">
        <f>IFERROR(__xludf.DUMMYFUNCTION("""COMPUTED_VALUE"""),"Chodov")</f>
        <v>Chodov</v>
      </c>
      <c r="G99" s="196" t="str">
        <f>IFERROR(__xludf.DUMMYFUNCTION("""COMPUTED_VALUE"""),"Prosek")</f>
        <v>Prosek</v>
      </c>
      <c r="H99" s="196" t="str">
        <f>IFERROR(__xludf.DUMMYFUNCTION("""COMPUTED_VALUE"""),"Libuš")</f>
        <v>Libuš</v>
      </c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IFERROR(__xludf.DUMMYFUNCTION("""COMPUTED_VALUE"""),389.6925)</f>
        <v>389.6925</v>
      </c>
      <c r="W99" s="199">
        <f>IFERROR(__xludf.DUMMYFUNCTION("""COMPUTED_VALUE"""),2597.95)</f>
        <v>2597.95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IFERROR(__xludf.DUMMYFUNCTION("""COMPUTED_VALUE"""),"Eszenyiová Patrícia")</f>
        <v>Eszenyiová Patrícia</v>
      </c>
      <c r="E100" s="196" t="str">
        <f>IFERROR(__xludf.DUMMYFUNCTION("""COMPUTED_VALUE"""),"Libuš")</f>
        <v>Libuš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IFERROR(__xludf.DUMMYFUNCTION("""COMPUTED_VALUE"""),250.20600000000002)</f>
        <v>250.206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>Reischl Jan</v>
      </c>
      <c r="C101" s="196" t="b">
        <f>IFERROR(__xludf.DUMMYFUNCTION("""COMPUTED_VALUE"""),FALSE)</f>
        <v>0</v>
      </c>
      <c r="D101" s="196" t="str">
        <f>IFERROR(__xludf.DUMMYFUNCTION("""COMPUTED_VALUE"""),"Reischl Jan")</f>
        <v>Reischl Jan</v>
      </c>
      <c r="E101" s="196" t="str">
        <f>IFERROR(__xludf.DUMMYFUNCTION("""COMPUTED_VALUE"""),"Malešice")</f>
        <v>Malešice</v>
      </c>
      <c r="F101" s="196" t="str">
        <f>IFERROR(__xludf.DUMMYFUNCTION("""COMPUTED_VALUE"""),"Chodov")</f>
        <v>Chodov</v>
      </c>
      <c r="G101" s="196" t="str">
        <f>IFERROR(__xludf.DUMMYFUNCTION("""COMPUTED_VALUE"""),"Libuš")</f>
        <v>Libuš</v>
      </c>
      <c r="H101" s="196" t="str">
        <f>IFERROR(__xludf.DUMMYFUNCTION("""COMPUTED_VALUE"""),"Prosek")</f>
        <v>Prosek</v>
      </c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IFERROR(__xludf.DUMMYFUNCTION("""COMPUTED_VALUE"""),214.08)</f>
        <v>214.08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 t="str">
        <f>IFERROR(__xludf.DUMMYFUNCTION("""COMPUTED_VALUE"""),"Mikešová Adéla")</f>
        <v>Mikešová Adéla</v>
      </c>
      <c r="E102" s="196" t="str">
        <f>IFERROR(__xludf.DUMMYFUNCTION("""COMPUTED_VALUE"""),"Bolevec")</f>
        <v>Bolevec</v>
      </c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IFERROR(__xludf.DUMMYFUNCTION("""COMPUTED_VALUE"""),214.08)</f>
        <v>214.08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 t="str">
        <f>IFERROR(__xludf.DUMMYFUNCTION("""COMPUTED_VALUE"""),"Kavalír Milan")</f>
        <v>Kavalír Milan</v>
      </c>
      <c r="E103" s="196" t="str">
        <f>IFERROR(__xludf.DUMMYFUNCTION("""COMPUTED_VALUE"""),"Bolevec")</f>
        <v>Bolevec</v>
      </c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IFERROR(__xludf.DUMMYFUNCTION("""COMPUTED_VALUE"""),223.446)</f>
        <v>223.446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IFERROR(__xludf.DUMMYFUNCTION("""COMPUTED_VALUE"""),"Pražák Aleš")</f>
        <v>Pražák Aleš</v>
      </c>
      <c r="E104" s="196" t="str">
        <f>IFERROR(__xludf.DUMMYFUNCTION("""COMPUTED_VALUE"""),"Chodov")</f>
        <v>Chodov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/>
      </c>
      <c r="C105" s="196" t="b">
        <f>IFERROR(__xludf.DUMMYFUNCTION("""COMPUTED_VALUE"""),FALSE)</f>
        <v>0</v>
      </c>
      <c r="D105" s="196" t="str">
        <f>IFERROR(__xludf.DUMMYFUNCTION("""COMPUTED_VALUE"""),"Chyský David")</f>
        <v>Chyský David</v>
      </c>
      <c r="E105" s="196" t="str">
        <f>IFERROR(__xludf.DUMMYFUNCTION("""COMPUTED_VALUE"""),"Chodov")</f>
        <v>Chodov</v>
      </c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>Kináč Jozef</v>
      </c>
      <c r="C106" s="196" t="b">
        <f>IFERROR(__xludf.DUMMYFUNCTION("""COMPUTED_VALUE"""),FALSE)</f>
        <v>0</v>
      </c>
      <c r="D106" s="196" t="str">
        <f>IFERROR(__xludf.DUMMYFUNCTION("""COMPUTED_VALUE"""),"Kináč Jozef")</f>
        <v>Kináč Jozef</v>
      </c>
      <c r="E106" s="196" t="str">
        <f>IFERROR(__xludf.DUMMYFUNCTION("""COMPUTED_VALUE"""),"Prosek")</f>
        <v>Prosek</v>
      </c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IFERROR(__xludf.DUMMYFUNCTION("""COMPUTED_VALUE"""),231.474)</f>
        <v>231.474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>Bednařík Peter</v>
      </c>
      <c r="C107" s="196" t="b">
        <f>IFERROR(__xludf.DUMMYFUNCTION("""COMPUTED_VALUE"""),FALSE)</f>
        <v>0</v>
      </c>
      <c r="D107" s="196" t="str">
        <f>IFERROR(__xludf.DUMMYFUNCTION("""COMPUTED_VALUE"""),"Bednařík Peter")</f>
        <v>Bednařík Peter</v>
      </c>
      <c r="E107" s="196" t="str">
        <f>IFERROR(__xludf.DUMMYFUNCTION("""COMPUTED_VALUE"""),"Prosek")</f>
        <v>Prosek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IFERROR(__xludf.DUMMYFUNCTION("""COMPUTED_VALUE"""),231.474)</f>
        <v>231.474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Kulinič Michail</v>
      </c>
      <c r="C108" s="196" t="b">
        <f>IFERROR(__xludf.DUMMYFUNCTION("""COMPUTED_VALUE"""),FALSE)</f>
        <v>0</v>
      </c>
      <c r="D108" s="196" t="str">
        <f>IFERROR(__xludf.DUMMYFUNCTION("""COMPUTED_VALUE"""),"Kulinič Michail")</f>
        <v>Kulinič Michail</v>
      </c>
      <c r="E108" s="196" t="str">
        <f>IFERROR(__xludf.DUMMYFUNCTION("""COMPUTED_VALUE"""),"Prosek")</f>
        <v>Prosek</v>
      </c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IFERROR(__xludf.DUMMYFUNCTION("""COMPUTED_VALUE"""),231.474)</f>
        <v>231.474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IFERROR(__xludf.DUMMYFUNCTION("""COMPUTED_VALUE"""),"Kalina Filip")</f>
        <v>Kalina Filip</v>
      </c>
      <c r="E109" s="196" t="str">
        <f>IFERROR(__xludf.DUMMYFUNCTION("""COMPUTED_VALUE"""),"Malešice")</f>
        <v>Malešice</v>
      </c>
      <c r="F109" s="196" t="str">
        <f>IFERROR(__xludf.DUMMYFUNCTION("""COMPUTED_VALUE"""),"Libuš")</f>
        <v>Libuš</v>
      </c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>Čonka Ludovít</v>
      </c>
      <c r="C110" s="196" t="b">
        <f>IFERROR(__xludf.DUMMYFUNCTION("""COMPUTED_VALUE"""),FALSE)</f>
        <v>0</v>
      </c>
      <c r="D110" s="196" t="str">
        <f>IFERROR(__xludf.DUMMYFUNCTION("""COMPUTED_VALUE"""),"Čonka Ludovít")</f>
        <v>Čonka Ludovít</v>
      </c>
      <c r="E110" s="196" t="str">
        <f>IFERROR(__xludf.DUMMYFUNCTION("""COMPUTED_VALUE"""),"Prosek")</f>
        <v>Prosek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IFERROR(__xludf.DUMMYFUNCTION("""COMPUTED_VALUE"""),231.474)</f>
        <v>231.474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IFERROR(__xludf.DUMMYFUNCTION("""COMPUTED_VALUE"""),"Kaločai Rudolf")</f>
        <v>Kaločai Rudolf</v>
      </c>
      <c r="E111" s="196" t="str">
        <f>IFERROR(__xludf.DUMMYFUNCTION("""COMPUTED_VALUE"""),"Bolevec")</f>
        <v>Bolevec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IFERROR(__xludf.DUMMYFUNCTION("""COMPUTED_VALUE"""),140.0)</f>
        <v>140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IFERROR(__xludf.DUMMYFUNCTION("""COMPUTED_VALUE"""),"Dušek Sam")</f>
        <v>Dušek Sam</v>
      </c>
      <c r="E112" s="196" t="str">
        <f>IFERROR(__xludf.DUMMYFUNCTION("""COMPUTED_VALUE"""),"Libuš")</f>
        <v>Libuš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IFERROR(__xludf.DUMMYFUNCTION("""COMPUTED_VALUE"""),250.20600000000002)</f>
        <v>250.206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>Kačena Stanislav</v>
      </c>
      <c r="C113" s="196" t="b">
        <f>IFERROR(__xludf.DUMMYFUNCTION("""COMPUTED_VALUE"""),FALSE)</f>
        <v>0</v>
      </c>
      <c r="D113" s="196" t="str">
        <f>IFERROR(__xludf.DUMMYFUNCTION("""COMPUTED_VALUE"""),"Kačena Stanislav")</f>
        <v>Kačena Stanislav</v>
      </c>
      <c r="E113" s="196" t="str">
        <f>IFERROR(__xludf.DUMMYFUNCTION("""COMPUTED_VALUE"""),"Prosek")</f>
        <v>Prosek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IFERROR(__xludf.DUMMYFUNCTION("""COMPUTED_VALUE"""),231.474)</f>
        <v>231.474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IFERROR(__xludf.DUMMYFUNCTION("""COMPUTED_VALUE"""),0.0)</f>
        <v>0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/>
      </c>
      <c r="C115" s="196" t="b">
        <f>IFERROR(__xludf.DUMMYFUNCTION("""COMPUTED_VALUE"""),FALSE)</f>
        <v>0</v>
      </c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IFERROR(__xludf.DUMMYFUNCTION("""COMPUTED_VALUE"""),0.0)</f>
        <v>0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IFERROR(__xludf.DUMMYFUNCTION("""COMPUTED_VALUE"""),0.0)</f>
        <v>0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 t="str">
        <f>IFERROR(__xludf.DUMMYFUNCTION("""COMPUTED_VALUE"""),"Fux Vojtěch")</f>
        <v>Fux Vojtěch</v>
      </c>
      <c r="E117" s="196" t="str">
        <f>IFERROR(__xludf.DUMMYFUNCTION("""COMPUTED_VALUE"""),"Malešice")</f>
        <v>Malešice</v>
      </c>
      <c r="F117" s="196" t="str">
        <f>IFERROR(__xludf.DUMMYFUNCTION("""COMPUTED_VALUE"""),"Libuš")</f>
        <v>Libuš</v>
      </c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IFERROR(__xludf.DUMMYFUNCTION("""COMPUTED_VALUE"""),250.0)</f>
        <v>250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 t="str">
        <f>IFERROR(__xludf.DUMMYFUNCTION("""COMPUTED_VALUE"""),"Pergl Jan")</f>
        <v>Pergl Jan</v>
      </c>
      <c r="E118" s="196" t="str">
        <f>IFERROR(__xludf.DUMMYFUNCTION("""COMPUTED_VALUE"""),"Malešice")</f>
        <v>Malešice</v>
      </c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IFERROR(__xludf.DUMMYFUNCTION("""COMPUTED_VALUE"""),231.474)</f>
        <v>231.474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IFERROR(__xludf.DUMMYFUNCTION("""COMPUTED_VALUE"""),0.0)</f>
        <v>0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IFERROR(__xludf.DUMMYFUNCTION("""COMPUTED_VALUE"""),0.0)</f>
        <v>0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 t="str">
        <f>IFERROR(__xludf.DUMMYFUNCTION("""COMPUTED_VALUE"""),"Vopatová Anna")</f>
        <v>Vopatová Anna</v>
      </c>
      <c r="E121" s="196" t="str">
        <f>IFERROR(__xludf.DUMMYFUNCTION("""COMPUTED_VALUE"""),"Bolevec")</f>
        <v>Bolevec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IFERROR(__xludf.DUMMYFUNCTION("""COMPUTED_VALUE"""),214.08)</f>
        <v>214.08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IFERROR(__xludf.DUMMYFUNCTION("""COMPUTED_VALUE"""),0.0)</f>
        <v>0</v>
      </c>
      <c r="W122" s="199">
        <f>IFERROR(__xludf.DUMMYFUNCTION("""COMPUTED_VALUE"""),0.0)</f>
        <v>0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IFERROR(__xludf.DUMMYFUNCTION("""COMPUTED_VALUE"""),0.0)</f>
        <v>0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IFERROR(__xludf.DUMMYFUNCTION("""COMPUTED_VALUE"""),"Vopatová Šárka")</f>
        <v>Vopatová Šárka</v>
      </c>
      <c r="E126" s="196" t="str">
        <f>IFERROR(__xludf.DUMMYFUNCTION("""COMPUTED_VALUE"""),"Bolevec")</f>
        <v>Bolevec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IFERROR(__xludf.DUMMYFUNCTION("""COMPUTED_VALUE"""),214.08)</f>
        <v>214.08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 t="str">
        <f>IFERROR(__xludf.DUMMYFUNCTION("""COMPUTED_VALUE"""),"Richterová Monika")</f>
        <v>Richterová Monika</v>
      </c>
      <c r="E128" s="196" t="str">
        <f>IFERROR(__xludf.DUMMYFUNCTION("""COMPUTED_VALUE"""),"Malešice")</f>
        <v>Malešice</v>
      </c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IFERROR(__xludf.DUMMYFUNCTION("""COMPUTED_VALUE"""),214.08)</f>
        <v>214.08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IFERROR(__xludf.DUMMYFUNCTION("""COMPUTED_VALUE"""),"Tušlová Mariana")</f>
        <v>Tušlová Mariana</v>
      </c>
      <c r="E129" s="196" t="str">
        <f>IFERROR(__xludf.DUMMYFUNCTION("""COMPUTED_VALUE"""),"Bolevec")</f>
        <v>Bolevec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IFERROR(__xludf.DUMMYFUNCTION("""COMPUTED_VALUE"""),231.474)</f>
        <v>231.474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IFERROR(__xludf.DUMMYFUNCTION("""COMPUTED_VALUE"""),"Serin David")</f>
        <v>Serin David</v>
      </c>
      <c r="E131" s="196" t="str">
        <f>IFERROR(__xludf.DUMMYFUNCTION("""COMPUTED_VALUE"""),"Libuš")</f>
        <v>Libuš</v>
      </c>
      <c r="F131" s="196" t="str">
        <f>IFERROR(__xludf.DUMMYFUNCTION("""COMPUTED_VALUE"""),"Malešice")</f>
        <v>Malešice</v>
      </c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IFERROR(__xludf.DUMMYFUNCTION("""COMPUTED_VALUE"""),231.474)</f>
        <v>231.474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 t="str">
        <f>IFERROR(__xludf.DUMMYFUNCTION("""COMPUTED_VALUE"""),"Fabera Tomáš")</f>
        <v>Fabera Tomáš</v>
      </c>
      <c r="E135" s="196" t="str">
        <f>IFERROR(__xludf.DUMMYFUNCTION("""COMPUTED_VALUE"""),"Chodov")</f>
        <v>Chodov</v>
      </c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IFERROR(__xludf.DUMMYFUNCTION("""COMPUTED_VALUE"""),231.474)</f>
        <v>231.474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 t="str">
        <f>IFERROR(__xludf.DUMMYFUNCTION("""COMPUTED_VALUE"""),"Hendrych Rostislav")</f>
        <v>Hendrych Rostislav</v>
      </c>
      <c r="E138" s="196" t="str">
        <f>IFERROR(__xludf.DUMMYFUNCTION("""COMPUTED_VALUE"""),"Malešice")</f>
        <v>Malešice</v>
      </c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IFERROR(__xludf.DUMMYFUNCTION("""COMPUTED_VALUE"""),250.20600000000002)</f>
        <v>250.206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>Novák Dalibor</v>
      </c>
      <c r="C139" s="196" t="b">
        <f>IFERROR(__xludf.DUMMYFUNCTION("""COMPUTED_VALUE"""),FALSE)</f>
        <v>0</v>
      </c>
      <c r="D139" s="196" t="str">
        <f>IFERROR(__xludf.DUMMYFUNCTION("""COMPUTED_VALUE"""),"Novák Dalibor")</f>
        <v>Novák Dalibor</v>
      </c>
      <c r="E139" s="196" t="str">
        <f>IFERROR(__xludf.DUMMYFUNCTION("""COMPUTED_VALUE"""),"Libuš")</f>
        <v>Libuš</v>
      </c>
      <c r="F139" s="196" t="str">
        <f>IFERROR(__xludf.DUMMYFUNCTION("""COMPUTED_VALUE"""),"Prosek")</f>
        <v>Prosek</v>
      </c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IFERROR(__xludf.DUMMYFUNCTION("""COMPUTED_VALUE"""),250.20600000000002)</f>
        <v>250.206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 t="str">
        <f>IFERROR(__xludf.DUMMYFUNCTION("""COMPUTED_VALUE"""),"Světlík František")</f>
        <v>Světlík František</v>
      </c>
      <c r="E140" s="196" t="str">
        <f>IFERROR(__xludf.DUMMYFUNCTION("""COMPUTED_VALUE"""),"Bolevec")</f>
        <v>Bolevec</v>
      </c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IFERROR(__xludf.DUMMYFUNCTION("""COMPUTED_VALUE"""),214.08)</f>
        <v>214.08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 t="str">
        <f>IFERROR(__xludf.DUMMYFUNCTION("""COMPUTED_VALUE"""),"Hubr Samuel")</f>
        <v>Hubr Samuel</v>
      </c>
      <c r="E141" s="196" t="str">
        <f>IFERROR(__xludf.DUMMYFUNCTION("""COMPUTED_VALUE"""),"Chodov")</f>
        <v>Chodov</v>
      </c>
      <c r="F141" s="196" t="str">
        <f>IFERROR(__xludf.DUMMYFUNCTION("""COMPUTED_VALUE"""),"Malešice")</f>
        <v>Malešice</v>
      </c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IFERROR(__xludf.DUMMYFUNCTION("""COMPUTED_VALUE"""),231.474)</f>
        <v>231.474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 t="str">
        <f>IFERROR(__xludf.DUMMYFUNCTION("""COMPUTED_VALUE"""),"Ženíšek Lukáš")</f>
        <v>Ženíšek Lukáš</v>
      </c>
      <c r="E142" s="196" t="str">
        <f>IFERROR(__xludf.DUMMYFUNCTION("""COMPUTED_VALUE"""),"Bolevec")</f>
        <v>Bolevec</v>
      </c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IFERROR(__xludf.DUMMYFUNCTION("""COMPUTED_VALUE"""),214.08)</f>
        <v>214.08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 t="str">
        <f>IFERROR(__xludf.DUMMYFUNCTION("""COMPUTED_VALUE"""),"Kneblová Anna")</f>
        <v>Kneblová Anna</v>
      </c>
      <c r="E143" s="196" t="str">
        <f>IFERROR(__xludf.DUMMYFUNCTION("""COMPUTED_VALUE"""),"Bolevec")</f>
        <v>Bolevec</v>
      </c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IFERROR(__xludf.DUMMYFUNCTION("""COMPUTED_VALUE"""),214.08)</f>
        <v>214.08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 t="str">
        <f>IFERROR(__xludf.DUMMYFUNCTION("""COMPUTED_VALUE"""),"Přibyl Jan")</f>
        <v>Přibyl Jan</v>
      </c>
      <c r="E144" s="196" t="str">
        <f>IFERROR(__xludf.DUMMYFUNCTION("""COMPUTED_VALUE"""),"Chodov")</f>
        <v>Chodov</v>
      </c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IFERROR(__xludf.DUMMYFUNCTION("""COMPUTED_VALUE"""),231.474)</f>
        <v>231.474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>Novák Matěj</v>
      </c>
      <c r="C145" s="196" t="b">
        <f>IFERROR(__xludf.DUMMYFUNCTION("""COMPUTED_VALUE"""),FALSE)</f>
        <v>0</v>
      </c>
      <c r="D145" s="196" t="str">
        <f>IFERROR(__xludf.DUMMYFUNCTION("""COMPUTED_VALUE"""),"Novák Matěj")</f>
        <v>Novák Matěj</v>
      </c>
      <c r="E145" s="196" t="str">
        <f>IFERROR(__xludf.DUMMYFUNCTION("""COMPUTED_VALUE"""),"Prosek")</f>
        <v>Prosek</v>
      </c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IFERROR(__xludf.DUMMYFUNCTION("""COMPUTED_VALUE"""),250.20600000000002)</f>
        <v>250.206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 t="str">
        <f>IFERROR(__xludf.DUMMYFUNCTION("""COMPUTED_VALUE"""),"Roth Stanislav st.")</f>
        <v>Roth Stanislav st.</v>
      </c>
      <c r="E146" s="196" t="str">
        <f>IFERROR(__xludf.DUMMYFUNCTION("""COMPUTED_VALUE"""),"Bolevec")</f>
        <v>Bolevec</v>
      </c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IFERROR(__xludf.DUMMYFUNCTION("""COMPUTED_VALUE"""),49506.0)</f>
        <v>49506</v>
      </c>
      <c r="W146" s="199">
        <f>IFERROR(__xludf.DUMMYFUNCTION("""COMPUTED_VALUE"""),1650.2)</f>
        <v>1650.2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 t="str">
        <f>IFERROR(__xludf.DUMMYFUNCTION("""COMPUTED_VALUE"""),"Hrach Michal")</f>
        <v>Hrach Michal</v>
      </c>
      <c r="E147" s="196" t="str">
        <f>IFERROR(__xludf.DUMMYFUNCTION("""COMPUTED_VALUE"""),"Chodov")</f>
        <v>Chodov</v>
      </c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IFERROR(__xludf.DUMMYFUNCTION("""COMPUTED_VALUE"""),231.474)</f>
        <v>231.474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 t="str">
        <f>IFERROR(__xludf.DUMMYFUNCTION("""COMPUTED_VALUE"""),"Kvapil Filip Leon")</f>
        <v>Kvapil Filip Leon</v>
      </c>
      <c r="E148" s="196" t="str">
        <f>IFERROR(__xludf.DUMMYFUNCTION("""COMPUTED_VALUE"""),"Zličín")</f>
        <v>Zličín</v>
      </c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IFERROR(__xludf.DUMMYFUNCTION("""COMPUTED_VALUE"""),231.474)</f>
        <v>231.474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 t="str">
        <f>IFERROR(__xludf.DUMMYFUNCTION("""COMPUTED_VALUE"""),"Vaníková Anna")</f>
        <v>Vaníková Anna</v>
      </c>
      <c r="E149" s="196" t="str">
        <f>IFERROR(__xludf.DUMMYFUNCTION("""COMPUTED_VALUE"""),"Zličín")</f>
        <v>Zličín</v>
      </c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IFERROR(__xludf.DUMMYFUNCTION("""COMPUTED_VALUE"""),231.474)</f>
        <v>231.474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