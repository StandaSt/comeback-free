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Kontrola" sheetId="2" r:id="rId6"/>
    <sheet state="visible" name="RestiaCSV" sheetId="3" r:id="rId7"/>
    <sheet state="hidden" name="August 2024" sheetId="4" r:id="rId8"/>
    <sheet state="visible" name="HR" sheetId="5" r:id="rId9"/>
  </sheets>
  <definedNames/>
  <calcPr/>
</workbook>
</file>

<file path=xl/sharedStrings.xml><?xml version="1.0" encoding="utf-8"?>
<sst xmlns="http://schemas.openxmlformats.org/spreadsheetml/2006/main" count="502" uniqueCount="239">
  <si>
    <t>Bolevec</t>
  </si>
  <si>
    <t>Datum</t>
  </si>
  <si>
    <t>COL</t>
  </si>
  <si>
    <t>Tržba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</si>
  <si>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</si>
  <si>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</si>
  <si>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</si>
  <si>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</si>
  <si>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</si>
  <si>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</si>
  <si>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</si>
  <si>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</si>
  <si>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Hotovost</t>
  </si>
  <si>
    <t>Terminál</t>
  </si>
  <si>
    <t>Instor</t>
  </si>
  <si>
    <t>Otevíral</t>
  </si>
  <si>
    <t>Pokladna</t>
  </si>
  <si>
    <t>Stravenky</t>
  </si>
  <si>
    <t>Jméno</t>
  </si>
  <si>
    <t>Začátek směny</t>
  </si>
  <si>
    <t>Konec směny</t>
  </si>
  <si>
    <t>pauza</t>
  </si>
  <si>
    <t>Počet hodin</t>
  </si>
  <si>
    <t>Tůma Vladimír</t>
  </si>
  <si>
    <t>10:00</t>
  </si>
  <si>
    <t>17:00</t>
  </si>
  <si>
    <t>Výdaje</t>
  </si>
  <si>
    <t>Vostrý Daniel</t>
  </si>
  <si>
    <t>11:00</t>
  </si>
  <si>
    <t>19:00</t>
  </si>
  <si>
    <t>Benzín</t>
  </si>
  <si>
    <t>Roth Stanislav ml.</t>
  </si>
  <si>
    <t>01:00</t>
  </si>
  <si>
    <t>Auta</t>
  </si>
  <si>
    <t>Suroviny</t>
  </si>
  <si>
    <t>Ostatní</t>
  </si>
  <si>
    <t>PHM - soukromé</t>
  </si>
  <si>
    <t>Zavíral</t>
  </si>
  <si>
    <t>Zrušené obj. ks</t>
  </si>
  <si>
    <t>Zrušené obj. $</t>
  </si>
  <si>
    <t>Počet zpožděných našich rozvozů +5 min</t>
  </si>
  <si>
    <t>Průměrný make Time</t>
  </si>
  <si>
    <t>Kurýr</t>
  </si>
  <si>
    <t>Počet rozvozů</t>
  </si>
  <si>
    <t xml:space="preserve">Vlastní vůz </t>
  </si>
  <si>
    <t>Vyplatit PHM</t>
  </si>
  <si>
    <t>počet výdajových dokadů</t>
  </si>
  <si>
    <t>Počet nezrušených celkem</t>
  </si>
  <si>
    <t>Počet našich rozvozů</t>
  </si>
  <si>
    <t>Počet pozdě přiřazeným WoltDrive 5+</t>
  </si>
  <si>
    <t>Světlík František</t>
  </si>
  <si>
    <t>Vopatová Šárka</t>
  </si>
  <si>
    <t>23:00</t>
  </si>
  <si>
    <t>Kaločai Rudolf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</si>
  <si>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</si>
  <si>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</si>
  <si>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</si>
  <si>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</si>
  <si>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</si>
  <si>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Kurýr</t>
  </si>
  <si>
    <t>Wolt drive</t>
  </si>
  <si>
    <t>Vyber datum    &lt;----------&gt;</t>
  </si>
  <si>
    <t>Celkem hodin Instor</t>
  </si>
  <si>
    <t>Celkem hodin Kurýr</t>
  </si>
  <si>
    <t>Počet dní</t>
  </si>
  <si>
    <t>29:00</t>
  </si>
  <si>
    <t>13:00</t>
  </si>
  <si>
    <t>7:00</t>
  </si>
  <si>
    <t>11 min 49 s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</si>
  <si>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</si>
  <si>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</si>
  <si>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</si>
  <si>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</si>
  <si>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</si>
  <si>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</si>
  <si>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</si>
  <si>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</si>
  <si>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</si>
  <si>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</si>
  <si>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</si>
  <si>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</si>
  <si>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</si>
  <si>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</si>
  <si>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</si>
  <si>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manual</t>
  </si>
  <si>
    <t>delivered</t>
  </si>
  <si>
    <t>delivery</t>
  </si>
  <si>
    <t>cash</t>
  </si>
  <si>
    <t>2026-04-06T22:44:33.681+02:00</t>
  </si>
  <si>
    <t>2026-04-06T22:55:57.719+02:00</t>
  </si>
  <si>
    <t>2026-04-06T23:07:27.875+02:00</t>
  </si>
  <si>
    <t>2026-04-06T22:55:43.568+02:00</t>
  </si>
  <si>
    <t>Ručně zadané obj.</t>
  </si>
  <si>
    <t>[{"id":"18c7dc2e-3f8c-4b58-9c90-6a401315d32b","count":1,"label":"Pizza Hawai 32 cm","posId":"114","price":25900,"isExtra":false,"creatorId":"zE1getDe-l4Go65xgt3j8","isPackging":0,"actualLabel":"Pizza Hawai 32 cm"}]</t>
  </si>
  <si>
    <t>damejidlo</t>
  </si>
  <si>
    <t>external-delivery</t>
  </si>
  <si>
    <t>online</t>
  </si>
  <si>
    <t>2026-04-06T22:37:04.268+02:00</t>
  </si>
  <si>
    <t>2026-04-06T22:47:08.084+02:00</t>
  </si>
  <si>
    <t>F - Pizza Comeback Bolevec</t>
  </si>
  <si>
    <t>[{"id":"62240199","note":"","size":"Margherita 32cm","count":2,"label":"Margherita 32cm","posId":"112","price":21900,"isExtra":false},{"id":"62240274","note":"","count":2,"label":"Balné","posId":"K0000","price":1500,"isExtra":true}]</t>
  </si>
  <si>
    <t>generic</t>
  </si>
  <si>
    <t>pickup</t>
  </si>
  <si>
    <t>card</t>
  </si>
  <si>
    <t>2026-04-06T21:49:03.985+02:00</t>
  </si>
  <si>
    <t>2026-04-06T21:57:54.309+02:00</t>
  </si>
  <si>
    <t>Adaptee</t>
  </si>
  <si>
    <t>[{"id":"e12521cc-9391-4513-be27-f090014536cf","note":"","count":1,"label":"BBQ Texas 32 cm","posId":"143","price":25900,"isExtra":false}]</t>
  </si>
  <si>
    <t>2026-04-06T21:33:05.971+02:00</t>
  </si>
  <si>
    <t>2026-04-06T21:47:11.278+02:00</t>
  </si>
  <si>
    <t>[{"id":"5b1f2843-926a-4dd1-a5f0-4fddc7b45013","note":"","count":1,"label":"Margherita 32 cm","posId":"112","price":21900,"isExtra":false},{"id":"8b18781f-3bd0-464d-aa33-9f081ecc1a3a","note":"","count":1,"label":"mozzarella","posId":"8b18781f-3bd0-464d-aa33-9f081ecc1a3a","price":3000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,{"id":"9461c599-e1f4-4267-8dd8-c1eea66839a3","note":"","count":1,"label":"Choco Rolls, 6 ks","posId":"chr100","price":8900,"isExtra":false}]</t>
  </si>
  <si>
    <t>2026-04-06T21:20:27.217+02:00</t>
  </si>
  <si>
    <t>2026-04-06T21:26:59.032+02:00</t>
  </si>
  <si>
    <t>[{"id":"18c7dc2e-3f8c-4b58-9c90-6a401315d32b","count":1,"label":"Pizza Hawai 32 cm","posId":"114","price":25900,"isExtra":false,"creatorId":"pR4PgHht5JCs2f7VfeOUc","isPackging":0,"actualLabel":"Pizza Hawai 32 cm"}]</t>
  </si>
  <si>
    <t>bolt</t>
  </si>
  <si>
    <t>Vít</t>
  </si>
  <si>
    <t>2026-04-06T21:10:17.149+02:00</t>
  </si>
  <si>
    <t>2026-04-06T21:19:40.655+02:00</t>
  </si>
  <si>
    <t>B - Pizza Comeback Bolevec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</si>
  <si>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základ","posId":"ZBR40","price":0,"isExtra":true}]</t>
  </si>
  <si>
    <t>2026-04-06T20:39:16.746+02:00</t>
  </si>
  <si>
    <t>2026-04-06T21:02:57.691+02:00</t>
  </si>
  <si>
    <t>[{"id":"bbef59ce-896e-4add-acca-1c087f56506a","count":1,"label":"Pepsi 0,33l","posId":"N170","price":3900,"isExtra":false,"creatorId":"YT5tHrFIarVQoBlzpTxWI","isPackging":0,"actualLabel":"Pepsi 0,33l"},{"id":"cd43f6a9-7b26-4cdf-8aa9-85510522383c","count":1,"label":"Poděbradská malinovka 0,5l","posId":"N129","price":4900,"isExtra":false,"creatorId":"Ah05_HAPxtqXrJDy-msLZ","isPackging":0,"actualLabel":"Poděbradská malinovka 0,5l"}]</t>
  </si>
  <si>
    <t>Ionuț</t>
  </si>
  <si>
    <t>2026-04-06T20:21:42.796+02:00</t>
  </si>
  <si>
    <t>2026-04-06T20:27:40.518+02:00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</si>
  <si>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základ","posId":"ZRB40","price":0,"isExtra":true},{"id":"N131","note":"","count":1,"label":"BIRGO grapefruit 0,5l","posId":"N131","price":4900,"isExtra":false}]</t>
  </si>
  <si>
    <t>2026-04-06T20:11:08.994+02:00</t>
  </si>
  <si>
    <t>2026-04-06T21:02:58.881+02:00</t>
  </si>
  <si>
    <t>[{"id":"e258c1f0-59ca-47a0-b097-7e447a442599","count":1,"label":"Mirinda 1l","posId":"N126","price":5900,"isExtra":false,"creatorId":"iWw5LjXL5mvENpAvmuMcW","isPackging":0,"actualLabel":"Mirinda 1l"}]</t>
  </si>
  <si>
    <t>Patrik</t>
  </si>
  <si>
    <t>2026-04-06T19:52:21.014+02:00</t>
  </si>
  <si>
    <t>2026-04-06T20:00:57.647+02:00</t>
  </si>
  <si>
    <t>[{"id":"102","note":"","count":1,"label":"Hawai 40cm","posId":"102","price":32900,"isExtra":false},{"id":"K0000","note":"","count":1,"label":"Balné","posId":"K0000","price":2000,"isExtra":true},{"id":"ZRS40","note":"","count":1,"label":"Smetanový základ","posId":"ZRS40","price":0,"isExtra":true}]</t>
  </si>
  <si>
    <t>2026-04-06T19:23:31.794+02:00</t>
  </si>
  <si>
    <t>2026-04-06T19:26:48.220+02:00</t>
  </si>
  <si>
    <t>[{"id":"34a0b831-1e92-45b3-8a4a-018d05baf41c","count":1,"label":"Pepsi zero 0,33l","posId":"N171","price":3900,"isExtra":false,"creatorId":"FxpDNQLB2-Dna3w4_AmNw","isPackging":0,"actualLabel":"Pepsi zero 0,33l"}]</t>
  </si>
  <si>
    <t>2026-04-06T19:23:10.358+02:00</t>
  </si>
  <si>
    <t>2026-04-06T19:26:44.139+02:00</t>
  </si>
  <si>
    <t>[{"id":"1bf8f3b6-43e9-4ddc-97f7-70f0b7f9dc97","count":1,"label":"Pizza Pepperoni 18","posId":"132","price":13900,"isExtra":false,"creatorId":"wYdsrEWHLHFyuBH2hNBsR","isPackging":0,"actualLabel":"Pizza Pepperoni 18"}]</t>
  </si>
  <si>
    <t>2026-04-06T19:11:33.410+02:00</t>
  </si>
  <si>
    <t>2026-04-06T19:26:46.608+02:00</t>
  </si>
  <si>
    <t>[{"id":"864ed54f-c99e-45ab-b65e-dc3c6ef3ae72","count":1,"label":"Pizza Quattro Formaggi 32","posId":"123","price":25900,"isExtra":false,"creatorId":"8nR-z5SG9umZgRy9Ylwop","isPackging":0,"actualLabel":"Pizza Quattro Formaggi 32"}]</t>
  </si>
  <si>
    <t>2026-04-06T19:10:27.954+02:00</t>
  </si>
  <si>
    <t>2026-04-06T19:11:56.743+02:00</t>
  </si>
  <si>
    <t>[{"id":"34a0b831-1e92-45b3-8a4a-018d05baf41c","count":1,"label":"Pepsi zero 0,33l","posId":"N171","price":3900,"isExtra":false,"creatorId":"Ijaimo-_r1RXObukUW2sL","isPackging":0,"actualLabel":"Pepsi zero 0,33l"}]</t>
  </si>
  <si>
    <t>2026-04-06T19:07:58.605+02:00</t>
  </si>
  <si>
    <t>2026-04-06T19:19:43.064+02:00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</si>
  <si>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🌶️","posId":"109","price":32900,"isExtra":false},{"id":"62240266","note":"","count":1,"label":"Balné","posId":"K0000","price":2000,"isExtra":true},{"id":"62240337","note":"","count":1,"label":"Bez cibule","posId":"X103","price":0,"KDSTags":["redhighlight"],"isExtra":true},{"id":"62240234","note":"","size":"Dip Jalapeňos","count":1,"label":"Dip Jalapeňos","posId":"P107","price":2500,"isExtra":false}]</t>
  </si>
  <si>
    <t>2026-04-06T18:46:37.967+02:00</t>
  </si>
  <si>
    <t>2026-04-06T18:52:15.315+02:00</t>
  </si>
  <si>
    <t>[{"id":"49248c77-0000-4748-b81a-507bb0a368ea","count":1,"label":"Pepsi 1l","posId":"N124","price":5900,"isExtra":false,"creatorId":"jMSvIEN0tNU-q7aHQaQDv","isPackging":0,"actualLabel":"Pepsi 1l"},{"id":"e687efb2-38f2-4448-89a9-c358d6fc33e5","count":1,"label":"Aquila černý čaj/broskev 0,33l","posId":"N175","price":3900,"isExtra":false,"creatorId":"qXLIO-RUuNzZyr63gx3hr","isPackging":0,"actualLabel":"Aquila černý čaj/broskev 0,33l"}]</t>
  </si>
  <si>
    <t>2026-04-06T18:20:03.365+02:00</t>
  </si>
  <si>
    <t>2026-04-06T18:28:51.033+02:00</t>
  </si>
  <si>
    <t>2026-04-06T18:51:28.424+02:00</t>
  </si>
  <si>
    <t>2026-04-06T18:23:59.908+02:00</t>
  </si>
  <si>
    <t>[{"id":"5b1f2843-926a-4dd1-a5f0-4fddc7b45013","note":"","count":1,"label":"Margherita 32 cm","posId":"112","price":21900,"isExtra":false},{"id":"57c816b2-3e3f-46c2-b126-b09910d79cb0","note":"","count":1,"label":"změna na Smetanový základ","posId":"57c816b2-3e3f-46c2-b126-b09910d79cb0","price":0,"isExtra":true},{"id":"9461c599-e1f4-4267-8dd8-c1eea66839a3","note":"","count":1,"label":"Choco Rolls, 6 ks","posId":"chr100","price":8900,"isExtra":false}]</t>
  </si>
  <si>
    <t>2026-04-06T17:34:25.026+02:00</t>
  </si>
  <si>
    <t>2026-04-06T17:43:01.469+02:00</t>
  </si>
  <si>
    <t>[{"id":"666f5d57-c79d-415f-bd66-38dc47ee4585","count":1,"label":"Pizza Pepperoni 32","posId":"120","price":25900,"isExtra":false,"creatorId":"MeGZdZG0iPgGr2ZrLTs0F","isPackging":0,"actualLabel":"Pizza Pepperoni 32"},{"id":"49248c77-0000-4748-b81a-507bb0a368ea","count":1,"label":"Pepsi 1l","posId":"N124","price":5900,"isExtra":false,"creatorId":"S2g6eF31nSd3b3CGDMt6O","isPackging":0,"actualLabel":"Pepsi 1l"}]</t>
  </si>
  <si>
    <t>2026-04-06T17:26:43.672+02:00</t>
  </si>
  <si>
    <t>2026-04-06T17:37:05.982+02:00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</si>
  <si>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40cm","posId":"111","price":32900,"isExtra":false},{"id":"62240266","note":"","count":1,"label":"Balné","posId":"K0000","price":2000,"isExtra":true},{"id":"62240246","note":"","size":"Pepsi 1l","count":1,"label":"Pepsi 1l","posId":"N124","price":5900,"isExtra":false}]</t>
  </si>
  <si>
    <t>Silviu</t>
  </si>
  <si>
    <t>2026-04-06T16:40:29.988+02:00</t>
  </si>
  <si>
    <t>2026-04-06T16:52:49.957+02:00</t>
  </si>
  <si>
    <t>[{"id":"109","note":"","count":1,"label":"Comeback 40cm 🌶️","posId":"109","price":32900,"isExtra":false},{"id":"K0000","note":"","count":1,"label":"Balné","posId":"K0000","price":2000,"isExtra":true}]</t>
  </si>
  <si>
    <t>2026-04-06T16:37:08.656+02:00</t>
  </si>
  <si>
    <t>2026-04-06T16:46:41.912+02:00</t>
  </si>
  <si>
    <t>[{"id":"c547f780-e6f1-4d3b-9918-8b0f0ac6fdac","count":2,"label":"Americano","posId":"N158","price":5500,"isExtra":false,"creatorId":"J1aQ7C76AynMCdNmNXvRl","isPackging":0,"actualLabel":"Americano"},{"id":"864ed54f-c99e-45ab-b65e-dc3c6ef3ae72","count":1,"label":"Pizza Quattro Formaggi 32","posId":"123","price":25900,"isExtra":false,"creatorId":"RHnfvtNIbDRa4oWEsnmk6","isPackging":0,"actualLabel":"Pizza Quattro Formaggi 32"}]</t>
  </si>
  <si>
    <t>2026-04-06T16:04:17.207+02:00</t>
  </si>
  <si>
    <t>2026-04-06T16:04:45.547+02:00</t>
  </si>
  <si>
    <t>[{"id":"14ed2657-b58d-4efd-97ae-3a48a4555f3f","count":1,"label":"Guarana kiwi a jablko","posId":"N144","price":5500,"isExtra":false,"creatorId":"NAu9Isqf9uwRqUDoE98GE","isPackging":0,"actualLabel":"Guarana kiwi a jablko"}]</t>
  </si>
  <si>
    <t>2026-04-06T14:58:14.326+02:00</t>
  </si>
  <si>
    <t>2026-04-06T14:58:19.733+02:00</t>
  </si>
  <si>
    <t>[{"id":"bbef59ce-896e-4add-acca-1c087f56506a","count":1,"label":"Pepsi 0,33l","posId":"N170","price":3900,"isExtra":false,"creatorId":"NZ8nH89V-A2wnJeLRSbCU","isPackging":0,"actualLabel":"Pepsi 0,33l"}]</t>
  </si>
  <si>
    <t>2026-04-06T14:31:45.477+02:00</t>
  </si>
  <si>
    <t>2026-04-06T14:36:53.612+02:00</t>
  </si>
  <si>
    <t>[{"id":"4696b740-51e2-4c8f-b903-bce803717f15","count":1,"label":"BIRGO grapefruit 0,5l","posId":"N131","price":4900,"isExtra":false,"creatorId":"eWHRWK0Rv4oJ8DHVWQs6M","isPackging":0,"actualLabel":"BIRGO grapefruit 0,5l"}]</t>
  </si>
  <si>
    <t>2026-04-06T14:11:24.553+02:00</t>
  </si>
  <si>
    <t>2026-04-06T14:11:55.625+02:00</t>
  </si>
  <si>
    <t>[{"id":"34a0b831-1e92-45b3-8a4a-018d05baf41c","count":1,"label":"Pepsi zero 0,33l","posId":"N171","price":3900,"isExtra":false,"creatorId":"-KwU98--AtgdfAupWypf7","isPackging":0,"actualLabel":"Pepsi zero 0,33l"},{"id":"34a0b831-1e92-45b3-8a4a-018d05baf41c","count":1,"label":"Pepsi zero 0,33l","posId":"N171","price":3900,"isExtra":false,"creatorId":"_rcMeKQj7VOSwj6cOGUN6","isPackging":0,"actualLabel":"Pepsi zero 0,33l"}]</t>
  </si>
  <si>
    <t>2026-04-06T13:40:03.285+02:00</t>
  </si>
  <si>
    <t>2026-04-06T13:51:02.851+02:00</t>
  </si>
  <si>
    <t>[{"id":"a4efa812-1470-4ea2-a19d-39843abed3be","note":"","count":1,"label":"Comeback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-cibule","posId":"169906cc-98ac-4101-a361-79ae530758c3","price":0,"isExtra":true}]</t>
  </si>
  <si>
    <t>Oleksandr</t>
  </si>
  <si>
    <t>2026-04-06T13:33:11.599+02:00</t>
  </si>
  <si>
    <t>2026-04-06T13:43:18.908+02:00</t>
  </si>
  <si>
    <t>[{"id":"107","note":"","count":1,"label":"BBQ Texas 40cm","posId":"107","price":32900,"isExtra":false},{"id":"K0000","note":"","count":1,"label":"Balné","posId":"K0000","price":2000,"isExtra":true}]</t>
  </si>
  <si>
    <t>2026-04-06T13:08:40.537+02:00</t>
  </si>
  <si>
    <t>2026-04-06T13:12:01.167+02:00</t>
  </si>
  <si>
    <t>[{"id":"d524a5a3-a53a-4542-a32f-c55dbe2cd1d4","count":2,"label":"Cappucino","posId":"N152","price":6500,"isExtra":false,"creatorId":"a-ZMNV0cMDeDOQ29QdMVP","isPackging":0,"actualLabel":"Cappucino"}]</t>
  </si>
  <si>
    <t>2026-04-06T11:46:49.229+02:00</t>
  </si>
  <si>
    <t>2026-04-06T11:53:59.673+02:00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</si>
  <si>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32cm","posId":"116","price":25900,"isExtra":false},{"id":"62240274","note":"","count":1,"label":"Balné","posId":"K0000","price":1500,"isExtra":true},{"id":"62240418","note":"","count":1,"label":"Rajčatový základ","posId":"ZSR32","price":0,"isExtra":true},{"id":"62240310","note":"","count":1,"label":"Bez špenátu s česnekem","posId":"X107","price":0,"KDSTags":["redhighlight"],"isExtra":true},{"id":"62240351","note":"","count":1,"label":"Kukuřice","posId":"B115","price":2500,"KDSTags":["greenhighlight"],"isExtra":true}]</t>
  </si>
  <si>
    <t>2026-04-06T11:44:03.741+02:00</t>
  </si>
  <si>
    <t>2026-04-06T11:52:45.294+02:00</t>
  </si>
  <si>
    <t>2026-04-06T12:00:51.992+02:00</t>
  </si>
  <si>
    <t>2026-04-06T11:46:00.567+02:00</t>
  </si>
  <si>
    <t>[{"id":"e8f571e6-dd36-42d7-8826-52c90315986b","note":"","count":1,"label":"Baby špenát &amp; kuře 40 cm","posId":"104","price":32900,"isExtra":false}]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</si>
  <si>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</si>
  <si>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</si>
  <si>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</si>
  <si>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</si>
  <si>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</si>
  <si>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</si>
  <si>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</si>
  <si>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</si>
  <si>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</si>
  <si>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</si>
  <si>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</si>
  <si>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</si>
  <si>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</si>
  <si>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</si>
  <si>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</si>
  <si>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</si>
  <si>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</si>
  <si>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</si>
  <si>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</si>
  <si>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Pokladna - VÝSLEDEK</t>
  </si>
  <si>
    <t>Počet zpožděných objednávek z webu +5 min</t>
  </si>
  <si>
    <t>Počet vydajových dokladů</t>
  </si>
  <si>
    <t>Woltrdrive zpožděný kvůli našemu pozdnímu přiřazení</t>
  </si>
  <si>
    <t>Úterý</t>
  </si>
  <si>
    <t>Martin Sova</t>
  </si>
  <si>
    <t>03:00</t>
  </si>
  <si>
    <t>Ahurieva Viktoriia</t>
  </si>
  <si>
    <t>12:00</t>
  </si>
  <si>
    <t>Ondřej Navrátil</t>
  </si>
  <si>
    <t>18:00</t>
  </si>
  <si>
    <t>07:00</t>
  </si>
  <si>
    <t>Zbyněk Hyský</t>
  </si>
  <si>
    <t>00:00</t>
  </si>
  <si>
    <t>06:00</t>
  </si>
  <si>
    <t>Pešová Hana</t>
  </si>
  <si>
    <t>08:00</t>
  </si>
  <si>
    <t>15 min 46 s</t>
  </si>
  <si>
    <t>Manažeři</t>
  </si>
  <si>
    <t>Zamestnanci pobocky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</si>
</sst>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&quot;-&quot;yyyy"/>
    <numFmt numFmtId="165" formatCode="dd.mm.yyyy"/>
    <numFmt numFmtId="166" formatCode="#,##0\ [$Kč-405]"/>
    <numFmt numFmtId="167" formatCode="&quot;/&quot;d&quot;/&quot;myy"/>
    <numFmt numFmtId="168" formatCode="H:mm:ss"/>
  </numFmts>
  <fonts count="23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color theme="1"/>
      <name val="Arial"/>
    </font>
    <font>
      <b/>
      <sz val="17.0"/>
      <color theme="1"/>
      <name val="Arial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6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0.0"/>
      <color rgb="FF000000"/>
      <name val="Arial"/>
    </font>
    <font>
      <sz val="11.0"/>
      <color theme="1"/>
      <name val="Arial"/>
    </font>
    <font>
      <b/>
      <sz val="11.0"/>
      <color rgb="FFEFEFEF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52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2" fontId="1" numFmtId="2" xfId="0" applyBorder="1" applyFill="1" applyFont="1" applyNumberFormat="1"/>
    <xf borderId="2" fillId="3" fontId="2" numFmtId="2" xfId="0" applyAlignment="1" applyBorder="1" applyFill="1" applyFont="1" applyNumberFormat="1">
      <alignment horizontal="center" readingOrder="0" shrinkToFit="0" vertical="center" wrapText="0"/>
    </xf>
    <xf borderId="2" fillId="3" fontId="3" numFmtId="164" xfId="0" applyAlignment="1" applyBorder="1" applyFont="1" applyNumberFormat="1">
      <alignment horizontal="center" shrinkToFit="0" vertical="center" wrapText="0"/>
    </xf>
    <xf borderId="3" fillId="3" fontId="4" numFmtId="165" xfId="0" applyAlignment="1" applyBorder="1" applyFont="1" applyNumberFormat="1">
      <alignment horizontal="center" readingOrder="0" shrinkToFit="0" vertical="center" wrapText="0"/>
    </xf>
    <xf borderId="4" fillId="0" fontId="5" numFmtId="0" xfId="0" applyBorder="1" applyFont="1"/>
    <xf borderId="5" fillId="4" fontId="6" numFmtId="0" xfId="0" applyAlignment="1" applyBorder="1" applyFill="1" applyFont="1">
      <alignment horizontal="center" shrinkToFit="0" vertical="center" wrapText="0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shrinkToFit="0" vertical="center" wrapText="0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2" fontId="8" numFmtId="10" xfId="0" applyAlignment="1" applyFont="1" applyNumberFormat="1">
      <alignment horizontal="center" vertical="center"/>
    </xf>
    <xf borderId="1" fillId="0" fontId="5" numFmtId="0" xfId="0" applyBorder="1" applyFont="1"/>
    <xf borderId="0" fillId="5" fontId="6" numFmtId="166" xfId="0" applyAlignment="1" applyFill="1" applyFont="1" applyNumberFormat="1">
      <alignment horizontal="center" readingOrder="0" shrinkToFit="0" vertical="center" wrapText="0"/>
    </xf>
    <xf borderId="12" fillId="6" fontId="9" numFmtId="0" xfId="0" applyAlignment="1" applyBorder="1" applyFill="1" applyFont="1">
      <alignment horizontal="center" shrinkToFit="0" vertical="center" wrapText="0"/>
    </xf>
    <xf borderId="13" fillId="5" fontId="10" numFmtId="166" xfId="0" applyAlignment="1" applyBorder="1" applyFont="1" applyNumberFormat="1">
      <alignment horizontal="center" vertical="bottom"/>
    </xf>
    <xf borderId="3" fillId="3" fontId="11" numFmtId="167" xfId="0" applyAlignment="1" applyBorder="1" applyFont="1" applyNumberFormat="1">
      <alignment horizontal="center" shrinkToFit="0" vertical="center" wrapText="0"/>
    </xf>
    <xf borderId="14" fillId="0" fontId="5" numFmtId="0" xfId="0" applyBorder="1" applyFont="1"/>
    <xf borderId="15" fillId="0" fontId="5" numFmtId="0" xfId="0" applyBorder="1" applyFont="1"/>
    <xf borderId="3" fillId="7" fontId="6" numFmtId="0" xfId="0" applyAlignment="1" applyBorder="1" applyFill="1" applyFont="1">
      <alignment horizontal="center" shrinkToFit="0" vertical="center" wrapText="0"/>
    </xf>
    <xf borderId="16" fillId="6" fontId="9" numFmtId="0" xfId="0" applyAlignment="1" applyBorder="1" applyFont="1">
      <alignment horizontal="center" shrinkToFit="0" vertical="center" wrapText="0"/>
    </xf>
    <xf borderId="3" fillId="8" fontId="1" numFmtId="1" xfId="0" applyAlignment="1" applyBorder="1" applyFill="1" applyFont="1" applyNumberFormat="1">
      <alignment horizontal="center" shrinkToFit="0" vertical="center" wrapText="0"/>
    </xf>
    <xf borderId="0" fillId="8" fontId="1" numFmtId="1" xfId="0" applyAlignment="1" applyFont="1" applyNumberFormat="1">
      <alignment horizontal="center" shrinkToFit="0" vertical="center" wrapText="0"/>
    </xf>
    <xf borderId="3" fillId="9" fontId="1" numFmtId="0" xfId="0" applyAlignment="1" applyBorder="1" applyFill="1" applyFont="1">
      <alignment horizontal="center" readingOrder="0" shrinkToFit="0" vertical="center" wrapText="0"/>
    </xf>
    <xf borderId="17" fillId="6" fontId="9" numFmtId="0" xfId="0" applyAlignment="1" applyBorder="1" applyFont="1">
      <alignment horizontal="center" shrinkToFit="0" vertical="center" wrapText="0"/>
    </xf>
    <xf borderId="1" fillId="5" fontId="10" numFmtId="166" xfId="0" applyAlignment="1" applyBorder="1" applyFont="1" applyNumberFormat="1">
      <alignment horizontal="center" vertical="bottom"/>
    </xf>
    <xf borderId="18" fillId="0" fontId="5" numFmtId="0" xfId="0" applyBorder="1" applyFont="1"/>
    <xf borderId="19" fillId="4" fontId="7" numFmtId="0" xfId="0" applyAlignment="1" applyBorder="1" applyFont="1">
      <alignment horizontal="center" shrinkToFit="0" vertical="center" wrapText="0"/>
    </xf>
    <xf borderId="11" fillId="8" fontId="1" numFmtId="166" xfId="0" applyAlignment="1" applyBorder="1" applyFont="1" applyNumberFormat="1">
      <alignment horizontal="center" readingOrder="0" shrinkToFit="0" vertical="center" wrapText="0"/>
    </xf>
    <xf borderId="18" fillId="4" fontId="12" numFmtId="49" xfId="0" applyAlignment="1" applyBorder="1" applyFont="1" applyNumberFormat="1">
      <alignment horizontal="center" shrinkToFit="0" vertical="center" wrapText="0"/>
    </xf>
    <xf borderId="15" fillId="4" fontId="7" numFmtId="49" xfId="0" applyAlignment="1" applyBorder="1" applyFont="1" applyNumberFormat="1">
      <alignment horizontal="center" shrinkToFit="0" vertical="center" wrapText="0"/>
    </xf>
    <xf borderId="10" fillId="4" fontId="12" numFmtId="166" xfId="0" applyAlignment="1" applyBorder="1" applyFont="1" applyNumberFormat="1">
      <alignment horizontal="center" shrinkToFit="0" vertical="center" wrapText="0"/>
    </xf>
    <xf borderId="0" fillId="2" fontId="1" numFmtId="2" xfId="0" applyFont="1" applyNumberFormat="1"/>
    <xf borderId="20" fillId="0" fontId="13" numFmtId="49" xfId="0" applyAlignment="1" applyBorder="1" applyFont="1" applyNumberFormat="1">
      <alignment horizontal="center" shrinkToFit="0" vertical="center" wrapText="0"/>
    </xf>
    <xf borderId="21" fillId="0" fontId="13" numFmtId="20" xfId="0" applyAlignment="1" applyBorder="1" applyFont="1" applyNumberFormat="1">
      <alignment horizontal="center" shrinkToFit="0" vertical="center" wrapText="0"/>
    </xf>
    <xf borderId="22" fillId="0" fontId="13" numFmtId="49" xfId="0" applyAlignment="1" applyBorder="1" applyFont="1" applyNumberFormat="1">
      <alignment horizontal="center" shrinkToFit="0" vertical="center" wrapText="0"/>
    </xf>
    <xf borderId="0" fillId="8" fontId="1" numFmtId="49" xfId="0" applyAlignment="1" applyFont="1" applyNumberFormat="1">
      <alignment horizontal="center" readingOrder="0" shrinkToFit="0" vertical="center" wrapText="0"/>
    </xf>
    <xf borderId="3" fillId="10" fontId="14" numFmtId="166" xfId="0" applyAlignment="1" applyBorder="1" applyFill="1" applyFont="1" applyNumberFormat="1">
      <alignment horizontal="center" readingOrder="0" vertical="center"/>
    </xf>
    <xf borderId="23" fillId="6" fontId="9" numFmtId="0" xfId="0" applyAlignment="1" applyBorder="1" applyFont="1">
      <alignment horizontal="center" shrinkToFit="0" vertical="center" wrapText="0"/>
    </xf>
    <xf borderId="0" fillId="2" fontId="15" numFmtId="2" xfId="0" applyAlignment="1" applyFont="1" applyNumberFormat="1">
      <alignment horizontal="center" vertical="bottom"/>
    </xf>
    <xf borderId="16" fillId="8" fontId="1" numFmtId="49" xfId="0" applyAlignment="1" applyBorder="1" applyFont="1" applyNumberFormat="1">
      <alignment horizontal="center" readingOrder="0" shrinkToFit="0" vertical="center" wrapText="0"/>
    </xf>
    <xf borderId="12" fillId="8" fontId="1" numFmtId="49" xfId="0" applyAlignment="1" applyBorder="1" applyFont="1" applyNumberFormat="1">
      <alignment horizontal="center" readingOrder="0" shrinkToFit="0" vertical="center" wrapText="0"/>
    </xf>
    <xf borderId="24" fillId="8" fontId="1" numFmtId="49" xfId="0" applyAlignment="1" applyBorder="1" applyFont="1" applyNumberFormat="1">
      <alignment horizontal="center" shrinkToFit="0" vertical="center" wrapText="0"/>
    </xf>
    <xf borderId="25" fillId="11" fontId="10" numFmtId="20" xfId="0" applyAlignment="1" applyBorder="1" applyFill="1" applyFont="1" applyNumberFormat="1">
      <alignment horizontal="center"/>
    </xf>
    <xf borderId="15" fillId="4" fontId="7" numFmtId="0" xfId="0" applyAlignment="1" applyBorder="1" applyFont="1">
      <alignment horizontal="center" shrinkToFit="0" vertical="center" wrapText="0"/>
    </xf>
    <xf borderId="26" fillId="8" fontId="1" numFmtId="0" xfId="0" applyAlignment="1" applyBorder="1" applyFont="1">
      <alignment readingOrder="0" vertical="bottom"/>
    </xf>
    <xf borderId="24" fillId="8" fontId="1" numFmtId="49" xfId="0" applyAlignment="1" applyBorder="1" applyFont="1" applyNumberFormat="1">
      <alignment horizontal="center" readingOrder="0" shrinkToFit="0" vertical="center" wrapText="0"/>
    </xf>
    <xf borderId="13" fillId="8" fontId="1" numFmtId="166" xfId="0" applyAlignment="1" applyBorder="1" applyFont="1" applyNumberFormat="1">
      <alignment horizontal="center" readingOrder="0" shrinkToFit="0" vertical="center" wrapText="0"/>
    </xf>
    <xf borderId="26" fillId="8" fontId="16" numFmtId="0" xfId="0" applyAlignment="1" applyBorder="1" applyFont="1">
      <alignment horizontal="left" readingOrder="0"/>
    </xf>
    <xf borderId="25" fillId="11" fontId="10" numFmtId="49" xfId="0" applyAlignment="1" applyBorder="1" applyFont="1" applyNumberFormat="1">
      <alignment horizontal="center"/>
    </xf>
    <xf borderId="0" fillId="7" fontId="1" numFmtId="49" xfId="0" applyAlignment="1" applyFont="1" applyNumberFormat="1">
      <alignment horizontal="center" shrinkToFit="0" vertical="center" wrapText="0"/>
    </xf>
    <xf borderId="12" fillId="6" fontId="13" numFmtId="0" xfId="0" applyAlignment="1" applyBorder="1" applyFont="1">
      <alignment horizontal="center" shrinkToFit="0" vertical="center" wrapText="0"/>
    </xf>
    <xf borderId="26" fillId="8" fontId="1" numFmtId="0" xfId="0" applyAlignment="1" applyBorder="1" applyFont="1">
      <alignment readingOrder="0"/>
    </xf>
    <xf borderId="24" fillId="8" fontId="1" numFmtId="20" xfId="0" applyAlignment="1" applyBorder="1" applyFont="1" applyNumberFormat="1">
      <alignment horizontal="center" shrinkToFit="0" vertical="center" wrapText="0"/>
    </xf>
    <xf borderId="23" fillId="6" fontId="13" numFmtId="0" xfId="0" applyAlignment="1" applyBorder="1" applyFont="1">
      <alignment horizontal="center" shrinkToFit="0" vertical="center" wrapText="0"/>
    </xf>
    <xf borderId="11" fillId="11" fontId="10" numFmtId="166" xfId="0" applyAlignment="1" applyBorder="1" applyFont="1" applyNumberFormat="1">
      <alignment horizontal="center" vertical="center"/>
    </xf>
    <xf borderId="16" fillId="8" fontId="1" numFmtId="49" xfId="0" applyAlignment="1" applyBorder="1" applyFont="1" applyNumberFormat="1">
      <alignment horizontal="center" shrinkToFit="0" vertical="center" wrapText="0"/>
    </xf>
    <xf borderId="12" fillId="8" fontId="1" numFmtId="49" xfId="0" applyAlignment="1" applyBorder="1" applyFont="1" applyNumberFormat="1">
      <alignment horizontal="center" shrinkToFit="0" vertical="center" wrapText="0"/>
    </xf>
    <xf borderId="0" fillId="9" fontId="1" numFmtId="0" xfId="0" applyAlignment="1" applyFont="1">
      <alignment horizontal="center" shrinkToFit="0" vertical="center" wrapText="0"/>
    </xf>
    <xf borderId="17" fillId="0" fontId="5" numFmtId="0" xfId="0" applyBorder="1" applyFont="1"/>
    <xf borderId="12" fillId="8" fontId="1" numFmtId="20" xfId="0" applyAlignment="1" applyBorder="1" applyFont="1" applyNumberFormat="1">
      <alignment horizontal="center" shrinkToFit="0" vertical="center" wrapText="0"/>
    </xf>
    <xf borderId="27" fillId="11" fontId="10" numFmtId="49" xfId="0" applyAlignment="1" applyBorder="1" applyFont="1" applyNumberFormat="1">
      <alignment horizontal="center"/>
    </xf>
    <xf borderId="28" fillId="8" fontId="1" numFmtId="49" xfId="0" applyAlignment="1" applyBorder="1" applyFont="1" applyNumberFormat="1">
      <alignment horizontal="center" shrinkToFit="0" vertical="center" wrapText="0"/>
    </xf>
    <xf borderId="23" fillId="8" fontId="1" numFmtId="20" xfId="0" applyAlignment="1" applyBorder="1" applyFont="1" applyNumberFormat="1">
      <alignment horizontal="center" shrinkToFit="0" vertical="center" wrapText="0"/>
    </xf>
    <xf borderId="15" fillId="8" fontId="1" numFmtId="20" xfId="0" applyAlignment="1" applyBorder="1" applyFont="1" applyNumberFormat="1">
      <alignment horizontal="center" shrinkToFit="0" vertical="center" wrapText="0"/>
    </xf>
    <xf borderId="29" fillId="11" fontId="10" numFmtId="49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vertical="bottom"/>
    </xf>
    <xf borderId="10" fillId="9" fontId="1" numFmtId="49" xfId="0" applyAlignment="1" applyBorder="1" applyFont="1" applyNumberFormat="1">
      <alignment horizontal="center" shrinkToFit="0" vertical="center" wrapText="0"/>
    </xf>
    <xf borderId="25" fillId="9" fontId="17" numFmtId="0" xfId="0" applyAlignment="1" applyBorder="1" applyFont="1">
      <alignment horizontal="center" shrinkToFit="0" vertical="bottom" wrapText="1"/>
    </xf>
    <xf borderId="25" fillId="9" fontId="13" numFmtId="0" xfId="0" applyAlignment="1" applyBorder="1" applyFont="1">
      <alignment horizontal="center" shrinkToFit="0" vertical="bottom" wrapText="1"/>
    </xf>
    <xf borderId="25" fillId="12" fontId="17" numFmtId="0" xfId="0" applyAlignment="1" applyBorder="1" applyFill="1" applyFont="1">
      <alignment horizontal="center" shrinkToFit="0" vertical="bottom" wrapText="1"/>
    </xf>
    <xf borderId="25" fillId="12" fontId="17" numFmtId="166" xfId="0" applyAlignment="1" applyBorder="1" applyFont="1" applyNumberFormat="1">
      <alignment horizontal="center" shrinkToFit="0" vertical="bottom" wrapText="1"/>
    </xf>
    <xf borderId="25" fillId="12" fontId="1" numFmtId="0" xfId="0" applyAlignment="1" applyBorder="1" applyFont="1">
      <alignment horizontal="center" vertical="bottom"/>
    </xf>
    <xf borderId="21" fillId="0" fontId="13" numFmtId="49" xfId="0" applyAlignment="1" applyBorder="1" applyFont="1" applyNumberFormat="1">
      <alignment horizontal="center" shrinkToFit="0" vertical="center" wrapText="0"/>
    </xf>
    <xf borderId="30" fillId="0" fontId="13" numFmtId="49" xfId="0" applyAlignment="1" applyBorder="1" applyFont="1" applyNumberFormat="1">
      <alignment horizontal="center" shrinkToFit="0" vertical="center" wrapText="0"/>
    </xf>
    <xf borderId="27" fillId="9" fontId="13" numFmtId="0" xfId="0" applyAlignment="1" applyBorder="1" applyFont="1">
      <alignment horizontal="center" shrinkToFit="0" vertical="bottom" wrapText="1"/>
    </xf>
    <xf borderId="27" fillId="9" fontId="17" numFmtId="0" xfId="0" applyAlignment="1" applyBorder="1" applyFont="1">
      <alignment horizontal="center" shrinkToFit="0" vertical="bottom" wrapText="1"/>
    </xf>
    <xf borderId="25" fillId="8" fontId="1" numFmtId="49" xfId="0" applyAlignment="1" applyBorder="1" applyFont="1" applyNumberFormat="1">
      <alignment horizontal="center" shrinkToFit="0" vertical="center" wrapText="0"/>
    </xf>
    <xf borderId="12" fillId="5" fontId="1" numFmtId="49" xfId="0" applyAlignment="1" applyBorder="1" applyFont="1" applyNumberFormat="1">
      <alignment horizontal="center"/>
    </xf>
    <xf borderId="12" fillId="13" fontId="18" numFmtId="0" xfId="0" applyAlignment="1" applyBorder="1" applyFill="1" applyFont="1">
      <alignment horizontal="center" readingOrder="0" shrinkToFit="0" vertical="center" wrapText="0"/>
    </xf>
    <xf borderId="24" fillId="11" fontId="13" numFmtId="49" xfId="0" applyAlignment="1" applyBorder="1" applyFont="1" applyNumberFormat="1">
      <alignment horizontal="center"/>
    </xf>
    <xf borderId="31" fillId="0" fontId="5" numFmtId="0" xfId="0" applyBorder="1" applyFont="1"/>
    <xf borderId="32" fillId="8" fontId="16" numFmtId="0" xfId="0" applyAlignment="1" applyBorder="1" applyFont="1">
      <alignment readingOrder="0" vertical="center"/>
    </xf>
    <xf borderId="25" fillId="8" fontId="1" numFmtId="20" xfId="0" applyAlignment="1" applyBorder="1" applyFont="1" applyNumberFormat="1">
      <alignment horizontal="center" shrinkToFit="0" vertical="center" wrapText="0"/>
    </xf>
    <xf borderId="13" fillId="11" fontId="13" numFmtId="49" xfId="0" applyAlignment="1" applyBorder="1" applyFont="1" applyNumberFormat="1">
      <alignment horizontal="center"/>
    </xf>
    <xf borderId="25" fillId="14" fontId="17" numFmtId="0" xfId="0" applyAlignment="1" applyBorder="1" applyFill="1" applyFont="1">
      <alignment horizontal="center" shrinkToFit="0" vertical="bottom" wrapText="1"/>
    </xf>
    <xf borderId="25" fillId="15" fontId="1" numFmtId="0" xfId="0" applyAlignment="1" applyBorder="1" applyFill="1" applyFont="1">
      <alignment horizontal="center" vertical="bottom"/>
    </xf>
    <xf borderId="33" fillId="8" fontId="1" numFmtId="49" xfId="0" applyAlignment="1" applyBorder="1" applyFont="1" applyNumberFormat="1">
      <alignment horizontal="center" readingOrder="0" shrinkToFit="0" vertical="center" wrapText="0"/>
    </xf>
    <xf borderId="25" fillId="8" fontId="1" numFmtId="49" xfId="0" applyAlignment="1" applyBorder="1" applyFont="1" applyNumberFormat="1">
      <alignment horizontal="center" readingOrder="0" shrinkToFit="0" vertical="center" wrapText="0"/>
    </xf>
    <xf borderId="34" fillId="9" fontId="13" numFmtId="0" xfId="0" applyAlignment="1" applyBorder="1" applyFont="1">
      <alignment horizontal="center" shrinkToFit="0" vertical="bottom" wrapText="1"/>
    </xf>
    <xf borderId="35" fillId="0" fontId="5" numFmtId="0" xfId="0" applyBorder="1" applyFont="1"/>
    <xf borderId="27" fillId="9" fontId="13" numFmtId="10" xfId="0" applyAlignment="1" applyBorder="1" applyFont="1" applyNumberFormat="1">
      <alignment horizontal="center" shrinkToFit="0" vertical="bottom" wrapText="1"/>
    </xf>
    <xf borderId="36" fillId="0" fontId="5" numFmtId="0" xfId="0" applyBorder="1" applyFont="1"/>
    <xf borderId="12" fillId="0" fontId="5" numFmtId="0" xfId="0" applyBorder="1" applyFont="1"/>
    <xf borderId="12" fillId="13" fontId="18" numFmtId="49" xfId="0" applyAlignment="1" applyBorder="1" applyFont="1" applyNumberFormat="1">
      <alignment horizontal="center" shrinkToFit="0" vertical="center" wrapText="0"/>
    </xf>
    <xf borderId="37" fillId="15" fontId="1" numFmtId="0" xfId="0" applyAlignment="1" applyBorder="1" applyFont="1">
      <alignment horizontal="center" vertical="bottom"/>
    </xf>
    <xf borderId="33" fillId="0" fontId="5" numFmtId="0" xfId="0" applyBorder="1" applyFont="1"/>
    <xf borderId="25" fillId="12" fontId="1" numFmtId="10" xfId="0" applyAlignment="1" applyBorder="1" applyFont="1" applyNumberFormat="1">
      <alignment horizontal="center" vertical="bottom"/>
    </xf>
    <xf borderId="33" fillId="8" fontId="1" numFmtId="49" xfId="0" applyAlignment="1" applyBorder="1" applyFont="1" applyNumberFormat="1">
      <alignment horizontal="center" shrinkToFit="0" vertical="center" wrapText="0"/>
    </xf>
    <xf borderId="0" fillId="16" fontId="1" numFmtId="168" xfId="0" applyAlignment="1" applyFill="1" applyFont="1" applyNumberFormat="1">
      <alignment vertical="bottom"/>
    </xf>
    <xf borderId="27" fillId="9" fontId="17" numFmtId="10" xfId="0" applyAlignment="1" applyBorder="1" applyFont="1" applyNumberFormat="1">
      <alignment horizontal="center" shrinkToFit="0" vertical="bottom" wrapText="1"/>
    </xf>
    <xf borderId="16" fillId="8" fontId="1" numFmtId="0" xfId="0" applyAlignment="1" applyBorder="1" applyFont="1">
      <alignment horizontal="center" shrinkToFit="0" vertical="center" wrapText="0"/>
    </xf>
    <xf borderId="12" fillId="5" fontId="1" numFmtId="0" xfId="0" applyAlignment="1" applyBorder="1" applyFont="1">
      <alignment horizontal="center"/>
    </xf>
    <xf borderId="12" fillId="13" fontId="18" numFmtId="0" xfId="0" applyAlignment="1" applyBorder="1" applyFont="1">
      <alignment horizontal="center" shrinkToFit="0" vertical="center" wrapText="0"/>
    </xf>
    <xf borderId="13" fillId="11" fontId="13" numFmtId="0" xfId="0" applyAlignment="1" applyBorder="1" applyFont="1">
      <alignment horizontal="center"/>
    </xf>
    <xf borderId="0" fillId="16" fontId="1" numFmtId="0" xfId="0" applyAlignment="1" applyFont="1">
      <alignment vertical="bottom"/>
    </xf>
    <xf borderId="28" fillId="17" fontId="13" numFmtId="0" xfId="0" applyAlignment="1" applyBorder="1" applyFill="1" applyFont="1">
      <alignment horizontal="center" shrinkToFit="0" vertical="center" wrapText="0"/>
    </xf>
    <xf borderId="15" fillId="17" fontId="13" numFmtId="0" xfId="0" applyAlignment="1" applyBorder="1" applyFont="1">
      <alignment horizontal="center" shrinkToFit="0" vertical="center" wrapText="0"/>
    </xf>
    <xf borderId="23" fillId="0" fontId="5" numFmtId="0" xfId="0" applyBorder="1" applyFont="1"/>
    <xf borderId="23" fillId="5" fontId="13" numFmtId="0" xfId="0" applyAlignment="1" applyBorder="1" applyFont="1">
      <alignment horizontal="center"/>
    </xf>
    <xf borderId="23" fillId="17" fontId="13" numFmtId="0" xfId="0" applyAlignment="1" applyBorder="1" applyFont="1">
      <alignment horizontal="center" shrinkToFit="0" vertical="center" wrapText="0"/>
    </xf>
    <xf borderId="11" fillId="17" fontId="13" numFmtId="0" xfId="0" applyAlignment="1" applyBorder="1" applyFont="1">
      <alignment horizontal="center"/>
    </xf>
    <xf borderId="24" fillId="16" fontId="1" numFmtId="0" xfId="0" applyAlignment="1" applyBorder="1" applyFont="1">
      <alignment vertical="bottom"/>
    </xf>
    <xf borderId="0" fillId="11" fontId="2" numFmtId="2" xfId="0" applyAlignment="1" applyFont="1" applyNumberFormat="1">
      <alignment horizontal="center" vertical="center"/>
    </xf>
    <xf borderId="2" fillId="11" fontId="2" numFmtId="2" xfId="0" applyAlignment="1" applyBorder="1" applyFont="1" applyNumberFormat="1">
      <alignment horizontal="center" readingOrder="0" vertical="center"/>
    </xf>
    <xf borderId="3" fillId="2" fontId="19" numFmtId="164" xfId="0" applyAlignment="1" applyBorder="1" applyFont="1" applyNumberFormat="1">
      <alignment horizontal="center" readingOrder="0" shrinkToFit="0" vertical="center" wrapText="0"/>
    </xf>
    <xf borderId="2" fillId="18" fontId="20" numFmtId="0" xfId="0" applyAlignment="1" applyBorder="1" applyFill="1" applyFont="1">
      <alignment horizontal="center" readingOrder="0" shrinkToFit="0" vertical="center" wrapText="1"/>
    </xf>
    <xf borderId="4" fillId="2" fontId="19" numFmtId="164" xfId="0" applyAlignment="1" applyBorder="1" applyFont="1" applyNumberFormat="1">
      <alignment horizontal="center" readingOrder="0" shrinkToFit="0" vertical="center" wrapText="0"/>
    </xf>
    <xf borderId="5" fillId="2" fontId="6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0" fillId="2" fontId="6" numFmtId="166" xfId="0" applyAlignment="1" applyFont="1" applyNumberFormat="1">
      <alignment horizontal="center" readingOrder="0" vertical="center"/>
    </xf>
    <xf borderId="20" fillId="2" fontId="9" numFmtId="0" xfId="0" applyAlignment="1" applyBorder="1" applyFont="1">
      <alignment horizontal="center" vertical="center"/>
    </xf>
    <xf borderId="22" fillId="2" fontId="10" numFmtId="166" xfId="0" applyAlignment="1" applyBorder="1" applyFont="1" applyNumberFormat="1">
      <alignment horizontal="center" readingOrder="0" vertical="center"/>
    </xf>
    <xf borderId="0" fillId="2" fontId="10" numFmtId="10" xfId="0" applyAlignment="1" applyFont="1" applyNumberFormat="1">
      <alignment horizontal="center" readingOrder="0" vertical="center"/>
    </xf>
    <xf borderId="0" fillId="2" fontId="10" numFmtId="166" xfId="0" applyAlignment="1" applyFont="1" applyNumberFormat="1">
      <alignment horizontal="center" readingOrder="0" vertical="center"/>
    </xf>
    <xf borderId="0" fillId="2" fontId="11" numFmtId="167" xfId="0" applyAlignment="1" applyFont="1" applyNumberFormat="1">
      <alignment horizontal="center" readingOrder="0" vertical="center"/>
    </xf>
    <xf borderId="3" fillId="2" fontId="11" numFmtId="167" xfId="0" applyAlignment="1" applyBorder="1" applyFont="1" applyNumberFormat="1">
      <alignment horizontal="center" readingOrder="0" vertical="center"/>
    </xf>
    <xf borderId="16" fillId="2" fontId="9" numFmtId="0" xfId="0" applyAlignment="1" applyBorder="1" applyFont="1">
      <alignment horizontal="center" vertical="center"/>
    </xf>
    <xf borderId="13" fillId="2" fontId="10" numFmtId="166" xfId="0" applyAlignment="1" applyBorder="1" applyFont="1" applyNumberFormat="1">
      <alignment horizontal="center" readingOrder="0" vertical="center"/>
    </xf>
    <xf borderId="0" fillId="2" fontId="6" numFmtId="0" xfId="0" applyAlignment="1" applyFont="1">
      <alignment horizontal="left" readingOrder="0" vertical="center"/>
    </xf>
    <xf borderId="3" fillId="2" fontId="6" numFmtId="0" xfId="0" applyAlignment="1" applyBorder="1" applyFont="1">
      <alignment horizontal="left" readingOrder="0" vertical="center"/>
    </xf>
    <xf borderId="14" fillId="2" fontId="6" numFmtId="0" xfId="0" applyAlignment="1" applyBorder="1" applyFont="1">
      <alignment horizontal="left" readingOrder="0" vertical="center"/>
    </xf>
    <xf borderId="16" fillId="2" fontId="9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10" fillId="2" fontId="7" numFmtId="0" xfId="0" applyAlignment="1" applyBorder="1" applyFont="1">
      <alignment horizontal="center" readingOrder="0" vertical="center"/>
    </xf>
    <xf borderId="19" fillId="2" fontId="7" numFmtId="0" xfId="0" applyAlignment="1" applyBorder="1" applyFont="1">
      <alignment horizontal="center" readingOrder="0" vertical="center"/>
    </xf>
    <xf borderId="0" fillId="13" fontId="22" numFmtId="0" xfId="0" applyFont="1"/>
    <xf borderId="38" fillId="2" fontId="9" numFmtId="0" xfId="0" applyAlignment="1" applyBorder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3" fillId="2" fontId="12" numFmtId="0" xfId="0" applyAlignment="1" applyBorder="1" applyFont="1">
      <alignment horizontal="center" readingOrder="0" vertical="center"/>
    </xf>
    <xf borderId="14" fillId="2" fontId="13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0" fillId="2" fontId="13" numFmtId="0" xfId="0" applyAlignment="1" applyFont="1">
      <alignment horizontal="center" readingOrder="0" vertical="center"/>
    </xf>
    <xf borderId="20" fillId="2" fontId="13" numFmtId="0" xfId="0" applyAlignment="1" applyBorder="1" applyFont="1">
      <alignment horizontal="center" readingOrder="0" vertical="center"/>
    </xf>
    <xf borderId="21" fillId="2" fontId="13" numFmtId="0" xfId="0" applyAlignment="1" applyBorder="1" applyFont="1">
      <alignment horizontal="center" readingOrder="0" vertical="center"/>
    </xf>
    <xf borderId="21" fillId="13" fontId="13" numFmtId="20" xfId="0" applyAlignment="1" applyBorder="1" applyFont="1" applyNumberFormat="1">
      <alignment horizontal="center" vertical="center"/>
    </xf>
    <xf borderId="39" fillId="2" fontId="13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readingOrder="0" vertical="center"/>
    </xf>
    <xf borderId="12" fillId="2" fontId="9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6" fillId="2" fontId="1" numFmtId="49" xfId="0" applyAlignment="1" applyBorder="1" applyFont="1" applyNumberFormat="1">
      <alignment horizontal="center" readingOrder="0" vertical="center"/>
    </xf>
    <xf quotePrefix="1" borderId="24" fillId="13" fontId="1" numFmtId="49" xfId="0" applyAlignment="1" applyBorder="1" applyFont="1" applyNumberFormat="1">
      <alignment horizontal="center" readingOrder="0" vertical="center"/>
    </xf>
    <xf borderId="23" fillId="2" fontId="9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 vertical="center"/>
    </xf>
    <xf borderId="16" fillId="2" fontId="13" numFmtId="0" xfId="0" applyAlignment="1" applyBorder="1" applyFont="1">
      <alignment horizontal="center" vertical="center"/>
    </xf>
    <xf borderId="24" fillId="13" fontId="1" numFmtId="49" xfId="0" applyAlignment="1" applyBorder="1" applyFont="1" applyNumberFormat="1">
      <alignment horizontal="center" readingOrder="0" vertical="center"/>
    </xf>
    <xf borderId="28" fillId="2" fontId="13" numFmtId="0" xfId="0" applyAlignment="1" applyBorder="1" applyFont="1">
      <alignment horizontal="center" readingOrder="0" vertical="center"/>
    </xf>
    <xf borderId="19" fillId="2" fontId="14" numFmtId="0" xfId="0" applyAlignment="1" applyBorder="1" applyFont="1">
      <alignment horizontal="center" vertical="center"/>
    </xf>
    <xf borderId="0" fillId="2" fontId="17" numFmtId="0" xfId="0" applyAlignment="1" applyFont="1">
      <alignment horizontal="center" readingOrder="0" shrinkToFit="0" vertical="top" wrapText="1"/>
    </xf>
    <xf borderId="40" fillId="9" fontId="17" numFmtId="0" xfId="0" applyAlignment="1" applyBorder="1" applyFont="1">
      <alignment horizontal="center" readingOrder="0" shrinkToFit="0" vertical="center" wrapText="1"/>
    </xf>
    <xf borderId="41" fillId="9" fontId="17" numFmtId="0" xfId="0" applyAlignment="1" applyBorder="1" applyFont="1">
      <alignment horizontal="center" readingOrder="0" shrinkToFit="0" vertical="center" wrapText="1"/>
    </xf>
    <xf borderId="41" fillId="9" fontId="13" numFmtId="0" xfId="0" applyAlignment="1" applyBorder="1" applyFont="1">
      <alignment horizontal="center" readingOrder="0" shrinkToFit="0" vertical="center" wrapText="1"/>
    </xf>
    <xf borderId="42" fillId="9" fontId="13" numFmtId="0" xfId="0" applyAlignment="1" applyBorder="1" applyFont="1">
      <alignment horizontal="center" readingOrder="0" shrinkToFit="0" vertical="center" wrapText="1"/>
    </xf>
    <xf borderId="16" fillId="0" fontId="5" numFmtId="0" xfId="0" applyBorder="1" applyFont="1"/>
    <xf borderId="43" fillId="0" fontId="5" numFmtId="0" xfId="0" applyBorder="1" applyFont="1"/>
    <xf borderId="44" fillId="12" fontId="17" numFmtId="0" xfId="0" applyAlignment="1" applyBorder="1" applyFont="1">
      <alignment horizontal="center" readingOrder="0" shrinkToFit="0" vertical="center" wrapText="1"/>
    </xf>
    <xf borderId="25" fillId="12" fontId="17" numFmtId="166" xfId="0" applyAlignment="1" applyBorder="1" applyFont="1" applyNumberFormat="1">
      <alignment horizontal="center" readingOrder="0" shrinkToFit="0" vertical="center" wrapText="1"/>
    </xf>
    <xf borderId="25" fillId="12" fontId="1" numFmtId="0" xfId="0" applyAlignment="1" applyBorder="1" applyFont="1">
      <alignment horizontal="center" readingOrder="0" vertical="center"/>
    </xf>
    <xf borderId="45" fillId="12" fontId="17" numFmtId="0" xfId="0" applyAlignment="1" applyBorder="1" applyFont="1">
      <alignment horizontal="center" readingOrder="0" shrinkToFit="0" vertical="center" wrapText="1"/>
    </xf>
    <xf borderId="46" fillId="9" fontId="13" numFmtId="0" xfId="0" applyAlignment="1" applyBorder="1" applyFont="1">
      <alignment horizontal="center" readingOrder="0" shrinkToFit="0" vertical="center" wrapText="1"/>
    </xf>
    <xf borderId="27" fillId="9" fontId="17" numFmtId="0" xfId="0" applyAlignment="1" applyBorder="1" applyFont="1">
      <alignment horizontal="center" readingOrder="0" shrinkToFit="0" vertical="center" wrapText="1"/>
    </xf>
    <xf borderId="27" fillId="9" fontId="13" numFmtId="0" xfId="0" applyAlignment="1" applyBorder="1" applyFont="1">
      <alignment horizontal="center" readingOrder="0" shrinkToFit="0" vertical="center" wrapText="1"/>
    </xf>
    <xf borderId="47" fillId="9" fontId="17" numFmtId="0" xfId="0" applyAlignment="1" applyBorder="1" applyFont="1">
      <alignment horizontal="center" readingOrder="0" shrinkToFit="0" vertical="center" wrapText="1"/>
    </xf>
    <xf borderId="44" fillId="14" fontId="17" numFmtId="0" xfId="0" applyAlignment="1" applyBorder="1" applyFont="1">
      <alignment horizontal="center" readingOrder="0" shrinkToFit="0" vertical="center" wrapText="1"/>
    </xf>
    <xf borderId="45" fillId="19" fontId="1" numFmtId="0" xfId="0" applyAlignment="1" applyBorder="1" applyFill="1" applyFont="1">
      <alignment horizontal="center" readingOrder="0" vertical="center"/>
    </xf>
    <xf borderId="48" fillId="9" fontId="13" numFmtId="0" xfId="0" applyAlignment="1" applyBorder="1" applyFont="1">
      <alignment horizontal="center" readingOrder="0" shrinkToFit="0" vertical="center" wrapText="1"/>
    </xf>
    <xf borderId="49" fillId="0" fontId="5" numFmtId="0" xfId="0" applyBorder="1" applyFont="1"/>
    <xf borderId="50" fillId="19" fontId="1" numFmtId="0" xfId="0" applyAlignment="1" applyBorder="1" applyFont="1">
      <alignment horizontal="center" readingOrder="0" vertical="center"/>
    </xf>
    <xf borderId="25" fillId="12" fontId="1" numFmtId="10" xfId="0" applyAlignment="1" applyBorder="1" applyFont="1" applyNumberFormat="1">
      <alignment horizontal="center" readingOrder="0" vertical="center"/>
    </xf>
    <xf borderId="45" fillId="12" fontId="1" numFmtId="0" xfId="0" applyAlignment="1" applyBorder="1" applyFont="1">
      <alignment horizontal="center" readingOrder="0" vertical="center"/>
    </xf>
    <xf borderId="18" fillId="16" fontId="17" numFmtId="0" xfId="0" applyAlignment="1" applyBorder="1" applyFont="1">
      <alignment horizontal="center" readingOrder="0" shrinkToFit="0" vertical="center" wrapText="1"/>
    </xf>
    <xf borderId="28" fillId="2" fontId="1" numFmtId="49" xfId="0" applyAlignment="1" applyBorder="1" applyFont="1" applyNumberFormat="1">
      <alignment horizontal="center" readingOrder="0" vertical="center"/>
    </xf>
    <xf borderId="15" fillId="13" fontId="1" numFmtId="49" xfId="0" applyAlignment="1" applyBorder="1" applyFont="1" applyNumberFormat="1">
      <alignment horizontal="center" readingOrder="0" vertical="center"/>
    </xf>
    <xf borderId="29" fillId="12" fontId="1" numFmtId="10" xfId="0" applyAlignment="1" applyBorder="1" applyFont="1" applyNumberFormat="1">
      <alignment horizontal="center" readingOrder="0" vertical="center"/>
    </xf>
    <xf borderId="51" fillId="12" fontId="1" numFmtId="10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2" numFmtId="11" xfId="0" applyAlignment="1" applyFont="1" applyNumberFormat="1">
      <alignment readingOrder="0"/>
    </xf>
    <xf borderId="0" fillId="0" fontId="22" numFmtId="11" xfId="0" applyFont="1" applyNumberFormat="1"/>
    <xf borderId="0" fillId="0" fontId="22" numFmtId="14" xfId="0" applyAlignment="1" applyFont="1" applyNumberFormat="1">
      <alignment readingOrder="0"/>
    </xf>
    <xf quotePrefix="1" borderId="0" fillId="0" fontId="22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20" fontId="1" numFmtId="0" xfId="0" applyAlignment="1" applyFill="1" applyFont="1">
      <alignment vertical="bottom"/>
    </xf>
    <xf borderId="0" fillId="20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5" fontId="1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790575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8</xdr:col>
      <xdr:colOff>952500</xdr:colOff>
      <xdr:row>16</xdr:row>
      <xdr:rowOff>171450</xdr:rowOff>
    </xdr:from>
    <xdr:ext cx="1266825" cy="1133475"/>
    <xdr:sp>
      <xdr:nvSpPr>
        <xdr:cNvPr id="4" name="Shape 4"/>
        <xdr:cNvSpPr/>
      </xdr:nvSpPr>
      <xdr:spPr>
        <a:xfrm>
          <a:off x="2945825" y="1555125"/>
          <a:ext cx="1248600" cy="1116600"/>
        </a:xfrm>
        <a:prstGeom prst="smileyFace">
          <a:avLst>
            <a:gd fmla="val 4653" name="adj"/>
          </a:avLst>
        </a:prstGeom>
        <a:solidFill>
          <a:srgbClr val="FFD96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504825</xdr:colOff>
      <xdr:row>1</xdr:row>
      <xdr:rowOff>219075</xdr:rowOff>
    </xdr:from>
    <xdr:ext cx="1428750" cy="476250"/>
    <xdr:sp>
      <xdr:nvSpPr>
        <xdr:cNvPr id="5" name="Shape 5"/>
        <xdr:cNvSpPr/>
      </xdr:nvSpPr>
      <xdr:spPr>
        <a:xfrm>
          <a:off x="3417850" y="683575"/>
          <a:ext cx="1822800" cy="654000"/>
        </a:xfrm>
        <a:prstGeom prst="rect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Nahraj z databaze</a:t>
          </a:r>
          <a:endParaRPr b="1" sz="15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2" max="2" width="16.75"/>
    <col customWidth="1" min="3" max="3" width="15.13"/>
    <col customWidth="1" min="11" max="11" width="11.63"/>
    <col customWidth="1" min="12" max="12" width="17.88"/>
  </cols>
  <sheetData>
    <row r="1">
      <c r="A1" s="1"/>
      <c r="B1" s="2" t="s">
        <v>0</v>
      </c>
      <c r="C1" s="3" t="s">
        <v>1</v>
      </c>
      <c r="D1" s="4">
        <v>46118.0</v>
      </c>
      <c r="E1" s="5"/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</row>
    <row r="2" ht="19.5" customHeight="1">
      <c r="A2" s="1"/>
      <c r="B2" s="11"/>
      <c r="C2" s="11"/>
      <c r="D2" s="12"/>
      <c r="E2" s="13"/>
      <c r="F2" s="14">
        <f>IFERROR(__xludf.DUMMYFUNCTION("IF(I2&gt;0, 100 / (I2 / 112 * 100 / ((SUM(A12:A21, A25:A31) + (M17 + I32) + IFERROR(SUM(FILTER(HR!W5:W48, LEN(HR!A5:A48) &gt; 0)), 0)) / 100)), ""Zadej tržbu"")"),1.207404622675621)</f>
        <v>1.207404623</v>
      </c>
      <c r="H2" s="15"/>
      <c r="I2" s="16">
        <f>SUM(RestiaCSV!C:C) - SUMIFS(RestiaCSV!C:C, RestiaCSV!B:B, "canceled")</f>
        <v>6691</v>
      </c>
      <c r="K2" s="15"/>
      <c r="L2" s="17" t="s">
        <v>5</v>
      </c>
      <c r="M2" s="18">
        <f>SUMIFS(RestiaCSV!C:C, RestiaCSV!A:A, Report!L2, RestiaCSV!B:B, "&lt;&gt;canceled")</f>
        <v>0</v>
      </c>
    </row>
    <row r="3">
      <c r="A3" s="1"/>
      <c r="B3" s="19" t="str">
        <f>CHOOSE(WEEKDAY(D1), "Neděle", "Pondělí", "Úterý", "Středa", "Čtvrtek", "Pátek", "Sobota")</f>
        <v>Pondělí</v>
      </c>
      <c r="C3" s="20"/>
      <c r="D3" s="20"/>
      <c r="E3" s="5"/>
      <c r="H3" s="15"/>
      <c r="K3" s="15"/>
      <c r="L3" s="17" t="s">
        <v>6</v>
      </c>
      <c r="M3" s="18">
        <f>SUMIFS(RestiaCSV!C:C, RestiaCSV!A:A, Report!L3, RestiaCSV!B:B, "&lt;&gt;canceled")</f>
        <v>1794</v>
      </c>
    </row>
    <row r="4">
      <c r="A4" s="1"/>
      <c r="B4" s="12"/>
      <c r="C4" s="21"/>
      <c r="D4" s="21"/>
      <c r="E4" s="13"/>
      <c r="F4" s="21"/>
      <c r="G4" s="21"/>
      <c r="H4" s="13"/>
      <c r="I4" s="21"/>
      <c r="J4" s="21"/>
      <c r="K4" s="13"/>
      <c r="L4" s="17" t="s">
        <v>7</v>
      </c>
      <c r="M4" s="18">
        <f>SUMIFS(RestiaCSV!C:C, RestiaCSV!A:A, "damejidlo", RestiaCSV!G:G, "online", RestiaCSV!B:B, "&lt;&gt;canceled")</f>
        <v>950</v>
      </c>
    </row>
    <row r="5">
      <c r="A5" s="1"/>
      <c r="B5" s="22" t="s">
        <v>8</v>
      </c>
      <c r="C5" s="20"/>
      <c r="D5" s="20"/>
      <c r="E5" s="20"/>
      <c r="F5" s="20"/>
      <c r="G5" s="20"/>
      <c r="H5" s="20"/>
      <c r="I5" s="20"/>
      <c r="J5" s="20"/>
      <c r="K5" s="5"/>
      <c r="L5" s="23" t="s">
        <v>9</v>
      </c>
      <c r="M5" s="18">
        <f>SUMIFS(RestiaCSV!C:C, RestiaCSV!A:A, "generic", RestiaCSV!G:G, "online", RestiaCSV!B:B, "&lt;&gt;canceled") </f>
        <v>591</v>
      </c>
    </row>
    <row r="6">
      <c r="A6" s="1"/>
      <c r="B6" s="12"/>
      <c r="C6" s="21"/>
      <c r="D6" s="21"/>
      <c r="E6" s="21"/>
      <c r="F6" s="21"/>
      <c r="G6" s="21"/>
      <c r="H6" s="21"/>
      <c r="I6" s="21"/>
      <c r="J6" s="21"/>
      <c r="K6" s="13"/>
      <c r="L6" s="23" t="s">
        <v>10</v>
      </c>
      <c r="M6" s="18">
        <f>SUMIFS(RestiaCSV!C:C, RestiaCSV!E:E, "wolt kurýr", RestiaCSV!A:A, "&lt;&gt;wolt", RestiaCSV!G:G, "cash", RestiaCSV!B:B, "&lt;&gt;canceled")</f>
        <v>0</v>
      </c>
    </row>
    <row r="7">
      <c r="A7" s="1"/>
      <c r="B7" s="24"/>
      <c r="C7" s="20"/>
      <c r="D7" s="20"/>
      <c r="E7" s="5"/>
      <c r="F7" s="25"/>
      <c r="J7" s="26"/>
      <c r="K7" s="5"/>
      <c r="L7" s="27" t="s">
        <v>11</v>
      </c>
      <c r="M7" s="28">
        <f>SUMIFS(RestiaCSV!C:C, RestiaCSV!A:A, "damejidlo", RestiaCSV!G:G, "cash", RestiaCSV!B:B, "&lt;&gt;canceled") </f>
        <v>249</v>
      </c>
    </row>
    <row r="8">
      <c r="A8" s="1"/>
      <c r="B8" s="29"/>
      <c r="E8" s="15"/>
      <c r="J8" s="29"/>
      <c r="K8" s="15"/>
      <c r="L8" s="30" t="s">
        <v>12</v>
      </c>
      <c r="M8" s="8"/>
    </row>
    <row r="9">
      <c r="A9" s="1"/>
      <c r="B9" s="12"/>
      <c r="C9" s="21"/>
      <c r="D9" s="21"/>
      <c r="E9" s="13"/>
      <c r="F9" s="21"/>
      <c r="G9" s="21"/>
      <c r="H9" s="21"/>
      <c r="I9" s="21"/>
      <c r="J9" s="12"/>
      <c r="K9" s="13"/>
      <c r="L9" s="17" t="s">
        <v>13</v>
      </c>
      <c r="M9" s="31">
        <v>1399.0</v>
      </c>
    </row>
    <row r="10">
      <c r="A10" s="1"/>
      <c r="B10" s="32" t="s">
        <v>14</v>
      </c>
      <c r="F10" s="15"/>
      <c r="G10" s="33" t="s">
        <v>15</v>
      </c>
      <c r="H10" s="21"/>
      <c r="I10" s="13"/>
      <c r="J10" s="34" t="s">
        <v>16</v>
      </c>
      <c r="K10" s="13"/>
      <c r="L10" s="17" t="s">
        <v>17</v>
      </c>
      <c r="M10" s="31"/>
    </row>
    <row r="11">
      <c r="A11" s="35"/>
      <c r="B11" s="36" t="s">
        <v>18</v>
      </c>
      <c r="C11" s="37" t="s">
        <v>19</v>
      </c>
      <c r="D11" s="37" t="s">
        <v>20</v>
      </c>
      <c r="E11" s="37" t="s">
        <v>21</v>
      </c>
      <c r="F11" s="38" t="s">
        <v>22</v>
      </c>
      <c r="G11" s="39" t="s">
        <v>23</v>
      </c>
      <c r="I11" s="15"/>
      <c r="J11" s="40">
        <f>M2+M3+M4+M5+M6+M13+M14+M15+M16+M17+M9+M10+M11-I2</f>
        <v>0</v>
      </c>
      <c r="K11" s="5"/>
      <c r="L11" s="41" t="s">
        <v>12</v>
      </c>
      <c r="M11" s="31">
        <v>1822.0</v>
      </c>
    </row>
    <row r="12">
      <c r="A12" s="42">
        <f t="array" ref="A12">IF(ISBLANK(B12), 0, IF(ISNUMBER(MATCH(B12, HR!A:A, 0)), 0, IF(ISNUMBER(MATCH(B12, HR!B:B, 0)), INDEX(HR!V:V, MATCH(B12, HR!B:B, 0)) * (F12 * 24), 0)))</f>
        <v>1751.442</v>
      </c>
      <c r="B12" s="43" t="s">
        <v>23</v>
      </c>
      <c r="C12" s="44" t="s">
        <v>24</v>
      </c>
      <c r="D12" s="44" t="s">
        <v>25</v>
      </c>
      <c r="E12" s="45"/>
      <c r="F12" s="4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07:00</v>
      </c>
      <c r="I12" s="15"/>
      <c r="J12" s="29"/>
      <c r="K12" s="15"/>
      <c r="L12" s="47" t="s">
        <v>26</v>
      </c>
      <c r="M12" s="13"/>
    </row>
    <row r="13">
      <c r="A13" s="42">
        <f t="array" ref="A13">IF(ISBLANK(B13), 0, IF(ISNUMBER(MATCH(B13, HR!A:A, 0)), 0, IF(ISNUMBER(MATCH(B13, HR!B:B, 0)), INDEX(HR!V:V, MATCH(B13, HR!B:B, 0)) * (F13 * 24), 0)))</f>
        <v>0</v>
      </c>
      <c r="B13" s="48" t="s">
        <v>27</v>
      </c>
      <c r="C13" s="44" t="s">
        <v>28</v>
      </c>
      <c r="D13" s="44" t="s">
        <v>29</v>
      </c>
      <c r="E13" s="49"/>
      <c r="F13" s="46" t="str">
        <f t="shared" si="1"/>
        <v>08:00</v>
      </c>
      <c r="G13" s="21"/>
      <c r="H13" s="21"/>
      <c r="I13" s="13"/>
      <c r="J13" s="29"/>
      <c r="K13" s="15"/>
      <c r="L13" s="17" t="s">
        <v>30</v>
      </c>
      <c r="M13" s="50"/>
    </row>
    <row r="14">
      <c r="A14" s="42">
        <f t="array" ref="A14">IF(ISBLANK(B14), 0, IF(ISNUMBER(MATCH(B14, HR!A:A, 0)), 0, IF(ISNUMBER(MATCH(B14, HR!B:B, 0)), INDEX(HR!V:V, MATCH(B14, HR!B:B, 0)) * (F14 * 24), 0)))</f>
        <v>0</v>
      </c>
      <c r="B14" s="51" t="s">
        <v>31</v>
      </c>
      <c r="C14" s="44" t="s">
        <v>25</v>
      </c>
      <c r="D14" s="44" t="s">
        <v>32</v>
      </c>
      <c r="E14" s="45"/>
      <c r="F14" s="52" t="str">
        <f t="shared" si="1"/>
        <v>08:00</v>
      </c>
      <c r="G14" s="53"/>
      <c r="I14" s="15"/>
      <c r="J14" s="29"/>
      <c r="K14" s="15"/>
      <c r="L14" s="54" t="s">
        <v>33</v>
      </c>
      <c r="M14" s="50"/>
    </row>
    <row r="15">
      <c r="A15" s="42">
        <f t="array" ref="A15">IF(ISBLANK(B15), 0, IF(ISNUMBER(MATCH(B15, HR!A:A, 0)), 0, IF(ISNUMBER(MATCH(B15, HR!B:B, 0)), INDEX(HR!V:V, MATCH(B15, HR!B:B, 0)) * (F15 * 24), 0)))</f>
        <v>0</v>
      </c>
      <c r="B15" s="55"/>
      <c r="C15" s="44"/>
      <c r="D15" s="44"/>
      <c r="E15" s="56"/>
      <c r="F15" s="52" t="str">
        <f t="shared" si="1"/>
        <v>0:00</v>
      </c>
      <c r="I15" s="15"/>
      <c r="J15" s="29"/>
      <c r="K15" s="15"/>
      <c r="L15" s="54" t="s">
        <v>34</v>
      </c>
      <c r="M15" s="50"/>
    </row>
    <row r="16">
      <c r="A16" s="42">
        <f t="array" ref="A16">IF(ISBLANK(B16), 0, IF(ISNUMBER(MATCH(B16, HR!A:A, 0)), 0, IF(ISNUMBER(MATCH(B16, HR!B:B, 0)), INDEX(HR!V:V, MATCH(B16, HR!B:B, 0)) * (F16 * 24), 0)))</f>
        <v>0</v>
      </c>
      <c r="B16" s="43"/>
      <c r="C16" s="44"/>
      <c r="D16" s="44"/>
      <c r="E16" s="56"/>
      <c r="F16" s="52" t="str">
        <f t="shared" si="1"/>
        <v>0:00</v>
      </c>
      <c r="I16" s="15"/>
      <c r="J16" s="29"/>
      <c r="K16" s="15"/>
      <c r="L16" s="54" t="s">
        <v>35</v>
      </c>
      <c r="M16" s="50">
        <v>15.0</v>
      </c>
    </row>
    <row r="17">
      <c r="A17" s="42">
        <f t="array" ref="A17">IF(ISBLANK(B17), 0, IF(ISNUMBER(MATCH(B17, HR!A:A, 0)), 0, IF(ISNUMBER(MATCH(B17, HR!B:B, 0)), INDEX(HR!V:V, MATCH(B17, HR!B:B, 0)) * (F17 * 24), 0)))</f>
        <v>0</v>
      </c>
      <c r="B17" s="43"/>
      <c r="C17" s="44"/>
      <c r="D17" s="44"/>
      <c r="E17" s="45"/>
      <c r="F17" s="52" t="str">
        <f t="shared" si="1"/>
        <v>0:00</v>
      </c>
      <c r="G17" s="21"/>
      <c r="H17" s="21"/>
      <c r="I17" s="13"/>
      <c r="J17" s="12"/>
      <c r="K17" s="13"/>
      <c r="L17" s="57" t="s">
        <v>36</v>
      </c>
      <c r="M17" s="58">
        <f>SUM(I25:I31)</f>
        <v>120</v>
      </c>
    </row>
    <row r="18" ht="21.75" customHeight="1">
      <c r="A18" s="42">
        <f t="array" ref="A18">IF(ISBLANK(B18), 0, IF(ISNUMBER(MATCH(B18, HR!A:A, 0)), 0, IF(ISNUMBER(MATCH(B18, HR!B:B, 0)), INDEX(HR!V:V, MATCH(B18, HR!B:B, 0)) * (F18 * 24), 0)))</f>
        <v>0</v>
      </c>
      <c r="B18" s="59"/>
      <c r="C18" s="60"/>
      <c r="D18" s="60"/>
      <c r="E18" s="56"/>
      <c r="F18" s="52" t="str">
        <f t="shared" si="1"/>
        <v>0:00</v>
      </c>
      <c r="G18" s="33" t="s">
        <v>37</v>
      </c>
      <c r="H18" s="21"/>
      <c r="I18" s="13"/>
      <c r="J18" s="61"/>
      <c r="M18" s="62"/>
    </row>
    <row r="19">
      <c r="A19" s="42">
        <f t="array" ref="A19">IF(ISBLANK(B19), 0, IF(ISNUMBER(MATCH(B19, HR!A:A, 0)), 0, IF(ISNUMBER(MATCH(B19, HR!B:B, 0)), INDEX(HR!V:V, MATCH(B19, HR!B:B, 0)) * (F19 * 24), 0)))</f>
        <v>0</v>
      </c>
      <c r="B19" s="59"/>
      <c r="C19" s="60"/>
      <c r="D19" s="60"/>
      <c r="E19" s="56"/>
      <c r="F19" s="52" t="str">
        <f t="shared" si="1"/>
        <v>0:00</v>
      </c>
      <c r="G19" s="39"/>
      <c r="I19" s="15"/>
      <c r="M19" s="62"/>
    </row>
    <row r="20">
      <c r="A20" s="42">
        <f t="array" ref="A20">IF(ISBLANK(B20), 0, IF(ISNUMBER(MATCH(B20, HR!A:A, 0)), 0, IF(ISNUMBER(MATCH(B20, HR!B:B, 0)), INDEX(HR!V:V, MATCH(B20, HR!B:B, 0)) * (F20 * 24), 0)))</f>
        <v>0</v>
      </c>
      <c r="B20" s="59"/>
      <c r="C20" s="63"/>
      <c r="D20" s="63"/>
      <c r="E20" s="56"/>
      <c r="F20" s="64" t="str">
        <f t="shared" si="1"/>
        <v>0:00</v>
      </c>
      <c r="I20" s="15"/>
      <c r="M20" s="62"/>
    </row>
    <row r="21" ht="23.25" customHeight="1">
      <c r="A21" s="42">
        <f t="array" ref="A21">IF(ISBLANK(B21), 0, IF(ISNUMBER(MATCH(B21, HR!A:A, 0)), 0, IF(ISNUMBER(MATCH(B21, HR!B:B, 0)), INDEX(HR!V:V, MATCH(B21, HR!B:B, 0)) * (F21 * 24), 0)))</f>
        <v>0</v>
      </c>
      <c r="B21" s="65"/>
      <c r="C21" s="66"/>
      <c r="D21" s="66"/>
      <c r="E21" s="67"/>
      <c r="F21" s="68" t="str">
        <f t="shared" si="1"/>
        <v>0:00</v>
      </c>
      <c r="G21" s="21"/>
      <c r="H21" s="21"/>
      <c r="I21" s="13"/>
      <c r="M21" s="62"/>
    </row>
    <row r="22" ht="42.0" customHeight="1">
      <c r="A22" s="69"/>
      <c r="B22" s="70"/>
      <c r="C22" s="21"/>
      <c r="D22" s="21"/>
      <c r="E22" s="21"/>
      <c r="F22" s="21"/>
      <c r="G22" s="21"/>
      <c r="H22" s="21"/>
      <c r="I22" s="13"/>
      <c r="J22" s="71" t="s">
        <v>38</v>
      </c>
      <c r="K22" s="71" t="s">
        <v>39</v>
      </c>
      <c r="L22" s="72" t="s">
        <v>40</v>
      </c>
      <c r="M22" s="72" t="s">
        <v>41</v>
      </c>
    </row>
    <row r="23">
      <c r="A23" s="69"/>
      <c r="B23" s="32" t="s">
        <v>42</v>
      </c>
      <c r="I23" s="15"/>
      <c r="J23" s="73">
        <f>COUNTIF(RestiaCSV!B:B, "canceled")</f>
        <v>0</v>
      </c>
      <c r="K23" s="74">
        <f>SUMIF(RestiaCSV!B:B, "canceled", RestiaCSV!C:C)</f>
        <v>0</v>
      </c>
      <c r="L23" s="75">
        <f>COUNTIFS(RestiaCSV!L:L, "&gt;5", RestiaCSV!F:F, "delivery")</f>
        <v>0</v>
      </c>
      <c r="M23" s="73" t="str">
        <f>INT(AVERAGE(RestiaCSV!N2:N32)) &amp; " min " &amp; TEXT(MOD(AVERAGE(RestiaCSV!N2:N32) * 60, 60), "00") &amp; " s"
</f>
        <v>9 min 35 s</v>
      </c>
    </row>
    <row r="24" ht="21.75" customHeight="1">
      <c r="A24" s="69"/>
      <c r="B24" s="36" t="s">
        <v>18</v>
      </c>
      <c r="C24" s="37" t="s">
        <v>19</v>
      </c>
      <c r="D24" s="37" t="s">
        <v>20</v>
      </c>
      <c r="E24" s="37" t="s">
        <v>21</v>
      </c>
      <c r="F24" s="76" t="s">
        <v>22</v>
      </c>
      <c r="G24" s="76" t="s">
        <v>43</v>
      </c>
      <c r="H24" s="76" t="s">
        <v>44</v>
      </c>
      <c r="I24" s="77" t="s">
        <v>45</v>
      </c>
      <c r="J24" s="78" t="s">
        <v>46</v>
      </c>
      <c r="K24" s="79" t="s">
        <v>47</v>
      </c>
      <c r="L24" s="78" t="s">
        <v>48</v>
      </c>
      <c r="M24" s="79" t="s">
        <v>49</v>
      </c>
    </row>
    <row r="25">
      <c r="A25" s="42">
        <f t="array" ref="A25">IF(ISBLANK(B25), 0, IF(ISNUMBER(MATCH(B25, HR!A:A, 0)), 0, IF(ISNUMBER(MATCH(B25, HR!B:B, 0)), INDEX(HR!V:V, MATCH(B25, HR!B:B, 0)) * (F25 * 24), 0)))</f>
        <v>1284.48</v>
      </c>
      <c r="B25" s="51" t="s">
        <v>50</v>
      </c>
      <c r="C25" s="44" t="s">
        <v>28</v>
      </c>
      <c r="D25" s="44" t="s">
        <v>25</v>
      </c>
      <c r="E25" s="80"/>
      <c r="F25" s="4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06:00</v>
      </c>
      <c r="G25" s="81">
        <f>COUNTIF(RestiaCSV!E:E, B25)</f>
        <v>1</v>
      </c>
      <c r="H25" s="82" t="b">
        <v>1</v>
      </c>
      <c r="I25" s="83">
        <f t="shared" ref="I25:I31" si="3">IF(H25,G25*40, 0)</f>
        <v>40</v>
      </c>
      <c r="J25" s="84"/>
      <c r="K25" s="84"/>
      <c r="L25" s="84"/>
      <c r="M25" s="84"/>
    </row>
    <row r="26">
      <c r="A26" s="42">
        <f t="array" ref="A26">IF(ISBLANK(B26), 0, IF(ISNUMBER(MATCH(B26, HR!A:A, 0)), 0, IF(ISNUMBER(MATCH(B26, HR!B:B, 0)), INDEX(HR!V:V, MATCH(B26, HR!B:B, 0)) * (F26 * 24), 0)))</f>
        <v>428.16</v>
      </c>
      <c r="B26" s="85" t="s">
        <v>51</v>
      </c>
      <c r="C26" s="44" t="s">
        <v>52</v>
      </c>
      <c r="D26" s="44" t="s">
        <v>32</v>
      </c>
      <c r="E26" s="86"/>
      <c r="F26" s="46" t="str">
        <f t="shared" si="2"/>
        <v>02:00</v>
      </c>
      <c r="G26" s="81">
        <f>COUNTIF(RestiaCSV!E:E, B26)</f>
        <v>0</v>
      </c>
      <c r="H26" s="82" t="b">
        <v>1</v>
      </c>
      <c r="I26" s="87">
        <f t="shared" si="3"/>
        <v>0</v>
      </c>
      <c r="J26" s="88">
        <f>COUNTIF(I25:I31, "&gt;0")</f>
        <v>2</v>
      </c>
      <c r="K26" s="75">
        <f>IFERROR(__xludf.DUMMYFUNCTION("COUNTA(FILTER(RestiaCSV!B2:B32, RestiaCSV!B2:B32 &lt;&gt; ""canceled""))"),30.0)</f>
        <v>30</v>
      </c>
      <c r="L26" s="75">
        <f>COUNTIF(RestiaCSV!F1:F32, "delivery")</f>
        <v>3</v>
      </c>
      <c r="M26" s="89">
        <f>COUNTIF(RestiaCSV!M:M, "&gt;5")</f>
        <v>1</v>
      </c>
    </row>
    <row r="27" ht="22.5" customHeight="1">
      <c r="A27" s="42">
        <f t="array" ref="A27">IF(ISBLANK(B27), 0, IF(ISNUMBER(MATCH(B27, HR!A:A, 0)), 0, IF(ISNUMBER(MATCH(B27, HR!B:B, 0)), INDEX(HR!V:V, MATCH(B27, HR!B:B, 0)) * (F27 * 24), 0)))</f>
        <v>840</v>
      </c>
      <c r="B27" s="51" t="s">
        <v>53</v>
      </c>
      <c r="C27" s="90" t="s">
        <v>25</v>
      </c>
      <c r="D27" s="91" t="s">
        <v>52</v>
      </c>
      <c r="E27" s="86"/>
      <c r="F27" s="52" t="str">
        <f t="shared" si="2"/>
        <v>06:00</v>
      </c>
      <c r="G27" s="81">
        <f>COUNTIF(RestiaCSV!E:E, B27)</f>
        <v>2</v>
      </c>
      <c r="H27" s="82" t="b">
        <v>1</v>
      </c>
      <c r="I27" s="87">
        <f t="shared" si="3"/>
        <v>80</v>
      </c>
      <c r="J27" s="92" t="s">
        <v>54</v>
      </c>
      <c r="K27" s="93"/>
      <c r="L27" s="94" t="s">
        <v>55</v>
      </c>
      <c r="M27" s="79" t="s">
        <v>56</v>
      </c>
    </row>
    <row r="28">
      <c r="A28" s="42">
        <f t="array" ref="A28">IF(ISBLANK(B28), 0, IF(ISNUMBER(MATCH(B28, HR!A:A, 0)), 0, IF(ISNUMBER(MATCH(B28, HR!B:B, 0)), INDEX(HR!V:V, MATCH(B28, HR!B:B, 0)) * (F28 * 24), 0)))</f>
        <v>0</v>
      </c>
      <c r="B28" s="43"/>
      <c r="C28" s="90"/>
      <c r="D28" s="91"/>
      <c r="E28" s="86"/>
      <c r="F28" s="52" t="str">
        <f t="shared" si="2"/>
        <v>0:00</v>
      </c>
      <c r="G28" s="81">
        <f>COUNTIF(RestiaCSV!E:E, B28)</f>
        <v>0</v>
      </c>
      <c r="H28" s="82"/>
      <c r="I28" s="87">
        <f t="shared" si="3"/>
        <v>0</v>
      </c>
      <c r="J28" s="95"/>
      <c r="K28" s="96"/>
      <c r="L28" s="84"/>
      <c r="M28" s="84"/>
    </row>
    <row r="29">
      <c r="A29" s="42">
        <f t="array" ref="A29">IF(ISBLANK(B29), 0, IF(ISNUMBER(MATCH(B29, HR!A:A, 0)), 0, IF(ISNUMBER(MATCH(B29, HR!B:B, 0)), INDEX(HR!V:V, MATCH(B29, HR!B:B, 0)) * (F29 * 24), 0)))</f>
        <v>0</v>
      </c>
      <c r="B29" s="43"/>
      <c r="C29" s="90"/>
      <c r="D29" s="91"/>
      <c r="E29" s="86"/>
      <c r="F29" s="52" t="str">
        <f t="shared" si="2"/>
        <v>0:00</v>
      </c>
      <c r="G29" s="81">
        <f>COUNTIF(RestiaCSV!E:E, B29)</f>
        <v>0</v>
      </c>
      <c r="H29" s="97"/>
      <c r="I29" s="87">
        <f t="shared" si="3"/>
        <v>0</v>
      </c>
      <c r="J29" s="98">
        <f>COUNTIFS(RestiaCSV!M:M, "&gt;5", RestiaCSV!L:L, "&gt;5")</f>
        <v>0</v>
      </c>
      <c r="K29" s="99"/>
      <c r="L29" s="100">
        <f>L23/L26</f>
        <v>0</v>
      </c>
      <c r="M29" s="75">
        <f>COUNTIFS(RestiaCSV!L:L, "&gt;5", RestiaCSV!F:F, "delivery", RestiaCSV!E:E, "Wolt Kurýr")</f>
        <v>0</v>
      </c>
    </row>
    <row r="30">
      <c r="A30" s="42">
        <f t="array" ref="A30">IF(ISBLANK(B30), 0, IF(ISNUMBER(MATCH(B30, HR!A:A, 0)), 0, IF(ISNUMBER(MATCH(B30, HR!B:B, 0)), INDEX(HR!V:V, MATCH(B30, HR!B:B, 0)) * (F30 * 24), 0)))</f>
        <v>0</v>
      </c>
      <c r="B30" s="59"/>
      <c r="C30" s="101"/>
      <c r="D30" s="80"/>
      <c r="E30" s="86"/>
      <c r="F30" s="52" t="str">
        <f t="shared" si="2"/>
        <v>0:00</v>
      </c>
      <c r="G30" s="81">
        <f>COUNTIF(RestiaCSV!E:E, B30)</f>
        <v>0</v>
      </c>
      <c r="H30" s="97"/>
      <c r="I30" s="87">
        <f t="shared" si="3"/>
        <v>0</v>
      </c>
      <c r="J30" s="102"/>
      <c r="K30" s="102"/>
      <c r="L30" s="103" t="s">
        <v>57</v>
      </c>
      <c r="M30" s="103" t="s">
        <v>58</v>
      </c>
    </row>
    <row r="31" ht="21.75" customHeight="1">
      <c r="A31" s="42">
        <f t="array" ref="A31">IF(ISBLANK(B31), 0, IF(ISNUMBER(MATCH(B31, HR!A:A, 0)), 0, IF(ISNUMBER(MATCH(B31, HR!B:B, 0)), INDEX(HR!V:V, MATCH(B31, HR!B:B, 0)) * (F31 * 24), 0)))</f>
        <v>0</v>
      </c>
      <c r="B31" s="104"/>
      <c r="C31" s="101"/>
      <c r="D31" s="80"/>
      <c r="E31" s="86"/>
      <c r="F31" s="52" t="str">
        <f t="shared" si="2"/>
        <v>0:00</v>
      </c>
      <c r="G31" s="105">
        <f>COUNTIF(RestiaCSV!E:E, B31)</f>
        <v>0</v>
      </c>
      <c r="H31" s="106"/>
      <c r="I31" s="107">
        <f t="shared" si="3"/>
        <v>0</v>
      </c>
      <c r="J31" s="108"/>
      <c r="K31" s="108"/>
      <c r="L31" s="84"/>
      <c r="M31" s="84"/>
    </row>
    <row r="32">
      <c r="A32" s="35"/>
      <c r="B32" s="109" t="s">
        <v>59</v>
      </c>
      <c r="C32" s="110" t="s">
        <v>60</v>
      </c>
      <c r="D32" s="21"/>
      <c r="E32" s="21"/>
      <c r="F32" s="111"/>
      <c r="G32" s="112">
        <f>COUNTIFS(RestiaCSV!E:E, "wolt kurýr", RestiaCSV!A:A, "&lt;&gt;wolt")</f>
        <v>0</v>
      </c>
      <c r="H32" s="113" t="b">
        <v>1</v>
      </c>
      <c r="I32" s="114">
        <f>G32*127</f>
        <v>0</v>
      </c>
      <c r="J32" s="115"/>
      <c r="K32" s="115"/>
      <c r="L32" s="100">
        <f>100%-L29</f>
        <v>1</v>
      </c>
      <c r="M32" s="100">
        <f>M29/L26</f>
        <v>0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25:B31">
      <formula1>"Mikešová Adéla,Kaločai Rudolf,Vopatová Anna,Vopatová Šárka,Světlík František,Ženíšek Lukáš,Roth Stanislav st.,Irena Kovacsova"</formula1>
    </dataValidation>
    <dataValidation type="list" allowBlank="1" sqref="B12:B21">
      <formula1>"Rothová Anastasia,Roth Stanislav ml.,Raboch Tomáš,Kratochvíl Kryštof,Tůma Vladimír"</formula1>
    </dataValidation>
    <dataValidation type="list" allowBlank="1" sqref="G11 G19">
      <formula1>"Tůma Vladimír,Vostrý Daniel,Roth Stanislav ml."</formula1>
    </dataValidation>
    <dataValidation type="list" allowBlank="1" sqref="B1">
      <formula1>"Bolevec,Malešice,Prosek,Zličín,Libuš,Chodov,Výroba,Předloha"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6"/>
      <c r="B1" s="117" t="str">
        <f>Report!B1</f>
        <v>Bolevec</v>
      </c>
      <c r="C1" s="118">
        <v>46028.0</v>
      </c>
      <c r="D1" s="119" t="s">
        <v>61</v>
      </c>
      <c r="E1" s="120">
        <v>46028.0</v>
      </c>
      <c r="F1" s="121" t="s">
        <v>2</v>
      </c>
      <c r="G1" s="7"/>
      <c r="H1" s="8"/>
      <c r="I1" s="121" t="s">
        <v>3</v>
      </c>
      <c r="J1" s="7"/>
      <c r="K1" s="8"/>
      <c r="L1" s="122" t="s">
        <v>4</v>
      </c>
      <c r="M1" s="15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2"/>
      <c r="CE1" s="122"/>
      <c r="CF1" s="122"/>
      <c r="CG1" s="122"/>
      <c r="CH1" s="122"/>
      <c r="CI1" s="122"/>
      <c r="CJ1" s="122"/>
      <c r="CK1" s="122"/>
      <c r="CL1" s="122"/>
      <c r="CM1" s="122"/>
      <c r="CN1" s="122"/>
      <c r="CO1" s="122"/>
      <c r="CP1" s="122"/>
      <c r="CQ1" s="122"/>
      <c r="CR1" s="122"/>
      <c r="CS1" s="122"/>
      <c r="CT1" s="122"/>
      <c r="CU1" s="122"/>
      <c r="CV1" s="122"/>
      <c r="CW1" s="122"/>
      <c r="CX1" s="122"/>
      <c r="CY1" s="122"/>
      <c r="CZ1" s="122"/>
      <c r="DA1" s="122"/>
      <c r="DB1" s="122"/>
      <c r="DC1" s="122"/>
      <c r="DD1" s="122"/>
      <c r="DE1" s="122"/>
      <c r="DF1" s="122"/>
      <c r="DG1" s="122"/>
      <c r="DH1" s="122"/>
      <c r="DI1" s="122"/>
      <c r="DJ1" s="122"/>
      <c r="DK1" s="122"/>
      <c r="DL1" s="122"/>
      <c r="DM1" s="122"/>
      <c r="DN1" s="122"/>
      <c r="DO1" s="122"/>
      <c r="DP1" s="122"/>
      <c r="DQ1" s="122"/>
      <c r="DR1" s="122"/>
      <c r="DS1" s="122"/>
      <c r="DT1" s="122"/>
      <c r="DU1" s="122"/>
      <c r="DV1" s="122"/>
      <c r="DW1" s="122"/>
      <c r="DX1" s="122"/>
      <c r="DY1" s="122"/>
      <c r="DZ1" s="122"/>
      <c r="EA1" s="122"/>
      <c r="EB1" s="122"/>
      <c r="EC1" s="122"/>
      <c r="ED1" s="122"/>
      <c r="EE1" s="122"/>
      <c r="EF1" s="122"/>
      <c r="EG1" s="122"/>
      <c r="EH1" s="122"/>
      <c r="EI1" s="122"/>
      <c r="EJ1" s="122"/>
      <c r="EK1" s="122"/>
      <c r="EL1" s="122"/>
      <c r="EM1" s="122"/>
      <c r="EN1" s="122"/>
      <c r="EO1" s="122"/>
      <c r="EP1" s="122"/>
      <c r="EQ1" s="122"/>
      <c r="ER1" s="122"/>
      <c r="ES1" s="122"/>
      <c r="ET1" s="122"/>
      <c r="EU1" s="122"/>
      <c r="EV1" s="122"/>
      <c r="EW1" s="122"/>
      <c r="EX1" s="122"/>
      <c r="EY1" s="122"/>
      <c r="EZ1" s="122"/>
      <c r="FA1" s="122"/>
      <c r="FB1" s="122"/>
      <c r="FC1" s="122"/>
      <c r="FD1" s="122"/>
      <c r="FE1" s="122"/>
      <c r="FF1" s="122"/>
      <c r="FG1" s="122"/>
      <c r="FH1" s="122"/>
      <c r="FI1" s="122"/>
      <c r="FJ1" s="122"/>
      <c r="FK1" s="122"/>
      <c r="FL1" s="122"/>
      <c r="FM1" s="122"/>
      <c r="FN1" s="122"/>
      <c r="FO1" s="122"/>
      <c r="FP1" s="122"/>
      <c r="FQ1" s="122"/>
      <c r="FR1" s="122"/>
      <c r="FS1" s="122"/>
      <c r="FT1" s="122"/>
      <c r="FU1" s="122"/>
      <c r="FV1" s="122"/>
      <c r="FW1" s="122"/>
      <c r="FX1" s="122"/>
      <c r="FY1" s="122"/>
      <c r="FZ1" s="122"/>
      <c r="GA1" s="122"/>
      <c r="GB1" s="122"/>
      <c r="GC1" s="122"/>
      <c r="GD1" s="122"/>
      <c r="GE1" s="122"/>
      <c r="GF1" s="122"/>
      <c r="GG1" s="122"/>
      <c r="GH1" s="122"/>
      <c r="GI1" s="122"/>
      <c r="GJ1" s="122"/>
      <c r="GK1" s="122"/>
      <c r="GL1" s="122"/>
      <c r="GM1" s="122"/>
      <c r="GN1" s="122"/>
      <c r="GO1" s="122"/>
      <c r="GP1" s="122"/>
      <c r="GQ1" s="122"/>
      <c r="GR1" s="122"/>
      <c r="GS1" s="122"/>
      <c r="GT1" s="122"/>
      <c r="GU1" s="122"/>
      <c r="GV1" s="122"/>
      <c r="GW1" s="122"/>
      <c r="GX1" s="122"/>
      <c r="GY1" s="122"/>
      <c r="GZ1" s="122"/>
      <c r="HA1" s="122"/>
      <c r="HB1" s="122"/>
      <c r="HC1" s="122"/>
      <c r="HD1" s="122"/>
      <c r="HE1" s="122"/>
      <c r="HF1" s="122"/>
      <c r="HG1" s="122"/>
      <c r="HH1" s="122"/>
      <c r="HI1" s="122"/>
      <c r="HJ1" s="122"/>
      <c r="HK1" s="122"/>
      <c r="HL1" s="122"/>
      <c r="HM1" s="122"/>
      <c r="HN1" s="122"/>
      <c r="HO1" s="122"/>
      <c r="HP1" s="122"/>
      <c r="HQ1" s="122"/>
      <c r="HR1" s="122"/>
      <c r="HS1" s="122"/>
      <c r="HT1" s="122"/>
      <c r="HU1" s="122"/>
      <c r="HV1" s="122"/>
      <c r="HW1" s="122"/>
      <c r="HX1" s="122"/>
      <c r="HY1" s="122"/>
      <c r="HZ1" s="122"/>
      <c r="IA1" s="122"/>
      <c r="IB1" s="122"/>
      <c r="IC1" s="122"/>
      <c r="ID1" s="122"/>
      <c r="IE1" s="122"/>
      <c r="IF1" s="122"/>
      <c r="IG1" s="122"/>
      <c r="IH1" s="122"/>
      <c r="II1" s="122"/>
      <c r="IJ1" s="122"/>
      <c r="IK1" s="122"/>
      <c r="IL1" s="122"/>
      <c r="IM1" s="122"/>
      <c r="IN1" s="122"/>
      <c r="IO1" s="122"/>
      <c r="IP1" s="122"/>
      <c r="IQ1" s="122"/>
      <c r="IR1" s="122"/>
      <c r="IS1" s="122"/>
      <c r="IT1" s="122"/>
      <c r="IU1" s="122"/>
      <c r="IV1" s="122"/>
      <c r="IW1" s="122"/>
      <c r="IX1" s="122"/>
      <c r="IY1" s="122"/>
      <c r="IZ1" s="122"/>
      <c r="JA1" s="122"/>
      <c r="JB1" s="122"/>
      <c r="JC1" s="122"/>
      <c r="JD1" s="122"/>
      <c r="JE1" s="122"/>
      <c r="JF1" s="122"/>
      <c r="JG1" s="122"/>
      <c r="JH1" s="122"/>
      <c r="JI1" s="122"/>
      <c r="JJ1" s="122"/>
      <c r="JK1" s="122"/>
    </row>
    <row r="2" ht="19.5" customHeight="1">
      <c r="A2" s="116"/>
      <c r="B2" s="11"/>
      <c r="C2" s="12"/>
      <c r="D2" s="11"/>
      <c r="E2" s="13"/>
      <c r="F2" s="123">
        <v>0.23392066851018306</v>
      </c>
      <c r="H2" s="15"/>
      <c r="I2" s="124">
        <v>49543.0</v>
      </c>
      <c r="K2" s="15"/>
      <c r="L2" s="125" t="s">
        <v>5</v>
      </c>
      <c r="M2" s="126"/>
      <c r="N2" s="127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8"/>
      <c r="CQ2" s="128"/>
      <c r="CR2" s="128"/>
      <c r="CS2" s="128"/>
      <c r="CT2" s="128"/>
      <c r="CU2" s="128"/>
      <c r="CV2" s="128"/>
      <c r="CW2" s="128"/>
      <c r="CX2" s="128"/>
      <c r="CY2" s="128"/>
      <c r="CZ2" s="128"/>
      <c r="DA2" s="128"/>
      <c r="DB2" s="128"/>
      <c r="DC2" s="128"/>
      <c r="DD2" s="128"/>
      <c r="DE2" s="128"/>
      <c r="DF2" s="128"/>
      <c r="DG2" s="128"/>
      <c r="DH2" s="128"/>
      <c r="DI2" s="128"/>
      <c r="DJ2" s="128"/>
      <c r="DK2" s="128"/>
      <c r="DL2" s="128"/>
      <c r="DM2" s="128"/>
      <c r="DN2" s="128"/>
      <c r="DO2" s="128"/>
      <c r="DP2" s="128"/>
      <c r="DQ2" s="128"/>
      <c r="DR2" s="128"/>
      <c r="DS2" s="128"/>
      <c r="DT2" s="128"/>
      <c r="DU2" s="128"/>
      <c r="DV2" s="128"/>
      <c r="DW2" s="128"/>
      <c r="DX2" s="128"/>
      <c r="DY2" s="128"/>
      <c r="DZ2" s="128"/>
      <c r="EA2" s="128"/>
      <c r="EB2" s="128"/>
      <c r="EC2" s="128"/>
      <c r="ED2" s="128"/>
      <c r="EE2" s="128"/>
      <c r="EF2" s="128"/>
      <c r="EG2" s="128"/>
      <c r="EH2" s="128"/>
      <c r="EI2" s="128"/>
      <c r="EJ2" s="128"/>
      <c r="EK2" s="128"/>
      <c r="EL2" s="128"/>
      <c r="EM2" s="128"/>
      <c r="EN2" s="128"/>
      <c r="EO2" s="128"/>
      <c r="EP2" s="128"/>
      <c r="EQ2" s="128"/>
      <c r="ER2" s="128"/>
      <c r="ES2" s="128"/>
      <c r="ET2" s="128"/>
      <c r="EU2" s="128"/>
      <c r="EV2" s="128"/>
      <c r="EW2" s="128"/>
      <c r="EX2" s="128"/>
      <c r="EY2" s="128"/>
      <c r="EZ2" s="128"/>
      <c r="FA2" s="128"/>
      <c r="FB2" s="128"/>
      <c r="FC2" s="128"/>
      <c r="FD2" s="128"/>
      <c r="FE2" s="128"/>
      <c r="FF2" s="128"/>
      <c r="FG2" s="128"/>
      <c r="FH2" s="128"/>
      <c r="FI2" s="128"/>
      <c r="FJ2" s="128"/>
      <c r="FK2" s="128"/>
      <c r="FL2" s="128"/>
      <c r="FM2" s="128"/>
      <c r="FN2" s="128"/>
      <c r="FO2" s="128"/>
      <c r="FP2" s="128"/>
      <c r="FQ2" s="128"/>
      <c r="FR2" s="128"/>
      <c r="FS2" s="128"/>
      <c r="FT2" s="128"/>
      <c r="FU2" s="128"/>
      <c r="FV2" s="128"/>
      <c r="FW2" s="128"/>
      <c r="FX2" s="128"/>
      <c r="FY2" s="128"/>
      <c r="FZ2" s="128"/>
      <c r="GA2" s="128"/>
      <c r="GB2" s="128"/>
      <c r="GC2" s="128"/>
      <c r="GD2" s="128"/>
      <c r="GE2" s="128"/>
      <c r="GF2" s="128"/>
      <c r="GG2" s="128"/>
      <c r="GH2" s="128"/>
      <c r="GI2" s="128"/>
      <c r="GJ2" s="128"/>
      <c r="GK2" s="128"/>
      <c r="GL2" s="128"/>
      <c r="GM2" s="128"/>
      <c r="GN2" s="128"/>
      <c r="GO2" s="128"/>
      <c r="GP2" s="128"/>
      <c r="GQ2" s="128"/>
      <c r="GR2" s="128"/>
      <c r="GS2" s="128"/>
      <c r="GT2" s="128"/>
      <c r="GU2" s="128"/>
      <c r="GV2" s="128"/>
      <c r="GW2" s="128"/>
      <c r="GX2" s="128"/>
      <c r="GY2" s="128"/>
      <c r="GZ2" s="128"/>
      <c r="HA2" s="128"/>
      <c r="HB2" s="128"/>
      <c r="HC2" s="128"/>
      <c r="HD2" s="128"/>
      <c r="HE2" s="128"/>
      <c r="HF2" s="128"/>
      <c r="HG2" s="128"/>
      <c r="HH2" s="128"/>
      <c r="HI2" s="128"/>
      <c r="HJ2" s="128"/>
      <c r="HK2" s="128"/>
      <c r="HL2" s="128"/>
      <c r="HM2" s="128"/>
      <c r="HN2" s="128"/>
      <c r="HO2" s="128"/>
      <c r="HP2" s="128"/>
      <c r="HQ2" s="128"/>
      <c r="HR2" s="128"/>
      <c r="HS2" s="128"/>
      <c r="HT2" s="128"/>
      <c r="HU2" s="128"/>
      <c r="HV2" s="128"/>
      <c r="HW2" s="128"/>
      <c r="HX2" s="128"/>
      <c r="HY2" s="128"/>
      <c r="HZ2" s="128"/>
      <c r="IA2" s="128"/>
      <c r="IB2" s="128"/>
      <c r="IC2" s="128"/>
      <c r="ID2" s="128"/>
      <c r="IE2" s="128"/>
      <c r="IF2" s="128"/>
      <c r="IG2" s="128"/>
      <c r="IH2" s="128"/>
      <c r="II2" s="128"/>
      <c r="IJ2" s="128"/>
      <c r="IK2" s="128"/>
      <c r="IL2" s="128"/>
      <c r="IM2" s="128"/>
      <c r="IN2" s="128"/>
      <c r="IO2" s="128"/>
      <c r="IP2" s="128"/>
      <c r="IQ2" s="128"/>
      <c r="IR2" s="128"/>
      <c r="IS2" s="128"/>
      <c r="IT2" s="128"/>
      <c r="IU2" s="128"/>
      <c r="IV2" s="128"/>
      <c r="IW2" s="128"/>
      <c r="IX2" s="128"/>
      <c r="IY2" s="128"/>
      <c r="IZ2" s="128"/>
      <c r="JA2" s="128"/>
      <c r="JB2" s="128"/>
      <c r="JC2" s="128"/>
      <c r="JD2" s="128"/>
      <c r="JE2" s="128"/>
      <c r="JF2" s="128"/>
      <c r="JG2" s="128"/>
      <c r="JH2" s="128"/>
      <c r="JI2" s="128"/>
      <c r="JJ2" s="128"/>
      <c r="JK2" s="128"/>
    </row>
    <row r="3">
      <c r="A3" s="129"/>
      <c r="B3" s="130" t="str">
        <f>CHOOSE(WEEKDAY(C1), "Neděle", "Pondělí", "Úterý", "Středa", "Čtvrtek", "Pátek", "Sobota")</f>
        <v>Úterý</v>
      </c>
      <c r="C3" s="20"/>
      <c r="D3" s="130" t="str">
        <f>CHOOSE(WEEKDAY(E1), "Neděle", "Pondělí", "Úterý", "Středa", "Čtvrtek", "Pátek", "Sobota")</f>
        <v>Úterý</v>
      </c>
      <c r="E3" s="5"/>
      <c r="H3" s="15"/>
      <c r="K3" s="15"/>
      <c r="L3" s="131" t="s">
        <v>6</v>
      </c>
      <c r="M3" s="132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28"/>
      <c r="DI3" s="128"/>
      <c r="DJ3" s="128"/>
      <c r="DK3" s="128"/>
      <c r="DL3" s="128"/>
      <c r="DM3" s="128"/>
      <c r="DN3" s="128"/>
      <c r="DO3" s="128"/>
      <c r="DP3" s="128"/>
      <c r="DQ3" s="128"/>
      <c r="DR3" s="128"/>
      <c r="DS3" s="128"/>
      <c r="DT3" s="128"/>
      <c r="DU3" s="128"/>
      <c r="DV3" s="128"/>
      <c r="DW3" s="128"/>
      <c r="DX3" s="128"/>
      <c r="DY3" s="128"/>
      <c r="DZ3" s="128"/>
      <c r="EA3" s="128"/>
      <c r="EB3" s="128"/>
      <c r="EC3" s="128"/>
      <c r="ED3" s="128"/>
      <c r="EE3" s="128"/>
      <c r="EF3" s="128"/>
      <c r="EG3" s="128"/>
      <c r="EH3" s="128"/>
      <c r="EI3" s="128"/>
      <c r="EJ3" s="128"/>
      <c r="EK3" s="128"/>
      <c r="EL3" s="128"/>
      <c r="EM3" s="128"/>
      <c r="EN3" s="128"/>
      <c r="EO3" s="128"/>
      <c r="EP3" s="128"/>
      <c r="EQ3" s="128"/>
      <c r="ER3" s="128"/>
      <c r="ES3" s="128"/>
      <c r="ET3" s="128"/>
      <c r="EU3" s="128"/>
      <c r="EV3" s="128"/>
      <c r="EW3" s="128"/>
      <c r="EX3" s="128"/>
      <c r="EY3" s="128"/>
      <c r="EZ3" s="128"/>
      <c r="FA3" s="128"/>
      <c r="FB3" s="128"/>
      <c r="FC3" s="128"/>
      <c r="FD3" s="128"/>
      <c r="FE3" s="128"/>
      <c r="FF3" s="128"/>
      <c r="FG3" s="128"/>
      <c r="FH3" s="128"/>
      <c r="FI3" s="128"/>
      <c r="FJ3" s="128"/>
      <c r="FK3" s="128"/>
      <c r="FL3" s="128"/>
      <c r="FM3" s="128"/>
      <c r="FN3" s="128"/>
      <c r="FO3" s="128"/>
      <c r="FP3" s="128"/>
      <c r="FQ3" s="128"/>
      <c r="FR3" s="128"/>
      <c r="FS3" s="128"/>
      <c r="FT3" s="128"/>
      <c r="FU3" s="128"/>
      <c r="FV3" s="128"/>
      <c r="FW3" s="128"/>
      <c r="FX3" s="128"/>
      <c r="FY3" s="128"/>
      <c r="FZ3" s="128"/>
      <c r="GA3" s="128"/>
      <c r="GB3" s="128"/>
      <c r="GC3" s="128"/>
      <c r="GD3" s="128"/>
      <c r="GE3" s="128"/>
      <c r="GF3" s="128"/>
      <c r="GG3" s="128"/>
      <c r="GH3" s="128"/>
      <c r="GI3" s="128"/>
      <c r="GJ3" s="128"/>
      <c r="GK3" s="128"/>
      <c r="GL3" s="128"/>
      <c r="GM3" s="128"/>
      <c r="GN3" s="128"/>
      <c r="GO3" s="128"/>
      <c r="GP3" s="128"/>
      <c r="GQ3" s="128"/>
      <c r="GR3" s="128"/>
      <c r="GS3" s="128"/>
      <c r="GT3" s="128"/>
      <c r="GU3" s="128"/>
      <c r="GV3" s="128"/>
      <c r="GW3" s="128"/>
      <c r="GX3" s="128"/>
      <c r="GY3" s="128"/>
      <c r="GZ3" s="128"/>
      <c r="HA3" s="128"/>
      <c r="HB3" s="128"/>
      <c r="HC3" s="128"/>
      <c r="HD3" s="128"/>
      <c r="HE3" s="128"/>
      <c r="HF3" s="128"/>
      <c r="HG3" s="128"/>
      <c r="HH3" s="128"/>
      <c r="HI3" s="128"/>
      <c r="HJ3" s="128"/>
      <c r="HK3" s="128"/>
      <c r="HL3" s="128"/>
      <c r="HM3" s="128"/>
      <c r="HN3" s="128"/>
      <c r="HO3" s="128"/>
      <c r="HP3" s="128"/>
      <c r="HQ3" s="128"/>
      <c r="HR3" s="128"/>
      <c r="HS3" s="128"/>
      <c r="HT3" s="128"/>
      <c r="HU3" s="128"/>
      <c r="HV3" s="128"/>
      <c r="HW3" s="128"/>
      <c r="HX3" s="128"/>
      <c r="HY3" s="128"/>
      <c r="HZ3" s="128"/>
      <c r="IA3" s="128"/>
      <c r="IB3" s="128"/>
      <c r="IC3" s="128"/>
      <c r="ID3" s="128"/>
      <c r="IE3" s="128"/>
      <c r="IF3" s="128"/>
      <c r="IG3" s="128"/>
      <c r="IH3" s="128"/>
      <c r="II3" s="128"/>
      <c r="IJ3" s="128"/>
      <c r="IK3" s="128"/>
      <c r="IL3" s="128"/>
      <c r="IM3" s="128"/>
      <c r="IN3" s="128"/>
      <c r="IO3" s="128"/>
      <c r="IP3" s="128"/>
      <c r="IQ3" s="128"/>
      <c r="IR3" s="128"/>
      <c r="IS3" s="128"/>
      <c r="IT3" s="128"/>
      <c r="IU3" s="128"/>
      <c r="IV3" s="128"/>
      <c r="IW3" s="128"/>
      <c r="IX3" s="128"/>
      <c r="IY3" s="128"/>
      <c r="IZ3" s="128"/>
      <c r="JA3" s="128"/>
      <c r="JB3" s="128"/>
      <c r="JC3" s="128"/>
      <c r="JD3" s="128"/>
      <c r="JE3" s="128"/>
      <c r="JF3" s="128"/>
      <c r="JG3" s="128"/>
      <c r="JH3" s="128"/>
      <c r="JI3" s="128"/>
      <c r="JJ3" s="128"/>
      <c r="JK3" s="128"/>
    </row>
    <row r="4">
      <c r="A4" s="129"/>
      <c r="B4" s="12"/>
      <c r="C4" s="21"/>
      <c r="D4" s="12"/>
      <c r="E4" s="13"/>
      <c r="F4" s="21"/>
      <c r="G4" s="21"/>
      <c r="H4" s="13"/>
      <c r="I4" s="21"/>
      <c r="J4" s="21"/>
      <c r="K4" s="13"/>
      <c r="L4" s="131" t="s">
        <v>7</v>
      </c>
      <c r="M4" s="132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  <c r="CJ4" s="128"/>
      <c r="CK4" s="128"/>
      <c r="CL4" s="128"/>
      <c r="CM4" s="128"/>
      <c r="CN4" s="128"/>
      <c r="CO4" s="128"/>
      <c r="CP4" s="128"/>
      <c r="CQ4" s="128"/>
      <c r="CR4" s="128"/>
      <c r="CS4" s="128"/>
      <c r="CT4" s="128"/>
      <c r="CU4" s="128"/>
      <c r="CV4" s="128"/>
      <c r="CW4" s="128"/>
      <c r="CX4" s="128"/>
      <c r="CY4" s="128"/>
      <c r="CZ4" s="128"/>
      <c r="DA4" s="128"/>
      <c r="DB4" s="128"/>
      <c r="DC4" s="128"/>
      <c r="DD4" s="128"/>
      <c r="DE4" s="128"/>
      <c r="DF4" s="128"/>
      <c r="DG4" s="128"/>
      <c r="DH4" s="128"/>
      <c r="DI4" s="128"/>
      <c r="DJ4" s="128"/>
      <c r="DK4" s="128"/>
      <c r="DL4" s="128"/>
      <c r="DM4" s="128"/>
      <c r="DN4" s="128"/>
      <c r="DO4" s="128"/>
      <c r="DP4" s="128"/>
      <c r="DQ4" s="128"/>
      <c r="DR4" s="128"/>
      <c r="DS4" s="128"/>
      <c r="DT4" s="128"/>
      <c r="DU4" s="128"/>
      <c r="DV4" s="128"/>
      <c r="DW4" s="128"/>
      <c r="DX4" s="128"/>
      <c r="DY4" s="128"/>
      <c r="DZ4" s="128"/>
      <c r="EA4" s="128"/>
      <c r="EB4" s="128"/>
      <c r="EC4" s="128"/>
      <c r="ED4" s="128"/>
      <c r="EE4" s="128"/>
      <c r="EF4" s="128"/>
      <c r="EG4" s="128"/>
      <c r="EH4" s="128"/>
      <c r="EI4" s="128"/>
      <c r="EJ4" s="128"/>
      <c r="EK4" s="128"/>
      <c r="EL4" s="128"/>
      <c r="EM4" s="128"/>
      <c r="EN4" s="128"/>
      <c r="EO4" s="128"/>
      <c r="EP4" s="128"/>
      <c r="EQ4" s="128"/>
      <c r="ER4" s="128"/>
      <c r="ES4" s="128"/>
      <c r="ET4" s="128"/>
      <c r="EU4" s="128"/>
      <c r="EV4" s="128"/>
      <c r="EW4" s="128"/>
      <c r="EX4" s="128"/>
      <c r="EY4" s="128"/>
      <c r="EZ4" s="128"/>
      <c r="FA4" s="128"/>
      <c r="FB4" s="128"/>
      <c r="FC4" s="128"/>
      <c r="FD4" s="128"/>
      <c r="FE4" s="128"/>
      <c r="FF4" s="128"/>
      <c r="FG4" s="128"/>
      <c r="FH4" s="128"/>
      <c r="FI4" s="128"/>
      <c r="FJ4" s="128"/>
      <c r="FK4" s="128"/>
      <c r="FL4" s="128"/>
      <c r="FM4" s="128"/>
      <c r="FN4" s="128"/>
      <c r="FO4" s="128"/>
      <c r="FP4" s="128"/>
      <c r="FQ4" s="128"/>
      <c r="FR4" s="128"/>
      <c r="FS4" s="128"/>
      <c r="FT4" s="128"/>
      <c r="FU4" s="128"/>
      <c r="FV4" s="128"/>
      <c r="FW4" s="128"/>
      <c r="FX4" s="128"/>
      <c r="FY4" s="128"/>
      <c r="FZ4" s="128"/>
      <c r="GA4" s="128"/>
      <c r="GB4" s="128"/>
      <c r="GC4" s="128"/>
      <c r="GD4" s="128"/>
      <c r="GE4" s="128"/>
      <c r="GF4" s="128"/>
      <c r="GG4" s="128"/>
      <c r="GH4" s="128"/>
      <c r="GI4" s="128"/>
      <c r="GJ4" s="128"/>
      <c r="GK4" s="128"/>
      <c r="GL4" s="128"/>
      <c r="GM4" s="128"/>
      <c r="GN4" s="128"/>
      <c r="GO4" s="128"/>
      <c r="GP4" s="128"/>
      <c r="GQ4" s="128"/>
      <c r="GR4" s="128"/>
      <c r="GS4" s="128"/>
      <c r="GT4" s="128"/>
      <c r="GU4" s="128"/>
      <c r="GV4" s="128"/>
      <c r="GW4" s="128"/>
      <c r="GX4" s="128"/>
      <c r="GY4" s="128"/>
      <c r="GZ4" s="128"/>
      <c r="HA4" s="128"/>
      <c r="HB4" s="128"/>
      <c r="HC4" s="128"/>
      <c r="HD4" s="128"/>
      <c r="HE4" s="128"/>
      <c r="HF4" s="128"/>
      <c r="HG4" s="128"/>
      <c r="HH4" s="128"/>
      <c r="HI4" s="128"/>
      <c r="HJ4" s="128"/>
      <c r="HK4" s="128"/>
      <c r="HL4" s="128"/>
      <c r="HM4" s="128"/>
      <c r="HN4" s="128"/>
      <c r="HO4" s="128"/>
      <c r="HP4" s="128"/>
      <c r="HQ4" s="128"/>
      <c r="HR4" s="128"/>
      <c r="HS4" s="128"/>
      <c r="HT4" s="128"/>
      <c r="HU4" s="128"/>
      <c r="HV4" s="128"/>
      <c r="HW4" s="128"/>
      <c r="HX4" s="128"/>
      <c r="HY4" s="128"/>
      <c r="HZ4" s="128"/>
      <c r="IA4" s="128"/>
      <c r="IB4" s="128"/>
      <c r="IC4" s="128"/>
      <c r="ID4" s="128"/>
      <c r="IE4" s="128"/>
      <c r="IF4" s="128"/>
      <c r="IG4" s="128"/>
      <c r="IH4" s="128"/>
      <c r="II4" s="128"/>
      <c r="IJ4" s="128"/>
      <c r="IK4" s="128"/>
      <c r="IL4" s="128"/>
      <c r="IM4" s="128"/>
      <c r="IN4" s="128"/>
      <c r="IO4" s="128"/>
      <c r="IP4" s="128"/>
      <c r="IQ4" s="128"/>
      <c r="IR4" s="128"/>
      <c r="IS4" s="128"/>
      <c r="IT4" s="128"/>
      <c r="IU4" s="128"/>
      <c r="IV4" s="128"/>
      <c r="IW4" s="128"/>
      <c r="IX4" s="128"/>
      <c r="IY4" s="128"/>
      <c r="IZ4" s="128"/>
      <c r="JA4" s="128"/>
      <c r="JB4" s="128"/>
      <c r="JC4" s="128"/>
      <c r="JD4" s="128"/>
      <c r="JE4" s="128"/>
      <c r="JF4" s="128"/>
      <c r="JG4" s="128"/>
      <c r="JH4" s="128"/>
      <c r="JI4" s="128"/>
      <c r="JJ4" s="128"/>
      <c r="JK4" s="128"/>
    </row>
    <row r="5">
      <c r="A5" s="133"/>
      <c r="B5" s="134" t="s">
        <v>62</v>
      </c>
      <c r="C5" s="20"/>
      <c r="D5" s="20"/>
      <c r="E5" s="5"/>
      <c r="F5" s="135" t="s">
        <v>63</v>
      </c>
      <c r="G5" s="20"/>
      <c r="H5" s="20"/>
      <c r="I5" s="20"/>
      <c r="J5" s="20"/>
      <c r="K5" s="5"/>
      <c r="L5" s="136" t="s">
        <v>9</v>
      </c>
      <c r="M5" s="126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128"/>
      <c r="CO5" s="128"/>
      <c r="CP5" s="128"/>
      <c r="CQ5" s="128"/>
      <c r="CR5" s="128"/>
      <c r="CS5" s="128"/>
      <c r="CT5" s="128"/>
      <c r="CU5" s="128"/>
      <c r="CV5" s="128"/>
      <c r="CW5" s="128"/>
      <c r="CX5" s="128"/>
      <c r="CY5" s="128"/>
      <c r="CZ5" s="128"/>
      <c r="DA5" s="128"/>
      <c r="DB5" s="128"/>
      <c r="DC5" s="128"/>
      <c r="DD5" s="128"/>
      <c r="DE5" s="128"/>
      <c r="DF5" s="128"/>
      <c r="DG5" s="128"/>
      <c r="DH5" s="128"/>
      <c r="DI5" s="128"/>
      <c r="DJ5" s="128"/>
      <c r="DK5" s="128"/>
      <c r="DL5" s="128"/>
      <c r="DM5" s="128"/>
      <c r="DN5" s="128"/>
      <c r="DO5" s="128"/>
      <c r="DP5" s="128"/>
      <c r="DQ5" s="128"/>
      <c r="DR5" s="128"/>
      <c r="DS5" s="128"/>
      <c r="DT5" s="128"/>
      <c r="DU5" s="128"/>
      <c r="DV5" s="128"/>
      <c r="DW5" s="128"/>
      <c r="DX5" s="128"/>
      <c r="DY5" s="128"/>
      <c r="DZ5" s="128"/>
      <c r="EA5" s="128"/>
      <c r="EB5" s="128"/>
      <c r="EC5" s="128"/>
      <c r="ED5" s="128"/>
      <c r="EE5" s="128"/>
      <c r="EF5" s="128"/>
      <c r="EG5" s="128"/>
      <c r="EH5" s="128"/>
      <c r="EI5" s="128"/>
      <c r="EJ5" s="128"/>
      <c r="EK5" s="128"/>
      <c r="EL5" s="128"/>
      <c r="EM5" s="128"/>
      <c r="EN5" s="128"/>
      <c r="EO5" s="128"/>
      <c r="EP5" s="128"/>
      <c r="EQ5" s="128"/>
      <c r="ER5" s="128"/>
      <c r="ES5" s="128"/>
      <c r="ET5" s="128"/>
      <c r="EU5" s="128"/>
      <c r="EV5" s="128"/>
      <c r="EW5" s="128"/>
      <c r="EX5" s="128"/>
      <c r="EY5" s="128"/>
      <c r="EZ5" s="128"/>
      <c r="FA5" s="128"/>
      <c r="FB5" s="128"/>
      <c r="FC5" s="128"/>
      <c r="FD5" s="128"/>
      <c r="FE5" s="128"/>
      <c r="FF5" s="128"/>
      <c r="FG5" s="128"/>
      <c r="FH5" s="128"/>
      <c r="FI5" s="128"/>
      <c r="FJ5" s="128"/>
      <c r="FK5" s="128"/>
      <c r="FL5" s="128"/>
      <c r="FM5" s="128"/>
      <c r="FN5" s="128"/>
      <c r="FO5" s="128"/>
      <c r="FP5" s="128"/>
      <c r="FQ5" s="128"/>
      <c r="FR5" s="128"/>
      <c r="FS5" s="128"/>
      <c r="FT5" s="128"/>
      <c r="FU5" s="128"/>
      <c r="FV5" s="128"/>
      <c r="FW5" s="128"/>
      <c r="FX5" s="128"/>
      <c r="FY5" s="128"/>
      <c r="FZ5" s="128"/>
      <c r="GA5" s="128"/>
      <c r="GB5" s="128"/>
      <c r="GC5" s="128"/>
      <c r="GD5" s="128"/>
      <c r="GE5" s="128"/>
      <c r="GF5" s="128"/>
      <c r="GG5" s="128"/>
      <c r="GH5" s="128"/>
      <c r="GI5" s="128"/>
      <c r="GJ5" s="128"/>
      <c r="GK5" s="128"/>
      <c r="GL5" s="128"/>
      <c r="GM5" s="128"/>
      <c r="GN5" s="128"/>
      <c r="GO5" s="128"/>
      <c r="GP5" s="128"/>
      <c r="GQ5" s="128"/>
      <c r="GR5" s="128"/>
      <c r="GS5" s="128"/>
      <c r="GT5" s="128"/>
      <c r="GU5" s="128"/>
      <c r="GV5" s="128"/>
      <c r="GW5" s="128"/>
      <c r="GX5" s="128"/>
      <c r="GY5" s="128"/>
      <c r="GZ5" s="128"/>
      <c r="HA5" s="128"/>
      <c r="HB5" s="128"/>
      <c r="HC5" s="128"/>
      <c r="HD5" s="128"/>
      <c r="HE5" s="128"/>
      <c r="HF5" s="128"/>
      <c r="HG5" s="128"/>
      <c r="HH5" s="128"/>
      <c r="HI5" s="128"/>
      <c r="HJ5" s="128"/>
      <c r="HK5" s="128"/>
      <c r="HL5" s="128"/>
      <c r="HM5" s="128"/>
      <c r="HN5" s="128"/>
      <c r="HO5" s="128"/>
      <c r="HP5" s="128"/>
      <c r="HQ5" s="128"/>
      <c r="HR5" s="128"/>
      <c r="HS5" s="128"/>
      <c r="HT5" s="128"/>
      <c r="HU5" s="128"/>
      <c r="HV5" s="128"/>
      <c r="HW5" s="128"/>
      <c r="HX5" s="128"/>
      <c r="HY5" s="128"/>
      <c r="HZ5" s="128"/>
      <c r="IA5" s="128"/>
      <c r="IB5" s="128"/>
      <c r="IC5" s="128"/>
      <c r="ID5" s="128"/>
      <c r="IE5" s="128"/>
      <c r="IF5" s="128"/>
      <c r="IG5" s="128"/>
      <c r="IH5" s="128"/>
      <c r="II5" s="128"/>
      <c r="IJ5" s="128"/>
      <c r="IK5" s="128"/>
      <c r="IL5" s="128"/>
      <c r="IM5" s="128"/>
      <c r="IN5" s="128"/>
      <c r="IO5" s="128"/>
      <c r="IP5" s="128"/>
      <c r="IQ5" s="128"/>
      <c r="IR5" s="128"/>
      <c r="IS5" s="128"/>
      <c r="IT5" s="128"/>
      <c r="IU5" s="128"/>
      <c r="IV5" s="128"/>
      <c r="IW5" s="128"/>
      <c r="IX5" s="128"/>
      <c r="IY5" s="128"/>
      <c r="IZ5" s="128"/>
      <c r="JA5" s="128"/>
      <c r="JB5" s="128"/>
      <c r="JC5" s="128"/>
      <c r="JD5" s="128"/>
      <c r="JE5" s="128"/>
      <c r="JF5" s="128"/>
      <c r="JG5" s="128"/>
      <c r="JH5" s="128"/>
      <c r="JI5" s="128"/>
      <c r="JJ5" s="128"/>
      <c r="JK5" s="128"/>
    </row>
    <row r="6">
      <c r="A6" s="133"/>
      <c r="B6" s="12"/>
      <c r="C6" s="21"/>
      <c r="D6" s="21"/>
      <c r="E6" s="13"/>
      <c r="F6" s="21"/>
      <c r="G6" s="21"/>
      <c r="H6" s="21"/>
      <c r="I6" s="21"/>
      <c r="J6" s="21"/>
      <c r="K6" s="13"/>
      <c r="L6" s="136" t="s">
        <v>10</v>
      </c>
      <c r="M6" s="132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8"/>
      <c r="CX6" s="128"/>
      <c r="CY6" s="128"/>
      <c r="CZ6" s="128"/>
      <c r="DA6" s="128"/>
      <c r="DB6" s="128"/>
      <c r="DC6" s="128"/>
      <c r="DD6" s="128"/>
      <c r="DE6" s="128"/>
      <c r="DF6" s="128"/>
      <c r="DG6" s="128"/>
      <c r="DH6" s="128"/>
      <c r="DI6" s="128"/>
      <c r="DJ6" s="128"/>
      <c r="DK6" s="128"/>
      <c r="DL6" s="128"/>
      <c r="DM6" s="128"/>
      <c r="DN6" s="128"/>
      <c r="DO6" s="128"/>
      <c r="DP6" s="128"/>
      <c r="DQ6" s="128"/>
      <c r="DR6" s="128"/>
      <c r="DS6" s="128"/>
      <c r="DT6" s="128"/>
      <c r="DU6" s="128"/>
      <c r="DV6" s="128"/>
      <c r="DW6" s="128"/>
      <c r="DX6" s="128"/>
      <c r="DY6" s="128"/>
      <c r="DZ6" s="128"/>
      <c r="EA6" s="128"/>
      <c r="EB6" s="128"/>
      <c r="EC6" s="128"/>
      <c r="ED6" s="128"/>
      <c r="EE6" s="128"/>
      <c r="EF6" s="128"/>
      <c r="EG6" s="128"/>
      <c r="EH6" s="128"/>
      <c r="EI6" s="128"/>
      <c r="EJ6" s="128"/>
      <c r="EK6" s="128"/>
      <c r="EL6" s="128"/>
      <c r="EM6" s="128"/>
      <c r="EN6" s="128"/>
      <c r="EO6" s="128"/>
      <c r="EP6" s="128"/>
      <c r="EQ6" s="128"/>
      <c r="ER6" s="128"/>
      <c r="ES6" s="128"/>
      <c r="ET6" s="128"/>
      <c r="EU6" s="128"/>
      <c r="EV6" s="128"/>
      <c r="EW6" s="128"/>
      <c r="EX6" s="128"/>
      <c r="EY6" s="128"/>
      <c r="EZ6" s="128"/>
      <c r="FA6" s="128"/>
      <c r="FB6" s="128"/>
      <c r="FC6" s="128"/>
      <c r="FD6" s="128"/>
      <c r="FE6" s="128"/>
      <c r="FF6" s="128"/>
      <c r="FG6" s="128"/>
      <c r="FH6" s="128"/>
      <c r="FI6" s="128"/>
      <c r="FJ6" s="128"/>
      <c r="FK6" s="128"/>
      <c r="FL6" s="128"/>
      <c r="FM6" s="128"/>
      <c r="FN6" s="128"/>
      <c r="FO6" s="128"/>
      <c r="FP6" s="128"/>
      <c r="FQ6" s="128"/>
      <c r="FR6" s="128"/>
      <c r="FS6" s="128"/>
      <c r="FT6" s="128"/>
      <c r="FU6" s="128"/>
      <c r="FV6" s="128"/>
      <c r="FW6" s="128"/>
      <c r="FX6" s="128"/>
      <c r="FY6" s="128"/>
      <c r="FZ6" s="128"/>
      <c r="GA6" s="128"/>
      <c r="GB6" s="128"/>
      <c r="GC6" s="128"/>
      <c r="GD6" s="128"/>
      <c r="GE6" s="128"/>
      <c r="GF6" s="128"/>
      <c r="GG6" s="128"/>
      <c r="GH6" s="128"/>
      <c r="GI6" s="128"/>
      <c r="GJ6" s="128"/>
      <c r="GK6" s="128"/>
      <c r="GL6" s="128"/>
      <c r="GM6" s="128"/>
      <c r="GN6" s="128"/>
      <c r="GO6" s="128"/>
      <c r="GP6" s="128"/>
      <c r="GQ6" s="128"/>
      <c r="GR6" s="128"/>
      <c r="GS6" s="128"/>
      <c r="GT6" s="128"/>
      <c r="GU6" s="128"/>
      <c r="GV6" s="128"/>
      <c r="GW6" s="128"/>
      <c r="GX6" s="128"/>
      <c r="GY6" s="128"/>
      <c r="GZ6" s="128"/>
      <c r="HA6" s="128"/>
      <c r="HB6" s="128"/>
      <c r="HC6" s="128"/>
      <c r="HD6" s="128"/>
      <c r="HE6" s="128"/>
      <c r="HF6" s="128"/>
      <c r="HG6" s="128"/>
      <c r="HH6" s="128"/>
      <c r="HI6" s="128"/>
      <c r="HJ6" s="128"/>
      <c r="HK6" s="128"/>
      <c r="HL6" s="128"/>
      <c r="HM6" s="128"/>
      <c r="HN6" s="128"/>
      <c r="HO6" s="128"/>
      <c r="HP6" s="128"/>
      <c r="HQ6" s="128"/>
      <c r="HR6" s="128"/>
      <c r="HS6" s="128"/>
      <c r="HT6" s="128"/>
      <c r="HU6" s="128"/>
      <c r="HV6" s="128"/>
      <c r="HW6" s="128"/>
      <c r="HX6" s="128"/>
      <c r="HY6" s="128"/>
      <c r="HZ6" s="128"/>
      <c r="IA6" s="128"/>
      <c r="IB6" s="128"/>
      <c r="IC6" s="128"/>
      <c r="ID6" s="128"/>
      <c r="IE6" s="128"/>
      <c r="IF6" s="128"/>
      <c r="IG6" s="128"/>
      <c r="IH6" s="128"/>
      <c r="II6" s="128"/>
      <c r="IJ6" s="128"/>
      <c r="IK6" s="128"/>
      <c r="IL6" s="128"/>
      <c r="IM6" s="128"/>
      <c r="IN6" s="128"/>
      <c r="IO6" s="128"/>
      <c r="IP6" s="128"/>
      <c r="IQ6" s="128"/>
      <c r="IR6" s="128"/>
      <c r="IS6" s="128"/>
      <c r="IT6" s="128"/>
      <c r="IU6" s="128"/>
      <c r="IV6" s="128"/>
      <c r="IW6" s="128"/>
      <c r="IX6" s="128"/>
      <c r="IY6" s="128"/>
      <c r="IZ6" s="128"/>
      <c r="JA6" s="128"/>
      <c r="JB6" s="128"/>
      <c r="JC6" s="128"/>
      <c r="JD6" s="128"/>
      <c r="JE6" s="128"/>
      <c r="JF6" s="128"/>
      <c r="JG6" s="128"/>
      <c r="JH6" s="128"/>
      <c r="JI6" s="128"/>
      <c r="JJ6" s="128"/>
      <c r="JK6" s="128"/>
    </row>
    <row r="7">
      <c r="A7" s="137"/>
      <c r="B7" s="138">
        <f>TEXT(SUMPRODUCT((IFERROR(LEFT(D10:D30, FIND(":", D10:D30) - 1) * 60, 0) + IFERROR(MID(D10:D30, FIND(":", D10:D30) + 1, LEN(D10:D30) - FIND(":", D10:D30)), 0))), "[h]:mm")/60</f>
        <v>0</v>
      </c>
      <c r="C7" s="21"/>
      <c r="D7" s="21"/>
      <c r="E7" s="13"/>
      <c r="F7" s="139">
        <f>TEXT(SUMPRODUCT((IFERROR(LEFT(H10:H30, FIND(":", H10:H30) - 1) * 60, 0) + IFERROR(MID(H10:H30, FIND(":", H10:H30) + 1, LEN(H10:H30) - FIND(":", H10:H30)), 0))), "[h]:mm")/60</f>
        <v>0</v>
      </c>
      <c r="G7" s="7"/>
      <c r="H7" s="7"/>
      <c r="I7" s="7"/>
      <c r="J7" s="140"/>
      <c r="K7" s="140"/>
      <c r="L7" s="141" t="s">
        <v>11</v>
      </c>
      <c r="M7" s="132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8"/>
      <c r="CR7" s="128"/>
      <c r="CS7" s="128"/>
      <c r="CT7" s="128"/>
      <c r="CU7" s="128"/>
      <c r="CV7" s="128"/>
      <c r="CW7" s="128"/>
      <c r="CX7" s="128"/>
      <c r="CY7" s="128"/>
      <c r="CZ7" s="128"/>
      <c r="DA7" s="128"/>
      <c r="DB7" s="128"/>
      <c r="DC7" s="128"/>
      <c r="DD7" s="128"/>
      <c r="DE7" s="128"/>
      <c r="DF7" s="128"/>
      <c r="DG7" s="128"/>
      <c r="DH7" s="128"/>
      <c r="DI7" s="128"/>
      <c r="DJ7" s="128"/>
      <c r="DK7" s="128"/>
      <c r="DL7" s="128"/>
      <c r="DM7" s="128"/>
      <c r="DN7" s="128"/>
      <c r="DO7" s="128"/>
      <c r="DP7" s="128"/>
      <c r="DQ7" s="128"/>
      <c r="DR7" s="128"/>
      <c r="DS7" s="128"/>
      <c r="DT7" s="128"/>
      <c r="DU7" s="128"/>
      <c r="DV7" s="128"/>
      <c r="DW7" s="128"/>
      <c r="DX7" s="128"/>
      <c r="DY7" s="128"/>
      <c r="DZ7" s="128"/>
      <c r="EA7" s="128"/>
      <c r="EB7" s="128"/>
      <c r="EC7" s="128"/>
      <c r="ED7" s="128"/>
      <c r="EE7" s="128"/>
      <c r="EF7" s="128"/>
      <c r="EG7" s="128"/>
      <c r="EH7" s="128"/>
      <c r="EI7" s="128"/>
      <c r="EJ7" s="128"/>
      <c r="EK7" s="128"/>
      <c r="EL7" s="128"/>
      <c r="EM7" s="128"/>
      <c r="EN7" s="128"/>
      <c r="EO7" s="128"/>
      <c r="EP7" s="128"/>
      <c r="EQ7" s="128"/>
      <c r="ER7" s="128"/>
      <c r="ES7" s="128"/>
      <c r="ET7" s="128"/>
      <c r="EU7" s="128"/>
      <c r="EV7" s="128"/>
      <c r="EW7" s="128"/>
      <c r="EX7" s="128"/>
      <c r="EY7" s="128"/>
      <c r="EZ7" s="128"/>
      <c r="FA7" s="128"/>
      <c r="FB7" s="128"/>
      <c r="FC7" s="128"/>
      <c r="FD7" s="128"/>
      <c r="FE7" s="128"/>
      <c r="FF7" s="128"/>
      <c r="FG7" s="128"/>
      <c r="FH7" s="128"/>
      <c r="FI7" s="128"/>
      <c r="FJ7" s="128"/>
      <c r="FK7" s="128"/>
      <c r="FL7" s="128"/>
      <c r="FM7" s="128"/>
      <c r="FN7" s="128"/>
      <c r="FO7" s="128"/>
      <c r="FP7" s="128"/>
      <c r="FQ7" s="128"/>
      <c r="FR7" s="128"/>
      <c r="FS7" s="128"/>
      <c r="FT7" s="128"/>
      <c r="FU7" s="128"/>
      <c r="FV7" s="128"/>
      <c r="FW7" s="128"/>
      <c r="FX7" s="128"/>
      <c r="FY7" s="128"/>
      <c r="FZ7" s="128"/>
      <c r="GA7" s="128"/>
      <c r="GB7" s="128"/>
      <c r="GC7" s="128"/>
      <c r="GD7" s="128"/>
      <c r="GE7" s="128"/>
      <c r="GF7" s="128"/>
      <c r="GG7" s="128"/>
      <c r="GH7" s="128"/>
      <c r="GI7" s="128"/>
      <c r="GJ7" s="128"/>
      <c r="GK7" s="128"/>
      <c r="GL7" s="128"/>
      <c r="GM7" s="128"/>
      <c r="GN7" s="128"/>
      <c r="GO7" s="128"/>
      <c r="GP7" s="128"/>
      <c r="GQ7" s="128"/>
      <c r="GR7" s="128"/>
      <c r="GS7" s="128"/>
      <c r="GT7" s="128"/>
      <c r="GU7" s="128"/>
      <c r="GV7" s="128"/>
      <c r="GW7" s="128"/>
      <c r="GX7" s="128"/>
      <c r="GY7" s="128"/>
      <c r="GZ7" s="128"/>
      <c r="HA7" s="128"/>
      <c r="HB7" s="128"/>
      <c r="HC7" s="128"/>
      <c r="HD7" s="128"/>
      <c r="HE7" s="128"/>
      <c r="HF7" s="128"/>
      <c r="HG7" s="128"/>
      <c r="HH7" s="128"/>
      <c r="HI7" s="128"/>
      <c r="HJ7" s="128"/>
      <c r="HK7" s="128"/>
      <c r="HL7" s="128"/>
      <c r="HM7" s="128"/>
      <c r="HN7" s="128"/>
      <c r="HO7" s="128"/>
      <c r="HP7" s="128"/>
      <c r="HQ7" s="128"/>
      <c r="HR7" s="128"/>
      <c r="HS7" s="128"/>
      <c r="HT7" s="128"/>
      <c r="HU7" s="128"/>
      <c r="HV7" s="128"/>
      <c r="HW7" s="128"/>
      <c r="HX7" s="128"/>
      <c r="HY7" s="128"/>
      <c r="HZ7" s="128"/>
      <c r="IA7" s="128"/>
      <c r="IB7" s="128"/>
      <c r="IC7" s="128"/>
      <c r="ID7" s="128"/>
      <c r="IE7" s="128"/>
      <c r="IF7" s="128"/>
      <c r="IG7" s="128"/>
      <c r="IH7" s="128"/>
      <c r="II7" s="128"/>
      <c r="IJ7" s="128"/>
      <c r="IK7" s="128"/>
      <c r="IL7" s="128"/>
      <c r="IM7" s="128"/>
      <c r="IN7" s="128"/>
      <c r="IO7" s="128"/>
      <c r="IP7" s="128"/>
      <c r="IQ7" s="128"/>
      <c r="IR7" s="128"/>
      <c r="IS7" s="128"/>
      <c r="IT7" s="128"/>
      <c r="IU7" s="128"/>
      <c r="IV7" s="128"/>
      <c r="IW7" s="128"/>
      <c r="IX7" s="128"/>
      <c r="IY7" s="128"/>
      <c r="IZ7" s="128"/>
      <c r="JA7" s="128"/>
      <c r="JB7" s="128"/>
      <c r="JC7" s="128"/>
      <c r="JD7" s="128"/>
      <c r="JE7" s="128"/>
      <c r="JF7" s="128"/>
      <c r="JG7" s="128"/>
      <c r="JH7" s="128"/>
      <c r="JI7" s="128"/>
      <c r="JJ7" s="128"/>
      <c r="JK7" s="128"/>
    </row>
    <row r="8">
      <c r="A8" s="142"/>
      <c r="B8" s="143" t="s">
        <v>14</v>
      </c>
      <c r="C8" s="20"/>
      <c r="D8" s="20"/>
      <c r="E8" s="5"/>
      <c r="F8" s="144" t="s">
        <v>42</v>
      </c>
      <c r="G8" s="20"/>
      <c r="H8" s="20"/>
      <c r="I8" s="5"/>
      <c r="J8" s="145" t="s">
        <v>16</v>
      </c>
      <c r="K8" s="5"/>
      <c r="L8" s="146" t="s">
        <v>12</v>
      </c>
      <c r="M8" s="8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22"/>
      <c r="JJ8" s="122"/>
      <c r="JK8" s="122"/>
    </row>
    <row r="9">
      <c r="A9" s="147"/>
      <c r="B9" s="148" t="s">
        <v>18</v>
      </c>
      <c r="C9" s="149" t="s">
        <v>64</v>
      </c>
      <c r="D9" s="149" t="s">
        <v>22</v>
      </c>
      <c r="E9" s="150"/>
      <c r="F9" s="148" t="s">
        <v>18</v>
      </c>
      <c r="G9" s="149" t="s">
        <v>64</v>
      </c>
      <c r="H9" s="149" t="s">
        <v>22</v>
      </c>
      <c r="I9" s="151" t="s">
        <v>43</v>
      </c>
      <c r="J9" s="152">
        <v>-1.0</v>
      </c>
      <c r="K9" s="5"/>
      <c r="L9" s="153" t="s">
        <v>13</v>
      </c>
      <c r="M9" s="126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  <c r="CJ9" s="128"/>
      <c r="CK9" s="128"/>
      <c r="CL9" s="128"/>
      <c r="CM9" s="128"/>
      <c r="CN9" s="128"/>
      <c r="CO9" s="128"/>
      <c r="CP9" s="128"/>
      <c r="CQ9" s="128"/>
      <c r="CR9" s="128"/>
      <c r="CS9" s="128"/>
      <c r="CT9" s="128"/>
      <c r="CU9" s="128"/>
      <c r="CV9" s="128"/>
      <c r="CW9" s="128"/>
      <c r="CX9" s="128"/>
      <c r="CY9" s="128"/>
      <c r="CZ9" s="128"/>
      <c r="DA9" s="128"/>
      <c r="DB9" s="128"/>
      <c r="DC9" s="128"/>
      <c r="DD9" s="128"/>
      <c r="DE9" s="128"/>
      <c r="DF9" s="128"/>
      <c r="DG9" s="128"/>
      <c r="DH9" s="128"/>
      <c r="DI9" s="128"/>
      <c r="DJ9" s="128"/>
      <c r="DK9" s="128"/>
      <c r="DL9" s="128"/>
      <c r="DM9" s="128"/>
      <c r="DN9" s="128"/>
      <c r="DO9" s="128"/>
      <c r="DP9" s="128"/>
      <c r="DQ9" s="128"/>
      <c r="DR9" s="128"/>
      <c r="DS9" s="128"/>
      <c r="DT9" s="128"/>
      <c r="DU9" s="128"/>
      <c r="DV9" s="128"/>
      <c r="DW9" s="128"/>
      <c r="DX9" s="128"/>
      <c r="DY9" s="128"/>
      <c r="DZ9" s="128"/>
      <c r="EA9" s="128"/>
      <c r="EB9" s="128"/>
      <c r="EC9" s="128"/>
      <c r="ED9" s="128"/>
      <c r="EE9" s="128"/>
      <c r="EF9" s="128"/>
      <c r="EG9" s="128"/>
      <c r="EH9" s="128"/>
      <c r="EI9" s="128"/>
      <c r="EJ9" s="128"/>
      <c r="EK9" s="128"/>
      <c r="EL9" s="128"/>
      <c r="EM9" s="128"/>
      <c r="EN9" s="128"/>
      <c r="EO9" s="128"/>
      <c r="EP9" s="128"/>
      <c r="EQ9" s="128"/>
      <c r="ER9" s="128"/>
      <c r="ES9" s="128"/>
      <c r="ET9" s="128"/>
      <c r="EU9" s="128"/>
      <c r="EV9" s="128"/>
      <c r="EW9" s="128"/>
      <c r="EX9" s="128"/>
      <c r="EY9" s="128"/>
      <c r="EZ9" s="128"/>
      <c r="FA9" s="128"/>
      <c r="FB9" s="128"/>
      <c r="FC9" s="128"/>
      <c r="FD9" s="128"/>
      <c r="FE9" s="128"/>
      <c r="FF9" s="128"/>
      <c r="FG9" s="128"/>
      <c r="FH9" s="128"/>
      <c r="FI9" s="128"/>
      <c r="FJ9" s="128"/>
      <c r="FK9" s="128"/>
      <c r="FL9" s="128"/>
      <c r="FM9" s="128"/>
      <c r="FN9" s="128"/>
      <c r="FO9" s="128"/>
      <c r="FP9" s="128"/>
      <c r="FQ9" s="128"/>
      <c r="FR9" s="128"/>
      <c r="FS9" s="128"/>
      <c r="FT9" s="128"/>
      <c r="FU9" s="128"/>
      <c r="FV9" s="128"/>
      <c r="FW9" s="128"/>
      <c r="FX9" s="128"/>
      <c r="FY9" s="128"/>
      <c r="FZ9" s="128"/>
      <c r="GA9" s="128"/>
      <c r="GB9" s="128"/>
      <c r="GC9" s="128"/>
      <c r="GD9" s="128"/>
      <c r="GE9" s="128"/>
      <c r="GF9" s="128"/>
      <c r="GG9" s="128"/>
      <c r="GH9" s="128"/>
      <c r="GI9" s="128"/>
      <c r="GJ9" s="128"/>
      <c r="GK9" s="128"/>
      <c r="GL9" s="128"/>
      <c r="GM9" s="128"/>
      <c r="GN9" s="128"/>
      <c r="GO9" s="128"/>
      <c r="GP9" s="128"/>
      <c r="GQ9" s="128"/>
      <c r="GR9" s="128"/>
      <c r="GS9" s="128"/>
      <c r="GT9" s="128"/>
      <c r="GU9" s="128"/>
      <c r="GV9" s="128"/>
      <c r="GW9" s="128"/>
      <c r="GX9" s="128"/>
      <c r="GY9" s="128"/>
      <c r="GZ9" s="128"/>
      <c r="HA9" s="128"/>
      <c r="HB9" s="128"/>
      <c r="HC9" s="128"/>
      <c r="HD9" s="128"/>
      <c r="HE9" s="128"/>
      <c r="HF9" s="128"/>
      <c r="HG9" s="128"/>
      <c r="HH9" s="128"/>
      <c r="HI9" s="128"/>
      <c r="HJ9" s="128"/>
      <c r="HK9" s="128"/>
      <c r="HL9" s="128"/>
      <c r="HM9" s="128"/>
      <c r="HN9" s="128"/>
      <c r="HO9" s="128"/>
      <c r="HP9" s="128"/>
      <c r="HQ9" s="128"/>
      <c r="HR9" s="128"/>
      <c r="HS9" s="128"/>
      <c r="HT9" s="128"/>
      <c r="HU9" s="128"/>
      <c r="HV9" s="128"/>
      <c r="HW9" s="128"/>
      <c r="HX9" s="128"/>
      <c r="HY9" s="128"/>
      <c r="HZ9" s="128"/>
      <c r="IA9" s="128"/>
      <c r="IB9" s="128"/>
      <c r="IC9" s="128"/>
      <c r="ID9" s="128"/>
      <c r="IE9" s="128"/>
      <c r="IF9" s="128"/>
      <c r="IG9" s="128"/>
      <c r="IH9" s="128"/>
      <c r="II9" s="128"/>
      <c r="IJ9" s="128"/>
      <c r="IK9" s="128"/>
      <c r="IL9" s="128"/>
      <c r="IM9" s="128"/>
      <c r="IN9" s="128"/>
      <c r="IO9" s="128"/>
      <c r="IP9" s="128"/>
      <c r="IQ9" s="128"/>
      <c r="IR9" s="128"/>
      <c r="IS9" s="128"/>
      <c r="IT9" s="128"/>
      <c r="IU9" s="128"/>
      <c r="IV9" s="128"/>
      <c r="IW9" s="128"/>
      <c r="IX9" s="128"/>
      <c r="IY9" s="128"/>
      <c r="IZ9" s="128"/>
      <c r="JA9" s="128"/>
      <c r="JB9" s="128"/>
      <c r="JC9" s="128"/>
      <c r="JD9" s="128"/>
      <c r="JE9" s="128"/>
      <c r="JF9" s="128"/>
      <c r="JG9" s="128"/>
      <c r="JH9" s="128"/>
      <c r="JI9" s="128"/>
      <c r="JJ9" s="128"/>
      <c r="JK9" s="128"/>
    </row>
    <row r="10" ht="18.75" customHeight="1">
      <c r="A10" s="154"/>
      <c r="B10" s="155"/>
      <c r="C10" s="155"/>
      <c r="D10" s="155"/>
      <c r="E10" s="156" t="s">
        <v>65</v>
      </c>
      <c r="F10" s="155"/>
      <c r="G10" s="155"/>
      <c r="H10" s="155"/>
      <c r="I10" s="155"/>
      <c r="K10" s="15"/>
      <c r="L10" s="153" t="s">
        <v>17</v>
      </c>
      <c r="M10" s="132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28"/>
      <c r="DH10" s="128"/>
      <c r="DI10" s="128"/>
      <c r="DJ10" s="128"/>
      <c r="DK10" s="128"/>
      <c r="DL10" s="128"/>
      <c r="DM10" s="128"/>
      <c r="DN10" s="128"/>
      <c r="DO10" s="128"/>
      <c r="DP10" s="128"/>
      <c r="DQ10" s="128"/>
      <c r="DR10" s="128"/>
      <c r="DS10" s="128"/>
      <c r="DT10" s="128"/>
      <c r="DU10" s="128"/>
      <c r="DV10" s="128"/>
      <c r="DW10" s="128"/>
      <c r="DX10" s="128"/>
      <c r="DY10" s="128"/>
      <c r="DZ10" s="128"/>
      <c r="EA10" s="128"/>
      <c r="EB10" s="128"/>
      <c r="EC10" s="128"/>
      <c r="ED10" s="128"/>
      <c r="EE10" s="128"/>
      <c r="EF10" s="128"/>
      <c r="EG10" s="128"/>
      <c r="EH10" s="128"/>
      <c r="EI10" s="128"/>
      <c r="EJ10" s="128"/>
      <c r="EK10" s="128"/>
      <c r="EL10" s="128"/>
      <c r="EM10" s="128"/>
      <c r="EN10" s="128"/>
      <c r="EO10" s="128"/>
      <c r="EP10" s="128"/>
      <c r="EQ10" s="128"/>
      <c r="ER10" s="128"/>
      <c r="ES10" s="128"/>
      <c r="ET10" s="128"/>
      <c r="EU10" s="128"/>
      <c r="EV10" s="128"/>
      <c r="EW10" s="128"/>
      <c r="EX10" s="128"/>
      <c r="EY10" s="128"/>
      <c r="EZ10" s="128"/>
      <c r="FA10" s="128"/>
      <c r="FB10" s="128"/>
      <c r="FC10" s="128"/>
      <c r="FD10" s="128"/>
      <c r="FE10" s="128"/>
      <c r="FF10" s="128"/>
      <c r="FG10" s="128"/>
      <c r="FH10" s="128"/>
      <c r="FI10" s="128"/>
      <c r="FJ10" s="128"/>
      <c r="FK10" s="128"/>
      <c r="FL10" s="128"/>
      <c r="FM10" s="128"/>
      <c r="FN10" s="128"/>
      <c r="FO10" s="128"/>
      <c r="FP10" s="128"/>
      <c r="FQ10" s="128"/>
      <c r="FR10" s="128"/>
      <c r="FS10" s="128"/>
      <c r="FT10" s="128"/>
      <c r="FU10" s="128"/>
      <c r="FV10" s="128"/>
      <c r="FW10" s="128"/>
      <c r="FX10" s="128"/>
      <c r="FY10" s="128"/>
      <c r="FZ10" s="128"/>
      <c r="GA10" s="128"/>
      <c r="GB10" s="128"/>
      <c r="GC10" s="128"/>
      <c r="GD10" s="128"/>
      <c r="GE10" s="128"/>
      <c r="GF10" s="128"/>
      <c r="GG10" s="128"/>
      <c r="GH10" s="128"/>
      <c r="GI10" s="128"/>
      <c r="GJ10" s="128"/>
      <c r="GK10" s="128"/>
      <c r="GL10" s="128"/>
      <c r="GM10" s="128"/>
      <c r="GN10" s="128"/>
      <c r="GO10" s="128"/>
      <c r="GP10" s="128"/>
      <c r="GQ10" s="128"/>
      <c r="GR10" s="128"/>
      <c r="GS10" s="128"/>
      <c r="GT10" s="128"/>
      <c r="GU10" s="128"/>
      <c r="GV10" s="128"/>
      <c r="GW10" s="128"/>
      <c r="GX10" s="128"/>
      <c r="GY10" s="128"/>
      <c r="GZ10" s="128"/>
      <c r="HA10" s="128"/>
      <c r="HB10" s="128"/>
      <c r="HC10" s="128"/>
      <c r="HD10" s="128"/>
      <c r="HE10" s="128"/>
      <c r="HF10" s="128"/>
      <c r="HG10" s="128"/>
      <c r="HH10" s="128"/>
      <c r="HI10" s="128"/>
      <c r="HJ10" s="128"/>
      <c r="HK10" s="128"/>
      <c r="HL10" s="128"/>
      <c r="HM10" s="128"/>
      <c r="HN10" s="128"/>
      <c r="HO10" s="128"/>
      <c r="HP10" s="128"/>
      <c r="HQ10" s="128"/>
      <c r="HR10" s="128"/>
      <c r="HS10" s="128"/>
      <c r="HT10" s="128"/>
      <c r="HU10" s="128"/>
      <c r="HV10" s="128"/>
      <c r="HW10" s="128"/>
      <c r="HX10" s="128"/>
      <c r="HY10" s="128"/>
      <c r="HZ10" s="128"/>
      <c r="IA10" s="128"/>
      <c r="IB10" s="128"/>
      <c r="IC10" s="128"/>
      <c r="ID10" s="128"/>
      <c r="IE10" s="128"/>
      <c r="IF10" s="128"/>
      <c r="IG10" s="128"/>
      <c r="IH10" s="128"/>
      <c r="II10" s="128"/>
      <c r="IJ10" s="128"/>
      <c r="IK10" s="128"/>
      <c r="IL10" s="128"/>
      <c r="IM10" s="128"/>
      <c r="IN10" s="128"/>
      <c r="IO10" s="128"/>
      <c r="IP10" s="128"/>
      <c r="IQ10" s="128"/>
      <c r="IR10" s="128"/>
      <c r="IS10" s="128"/>
      <c r="IT10" s="128"/>
      <c r="IU10" s="128"/>
      <c r="IV10" s="128"/>
      <c r="IW10" s="128"/>
      <c r="IX10" s="128"/>
      <c r="IY10" s="128"/>
      <c r="IZ10" s="128"/>
      <c r="JA10" s="128"/>
      <c r="JB10" s="128"/>
      <c r="JC10" s="128"/>
      <c r="JD10" s="128"/>
      <c r="JE10" s="128"/>
      <c r="JF10" s="128"/>
      <c r="JG10" s="128"/>
      <c r="JH10" s="128"/>
      <c r="JI10" s="128"/>
      <c r="JJ10" s="128"/>
      <c r="JK10" s="128"/>
    </row>
    <row r="11" ht="18.75" customHeight="1">
      <c r="A11" s="154"/>
      <c r="B11" s="155"/>
      <c r="C11" s="155"/>
      <c r="D11" s="155"/>
      <c r="E11" s="156" t="s">
        <v>52</v>
      </c>
      <c r="F11" s="155"/>
      <c r="G11" s="155"/>
      <c r="H11" s="155"/>
      <c r="I11" s="155"/>
      <c r="K11" s="15"/>
      <c r="L11" s="157" t="s">
        <v>12</v>
      </c>
      <c r="M11" s="132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  <c r="DH11" s="128"/>
      <c r="DI11" s="128"/>
      <c r="DJ11" s="128"/>
      <c r="DK11" s="128"/>
      <c r="DL11" s="128"/>
      <c r="DM11" s="128"/>
      <c r="DN11" s="128"/>
      <c r="DO11" s="128"/>
      <c r="DP11" s="128"/>
      <c r="DQ11" s="128"/>
      <c r="DR11" s="128"/>
      <c r="DS11" s="128"/>
      <c r="DT11" s="128"/>
      <c r="DU11" s="128"/>
      <c r="DV11" s="128"/>
      <c r="DW11" s="128"/>
      <c r="DX11" s="128"/>
      <c r="DY11" s="128"/>
      <c r="DZ11" s="128"/>
      <c r="EA11" s="128"/>
      <c r="EB11" s="128"/>
      <c r="EC11" s="128"/>
      <c r="ED11" s="128"/>
      <c r="EE11" s="128"/>
      <c r="EF11" s="128"/>
      <c r="EG11" s="128"/>
      <c r="EH11" s="128"/>
      <c r="EI11" s="128"/>
      <c r="EJ11" s="128"/>
      <c r="EK11" s="128"/>
      <c r="EL11" s="128"/>
      <c r="EM11" s="128"/>
      <c r="EN11" s="128"/>
      <c r="EO11" s="128"/>
      <c r="EP11" s="128"/>
      <c r="EQ11" s="128"/>
      <c r="ER11" s="128"/>
      <c r="ES11" s="128"/>
      <c r="ET11" s="128"/>
      <c r="EU11" s="128"/>
      <c r="EV11" s="128"/>
      <c r="EW11" s="128"/>
      <c r="EX11" s="128"/>
      <c r="EY11" s="128"/>
      <c r="EZ11" s="128"/>
      <c r="FA11" s="128"/>
      <c r="FB11" s="128"/>
      <c r="FC11" s="128"/>
      <c r="FD11" s="128"/>
      <c r="FE11" s="128"/>
      <c r="FF11" s="128"/>
      <c r="FG11" s="128"/>
      <c r="FH11" s="128"/>
      <c r="FI11" s="128"/>
      <c r="FJ11" s="128"/>
      <c r="FK11" s="128"/>
      <c r="FL11" s="128"/>
      <c r="FM11" s="128"/>
      <c r="FN11" s="128"/>
      <c r="FO11" s="128"/>
      <c r="FP11" s="128"/>
      <c r="FQ11" s="128"/>
      <c r="FR11" s="128"/>
      <c r="FS11" s="128"/>
      <c r="FT11" s="128"/>
      <c r="FU11" s="128"/>
      <c r="FV11" s="128"/>
      <c r="FW11" s="128"/>
      <c r="FX11" s="128"/>
      <c r="FY11" s="128"/>
      <c r="FZ11" s="128"/>
      <c r="GA11" s="128"/>
      <c r="GB11" s="128"/>
      <c r="GC11" s="128"/>
      <c r="GD11" s="128"/>
      <c r="GE11" s="128"/>
      <c r="GF11" s="128"/>
      <c r="GG11" s="128"/>
      <c r="GH11" s="128"/>
      <c r="GI11" s="128"/>
      <c r="GJ11" s="128"/>
      <c r="GK11" s="128"/>
      <c r="GL11" s="128"/>
      <c r="GM11" s="128"/>
      <c r="GN11" s="128"/>
      <c r="GO11" s="128"/>
      <c r="GP11" s="128"/>
      <c r="GQ11" s="128"/>
      <c r="GR11" s="128"/>
      <c r="GS11" s="128"/>
      <c r="GT11" s="128"/>
      <c r="GU11" s="128"/>
      <c r="GV11" s="128"/>
      <c r="GW11" s="128"/>
      <c r="GX11" s="128"/>
      <c r="GY11" s="128"/>
      <c r="GZ11" s="128"/>
      <c r="HA11" s="128"/>
      <c r="HB11" s="128"/>
      <c r="HC11" s="128"/>
      <c r="HD11" s="128"/>
      <c r="HE11" s="128"/>
      <c r="HF11" s="128"/>
      <c r="HG11" s="128"/>
      <c r="HH11" s="128"/>
      <c r="HI11" s="128"/>
      <c r="HJ11" s="128"/>
      <c r="HK11" s="128"/>
      <c r="HL11" s="128"/>
      <c r="HM11" s="128"/>
      <c r="HN11" s="128"/>
      <c r="HO11" s="128"/>
      <c r="HP11" s="128"/>
      <c r="HQ11" s="128"/>
      <c r="HR11" s="128"/>
      <c r="HS11" s="128"/>
      <c r="HT11" s="128"/>
      <c r="HU11" s="128"/>
      <c r="HV11" s="128"/>
      <c r="HW11" s="128"/>
      <c r="HX11" s="128"/>
      <c r="HY11" s="128"/>
      <c r="HZ11" s="128"/>
      <c r="IA11" s="128"/>
      <c r="IB11" s="128"/>
      <c r="IC11" s="128"/>
      <c r="ID11" s="128"/>
      <c r="IE11" s="128"/>
      <c r="IF11" s="128"/>
      <c r="IG11" s="128"/>
      <c r="IH11" s="128"/>
      <c r="II11" s="128"/>
      <c r="IJ11" s="128"/>
      <c r="IK11" s="128"/>
      <c r="IL11" s="128"/>
      <c r="IM11" s="128"/>
      <c r="IN11" s="128"/>
      <c r="IO11" s="128"/>
      <c r="IP11" s="128"/>
      <c r="IQ11" s="128"/>
      <c r="IR11" s="128"/>
      <c r="IS11" s="128"/>
      <c r="IT11" s="128"/>
      <c r="IU11" s="128"/>
      <c r="IV11" s="128"/>
      <c r="IW11" s="128"/>
      <c r="IX11" s="128"/>
      <c r="IY11" s="128"/>
      <c r="IZ11" s="128"/>
      <c r="JA11" s="128"/>
      <c r="JB11" s="128"/>
      <c r="JC11" s="128"/>
      <c r="JD11" s="128"/>
      <c r="JE11" s="128"/>
      <c r="JF11" s="128"/>
      <c r="JG11" s="128"/>
      <c r="JH11" s="128"/>
      <c r="JI11" s="128"/>
      <c r="JJ11" s="128"/>
      <c r="JK11" s="128"/>
    </row>
    <row r="12" ht="18.75" customHeight="1">
      <c r="A12" s="154"/>
      <c r="B12" s="155"/>
      <c r="C12" s="155"/>
      <c r="D12" s="155"/>
      <c r="E12" s="156" t="s">
        <v>66</v>
      </c>
      <c r="F12" s="155"/>
      <c r="G12" s="155"/>
      <c r="H12" s="155"/>
      <c r="I12" s="155"/>
      <c r="K12" s="15"/>
      <c r="L12" s="158" t="s">
        <v>26</v>
      </c>
      <c r="M12" s="13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22"/>
      <c r="JJ12" s="122"/>
      <c r="JK12" s="122"/>
    </row>
    <row r="13" ht="18.75" customHeight="1">
      <c r="A13" s="154"/>
      <c r="B13" s="155"/>
      <c r="C13" s="155"/>
      <c r="D13" s="155"/>
      <c r="E13" s="156" t="s">
        <v>66</v>
      </c>
      <c r="F13" s="155"/>
      <c r="G13" s="155"/>
      <c r="H13" s="155"/>
      <c r="I13" s="155"/>
      <c r="K13" s="15"/>
      <c r="L13" s="125" t="s">
        <v>30</v>
      </c>
      <c r="M13" s="126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  <c r="CJ13" s="128"/>
      <c r="CK13" s="128"/>
      <c r="CL13" s="128"/>
      <c r="CM13" s="128"/>
      <c r="CN13" s="128"/>
      <c r="CO13" s="128"/>
      <c r="CP13" s="128"/>
      <c r="CQ13" s="128"/>
      <c r="CR13" s="128"/>
      <c r="CS13" s="128"/>
      <c r="CT13" s="128"/>
      <c r="CU13" s="128"/>
      <c r="CV13" s="128"/>
      <c r="CW13" s="128"/>
      <c r="CX13" s="128"/>
      <c r="CY13" s="128"/>
      <c r="CZ13" s="128"/>
      <c r="DA13" s="128"/>
      <c r="DB13" s="128"/>
      <c r="DC13" s="128"/>
      <c r="DD13" s="128"/>
      <c r="DE13" s="128"/>
      <c r="DF13" s="128"/>
      <c r="DG13" s="128"/>
      <c r="DH13" s="128"/>
      <c r="DI13" s="128"/>
      <c r="DJ13" s="128"/>
      <c r="DK13" s="128"/>
      <c r="DL13" s="128"/>
      <c r="DM13" s="128"/>
      <c r="DN13" s="128"/>
      <c r="DO13" s="128"/>
      <c r="DP13" s="128"/>
      <c r="DQ13" s="128"/>
      <c r="DR13" s="128"/>
      <c r="DS13" s="128"/>
      <c r="DT13" s="128"/>
      <c r="DU13" s="128"/>
      <c r="DV13" s="128"/>
      <c r="DW13" s="128"/>
      <c r="DX13" s="128"/>
      <c r="DY13" s="128"/>
      <c r="DZ13" s="128"/>
      <c r="EA13" s="128"/>
      <c r="EB13" s="128"/>
      <c r="EC13" s="128"/>
      <c r="ED13" s="128"/>
      <c r="EE13" s="128"/>
      <c r="EF13" s="128"/>
      <c r="EG13" s="128"/>
      <c r="EH13" s="128"/>
      <c r="EI13" s="128"/>
      <c r="EJ13" s="128"/>
      <c r="EK13" s="128"/>
      <c r="EL13" s="128"/>
      <c r="EM13" s="128"/>
      <c r="EN13" s="128"/>
      <c r="EO13" s="128"/>
      <c r="EP13" s="128"/>
      <c r="EQ13" s="128"/>
      <c r="ER13" s="128"/>
      <c r="ES13" s="128"/>
      <c r="ET13" s="128"/>
      <c r="EU13" s="128"/>
      <c r="EV13" s="128"/>
      <c r="EW13" s="128"/>
      <c r="EX13" s="128"/>
      <c r="EY13" s="128"/>
      <c r="EZ13" s="128"/>
      <c r="FA13" s="128"/>
      <c r="FB13" s="128"/>
      <c r="FC13" s="128"/>
      <c r="FD13" s="128"/>
      <c r="FE13" s="128"/>
      <c r="FF13" s="128"/>
      <c r="FG13" s="128"/>
      <c r="FH13" s="128"/>
      <c r="FI13" s="128"/>
      <c r="FJ13" s="128"/>
      <c r="FK13" s="128"/>
      <c r="FL13" s="128"/>
      <c r="FM13" s="128"/>
      <c r="FN13" s="128"/>
      <c r="FO13" s="128"/>
      <c r="FP13" s="128"/>
      <c r="FQ13" s="128"/>
      <c r="FR13" s="128"/>
      <c r="FS13" s="128"/>
      <c r="FT13" s="128"/>
      <c r="FU13" s="128"/>
      <c r="FV13" s="128"/>
      <c r="FW13" s="128"/>
      <c r="FX13" s="128"/>
      <c r="FY13" s="128"/>
      <c r="FZ13" s="128"/>
      <c r="GA13" s="128"/>
      <c r="GB13" s="128"/>
      <c r="GC13" s="128"/>
      <c r="GD13" s="128"/>
      <c r="GE13" s="128"/>
      <c r="GF13" s="128"/>
      <c r="GG13" s="128"/>
      <c r="GH13" s="128"/>
      <c r="GI13" s="128"/>
      <c r="GJ13" s="128"/>
      <c r="GK13" s="128"/>
      <c r="GL13" s="128"/>
      <c r="GM13" s="128"/>
      <c r="GN13" s="128"/>
      <c r="GO13" s="128"/>
      <c r="GP13" s="128"/>
      <c r="GQ13" s="128"/>
      <c r="GR13" s="128"/>
      <c r="GS13" s="128"/>
      <c r="GT13" s="128"/>
      <c r="GU13" s="128"/>
      <c r="GV13" s="128"/>
      <c r="GW13" s="128"/>
      <c r="GX13" s="128"/>
      <c r="GY13" s="128"/>
      <c r="GZ13" s="128"/>
      <c r="HA13" s="128"/>
      <c r="HB13" s="128"/>
      <c r="HC13" s="128"/>
      <c r="HD13" s="128"/>
      <c r="HE13" s="128"/>
      <c r="HF13" s="128"/>
      <c r="HG13" s="128"/>
      <c r="HH13" s="128"/>
      <c r="HI13" s="128"/>
      <c r="HJ13" s="128"/>
      <c r="HK13" s="128"/>
      <c r="HL13" s="128"/>
      <c r="HM13" s="128"/>
      <c r="HN13" s="128"/>
      <c r="HO13" s="128"/>
      <c r="HP13" s="128"/>
      <c r="HQ13" s="128"/>
      <c r="HR13" s="128"/>
      <c r="HS13" s="128"/>
      <c r="HT13" s="128"/>
      <c r="HU13" s="128"/>
      <c r="HV13" s="128"/>
      <c r="HW13" s="128"/>
      <c r="HX13" s="128"/>
      <c r="HY13" s="128"/>
      <c r="HZ13" s="128"/>
      <c r="IA13" s="128"/>
      <c r="IB13" s="128"/>
      <c r="IC13" s="128"/>
      <c r="ID13" s="128"/>
      <c r="IE13" s="128"/>
      <c r="IF13" s="128"/>
      <c r="IG13" s="128"/>
      <c r="IH13" s="128"/>
      <c r="II13" s="128"/>
      <c r="IJ13" s="128"/>
      <c r="IK13" s="128"/>
      <c r="IL13" s="128"/>
      <c r="IM13" s="128"/>
      <c r="IN13" s="128"/>
      <c r="IO13" s="128"/>
      <c r="IP13" s="128"/>
      <c r="IQ13" s="128"/>
      <c r="IR13" s="128"/>
      <c r="IS13" s="128"/>
      <c r="IT13" s="128"/>
      <c r="IU13" s="128"/>
      <c r="IV13" s="128"/>
      <c r="IW13" s="128"/>
      <c r="IX13" s="128"/>
      <c r="IY13" s="128"/>
      <c r="IZ13" s="128"/>
      <c r="JA13" s="128"/>
      <c r="JB13" s="128"/>
      <c r="JC13" s="128"/>
      <c r="JD13" s="128"/>
      <c r="JE13" s="128"/>
      <c r="JF13" s="128"/>
      <c r="JG13" s="128"/>
      <c r="JH13" s="128"/>
      <c r="JI13" s="128"/>
      <c r="JJ13" s="128"/>
      <c r="JK13" s="128"/>
    </row>
    <row r="14" ht="18.75" customHeight="1">
      <c r="A14" s="154"/>
      <c r="B14" s="155"/>
      <c r="C14" s="155"/>
      <c r="D14" s="155"/>
      <c r="E14" s="156" t="s">
        <v>67</v>
      </c>
      <c r="F14" s="155"/>
      <c r="G14" s="155"/>
      <c r="H14" s="155"/>
      <c r="I14" s="155"/>
      <c r="K14" s="15"/>
      <c r="L14" s="159" t="s">
        <v>33</v>
      </c>
      <c r="M14" s="132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  <c r="CJ14" s="128"/>
      <c r="CK14" s="128"/>
      <c r="CL14" s="128"/>
      <c r="CM14" s="128"/>
      <c r="CN14" s="128"/>
      <c r="CO14" s="128"/>
      <c r="CP14" s="128"/>
      <c r="CQ14" s="128"/>
      <c r="CR14" s="128"/>
      <c r="CS14" s="128"/>
      <c r="CT14" s="128"/>
      <c r="CU14" s="128"/>
      <c r="CV14" s="128"/>
      <c r="CW14" s="128"/>
      <c r="CX14" s="128"/>
      <c r="CY14" s="128"/>
      <c r="CZ14" s="128"/>
      <c r="DA14" s="128"/>
      <c r="DB14" s="128"/>
      <c r="DC14" s="128"/>
      <c r="DD14" s="128"/>
      <c r="DE14" s="128"/>
      <c r="DF14" s="128"/>
      <c r="DG14" s="128"/>
      <c r="DH14" s="128"/>
      <c r="DI14" s="128"/>
      <c r="DJ14" s="128"/>
      <c r="DK14" s="128"/>
      <c r="DL14" s="128"/>
      <c r="DM14" s="128"/>
      <c r="DN14" s="128"/>
      <c r="DO14" s="128"/>
      <c r="DP14" s="128"/>
      <c r="DQ14" s="128"/>
      <c r="DR14" s="128"/>
      <c r="DS14" s="128"/>
      <c r="DT14" s="128"/>
      <c r="DU14" s="128"/>
      <c r="DV14" s="128"/>
      <c r="DW14" s="128"/>
      <c r="DX14" s="128"/>
      <c r="DY14" s="128"/>
      <c r="DZ14" s="128"/>
      <c r="EA14" s="128"/>
      <c r="EB14" s="128"/>
      <c r="EC14" s="128"/>
      <c r="ED14" s="128"/>
      <c r="EE14" s="128"/>
      <c r="EF14" s="128"/>
      <c r="EG14" s="128"/>
      <c r="EH14" s="128"/>
      <c r="EI14" s="128"/>
      <c r="EJ14" s="128"/>
      <c r="EK14" s="128"/>
      <c r="EL14" s="128"/>
      <c r="EM14" s="128"/>
      <c r="EN14" s="128"/>
      <c r="EO14" s="128"/>
      <c r="EP14" s="128"/>
      <c r="EQ14" s="128"/>
      <c r="ER14" s="128"/>
      <c r="ES14" s="128"/>
      <c r="ET14" s="128"/>
      <c r="EU14" s="128"/>
      <c r="EV14" s="128"/>
      <c r="EW14" s="128"/>
      <c r="EX14" s="128"/>
      <c r="EY14" s="128"/>
      <c r="EZ14" s="128"/>
      <c r="FA14" s="128"/>
      <c r="FB14" s="128"/>
      <c r="FC14" s="128"/>
      <c r="FD14" s="128"/>
      <c r="FE14" s="128"/>
      <c r="FF14" s="128"/>
      <c r="FG14" s="128"/>
      <c r="FH14" s="128"/>
      <c r="FI14" s="128"/>
      <c r="FJ14" s="128"/>
      <c r="FK14" s="128"/>
      <c r="FL14" s="128"/>
      <c r="FM14" s="128"/>
      <c r="FN14" s="128"/>
      <c r="FO14" s="128"/>
      <c r="FP14" s="128"/>
      <c r="FQ14" s="128"/>
      <c r="FR14" s="128"/>
      <c r="FS14" s="128"/>
      <c r="FT14" s="128"/>
      <c r="FU14" s="128"/>
      <c r="FV14" s="128"/>
      <c r="FW14" s="128"/>
      <c r="FX14" s="128"/>
      <c r="FY14" s="128"/>
      <c r="FZ14" s="128"/>
      <c r="GA14" s="128"/>
      <c r="GB14" s="128"/>
      <c r="GC14" s="128"/>
      <c r="GD14" s="128"/>
      <c r="GE14" s="128"/>
      <c r="GF14" s="128"/>
      <c r="GG14" s="128"/>
      <c r="GH14" s="128"/>
      <c r="GI14" s="128"/>
      <c r="GJ14" s="128"/>
      <c r="GK14" s="128"/>
      <c r="GL14" s="128"/>
      <c r="GM14" s="128"/>
      <c r="GN14" s="128"/>
      <c r="GO14" s="128"/>
      <c r="GP14" s="128"/>
      <c r="GQ14" s="128"/>
      <c r="GR14" s="128"/>
      <c r="GS14" s="128"/>
      <c r="GT14" s="128"/>
      <c r="GU14" s="128"/>
      <c r="GV14" s="128"/>
      <c r="GW14" s="128"/>
      <c r="GX14" s="128"/>
      <c r="GY14" s="128"/>
      <c r="GZ14" s="128"/>
      <c r="HA14" s="128"/>
      <c r="HB14" s="128"/>
      <c r="HC14" s="128"/>
      <c r="HD14" s="128"/>
      <c r="HE14" s="128"/>
      <c r="HF14" s="128"/>
      <c r="HG14" s="128"/>
      <c r="HH14" s="128"/>
      <c r="HI14" s="128"/>
      <c r="HJ14" s="128"/>
      <c r="HK14" s="128"/>
      <c r="HL14" s="128"/>
      <c r="HM14" s="128"/>
      <c r="HN14" s="128"/>
      <c r="HO14" s="128"/>
      <c r="HP14" s="128"/>
      <c r="HQ14" s="128"/>
      <c r="HR14" s="128"/>
      <c r="HS14" s="128"/>
      <c r="HT14" s="128"/>
      <c r="HU14" s="128"/>
      <c r="HV14" s="128"/>
      <c r="HW14" s="128"/>
      <c r="HX14" s="128"/>
      <c r="HY14" s="128"/>
      <c r="HZ14" s="128"/>
      <c r="IA14" s="128"/>
      <c r="IB14" s="128"/>
      <c r="IC14" s="128"/>
      <c r="ID14" s="128"/>
      <c r="IE14" s="128"/>
      <c r="IF14" s="128"/>
      <c r="IG14" s="128"/>
      <c r="IH14" s="128"/>
      <c r="II14" s="128"/>
      <c r="IJ14" s="128"/>
      <c r="IK14" s="128"/>
      <c r="IL14" s="128"/>
      <c r="IM14" s="128"/>
      <c r="IN14" s="128"/>
      <c r="IO14" s="128"/>
      <c r="IP14" s="128"/>
      <c r="IQ14" s="128"/>
      <c r="IR14" s="128"/>
      <c r="IS14" s="128"/>
      <c r="IT14" s="128"/>
      <c r="IU14" s="128"/>
      <c r="IV14" s="128"/>
      <c r="IW14" s="128"/>
      <c r="IX14" s="128"/>
      <c r="IY14" s="128"/>
      <c r="IZ14" s="128"/>
      <c r="JA14" s="128"/>
      <c r="JB14" s="128"/>
      <c r="JC14" s="128"/>
      <c r="JD14" s="128"/>
      <c r="JE14" s="128"/>
      <c r="JF14" s="128"/>
      <c r="JG14" s="128"/>
      <c r="JH14" s="128"/>
      <c r="JI14" s="128"/>
      <c r="JJ14" s="128"/>
      <c r="JK14" s="128"/>
    </row>
    <row r="15" ht="18.75" customHeight="1">
      <c r="A15" s="154"/>
      <c r="B15" s="155"/>
      <c r="C15" s="155"/>
      <c r="D15" s="155"/>
      <c r="E15" s="156" t="s">
        <v>67</v>
      </c>
      <c r="F15" s="155"/>
      <c r="G15" s="155"/>
      <c r="H15" s="155"/>
      <c r="I15" s="155"/>
      <c r="K15" s="15"/>
      <c r="L15" s="159" t="s">
        <v>34</v>
      </c>
      <c r="M15" s="126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  <c r="CJ15" s="128"/>
      <c r="CK15" s="128"/>
      <c r="CL15" s="128"/>
      <c r="CM15" s="128"/>
      <c r="CN15" s="128"/>
      <c r="CO15" s="128"/>
      <c r="CP15" s="128"/>
      <c r="CQ15" s="128"/>
      <c r="CR15" s="128"/>
      <c r="CS15" s="128"/>
      <c r="CT15" s="128"/>
      <c r="CU15" s="128"/>
      <c r="CV15" s="128"/>
      <c r="CW15" s="128"/>
      <c r="CX15" s="128"/>
      <c r="CY15" s="128"/>
      <c r="CZ15" s="128"/>
      <c r="DA15" s="128"/>
      <c r="DB15" s="128"/>
      <c r="DC15" s="128"/>
      <c r="DD15" s="128"/>
      <c r="DE15" s="128"/>
      <c r="DF15" s="128"/>
      <c r="DG15" s="128"/>
      <c r="DH15" s="128"/>
      <c r="DI15" s="128"/>
      <c r="DJ15" s="128"/>
      <c r="DK15" s="128"/>
      <c r="DL15" s="128"/>
      <c r="DM15" s="128"/>
      <c r="DN15" s="128"/>
      <c r="DO15" s="128"/>
      <c r="DP15" s="128"/>
      <c r="DQ15" s="128"/>
      <c r="DR15" s="128"/>
      <c r="DS15" s="128"/>
      <c r="DT15" s="128"/>
      <c r="DU15" s="128"/>
      <c r="DV15" s="128"/>
      <c r="DW15" s="128"/>
      <c r="DX15" s="128"/>
      <c r="DY15" s="128"/>
      <c r="DZ15" s="128"/>
      <c r="EA15" s="128"/>
      <c r="EB15" s="128"/>
      <c r="EC15" s="128"/>
      <c r="ED15" s="128"/>
      <c r="EE15" s="128"/>
      <c r="EF15" s="128"/>
      <c r="EG15" s="128"/>
      <c r="EH15" s="128"/>
      <c r="EI15" s="128"/>
      <c r="EJ15" s="128"/>
      <c r="EK15" s="128"/>
      <c r="EL15" s="128"/>
      <c r="EM15" s="128"/>
      <c r="EN15" s="128"/>
      <c r="EO15" s="128"/>
      <c r="EP15" s="128"/>
      <c r="EQ15" s="128"/>
      <c r="ER15" s="128"/>
      <c r="ES15" s="128"/>
      <c r="ET15" s="128"/>
      <c r="EU15" s="128"/>
      <c r="EV15" s="128"/>
      <c r="EW15" s="128"/>
      <c r="EX15" s="128"/>
      <c r="EY15" s="128"/>
      <c r="EZ15" s="128"/>
      <c r="FA15" s="128"/>
      <c r="FB15" s="128"/>
      <c r="FC15" s="128"/>
      <c r="FD15" s="128"/>
      <c r="FE15" s="128"/>
      <c r="FF15" s="128"/>
      <c r="FG15" s="128"/>
      <c r="FH15" s="128"/>
      <c r="FI15" s="128"/>
      <c r="FJ15" s="128"/>
      <c r="FK15" s="128"/>
      <c r="FL15" s="128"/>
      <c r="FM15" s="128"/>
      <c r="FN15" s="128"/>
      <c r="FO15" s="128"/>
      <c r="FP15" s="128"/>
      <c r="FQ15" s="128"/>
      <c r="FR15" s="128"/>
      <c r="FS15" s="128"/>
      <c r="FT15" s="128"/>
      <c r="FU15" s="128"/>
      <c r="FV15" s="128"/>
      <c r="FW15" s="128"/>
      <c r="FX15" s="128"/>
      <c r="FY15" s="128"/>
      <c r="FZ15" s="128"/>
      <c r="GA15" s="128"/>
      <c r="GB15" s="128"/>
      <c r="GC15" s="128"/>
      <c r="GD15" s="128"/>
      <c r="GE15" s="128"/>
      <c r="GF15" s="128"/>
      <c r="GG15" s="128"/>
      <c r="GH15" s="128"/>
      <c r="GI15" s="128"/>
      <c r="GJ15" s="128"/>
      <c r="GK15" s="128"/>
      <c r="GL15" s="128"/>
      <c r="GM15" s="128"/>
      <c r="GN15" s="128"/>
      <c r="GO15" s="128"/>
      <c r="GP15" s="128"/>
      <c r="GQ15" s="128"/>
      <c r="GR15" s="128"/>
      <c r="GS15" s="128"/>
      <c r="GT15" s="128"/>
      <c r="GU15" s="128"/>
      <c r="GV15" s="128"/>
      <c r="GW15" s="128"/>
      <c r="GX15" s="128"/>
      <c r="GY15" s="128"/>
      <c r="GZ15" s="128"/>
      <c r="HA15" s="128"/>
      <c r="HB15" s="128"/>
      <c r="HC15" s="128"/>
      <c r="HD15" s="128"/>
      <c r="HE15" s="128"/>
      <c r="HF15" s="128"/>
      <c r="HG15" s="128"/>
      <c r="HH15" s="128"/>
      <c r="HI15" s="128"/>
      <c r="HJ15" s="128"/>
      <c r="HK15" s="128"/>
      <c r="HL15" s="128"/>
      <c r="HM15" s="128"/>
      <c r="HN15" s="128"/>
      <c r="HO15" s="128"/>
      <c r="HP15" s="128"/>
      <c r="HQ15" s="128"/>
      <c r="HR15" s="128"/>
      <c r="HS15" s="128"/>
      <c r="HT15" s="128"/>
      <c r="HU15" s="128"/>
      <c r="HV15" s="128"/>
      <c r="HW15" s="128"/>
      <c r="HX15" s="128"/>
      <c r="HY15" s="128"/>
      <c r="HZ15" s="128"/>
      <c r="IA15" s="128"/>
      <c r="IB15" s="128"/>
      <c r="IC15" s="128"/>
      <c r="ID15" s="128"/>
      <c r="IE15" s="128"/>
      <c r="IF15" s="128"/>
      <c r="IG15" s="128"/>
      <c r="IH15" s="128"/>
      <c r="II15" s="128"/>
      <c r="IJ15" s="128"/>
      <c r="IK15" s="128"/>
      <c r="IL15" s="128"/>
      <c r="IM15" s="128"/>
      <c r="IN15" s="128"/>
      <c r="IO15" s="128"/>
      <c r="IP15" s="128"/>
      <c r="IQ15" s="128"/>
      <c r="IR15" s="128"/>
      <c r="IS15" s="128"/>
      <c r="IT15" s="128"/>
      <c r="IU15" s="128"/>
      <c r="IV15" s="128"/>
      <c r="IW15" s="128"/>
      <c r="IX15" s="128"/>
      <c r="IY15" s="128"/>
      <c r="IZ15" s="128"/>
      <c r="JA15" s="128"/>
      <c r="JB15" s="128"/>
      <c r="JC15" s="128"/>
      <c r="JD15" s="128"/>
      <c r="JE15" s="128"/>
      <c r="JF15" s="128"/>
      <c r="JG15" s="128"/>
      <c r="JH15" s="128"/>
      <c r="JI15" s="128"/>
      <c r="JJ15" s="128"/>
      <c r="JK15" s="128"/>
    </row>
    <row r="16" ht="18.75" customHeight="1">
      <c r="A16" s="154"/>
      <c r="B16" s="155"/>
      <c r="C16" s="155"/>
      <c r="D16" s="155"/>
      <c r="E16" s="160"/>
      <c r="F16" s="155"/>
      <c r="G16" s="155"/>
      <c r="H16" s="155"/>
      <c r="I16" s="155"/>
      <c r="K16" s="15"/>
      <c r="L16" s="159" t="s">
        <v>35</v>
      </c>
      <c r="M16" s="132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  <c r="CJ16" s="128"/>
      <c r="CK16" s="128"/>
      <c r="CL16" s="128"/>
      <c r="CM16" s="128"/>
      <c r="CN16" s="128"/>
      <c r="CO16" s="128"/>
      <c r="CP16" s="128"/>
      <c r="CQ16" s="128"/>
      <c r="CR16" s="128"/>
      <c r="CS16" s="128"/>
      <c r="CT16" s="128"/>
      <c r="CU16" s="128"/>
      <c r="CV16" s="128"/>
      <c r="CW16" s="128"/>
      <c r="CX16" s="128"/>
      <c r="CY16" s="128"/>
      <c r="CZ16" s="128"/>
      <c r="DA16" s="128"/>
      <c r="DB16" s="128"/>
      <c r="DC16" s="128"/>
      <c r="DD16" s="128"/>
      <c r="DE16" s="128"/>
      <c r="DF16" s="128"/>
      <c r="DG16" s="128"/>
      <c r="DH16" s="128"/>
      <c r="DI16" s="128"/>
      <c r="DJ16" s="128"/>
      <c r="DK16" s="128"/>
      <c r="DL16" s="128"/>
      <c r="DM16" s="128"/>
      <c r="DN16" s="128"/>
      <c r="DO16" s="128"/>
      <c r="DP16" s="128"/>
      <c r="DQ16" s="128"/>
      <c r="DR16" s="128"/>
      <c r="DS16" s="128"/>
      <c r="DT16" s="128"/>
      <c r="DU16" s="128"/>
      <c r="DV16" s="128"/>
      <c r="DW16" s="128"/>
      <c r="DX16" s="128"/>
      <c r="DY16" s="128"/>
      <c r="DZ16" s="128"/>
      <c r="EA16" s="128"/>
      <c r="EB16" s="128"/>
      <c r="EC16" s="128"/>
      <c r="ED16" s="128"/>
      <c r="EE16" s="128"/>
      <c r="EF16" s="128"/>
      <c r="EG16" s="128"/>
      <c r="EH16" s="128"/>
      <c r="EI16" s="128"/>
      <c r="EJ16" s="128"/>
      <c r="EK16" s="128"/>
      <c r="EL16" s="128"/>
      <c r="EM16" s="128"/>
      <c r="EN16" s="128"/>
      <c r="EO16" s="128"/>
      <c r="EP16" s="128"/>
      <c r="EQ16" s="128"/>
      <c r="ER16" s="128"/>
      <c r="ES16" s="128"/>
      <c r="ET16" s="128"/>
      <c r="EU16" s="128"/>
      <c r="EV16" s="128"/>
      <c r="EW16" s="128"/>
      <c r="EX16" s="128"/>
      <c r="EY16" s="128"/>
      <c r="EZ16" s="128"/>
      <c r="FA16" s="128"/>
      <c r="FB16" s="128"/>
      <c r="FC16" s="128"/>
      <c r="FD16" s="128"/>
      <c r="FE16" s="128"/>
      <c r="FF16" s="128"/>
      <c r="FG16" s="128"/>
      <c r="FH16" s="128"/>
      <c r="FI16" s="128"/>
      <c r="FJ16" s="128"/>
      <c r="FK16" s="128"/>
      <c r="FL16" s="128"/>
      <c r="FM16" s="128"/>
      <c r="FN16" s="128"/>
      <c r="FO16" s="128"/>
      <c r="FP16" s="128"/>
      <c r="FQ16" s="128"/>
      <c r="FR16" s="128"/>
      <c r="FS16" s="128"/>
      <c r="FT16" s="128"/>
      <c r="FU16" s="128"/>
      <c r="FV16" s="128"/>
      <c r="FW16" s="128"/>
      <c r="FX16" s="128"/>
      <c r="FY16" s="128"/>
      <c r="FZ16" s="128"/>
      <c r="GA16" s="128"/>
      <c r="GB16" s="128"/>
      <c r="GC16" s="128"/>
      <c r="GD16" s="128"/>
      <c r="GE16" s="128"/>
      <c r="GF16" s="128"/>
      <c r="GG16" s="128"/>
      <c r="GH16" s="128"/>
      <c r="GI16" s="128"/>
      <c r="GJ16" s="128"/>
      <c r="GK16" s="128"/>
      <c r="GL16" s="128"/>
      <c r="GM16" s="128"/>
      <c r="GN16" s="128"/>
      <c r="GO16" s="128"/>
      <c r="GP16" s="128"/>
      <c r="GQ16" s="128"/>
      <c r="GR16" s="128"/>
      <c r="GS16" s="128"/>
      <c r="GT16" s="128"/>
      <c r="GU16" s="128"/>
      <c r="GV16" s="128"/>
      <c r="GW16" s="128"/>
      <c r="GX16" s="128"/>
      <c r="GY16" s="128"/>
      <c r="GZ16" s="128"/>
      <c r="HA16" s="128"/>
      <c r="HB16" s="128"/>
      <c r="HC16" s="128"/>
      <c r="HD16" s="128"/>
      <c r="HE16" s="128"/>
      <c r="HF16" s="128"/>
      <c r="HG16" s="128"/>
      <c r="HH16" s="128"/>
      <c r="HI16" s="128"/>
      <c r="HJ16" s="128"/>
      <c r="HK16" s="128"/>
      <c r="HL16" s="128"/>
      <c r="HM16" s="128"/>
      <c r="HN16" s="128"/>
      <c r="HO16" s="128"/>
      <c r="HP16" s="128"/>
      <c r="HQ16" s="128"/>
      <c r="HR16" s="128"/>
      <c r="HS16" s="128"/>
      <c r="HT16" s="128"/>
      <c r="HU16" s="128"/>
      <c r="HV16" s="128"/>
      <c r="HW16" s="128"/>
      <c r="HX16" s="128"/>
      <c r="HY16" s="128"/>
      <c r="HZ16" s="128"/>
      <c r="IA16" s="128"/>
      <c r="IB16" s="128"/>
      <c r="IC16" s="128"/>
      <c r="ID16" s="128"/>
      <c r="IE16" s="128"/>
      <c r="IF16" s="128"/>
      <c r="IG16" s="128"/>
      <c r="IH16" s="128"/>
      <c r="II16" s="128"/>
      <c r="IJ16" s="128"/>
      <c r="IK16" s="128"/>
      <c r="IL16" s="128"/>
      <c r="IM16" s="128"/>
      <c r="IN16" s="128"/>
      <c r="IO16" s="128"/>
      <c r="IP16" s="128"/>
      <c r="IQ16" s="128"/>
      <c r="IR16" s="128"/>
      <c r="IS16" s="128"/>
      <c r="IT16" s="128"/>
      <c r="IU16" s="128"/>
      <c r="IV16" s="128"/>
      <c r="IW16" s="128"/>
      <c r="IX16" s="128"/>
      <c r="IY16" s="128"/>
      <c r="IZ16" s="128"/>
      <c r="JA16" s="128"/>
      <c r="JB16" s="128"/>
      <c r="JC16" s="128"/>
      <c r="JD16" s="128"/>
      <c r="JE16" s="128"/>
      <c r="JF16" s="128"/>
      <c r="JG16" s="128"/>
      <c r="JH16" s="128"/>
      <c r="JI16" s="128"/>
      <c r="JJ16" s="128"/>
      <c r="JK16" s="128"/>
    </row>
    <row r="17" ht="18.75" customHeight="1">
      <c r="A17" s="154"/>
      <c r="B17" s="155"/>
      <c r="C17" s="155"/>
      <c r="D17" s="155"/>
      <c r="E17" s="160"/>
      <c r="F17" s="155"/>
      <c r="G17" s="155"/>
      <c r="H17" s="155"/>
      <c r="I17" s="155"/>
      <c r="J17" s="21"/>
      <c r="K17" s="13"/>
      <c r="L17" s="161" t="s">
        <v>36</v>
      </c>
      <c r="M17" s="132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  <c r="CJ17" s="128"/>
      <c r="CK17" s="128"/>
      <c r="CL17" s="128"/>
      <c r="CM17" s="128"/>
      <c r="CN17" s="128"/>
      <c r="CO17" s="128"/>
      <c r="CP17" s="128"/>
      <c r="CQ17" s="128"/>
      <c r="CR17" s="128"/>
      <c r="CS17" s="128"/>
      <c r="CT17" s="128"/>
      <c r="CU17" s="128"/>
      <c r="CV17" s="128"/>
      <c r="CW17" s="128"/>
      <c r="CX17" s="128"/>
      <c r="CY17" s="128"/>
      <c r="CZ17" s="128"/>
      <c r="DA17" s="128"/>
      <c r="DB17" s="128"/>
      <c r="DC17" s="128"/>
      <c r="DD17" s="128"/>
      <c r="DE17" s="128"/>
      <c r="DF17" s="128"/>
      <c r="DG17" s="128"/>
      <c r="DH17" s="128"/>
      <c r="DI17" s="128"/>
      <c r="DJ17" s="128"/>
      <c r="DK17" s="128"/>
      <c r="DL17" s="128"/>
      <c r="DM17" s="128"/>
      <c r="DN17" s="128"/>
      <c r="DO17" s="128"/>
      <c r="DP17" s="128"/>
      <c r="DQ17" s="128"/>
      <c r="DR17" s="128"/>
      <c r="DS17" s="128"/>
      <c r="DT17" s="128"/>
      <c r="DU17" s="128"/>
      <c r="DV17" s="128"/>
      <c r="DW17" s="128"/>
      <c r="DX17" s="128"/>
      <c r="DY17" s="128"/>
      <c r="DZ17" s="128"/>
      <c r="EA17" s="128"/>
      <c r="EB17" s="128"/>
      <c r="EC17" s="128"/>
      <c r="ED17" s="128"/>
      <c r="EE17" s="128"/>
      <c r="EF17" s="128"/>
      <c r="EG17" s="128"/>
      <c r="EH17" s="128"/>
      <c r="EI17" s="128"/>
      <c r="EJ17" s="128"/>
      <c r="EK17" s="128"/>
      <c r="EL17" s="128"/>
      <c r="EM17" s="128"/>
      <c r="EN17" s="128"/>
      <c r="EO17" s="128"/>
      <c r="EP17" s="128"/>
      <c r="EQ17" s="128"/>
      <c r="ER17" s="128"/>
      <c r="ES17" s="128"/>
      <c r="ET17" s="128"/>
      <c r="EU17" s="128"/>
      <c r="EV17" s="128"/>
      <c r="EW17" s="128"/>
      <c r="EX17" s="128"/>
      <c r="EY17" s="128"/>
      <c r="EZ17" s="128"/>
      <c r="FA17" s="128"/>
      <c r="FB17" s="128"/>
      <c r="FC17" s="128"/>
      <c r="FD17" s="128"/>
      <c r="FE17" s="128"/>
      <c r="FF17" s="128"/>
      <c r="FG17" s="128"/>
      <c r="FH17" s="128"/>
      <c r="FI17" s="128"/>
      <c r="FJ17" s="128"/>
      <c r="FK17" s="128"/>
      <c r="FL17" s="128"/>
      <c r="FM17" s="128"/>
      <c r="FN17" s="128"/>
      <c r="FO17" s="128"/>
      <c r="FP17" s="128"/>
      <c r="FQ17" s="128"/>
      <c r="FR17" s="128"/>
      <c r="FS17" s="128"/>
      <c r="FT17" s="128"/>
      <c r="FU17" s="128"/>
      <c r="FV17" s="128"/>
      <c r="FW17" s="128"/>
      <c r="FX17" s="128"/>
      <c r="FY17" s="128"/>
      <c r="FZ17" s="128"/>
      <c r="GA17" s="128"/>
      <c r="GB17" s="128"/>
      <c r="GC17" s="128"/>
      <c r="GD17" s="128"/>
      <c r="GE17" s="128"/>
      <c r="GF17" s="128"/>
      <c r="GG17" s="128"/>
      <c r="GH17" s="128"/>
      <c r="GI17" s="128"/>
      <c r="GJ17" s="128"/>
      <c r="GK17" s="128"/>
      <c r="GL17" s="128"/>
      <c r="GM17" s="128"/>
      <c r="GN17" s="128"/>
      <c r="GO17" s="128"/>
      <c r="GP17" s="128"/>
      <c r="GQ17" s="128"/>
      <c r="GR17" s="128"/>
      <c r="GS17" s="128"/>
      <c r="GT17" s="128"/>
      <c r="GU17" s="128"/>
      <c r="GV17" s="128"/>
      <c r="GW17" s="128"/>
      <c r="GX17" s="128"/>
      <c r="GY17" s="128"/>
      <c r="GZ17" s="128"/>
      <c r="HA17" s="128"/>
      <c r="HB17" s="128"/>
      <c r="HC17" s="128"/>
      <c r="HD17" s="128"/>
      <c r="HE17" s="128"/>
      <c r="HF17" s="128"/>
      <c r="HG17" s="128"/>
      <c r="HH17" s="128"/>
      <c r="HI17" s="128"/>
      <c r="HJ17" s="128"/>
      <c r="HK17" s="128"/>
      <c r="HL17" s="128"/>
      <c r="HM17" s="128"/>
      <c r="HN17" s="128"/>
      <c r="HO17" s="128"/>
      <c r="HP17" s="128"/>
      <c r="HQ17" s="128"/>
      <c r="HR17" s="128"/>
      <c r="HS17" s="128"/>
      <c r="HT17" s="128"/>
      <c r="HU17" s="128"/>
      <c r="HV17" s="128"/>
      <c r="HW17" s="128"/>
      <c r="HX17" s="128"/>
      <c r="HY17" s="128"/>
      <c r="HZ17" s="128"/>
      <c r="IA17" s="128"/>
      <c r="IB17" s="128"/>
      <c r="IC17" s="128"/>
      <c r="ID17" s="128"/>
      <c r="IE17" s="128"/>
      <c r="IF17" s="128"/>
      <c r="IG17" s="128"/>
      <c r="IH17" s="128"/>
      <c r="II17" s="128"/>
      <c r="IJ17" s="128"/>
      <c r="IK17" s="128"/>
      <c r="IL17" s="128"/>
      <c r="IM17" s="128"/>
      <c r="IN17" s="128"/>
      <c r="IO17" s="128"/>
      <c r="IP17" s="128"/>
      <c r="IQ17" s="128"/>
      <c r="IR17" s="128"/>
      <c r="IS17" s="128"/>
      <c r="IT17" s="128"/>
      <c r="IU17" s="128"/>
      <c r="IV17" s="128"/>
      <c r="IW17" s="128"/>
      <c r="IX17" s="128"/>
      <c r="IY17" s="128"/>
      <c r="IZ17" s="128"/>
      <c r="JA17" s="128"/>
      <c r="JB17" s="128"/>
      <c r="JC17" s="128"/>
      <c r="JD17" s="128"/>
      <c r="JE17" s="128"/>
      <c r="JF17" s="128"/>
      <c r="JG17" s="128"/>
      <c r="JH17" s="128"/>
      <c r="JI17" s="128"/>
      <c r="JJ17" s="128"/>
      <c r="JK17" s="128"/>
    </row>
    <row r="18" ht="18.75" customHeight="1">
      <c r="A18" s="154"/>
      <c r="B18" s="155"/>
      <c r="C18" s="155"/>
      <c r="D18" s="155"/>
      <c r="E18" s="160"/>
      <c r="F18" s="155"/>
      <c r="G18" s="155"/>
      <c r="H18" s="155"/>
      <c r="I18" s="155"/>
      <c r="J18" s="162"/>
      <c r="K18" s="7"/>
      <c r="L18" s="7"/>
      <c r="M18" s="8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3"/>
      <c r="CD18" s="163"/>
      <c r="CE18" s="163"/>
      <c r="CF18" s="163"/>
      <c r="CG18" s="163"/>
      <c r="CH18" s="163"/>
      <c r="CI18" s="163"/>
      <c r="CJ18" s="163"/>
      <c r="CK18" s="163"/>
      <c r="CL18" s="163"/>
      <c r="CM18" s="163"/>
      <c r="CN18" s="163"/>
      <c r="CO18" s="163"/>
      <c r="CP18" s="163"/>
      <c r="CQ18" s="163"/>
      <c r="CR18" s="163"/>
      <c r="CS18" s="163"/>
      <c r="CT18" s="163"/>
      <c r="CU18" s="163"/>
      <c r="CV18" s="163"/>
      <c r="CW18" s="163"/>
      <c r="CX18" s="163"/>
      <c r="CY18" s="163"/>
      <c r="CZ18" s="163"/>
      <c r="DA18" s="163"/>
      <c r="DB18" s="163"/>
      <c r="DC18" s="163"/>
      <c r="DD18" s="163"/>
      <c r="DE18" s="163"/>
      <c r="DF18" s="163"/>
      <c r="DG18" s="163"/>
      <c r="DH18" s="163"/>
      <c r="DI18" s="163"/>
      <c r="DJ18" s="163"/>
      <c r="DK18" s="163"/>
      <c r="DL18" s="163"/>
      <c r="DM18" s="163"/>
      <c r="DN18" s="163"/>
      <c r="DO18" s="163"/>
      <c r="DP18" s="163"/>
      <c r="DQ18" s="163"/>
      <c r="DR18" s="163"/>
      <c r="DS18" s="163"/>
      <c r="DT18" s="163"/>
      <c r="DU18" s="163"/>
      <c r="DV18" s="163"/>
      <c r="DW18" s="163"/>
      <c r="DX18" s="163"/>
      <c r="DY18" s="163"/>
      <c r="DZ18" s="163"/>
      <c r="EA18" s="163"/>
      <c r="EB18" s="163"/>
      <c r="EC18" s="163"/>
      <c r="ED18" s="163"/>
      <c r="EE18" s="163"/>
      <c r="EF18" s="163"/>
      <c r="EG18" s="163"/>
      <c r="EH18" s="163"/>
      <c r="EI18" s="163"/>
      <c r="EJ18" s="163"/>
      <c r="EK18" s="163"/>
      <c r="EL18" s="163"/>
      <c r="EM18" s="163"/>
      <c r="EN18" s="163"/>
      <c r="EO18" s="163"/>
      <c r="EP18" s="163"/>
      <c r="EQ18" s="163"/>
      <c r="ER18" s="163"/>
      <c r="ES18" s="163"/>
      <c r="ET18" s="163"/>
      <c r="EU18" s="163"/>
      <c r="EV18" s="163"/>
      <c r="EW18" s="163"/>
      <c r="EX18" s="163"/>
      <c r="EY18" s="163"/>
      <c r="EZ18" s="163"/>
      <c r="FA18" s="163"/>
      <c r="FB18" s="163"/>
      <c r="FC18" s="163"/>
      <c r="FD18" s="163"/>
      <c r="FE18" s="163"/>
      <c r="FF18" s="163"/>
      <c r="FG18" s="163"/>
      <c r="FH18" s="163"/>
      <c r="FI18" s="163"/>
      <c r="FJ18" s="163"/>
      <c r="FK18" s="163"/>
      <c r="FL18" s="163"/>
      <c r="FM18" s="163"/>
      <c r="FN18" s="163"/>
      <c r="FO18" s="163"/>
      <c r="FP18" s="163"/>
      <c r="FQ18" s="163"/>
      <c r="FR18" s="163"/>
      <c r="FS18" s="163"/>
      <c r="FT18" s="163"/>
      <c r="FU18" s="163"/>
      <c r="FV18" s="163"/>
      <c r="FW18" s="163"/>
      <c r="FX18" s="163"/>
      <c r="FY18" s="163"/>
      <c r="FZ18" s="163"/>
      <c r="GA18" s="163"/>
      <c r="GB18" s="163"/>
      <c r="GC18" s="163"/>
      <c r="GD18" s="163"/>
      <c r="GE18" s="163"/>
      <c r="GF18" s="163"/>
      <c r="GG18" s="163"/>
      <c r="GH18" s="163"/>
      <c r="GI18" s="163"/>
      <c r="GJ18" s="163"/>
      <c r="GK18" s="163"/>
      <c r="GL18" s="163"/>
      <c r="GM18" s="163"/>
      <c r="GN18" s="163"/>
      <c r="GO18" s="163"/>
      <c r="GP18" s="163"/>
      <c r="GQ18" s="163"/>
      <c r="GR18" s="163"/>
      <c r="GS18" s="163"/>
      <c r="GT18" s="163"/>
      <c r="GU18" s="163"/>
      <c r="GV18" s="163"/>
      <c r="GW18" s="163"/>
      <c r="GX18" s="163"/>
      <c r="GY18" s="163"/>
      <c r="GZ18" s="163"/>
      <c r="HA18" s="163"/>
      <c r="HB18" s="163"/>
      <c r="HC18" s="163"/>
      <c r="HD18" s="163"/>
      <c r="HE18" s="163"/>
      <c r="HF18" s="163"/>
      <c r="HG18" s="163"/>
      <c r="HH18" s="163"/>
      <c r="HI18" s="163"/>
      <c r="HJ18" s="163"/>
      <c r="HK18" s="163"/>
      <c r="HL18" s="163"/>
      <c r="HM18" s="163"/>
      <c r="HN18" s="163"/>
      <c r="HO18" s="163"/>
      <c r="HP18" s="163"/>
      <c r="HQ18" s="163"/>
      <c r="HR18" s="163"/>
      <c r="HS18" s="163"/>
      <c r="HT18" s="163"/>
      <c r="HU18" s="163"/>
      <c r="HV18" s="163"/>
      <c r="HW18" s="163"/>
      <c r="HX18" s="163"/>
      <c r="HY18" s="163"/>
      <c r="HZ18" s="163"/>
      <c r="IA18" s="163"/>
      <c r="IB18" s="163"/>
      <c r="IC18" s="163"/>
      <c r="ID18" s="163"/>
      <c r="IE18" s="163"/>
      <c r="IF18" s="163"/>
      <c r="IG18" s="163"/>
      <c r="IH18" s="163"/>
      <c r="II18" s="163"/>
      <c r="IJ18" s="163"/>
      <c r="IK18" s="163"/>
      <c r="IL18" s="163"/>
      <c r="IM18" s="163"/>
      <c r="IN18" s="163"/>
      <c r="IO18" s="163"/>
      <c r="IP18" s="163"/>
      <c r="IQ18" s="163"/>
      <c r="IR18" s="163"/>
      <c r="IS18" s="163"/>
      <c r="IT18" s="163"/>
      <c r="IU18" s="163"/>
      <c r="IV18" s="163"/>
      <c r="IW18" s="163"/>
      <c r="IX18" s="163"/>
      <c r="IY18" s="163"/>
      <c r="IZ18" s="163"/>
      <c r="JA18" s="163"/>
      <c r="JB18" s="163"/>
      <c r="JC18" s="163"/>
      <c r="JD18" s="163"/>
      <c r="JE18" s="163"/>
      <c r="JF18" s="163"/>
      <c r="JG18" s="163"/>
      <c r="JH18" s="163"/>
      <c r="JI18" s="163"/>
      <c r="JJ18" s="163"/>
      <c r="JK18" s="163"/>
    </row>
    <row r="19" ht="18.75" customHeight="1">
      <c r="A19" s="154"/>
      <c r="B19" s="155"/>
      <c r="C19" s="155"/>
      <c r="D19" s="155"/>
      <c r="E19" s="160"/>
      <c r="F19" s="155"/>
      <c r="G19" s="155"/>
      <c r="H19" s="155"/>
      <c r="I19" s="155"/>
      <c r="J19" s="164" t="s">
        <v>38</v>
      </c>
      <c r="K19" s="165" t="s">
        <v>39</v>
      </c>
      <c r="L19" s="166" t="s">
        <v>40</v>
      </c>
      <c r="M19" s="167" t="s">
        <v>41</v>
      </c>
    </row>
    <row r="20" ht="18.75" customHeight="1">
      <c r="A20" s="154"/>
      <c r="B20" s="155"/>
      <c r="C20" s="155"/>
      <c r="D20" s="155"/>
      <c r="E20" s="160"/>
      <c r="F20" s="155"/>
      <c r="G20" s="155"/>
      <c r="H20" s="155"/>
      <c r="I20" s="155"/>
      <c r="J20" s="168"/>
      <c r="K20" s="84"/>
      <c r="L20" s="84"/>
      <c r="M20" s="169"/>
    </row>
    <row r="21" ht="18.75" customHeight="1">
      <c r="A21" s="154"/>
      <c r="B21" s="155"/>
      <c r="C21" s="155"/>
      <c r="D21" s="155"/>
      <c r="E21" s="160"/>
      <c r="F21" s="155"/>
      <c r="G21" s="155"/>
      <c r="H21" s="155"/>
      <c r="I21" s="155"/>
      <c r="J21" s="170">
        <v>0.0</v>
      </c>
      <c r="K21" s="171">
        <v>0.0</v>
      </c>
      <c r="L21" s="172">
        <v>2.0</v>
      </c>
      <c r="M21" s="173" t="s">
        <v>68</v>
      </c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3"/>
      <c r="BU21" s="163"/>
      <c r="BV21" s="163"/>
      <c r="BW21" s="163"/>
      <c r="BX21" s="163"/>
      <c r="BY21" s="163"/>
      <c r="BZ21" s="163"/>
      <c r="CA21" s="163"/>
      <c r="CB21" s="163"/>
      <c r="CC21" s="163"/>
      <c r="CD21" s="163"/>
      <c r="CE21" s="163"/>
      <c r="CF21" s="163"/>
      <c r="CG21" s="163"/>
      <c r="CH21" s="163"/>
      <c r="CI21" s="163"/>
      <c r="CJ21" s="163"/>
      <c r="CK21" s="163"/>
      <c r="CL21" s="163"/>
      <c r="CM21" s="163"/>
      <c r="CN21" s="163"/>
      <c r="CO21" s="163"/>
      <c r="CP21" s="163"/>
      <c r="CQ21" s="163"/>
      <c r="CR21" s="163"/>
      <c r="CS21" s="163"/>
      <c r="CT21" s="163"/>
      <c r="CU21" s="163"/>
      <c r="CV21" s="163"/>
      <c r="CW21" s="163"/>
      <c r="CX21" s="163"/>
      <c r="CY21" s="163"/>
      <c r="CZ21" s="163"/>
      <c r="DA21" s="163"/>
      <c r="DB21" s="163"/>
      <c r="DC21" s="163"/>
      <c r="DD21" s="163"/>
      <c r="DE21" s="163"/>
      <c r="DF21" s="163"/>
      <c r="DG21" s="163"/>
      <c r="DH21" s="163"/>
      <c r="DI21" s="163"/>
      <c r="DJ21" s="163"/>
      <c r="DK21" s="163"/>
      <c r="DL21" s="163"/>
      <c r="DM21" s="163"/>
      <c r="DN21" s="163"/>
      <c r="DO21" s="163"/>
      <c r="DP21" s="163"/>
      <c r="DQ21" s="163"/>
      <c r="DR21" s="163"/>
      <c r="DS21" s="163"/>
      <c r="DT21" s="163"/>
      <c r="DU21" s="163"/>
      <c r="DV21" s="163"/>
      <c r="DW21" s="163"/>
      <c r="DX21" s="163"/>
      <c r="DY21" s="163"/>
      <c r="DZ21" s="163"/>
      <c r="EA21" s="163"/>
      <c r="EB21" s="163"/>
      <c r="EC21" s="163"/>
      <c r="ED21" s="163"/>
      <c r="EE21" s="163"/>
      <c r="EF21" s="163"/>
      <c r="EG21" s="163"/>
      <c r="EH21" s="163"/>
      <c r="EI21" s="163"/>
      <c r="EJ21" s="163"/>
      <c r="EK21" s="163"/>
      <c r="EL21" s="163"/>
      <c r="EM21" s="163"/>
      <c r="EN21" s="163"/>
      <c r="EO21" s="163"/>
      <c r="EP21" s="163"/>
      <c r="EQ21" s="163"/>
      <c r="ER21" s="163"/>
      <c r="ES21" s="163"/>
      <c r="ET21" s="163"/>
      <c r="EU21" s="163"/>
      <c r="EV21" s="163"/>
      <c r="EW21" s="163"/>
      <c r="EX21" s="163"/>
      <c r="EY21" s="163"/>
      <c r="EZ21" s="163"/>
      <c r="FA21" s="163"/>
      <c r="FB21" s="163"/>
      <c r="FC21" s="163"/>
      <c r="FD21" s="163"/>
      <c r="FE21" s="163"/>
      <c r="FF21" s="163"/>
      <c r="FG21" s="163"/>
      <c r="FH21" s="163"/>
      <c r="FI21" s="163"/>
      <c r="FJ21" s="163"/>
      <c r="FK21" s="163"/>
      <c r="FL21" s="163"/>
      <c r="FM21" s="163"/>
      <c r="FN21" s="163"/>
      <c r="FO21" s="163"/>
      <c r="FP21" s="163"/>
      <c r="FQ21" s="163"/>
      <c r="FR21" s="163"/>
      <c r="FS21" s="163"/>
      <c r="FT21" s="163"/>
      <c r="FU21" s="163"/>
      <c r="FV21" s="163"/>
      <c r="FW21" s="163"/>
      <c r="FX21" s="163"/>
      <c r="FY21" s="163"/>
      <c r="FZ21" s="163"/>
      <c r="GA21" s="163"/>
      <c r="GB21" s="163"/>
      <c r="GC21" s="163"/>
      <c r="GD21" s="163"/>
      <c r="GE21" s="163"/>
      <c r="GF21" s="163"/>
      <c r="GG21" s="163"/>
      <c r="GH21" s="163"/>
      <c r="GI21" s="163"/>
      <c r="GJ21" s="163"/>
      <c r="GK21" s="163"/>
      <c r="GL21" s="163"/>
      <c r="GM21" s="163"/>
      <c r="GN21" s="163"/>
      <c r="GO21" s="163"/>
      <c r="GP21" s="163"/>
      <c r="GQ21" s="163"/>
      <c r="GR21" s="163"/>
      <c r="GS21" s="163"/>
      <c r="GT21" s="163"/>
      <c r="GU21" s="163"/>
      <c r="GV21" s="163"/>
      <c r="GW21" s="163"/>
      <c r="GX21" s="163"/>
      <c r="GY21" s="163"/>
      <c r="GZ21" s="163"/>
      <c r="HA21" s="163"/>
      <c r="HB21" s="163"/>
      <c r="HC21" s="163"/>
      <c r="HD21" s="163"/>
      <c r="HE21" s="163"/>
      <c r="HF21" s="163"/>
      <c r="HG21" s="163"/>
      <c r="HH21" s="163"/>
      <c r="HI21" s="163"/>
      <c r="HJ21" s="163"/>
      <c r="HK21" s="163"/>
      <c r="HL21" s="163"/>
      <c r="HM21" s="163"/>
      <c r="HN21" s="163"/>
      <c r="HO21" s="163"/>
      <c r="HP21" s="163"/>
      <c r="HQ21" s="163"/>
      <c r="HR21" s="163"/>
      <c r="HS21" s="163"/>
      <c r="HT21" s="163"/>
      <c r="HU21" s="163"/>
      <c r="HV21" s="163"/>
      <c r="HW21" s="163"/>
      <c r="HX21" s="163"/>
      <c r="HY21" s="163"/>
      <c r="HZ21" s="163"/>
      <c r="IA21" s="163"/>
      <c r="IB21" s="163"/>
      <c r="IC21" s="163"/>
      <c r="ID21" s="163"/>
      <c r="IE21" s="163"/>
      <c r="IF21" s="163"/>
      <c r="IG21" s="163"/>
      <c r="IH21" s="163"/>
      <c r="II21" s="163"/>
      <c r="IJ21" s="163"/>
      <c r="IK21" s="163"/>
      <c r="IL21" s="163"/>
      <c r="IM21" s="163"/>
      <c r="IN21" s="163"/>
      <c r="IO21" s="163"/>
      <c r="IP21" s="163"/>
      <c r="IQ21" s="163"/>
      <c r="IR21" s="163"/>
      <c r="IS21" s="163"/>
      <c r="IT21" s="163"/>
      <c r="IU21" s="163"/>
      <c r="IV21" s="163"/>
      <c r="IW21" s="163"/>
      <c r="IX21" s="163"/>
      <c r="IY21" s="163"/>
      <c r="IZ21" s="163"/>
      <c r="JA21" s="163"/>
      <c r="JB21" s="163"/>
      <c r="JC21" s="163"/>
      <c r="JD21" s="163"/>
      <c r="JE21" s="163"/>
      <c r="JF21" s="163"/>
      <c r="JG21" s="163"/>
      <c r="JH21" s="163"/>
      <c r="JI21" s="163"/>
      <c r="JJ21" s="163"/>
      <c r="JK21" s="163"/>
    </row>
    <row r="22" ht="18.75" customHeight="1">
      <c r="A22" s="154"/>
      <c r="B22" s="155"/>
      <c r="C22" s="155"/>
      <c r="D22" s="155"/>
      <c r="E22" s="160"/>
      <c r="F22" s="155"/>
      <c r="G22" s="155"/>
      <c r="H22" s="155"/>
      <c r="I22" s="155"/>
      <c r="J22" s="174" t="s">
        <v>46</v>
      </c>
      <c r="K22" s="175" t="s">
        <v>47</v>
      </c>
      <c r="L22" s="176" t="s">
        <v>48</v>
      </c>
      <c r="M22" s="177" t="s">
        <v>49</v>
      </c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163"/>
      <c r="CQ22" s="163"/>
      <c r="CR22" s="163"/>
      <c r="CS22" s="163"/>
      <c r="CT22" s="163"/>
      <c r="CU22" s="163"/>
      <c r="CV22" s="163"/>
      <c r="CW22" s="163"/>
      <c r="CX22" s="163"/>
      <c r="CY22" s="163"/>
      <c r="CZ22" s="163"/>
      <c r="DA22" s="163"/>
      <c r="DB22" s="163"/>
      <c r="DC22" s="163"/>
      <c r="DD22" s="163"/>
      <c r="DE22" s="163"/>
      <c r="DF22" s="163"/>
      <c r="DG22" s="163"/>
      <c r="DH22" s="163"/>
      <c r="DI22" s="163"/>
      <c r="DJ22" s="163"/>
      <c r="DK22" s="163"/>
      <c r="DL22" s="163"/>
      <c r="DM22" s="163"/>
      <c r="DN22" s="163"/>
      <c r="DO22" s="163"/>
      <c r="DP22" s="163"/>
      <c r="DQ22" s="163"/>
      <c r="DR22" s="163"/>
      <c r="DS22" s="163"/>
      <c r="DT22" s="163"/>
      <c r="DU22" s="163"/>
      <c r="DV22" s="163"/>
      <c r="DW22" s="163"/>
      <c r="DX22" s="163"/>
      <c r="DY22" s="163"/>
      <c r="DZ22" s="163"/>
      <c r="EA22" s="163"/>
      <c r="EB22" s="163"/>
      <c r="EC22" s="163"/>
      <c r="ED22" s="163"/>
      <c r="EE22" s="163"/>
      <c r="EF22" s="163"/>
      <c r="EG22" s="163"/>
      <c r="EH22" s="163"/>
      <c r="EI22" s="163"/>
      <c r="EJ22" s="163"/>
      <c r="EK22" s="163"/>
      <c r="EL22" s="163"/>
      <c r="EM22" s="163"/>
      <c r="EN22" s="163"/>
      <c r="EO22" s="163"/>
      <c r="EP22" s="163"/>
      <c r="EQ22" s="163"/>
      <c r="ER22" s="163"/>
      <c r="ES22" s="163"/>
      <c r="ET22" s="163"/>
      <c r="EU22" s="163"/>
      <c r="EV22" s="163"/>
      <c r="EW22" s="163"/>
      <c r="EX22" s="163"/>
      <c r="EY22" s="163"/>
      <c r="EZ22" s="163"/>
      <c r="FA22" s="163"/>
      <c r="FB22" s="163"/>
      <c r="FC22" s="163"/>
      <c r="FD22" s="163"/>
      <c r="FE22" s="163"/>
      <c r="FF22" s="163"/>
      <c r="FG22" s="163"/>
      <c r="FH22" s="163"/>
      <c r="FI22" s="163"/>
      <c r="FJ22" s="163"/>
      <c r="FK22" s="163"/>
      <c r="FL22" s="163"/>
      <c r="FM22" s="163"/>
      <c r="FN22" s="163"/>
      <c r="FO22" s="163"/>
      <c r="FP22" s="163"/>
      <c r="FQ22" s="163"/>
      <c r="FR22" s="163"/>
      <c r="FS22" s="163"/>
      <c r="FT22" s="163"/>
      <c r="FU22" s="163"/>
      <c r="FV22" s="163"/>
      <c r="FW22" s="163"/>
      <c r="FX22" s="163"/>
      <c r="FY22" s="163"/>
      <c r="FZ22" s="163"/>
      <c r="GA22" s="163"/>
      <c r="GB22" s="163"/>
      <c r="GC22" s="163"/>
      <c r="GD22" s="163"/>
      <c r="GE22" s="163"/>
      <c r="GF22" s="163"/>
      <c r="GG22" s="163"/>
      <c r="GH22" s="163"/>
      <c r="GI22" s="163"/>
      <c r="GJ22" s="163"/>
      <c r="GK22" s="163"/>
      <c r="GL22" s="163"/>
      <c r="GM22" s="163"/>
      <c r="GN22" s="163"/>
      <c r="GO22" s="163"/>
      <c r="GP22" s="163"/>
      <c r="GQ22" s="163"/>
      <c r="GR22" s="163"/>
      <c r="GS22" s="163"/>
      <c r="GT22" s="163"/>
      <c r="GU22" s="163"/>
      <c r="GV22" s="163"/>
      <c r="GW22" s="163"/>
      <c r="GX22" s="163"/>
      <c r="GY22" s="163"/>
      <c r="GZ22" s="163"/>
      <c r="HA22" s="163"/>
      <c r="HB22" s="163"/>
      <c r="HC22" s="163"/>
      <c r="HD22" s="163"/>
      <c r="HE22" s="163"/>
      <c r="HF22" s="163"/>
      <c r="HG22" s="163"/>
      <c r="HH22" s="163"/>
      <c r="HI22" s="163"/>
      <c r="HJ22" s="163"/>
      <c r="HK22" s="163"/>
      <c r="HL22" s="163"/>
      <c r="HM22" s="163"/>
      <c r="HN22" s="163"/>
      <c r="HO22" s="163"/>
      <c r="HP22" s="163"/>
      <c r="HQ22" s="163"/>
      <c r="HR22" s="163"/>
      <c r="HS22" s="163"/>
      <c r="HT22" s="163"/>
      <c r="HU22" s="163"/>
      <c r="HV22" s="163"/>
      <c r="HW22" s="163"/>
      <c r="HX22" s="163"/>
      <c r="HY22" s="163"/>
      <c r="HZ22" s="163"/>
      <c r="IA22" s="163"/>
      <c r="IB22" s="163"/>
      <c r="IC22" s="163"/>
      <c r="ID22" s="163"/>
      <c r="IE22" s="163"/>
      <c r="IF22" s="163"/>
      <c r="IG22" s="163"/>
      <c r="IH22" s="163"/>
      <c r="II22" s="163"/>
      <c r="IJ22" s="163"/>
      <c r="IK22" s="163"/>
      <c r="IL22" s="163"/>
      <c r="IM22" s="163"/>
      <c r="IN22" s="163"/>
      <c r="IO22" s="163"/>
      <c r="IP22" s="163"/>
      <c r="IQ22" s="163"/>
      <c r="IR22" s="163"/>
      <c r="IS22" s="163"/>
      <c r="IT22" s="163"/>
      <c r="IU22" s="163"/>
      <c r="IV22" s="163"/>
      <c r="IW22" s="163"/>
      <c r="IX22" s="163"/>
      <c r="IY22" s="163"/>
      <c r="IZ22" s="163"/>
      <c r="JA22" s="163"/>
      <c r="JB22" s="163"/>
      <c r="JC22" s="163"/>
      <c r="JD22" s="163"/>
      <c r="JE22" s="163"/>
      <c r="JF22" s="163"/>
      <c r="JG22" s="163"/>
      <c r="JH22" s="163"/>
      <c r="JI22" s="163"/>
      <c r="JJ22" s="163"/>
      <c r="JK22" s="163"/>
    </row>
    <row r="23" ht="18.75" customHeight="1">
      <c r="A23" s="154"/>
      <c r="B23" s="155"/>
      <c r="C23" s="155"/>
      <c r="D23" s="155"/>
      <c r="E23" s="160"/>
      <c r="F23" s="155"/>
      <c r="G23" s="155"/>
      <c r="H23" s="155"/>
      <c r="I23" s="155"/>
      <c r="J23" s="168"/>
      <c r="K23" s="84"/>
      <c r="L23" s="84"/>
      <c r="M23" s="169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63"/>
      <c r="CS23" s="163"/>
      <c r="CT23" s="163"/>
      <c r="CU23" s="163"/>
      <c r="CV23" s="163"/>
      <c r="CW23" s="163"/>
      <c r="CX23" s="163"/>
      <c r="CY23" s="163"/>
      <c r="CZ23" s="163"/>
      <c r="DA23" s="163"/>
      <c r="DB23" s="163"/>
      <c r="DC23" s="163"/>
      <c r="DD23" s="163"/>
      <c r="DE23" s="163"/>
      <c r="DF23" s="163"/>
      <c r="DG23" s="163"/>
      <c r="DH23" s="163"/>
      <c r="DI23" s="163"/>
      <c r="DJ23" s="163"/>
      <c r="DK23" s="163"/>
      <c r="DL23" s="163"/>
      <c r="DM23" s="163"/>
      <c r="DN23" s="163"/>
      <c r="DO23" s="163"/>
      <c r="DP23" s="163"/>
      <c r="DQ23" s="163"/>
      <c r="DR23" s="163"/>
      <c r="DS23" s="163"/>
      <c r="DT23" s="163"/>
      <c r="DU23" s="163"/>
      <c r="DV23" s="163"/>
      <c r="DW23" s="163"/>
      <c r="DX23" s="163"/>
      <c r="DY23" s="163"/>
      <c r="DZ23" s="163"/>
      <c r="EA23" s="163"/>
      <c r="EB23" s="163"/>
      <c r="EC23" s="163"/>
      <c r="ED23" s="163"/>
      <c r="EE23" s="163"/>
      <c r="EF23" s="163"/>
      <c r="EG23" s="163"/>
      <c r="EH23" s="163"/>
      <c r="EI23" s="163"/>
      <c r="EJ23" s="163"/>
      <c r="EK23" s="163"/>
      <c r="EL23" s="163"/>
      <c r="EM23" s="163"/>
      <c r="EN23" s="163"/>
      <c r="EO23" s="163"/>
      <c r="EP23" s="163"/>
      <c r="EQ23" s="163"/>
      <c r="ER23" s="163"/>
      <c r="ES23" s="163"/>
      <c r="ET23" s="163"/>
      <c r="EU23" s="163"/>
      <c r="EV23" s="163"/>
      <c r="EW23" s="163"/>
      <c r="EX23" s="163"/>
      <c r="EY23" s="163"/>
      <c r="EZ23" s="163"/>
      <c r="FA23" s="163"/>
      <c r="FB23" s="163"/>
      <c r="FC23" s="163"/>
      <c r="FD23" s="163"/>
      <c r="FE23" s="163"/>
      <c r="FF23" s="163"/>
      <c r="FG23" s="163"/>
      <c r="FH23" s="163"/>
      <c r="FI23" s="163"/>
      <c r="FJ23" s="163"/>
      <c r="FK23" s="163"/>
      <c r="FL23" s="163"/>
      <c r="FM23" s="163"/>
      <c r="FN23" s="163"/>
      <c r="FO23" s="163"/>
      <c r="FP23" s="163"/>
      <c r="FQ23" s="163"/>
      <c r="FR23" s="163"/>
      <c r="FS23" s="163"/>
      <c r="FT23" s="163"/>
      <c r="FU23" s="163"/>
      <c r="FV23" s="163"/>
      <c r="FW23" s="163"/>
      <c r="FX23" s="163"/>
      <c r="FY23" s="163"/>
      <c r="FZ23" s="163"/>
      <c r="GA23" s="163"/>
      <c r="GB23" s="163"/>
      <c r="GC23" s="163"/>
      <c r="GD23" s="163"/>
      <c r="GE23" s="163"/>
      <c r="GF23" s="163"/>
      <c r="GG23" s="163"/>
      <c r="GH23" s="163"/>
      <c r="GI23" s="163"/>
      <c r="GJ23" s="163"/>
      <c r="GK23" s="163"/>
      <c r="GL23" s="163"/>
      <c r="GM23" s="163"/>
      <c r="GN23" s="163"/>
      <c r="GO23" s="163"/>
      <c r="GP23" s="163"/>
      <c r="GQ23" s="163"/>
      <c r="GR23" s="163"/>
      <c r="GS23" s="163"/>
      <c r="GT23" s="163"/>
      <c r="GU23" s="163"/>
      <c r="GV23" s="163"/>
      <c r="GW23" s="163"/>
      <c r="GX23" s="163"/>
      <c r="GY23" s="163"/>
      <c r="GZ23" s="163"/>
      <c r="HA23" s="163"/>
      <c r="HB23" s="163"/>
      <c r="HC23" s="163"/>
      <c r="HD23" s="163"/>
      <c r="HE23" s="163"/>
      <c r="HF23" s="163"/>
      <c r="HG23" s="163"/>
      <c r="HH23" s="163"/>
      <c r="HI23" s="163"/>
      <c r="HJ23" s="163"/>
      <c r="HK23" s="163"/>
      <c r="HL23" s="163"/>
      <c r="HM23" s="163"/>
      <c r="HN23" s="163"/>
      <c r="HO23" s="163"/>
      <c r="HP23" s="163"/>
      <c r="HQ23" s="163"/>
      <c r="HR23" s="163"/>
      <c r="HS23" s="163"/>
      <c r="HT23" s="163"/>
      <c r="HU23" s="163"/>
      <c r="HV23" s="163"/>
      <c r="HW23" s="163"/>
      <c r="HX23" s="163"/>
      <c r="HY23" s="163"/>
      <c r="HZ23" s="163"/>
      <c r="IA23" s="163"/>
      <c r="IB23" s="163"/>
      <c r="IC23" s="163"/>
      <c r="ID23" s="163"/>
      <c r="IE23" s="163"/>
      <c r="IF23" s="163"/>
      <c r="IG23" s="163"/>
      <c r="IH23" s="163"/>
      <c r="II23" s="163"/>
      <c r="IJ23" s="163"/>
      <c r="IK23" s="163"/>
      <c r="IL23" s="163"/>
      <c r="IM23" s="163"/>
      <c r="IN23" s="163"/>
      <c r="IO23" s="163"/>
      <c r="IP23" s="163"/>
      <c r="IQ23" s="163"/>
      <c r="IR23" s="163"/>
      <c r="IS23" s="163"/>
      <c r="IT23" s="163"/>
      <c r="IU23" s="163"/>
      <c r="IV23" s="163"/>
      <c r="IW23" s="163"/>
      <c r="IX23" s="163"/>
      <c r="IY23" s="163"/>
      <c r="IZ23" s="163"/>
      <c r="JA23" s="163"/>
      <c r="JB23" s="163"/>
      <c r="JC23" s="163"/>
      <c r="JD23" s="163"/>
      <c r="JE23" s="163"/>
      <c r="JF23" s="163"/>
      <c r="JG23" s="163"/>
      <c r="JH23" s="163"/>
      <c r="JI23" s="163"/>
      <c r="JJ23" s="163"/>
      <c r="JK23" s="163"/>
    </row>
    <row r="24" ht="18.75" customHeight="1">
      <c r="A24" s="154"/>
      <c r="B24" s="155"/>
      <c r="C24" s="155"/>
      <c r="D24" s="155"/>
      <c r="E24" s="160"/>
      <c r="F24" s="155"/>
      <c r="G24" s="155"/>
      <c r="H24" s="155"/>
      <c r="I24" s="155"/>
      <c r="J24" s="178">
        <v>2.0</v>
      </c>
      <c r="K24" s="172">
        <v>124.0</v>
      </c>
      <c r="L24" s="172">
        <v>27.0</v>
      </c>
      <c r="M24" s="179">
        <v>0.0</v>
      </c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3"/>
      <c r="BU24" s="163"/>
      <c r="BV24" s="163"/>
      <c r="BW24" s="163"/>
      <c r="BX24" s="163"/>
      <c r="BY24" s="163"/>
      <c r="BZ24" s="163"/>
      <c r="CA24" s="163"/>
      <c r="CB24" s="163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63"/>
      <c r="DN24" s="163"/>
      <c r="DO24" s="163"/>
      <c r="DP24" s="163"/>
      <c r="DQ24" s="163"/>
      <c r="DR24" s="163"/>
      <c r="DS24" s="163"/>
      <c r="DT24" s="163"/>
      <c r="DU24" s="163"/>
      <c r="DV24" s="163"/>
      <c r="DW24" s="163"/>
      <c r="DX24" s="163"/>
      <c r="DY24" s="163"/>
      <c r="DZ24" s="163"/>
      <c r="EA24" s="163"/>
      <c r="EB24" s="163"/>
      <c r="EC24" s="163"/>
      <c r="ED24" s="163"/>
      <c r="EE24" s="163"/>
      <c r="EF24" s="163"/>
      <c r="EG24" s="163"/>
      <c r="EH24" s="163"/>
      <c r="EI24" s="163"/>
      <c r="EJ24" s="163"/>
      <c r="EK24" s="163"/>
      <c r="EL24" s="163"/>
      <c r="EM24" s="163"/>
      <c r="EN24" s="163"/>
      <c r="EO24" s="163"/>
      <c r="EP24" s="163"/>
      <c r="EQ24" s="163"/>
      <c r="ER24" s="163"/>
      <c r="ES24" s="163"/>
      <c r="ET24" s="163"/>
      <c r="EU24" s="163"/>
      <c r="EV24" s="163"/>
      <c r="EW24" s="163"/>
      <c r="EX24" s="163"/>
      <c r="EY24" s="163"/>
      <c r="EZ24" s="163"/>
      <c r="FA24" s="163"/>
      <c r="FB24" s="163"/>
      <c r="FC24" s="163"/>
      <c r="FD24" s="163"/>
      <c r="FE24" s="163"/>
      <c r="FF24" s="163"/>
      <c r="FG24" s="163"/>
      <c r="FH24" s="163"/>
      <c r="FI24" s="163"/>
      <c r="FJ24" s="163"/>
      <c r="FK24" s="163"/>
      <c r="FL24" s="163"/>
      <c r="FM24" s="163"/>
      <c r="FN24" s="163"/>
      <c r="FO24" s="163"/>
      <c r="FP24" s="163"/>
      <c r="FQ24" s="163"/>
      <c r="FR24" s="163"/>
      <c r="FS24" s="163"/>
      <c r="FT24" s="163"/>
      <c r="FU24" s="163"/>
      <c r="FV24" s="163"/>
      <c r="FW24" s="163"/>
      <c r="FX24" s="163"/>
      <c r="FY24" s="163"/>
      <c r="FZ24" s="163"/>
      <c r="GA24" s="163"/>
      <c r="GB24" s="163"/>
      <c r="GC24" s="163"/>
      <c r="GD24" s="163"/>
      <c r="GE24" s="163"/>
      <c r="GF24" s="163"/>
      <c r="GG24" s="163"/>
      <c r="GH24" s="163"/>
      <c r="GI24" s="163"/>
      <c r="GJ24" s="163"/>
      <c r="GK24" s="163"/>
      <c r="GL24" s="163"/>
      <c r="GM24" s="163"/>
      <c r="GN24" s="163"/>
      <c r="GO24" s="163"/>
      <c r="GP24" s="163"/>
      <c r="GQ24" s="163"/>
      <c r="GR24" s="163"/>
      <c r="GS24" s="163"/>
      <c r="GT24" s="163"/>
      <c r="GU24" s="163"/>
      <c r="GV24" s="163"/>
      <c r="GW24" s="163"/>
      <c r="GX24" s="163"/>
      <c r="GY24" s="163"/>
      <c r="GZ24" s="163"/>
      <c r="HA24" s="163"/>
      <c r="HB24" s="163"/>
      <c r="HC24" s="163"/>
      <c r="HD24" s="163"/>
      <c r="HE24" s="163"/>
      <c r="HF24" s="163"/>
      <c r="HG24" s="163"/>
      <c r="HH24" s="163"/>
      <c r="HI24" s="163"/>
      <c r="HJ24" s="163"/>
      <c r="HK24" s="163"/>
      <c r="HL24" s="163"/>
      <c r="HM24" s="163"/>
      <c r="HN24" s="163"/>
      <c r="HO24" s="163"/>
      <c r="HP24" s="163"/>
      <c r="HQ24" s="163"/>
      <c r="HR24" s="163"/>
      <c r="HS24" s="163"/>
      <c r="HT24" s="163"/>
      <c r="HU24" s="163"/>
      <c r="HV24" s="163"/>
      <c r="HW24" s="163"/>
      <c r="HX24" s="163"/>
      <c r="HY24" s="163"/>
      <c r="HZ24" s="163"/>
      <c r="IA24" s="163"/>
      <c r="IB24" s="163"/>
      <c r="IC24" s="163"/>
      <c r="ID24" s="163"/>
      <c r="IE24" s="163"/>
      <c r="IF24" s="163"/>
      <c r="IG24" s="163"/>
      <c r="IH24" s="163"/>
      <c r="II24" s="163"/>
      <c r="IJ24" s="163"/>
      <c r="IK24" s="163"/>
      <c r="IL24" s="163"/>
      <c r="IM24" s="163"/>
      <c r="IN24" s="163"/>
      <c r="IO24" s="163"/>
      <c r="IP24" s="163"/>
      <c r="IQ24" s="163"/>
      <c r="IR24" s="163"/>
      <c r="IS24" s="163"/>
      <c r="IT24" s="163"/>
      <c r="IU24" s="163"/>
      <c r="IV24" s="163"/>
      <c r="IW24" s="163"/>
      <c r="IX24" s="163"/>
      <c r="IY24" s="163"/>
      <c r="IZ24" s="163"/>
      <c r="JA24" s="163"/>
      <c r="JB24" s="163"/>
      <c r="JC24" s="163"/>
      <c r="JD24" s="163"/>
      <c r="JE24" s="163"/>
      <c r="JF24" s="163"/>
      <c r="JG24" s="163"/>
      <c r="JH24" s="163"/>
      <c r="JI24" s="163"/>
      <c r="JJ24" s="163"/>
      <c r="JK24" s="163"/>
    </row>
    <row r="25" ht="18.75" customHeight="1">
      <c r="A25" s="154"/>
      <c r="B25" s="155"/>
      <c r="C25" s="155"/>
      <c r="D25" s="155"/>
      <c r="E25" s="160"/>
      <c r="F25" s="155"/>
      <c r="G25" s="155"/>
      <c r="H25" s="155"/>
      <c r="I25" s="155"/>
      <c r="J25" s="180" t="s">
        <v>54</v>
      </c>
      <c r="K25" s="93"/>
      <c r="L25" s="176" t="s">
        <v>55</v>
      </c>
      <c r="M25" s="177" t="s">
        <v>56</v>
      </c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163"/>
      <c r="BS25" s="163"/>
      <c r="BT25" s="163"/>
      <c r="BU25" s="163"/>
      <c r="BV25" s="163"/>
      <c r="BW25" s="163"/>
      <c r="BX25" s="163"/>
      <c r="BY25" s="163"/>
      <c r="BZ25" s="163"/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63"/>
      <c r="CN25" s="163"/>
      <c r="CO25" s="163"/>
      <c r="CP25" s="163"/>
      <c r="CQ25" s="163"/>
      <c r="CR25" s="163"/>
      <c r="CS25" s="163"/>
      <c r="CT25" s="163"/>
      <c r="CU25" s="163"/>
      <c r="CV25" s="163"/>
      <c r="CW25" s="163"/>
      <c r="CX25" s="163"/>
      <c r="CY25" s="163"/>
      <c r="CZ25" s="163"/>
      <c r="DA25" s="163"/>
      <c r="DB25" s="163"/>
      <c r="DC25" s="163"/>
      <c r="DD25" s="163"/>
      <c r="DE25" s="163"/>
      <c r="DF25" s="163"/>
      <c r="DG25" s="163"/>
      <c r="DH25" s="163"/>
      <c r="DI25" s="163"/>
      <c r="DJ25" s="163"/>
      <c r="DK25" s="163"/>
      <c r="DL25" s="163"/>
      <c r="DM25" s="163"/>
      <c r="DN25" s="163"/>
      <c r="DO25" s="163"/>
      <c r="DP25" s="163"/>
      <c r="DQ25" s="163"/>
      <c r="DR25" s="163"/>
      <c r="DS25" s="163"/>
      <c r="DT25" s="163"/>
      <c r="DU25" s="163"/>
      <c r="DV25" s="163"/>
      <c r="DW25" s="163"/>
      <c r="DX25" s="163"/>
      <c r="DY25" s="163"/>
      <c r="DZ25" s="163"/>
      <c r="EA25" s="163"/>
      <c r="EB25" s="163"/>
      <c r="EC25" s="163"/>
      <c r="ED25" s="163"/>
      <c r="EE25" s="163"/>
      <c r="EF25" s="163"/>
      <c r="EG25" s="163"/>
      <c r="EH25" s="163"/>
      <c r="EI25" s="163"/>
      <c r="EJ25" s="163"/>
      <c r="EK25" s="163"/>
      <c r="EL25" s="163"/>
      <c r="EM25" s="163"/>
      <c r="EN25" s="163"/>
      <c r="EO25" s="163"/>
      <c r="EP25" s="163"/>
      <c r="EQ25" s="163"/>
      <c r="ER25" s="163"/>
      <c r="ES25" s="163"/>
      <c r="ET25" s="163"/>
      <c r="EU25" s="163"/>
      <c r="EV25" s="163"/>
      <c r="EW25" s="163"/>
      <c r="EX25" s="163"/>
      <c r="EY25" s="163"/>
      <c r="EZ25" s="163"/>
      <c r="FA25" s="163"/>
      <c r="FB25" s="163"/>
      <c r="FC25" s="163"/>
      <c r="FD25" s="163"/>
      <c r="FE25" s="163"/>
      <c r="FF25" s="163"/>
      <c r="FG25" s="163"/>
      <c r="FH25" s="163"/>
      <c r="FI25" s="163"/>
      <c r="FJ25" s="163"/>
      <c r="FK25" s="163"/>
      <c r="FL25" s="163"/>
      <c r="FM25" s="163"/>
      <c r="FN25" s="163"/>
      <c r="FO25" s="163"/>
      <c r="FP25" s="163"/>
      <c r="FQ25" s="163"/>
      <c r="FR25" s="163"/>
      <c r="FS25" s="163"/>
      <c r="FT25" s="163"/>
      <c r="FU25" s="163"/>
      <c r="FV25" s="163"/>
      <c r="FW25" s="163"/>
      <c r="FX25" s="163"/>
      <c r="FY25" s="163"/>
      <c r="FZ25" s="163"/>
      <c r="GA25" s="163"/>
      <c r="GB25" s="163"/>
      <c r="GC25" s="163"/>
      <c r="GD25" s="163"/>
      <c r="GE25" s="163"/>
      <c r="GF25" s="163"/>
      <c r="GG25" s="163"/>
      <c r="GH25" s="163"/>
      <c r="GI25" s="163"/>
      <c r="GJ25" s="163"/>
      <c r="GK25" s="163"/>
      <c r="GL25" s="163"/>
      <c r="GM25" s="163"/>
      <c r="GN25" s="163"/>
      <c r="GO25" s="163"/>
      <c r="GP25" s="163"/>
      <c r="GQ25" s="163"/>
      <c r="GR25" s="163"/>
      <c r="GS25" s="163"/>
      <c r="GT25" s="163"/>
      <c r="GU25" s="163"/>
      <c r="GV25" s="163"/>
      <c r="GW25" s="163"/>
      <c r="GX25" s="163"/>
      <c r="GY25" s="163"/>
      <c r="GZ25" s="163"/>
      <c r="HA25" s="163"/>
      <c r="HB25" s="163"/>
      <c r="HC25" s="163"/>
      <c r="HD25" s="163"/>
      <c r="HE25" s="163"/>
      <c r="HF25" s="163"/>
      <c r="HG25" s="163"/>
      <c r="HH25" s="163"/>
      <c r="HI25" s="163"/>
      <c r="HJ25" s="163"/>
      <c r="HK25" s="163"/>
      <c r="HL25" s="163"/>
      <c r="HM25" s="163"/>
      <c r="HN25" s="163"/>
      <c r="HO25" s="163"/>
      <c r="HP25" s="163"/>
      <c r="HQ25" s="163"/>
      <c r="HR25" s="163"/>
      <c r="HS25" s="163"/>
      <c r="HT25" s="163"/>
      <c r="HU25" s="163"/>
      <c r="HV25" s="163"/>
      <c r="HW25" s="163"/>
      <c r="HX25" s="163"/>
      <c r="HY25" s="163"/>
      <c r="HZ25" s="163"/>
      <c r="IA25" s="163"/>
      <c r="IB25" s="163"/>
      <c r="IC25" s="163"/>
      <c r="ID25" s="163"/>
      <c r="IE25" s="163"/>
      <c r="IF25" s="163"/>
      <c r="IG25" s="163"/>
      <c r="IH25" s="163"/>
      <c r="II25" s="163"/>
      <c r="IJ25" s="163"/>
      <c r="IK25" s="163"/>
      <c r="IL25" s="163"/>
      <c r="IM25" s="163"/>
      <c r="IN25" s="163"/>
      <c r="IO25" s="163"/>
      <c r="IP25" s="163"/>
      <c r="IQ25" s="163"/>
      <c r="IR25" s="163"/>
      <c r="IS25" s="163"/>
      <c r="IT25" s="163"/>
      <c r="IU25" s="163"/>
      <c r="IV25" s="163"/>
      <c r="IW25" s="163"/>
      <c r="IX25" s="163"/>
      <c r="IY25" s="163"/>
      <c r="IZ25" s="163"/>
      <c r="JA25" s="163"/>
      <c r="JB25" s="163"/>
      <c r="JC25" s="163"/>
      <c r="JD25" s="163"/>
      <c r="JE25" s="163"/>
      <c r="JF25" s="163"/>
      <c r="JG25" s="163"/>
      <c r="JH25" s="163"/>
      <c r="JI25" s="163"/>
      <c r="JJ25" s="163"/>
      <c r="JK25" s="163"/>
    </row>
    <row r="26" ht="18.75" customHeight="1">
      <c r="A26" s="154"/>
      <c r="B26" s="155"/>
      <c r="C26" s="155"/>
      <c r="D26" s="155"/>
      <c r="E26" s="160"/>
      <c r="F26" s="155"/>
      <c r="G26" s="155"/>
      <c r="H26" s="155"/>
      <c r="I26" s="155"/>
      <c r="J26" s="181"/>
      <c r="K26" s="96"/>
      <c r="L26" s="84"/>
      <c r="M26" s="169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  <c r="BS26" s="163"/>
      <c r="BT26" s="163"/>
      <c r="BU26" s="163"/>
      <c r="BV26" s="163"/>
      <c r="BW26" s="163"/>
      <c r="BX26" s="163"/>
      <c r="BY26" s="163"/>
      <c r="BZ26" s="163"/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63"/>
      <c r="CN26" s="163"/>
      <c r="CO26" s="163"/>
      <c r="CP26" s="163"/>
      <c r="CQ26" s="163"/>
      <c r="CR26" s="163"/>
      <c r="CS26" s="163"/>
      <c r="CT26" s="163"/>
      <c r="CU26" s="163"/>
      <c r="CV26" s="163"/>
      <c r="CW26" s="163"/>
      <c r="CX26" s="163"/>
      <c r="CY26" s="163"/>
      <c r="CZ26" s="163"/>
      <c r="DA26" s="163"/>
      <c r="DB26" s="163"/>
      <c r="DC26" s="163"/>
      <c r="DD26" s="163"/>
      <c r="DE26" s="163"/>
      <c r="DF26" s="163"/>
      <c r="DG26" s="163"/>
      <c r="DH26" s="163"/>
      <c r="DI26" s="163"/>
      <c r="DJ26" s="163"/>
      <c r="DK26" s="163"/>
      <c r="DL26" s="163"/>
      <c r="DM26" s="163"/>
      <c r="DN26" s="163"/>
      <c r="DO26" s="163"/>
      <c r="DP26" s="163"/>
      <c r="DQ26" s="163"/>
      <c r="DR26" s="163"/>
      <c r="DS26" s="163"/>
      <c r="DT26" s="163"/>
      <c r="DU26" s="163"/>
      <c r="DV26" s="163"/>
      <c r="DW26" s="163"/>
      <c r="DX26" s="163"/>
      <c r="DY26" s="163"/>
      <c r="DZ26" s="163"/>
      <c r="EA26" s="163"/>
      <c r="EB26" s="163"/>
      <c r="EC26" s="163"/>
      <c r="ED26" s="163"/>
      <c r="EE26" s="163"/>
      <c r="EF26" s="163"/>
      <c r="EG26" s="163"/>
      <c r="EH26" s="163"/>
      <c r="EI26" s="163"/>
      <c r="EJ26" s="163"/>
      <c r="EK26" s="163"/>
      <c r="EL26" s="163"/>
      <c r="EM26" s="163"/>
      <c r="EN26" s="163"/>
      <c r="EO26" s="163"/>
      <c r="EP26" s="163"/>
      <c r="EQ26" s="163"/>
      <c r="ER26" s="163"/>
      <c r="ES26" s="163"/>
      <c r="ET26" s="163"/>
      <c r="EU26" s="163"/>
      <c r="EV26" s="163"/>
      <c r="EW26" s="163"/>
      <c r="EX26" s="163"/>
      <c r="EY26" s="163"/>
      <c r="EZ26" s="163"/>
      <c r="FA26" s="163"/>
      <c r="FB26" s="163"/>
      <c r="FC26" s="163"/>
      <c r="FD26" s="163"/>
      <c r="FE26" s="163"/>
      <c r="FF26" s="163"/>
      <c r="FG26" s="163"/>
      <c r="FH26" s="163"/>
      <c r="FI26" s="163"/>
      <c r="FJ26" s="163"/>
      <c r="FK26" s="163"/>
      <c r="FL26" s="163"/>
      <c r="FM26" s="163"/>
      <c r="FN26" s="163"/>
      <c r="FO26" s="163"/>
      <c r="FP26" s="163"/>
      <c r="FQ26" s="163"/>
      <c r="FR26" s="163"/>
      <c r="FS26" s="163"/>
      <c r="FT26" s="163"/>
      <c r="FU26" s="163"/>
      <c r="FV26" s="163"/>
      <c r="FW26" s="163"/>
      <c r="FX26" s="163"/>
      <c r="FY26" s="163"/>
      <c r="FZ26" s="163"/>
      <c r="GA26" s="163"/>
      <c r="GB26" s="163"/>
      <c r="GC26" s="163"/>
      <c r="GD26" s="163"/>
      <c r="GE26" s="163"/>
      <c r="GF26" s="163"/>
      <c r="GG26" s="163"/>
      <c r="GH26" s="163"/>
      <c r="GI26" s="163"/>
      <c r="GJ26" s="163"/>
      <c r="GK26" s="163"/>
      <c r="GL26" s="163"/>
      <c r="GM26" s="163"/>
      <c r="GN26" s="163"/>
      <c r="GO26" s="163"/>
      <c r="GP26" s="163"/>
      <c r="GQ26" s="163"/>
      <c r="GR26" s="163"/>
      <c r="GS26" s="163"/>
      <c r="GT26" s="163"/>
      <c r="GU26" s="163"/>
      <c r="GV26" s="163"/>
      <c r="GW26" s="163"/>
      <c r="GX26" s="163"/>
      <c r="GY26" s="163"/>
      <c r="GZ26" s="163"/>
      <c r="HA26" s="163"/>
      <c r="HB26" s="163"/>
      <c r="HC26" s="163"/>
      <c r="HD26" s="163"/>
      <c r="HE26" s="163"/>
      <c r="HF26" s="163"/>
      <c r="HG26" s="163"/>
      <c r="HH26" s="163"/>
      <c r="HI26" s="163"/>
      <c r="HJ26" s="163"/>
      <c r="HK26" s="163"/>
      <c r="HL26" s="163"/>
      <c r="HM26" s="163"/>
      <c r="HN26" s="163"/>
      <c r="HO26" s="163"/>
      <c r="HP26" s="163"/>
      <c r="HQ26" s="163"/>
      <c r="HR26" s="163"/>
      <c r="HS26" s="163"/>
      <c r="HT26" s="163"/>
      <c r="HU26" s="163"/>
      <c r="HV26" s="163"/>
      <c r="HW26" s="163"/>
      <c r="HX26" s="163"/>
      <c r="HY26" s="163"/>
      <c r="HZ26" s="163"/>
      <c r="IA26" s="163"/>
      <c r="IB26" s="163"/>
      <c r="IC26" s="163"/>
      <c r="ID26" s="163"/>
      <c r="IE26" s="163"/>
      <c r="IF26" s="163"/>
      <c r="IG26" s="163"/>
      <c r="IH26" s="163"/>
      <c r="II26" s="163"/>
      <c r="IJ26" s="163"/>
      <c r="IK26" s="163"/>
      <c r="IL26" s="163"/>
      <c r="IM26" s="163"/>
      <c r="IN26" s="163"/>
      <c r="IO26" s="163"/>
      <c r="IP26" s="163"/>
      <c r="IQ26" s="163"/>
      <c r="IR26" s="163"/>
      <c r="IS26" s="163"/>
      <c r="IT26" s="163"/>
      <c r="IU26" s="163"/>
      <c r="IV26" s="163"/>
      <c r="IW26" s="163"/>
      <c r="IX26" s="163"/>
      <c r="IY26" s="163"/>
      <c r="IZ26" s="163"/>
      <c r="JA26" s="163"/>
      <c r="JB26" s="163"/>
      <c r="JC26" s="163"/>
      <c r="JD26" s="163"/>
      <c r="JE26" s="163"/>
      <c r="JF26" s="163"/>
      <c r="JG26" s="163"/>
      <c r="JH26" s="163"/>
      <c r="JI26" s="163"/>
      <c r="JJ26" s="163"/>
      <c r="JK26" s="163"/>
    </row>
    <row r="27" ht="18.75" customHeight="1">
      <c r="A27" s="154"/>
      <c r="B27" s="155"/>
      <c r="C27" s="155"/>
      <c r="D27" s="155"/>
      <c r="E27" s="160"/>
      <c r="F27" s="155"/>
      <c r="G27" s="155"/>
      <c r="H27" s="155"/>
      <c r="I27" s="155"/>
      <c r="J27" s="182">
        <v>0.0</v>
      </c>
      <c r="K27" s="99"/>
      <c r="L27" s="183">
        <v>0.07407407407407407</v>
      </c>
      <c r="M27" s="184">
        <v>0.0</v>
      </c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163"/>
      <c r="DB27" s="163"/>
      <c r="DC27" s="163"/>
      <c r="DD27" s="163"/>
      <c r="DE27" s="163"/>
      <c r="DF27" s="163"/>
      <c r="DG27" s="163"/>
      <c r="DH27" s="163"/>
      <c r="DI27" s="163"/>
      <c r="DJ27" s="163"/>
      <c r="DK27" s="163"/>
      <c r="DL27" s="163"/>
      <c r="DM27" s="163"/>
      <c r="DN27" s="163"/>
      <c r="DO27" s="163"/>
      <c r="DP27" s="163"/>
      <c r="DQ27" s="163"/>
      <c r="DR27" s="163"/>
      <c r="DS27" s="163"/>
      <c r="DT27" s="163"/>
      <c r="DU27" s="163"/>
      <c r="DV27" s="163"/>
      <c r="DW27" s="163"/>
      <c r="DX27" s="163"/>
      <c r="DY27" s="163"/>
      <c r="DZ27" s="163"/>
      <c r="EA27" s="163"/>
      <c r="EB27" s="163"/>
      <c r="EC27" s="163"/>
      <c r="ED27" s="163"/>
      <c r="EE27" s="163"/>
      <c r="EF27" s="163"/>
      <c r="EG27" s="163"/>
      <c r="EH27" s="163"/>
      <c r="EI27" s="163"/>
      <c r="EJ27" s="163"/>
      <c r="EK27" s="163"/>
      <c r="EL27" s="163"/>
      <c r="EM27" s="163"/>
      <c r="EN27" s="163"/>
      <c r="EO27" s="163"/>
      <c r="EP27" s="163"/>
      <c r="EQ27" s="163"/>
      <c r="ER27" s="163"/>
      <c r="ES27" s="163"/>
      <c r="ET27" s="163"/>
      <c r="EU27" s="163"/>
      <c r="EV27" s="163"/>
      <c r="EW27" s="163"/>
      <c r="EX27" s="163"/>
      <c r="EY27" s="163"/>
      <c r="EZ27" s="163"/>
      <c r="FA27" s="163"/>
      <c r="FB27" s="163"/>
      <c r="FC27" s="163"/>
      <c r="FD27" s="163"/>
      <c r="FE27" s="163"/>
      <c r="FF27" s="163"/>
      <c r="FG27" s="163"/>
      <c r="FH27" s="163"/>
      <c r="FI27" s="163"/>
      <c r="FJ27" s="163"/>
      <c r="FK27" s="163"/>
      <c r="FL27" s="163"/>
      <c r="FM27" s="163"/>
      <c r="FN27" s="163"/>
      <c r="FO27" s="163"/>
      <c r="FP27" s="163"/>
      <c r="FQ27" s="163"/>
      <c r="FR27" s="163"/>
      <c r="FS27" s="163"/>
      <c r="FT27" s="163"/>
      <c r="FU27" s="163"/>
      <c r="FV27" s="163"/>
      <c r="FW27" s="163"/>
      <c r="FX27" s="163"/>
      <c r="FY27" s="163"/>
      <c r="FZ27" s="163"/>
      <c r="GA27" s="163"/>
      <c r="GB27" s="163"/>
      <c r="GC27" s="163"/>
      <c r="GD27" s="163"/>
      <c r="GE27" s="163"/>
      <c r="GF27" s="163"/>
      <c r="GG27" s="163"/>
      <c r="GH27" s="163"/>
      <c r="GI27" s="163"/>
      <c r="GJ27" s="163"/>
      <c r="GK27" s="163"/>
      <c r="GL27" s="163"/>
      <c r="GM27" s="163"/>
      <c r="GN27" s="163"/>
      <c r="GO27" s="163"/>
      <c r="GP27" s="163"/>
      <c r="GQ27" s="163"/>
      <c r="GR27" s="163"/>
      <c r="GS27" s="163"/>
      <c r="GT27" s="163"/>
      <c r="GU27" s="163"/>
      <c r="GV27" s="163"/>
      <c r="GW27" s="163"/>
      <c r="GX27" s="163"/>
      <c r="GY27" s="163"/>
      <c r="GZ27" s="163"/>
      <c r="HA27" s="163"/>
      <c r="HB27" s="163"/>
      <c r="HC27" s="163"/>
      <c r="HD27" s="163"/>
      <c r="HE27" s="163"/>
      <c r="HF27" s="163"/>
      <c r="HG27" s="163"/>
      <c r="HH27" s="163"/>
      <c r="HI27" s="163"/>
      <c r="HJ27" s="163"/>
      <c r="HK27" s="163"/>
      <c r="HL27" s="163"/>
      <c r="HM27" s="163"/>
      <c r="HN27" s="163"/>
      <c r="HO27" s="163"/>
      <c r="HP27" s="163"/>
      <c r="HQ27" s="163"/>
      <c r="HR27" s="163"/>
      <c r="HS27" s="163"/>
      <c r="HT27" s="163"/>
      <c r="HU27" s="163"/>
      <c r="HV27" s="163"/>
      <c r="HW27" s="163"/>
      <c r="HX27" s="163"/>
      <c r="HY27" s="163"/>
      <c r="HZ27" s="163"/>
      <c r="IA27" s="163"/>
      <c r="IB27" s="163"/>
      <c r="IC27" s="163"/>
      <c r="ID27" s="163"/>
      <c r="IE27" s="163"/>
      <c r="IF27" s="163"/>
      <c r="IG27" s="163"/>
      <c r="IH27" s="163"/>
      <c r="II27" s="163"/>
      <c r="IJ27" s="163"/>
      <c r="IK27" s="163"/>
      <c r="IL27" s="163"/>
      <c r="IM27" s="163"/>
      <c r="IN27" s="163"/>
      <c r="IO27" s="163"/>
      <c r="IP27" s="163"/>
      <c r="IQ27" s="163"/>
      <c r="IR27" s="163"/>
      <c r="IS27" s="163"/>
      <c r="IT27" s="163"/>
      <c r="IU27" s="163"/>
      <c r="IV27" s="163"/>
      <c r="IW27" s="163"/>
      <c r="IX27" s="163"/>
      <c r="IY27" s="163"/>
      <c r="IZ27" s="163"/>
      <c r="JA27" s="163"/>
      <c r="JB27" s="163"/>
      <c r="JC27" s="163"/>
      <c r="JD27" s="163"/>
      <c r="JE27" s="163"/>
      <c r="JF27" s="163"/>
      <c r="JG27" s="163"/>
      <c r="JH27" s="163"/>
      <c r="JI27" s="163"/>
      <c r="JJ27" s="163"/>
      <c r="JK27" s="163"/>
    </row>
    <row r="28" ht="18.75" customHeight="1">
      <c r="A28" s="154"/>
      <c r="B28" s="155"/>
      <c r="C28" s="155"/>
      <c r="D28" s="155"/>
      <c r="E28" s="160"/>
      <c r="F28" s="155"/>
      <c r="G28" s="155"/>
      <c r="H28" s="155"/>
      <c r="I28" s="155"/>
      <c r="J28" s="185"/>
      <c r="L28" s="175" t="s">
        <v>57</v>
      </c>
      <c r="M28" s="177" t="s">
        <v>58</v>
      </c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163"/>
      <c r="DZ28" s="163"/>
      <c r="EA28" s="163"/>
      <c r="EB28" s="163"/>
      <c r="EC28" s="163"/>
      <c r="ED28" s="163"/>
      <c r="EE28" s="163"/>
      <c r="EF28" s="163"/>
      <c r="EG28" s="163"/>
      <c r="EH28" s="163"/>
      <c r="EI28" s="163"/>
      <c r="EJ28" s="163"/>
      <c r="EK28" s="163"/>
      <c r="EL28" s="163"/>
      <c r="EM28" s="163"/>
      <c r="EN28" s="163"/>
      <c r="EO28" s="163"/>
      <c r="EP28" s="163"/>
      <c r="EQ28" s="163"/>
      <c r="ER28" s="163"/>
      <c r="ES28" s="163"/>
      <c r="ET28" s="163"/>
      <c r="EU28" s="163"/>
      <c r="EV28" s="163"/>
      <c r="EW28" s="163"/>
      <c r="EX28" s="163"/>
      <c r="EY28" s="163"/>
      <c r="EZ28" s="163"/>
      <c r="FA28" s="163"/>
      <c r="FB28" s="163"/>
      <c r="FC28" s="163"/>
      <c r="FD28" s="163"/>
      <c r="FE28" s="163"/>
      <c r="FF28" s="163"/>
      <c r="FG28" s="163"/>
      <c r="FH28" s="163"/>
      <c r="FI28" s="163"/>
      <c r="FJ28" s="163"/>
      <c r="FK28" s="163"/>
      <c r="FL28" s="163"/>
      <c r="FM28" s="163"/>
      <c r="FN28" s="163"/>
      <c r="FO28" s="163"/>
      <c r="FP28" s="163"/>
      <c r="FQ28" s="163"/>
      <c r="FR28" s="163"/>
      <c r="FS28" s="163"/>
      <c r="FT28" s="163"/>
      <c r="FU28" s="163"/>
      <c r="FV28" s="163"/>
      <c r="FW28" s="163"/>
      <c r="FX28" s="163"/>
      <c r="FY28" s="163"/>
      <c r="FZ28" s="163"/>
      <c r="GA28" s="163"/>
      <c r="GB28" s="163"/>
      <c r="GC28" s="163"/>
      <c r="GD28" s="163"/>
      <c r="GE28" s="163"/>
      <c r="GF28" s="163"/>
      <c r="GG28" s="163"/>
      <c r="GH28" s="163"/>
      <c r="GI28" s="163"/>
      <c r="GJ28" s="163"/>
      <c r="GK28" s="163"/>
      <c r="GL28" s="163"/>
      <c r="GM28" s="163"/>
      <c r="GN28" s="163"/>
      <c r="GO28" s="163"/>
      <c r="GP28" s="163"/>
      <c r="GQ28" s="163"/>
      <c r="GR28" s="163"/>
      <c r="GS28" s="163"/>
      <c r="GT28" s="163"/>
      <c r="GU28" s="163"/>
      <c r="GV28" s="163"/>
      <c r="GW28" s="163"/>
      <c r="GX28" s="163"/>
      <c r="GY28" s="163"/>
      <c r="GZ28" s="163"/>
      <c r="HA28" s="163"/>
      <c r="HB28" s="163"/>
      <c r="HC28" s="163"/>
      <c r="HD28" s="163"/>
      <c r="HE28" s="163"/>
      <c r="HF28" s="163"/>
      <c r="HG28" s="163"/>
      <c r="HH28" s="163"/>
      <c r="HI28" s="163"/>
      <c r="HJ28" s="163"/>
      <c r="HK28" s="163"/>
      <c r="HL28" s="163"/>
      <c r="HM28" s="163"/>
      <c r="HN28" s="163"/>
      <c r="HO28" s="163"/>
      <c r="HP28" s="163"/>
      <c r="HQ28" s="163"/>
      <c r="HR28" s="163"/>
      <c r="HS28" s="163"/>
      <c r="HT28" s="163"/>
      <c r="HU28" s="163"/>
      <c r="HV28" s="163"/>
      <c r="HW28" s="163"/>
      <c r="HX28" s="163"/>
      <c r="HY28" s="163"/>
      <c r="HZ28" s="163"/>
      <c r="IA28" s="163"/>
      <c r="IB28" s="163"/>
      <c r="IC28" s="163"/>
      <c r="ID28" s="163"/>
      <c r="IE28" s="163"/>
      <c r="IF28" s="163"/>
      <c r="IG28" s="163"/>
      <c r="IH28" s="163"/>
      <c r="II28" s="163"/>
      <c r="IJ28" s="163"/>
      <c r="IK28" s="163"/>
      <c r="IL28" s="163"/>
      <c r="IM28" s="163"/>
      <c r="IN28" s="163"/>
      <c r="IO28" s="163"/>
      <c r="IP28" s="163"/>
      <c r="IQ28" s="163"/>
      <c r="IR28" s="163"/>
      <c r="IS28" s="163"/>
      <c r="IT28" s="163"/>
      <c r="IU28" s="163"/>
      <c r="IV28" s="163"/>
      <c r="IW28" s="163"/>
      <c r="IX28" s="163"/>
      <c r="IY28" s="163"/>
      <c r="IZ28" s="163"/>
      <c r="JA28" s="163"/>
      <c r="JB28" s="163"/>
      <c r="JC28" s="163"/>
      <c r="JD28" s="163"/>
      <c r="JE28" s="163"/>
      <c r="JF28" s="163"/>
      <c r="JG28" s="163"/>
      <c r="JH28" s="163"/>
      <c r="JI28" s="163"/>
      <c r="JJ28" s="163"/>
      <c r="JK28" s="163"/>
    </row>
    <row r="29" ht="18.75" customHeight="1">
      <c r="A29" s="154"/>
      <c r="B29" s="155"/>
      <c r="C29" s="155"/>
      <c r="D29" s="155"/>
      <c r="E29" s="160"/>
      <c r="F29" s="155"/>
      <c r="G29" s="155"/>
      <c r="H29" s="155"/>
      <c r="I29" s="155"/>
      <c r="J29" s="29"/>
      <c r="L29" s="84"/>
      <c r="M29" s="169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  <c r="DM29" s="163"/>
      <c r="DN29" s="163"/>
      <c r="DO29" s="163"/>
      <c r="DP29" s="163"/>
      <c r="DQ29" s="163"/>
      <c r="DR29" s="163"/>
      <c r="DS29" s="163"/>
      <c r="DT29" s="163"/>
      <c r="DU29" s="163"/>
      <c r="DV29" s="163"/>
      <c r="DW29" s="163"/>
      <c r="DX29" s="163"/>
      <c r="DY29" s="163"/>
      <c r="DZ29" s="163"/>
      <c r="EA29" s="163"/>
      <c r="EB29" s="163"/>
      <c r="EC29" s="163"/>
      <c r="ED29" s="163"/>
      <c r="EE29" s="163"/>
      <c r="EF29" s="163"/>
      <c r="EG29" s="163"/>
      <c r="EH29" s="163"/>
      <c r="EI29" s="163"/>
      <c r="EJ29" s="163"/>
      <c r="EK29" s="163"/>
      <c r="EL29" s="163"/>
      <c r="EM29" s="163"/>
      <c r="EN29" s="163"/>
      <c r="EO29" s="163"/>
      <c r="EP29" s="163"/>
      <c r="EQ29" s="163"/>
      <c r="ER29" s="163"/>
      <c r="ES29" s="163"/>
      <c r="ET29" s="163"/>
      <c r="EU29" s="163"/>
      <c r="EV29" s="163"/>
      <c r="EW29" s="163"/>
      <c r="EX29" s="163"/>
      <c r="EY29" s="163"/>
      <c r="EZ29" s="163"/>
      <c r="FA29" s="163"/>
      <c r="FB29" s="163"/>
      <c r="FC29" s="163"/>
      <c r="FD29" s="163"/>
      <c r="FE29" s="163"/>
      <c r="FF29" s="163"/>
      <c r="FG29" s="163"/>
      <c r="FH29" s="163"/>
      <c r="FI29" s="163"/>
      <c r="FJ29" s="163"/>
      <c r="FK29" s="163"/>
      <c r="FL29" s="163"/>
      <c r="FM29" s="163"/>
      <c r="FN29" s="163"/>
      <c r="FO29" s="163"/>
      <c r="FP29" s="163"/>
      <c r="FQ29" s="163"/>
      <c r="FR29" s="163"/>
      <c r="FS29" s="163"/>
      <c r="FT29" s="163"/>
      <c r="FU29" s="163"/>
      <c r="FV29" s="163"/>
      <c r="FW29" s="163"/>
      <c r="FX29" s="163"/>
      <c r="FY29" s="163"/>
      <c r="FZ29" s="163"/>
      <c r="GA29" s="163"/>
      <c r="GB29" s="163"/>
      <c r="GC29" s="163"/>
      <c r="GD29" s="163"/>
      <c r="GE29" s="163"/>
      <c r="GF29" s="163"/>
      <c r="GG29" s="163"/>
      <c r="GH29" s="163"/>
      <c r="GI29" s="163"/>
      <c r="GJ29" s="163"/>
      <c r="GK29" s="163"/>
      <c r="GL29" s="163"/>
      <c r="GM29" s="163"/>
      <c r="GN29" s="163"/>
      <c r="GO29" s="163"/>
      <c r="GP29" s="163"/>
      <c r="GQ29" s="163"/>
      <c r="GR29" s="163"/>
      <c r="GS29" s="163"/>
      <c r="GT29" s="163"/>
      <c r="GU29" s="163"/>
      <c r="GV29" s="163"/>
      <c r="GW29" s="163"/>
      <c r="GX29" s="163"/>
      <c r="GY29" s="163"/>
      <c r="GZ29" s="163"/>
      <c r="HA29" s="163"/>
      <c r="HB29" s="163"/>
      <c r="HC29" s="163"/>
      <c r="HD29" s="163"/>
      <c r="HE29" s="163"/>
      <c r="HF29" s="163"/>
      <c r="HG29" s="163"/>
      <c r="HH29" s="163"/>
      <c r="HI29" s="163"/>
      <c r="HJ29" s="163"/>
      <c r="HK29" s="163"/>
      <c r="HL29" s="163"/>
      <c r="HM29" s="163"/>
      <c r="HN29" s="163"/>
      <c r="HO29" s="163"/>
      <c r="HP29" s="163"/>
      <c r="HQ29" s="163"/>
      <c r="HR29" s="163"/>
      <c r="HS29" s="163"/>
      <c r="HT29" s="163"/>
      <c r="HU29" s="163"/>
      <c r="HV29" s="163"/>
      <c r="HW29" s="163"/>
      <c r="HX29" s="163"/>
      <c r="HY29" s="163"/>
      <c r="HZ29" s="163"/>
      <c r="IA29" s="163"/>
      <c r="IB29" s="163"/>
      <c r="IC29" s="163"/>
      <c r="ID29" s="163"/>
      <c r="IE29" s="163"/>
      <c r="IF29" s="163"/>
      <c r="IG29" s="163"/>
      <c r="IH29" s="163"/>
      <c r="II29" s="163"/>
      <c r="IJ29" s="163"/>
      <c r="IK29" s="163"/>
      <c r="IL29" s="163"/>
      <c r="IM29" s="163"/>
      <c r="IN29" s="163"/>
      <c r="IO29" s="163"/>
      <c r="IP29" s="163"/>
      <c r="IQ29" s="163"/>
      <c r="IR29" s="163"/>
      <c r="IS29" s="163"/>
      <c r="IT29" s="163"/>
      <c r="IU29" s="163"/>
      <c r="IV29" s="163"/>
      <c r="IW29" s="163"/>
      <c r="IX29" s="163"/>
      <c r="IY29" s="163"/>
      <c r="IZ29" s="163"/>
      <c r="JA29" s="163"/>
      <c r="JB29" s="163"/>
      <c r="JC29" s="163"/>
      <c r="JD29" s="163"/>
      <c r="JE29" s="163"/>
      <c r="JF29" s="163"/>
      <c r="JG29" s="163"/>
      <c r="JH29" s="163"/>
      <c r="JI29" s="163"/>
      <c r="JJ29" s="163"/>
      <c r="JK29" s="163"/>
    </row>
    <row r="30" ht="18.75" customHeight="1">
      <c r="A30" s="154"/>
      <c r="B30" s="186"/>
      <c r="C30" s="186"/>
      <c r="D30" s="186"/>
      <c r="E30" s="187"/>
      <c r="F30" s="186"/>
      <c r="G30" s="186"/>
      <c r="H30" s="186"/>
      <c r="I30" s="186"/>
      <c r="J30" s="12"/>
      <c r="K30" s="21"/>
      <c r="L30" s="188">
        <v>0.9259259259259259</v>
      </c>
      <c r="M30" s="189">
        <v>0.0</v>
      </c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163"/>
      <c r="DQ30" s="163"/>
      <c r="DR30" s="163"/>
      <c r="DS30" s="163"/>
      <c r="DT30" s="163"/>
      <c r="DU30" s="163"/>
      <c r="DV30" s="163"/>
      <c r="DW30" s="163"/>
      <c r="DX30" s="163"/>
      <c r="DY30" s="163"/>
      <c r="DZ30" s="163"/>
      <c r="EA30" s="163"/>
      <c r="EB30" s="163"/>
      <c r="EC30" s="163"/>
      <c r="ED30" s="163"/>
      <c r="EE30" s="163"/>
      <c r="EF30" s="163"/>
      <c r="EG30" s="163"/>
      <c r="EH30" s="163"/>
      <c r="EI30" s="163"/>
      <c r="EJ30" s="163"/>
      <c r="EK30" s="163"/>
      <c r="EL30" s="163"/>
      <c r="EM30" s="163"/>
      <c r="EN30" s="163"/>
      <c r="EO30" s="163"/>
      <c r="EP30" s="163"/>
      <c r="EQ30" s="163"/>
      <c r="ER30" s="163"/>
      <c r="ES30" s="163"/>
      <c r="ET30" s="163"/>
      <c r="EU30" s="163"/>
      <c r="EV30" s="163"/>
      <c r="EW30" s="163"/>
      <c r="EX30" s="163"/>
      <c r="EY30" s="163"/>
      <c r="EZ30" s="163"/>
      <c r="FA30" s="163"/>
      <c r="FB30" s="163"/>
      <c r="FC30" s="163"/>
      <c r="FD30" s="163"/>
      <c r="FE30" s="163"/>
      <c r="FF30" s="163"/>
      <c r="FG30" s="163"/>
      <c r="FH30" s="163"/>
      <c r="FI30" s="163"/>
      <c r="FJ30" s="163"/>
      <c r="FK30" s="163"/>
      <c r="FL30" s="163"/>
      <c r="FM30" s="163"/>
      <c r="FN30" s="163"/>
      <c r="FO30" s="163"/>
      <c r="FP30" s="163"/>
      <c r="FQ30" s="163"/>
      <c r="FR30" s="163"/>
      <c r="FS30" s="163"/>
      <c r="FT30" s="163"/>
      <c r="FU30" s="163"/>
      <c r="FV30" s="163"/>
      <c r="FW30" s="163"/>
      <c r="FX30" s="163"/>
      <c r="FY30" s="163"/>
      <c r="FZ30" s="163"/>
      <c r="GA30" s="163"/>
      <c r="GB30" s="163"/>
      <c r="GC30" s="163"/>
      <c r="GD30" s="163"/>
      <c r="GE30" s="163"/>
      <c r="GF30" s="163"/>
      <c r="GG30" s="163"/>
      <c r="GH30" s="163"/>
      <c r="GI30" s="163"/>
      <c r="GJ30" s="163"/>
      <c r="GK30" s="163"/>
      <c r="GL30" s="163"/>
      <c r="GM30" s="163"/>
      <c r="GN30" s="163"/>
      <c r="GO30" s="163"/>
      <c r="GP30" s="163"/>
      <c r="GQ30" s="163"/>
      <c r="GR30" s="163"/>
      <c r="GS30" s="163"/>
      <c r="GT30" s="163"/>
      <c r="GU30" s="163"/>
      <c r="GV30" s="163"/>
      <c r="GW30" s="163"/>
      <c r="GX30" s="163"/>
      <c r="GY30" s="163"/>
      <c r="GZ30" s="163"/>
      <c r="HA30" s="163"/>
      <c r="HB30" s="163"/>
      <c r="HC30" s="163"/>
      <c r="HD30" s="163"/>
      <c r="HE30" s="163"/>
      <c r="HF30" s="163"/>
      <c r="HG30" s="163"/>
      <c r="HH30" s="163"/>
      <c r="HI30" s="163"/>
      <c r="HJ30" s="163"/>
      <c r="HK30" s="163"/>
      <c r="HL30" s="163"/>
      <c r="HM30" s="163"/>
      <c r="HN30" s="163"/>
      <c r="HO30" s="163"/>
      <c r="HP30" s="163"/>
      <c r="HQ30" s="163"/>
      <c r="HR30" s="163"/>
      <c r="HS30" s="163"/>
      <c r="HT30" s="163"/>
      <c r="HU30" s="163"/>
      <c r="HV30" s="163"/>
      <c r="HW30" s="163"/>
      <c r="HX30" s="163"/>
      <c r="HY30" s="163"/>
      <c r="HZ30" s="163"/>
      <c r="IA30" s="163"/>
      <c r="IB30" s="163"/>
      <c r="IC30" s="163"/>
      <c r="ID30" s="163"/>
      <c r="IE30" s="163"/>
      <c r="IF30" s="163"/>
      <c r="IG30" s="163"/>
      <c r="IH30" s="163"/>
      <c r="II30" s="163"/>
      <c r="IJ30" s="163"/>
      <c r="IK30" s="163"/>
      <c r="IL30" s="163"/>
      <c r="IM30" s="163"/>
      <c r="IN30" s="163"/>
      <c r="IO30" s="163"/>
      <c r="IP30" s="163"/>
      <c r="IQ30" s="163"/>
      <c r="IR30" s="163"/>
      <c r="IS30" s="163"/>
      <c r="IT30" s="163"/>
      <c r="IU30" s="163"/>
      <c r="IV30" s="163"/>
      <c r="IW30" s="163"/>
      <c r="IX30" s="163"/>
      <c r="IY30" s="163"/>
      <c r="IZ30" s="163"/>
      <c r="JA30" s="163"/>
      <c r="JB30" s="163"/>
      <c r="JC30" s="163"/>
      <c r="JD30" s="163"/>
      <c r="JE30" s="163"/>
      <c r="JF30" s="163"/>
      <c r="JG30" s="163"/>
      <c r="JH30" s="163"/>
      <c r="JI30" s="163"/>
      <c r="JJ30" s="163"/>
      <c r="JK30" s="163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2" priority="1" operator="lessThan">
      <formula>1</formula>
    </cfRule>
  </conditionalFormatting>
  <conditionalFormatting sqref="M24">
    <cfRule type="cellIs" dxfId="2" priority="2" operator="equal">
      <formula>0</formula>
    </cfRule>
  </conditionalFormatting>
  <conditionalFormatting sqref="F2">
    <cfRule type="cellIs" dxfId="0" priority="3" operator="greaterThan">
      <formula>"30%"</formula>
    </cfRule>
  </conditionalFormatting>
  <conditionalFormatting sqref="F2:H4">
    <cfRule type="containsText" dxfId="3" priority="4" operator="containsText" text="Zadej">
      <formula>NOT(ISERROR(SEARCH(("Zadej"),(F2))))</formula>
    </cfRule>
  </conditionalFormatting>
  <conditionalFormatting sqref="J8:K18">
    <cfRule type="cellIs" dxfId="0" priority="5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90" t="s">
        <v>69</v>
      </c>
      <c r="B1" s="190" t="s">
        <v>70</v>
      </c>
      <c r="C1" s="190" t="s">
        <v>71</v>
      </c>
      <c r="D1" s="190" t="s">
        <v>72</v>
      </c>
      <c r="E1" s="190" t="s">
        <v>42</v>
      </c>
      <c r="F1" s="190" t="s">
        <v>73</v>
      </c>
      <c r="G1" s="190" t="s">
        <v>74</v>
      </c>
      <c r="H1" s="190" t="s">
        <v>75</v>
      </c>
      <c r="I1" s="190" t="s">
        <v>76</v>
      </c>
      <c r="J1" s="190" t="s">
        <v>77</v>
      </c>
      <c r="K1" s="190" t="s">
        <v>78</v>
      </c>
      <c r="L1" s="190" t="s">
        <v>79</v>
      </c>
      <c r="M1" s="190" t="s">
        <v>80</v>
      </c>
      <c r="N1" s="190" t="s">
        <v>81</v>
      </c>
      <c r="O1" s="190" t="s">
        <v>82</v>
      </c>
      <c r="P1" s="190" t="s">
        <v>83</v>
      </c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</row>
    <row r="2">
      <c r="A2" s="190" t="s">
        <v>84</v>
      </c>
      <c r="B2" s="190" t="s">
        <v>85</v>
      </c>
      <c r="C2" s="190">
        <v>259.0</v>
      </c>
      <c r="D2" s="190">
        <v>0.0</v>
      </c>
      <c r="E2" s="190" t="s">
        <v>53</v>
      </c>
      <c r="F2" s="190" t="s">
        <v>86</v>
      </c>
      <c r="G2" s="190" t="s">
        <v>87</v>
      </c>
      <c r="H2" s="190" t="s">
        <v>88</v>
      </c>
      <c r="I2" s="190" t="s">
        <v>89</v>
      </c>
      <c r="J2" s="190" t="s">
        <v>90</v>
      </c>
      <c r="K2" s="190" t="s">
        <v>91</v>
      </c>
      <c r="L2" s="190">
        <v>-7.0</v>
      </c>
      <c r="M2" s="190">
        <v>11.164783333333334</v>
      </c>
      <c r="N2" s="190">
        <v>11.400633333333333</v>
      </c>
      <c r="O2" s="190" t="s">
        <v>92</v>
      </c>
      <c r="P2" s="190" t="s">
        <v>93</v>
      </c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</row>
    <row r="3">
      <c r="A3" s="190" t="s">
        <v>94</v>
      </c>
      <c r="B3" s="190" t="s">
        <v>85</v>
      </c>
      <c r="C3" s="190">
        <v>368.0</v>
      </c>
      <c r="D3" s="190">
        <v>100.0</v>
      </c>
      <c r="E3" s="191"/>
      <c r="F3" s="190" t="s">
        <v>95</v>
      </c>
      <c r="G3" s="190" t="s">
        <v>96</v>
      </c>
      <c r="H3" s="190" t="s">
        <v>97</v>
      </c>
      <c r="I3" s="190" t="s">
        <v>98</v>
      </c>
      <c r="J3" s="190" t="s">
        <v>98</v>
      </c>
      <c r="K3" s="191"/>
      <c r="L3" s="190">
        <v>-4.0</v>
      </c>
      <c r="M3" s="190"/>
      <c r="N3" s="190">
        <v>10.0636</v>
      </c>
      <c r="O3" s="190" t="s">
        <v>99</v>
      </c>
      <c r="P3" s="190" t="s">
        <v>100</v>
      </c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</row>
    <row r="4">
      <c r="A4" s="190" t="s">
        <v>101</v>
      </c>
      <c r="B4" s="190" t="s">
        <v>85</v>
      </c>
      <c r="C4" s="192">
        <v>207.0</v>
      </c>
      <c r="D4" s="190">
        <v>52.0</v>
      </c>
      <c r="E4" s="191"/>
      <c r="F4" s="190" t="s">
        <v>102</v>
      </c>
      <c r="G4" s="190" t="s">
        <v>103</v>
      </c>
      <c r="H4" s="190" t="s">
        <v>104</v>
      </c>
      <c r="I4" s="190" t="s">
        <v>105</v>
      </c>
      <c r="J4" s="190" t="s">
        <v>105</v>
      </c>
      <c r="K4" s="191"/>
      <c r="L4" s="190">
        <v>-10.0</v>
      </c>
      <c r="M4" s="190"/>
      <c r="N4" s="190">
        <v>8.838733333333334</v>
      </c>
      <c r="O4" s="190" t="s">
        <v>106</v>
      </c>
      <c r="P4" s="190" t="s">
        <v>107</v>
      </c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E4" s="191"/>
      <c r="AF4" s="191"/>
    </row>
    <row r="5">
      <c r="A5" s="190" t="s">
        <v>101</v>
      </c>
      <c r="B5" s="190" t="s">
        <v>85</v>
      </c>
      <c r="C5" s="190">
        <v>332.0</v>
      </c>
      <c r="D5" s="190">
        <v>61.0</v>
      </c>
      <c r="E5" s="191"/>
      <c r="F5" s="190" t="s">
        <v>102</v>
      </c>
      <c r="G5" s="190" t="s">
        <v>87</v>
      </c>
      <c r="H5" s="190" t="s">
        <v>108</v>
      </c>
      <c r="I5" s="190" t="s">
        <v>109</v>
      </c>
      <c r="J5" s="190" t="s">
        <v>109</v>
      </c>
      <c r="K5" s="191"/>
      <c r="L5" s="190">
        <v>-12.0</v>
      </c>
      <c r="M5" s="190"/>
      <c r="N5" s="190">
        <v>14.08845</v>
      </c>
      <c r="O5" s="190" t="s">
        <v>106</v>
      </c>
      <c r="P5" s="190" t="s">
        <v>110</v>
      </c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</row>
    <row r="6">
      <c r="A6" s="190" t="s">
        <v>84</v>
      </c>
      <c r="B6" s="190" t="s">
        <v>85</v>
      </c>
      <c r="C6" s="192">
        <v>259.0</v>
      </c>
      <c r="D6" s="190">
        <v>0.0</v>
      </c>
      <c r="E6" s="191"/>
      <c r="F6" s="190" t="s">
        <v>102</v>
      </c>
      <c r="G6" s="190" t="s">
        <v>103</v>
      </c>
      <c r="H6" s="190" t="s">
        <v>111</v>
      </c>
      <c r="I6" s="190" t="s">
        <v>112</v>
      </c>
      <c r="J6" s="190" t="s">
        <v>112</v>
      </c>
      <c r="K6" s="191"/>
      <c r="L6" s="190">
        <v>1.0</v>
      </c>
      <c r="M6" s="190"/>
      <c r="N6" s="190">
        <v>6.53025</v>
      </c>
      <c r="O6" s="190" t="s">
        <v>92</v>
      </c>
      <c r="P6" s="190" t="s">
        <v>113</v>
      </c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</row>
    <row r="7">
      <c r="A7" s="190" t="s">
        <v>114</v>
      </c>
      <c r="B7" s="190" t="s">
        <v>85</v>
      </c>
      <c r="C7" s="192">
        <v>349.0</v>
      </c>
      <c r="D7" s="190">
        <v>0.0</v>
      </c>
      <c r="E7" s="190" t="s">
        <v>115</v>
      </c>
      <c r="F7" s="190" t="s">
        <v>95</v>
      </c>
      <c r="G7" s="190" t="s">
        <v>96</v>
      </c>
      <c r="H7" s="190" t="s">
        <v>116</v>
      </c>
      <c r="I7" s="190" t="s">
        <v>117</v>
      </c>
      <c r="J7" s="190" t="s">
        <v>117</v>
      </c>
      <c r="K7" s="191"/>
      <c r="L7" s="190">
        <v>-5.0</v>
      </c>
      <c r="M7" s="190"/>
      <c r="N7" s="190">
        <v>9.391766666666667</v>
      </c>
      <c r="O7" s="190" t="s">
        <v>118</v>
      </c>
      <c r="P7" s="190" t="s">
        <v>119</v>
      </c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</row>
    <row r="8">
      <c r="A8" s="190" t="s">
        <v>84</v>
      </c>
      <c r="B8" s="190" t="s">
        <v>85</v>
      </c>
      <c r="C8" s="190">
        <v>88.0</v>
      </c>
      <c r="D8" s="190">
        <v>0.0</v>
      </c>
      <c r="E8" s="191"/>
      <c r="F8" s="190" t="s">
        <v>102</v>
      </c>
      <c r="G8" s="190" t="s">
        <v>103</v>
      </c>
      <c r="H8" s="190" t="s">
        <v>120</v>
      </c>
      <c r="I8" s="190" t="s">
        <v>121</v>
      </c>
      <c r="J8" s="190" t="s">
        <v>121</v>
      </c>
      <c r="K8" s="191"/>
      <c r="L8" s="190">
        <v>18.0</v>
      </c>
      <c r="M8" s="190"/>
      <c r="N8" s="190">
        <v>23.682416666666665</v>
      </c>
      <c r="O8" s="190" t="s">
        <v>92</v>
      </c>
      <c r="P8" s="190" t="s">
        <v>122</v>
      </c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</row>
    <row r="9">
      <c r="A9" s="190" t="s">
        <v>114</v>
      </c>
      <c r="B9" s="190" t="s">
        <v>85</v>
      </c>
      <c r="C9" s="190">
        <v>398.0</v>
      </c>
      <c r="D9" s="190">
        <v>0.0</v>
      </c>
      <c r="E9" s="190" t="s">
        <v>123</v>
      </c>
      <c r="F9" s="190" t="s">
        <v>95</v>
      </c>
      <c r="G9" s="190" t="s">
        <v>96</v>
      </c>
      <c r="H9" s="190" t="s">
        <v>124</v>
      </c>
      <c r="I9" s="190" t="s">
        <v>125</v>
      </c>
      <c r="J9" s="190" t="s">
        <v>125</v>
      </c>
      <c r="K9" s="191"/>
      <c r="L9" s="190">
        <v>-9.0</v>
      </c>
      <c r="M9" s="190"/>
      <c r="N9" s="190">
        <v>5.962033333333333</v>
      </c>
      <c r="O9" s="190" t="s">
        <v>118</v>
      </c>
      <c r="P9" s="190" t="s">
        <v>126</v>
      </c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</row>
    <row r="10">
      <c r="A10" s="190" t="s">
        <v>84</v>
      </c>
      <c r="B10" s="190" t="s">
        <v>85</v>
      </c>
      <c r="C10" s="192">
        <v>59.0</v>
      </c>
      <c r="D10" s="190">
        <v>0.0</v>
      </c>
      <c r="E10" s="191"/>
      <c r="F10" s="190" t="s">
        <v>102</v>
      </c>
      <c r="G10" s="190" t="s">
        <v>87</v>
      </c>
      <c r="H10" s="190" t="s">
        <v>127</v>
      </c>
      <c r="I10" s="190" t="s">
        <v>128</v>
      </c>
      <c r="J10" s="190" t="s">
        <v>128</v>
      </c>
      <c r="K10" s="191"/>
      <c r="L10" s="190">
        <v>46.0</v>
      </c>
      <c r="M10" s="190"/>
      <c r="N10" s="190">
        <v>51.83145</v>
      </c>
      <c r="O10" s="190" t="s">
        <v>92</v>
      </c>
      <c r="P10" s="190" t="s">
        <v>129</v>
      </c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</row>
    <row r="11">
      <c r="A11" s="190" t="s">
        <v>114</v>
      </c>
      <c r="B11" s="190" t="s">
        <v>85</v>
      </c>
      <c r="C11" s="190">
        <v>349.0</v>
      </c>
      <c r="D11" s="190">
        <v>0.0</v>
      </c>
      <c r="E11" s="190" t="s">
        <v>130</v>
      </c>
      <c r="F11" s="190" t="s">
        <v>95</v>
      </c>
      <c r="G11" s="190" t="s">
        <v>96</v>
      </c>
      <c r="H11" s="190" t="s">
        <v>131</v>
      </c>
      <c r="I11" s="190" t="s">
        <v>132</v>
      </c>
      <c r="J11" s="190" t="s">
        <v>132</v>
      </c>
      <c r="K11" s="191"/>
      <c r="L11" s="190">
        <v>-6.0</v>
      </c>
      <c r="M11" s="190"/>
      <c r="N11" s="190">
        <v>8.61055</v>
      </c>
      <c r="O11" s="190" t="s">
        <v>118</v>
      </c>
      <c r="P11" s="190" t="s">
        <v>133</v>
      </c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</row>
    <row r="12">
      <c r="A12" s="190" t="s">
        <v>84</v>
      </c>
      <c r="B12" s="190" t="s">
        <v>85</v>
      </c>
      <c r="C12" s="192">
        <v>39.0</v>
      </c>
      <c r="D12" s="190">
        <v>0.0</v>
      </c>
      <c r="E12" s="191"/>
      <c r="F12" s="190" t="s">
        <v>102</v>
      </c>
      <c r="G12" s="190" t="s">
        <v>87</v>
      </c>
      <c r="H12" s="190" t="s">
        <v>134</v>
      </c>
      <c r="I12" s="190" t="s">
        <v>135</v>
      </c>
      <c r="J12" s="190" t="s">
        <v>135</v>
      </c>
      <c r="K12" s="191"/>
      <c r="L12" s="190">
        <v>-1.0</v>
      </c>
      <c r="M12" s="190"/>
      <c r="N12" s="190">
        <v>3.2737666666666665</v>
      </c>
      <c r="O12" s="190" t="s">
        <v>92</v>
      </c>
      <c r="P12" s="190" t="s">
        <v>136</v>
      </c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</row>
    <row r="13">
      <c r="A13" s="190" t="s">
        <v>84</v>
      </c>
      <c r="B13" s="190" t="s">
        <v>85</v>
      </c>
      <c r="C13" s="190">
        <v>139.0</v>
      </c>
      <c r="D13" s="190">
        <v>0.0</v>
      </c>
      <c r="E13" s="191"/>
      <c r="F13" s="190" t="s">
        <v>102</v>
      </c>
      <c r="G13" s="190" t="s">
        <v>87</v>
      </c>
      <c r="H13" s="190" t="s">
        <v>137</v>
      </c>
      <c r="I13" s="190" t="s">
        <v>138</v>
      </c>
      <c r="J13" s="190" t="s">
        <v>138</v>
      </c>
      <c r="K13" s="191"/>
      <c r="L13" s="190">
        <v>-1.0</v>
      </c>
      <c r="M13" s="190"/>
      <c r="N13" s="190">
        <v>3.5630166666666665</v>
      </c>
      <c r="O13" s="190" t="s">
        <v>92</v>
      </c>
      <c r="P13" s="190" t="s">
        <v>139</v>
      </c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E13" s="191"/>
      <c r="AF13" s="191"/>
    </row>
    <row r="14">
      <c r="A14" s="190" t="s">
        <v>84</v>
      </c>
      <c r="B14" s="190" t="s">
        <v>85</v>
      </c>
      <c r="C14" s="190">
        <v>259.0</v>
      </c>
      <c r="D14" s="190">
        <v>0.0</v>
      </c>
      <c r="E14" s="191"/>
      <c r="F14" s="190" t="s">
        <v>102</v>
      </c>
      <c r="G14" s="190" t="s">
        <v>87</v>
      </c>
      <c r="H14" s="190" t="s">
        <v>140</v>
      </c>
      <c r="I14" s="190" t="s">
        <v>141</v>
      </c>
      <c r="J14" s="190" t="s">
        <v>141</v>
      </c>
      <c r="K14" s="191"/>
      <c r="L14" s="190">
        <v>10.0</v>
      </c>
      <c r="M14" s="190"/>
      <c r="N14" s="190">
        <v>15.219966666666666</v>
      </c>
      <c r="O14" s="190" t="s">
        <v>92</v>
      </c>
      <c r="P14" s="190" t="s">
        <v>142</v>
      </c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</row>
    <row r="15">
      <c r="A15" s="190" t="s">
        <v>84</v>
      </c>
      <c r="B15" s="190" t="s">
        <v>85</v>
      </c>
      <c r="C15" s="192">
        <v>39.0</v>
      </c>
      <c r="D15" s="190">
        <v>0.0</v>
      </c>
      <c r="E15" s="191"/>
      <c r="F15" s="190" t="s">
        <v>102</v>
      </c>
      <c r="G15" s="190" t="s">
        <v>87</v>
      </c>
      <c r="H15" s="190" t="s">
        <v>143</v>
      </c>
      <c r="I15" s="190" t="s">
        <v>144</v>
      </c>
      <c r="J15" s="190" t="s">
        <v>144</v>
      </c>
      <c r="K15" s="191"/>
      <c r="L15" s="190">
        <v>-3.0</v>
      </c>
      <c r="M15" s="190"/>
      <c r="N15" s="190">
        <v>1.4798166666666666</v>
      </c>
      <c r="O15" s="190" t="s">
        <v>92</v>
      </c>
      <c r="P15" s="190" t="s">
        <v>145</v>
      </c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</row>
    <row r="16">
      <c r="A16" s="190" t="s">
        <v>94</v>
      </c>
      <c r="B16" s="190" t="s">
        <v>85</v>
      </c>
      <c r="C16" s="192">
        <v>274.0</v>
      </c>
      <c r="D16" s="190">
        <v>100.0</v>
      </c>
      <c r="E16" s="191"/>
      <c r="F16" s="190" t="s">
        <v>95</v>
      </c>
      <c r="G16" s="190" t="s">
        <v>96</v>
      </c>
      <c r="H16" s="190" t="s">
        <v>146</v>
      </c>
      <c r="I16" s="190" t="s">
        <v>147</v>
      </c>
      <c r="J16" s="190" t="s">
        <v>147</v>
      </c>
      <c r="K16" s="191"/>
      <c r="L16" s="190">
        <v>-3.0</v>
      </c>
      <c r="M16" s="190"/>
      <c r="N16" s="190">
        <v>11.740983333333334</v>
      </c>
      <c r="O16" s="190" t="s">
        <v>99</v>
      </c>
      <c r="P16" s="190" t="s">
        <v>148</v>
      </c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</row>
    <row r="17">
      <c r="A17" s="190" t="s">
        <v>84</v>
      </c>
      <c r="B17" s="190" t="s">
        <v>85</v>
      </c>
      <c r="C17" s="192">
        <v>98.0</v>
      </c>
      <c r="D17" s="190">
        <v>0.0</v>
      </c>
      <c r="E17" s="191"/>
      <c r="F17" s="190" t="s">
        <v>102</v>
      </c>
      <c r="G17" s="190" t="s">
        <v>103</v>
      </c>
      <c r="H17" s="190" t="s">
        <v>149</v>
      </c>
      <c r="I17" s="190" t="s">
        <v>150</v>
      </c>
      <c r="J17" s="190" t="s">
        <v>150</v>
      </c>
      <c r="K17" s="191"/>
      <c r="L17" s="190">
        <v>0.0</v>
      </c>
      <c r="M17" s="190"/>
      <c r="N17" s="190">
        <v>5.622466666666667</v>
      </c>
      <c r="O17" s="190" t="s">
        <v>92</v>
      </c>
      <c r="P17" s="190" t="s">
        <v>151</v>
      </c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</row>
    <row r="18">
      <c r="A18" s="190" t="s">
        <v>101</v>
      </c>
      <c r="B18" s="190" t="s">
        <v>85</v>
      </c>
      <c r="C18" s="190">
        <v>296.0</v>
      </c>
      <c r="D18" s="190">
        <v>12.0</v>
      </c>
      <c r="E18" s="190" t="s">
        <v>53</v>
      </c>
      <c r="F18" s="190" t="s">
        <v>86</v>
      </c>
      <c r="G18" s="190" t="s">
        <v>87</v>
      </c>
      <c r="H18" s="190" t="s">
        <v>152</v>
      </c>
      <c r="I18" s="190" t="s">
        <v>153</v>
      </c>
      <c r="J18" s="190" t="s">
        <v>154</v>
      </c>
      <c r="K18" s="190" t="s">
        <v>155</v>
      </c>
      <c r="L18" s="190">
        <v>1.0</v>
      </c>
      <c r="M18" s="190">
        <v>3.9423833333333334</v>
      </c>
      <c r="N18" s="190">
        <v>8.794466666666667</v>
      </c>
      <c r="O18" s="190" t="s">
        <v>106</v>
      </c>
      <c r="P18" s="190" t="s">
        <v>156</v>
      </c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</row>
    <row r="19">
      <c r="A19" s="190" t="s">
        <v>84</v>
      </c>
      <c r="B19" s="190" t="s">
        <v>85</v>
      </c>
      <c r="C19" s="192">
        <v>318.0</v>
      </c>
      <c r="D19" s="190">
        <v>0.0</v>
      </c>
      <c r="E19" s="191"/>
      <c r="F19" s="190" t="s">
        <v>102</v>
      </c>
      <c r="G19" s="190" t="s">
        <v>87</v>
      </c>
      <c r="H19" s="190" t="s">
        <v>157</v>
      </c>
      <c r="I19" s="190" t="s">
        <v>158</v>
      </c>
      <c r="J19" s="190" t="s">
        <v>158</v>
      </c>
      <c r="K19" s="191"/>
      <c r="L19" s="190">
        <v>3.0</v>
      </c>
      <c r="M19" s="190"/>
      <c r="N19" s="190">
        <v>8.607383333333333</v>
      </c>
      <c r="O19" s="190" t="s">
        <v>92</v>
      </c>
      <c r="P19" s="190" t="s">
        <v>159</v>
      </c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</row>
    <row r="20">
      <c r="A20" s="190" t="s">
        <v>94</v>
      </c>
      <c r="B20" s="190" t="s">
        <v>85</v>
      </c>
      <c r="C20" s="190">
        <v>308.0</v>
      </c>
      <c r="D20" s="190">
        <v>100.0</v>
      </c>
      <c r="E20" s="191"/>
      <c r="F20" s="190" t="s">
        <v>95</v>
      </c>
      <c r="G20" s="190" t="s">
        <v>96</v>
      </c>
      <c r="H20" s="190" t="s">
        <v>160</v>
      </c>
      <c r="I20" s="190" t="s">
        <v>161</v>
      </c>
      <c r="J20" s="190" t="s">
        <v>161</v>
      </c>
      <c r="K20" s="191"/>
      <c r="L20" s="190">
        <v>-4.0</v>
      </c>
      <c r="M20" s="190"/>
      <c r="N20" s="190">
        <v>10.371833333333333</v>
      </c>
      <c r="O20" s="190" t="s">
        <v>99</v>
      </c>
      <c r="P20" s="190" t="s">
        <v>162</v>
      </c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</row>
    <row r="21">
      <c r="A21" s="190" t="s">
        <v>114</v>
      </c>
      <c r="B21" s="190" t="s">
        <v>85</v>
      </c>
      <c r="C21" s="192">
        <v>349.0</v>
      </c>
      <c r="D21" s="190">
        <v>0.0</v>
      </c>
      <c r="E21" s="190" t="s">
        <v>163</v>
      </c>
      <c r="F21" s="190" t="s">
        <v>95</v>
      </c>
      <c r="G21" s="190" t="s">
        <v>96</v>
      </c>
      <c r="H21" s="190" t="s">
        <v>164</v>
      </c>
      <c r="I21" s="190" t="s">
        <v>165</v>
      </c>
      <c r="J21" s="190" t="s">
        <v>165</v>
      </c>
      <c r="K21" s="191"/>
      <c r="L21" s="190">
        <v>-2.0</v>
      </c>
      <c r="M21" s="190"/>
      <c r="N21" s="190">
        <v>12.332816666666666</v>
      </c>
      <c r="O21" s="190" t="s">
        <v>118</v>
      </c>
      <c r="P21" s="190" t="s">
        <v>166</v>
      </c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</row>
    <row r="22">
      <c r="A22" s="190" t="s">
        <v>84</v>
      </c>
      <c r="B22" s="190" t="s">
        <v>85</v>
      </c>
      <c r="C22" s="190">
        <v>369.0</v>
      </c>
      <c r="D22" s="190">
        <v>0.0</v>
      </c>
      <c r="E22" s="191"/>
      <c r="F22" s="190" t="s">
        <v>102</v>
      </c>
      <c r="G22" s="190" t="s">
        <v>87</v>
      </c>
      <c r="H22" s="190" t="s">
        <v>167</v>
      </c>
      <c r="I22" s="190" t="s">
        <v>168</v>
      </c>
      <c r="J22" s="190" t="s">
        <v>168</v>
      </c>
      <c r="K22" s="191"/>
      <c r="L22" s="190">
        <v>4.0</v>
      </c>
      <c r="M22" s="190"/>
      <c r="N22" s="190">
        <v>9.554266666666667</v>
      </c>
      <c r="O22" s="190" t="s">
        <v>92</v>
      </c>
      <c r="P22" s="190" t="s">
        <v>169</v>
      </c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</row>
    <row r="23">
      <c r="A23" s="190" t="s">
        <v>84</v>
      </c>
      <c r="B23" s="190" t="s">
        <v>85</v>
      </c>
      <c r="C23" s="190">
        <v>50.0</v>
      </c>
      <c r="D23" s="190">
        <v>5.0</v>
      </c>
      <c r="E23" s="191"/>
      <c r="F23" s="190" t="s">
        <v>102</v>
      </c>
      <c r="G23" s="190" t="s">
        <v>87</v>
      </c>
      <c r="H23" s="190" t="s">
        <v>170</v>
      </c>
      <c r="I23" s="190" t="s">
        <v>171</v>
      </c>
      <c r="J23" s="190" t="s">
        <v>171</v>
      </c>
      <c r="K23" s="191"/>
      <c r="L23" s="190">
        <v>-4.0</v>
      </c>
      <c r="M23" s="190"/>
      <c r="N23" s="190">
        <v>0.4723333333333333</v>
      </c>
      <c r="O23" s="190" t="s">
        <v>92</v>
      </c>
      <c r="P23" s="190" t="s">
        <v>172</v>
      </c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</row>
    <row r="24">
      <c r="A24" s="190" t="s">
        <v>84</v>
      </c>
      <c r="B24" s="190" t="s">
        <v>85</v>
      </c>
      <c r="C24" s="190">
        <v>39.0</v>
      </c>
      <c r="D24" s="190">
        <v>0.0</v>
      </c>
      <c r="E24" s="191"/>
      <c r="F24" s="190" t="s">
        <v>102</v>
      </c>
      <c r="G24" s="190" t="s">
        <v>103</v>
      </c>
      <c r="H24" s="190" t="s">
        <v>173</v>
      </c>
      <c r="I24" s="190" t="s">
        <v>174</v>
      </c>
      <c r="J24" s="190" t="s">
        <v>174</v>
      </c>
      <c r="K24" s="191"/>
      <c r="L24" s="190">
        <v>-4.0</v>
      </c>
      <c r="M24" s="190"/>
      <c r="N24" s="190">
        <v>0.09011666666666666</v>
      </c>
      <c r="O24" s="190" t="s">
        <v>92</v>
      </c>
      <c r="P24" s="190" t="s">
        <v>175</v>
      </c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</row>
    <row r="25">
      <c r="A25" s="190" t="s">
        <v>84</v>
      </c>
      <c r="B25" s="190" t="s">
        <v>85</v>
      </c>
      <c r="C25" s="190">
        <v>49.0</v>
      </c>
      <c r="D25" s="190">
        <v>0.0</v>
      </c>
      <c r="E25" s="191"/>
      <c r="F25" s="190" t="s">
        <v>102</v>
      </c>
      <c r="G25" s="190" t="s">
        <v>87</v>
      </c>
      <c r="H25" s="190" t="s">
        <v>176</v>
      </c>
      <c r="I25" s="190" t="s">
        <v>177</v>
      </c>
      <c r="J25" s="190" t="s">
        <v>177</v>
      </c>
      <c r="K25" s="191"/>
      <c r="L25" s="190">
        <v>0.0</v>
      </c>
      <c r="M25" s="190"/>
      <c r="N25" s="190">
        <v>5.135583333333333</v>
      </c>
      <c r="O25" s="190" t="s">
        <v>92</v>
      </c>
      <c r="P25" s="190" t="s">
        <v>178</v>
      </c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</row>
    <row r="26">
      <c r="A26" s="190" t="s">
        <v>84</v>
      </c>
      <c r="B26" s="190" t="s">
        <v>85</v>
      </c>
      <c r="C26" s="190">
        <v>78.0</v>
      </c>
      <c r="D26" s="190">
        <v>0.0</v>
      </c>
      <c r="E26" s="191"/>
      <c r="F26" s="190" t="s">
        <v>102</v>
      </c>
      <c r="G26" s="190" t="s">
        <v>103</v>
      </c>
      <c r="H26" s="190" t="s">
        <v>179</v>
      </c>
      <c r="I26" s="190" t="s">
        <v>180</v>
      </c>
      <c r="J26" s="190" t="s">
        <v>180</v>
      </c>
      <c r="K26" s="191"/>
      <c r="L26" s="190">
        <v>-4.0</v>
      </c>
      <c r="M26" s="190"/>
      <c r="N26" s="190">
        <v>0.5178666666666667</v>
      </c>
      <c r="O26" s="190" t="s">
        <v>92</v>
      </c>
      <c r="P26" s="190" t="s">
        <v>181</v>
      </c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</row>
    <row r="27">
      <c r="A27" s="190" t="s">
        <v>101</v>
      </c>
      <c r="B27" s="190" t="s">
        <v>85</v>
      </c>
      <c r="C27" s="192">
        <v>232.0</v>
      </c>
      <c r="D27" s="190">
        <v>86.0</v>
      </c>
      <c r="E27" s="191"/>
      <c r="F27" s="190" t="s">
        <v>102</v>
      </c>
      <c r="G27" s="190" t="s">
        <v>96</v>
      </c>
      <c r="H27" s="190" t="s">
        <v>182</v>
      </c>
      <c r="I27" s="190" t="s">
        <v>183</v>
      </c>
      <c r="J27" s="190" t="s">
        <v>183</v>
      </c>
      <c r="K27" s="191"/>
      <c r="L27" s="190">
        <v>-8.0</v>
      </c>
      <c r="M27" s="190"/>
      <c r="N27" s="190">
        <v>10.992766666666666</v>
      </c>
      <c r="O27" s="190" t="s">
        <v>106</v>
      </c>
      <c r="P27" s="190" t="s">
        <v>184</v>
      </c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E27" s="191"/>
      <c r="AF27" s="191"/>
    </row>
    <row r="28">
      <c r="A28" s="190" t="s">
        <v>114</v>
      </c>
      <c r="B28" s="190" t="s">
        <v>85</v>
      </c>
      <c r="C28" s="192">
        <v>349.0</v>
      </c>
      <c r="D28" s="190">
        <v>0.0</v>
      </c>
      <c r="E28" s="190" t="s">
        <v>185</v>
      </c>
      <c r="F28" s="190" t="s">
        <v>95</v>
      </c>
      <c r="G28" s="190" t="s">
        <v>96</v>
      </c>
      <c r="H28" s="190" t="s">
        <v>186</v>
      </c>
      <c r="I28" s="190" t="s">
        <v>187</v>
      </c>
      <c r="J28" s="190" t="s">
        <v>187</v>
      </c>
      <c r="K28" s="191"/>
      <c r="L28" s="190">
        <v>-4.0</v>
      </c>
      <c r="M28" s="190"/>
      <c r="N28" s="190">
        <v>10.121816666666666</v>
      </c>
      <c r="O28" s="190" t="s">
        <v>118</v>
      </c>
      <c r="P28" s="190" t="s">
        <v>188</v>
      </c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</row>
    <row r="29">
      <c r="A29" s="190" t="s">
        <v>84</v>
      </c>
      <c r="B29" s="190" t="s">
        <v>85</v>
      </c>
      <c r="C29" s="192">
        <v>130.0</v>
      </c>
      <c r="D29" s="190">
        <v>0.0</v>
      </c>
      <c r="E29" s="191"/>
      <c r="F29" s="190" t="s">
        <v>102</v>
      </c>
      <c r="G29" s="190" t="s">
        <v>103</v>
      </c>
      <c r="H29" s="190" t="s">
        <v>189</v>
      </c>
      <c r="I29" s="190" t="s">
        <v>190</v>
      </c>
      <c r="J29" s="190" t="s">
        <v>190</v>
      </c>
      <c r="K29" s="191"/>
      <c r="L29" s="190">
        <v>-1.0</v>
      </c>
      <c r="M29" s="190"/>
      <c r="N29" s="190">
        <v>3.3438333333333334</v>
      </c>
      <c r="O29" s="190" t="s">
        <v>92</v>
      </c>
      <c r="P29" s="190" t="s">
        <v>191</v>
      </c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</row>
    <row r="30">
      <c r="A30" s="190" t="s">
        <v>94</v>
      </c>
      <c r="B30" s="190" t="s">
        <v>85</v>
      </c>
      <c r="C30" s="192">
        <v>249.0</v>
      </c>
      <c r="D30" s="190">
        <v>50.0</v>
      </c>
      <c r="E30" s="191"/>
      <c r="F30" s="190" t="s">
        <v>95</v>
      </c>
      <c r="G30" s="190" t="s">
        <v>87</v>
      </c>
      <c r="H30" s="190" t="s">
        <v>192</v>
      </c>
      <c r="I30" s="190" t="s">
        <v>193</v>
      </c>
      <c r="J30" s="190" t="s">
        <v>193</v>
      </c>
      <c r="K30" s="191"/>
      <c r="L30" s="190">
        <v>-7.0</v>
      </c>
      <c r="M30" s="190"/>
      <c r="N30" s="190">
        <v>7.174066666666667</v>
      </c>
      <c r="O30" s="190" t="s">
        <v>99</v>
      </c>
      <c r="P30" s="190" t="s">
        <v>194</v>
      </c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</row>
    <row r="31">
      <c r="A31" s="190" t="s">
        <v>101</v>
      </c>
      <c r="B31" s="190" t="s">
        <v>85</v>
      </c>
      <c r="C31" s="190">
        <v>359.0</v>
      </c>
      <c r="D31" s="190">
        <v>0.0</v>
      </c>
      <c r="E31" s="190" t="s">
        <v>50</v>
      </c>
      <c r="F31" s="190" t="s">
        <v>86</v>
      </c>
      <c r="G31" s="190" t="s">
        <v>96</v>
      </c>
      <c r="H31" s="190" t="s">
        <v>195</v>
      </c>
      <c r="I31" s="190" t="s">
        <v>196</v>
      </c>
      <c r="J31" s="190" t="s">
        <v>197</v>
      </c>
      <c r="K31" s="190" t="s">
        <v>198</v>
      </c>
      <c r="L31" s="190">
        <v>-12.0</v>
      </c>
      <c r="M31" s="190">
        <v>1.9471</v>
      </c>
      <c r="N31" s="190">
        <v>8.69255</v>
      </c>
      <c r="O31" s="190" t="s">
        <v>106</v>
      </c>
      <c r="P31" s="190" t="s">
        <v>199</v>
      </c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</row>
    <row r="32">
      <c r="A32" s="191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</row>
    <row r="33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</row>
    <row r="34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</row>
    <row r="35">
      <c r="A35" s="191"/>
      <c r="B35" s="191"/>
      <c r="C35" s="193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</row>
    <row r="36">
      <c r="A36" s="191"/>
      <c r="B36" s="191"/>
      <c r="C36" s="193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</row>
    <row r="37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</row>
    <row r="38">
      <c r="A38" s="191"/>
      <c r="B38" s="191"/>
      <c r="C38" s="193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</row>
    <row r="39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</row>
    <row r="40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</row>
    <row r="41">
      <c r="A41" s="191"/>
      <c r="B41" s="191"/>
      <c r="C41" s="193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</row>
    <row r="42">
      <c r="A42" s="191"/>
      <c r="B42" s="191"/>
      <c r="C42" s="193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</row>
    <row r="43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</row>
    <row r="44">
      <c r="A44" s="191"/>
      <c r="B44" s="191"/>
      <c r="C44" s="193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</row>
    <row r="45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</row>
    <row r="46">
      <c r="A46" s="191"/>
      <c r="B46" s="191"/>
      <c r="C46" s="193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</row>
    <row r="47">
      <c r="A47" s="191"/>
      <c r="B47" s="191"/>
      <c r="C47" s="193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</row>
    <row r="48">
      <c r="A48" s="191"/>
      <c r="B48" s="191"/>
      <c r="C48" s="193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</row>
    <row r="49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</row>
    <row r="50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</row>
    <row r="51">
      <c r="A51" s="191"/>
      <c r="B51" s="193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</row>
    <row r="52">
      <c r="A52" s="191"/>
      <c r="B52" s="191"/>
      <c r="C52" s="193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</row>
    <row r="53">
      <c r="A53" s="191"/>
      <c r="B53" s="191"/>
      <c r="C53" s="193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</row>
    <row r="54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</row>
    <row r="55">
      <c r="A55" s="191"/>
      <c r="B55" s="191"/>
      <c r="C55" s="193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</row>
    <row r="56">
      <c r="A56" s="191"/>
      <c r="B56" s="191"/>
      <c r="C56" s="193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</row>
    <row r="57">
      <c r="A57" s="191"/>
      <c r="B57" s="191"/>
      <c r="C57" s="193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</row>
    <row r="58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</row>
    <row r="59">
      <c r="A59" s="191"/>
      <c r="B59" s="191"/>
      <c r="C59" s="193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</row>
    <row r="60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</row>
    <row r="61">
      <c r="A61" s="191"/>
      <c r="B61" s="191"/>
      <c r="C61" s="193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</row>
    <row r="62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</row>
    <row r="63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</row>
    <row r="64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</row>
    <row r="65">
      <c r="A65" s="191"/>
      <c r="B65" s="191"/>
      <c r="C65" s="193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</row>
    <row r="66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</row>
    <row r="67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</row>
    <row r="68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</row>
    <row r="69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</row>
    <row r="70">
      <c r="A70" s="191"/>
      <c r="B70" s="191"/>
      <c r="C70" s="193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</row>
    <row r="7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</row>
    <row r="72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</row>
    <row r="73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</row>
    <row r="74">
      <c r="A74" s="191"/>
      <c r="B74" s="193"/>
      <c r="C74" s="193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</row>
    <row r="75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</row>
    <row r="76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</row>
    <row r="77">
      <c r="A77" s="191"/>
      <c r="B77" s="191"/>
      <c r="C77" s="193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</row>
    <row r="78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</row>
    <row r="79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</row>
    <row r="80">
      <c r="A80" s="191"/>
      <c r="B80" s="191"/>
      <c r="C80" s="193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</row>
    <row r="8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</row>
    <row r="82">
      <c r="A82" s="191"/>
      <c r="B82" s="191"/>
      <c r="C82" s="193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</row>
    <row r="83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</row>
    <row r="84">
      <c r="A84" s="191"/>
      <c r="B84" s="191"/>
      <c r="C84" s="193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</row>
    <row r="85">
      <c r="A85" s="191"/>
      <c r="B85" s="191"/>
      <c r="C85" s="193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</row>
    <row r="86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</row>
    <row r="87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</row>
    <row r="88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</row>
    <row r="89">
      <c r="A89" s="191"/>
      <c r="B89" s="191"/>
      <c r="C89" s="193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</row>
    <row r="90">
      <c r="A90" s="191"/>
      <c r="B90" s="191"/>
      <c r="C90" s="193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</row>
    <row r="9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</row>
    <row r="92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</row>
    <row r="93">
      <c r="A93" s="191"/>
      <c r="B93" s="191"/>
      <c r="C93" s="193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</row>
    <row r="94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</row>
    <row r="9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</row>
    <row r="96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</row>
    <row r="97">
      <c r="A97" s="191"/>
      <c r="B97" s="191"/>
      <c r="C97" s="193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</row>
    <row r="98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</row>
    <row r="99">
      <c r="A99" s="191"/>
      <c r="B99" s="191"/>
      <c r="C99" s="193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</row>
    <row r="100">
      <c r="A100" s="191"/>
      <c r="B100" s="191"/>
      <c r="C100" s="193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</row>
    <row r="101">
      <c r="A101" s="191"/>
      <c r="B101" s="191"/>
      <c r="C101" s="193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</row>
    <row r="102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</row>
    <row r="103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</row>
    <row r="104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</row>
    <row r="10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</row>
    <row r="106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</row>
    <row r="107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</row>
    <row r="108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</row>
    <row r="109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</row>
    <row r="110">
      <c r="A110" s="191"/>
      <c r="B110" s="191"/>
      <c r="C110" s="193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</row>
    <row r="111">
      <c r="A111" s="191"/>
      <c r="B111" s="191"/>
      <c r="C111" s="193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</row>
    <row r="112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</row>
    <row r="113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</row>
    <row r="114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</row>
    <row r="115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</row>
    <row r="116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E116" s="191"/>
      <c r="AF116" s="191"/>
    </row>
    <row r="117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E117" s="191"/>
      <c r="AF117" s="191"/>
    </row>
    <row r="118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</row>
    <row r="119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</row>
    <row r="120">
      <c r="A120" s="191"/>
      <c r="B120" s="191"/>
      <c r="C120" s="193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</row>
    <row r="12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</row>
    <row r="122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</row>
    <row r="123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E123" s="191"/>
      <c r="AF123" s="191"/>
    </row>
    <row r="124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</row>
    <row r="125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</row>
    <row r="126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</row>
    <row r="127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</row>
    <row r="128">
      <c r="A128" s="191"/>
      <c r="B128" s="193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E128" s="191"/>
      <c r="AF128" s="191"/>
    </row>
    <row r="129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</row>
    <row r="130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E130" s="191"/>
      <c r="AF130" s="191"/>
    </row>
    <row r="13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</row>
    <row r="132">
      <c r="A132" s="191"/>
      <c r="B132" s="191"/>
      <c r="C132" s="193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E132" s="191"/>
      <c r="AF132" s="191"/>
    </row>
    <row r="133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</row>
    <row r="134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</row>
    <row r="135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E135" s="191"/>
      <c r="AF135" s="191"/>
    </row>
    <row r="136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</row>
    <row r="137">
      <c r="A137" s="191"/>
      <c r="B137" s="191"/>
      <c r="C137" s="193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</row>
    <row r="138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</row>
    <row r="139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</row>
    <row r="140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E140" s="191"/>
      <c r="AF140" s="191"/>
    </row>
    <row r="14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</row>
    <row r="142">
      <c r="A142" s="191"/>
      <c r="B142" s="191"/>
      <c r="C142" s="193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</row>
    <row r="143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</row>
    <row r="144">
      <c r="A144" s="191"/>
      <c r="B144" s="191"/>
      <c r="C144" s="193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E144" s="191"/>
      <c r="AF144" s="191"/>
    </row>
    <row r="145">
      <c r="A145" s="191"/>
      <c r="B145" s="191"/>
      <c r="C145" s="193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</row>
    <row r="146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</row>
    <row r="147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</row>
    <row r="148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</row>
    <row r="149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E149" s="191"/>
      <c r="AF149" s="191"/>
    </row>
    <row r="150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</row>
    <row r="15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</row>
    <row r="152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E152" s="191"/>
      <c r="AF152" s="191"/>
    </row>
    <row r="153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E153" s="191"/>
      <c r="AF153" s="191"/>
    </row>
    <row r="154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</row>
    <row r="155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E155" s="191"/>
      <c r="AF155" s="191"/>
    </row>
    <row r="156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E156" s="191"/>
      <c r="AF156" s="191"/>
    </row>
    <row r="157">
      <c r="A157" s="191"/>
      <c r="B157" s="191"/>
      <c r="C157" s="193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E157" s="191"/>
      <c r="AF157" s="191"/>
    </row>
    <row r="158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E158" s="191"/>
      <c r="AF158" s="191"/>
    </row>
    <row r="159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</row>
    <row r="160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E160" s="191"/>
      <c r="AF160" s="191"/>
    </row>
    <row r="161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</row>
    <row r="162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</row>
    <row r="163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</row>
    <row r="164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</row>
    <row r="165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E165" s="191"/>
      <c r="AF165" s="191"/>
    </row>
    <row r="166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</row>
    <row r="167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1"/>
    </row>
    <row r="168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</row>
    <row r="169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E169" s="191"/>
      <c r="AF169" s="191"/>
    </row>
    <row r="170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</row>
    <row r="171">
      <c r="A171" s="191"/>
      <c r="B171" s="191"/>
      <c r="C171" s="193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E171" s="191"/>
      <c r="AF171" s="191"/>
    </row>
    <row r="172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</row>
    <row r="173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E173" s="191"/>
      <c r="AF173" s="191"/>
    </row>
    <row r="174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E174" s="191"/>
      <c r="AF174" s="191"/>
    </row>
    <row r="175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E175" s="191"/>
      <c r="AF175" s="191"/>
    </row>
    <row r="176">
      <c r="A176" s="191"/>
      <c r="B176" s="191"/>
      <c r="C176" s="193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E176" s="191"/>
      <c r="AF176" s="191"/>
    </row>
    <row r="177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E177" s="191"/>
      <c r="AF177" s="191"/>
    </row>
    <row r="178">
      <c r="A178" s="191"/>
      <c r="B178" s="191"/>
      <c r="C178" s="193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E178" s="191"/>
      <c r="AF178" s="191"/>
    </row>
    <row r="179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E179" s="191"/>
      <c r="AF179" s="191"/>
    </row>
    <row r="180">
      <c r="A180" s="191"/>
      <c r="B180" s="191"/>
      <c r="C180" s="193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</row>
    <row r="181">
      <c r="A181" s="191"/>
      <c r="B181" s="191"/>
      <c r="C181" s="193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</row>
    <row r="182">
      <c r="A182" s="191"/>
      <c r="B182" s="191"/>
      <c r="C182" s="193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E182" s="191"/>
      <c r="AF182" s="191"/>
    </row>
    <row r="183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</row>
    <row r="184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</row>
    <row r="185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</row>
    <row r="186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E186" s="191"/>
      <c r="AF186" s="191"/>
    </row>
    <row r="187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</row>
    <row r="188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E188" s="191"/>
      <c r="AF188" s="191"/>
    </row>
    <row r="189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E189" s="191"/>
      <c r="AF189" s="191"/>
    </row>
    <row r="190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</row>
    <row r="191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E191" s="191"/>
      <c r="AF191" s="191"/>
    </row>
    <row r="192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E192" s="191"/>
      <c r="AF192" s="191"/>
    </row>
    <row r="193">
      <c r="A193" s="191"/>
      <c r="B193" s="191"/>
      <c r="C193" s="193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E193" s="191"/>
      <c r="AF193" s="191"/>
    </row>
    <row r="194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E194" s="191"/>
      <c r="AF194" s="191"/>
    </row>
    <row r="195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</row>
    <row r="196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E196" s="191"/>
    </row>
    <row r="197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E197" s="191"/>
    </row>
    <row r="198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E198" s="191"/>
    </row>
    <row r="199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</row>
    <row r="200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</row>
    <row r="202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</row>
    <row r="203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</row>
    <row r="204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</row>
    <row r="205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</row>
    <row r="206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</row>
    <row r="207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</row>
    <row r="208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</row>
    <row r="209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</row>
    <row r="210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</row>
    <row r="21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</row>
    <row r="212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</row>
    <row r="213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</row>
    <row r="214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</row>
    <row r="216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</row>
    <row r="217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  <c r="AC217" s="191"/>
    </row>
    <row r="218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</row>
    <row r="219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  <c r="AB219" s="191"/>
      <c r="AC219" s="191"/>
    </row>
    <row r="220">
      <c r="A220" s="191"/>
      <c r="B220" s="191"/>
      <c r="C220" s="193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</row>
    <row r="22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  <c r="AA221" s="191"/>
      <c r="AB221" s="191"/>
      <c r="AC221" s="191"/>
    </row>
    <row r="222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  <c r="AB222" s="191"/>
      <c r="AC222" s="191"/>
    </row>
    <row r="223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  <c r="AB223" s="191"/>
      <c r="AC223" s="191"/>
    </row>
    <row r="224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  <c r="AA224" s="191"/>
      <c r="AB224" s="191"/>
      <c r="AC224" s="191"/>
    </row>
    <row r="225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</row>
    <row r="226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  <c r="AA226" s="191"/>
      <c r="AB226" s="191"/>
      <c r="AC226" s="191"/>
    </row>
    <row r="227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</row>
    <row r="228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  <c r="AC228" s="191"/>
    </row>
    <row r="229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</row>
    <row r="230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  <c r="AA230" s="191"/>
      <c r="AB230" s="191"/>
      <c r="AC230" s="191"/>
    </row>
    <row r="23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</row>
    <row r="232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  <c r="AA232" s="191"/>
      <c r="AB232" s="191"/>
      <c r="AC232" s="191"/>
    </row>
    <row r="233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/>
    </row>
    <row r="234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  <c r="AC234" s="191"/>
    </row>
    <row r="235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</row>
    <row r="236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</row>
    <row r="237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</row>
    <row r="238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</row>
    <row r="240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  <c r="AB240" s="191"/>
      <c r="AC240" s="191"/>
    </row>
    <row r="24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</row>
    <row r="242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  <c r="AA242" s="191"/>
      <c r="AB242" s="191"/>
      <c r="AC242" s="191"/>
    </row>
    <row r="243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</row>
    <row r="244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</row>
    <row r="245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</row>
    <row r="246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</row>
    <row r="248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</row>
    <row r="249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</row>
    <row r="250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</row>
    <row r="25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</row>
    <row r="253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</row>
    <row r="254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</row>
    <row r="255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</row>
    <row r="256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  <c r="AA256" s="191"/>
      <c r="AB256" s="191"/>
      <c r="AC256" s="191"/>
    </row>
    <row r="257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  <c r="AA257" s="191"/>
      <c r="AB257" s="191"/>
      <c r="AC257" s="191"/>
    </row>
    <row r="258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  <c r="AA258" s="191"/>
      <c r="AB258" s="191"/>
      <c r="AC258" s="191"/>
    </row>
    <row r="259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</row>
    <row r="260">
      <c r="A260" s="191"/>
      <c r="B260" s="191"/>
      <c r="C260" s="193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  <c r="AA260" s="191"/>
      <c r="AB260" s="191"/>
      <c r="AC260" s="191"/>
    </row>
    <row r="26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</row>
    <row r="262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  <c r="AA262" s="191"/>
      <c r="AB262" s="191"/>
      <c r="AC262" s="191"/>
    </row>
    <row r="263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</row>
    <row r="264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  <c r="AA264" s="191"/>
      <c r="AB264" s="191"/>
      <c r="AC264" s="191"/>
    </row>
    <row r="265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</row>
    <row r="266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</row>
    <row r="267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  <c r="AA267" s="191"/>
      <c r="AB267" s="191"/>
      <c r="AC267" s="191"/>
    </row>
    <row r="268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</row>
    <row r="269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  <c r="AA269" s="191"/>
      <c r="AB269" s="191"/>
      <c r="AC269" s="191"/>
    </row>
    <row r="270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S270" s="191"/>
      <c r="T270" s="191"/>
      <c r="U270" s="191"/>
      <c r="V270" s="191"/>
      <c r="W270" s="191"/>
      <c r="X270" s="191"/>
      <c r="Y270" s="191"/>
      <c r="Z270" s="191"/>
      <c r="AB270" s="191"/>
      <c r="AC270" s="191"/>
    </row>
    <row r="27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  <c r="AA271" s="191"/>
      <c r="AB271" s="191"/>
      <c r="AC271" s="191"/>
    </row>
    <row r="272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</row>
    <row r="273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</row>
    <row r="274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</row>
    <row r="275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</row>
    <row r="276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  <c r="AA276" s="191"/>
      <c r="AB276" s="191"/>
      <c r="AC276" s="191"/>
    </row>
    <row r="277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  <c r="AA277" s="191"/>
      <c r="AB277" s="191"/>
      <c r="AC277" s="191"/>
    </row>
    <row r="278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</row>
    <row r="279">
      <c r="A279" s="191"/>
      <c r="B279" s="191"/>
      <c r="C279" s="193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  <c r="AA279" s="191"/>
      <c r="AB279" s="191"/>
      <c r="AC279" s="191"/>
    </row>
    <row r="280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  <c r="AA281" s="191"/>
      <c r="AB281" s="191"/>
      <c r="AC281" s="191"/>
    </row>
    <row r="282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</row>
    <row r="283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  <c r="AA283" s="191"/>
      <c r="AB283" s="191"/>
      <c r="AC283" s="191"/>
    </row>
    <row r="284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  <c r="AA284" s="191"/>
      <c r="AB284" s="191"/>
      <c r="AC284" s="191"/>
    </row>
    <row r="285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</row>
    <row r="286">
      <c r="A286" s="191"/>
      <c r="B286" s="191"/>
      <c r="C286" s="193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</row>
    <row r="287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S287" s="191"/>
      <c r="T287" s="191"/>
      <c r="U287" s="191"/>
      <c r="V287" s="191"/>
      <c r="W287" s="191"/>
      <c r="X287" s="191"/>
      <c r="Y287" s="191"/>
      <c r="Z287" s="191"/>
      <c r="AB287" s="191"/>
      <c r="AC287" s="191"/>
    </row>
    <row r="288">
      <c r="A288" s="191"/>
      <c r="B288" s="191"/>
      <c r="C288" s="193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S288" s="191"/>
      <c r="T288" s="191"/>
      <c r="U288" s="191"/>
      <c r="V288" s="191"/>
      <c r="W288" s="191"/>
      <c r="X288" s="191"/>
      <c r="Y288" s="191"/>
      <c r="Z288" s="191"/>
      <c r="AB288" s="191"/>
      <c r="AC288" s="191"/>
    </row>
    <row r="289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</row>
    <row r="290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</row>
    <row r="29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S291" s="191"/>
      <c r="T291" s="191"/>
      <c r="U291" s="191"/>
      <c r="V291" s="191"/>
      <c r="W291" s="191"/>
      <c r="X291" s="191"/>
      <c r="Y291" s="191"/>
      <c r="Z291" s="191"/>
      <c r="AB291" s="191"/>
      <c r="AC291" s="191"/>
    </row>
    <row r="292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S292" s="191"/>
      <c r="T292" s="191"/>
      <c r="U292" s="191"/>
      <c r="V292" s="191"/>
      <c r="W292" s="191"/>
      <c r="X292" s="191"/>
      <c r="Y292" s="191"/>
      <c r="Z292" s="191"/>
      <c r="AB292" s="191"/>
      <c r="AC292" s="191"/>
    </row>
    <row r="293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  <c r="AA293" s="191"/>
      <c r="AB293" s="191"/>
      <c r="AC293" s="191"/>
    </row>
    <row r="294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  <c r="AA294" s="191"/>
      <c r="AB294" s="191"/>
      <c r="AC294" s="191"/>
    </row>
    <row r="295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  <c r="AA295" s="191"/>
      <c r="AB295" s="191"/>
      <c r="AC295" s="191"/>
    </row>
    <row r="296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  <c r="AA296" s="191"/>
      <c r="AB296" s="191"/>
      <c r="AC296" s="191"/>
    </row>
    <row r="297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  <c r="AA297" s="191"/>
      <c r="AB297" s="191"/>
      <c r="AC297" s="191"/>
    </row>
    <row r="298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S298" s="191"/>
      <c r="T298" s="191"/>
      <c r="U298" s="191"/>
      <c r="V298" s="191"/>
      <c r="W298" s="191"/>
      <c r="X298" s="191"/>
      <c r="Y298" s="191"/>
      <c r="Z298" s="191"/>
      <c r="AB298" s="191"/>
      <c r="AC298" s="191"/>
    </row>
    <row r="299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O299" s="191"/>
      <c r="P299" s="191"/>
      <c r="Q299" s="191"/>
      <c r="S299" s="191"/>
      <c r="T299" s="191"/>
      <c r="U299" s="191"/>
      <c r="V299" s="191"/>
      <c r="W299" s="191"/>
      <c r="X299" s="191"/>
      <c r="Y299" s="191"/>
      <c r="Z299" s="191"/>
      <c r="AB299" s="191"/>
      <c r="AC299" s="191"/>
    </row>
    <row r="300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  <c r="AA300" s="191"/>
      <c r="AB300" s="191"/>
      <c r="AC300" s="191"/>
    </row>
    <row r="30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S301" s="191"/>
      <c r="T301" s="191"/>
      <c r="U301" s="191"/>
      <c r="V301" s="191"/>
      <c r="W301" s="191"/>
      <c r="X301" s="191"/>
      <c r="Y301" s="191"/>
      <c r="Z301" s="191"/>
      <c r="AB301" s="191"/>
      <c r="AC301" s="191"/>
    </row>
    <row r="302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  <c r="AA302" s="191"/>
      <c r="AB302" s="191"/>
      <c r="AC302" s="191"/>
    </row>
    <row r="303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S303" s="191"/>
      <c r="T303" s="191"/>
      <c r="U303" s="191"/>
      <c r="V303" s="191"/>
      <c r="W303" s="191"/>
      <c r="X303" s="191"/>
      <c r="Y303" s="191"/>
      <c r="Z303" s="191"/>
      <c r="AB303" s="191"/>
      <c r="AC303" s="191"/>
    </row>
    <row r="304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  <c r="AA304" s="191"/>
      <c r="AB304" s="191"/>
      <c r="AC304" s="191"/>
    </row>
    <row r="305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S305" s="191"/>
      <c r="T305" s="191"/>
      <c r="U305" s="191"/>
      <c r="V305" s="191"/>
      <c r="W305" s="191"/>
      <c r="X305" s="191"/>
      <c r="Y305" s="191"/>
      <c r="Z305" s="191"/>
      <c r="AB305" s="191"/>
      <c r="AC305" s="191"/>
    </row>
    <row r="306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  <c r="AA306" s="191"/>
      <c r="AB306" s="191"/>
      <c r="AC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  <c r="AA307" s="191"/>
      <c r="AB307" s="191"/>
      <c r="AC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  <c r="AA308" s="191"/>
      <c r="AB308" s="191"/>
      <c r="AC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S309" s="191"/>
      <c r="T309" s="191"/>
      <c r="U309" s="191"/>
      <c r="V309" s="191"/>
      <c r="W309" s="191"/>
      <c r="X309" s="191"/>
      <c r="Y309" s="191"/>
      <c r="Z309" s="191"/>
      <c r="AB309" s="191"/>
      <c r="AC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  <c r="AA310" s="191"/>
      <c r="AB310" s="191"/>
      <c r="AC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S311" s="191"/>
      <c r="T311" s="191"/>
      <c r="U311" s="191"/>
      <c r="V311" s="191"/>
      <c r="W311" s="191"/>
      <c r="X311" s="191"/>
      <c r="Y311" s="191"/>
      <c r="Z311" s="191"/>
      <c r="AB311" s="191"/>
      <c r="AC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S312" s="191"/>
      <c r="T312" s="191"/>
      <c r="U312" s="191"/>
      <c r="V312" s="191"/>
      <c r="W312" s="191"/>
      <c r="X312" s="191"/>
      <c r="Y312" s="191"/>
      <c r="Z312" s="191"/>
      <c r="AB312" s="191"/>
      <c r="AC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  <c r="AA313" s="191"/>
      <c r="AB313" s="191"/>
      <c r="AC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  <c r="AA314" s="191"/>
      <c r="AB314" s="191"/>
      <c r="AC314" s="191"/>
    </row>
    <row r="315">
      <c r="A315" s="191"/>
      <c r="B315" s="191"/>
      <c r="C315" s="193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  <c r="AA315" s="191"/>
      <c r="AB315" s="191"/>
      <c r="AC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S316" s="191"/>
      <c r="T316" s="191"/>
      <c r="U316" s="191"/>
      <c r="V316" s="191"/>
      <c r="W316" s="191"/>
      <c r="X316" s="191"/>
      <c r="Y316" s="191"/>
      <c r="Z316" s="191"/>
      <c r="AB316" s="191"/>
      <c r="AC316" s="191"/>
      <c r="AD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  <c r="AA317" s="191"/>
      <c r="AB317" s="191"/>
      <c r="AC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S318" s="191"/>
      <c r="T318" s="191"/>
      <c r="U318" s="191"/>
      <c r="V318" s="191"/>
      <c r="W318" s="191"/>
      <c r="X318" s="191"/>
      <c r="Y318" s="191"/>
      <c r="Z318" s="191"/>
      <c r="AB318" s="191"/>
      <c r="AC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  <c r="AA319" s="191"/>
      <c r="AB319" s="191"/>
      <c r="AC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  <c r="AA320" s="191"/>
      <c r="AB320" s="191"/>
      <c r="AC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S321" s="191"/>
      <c r="T321" s="191"/>
      <c r="U321" s="191"/>
      <c r="V321" s="191"/>
      <c r="W321" s="191"/>
      <c r="X321" s="191"/>
      <c r="Y321" s="191"/>
      <c r="Z321" s="191"/>
      <c r="AB321" s="191"/>
      <c r="AC321" s="191"/>
      <c r="AD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O322" s="191"/>
      <c r="P322" s="191"/>
      <c r="Q322" s="191"/>
      <c r="S322" s="191"/>
      <c r="T322" s="191"/>
      <c r="U322" s="191"/>
      <c r="V322" s="191"/>
      <c r="W322" s="191"/>
      <c r="X322" s="191"/>
      <c r="Y322" s="191"/>
      <c r="Z322" s="191"/>
      <c r="AB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O323" s="191"/>
      <c r="P323" s="191"/>
      <c r="Q323" s="191"/>
      <c r="S323" s="191"/>
      <c r="T323" s="191"/>
      <c r="U323" s="191"/>
      <c r="V323" s="191"/>
      <c r="W323" s="191"/>
      <c r="X323" s="191"/>
      <c r="Y323" s="191"/>
      <c r="Z323" s="191"/>
      <c r="AB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O324" s="191"/>
      <c r="P324" s="191"/>
      <c r="Q324" s="191"/>
      <c r="S324" s="191"/>
      <c r="T324" s="191"/>
      <c r="U324" s="191"/>
      <c r="V324" s="191"/>
      <c r="W324" s="191"/>
      <c r="X324" s="191"/>
      <c r="Y324" s="191"/>
      <c r="Z324" s="191"/>
      <c r="AB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  <c r="AA325" s="191"/>
      <c r="AB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  <c r="AA326" s="191"/>
      <c r="AB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O327" s="191"/>
      <c r="P327" s="191"/>
      <c r="Q327" s="191"/>
      <c r="S327" s="191"/>
      <c r="T327" s="191"/>
      <c r="U327" s="191"/>
      <c r="V327" s="191"/>
      <c r="W327" s="191"/>
      <c r="X327" s="191"/>
      <c r="Y327" s="191"/>
      <c r="Z327" s="191"/>
      <c r="AB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S328" s="191"/>
      <c r="T328" s="191"/>
      <c r="U328" s="191"/>
      <c r="V328" s="191"/>
      <c r="W328" s="191"/>
      <c r="X328" s="191"/>
      <c r="Y328" s="191"/>
      <c r="Z328" s="191"/>
      <c r="AB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S329" s="191"/>
      <c r="T329" s="191"/>
      <c r="U329" s="191"/>
      <c r="V329" s="191"/>
      <c r="W329" s="191"/>
      <c r="X329" s="191"/>
      <c r="Y329" s="191"/>
      <c r="Z329" s="191"/>
      <c r="AB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S330" s="191"/>
      <c r="T330" s="191"/>
      <c r="U330" s="191"/>
      <c r="V330" s="191"/>
      <c r="W330" s="191"/>
      <c r="X330" s="191"/>
      <c r="Y330" s="191"/>
      <c r="Z330" s="191"/>
      <c r="AB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  <c r="AA331" s="191"/>
      <c r="AB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  <c r="AB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  <c r="AA333" s="191"/>
      <c r="AB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O334" s="191"/>
      <c r="P334" s="191"/>
      <c r="Q334" s="191"/>
      <c r="S334" s="191"/>
      <c r="T334" s="191"/>
      <c r="U334" s="191"/>
      <c r="V334" s="191"/>
      <c r="W334" s="191"/>
      <c r="X334" s="191"/>
      <c r="Y334" s="191"/>
      <c r="Z334" s="191"/>
      <c r="AB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O335" s="191"/>
      <c r="P335" s="191"/>
      <c r="Q335" s="191"/>
      <c r="S335" s="191"/>
      <c r="T335" s="191"/>
      <c r="U335" s="191"/>
      <c r="V335" s="191"/>
      <c r="W335" s="191"/>
      <c r="X335" s="191"/>
      <c r="Y335" s="191"/>
      <c r="Z335" s="191"/>
      <c r="AB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  <c r="AA336" s="191"/>
      <c r="AB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O337" s="191"/>
      <c r="P337" s="191"/>
      <c r="Q337" s="191"/>
      <c r="S337" s="191"/>
      <c r="T337" s="191"/>
      <c r="U337" s="191"/>
      <c r="V337" s="191"/>
      <c r="W337" s="191"/>
      <c r="X337" s="191"/>
      <c r="Y337" s="191"/>
      <c r="Z337" s="191"/>
      <c r="AB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S338" s="191"/>
      <c r="T338" s="191"/>
      <c r="U338" s="191"/>
      <c r="V338" s="191"/>
      <c r="W338" s="191"/>
      <c r="X338" s="191"/>
      <c r="Y338" s="191"/>
      <c r="Z338" s="191"/>
      <c r="AB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S339" s="191"/>
      <c r="T339" s="191"/>
      <c r="U339" s="191"/>
      <c r="V339" s="191"/>
      <c r="W339" s="191"/>
      <c r="X339" s="191"/>
      <c r="Y339" s="191"/>
      <c r="Z339" s="191"/>
      <c r="AB339" s="191"/>
    </row>
    <row r="340">
      <c r="A340" s="191"/>
      <c r="B340" s="191"/>
      <c r="C340" s="193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O340" s="191"/>
      <c r="P340" s="191"/>
      <c r="Q340" s="191"/>
      <c r="S340" s="191"/>
      <c r="T340" s="191"/>
      <c r="U340" s="191"/>
      <c r="V340" s="191"/>
      <c r="W340" s="191"/>
      <c r="X340" s="191"/>
      <c r="Y340" s="191"/>
      <c r="Z340" s="191"/>
      <c r="AB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O341" s="191"/>
      <c r="P341" s="191"/>
      <c r="Q341" s="191"/>
      <c r="S341" s="191"/>
      <c r="T341" s="191"/>
      <c r="U341" s="191"/>
      <c r="V341" s="191"/>
      <c r="W341" s="191"/>
      <c r="X341" s="191"/>
      <c r="Y341" s="191"/>
      <c r="Z341" s="191"/>
      <c r="AB341" s="191"/>
    </row>
    <row r="342">
      <c r="A342" s="191"/>
      <c r="B342" s="191"/>
      <c r="C342" s="193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O342" s="191"/>
      <c r="P342" s="191"/>
      <c r="Q342" s="191"/>
      <c r="S342" s="191"/>
      <c r="T342" s="191"/>
      <c r="U342" s="191"/>
      <c r="V342" s="191"/>
      <c r="W342" s="191"/>
      <c r="X342" s="191"/>
      <c r="Y342" s="191"/>
      <c r="Z342" s="191"/>
      <c r="AB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O343" s="191"/>
      <c r="P343" s="191"/>
      <c r="Q343" s="191"/>
      <c r="S343" s="191"/>
      <c r="T343" s="191"/>
      <c r="U343" s="191"/>
      <c r="V343" s="191"/>
      <c r="W343" s="191"/>
      <c r="X343" s="191"/>
      <c r="Y343" s="191"/>
      <c r="Z343" s="191"/>
      <c r="AB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O344" s="191"/>
      <c r="P344" s="191"/>
      <c r="Q344" s="191"/>
      <c r="S344" s="191"/>
      <c r="T344" s="191"/>
      <c r="U344" s="191"/>
      <c r="V344" s="191"/>
      <c r="W344" s="191"/>
      <c r="X344" s="191"/>
      <c r="Y344" s="191"/>
      <c r="Z344" s="191"/>
      <c r="AB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O345" s="191"/>
      <c r="P345" s="191"/>
      <c r="Q345" s="191"/>
      <c r="S345" s="191"/>
      <c r="T345" s="191"/>
      <c r="U345" s="191"/>
      <c r="V345" s="191"/>
      <c r="W345" s="191"/>
      <c r="X345" s="191"/>
      <c r="Y345" s="191"/>
      <c r="Z345" s="191"/>
      <c r="AB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O346" s="191"/>
      <c r="P346" s="191"/>
      <c r="Q346" s="191"/>
      <c r="S346" s="191"/>
      <c r="T346" s="191"/>
      <c r="U346" s="191"/>
      <c r="V346" s="191"/>
      <c r="W346" s="191"/>
      <c r="X346" s="191"/>
      <c r="Y346" s="191"/>
      <c r="Z346" s="191"/>
      <c r="AB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O347" s="191"/>
      <c r="P347" s="191"/>
      <c r="Q347" s="191"/>
      <c r="S347" s="191"/>
      <c r="T347" s="191"/>
      <c r="U347" s="191"/>
      <c r="V347" s="191"/>
      <c r="W347" s="191"/>
      <c r="X347" s="191"/>
      <c r="Y347" s="191"/>
      <c r="Z347" s="191"/>
      <c r="AB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O348" s="191"/>
      <c r="P348" s="191"/>
      <c r="Q348" s="191"/>
      <c r="S348" s="191"/>
      <c r="T348" s="191"/>
      <c r="U348" s="191"/>
      <c r="V348" s="191"/>
      <c r="W348" s="191"/>
      <c r="X348" s="191"/>
      <c r="Y348" s="191"/>
      <c r="Z348" s="191"/>
      <c r="AB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  <c r="AA349" s="191"/>
      <c r="AB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O350" s="191"/>
      <c r="P350" s="191"/>
      <c r="Q350" s="191"/>
      <c r="S350" s="191"/>
      <c r="T350" s="191"/>
      <c r="U350" s="191"/>
      <c r="V350" s="191"/>
      <c r="W350" s="191"/>
      <c r="X350" s="191"/>
      <c r="Y350" s="191"/>
      <c r="Z350" s="191"/>
      <c r="AB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  <c r="AA351" s="191"/>
      <c r="AB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O352" s="191"/>
      <c r="P352" s="191"/>
      <c r="Q352" s="191"/>
      <c r="S352" s="191"/>
      <c r="T352" s="191"/>
      <c r="U352" s="191"/>
      <c r="V352" s="191"/>
      <c r="W352" s="191"/>
      <c r="X352" s="191"/>
      <c r="Y352" s="191"/>
      <c r="Z352" s="191"/>
      <c r="AB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  <c r="AA353" s="191"/>
      <c r="AB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S354" s="191"/>
      <c r="T354" s="191"/>
      <c r="U354" s="191"/>
      <c r="V354" s="191"/>
      <c r="W354" s="191"/>
      <c r="X354" s="191"/>
      <c r="Y354" s="191"/>
      <c r="Z354" s="191"/>
      <c r="AB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O355" s="191"/>
      <c r="P355" s="191"/>
      <c r="Q355" s="191"/>
      <c r="S355" s="191"/>
      <c r="T355" s="191"/>
      <c r="U355" s="191"/>
      <c r="V355" s="191"/>
      <c r="W355" s="191"/>
      <c r="X355" s="191"/>
      <c r="Y355" s="191"/>
      <c r="Z355" s="191"/>
      <c r="AB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O356" s="191"/>
      <c r="P356" s="191"/>
      <c r="Q356" s="191"/>
      <c r="S356" s="191"/>
      <c r="T356" s="191"/>
      <c r="U356" s="191"/>
      <c r="V356" s="191"/>
      <c r="W356" s="191"/>
      <c r="X356" s="191"/>
      <c r="Y356" s="191"/>
      <c r="Z356" s="191"/>
      <c r="AB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  <c r="AA357" s="191"/>
      <c r="AB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O358" s="191"/>
      <c r="P358" s="191"/>
      <c r="Q358" s="191"/>
      <c r="S358" s="191"/>
      <c r="T358" s="191"/>
      <c r="U358" s="191"/>
      <c r="V358" s="191"/>
      <c r="W358" s="191"/>
      <c r="X358" s="191"/>
      <c r="Y358" s="191"/>
      <c r="Z358" s="191"/>
      <c r="AB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O359" s="191"/>
      <c r="P359" s="191"/>
      <c r="Q359" s="191"/>
      <c r="S359" s="191"/>
      <c r="T359" s="191"/>
      <c r="U359" s="191"/>
      <c r="V359" s="191"/>
      <c r="W359" s="191"/>
      <c r="X359" s="191"/>
      <c r="Y359" s="191"/>
      <c r="Z359" s="191"/>
      <c r="AB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S360" s="191"/>
      <c r="T360" s="191"/>
      <c r="U360" s="191"/>
      <c r="V360" s="191"/>
      <c r="W360" s="191"/>
      <c r="X360" s="191"/>
      <c r="Y360" s="191"/>
      <c r="Z360" s="191"/>
      <c r="AB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O361" s="191"/>
      <c r="P361" s="191"/>
      <c r="Q361" s="191"/>
      <c r="S361" s="191"/>
      <c r="T361" s="191"/>
      <c r="U361" s="191"/>
      <c r="V361" s="191"/>
      <c r="W361" s="191"/>
      <c r="X361" s="191"/>
      <c r="Y361" s="191"/>
      <c r="Z361" s="191"/>
      <c r="AB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  <c r="AA362" s="191"/>
      <c r="AB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O363" s="191"/>
      <c r="P363" s="191"/>
      <c r="Q363" s="191"/>
      <c r="S363" s="191"/>
      <c r="T363" s="191"/>
      <c r="U363" s="191"/>
      <c r="V363" s="191"/>
      <c r="W363" s="191"/>
      <c r="X363" s="191"/>
      <c r="Y363" s="191"/>
      <c r="Z363" s="191"/>
      <c r="AB363" s="191"/>
    </row>
    <row r="368">
      <c r="C368" s="193"/>
    </row>
    <row r="403">
      <c r="C403" s="193"/>
    </row>
    <row r="414">
      <c r="C414" s="193"/>
    </row>
    <row r="431">
      <c r="C431" s="193"/>
    </row>
    <row r="438">
      <c r="C438" s="193"/>
    </row>
    <row r="443">
      <c r="C443" s="193"/>
    </row>
    <row r="476">
      <c r="C476" s="193"/>
    </row>
    <row r="478">
      <c r="C478" s="193"/>
    </row>
    <row r="584">
      <c r="C584" s="193"/>
    </row>
    <row r="676">
      <c r="C676" s="193"/>
    </row>
    <row r="689">
      <c r="C689" s="193"/>
    </row>
    <row r="725">
      <c r="C725" s="193"/>
    </row>
    <row r="733">
      <c r="C733" s="193"/>
    </row>
    <row r="737">
      <c r="C737" s="193"/>
    </row>
    <row r="797">
      <c r="C797" s="193"/>
    </row>
    <row r="860">
      <c r="C860" s="193"/>
    </row>
    <row r="883">
      <c r="S883" s="193"/>
    </row>
    <row r="884">
      <c r="S884" s="193"/>
    </row>
    <row r="885">
      <c r="S885" s="193"/>
    </row>
    <row r="889">
      <c r="S889" s="193"/>
    </row>
    <row r="890">
      <c r="S890" s="193"/>
    </row>
    <row r="891">
      <c r="S891" s="193"/>
    </row>
    <row r="894">
      <c r="S894" s="193"/>
    </row>
    <row r="896">
      <c r="S896" s="193"/>
    </row>
    <row r="899">
      <c r="S899" s="193"/>
    </row>
    <row r="900">
      <c r="S900" s="193"/>
    </row>
    <row r="901">
      <c r="S901" s="193"/>
    </row>
    <row r="902">
      <c r="S902" s="193"/>
    </row>
    <row r="903">
      <c r="S903" s="193"/>
    </row>
    <row r="904">
      <c r="S904" s="193"/>
    </row>
    <row r="906">
      <c r="S906" s="193"/>
    </row>
    <row r="907">
      <c r="S907" s="193"/>
    </row>
    <row r="909">
      <c r="S909" s="193"/>
    </row>
    <row r="910">
      <c r="S910" s="193"/>
    </row>
    <row r="912">
      <c r="S912" s="193"/>
    </row>
    <row r="913">
      <c r="S913" s="193"/>
    </row>
    <row r="914">
      <c r="S914" s="193"/>
    </row>
    <row r="915">
      <c r="S915" s="193"/>
    </row>
    <row r="916">
      <c r="S916" s="193"/>
    </row>
    <row r="917">
      <c r="S917" s="193"/>
    </row>
    <row r="919">
      <c r="S919" s="193"/>
    </row>
    <row r="920">
      <c r="S920" s="193"/>
    </row>
    <row r="921">
      <c r="S921" s="193"/>
    </row>
    <row r="922">
      <c r="S922" s="193"/>
    </row>
    <row r="923">
      <c r="S923" s="193"/>
    </row>
    <row r="924">
      <c r="S924" s="193"/>
    </row>
    <row r="925">
      <c r="S925" s="193"/>
    </row>
    <row r="927">
      <c r="S927" s="193"/>
    </row>
    <row r="929">
      <c r="S929" s="193"/>
    </row>
    <row r="930">
      <c r="S930" s="193"/>
    </row>
    <row r="932">
      <c r="S932" s="193"/>
    </row>
    <row r="933">
      <c r="S933" s="193"/>
    </row>
    <row r="934">
      <c r="S934" s="193"/>
    </row>
    <row r="935">
      <c r="S935" s="193"/>
    </row>
    <row r="936">
      <c r="S936" s="193"/>
    </row>
    <row r="938">
      <c r="S938" s="193"/>
    </row>
    <row r="939">
      <c r="S939" s="193"/>
    </row>
    <row r="940">
      <c r="C940" s="193"/>
      <c r="S940" s="193"/>
    </row>
    <row r="941">
      <c r="S941" s="193"/>
    </row>
    <row r="942">
      <c r="S942" s="193"/>
    </row>
    <row r="943">
      <c r="S943" s="193"/>
    </row>
    <row r="944">
      <c r="S944" s="193"/>
    </row>
    <row r="945">
      <c r="S945" s="193"/>
    </row>
    <row r="947">
      <c r="S947" s="193"/>
    </row>
    <row r="948">
      <c r="S948" s="193"/>
    </row>
    <row r="949">
      <c r="S949" s="193"/>
    </row>
    <row r="950">
      <c r="S950" s="193"/>
    </row>
    <row r="951">
      <c r="S951" s="193"/>
    </row>
    <row r="953">
      <c r="S953" s="193"/>
    </row>
    <row r="956">
      <c r="S956" s="193"/>
    </row>
    <row r="958">
      <c r="S958" s="193"/>
    </row>
    <row r="960">
      <c r="S960" s="193"/>
    </row>
    <row r="961">
      <c r="S961" s="193"/>
    </row>
    <row r="962">
      <c r="C962" s="193"/>
      <c r="S962" s="193"/>
    </row>
    <row r="965">
      <c r="S965" s="193"/>
    </row>
    <row r="967">
      <c r="S967" s="193"/>
    </row>
    <row r="968">
      <c r="S968" s="193"/>
    </row>
    <row r="970">
      <c r="S970" s="193"/>
    </row>
    <row r="971">
      <c r="S971" s="193"/>
    </row>
    <row r="973">
      <c r="S973" s="193"/>
    </row>
    <row r="975">
      <c r="S975" s="193"/>
    </row>
    <row r="976">
      <c r="S976" s="193"/>
    </row>
    <row r="977">
      <c r="S977" s="193"/>
    </row>
    <row r="979">
      <c r="S979" s="193"/>
    </row>
    <row r="980">
      <c r="S980" s="193"/>
    </row>
    <row r="981">
      <c r="S981" s="193"/>
    </row>
    <row r="982">
      <c r="S982" s="193"/>
    </row>
    <row r="983">
      <c r="S983" s="193"/>
    </row>
    <row r="985">
      <c r="S985" s="193"/>
    </row>
    <row r="986">
      <c r="S986" s="193"/>
    </row>
    <row r="987">
      <c r="S987" s="193"/>
    </row>
    <row r="989">
      <c r="S989" s="193"/>
    </row>
    <row r="990">
      <c r="S990" s="193"/>
    </row>
    <row r="991">
      <c r="S991" s="193"/>
    </row>
    <row r="992">
      <c r="S992" s="193"/>
    </row>
    <row r="993">
      <c r="C993" s="193"/>
    </row>
    <row r="995">
      <c r="S995" s="193"/>
    </row>
    <row r="996">
      <c r="S996" s="193"/>
    </row>
    <row r="997">
      <c r="S997" s="193"/>
    </row>
    <row r="999">
      <c r="S999" s="193"/>
    </row>
    <row r="1000">
      <c r="S1000" s="193"/>
    </row>
    <row r="1001">
      <c r="S1001" s="193"/>
    </row>
    <row r="1003">
      <c r="S1003" s="193"/>
    </row>
    <row r="1004">
      <c r="S1004" s="193"/>
    </row>
    <row r="1005">
      <c r="S1005" s="193"/>
    </row>
    <row r="1006">
      <c r="S1006" s="193"/>
    </row>
    <row r="1007">
      <c r="S1007" s="193"/>
    </row>
    <row r="1008">
      <c r="S1008" s="193"/>
    </row>
    <row r="1009">
      <c r="S1009" s="193"/>
    </row>
    <row r="1010">
      <c r="S1010" s="193"/>
    </row>
    <row r="1014">
      <c r="S1014" s="193"/>
    </row>
    <row r="1015">
      <c r="S1015" s="193"/>
    </row>
    <row r="1016">
      <c r="S1016" s="193"/>
    </row>
    <row r="1018">
      <c r="S1018" s="193"/>
    </row>
    <row r="1019">
      <c r="S1019" s="193"/>
    </row>
    <row r="1020">
      <c r="S1020" s="193"/>
    </row>
    <row r="1021">
      <c r="S1021" s="193"/>
    </row>
    <row r="1022">
      <c r="S1022" s="193"/>
    </row>
    <row r="1023">
      <c r="S1023" s="193"/>
    </row>
    <row r="1024">
      <c r="S1024" s="193"/>
    </row>
    <row r="1025">
      <c r="S1025" s="193"/>
    </row>
    <row r="1027">
      <c r="S1027" s="193"/>
    </row>
    <row r="1028">
      <c r="S1028" s="193"/>
    </row>
    <row r="1029">
      <c r="S1029" s="193"/>
    </row>
    <row r="1031">
      <c r="S1031" s="193"/>
    </row>
    <row r="1032">
      <c r="S1032" s="193"/>
    </row>
    <row r="1034">
      <c r="S1034" s="193"/>
    </row>
    <row r="1035">
      <c r="S1035" s="193"/>
    </row>
    <row r="1036">
      <c r="S1036" s="193"/>
    </row>
    <row r="1037">
      <c r="S1037" s="193"/>
    </row>
    <row r="1038">
      <c r="S1038" s="193"/>
    </row>
    <row r="1039">
      <c r="S1039" s="193"/>
    </row>
    <row r="1040">
      <c r="S1040" s="193"/>
    </row>
    <row r="1041">
      <c r="S1041" s="193"/>
    </row>
    <row r="1043">
      <c r="S1043" s="193"/>
    </row>
    <row r="1044">
      <c r="S1044" s="193"/>
    </row>
    <row r="1045">
      <c r="S1045" s="193"/>
    </row>
    <row r="1047">
      <c r="S1047" s="193"/>
    </row>
    <row r="1048">
      <c r="S1048" s="193"/>
    </row>
    <row r="1050">
      <c r="S1050" s="193"/>
    </row>
    <row r="1051">
      <c r="S1051" s="193"/>
    </row>
    <row r="1052">
      <c r="S1052" s="193"/>
    </row>
    <row r="1053">
      <c r="S1053" s="193"/>
    </row>
    <row r="1054">
      <c r="S1054" s="193"/>
    </row>
    <row r="1055">
      <c r="S1055" s="193"/>
    </row>
    <row r="1056">
      <c r="S1056" s="193"/>
    </row>
    <row r="1058">
      <c r="S1058" s="193"/>
    </row>
    <row r="1060">
      <c r="S1060" s="193"/>
    </row>
    <row r="1062">
      <c r="S1062" s="193"/>
    </row>
    <row r="1065">
      <c r="S1065" s="193"/>
    </row>
    <row r="1066">
      <c r="S1066" s="193"/>
    </row>
    <row r="1067">
      <c r="S1067" s="193"/>
    </row>
    <row r="1068">
      <c r="S1068" s="193"/>
    </row>
    <row r="1069">
      <c r="S1069" s="193"/>
    </row>
    <row r="1071">
      <c r="S1071" s="193"/>
    </row>
    <row r="1072">
      <c r="C1072" s="193"/>
      <c r="S1072" s="193"/>
    </row>
    <row r="1073">
      <c r="C1073" s="193"/>
    </row>
    <row r="1074">
      <c r="S1074" s="193"/>
    </row>
    <row r="1075">
      <c r="S1075" s="193"/>
    </row>
    <row r="1076">
      <c r="S1076" s="193"/>
    </row>
    <row r="1077">
      <c r="S1077" s="193"/>
    </row>
    <row r="1078">
      <c r="S1078" s="193"/>
    </row>
    <row r="1079">
      <c r="S1079" s="193"/>
    </row>
    <row r="1080">
      <c r="S1080" s="193"/>
    </row>
    <row r="1081">
      <c r="S1081" s="193"/>
    </row>
    <row r="1083">
      <c r="S1083" s="193"/>
    </row>
    <row r="1084">
      <c r="S1084" s="193"/>
    </row>
    <row r="1087">
      <c r="S1087" s="193"/>
    </row>
    <row r="1088">
      <c r="S1088" s="193"/>
    </row>
    <row r="1090">
      <c r="S1090" s="193"/>
    </row>
    <row r="1091">
      <c r="S1091" s="193"/>
    </row>
    <row r="1095">
      <c r="S1095" s="193"/>
    </row>
    <row r="1096">
      <c r="S1096" s="193"/>
    </row>
    <row r="1097">
      <c r="S1097" s="193"/>
    </row>
    <row r="1099">
      <c r="S1099" s="193"/>
    </row>
    <row r="1101">
      <c r="S1101" s="193"/>
    </row>
    <row r="1102">
      <c r="S1102" s="193"/>
    </row>
    <row r="1103">
      <c r="S1103" s="193"/>
    </row>
    <row r="1104">
      <c r="C1104" s="193"/>
      <c r="S1104" s="193"/>
    </row>
    <row r="1105">
      <c r="S1105" s="193"/>
    </row>
    <row r="1106">
      <c r="S1106" s="193"/>
    </row>
    <row r="1107">
      <c r="S1107" s="193"/>
    </row>
    <row r="1109">
      <c r="S1109" s="193"/>
    </row>
    <row r="1110">
      <c r="S1110" s="193"/>
    </row>
    <row r="1111">
      <c r="S1111" s="193"/>
    </row>
    <row r="1112">
      <c r="S1112" s="193"/>
    </row>
    <row r="1113">
      <c r="S1113" s="193"/>
    </row>
    <row r="1114">
      <c r="S1114" s="193"/>
    </row>
    <row r="1115">
      <c r="S1115" s="193"/>
    </row>
    <row r="1116">
      <c r="S1116" s="193"/>
    </row>
    <row r="1117">
      <c r="S1117" s="193"/>
    </row>
    <row r="1119">
      <c r="S1119" s="193"/>
    </row>
    <row r="1120">
      <c r="S1120" s="193"/>
    </row>
    <row r="1121">
      <c r="S1121" s="193"/>
    </row>
    <row r="1122">
      <c r="S1122" s="193"/>
    </row>
    <row r="1124">
      <c r="S1124" s="193"/>
    </row>
    <row r="1125">
      <c r="S1125" s="193"/>
    </row>
    <row r="1126">
      <c r="S1126" s="193"/>
    </row>
    <row r="1127">
      <c r="S1127" s="193"/>
    </row>
    <row r="1129">
      <c r="S1129" s="193"/>
    </row>
    <row r="1130">
      <c r="S1130" s="193"/>
    </row>
    <row r="1132">
      <c r="S1132" s="193"/>
    </row>
    <row r="1133">
      <c r="S1133" s="193"/>
    </row>
    <row r="1134">
      <c r="S1134" s="193"/>
    </row>
    <row r="1135">
      <c r="S1135" s="193"/>
    </row>
    <row r="1137">
      <c r="S1137" s="193"/>
    </row>
    <row r="1139">
      <c r="S1139" s="193"/>
    </row>
    <row r="1142">
      <c r="C1142" s="193"/>
      <c r="S1142" s="193"/>
    </row>
    <row r="1143">
      <c r="C1143" s="193"/>
    </row>
    <row r="1145">
      <c r="S1145" s="193"/>
    </row>
    <row r="1146">
      <c r="S1146" s="193"/>
    </row>
    <row r="1147">
      <c r="S1147" s="193"/>
    </row>
    <row r="1148">
      <c r="S1148" s="193"/>
    </row>
    <row r="1152">
      <c r="S1152" s="193"/>
    </row>
    <row r="1153">
      <c r="S1153" s="193"/>
    </row>
    <row r="1154">
      <c r="S1154" s="193"/>
    </row>
    <row r="1155">
      <c r="S1155" s="193"/>
    </row>
    <row r="1157">
      <c r="S1157" s="193"/>
    </row>
    <row r="1158">
      <c r="S1158" s="193"/>
    </row>
    <row r="1159">
      <c r="S1159" s="193"/>
    </row>
    <row r="1161">
      <c r="S1161" s="193"/>
    </row>
    <row r="1162">
      <c r="S1162" s="193"/>
    </row>
    <row r="1163">
      <c r="S1163" s="193"/>
    </row>
    <row r="1164">
      <c r="S1164" s="193"/>
    </row>
    <row r="1165">
      <c r="S1165" s="193"/>
    </row>
    <row r="1166">
      <c r="S1166" s="193"/>
    </row>
    <row r="1167">
      <c r="S1167" s="193"/>
    </row>
    <row r="1168">
      <c r="S1168" s="193"/>
    </row>
    <row r="1169">
      <c r="S1169" s="193"/>
    </row>
    <row r="1170">
      <c r="S1170" s="193"/>
    </row>
    <row r="1171">
      <c r="S1171" s="193"/>
    </row>
    <row r="1172">
      <c r="S1172" s="193"/>
    </row>
    <row r="1173">
      <c r="S1173" s="193"/>
    </row>
    <row r="1174">
      <c r="S1174" s="193"/>
    </row>
    <row r="1175">
      <c r="S1175" s="193"/>
    </row>
    <row r="1176">
      <c r="S1176" s="193"/>
    </row>
    <row r="1177">
      <c r="S1177" s="193"/>
    </row>
    <row r="1178">
      <c r="S1178" s="193"/>
    </row>
    <row r="1180">
      <c r="C1180" s="193"/>
      <c r="S1180" s="193"/>
    </row>
    <row r="1181">
      <c r="C1181" s="193"/>
    </row>
    <row r="1182">
      <c r="C1182" s="193"/>
      <c r="S1182" s="193"/>
    </row>
    <row r="1183">
      <c r="C1183" s="193"/>
    </row>
    <row r="1184">
      <c r="S1184" s="193"/>
    </row>
    <row r="1185">
      <c r="S1185" s="193"/>
    </row>
    <row r="1186">
      <c r="S1186" s="193"/>
    </row>
    <row r="1189">
      <c r="S1189" s="193"/>
    </row>
    <row r="1190">
      <c r="S1190" s="193"/>
    </row>
    <row r="1192">
      <c r="S1192" s="193"/>
    </row>
    <row r="1193">
      <c r="S1193" s="193"/>
    </row>
    <row r="1194">
      <c r="S1194" s="193"/>
    </row>
    <row r="1196">
      <c r="S1196" s="193"/>
    </row>
    <row r="1197">
      <c r="S1197" s="193"/>
    </row>
    <row r="1198">
      <c r="S1198" s="193"/>
    </row>
    <row r="1200">
      <c r="S1200" s="193"/>
    </row>
    <row r="1201">
      <c r="S1201" s="193"/>
    </row>
    <row r="1202">
      <c r="S1202" s="193"/>
    </row>
    <row r="1203">
      <c r="S1203" s="193"/>
    </row>
    <row r="1209">
      <c r="S1209" s="193"/>
    </row>
    <row r="1210">
      <c r="S1210" s="193"/>
    </row>
    <row r="1211">
      <c r="S1211" s="193"/>
    </row>
    <row r="1213">
      <c r="S1213" s="193"/>
    </row>
    <row r="1214">
      <c r="S1214" s="193"/>
    </row>
    <row r="1215">
      <c r="S1215" s="193"/>
    </row>
    <row r="1216">
      <c r="S1216" s="193"/>
    </row>
    <row r="1217">
      <c r="S1217" s="193"/>
    </row>
    <row r="1218">
      <c r="S1218" s="193"/>
    </row>
    <row r="1219">
      <c r="S1219" s="193"/>
    </row>
    <row r="1220">
      <c r="S1220" s="193"/>
    </row>
    <row r="1222">
      <c r="S1222" s="193"/>
    </row>
    <row r="1224">
      <c r="S1224" s="193"/>
    </row>
    <row r="1225">
      <c r="S1225" s="193"/>
    </row>
    <row r="1226">
      <c r="S1226" s="193"/>
    </row>
    <row r="1227">
      <c r="S1227" s="193"/>
    </row>
    <row r="1228">
      <c r="S1228" s="193"/>
    </row>
    <row r="1229">
      <c r="S1229" s="193"/>
    </row>
    <row r="1230">
      <c r="S1230" s="193"/>
    </row>
    <row r="1231">
      <c r="S1231" s="193"/>
    </row>
    <row r="1232">
      <c r="S1232" s="193"/>
    </row>
    <row r="1233">
      <c r="S1233" s="193"/>
    </row>
    <row r="1234">
      <c r="S1234" s="193"/>
    </row>
    <row r="1235">
      <c r="S1235" s="193"/>
    </row>
    <row r="1237">
      <c r="S1237" s="193"/>
    </row>
    <row r="1239">
      <c r="S1239" s="193"/>
    </row>
    <row r="1240">
      <c r="S1240" s="193"/>
    </row>
    <row r="1243">
      <c r="S1243" s="193"/>
    </row>
    <row r="1244">
      <c r="S1244" s="193"/>
    </row>
    <row r="1245">
      <c r="S1245" s="193"/>
    </row>
    <row r="1246">
      <c r="S1246" s="193"/>
    </row>
    <row r="1247">
      <c r="S1247" s="193"/>
    </row>
    <row r="1248">
      <c r="C1248" s="193"/>
    </row>
    <row r="1251">
      <c r="S1251" s="193"/>
    </row>
    <row r="1253">
      <c r="S1253" s="193"/>
    </row>
    <row r="1254">
      <c r="S1254" s="193"/>
    </row>
    <row r="1255">
      <c r="S1255" s="193"/>
    </row>
    <row r="1256">
      <c r="S1256" s="193"/>
    </row>
    <row r="1258">
      <c r="S1258" s="193"/>
    </row>
    <row r="1259">
      <c r="S1259" s="193"/>
    </row>
    <row r="1260">
      <c r="S1260" s="193"/>
    </row>
    <row r="1261">
      <c r="S1261" s="193"/>
    </row>
    <row r="1262">
      <c r="S1262" s="193"/>
    </row>
    <row r="1264">
      <c r="S1264" s="193"/>
    </row>
    <row r="1265">
      <c r="S1265" s="193"/>
    </row>
    <row r="1267">
      <c r="S1267" s="193"/>
    </row>
    <row r="1268">
      <c r="S1268" s="193"/>
    </row>
    <row r="1269">
      <c r="S1269" s="193"/>
    </row>
    <row r="1270">
      <c r="S1270" s="193"/>
    </row>
    <row r="1272">
      <c r="S1272" s="193"/>
    </row>
    <row r="1273">
      <c r="S1273" s="193"/>
    </row>
    <row r="1275">
      <c r="S1275" s="193"/>
    </row>
    <row r="1277">
      <c r="S1277" s="193"/>
    </row>
    <row r="1278">
      <c r="S1278" s="193"/>
    </row>
    <row r="1279">
      <c r="S1279" s="193"/>
    </row>
    <row r="1280">
      <c r="S1280" s="193"/>
    </row>
    <row r="1281">
      <c r="S1281" s="193"/>
    </row>
    <row r="1285">
      <c r="S1285" s="193"/>
    </row>
    <row r="1286">
      <c r="S1286" s="193"/>
    </row>
    <row r="1287">
      <c r="S1287" s="193"/>
    </row>
    <row r="1288">
      <c r="S1288" s="193"/>
    </row>
    <row r="1289">
      <c r="S1289" s="193"/>
    </row>
    <row r="1290">
      <c r="S1290" s="193"/>
    </row>
    <row r="1291">
      <c r="S1291" s="193"/>
    </row>
    <row r="1421">
      <c r="C1421" s="193"/>
    </row>
    <row r="1501">
      <c r="C1501" s="193"/>
    </row>
    <row r="1571">
      <c r="C1571" s="193"/>
    </row>
    <row r="1609">
      <c r="C1609" s="193"/>
    </row>
    <row r="1611">
      <c r="C1611" s="193"/>
    </row>
    <row r="2338">
      <c r="C2338" s="193"/>
    </row>
    <row r="2495">
      <c r="C2495" s="193"/>
    </row>
    <row r="2636">
      <c r="C2636" s="193"/>
    </row>
    <row r="2777">
      <c r="C2777" s="193"/>
    </row>
    <row r="2849">
      <c r="C2849" s="193"/>
    </row>
    <row r="2992">
      <c r="C2992" s="193"/>
    </row>
    <row r="3013">
      <c r="C3013" s="193"/>
    </row>
    <row r="3213">
      <c r="C3213" s="19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0" t="s">
        <v>1</v>
      </c>
      <c r="B1" s="190" t="s">
        <v>200</v>
      </c>
      <c r="C1" s="190" t="s">
        <v>201</v>
      </c>
      <c r="D1" s="190" t="s">
        <v>202</v>
      </c>
      <c r="E1" s="190" t="s">
        <v>203</v>
      </c>
      <c r="F1" s="190" t="s">
        <v>204</v>
      </c>
      <c r="G1" s="190" t="s">
        <v>205</v>
      </c>
      <c r="H1" s="190" t="s">
        <v>206</v>
      </c>
      <c r="I1" s="190" t="s">
        <v>207</v>
      </c>
      <c r="J1" s="190" t="s">
        <v>208</v>
      </c>
      <c r="K1" s="190" t="s">
        <v>209</v>
      </c>
      <c r="L1" s="190" t="s">
        <v>210</v>
      </c>
      <c r="M1" s="190" t="s">
        <v>211</v>
      </c>
      <c r="N1" s="190" t="s">
        <v>212</v>
      </c>
      <c r="O1" s="190" t="s">
        <v>45</v>
      </c>
      <c r="P1" s="190" t="s">
        <v>60</v>
      </c>
      <c r="Q1" s="190" t="s">
        <v>15</v>
      </c>
      <c r="R1" s="190" t="s">
        <v>37</v>
      </c>
      <c r="S1" s="190" t="s">
        <v>213</v>
      </c>
      <c r="T1" s="190" t="s">
        <v>214</v>
      </c>
      <c r="U1" s="190" t="s">
        <v>215</v>
      </c>
      <c r="V1" s="190" t="s">
        <v>216</v>
      </c>
      <c r="W1" s="190" t="s">
        <v>217</v>
      </c>
      <c r="X1" s="190" t="s">
        <v>218</v>
      </c>
      <c r="Y1" s="190" t="s">
        <v>13</v>
      </c>
      <c r="Z1" s="190" t="s">
        <v>17</v>
      </c>
      <c r="AA1" s="190" t="s">
        <v>12</v>
      </c>
      <c r="AB1" s="190" t="s">
        <v>3</v>
      </c>
      <c r="AC1" s="190" t="s">
        <v>219</v>
      </c>
      <c r="AD1" s="190" t="s">
        <v>2</v>
      </c>
      <c r="AE1" s="190" t="s">
        <v>30</v>
      </c>
      <c r="AF1" s="190" t="s">
        <v>33</v>
      </c>
      <c r="AG1" s="190" t="s">
        <v>34</v>
      </c>
      <c r="AH1" s="190" t="s">
        <v>35</v>
      </c>
      <c r="AI1" s="190" t="s">
        <v>36</v>
      </c>
      <c r="AJ1" s="190" t="s">
        <v>38</v>
      </c>
      <c r="AK1" s="190" t="s">
        <v>39</v>
      </c>
      <c r="AL1" s="190" t="s">
        <v>220</v>
      </c>
      <c r="AM1" s="190" t="s">
        <v>41</v>
      </c>
      <c r="AN1" s="190" t="s">
        <v>221</v>
      </c>
      <c r="AO1" s="190" t="s">
        <v>47</v>
      </c>
      <c r="AP1" s="190" t="s">
        <v>48</v>
      </c>
      <c r="AQ1" s="190" t="s">
        <v>49</v>
      </c>
      <c r="AR1" s="190" t="s">
        <v>222</v>
      </c>
      <c r="AS1" s="190" t="s">
        <v>55</v>
      </c>
      <c r="AT1" s="190" t="s">
        <v>56</v>
      </c>
      <c r="AU1" s="190" t="s">
        <v>57</v>
      </c>
      <c r="AV1" s="190" t="s">
        <v>58</v>
      </c>
    </row>
    <row r="2">
      <c r="A2" s="194">
        <v>45524.0</v>
      </c>
      <c r="B2" s="190" t="s">
        <v>223</v>
      </c>
      <c r="C2" s="190" t="s">
        <v>224</v>
      </c>
      <c r="D2" s="195" t="s">
        <v>24</v>
      </c>
      <c r="E2" s="195" t="s">
        <v>66</v>
      </c>
      <c r="G2" s="195" t="s">
        <v>225</v>
      </c>
    </row>
    <row r="3">
      <c r="A3" s="194">
        <v>45524.0</v>
      </c>
      <c r="B3" s="190" t="s">
        <v>223</v>
      </c>
      <c r="C3" s="190" t="s">
        <v>226</v>
      </c>
      <c r="D3" s="195" t="s">
        <v>66</v>
      </c>
      <c r="E3" s="195" t="s">
        <v>32</v>
      </c>
      <c r="G3" s="195" t="s">
        <v>227</v>
      </c>
    </row>
    <row r="4">
      <c r="A4" s="194">
        <v>45524.0</v>
      </c>
      <c r="B4" s="190" t="s">
        <v>223</v>
      </c>
      <c r="H4" s="190" t="s">
        <v>228</v>
      </c>
      <c r="I4" s="195" t="s">
        <v>28</v>
      </c>
      <c r="J4" s="195" t="s">
        <v>229</v>
      </c>
      <c r="L4" s="195" t="s">
        <v>230</v>
      </c>
      <c r="M4" s="196">
        <v>9.0</v>
      </c>
    </row>
    <row r="5">
      <c r="A5" s="194">
        <v>45524.0</v>
      </c>
      <c r="B5" s="190" t="s">
        <v>223</v>
      </c>
      <c r="H5" s="190" t="s">
        <v>231</v>
      </c>
      <c r="I5" s="195" t="s">
        <v>229</v>
      </c>
      <c r="J5" s="195" t="s">
        <v>232</v>
      </c>
      <c r="L5" s="195" t="s">
        <v>233</v>
      </c>
      <c r="M5" s="196">
        <v>13.0</v>
      </c>
      <c r="N5" s="190" t="b">
        <v>1</v>
      </c>
      <c r="O5" s="196">
        <v>520.0</v>
      </c>
    </row>
    <row r="6">
      <c r="A6" s="194">
        <v>45524.0</v>
      </c>
      <c r="B6" s="190" t="s">
        <v>223</v>
      </c>
      <c r="H6" s="190" t="s">
        <v>234</v>
      </c>
      <c r="I6" s="195" t="s">
        <v>25</v>
      </c>
      <c r="J6" s="195" t="s">
        <v>32</v>
      </c>
      <c r="L6" s="195" t="s">
        <v>235</v>
      </c>
    </row>
    <row r="7">
      <c r="A7" s="194">
        <v>45524.0</v>
      </c>
      <c r="B7" s="190" t="s">
        <v>223</v>
      </c>
      <c r="P7" s="196">
        <v>7.0</v>
      </c>
      <c r="Q7" s="190" t="s">
        <v>224</v>
      </c>
      <c r="R7" s="190" t="s">
        <v>226</v>
      </c>
      <c r="S7" s="196">
        <v>8461.0</v>
      </c>
      <c r="T7" s="196">
        <v>3807.0</v>
      </c>
      <c r="U7" s="196">
        <v>8309.0</v>
      </c>
      <c r="V7" s="196">
        <v>10131.0</v>
      </c>
      <c r="W7" s="196">
        <v>1300.0</v>
      </c>
      <c r="X7" s="196">
        <v>2815.0</v>
      </c>
      <c r="Y7" s="196">
        <v>3723.0</v>
      </c>
      <c r="AA7" s="196">
        <v>1160.0</v>
      </c>
      <c r="AB7" s="196">
        <v>42831.0</v>
      </c>
      <c r="AC7" s="196">
        <v>0.0</v>
      </c>
      <c r="AD7" s="196">
        <v>0.38519359264204933</v>
      </c>
      <c r="AE7" s="196">
        <v>2000.0</v>
      </c>
      <c r="AH7" s="196">
        <v>3420.0</v>
      </c>
      <c r="AI7" s="196">
        <v>520.0</v>
      </c>
      <c r="AJ7" s="196">
        <v>0.0</v>
      </c>
      <c r="AK7" s="196">
        <v>0.0</v>
      </c>
      <c r="AL7" s="196">
        <v>7.0</v>
      </c>
      <c r="AM7" s="190" t="s">
        <v>236</v>
      </c>
      <c r="AN7" s="196">
        <v>1.0</v>
      </c>
      <c r="AO7" s="196">
        <v>107.0</v>
      </c>
      <c r="AP7" s="196">
        <v>29.0</v>
      </c>
      <c r="AQ7" s="196">
        <v>5.0</v>
      </c>
      <c r="AR7" s="196">
        <v>5.0</v>
      </c>
      <c r="AS7" s="196">
        <v>0.2413793103448276</v>
      </c>
      <c r="AT7" s="196">
        <v>5.0</v>
      </c>
      <c r="AU7" s="196">
        <v>0.7586206896551724</v>
      </c>
      <c r="AV7" s="196">
        <v>0.1724137931034483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7"/>
      <c r="B1" s="197"/>
      <c r="C1" s="198" t="str">
        <f>IFERROR(__xludf.DUMMYFUNCTION("IMPORTRANGE(""1TpIiNTfR1pnpn85VWQTTdvQ2Xcr0GStmWJ2UvfKxG_A"", ""Mzdy!A1:F200"")")," ")</f>
        <v> </v>
      </c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9">
        <f>IFERROR(__xludf.DUMMYFUNCTION("IMPORTRANGE(""1TpIiNTfR1pnpn85VWQTTdvQ2Xcr0GStmWJ2UvfKxG_A"", ""Mzdy!ac1:ad200"")"),31.0)</f>
        <v>31</v>
      </c>
      <c r="W1" s="200" t="str">
        <f>IFERROR(__xludf.DUMMYFUNCTION("""COMPUTED_VALUE"""),"dní")</f>
        <v>dní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</row>
    <row r="2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200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</row>
    <row r="3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200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</row>
    <row r="4">
      <c r="A4" s="201" t="s">
        <v>237</v>
      </c>
      <c r="B4" s="201" t="s">
        <v>238</v>
      </c>
      <c r="C4" s="197" t="str">
        <f>IFERROR(__xludf.DUMMYFUNCTION("""COMPUTED_VALUE"""),"Manažer")</f>
        <v>Manažer</v>
      </c>
      <c r="D4" s="197" t="str">
        <f>IFERROR(__xludf.DUMMYFUNCTION("""COMPUTED_VALUE"""),"Instore")</f>
        <v>Instore</v>
      </c>
      <c r="E4" s="197" t="str">
        <f>IFERROR(__xludf.DUMMYFUNCTION("""COMPUTED_VALUE"""),"První domácí,          Pobočky max 4")</f>
        <v>První domácí,          Pobočky max 4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 t="str">
        <f>IFERROR(__xludf.DUMMYFUNCTION("""COMPUTED_VALUE"""),"Sp.hr. / h")</f>
        <v>Sp.hr. / h</v>
      </c>
      <c r="W4" s="200" t="str">
        <f>IFERROR(__xludf.DUMMYFUNCTION("""COMPUTED_VALUE"""),"Sp.hr. / den")</f>
        <v>Sp.hr. / den</v>
      </c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</row>
    <row r="5">
      <c r="A5" s="197" t="str">
        <f>IF(AND(B5&lt;&gt;"", C5=TRUE, E5=Report!$B$1), B5, "")</f>
        <v/>
      </c>
      <c r="B5" s="202" t="str">
        <f>IF(OR(E5=Report!$B$1, F5=Report!$B$1, G5=Report!$B$1, H5=Report!$B$1), D5, "")</f>
        <v/>
      </c>
      <c r="C5" s="197" t="b">
        <f>IFERROR(__xludf.DUMMYFUNCTION("""COMPUTED_VALUE"""),TRUE)</f>
        <v>1</v>
      </c>
      <c r="D5" s="197" t="str">
        <f>IFERROR(__xludf.DUMMYFUNCTION("""COMPUTED_VALUE"""),"Nedbal Michal")</f>
        <v>Nedbal Michal</v>
      </c>
      <c r="E5" s="197" t="str">
        <f>IFERROR(__xludf.DUMMYFUNCTION("""COMPUTED_VALUE"""),"Zličín")</f>
        <v>Zličín</v>
      </c>
      <c r="F5" s="197" t="str">
        <f>IFERROR(__xludf.DUMMYFUNCTION("""COMPUTED_VALUE"""),"Malešice")</f>
        <v>Malešice</v>
      </c>
      <c r="G5" s="197" t="str">
        <f>IFERROR(__xludf.DUMMYFUNCTION("""COMPUTED_VALUE"""),"Prosek")</f>
        <v>Prosek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200">
        <f>IFERROR(__xludf.DUMMYFUNCTION("""COMPUTED_VALUE"""),432.3078)</f>
        <v>432.3078</v>
      </c>
      <c r="W5" s="200">
        <f>IFERROR(__xludf.DUMMYFUNCTION("""COMPUTED_VALUE"""),2789.082580645161)</f>
        <v>2789.082581</v>
      </c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</row>
    <row r="6">
      <c r="A6" s="197" t="str">
        <f>IF(AND(B6&lt;&gt;"", C6=TRUE, E6=Report!$B$1), B6, "")</f>
        <v/>
      </c>
      <c r="B6" s="202" t="str">
        <f>IF(OR(E6=Report!$B$1, F6=Report!$B$1, G6=Report!$B$1, H6=Report!$B$1), D6, "")</f>
        <v/>
      </c>
      <c r="C6" s="197" t="b">
        <f>IFERROR(__xludf.DUMMYFUNCTION("""COMPUTED_VALUE"""),TRUE)</f>
        <v>1</v>
      </c>
      <c r="D6" s="197" t="str">
        <f>IFERROR(__xludf.DUMMYFUNCTION("""COMPUTED_VALUE"""),"Sova Martin")</f>
        <v>Sova Martin</v>
      </c>
      <c r="E6" s="197" t="str">
        <f>IFERROR(__xludf.DUMMYFUNCTION("""COMPUTED_VALUE"""),"Chodov")</f>
        <v>Chodov</v>
      </c>
      <c r="F6" s="197" t="str">
        <f>IFERROR(__xludf.DUMMYFUNCTION("""COMPUTED_VALUE"""),"Libuš")</f>
        <v>Libuš</v>
      </c>
      <c r="G6" s="197" t="str">
        <f>IFERROR(__xludf.DUMMYFUNCTION("""COMPUTED_VALUE"""),"Výroba")</f>
        <v>Výroba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200">
        <f>IFERROR(__xludf.DUMMYFUNCTION("""COMPUTED_VALUE"""),432.3078)</f>
        <v>432.3078</v>
      </c>
      <c r="W6" s="200">
        <f>IFERROR(__xludf.DUMMYFUNCTION("""COMPUTED_VALUE"""),2789.082580645161)</f>
        <v>2789.082581</v>
      </c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</row>
    <row r="7">
      <c r="A7" s="197" t="str">
        <f>IF(AND(B7&lt;&gt;"", C7=TRUE, E7=Report!$B$1), B7, "")</f>
        <v/>
      </c>
      <c r="B7" s="202" t="str">
        <f>IF(OR(E7=Report!$B$1, F7=Report!$B$1, G7=Report!$B$1, H7=Report!$B$1), D7, "")</f>
        <v/>
      </c>
      <c r="C7" s="197" t="b">
        <f>IFERROR(__xludf.DUMMYFUNCTION("""COMPUTED_VALUE"""),TRUE)</f>
        <v>1</v>
      </c>
      <c r="D7" s="197" t="str">
        <f>IFERROR(__xludf.DUMMYFUNCTION("""COMPUTED_VALUE"""),"Paziak Viktoriia")</f>
        <v>Paziak Viktoriia</v>
      </c>
      <c r="E7" s="197" t="str">
        <f>IFERROR(__xludf.DUMMYFUNCTION("""COMPUTED_VALUE"""),"Výroba")</f>
        <v>Výroba</v>
      </c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200">
        <f>IFERROR(__xludf.DUMMYFUNCTION("""COMPUTED_VALUE"""),341.19)</f>
        <v>341.19</v>
      </c>
      <c r="W7" s="200">
        <f>IFERROR(__xludf.DUMMYFUNCTION("""COMPUTED_VALUE"""),2201.2258064516127)</f>
        <v>2201.225806</v>
      </c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</row>
    <row r="8">
      <c r="A8" s="197" t="str">
        <f>IF(AND(B8&lt;&gt;"", C8=TRUE, E8=Report!$B$1), B8, "")</f>
        <v/>
      </c>
      <c r="B8" s="202" t="str">
        <f>IF(OR(E8=Report!$B$1, F8=Report!$B$1, G8=Report!$B$1, H8=Report!$B$1), D8, "")</f>
        <v/>
      </c>
      <c r="C8" s="197" t="b">
        <f>IFERROR(__xludf.DUMMYFUNCTION("""COMPUTED_VALUE"""),FALSE)</f>
        <v>0</v>
      </c>
      <c r="D8" s="197" t="str">
        <f>IFERROR(__xludf.DUMMYFUNCTION("""COMPUTED_VALUE"""),"Ahurieva Viktoriia")</f>
        <v>Ahurieva Viktoriia</v>
      </c>
      <c r="E8" s="197" t="str">
        <f>IFERROR(__xludf.DUMMYFUNCTION("""COMPUTED_VALUE"""),"Libuš")</f>
        <v>Libuš</v>
      </c>
      <c r="F8" s="197" t="str">
        <f>IFERROR(__xludf.DUMMYFUNCTION("""COMPUTED_VALUE"""),"Malešice")</f>
        <v>Malešice</v>
      </c>
      <c r="G8" s="197" t="str">
        <f>IFERROR(__xludf.DUMMYFUNCTION("""COMPUTED_VALUE"""),"Chodov")</f>
        <v>Chodov</v>
      </c>
      <c r="H8" s="197" t="str">
        <f>IFERROR(__xludf.DUMMYFUNCTION("""COMPUTED_VALUE"""),"Prosek")</f>
        <v>Prosek</v>
      </c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200">
        <f>IFERROR(__xludf.DUMMYFUNCTION("""COMPUTED_VALUE"""),432.3078)</f>
        <v>432.3078</v>
      </c>
      <c r="W8" s="200">
        <f>IFERROR(__xludf.DUMMYFUNCTION("""COMPUTED_VALUE"""),2789.082580645161)</f>
        <v>2789.082581</v>
      </c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</row>
    <row r="9">
      <c r="A9" s="197" t="str">
        <f>IF(AND(B9&lt;&gt;"", C9=TRUE, E9=Report!$B$1), B9, "")</f>
        <v/>
      </c>
      <c r="B9" s="202" t="str">
        <f>IF(OR(E9=Report!$B$1, F9=Report!$B$1, G9=Report!$B$1, H9=Report!$B$1), D9, "")</f>
        <v/>
      </c>
      <c r="C9" s="197" t="b">
        <f>IFERROR(__xludf.DUMMYFUNCTION("""COMPUTED_VALUE"""),TRUE)</f>
        <v>1</v>
      </c>
      <c r="D9" s="197" t="str">
        <f>IFERROR(__xludf.DUMMYFUNCTION("""COMPUTED_VALUE"""),"Pešová Hana")</f>
        <v>Pešová Hana</v>
      </c>
      <c r="E9" s="197" t="str">
        <f>IFERROR(__xludf.DUMMYFUNCTION("""COMPUTED_VALUE"""),"Chodov")</f>
        <v>Chodov</v>
      </c>
      <c r="F9" s="197" t="str">
        <f>IFERROR(__xludf.DUMMYFUNCTION("""COMPUTED_VALUE"""),"Prosek")</f>
        <v>Prosek</v>
      </c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200">
        <f>IFERROR(__xludf.DUMMYFUNCTION("""COMPUTED_VALUE"""),341.19)</f>
        <v>341.19</v>
      </c>
      <c r="W9" s="200">
        <f>IFERROR(__xludf.DUMMYFUNCTION("""COMPUTED_VALUE"""),2201.2258064516127)</f>
        <v>2201.225806</v>
      </c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</row>
    <row r="10">
      <c r="A10" s="197" t="str">
        <f>IF(AND(B10&lt;&gt;"", C10=TRUE, E10=Report!$B$1), B10, "")</f>
        <v/>
      </c>
      <c r="B10" s="202" t="str">
        <f>IF(OR(E10=Report!$B$1, F10=Report!$B$1, G10=Report!$B$1, H10=Report!$B$1), D10, "")</f>
        <v/>
      </c>
      <c r="C10" s="197" t="b">
        <f>IFERROR(__xludf.DUMMYFUNCTION("""COMPUTED_VALUE"""),TRUE)</f>
        <v>1</v>
      </c>
      <c r="D10" s="197" t="str">
        <f>IFERROR(__xludf.DUMMYFUNCTION("""COMPUTED_VALUE"""),"Šebesta Tomáš")</f>
        <v>Šebesta Tomáš</v>
      </c>
      <c r="E10" s="197" t="str">
        <f>IFERROR(__xludf.DUMMYFUNCTION("""COMPUTED_VALUE"""),"Prosek")</f>
        <v>Prosek</v>
      </c>
      <c r="F10" s="197" t="str">
        <f>IFERROR(__xludf.DUMMYFUNCTION("""COMPUTED_VALUE"""),"Libuš")</f>
        <v>Libuš</v>
      </c>
      <c r="G10" s="197" t="str">
        <f>IFERROR(__xludf.DUMMYFUNCTION("""COMPUTED_VALUE"""),"Malešice")</f>
        <v>Malešice</v>
      </c>
      <c r="H10" s="197" t="str">
        <f>IFERROR(__xludf.DUMMYFUNCTION("""COMPUTED_VALUE"""),"Chodov")</f>
        <v>Chodov</v>
      </c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200">
        <f>IFERROR(__xludf.DUMMYFUNCTION("""COMPUTED_VALUE"""),432.3078)</f>
        <v>432.3078</v>
      </c>
      <c r="W10" s="200">
        <f>IFERROR(__xludf.DUMMYFUNCTION("""COMPUTED_VALUE"""),2789.082580645161)</f>
        <v>2789.082581</v>
      </c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</row>
    <row r="11">
      <c r="A11" s="197" t="str">
        <f>IF(AND(B11&lt;&gt;"", C11=TRUE, E11=Report!$B$1), B11, "")</f>
        <v/>
      </c>
      <c r="B11" s="202" t="str">
        <f>IF(OR(E11=Report!$B$1, F11=Report!$B$1, G11=Report!$B$1, H11=Report!$B$1), D11, "")</f>
        <v/>
      </c>
      <c r="C11" s="197" t="b">
        <f>IFERROR(__xludf.DUMMYFUNCTION("""COMPUTED_VALUE"""),FALSE)</f>
        <v>0</v>
      </c>
      <c r="D11" s="197" t="str">
        <f>IFERROR(__xludf.DUMMYFUNCTION("""COMPUTED_VALUE"""),"Hanakova Ayuna")</f>
        <v>Hanakova Ayuna</v>
      </c>
      <c r="E11" s="197" t="str">
        <f>IFERROR(__xludf.DUMMYFUNCTION("""COMPUTED_VALUE"""),"Zličín")</f>
        <v>Zličín</v>
      </c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200">
        <f>IFERROR(__xludf.DUMMYFUNCTION("""COMPUTED_VALUE"""),295.698)</f>
        <v>295.698</v>
      </c>
      <c r="W11" s="200">
        <f>IFERROR(__xludf.DUMMYFUNCTION("""COMPUTED_VALUE"""),0.0)</f>
        <v>0</v>
      </c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</row>
    <row r="12">
      <c r="A12" s="197" t="str">
        <f>IF(AND(B12&lt;&gt;"", C12=TRUE, E12=Report!$B$1), B12, "")</f>
        <v/>
      </c>
      <c r="B12" s="202" t="str">
        <f>IF(OR(E12=Report!$B$1, F12=Report!$B$1, G12=Report!$B$1, H12=Report!$B$1), D12, "")</f>
        <v/>
      </c>
      <c r="C12" s="197" t="b">
        <f>IFERROR(__xludf.DUMMYFUNCTION("""COMPUTED_VALUE"""),FALSE)</f>
        <v>0</v>
      </c>
      <c r="D12" s="197" t="str">
        <f>IFERROR(__xludf.DUMMYFUNCTION("""COMPUTED_VALUE"""),"Vondráček Lukáš")</f>
        <v>Vondráček Lukáš</v>
      </c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200">
        <f>IFERROR(__xludf.DUMMYFUNCTION("""COMPUTED_VALUE"""),0.0)</f>
        <v>0</v>
      </c>
      <c r="W12" s="200">
        <f>IFERROR(__xludf.DUMMYFUNCTION("""COMPUTED_VALUE"""),0.0)</f>
        <v>0</v>
      </c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</row>
    <row r="13">
      <c r="A13" s="197" t="str">
        <f>IF(AND(B13&lt;&gt;"", C13=TRUE, E13=Report!$B$1), B13, "")</f>
        <v/>
      </c>
      <c r="B13" s="202" t="str">
        <f>IF(OR(E13=Report!$B$1, F13=Report!$B$1, G13=Report!$B$1, H13=Report!$B$1), D13, "")</f>
        <v/>
      </c>
      <c r="C13" s="197" t="b">
        <f>IFERROR(__xludf.DUMMYFUNCTION("""COMPUTED_VALUE"""),TRUE)</f>
        <v>1</v>
      </c>
      <c r="D13" s="197" t="str">
        <f>IFERROR(__xludf.DUMMYFUNCTION("""COMPUTED_VALUE"""),"Veselý Ondřej")</f>
        <v>Veselý Ondřej</v>
      </c>
      <c r="E13" s="197" t="str">
        <f>IFERROR(__xludf.DUMMYFUNCTION("""COMPUTED_VALUE"""),"Zličín")</f>
        <v>Zličín</v>
      </c>
      <c r="F13" s="197" t="str">
        <f>IFERROR(__xludf.DUMMYFUNCTION("""COMPUTED_VALUE"""),"Malešice")</f>
        <v>Malešice</v>
      </c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200">
        <f>IFERROR(__xludf.DUMMYFUNCTION("""COMPUTED_VALUE"""),341.19)</f>
        <v>341.19</v>
      </c>
      <c r="W13" s="200">
        <f>IFERROR(__xludf.DUMMYFUNCTION("""COMPUTED_VALUE"""),2201.2258064516127)</f>
        <v>2201.225806</v>
      </c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</row>
    <row r="14">
      <c r="A14" s="197" t="str">
        <f>IF(AND(B14&lt;&gt;"", C14=TRUE, E14=Report!$B$1), B14, "")</f>
        <v/>
      </c>
      <c r="B14" s="202" t="str">
        <f>IF(OR(E14=Report!$B$1, F14=Report!$B$1, G14=Report!$B$1, H14=Report!$B$1), D14, "")</f>
        <v/>
      </c>
      <c r="C14" s="197" t="b">
        <f>IFERROR(__xludf.DUMMYFUNCTION("""COMPUTED_VALUE"""),FALSE)</f>
        <v>0</v>
      </c>
      <c r="D14" s="197" t="str">
        <f>IFERROR(__xludf.DUMMYFUNCTION("""COMPUTED_VALUE"""),"Coufal Jakub")</f>
        <v>Coufal Jakub</v>
      </c>
      <c r="E14" s="197" t="str">
        <f>IFERROR(__xludf.DUMMYFUNCTION("""COMPUTED_VALUE"""),"Libuš")</f>
        <v>Libuš</v>
      </c>
      <c r="F14" s="197" t="str">
        <f>IFERROR(__xludf.DUMMYFUNCTION("""COMPUTED_VALUE"""),"Malešice")</f>
        <v>Malešice</v>
      </c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200">
        <f>IFERROR(__xludf.DUMMYFUNCTION("""COMPUTED_VALUE"""),250.20600000000002)</f>
        <v>250.206</v>
      </c>
      <c r="W14" s="200">
        <f>IFERROR(__xludf.DUMMYFUNCTION("""COMPUTED_VALUE"""),0.0)</f>
        <v>0</v>
      </c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</row>
    <row r="15">
      <c r="A15" s="197" t="str">
        <f>IF(AND(B15&lt;&gt;"", C15=TRUE, E15=Report!$B$1), B15, "")</f>
        <v/>
      </c>
      <c r="B15" s="202" t="str">
        <f>IF(OR(E15=Report!$B$1, F15=Report!$B$1, G15=Report!$B$1, H15=Report!$B$1), D15, "")</f>
        <v/>
      </c>
      <c r="C15" s="197" t="b">
        <f>IFERROR(__xludf.DUMMYFUNCTION("""COMPUTED_VALUE"""),TRUE)</f>
        <v>1</v>
      </c>
      <c r="D15" s="197" t="str">
        <f>IFERROR(__xludf.DUMMYFUNCTION("""COMPUTED_VALUE"""),"Kinkorová Petra")</f>
        <v>Kinkorová Petra</v>
      </c>
      <c r="E15" s="197" t="str">
        <f>IFERROR(__xludf.DUMMYFUNCTION("""COMPUTED_VALUE"""),"Malešice")</f>
        <v>Malešice</v>
      </c>
      <c r="F15" s="197" t="str">
        <f>IFERROR(__xludf.DUMMYFUNCTION("""COMPUTED_VALUE"""),"Zličín")</f>
        <v>Zličín</v>
      </c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200">
        <f>IFERROR(__xludf.DUMMYFUNCTION("""COMPUTED_VALUE"""),341.19)</f>
        <v>341.19</v>
      </c>
      <c r="W15" s="200">
        <f>IFERROR(__xludf.DUMMYFUNCTION("""COMPUTED_VALUE"""),2201.2258064516127)</f>
        <v>2201.225806</v>
      </c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</row>
    <row r="16">
      <c r="A16" s="197" t="str">
        <f>IF(AND(B16&lt;&gt;"", C16=TRUE, E16=Report!$B$1), B16, "")</f>
        <v/>
      </c>
      <c r="B16" s="202" t="str">
        <f>IF(OR(E16=Report!$B$1, F16=Report!$B$1, G16=Report!$B$1, H16=Report!$B$1), D16, "")</f>
        <v/>
      </c>
      <c r="C16" s="197" t="b">
        <f>IFERROR(__xludf.DUMMYFUNCTION("""COMPUTED_VALUE"""),TRUE)</f>
        <v>1</v>
      </c>
      <c r="D16" s="197" t="str">
        <f>IFERROR(__xludf.DUMMYFUNCTION("""COMPUTED_VALUE"""),"Nováková Adéla")</f>
        <v>Nováková Adéla</v>
      </c>
      <c r="E16" s="197" t="str">
        <f>IFERROR(__xludf.DUMMYFUNCTION("""COMPUTED_VALUE"""),"Prosek")</f>
        <v>Prosek</v>
      </c>
      <c r="F16" s="197" t="str">
        <f>IFERROR(__xludf.DUMMYFUNCTION("""COMPUTED_VALUE"""),"Malešice")</f>
        <v>Malešice</v>
      </c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200">
        <f>IFERROR(__xludf.DUMMYFUNCTION("""COMPUTED_VALUE"""),341.19)</f>
        <v>341.19</v>
      </c>
      <c r="W16" s="200">
        <f>IFERROR(__xludf.DUMMYFUNCTION("""COMPUTED_VALUE"""),2201.2258064516127)</f>
        <v>2201.225806</v>
      </c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</row>
    <row r="17">
      <c r="A17" s="197" t="str">
        <f>IF(AND(B17&lt;&gt;"", C17=TRUE, E17=Report!$B$1), B17, "")</f>
        <v/>
      </c>
      <c r="B17" s="202" t="str">
        <f>IF(OR(E17=Report!$B$1, F17=Report!$B$1, G17=Report!$B$1, H17=Report!$B$1), D17, "")</f>
        <v/>
      </c>
      <c r="C17" s="197" t="b">
        <f>IFERROR(__xludf.DUMMYFUNCTION("""COMPUTED_VALUE"""),FALSE)</f>
        <v>0</v>
      </c>
      <c r="D17" s="197" t="str">
        <f>IFERROR(__xludf.DUMMYFUNCTION("""COMPUTED_VALUE"""),"Pechová Barbora")</f>
        <v>Pechová Barbora</v>
      </c>
      <c r="E17" s="197" t="str">
        <f>IFERROR(__xludf.DUMMYFUNCTION("""COMPUTED_VALUE"""),"Zličín")</f>
        <v>Zličín</v>
      </c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200">
        <f>IFERROR(__xludf.DUMMYFUNCTION("""COMPUTED_VALUE"""),267.6)</f>
        <v>267.6</v>
      </c>
      <c r="W17" s="200">
        <f>IFERROR(__xludf.DUMMYFUNCTION("""COMPUTED_VALUE"""),0.0)</f>
        <v>0</v>
      </c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</row>
    <row r="18">
      <c r="A18" s="197" t="str">
        <f>IF(AND(B18&lt;&gt;"", C18=TRUE, E18=Report!$B$1), B18, "")</f>
        <v/>
      </c>
      <c r="B18" s="202" t="str">
        <f>IF(OR(E18=Report!$B$1, F18=Report!$B$1, G18=Report!$B$1, H18=Report!$B$1), D18, "")</f>
        <v/>
      </c>
      <c r="C18" s="197" t="b">
        <f>IFERROR(__xludf.DUMMYFUNCTION("""COMPUTED_VALUE"""),FALSE)</f>
        <v>0</v>
      </c>
      <c r="D18" s="197" t="str">
        <f>IFERROR(__xludf.DUMMYFUNCTION("""COMPUTED_VALUE"""),"Stepanenko Solomiia")</f>
        <v>Stepanenko Solomiia</v>
      </c>
      <c r="E18" s="197" t="str">
        <f>IFERROR(__xludf.DUMMYFUNCTION("""COMPUTED_VALUE"""),"Výroba")</f>
        <v>Výroba</v>
      </c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200">
        <f>IFERROR(__xludf.DUMMYFUNCTION("""COMPUTED_VALUE"""),286.332)</f>
        <v>286.332</v>
      </c>
      <c r="W18" s="200">
        <f>IFERROR(__xludf.DUMMYFUNCTION("""COMPUTED_VALUE"""),0.0)</f>
        <v>0</v>
      </c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</row>
    <row r="19">
      <c r="A19" s="197" t="str">
        <f>IF(AND(B19&lt;&gt;"", C19=TRUE, E19=Report!$B$1), B19, "")</f>
        <v/>
      </c>
      <c r="B19" s="202" t="str">
        <f>IF(OR(E19=Report!$B$1, F19=Report!$B$1, G19=Report!$B$1, H19=Report!$B$1), D19, "")</f>
        <v>Rothová Anastasia</v>
      </c>
      <c r="C19" s="197" t="b">
        <f>IFERROR(__xludf.DUMMYFUNCTION("""COMPUTED_VALUE"""),FALSE)</f>
        <v>0</v>
      </c>
      <c r="D19" s="197" t="str">
        <f>IFERROR(__xludf.DUMMYFUNCTION("""COMPUTED_VALUE"""),"Rothová Anastasia")</f>
        <v>Rothová Anastasia</v>
      </c>
      <c r="E19" s="197" t="str">
        <f>IFERROR(__xludf.DUMMYFUNCTION("""COMPUTED_VALUE"""),"Bolevec")</f>
        <v>Bolevec</v>
      </c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200">
        <f>IFERROR(__xludf.DUMMYFUNCTION("""COMPUTED_VALUE"""),341.19)</f>
        <v>341.19</v>
      </c>
      <c r="W19" s="200">
        <f>IFERROR(__xludf.DUMMYFUNCTION("""COMPUTED_VALUE"""),0.0)</f>
        <v>0</v>
      </c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</row>
    <row r="20">
      <c r="A20" s="197" t="str">
        <f>IF(AND(B20&lt;&gt;"", C20=TRUE, E20=Report!$B$1), B20, "")</f>
        <v/>
      </c>
      <c r="B20" s="202" t="str">
        <f>IF(OR(E20=Report!$B$1, F20=Report!$B$1, G20=Report!$B$1, H20=Report!$B$1), D20, "")</f>
        <v/>
      </c>
      <c r="C20" s="197" t="b">
        <f>IFERROR(__xludf.DUMMYFUNCTION("""COMPUTED_VALUE"""),FALSE)</f>
        <v>0</v>
      </c>
      <c r="D20" s="197" t="str">
        <f>IFERROR(__xludf.DUMMYFUNCTION("""COMPUTED_VALUE"""),"Pánková Vendula")</f>
        <v>Pánková Vendula</v>
      </c>
      <c r="E20" s="197" t="str">
        <f>IFERROR(__xludf.DUMMYFUNCTION("""COMPUTED_VALUE"""),"Zličín")</f>
        <v>Zličín</v>
      </c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200">
        <f>IFERROR(__xludf.DUMMYFUNCTION("""COMPUTED_VALUE"""),267.6)</f>
        <v>267.6</v>
      </c>
      <c r="W20" s="200">
        <f>IFERROR(__xludf.DUMMYFUNCTION("""COMPUTED_VALUE"""),0.0)</f>
        <v>0</v>
      </c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</row>
    <row r="21">
      <c r="A21" s="197" t="str">
        <f>IF(AND(B21&lt;&gt;"", C21=TRUE, E21=Report!$B$1), B21, "")</f>
        <v/>
      </c>
      <c r="B21" s="202" t="str">
        <f>IF(OR(E21=Report!$B$1, F21=Report!$B$1, G21=Report!$B$1, H21=Report!$B$1), D21, "")</f>
        <v/>
      </c>
      <c r="C21" s="197" t="b">
        <f>IFERROR(__xludf.DUMMYFUNCTION("""COMPUTED_VALUE"""),TRUE)</f>
        <v>1</v>
      </c>
      <c r="D21" s="197" t="str">
        <f>IFERROR(__xludf.DUMMYFUNCTION("""COMPUTED_VALUE"""),"Hegedüs Erik")</f>
        <v>Hegedüs Erik</v>
      </c>
      <c r="E21" s="197" t="str">
        <f>IFERROR(__xludf.DUMMYFUNCTION("""COMPUTED_VALUE"""),"Libuš")</f>
        <v>Libuš</v>
      </c>
      <c r="F21" s="197" t="str">
        <f>IFERROR(__xludf.DUMMYFUNCTION("""COMPUTED_VALUE"""),"Chodov")</f>
        <v>Chodov</v>
      </c>
      <c r="G21" s="197" t="str">
        <f>IFERROR(__xludf.DUMMYFUNCTION("""COMPUTED_VALUE"""),"Malešice")</f>
        <v>Malešice</v>
      </c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200">
        <f>IFERROR(__xludf.DUMMYFUNCTION("""COMPUTED_VALUE"""),432.3078)</f>
        <v>432.3078</v>
      </c>
      <c r="W21" s="200">
        <f>IFERROR(__xludf.DUMMYFUNCTION("""COMPUTED_VALUE"""),2789.082580645161)</f>
        <v>2789.082581</v>
      </c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</row>
    <row r="22">
      <c r="A22" s="197" t="str">
        <f>IF(AND(B22&lt;&gt;"", C22=TRUE, E22=Report!$B$1), B22, "")</f>
        <v>Roth Stanislav ml.</v>
      </c>
      <c r="B22" s="202" t="str">
        <f>IF(OR(E22=Report!$B$1, F22=Report!$B$1, G22=Report!$B$1, H22=Report!$B$1), D22, "")</f>
        <v>Roth Stanislav ml.</v>
      </c>
      <c r="C22" s="197" t="b">
        <f>IFERROR(__xludf.DUMMYFUNCTION("""COMPUTED_VALUE"""),TRUE)</f>
        <v>1</v>
      </c>
      <c r="D22" s="197" t="str">
        <f>IFERROR(__xludf.DUMMYFUNCTION("""COMPUTED_VALUE"""),"Roth Stanislav ml.")</f>
        <v>Roth Stanislav ml.</v>
      </c>
      <c r="E22" s="197" t="str">
        <f>IFERROR(__xludf.DUMMYFUNCTION("""COMPUTED_VALUE"""),"Bolevec")</f>
        <v>Bolevec</v>
      </c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200">
        <f>IFERROR(__xludf.DUMMYFUNCTION("""COMPUTED_VALUE"""),432.3078)</f>
        <v>432.3078</v>
      </c>
      <c r="W22" s="200">
        <f>IFERROR(__xludf.DUMMYFUNCTION("""COMPUTED_VALUE"""),2789.082580645161)</f>
        <v>2789.082581</v>
      </c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</row>
    <row r="23">
      <c r="A23" s="197" t="str">
        <f>IF(AND(B23&lt;&gt;"", C23=TRUE, E23=Report!$B$1), B23, "")</f>
        <v/>
      </c>
      <c r="B23" s="202" t="str">
        <f>IF(OR(E23=Report!$B$1, F23=Report!$B$1, G23=Report!$B$1, H23=Report!$B$1), D23, "")</f>
        <v/>
      </c>
      <c r="C23" s="197" t="b">
        <f>IFERROR(__xludf.DUMMYFUNCTION("""COMPUTED_VALUE"""),FALSE)</f>
        <v>0</v>
      </c>
      <c r="D23" s="197" t="str">
        <f>IFERROR(__xludf.DUMMYFUNCTION("""COMPUTED_VALUE"""),"Makula Radek")</f>
        <v>Makula Radek</v>
      </c>
      <c r="E23" s="197" t="str">
        <f>IFERROR(__xludf.DUMMYFUNCTION("""COMPUTED_VALUE"""),"Prosek")</f>
        <v>Prosek</v>
      </c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200">
        <f>IFERROR(__xludf.DUMMYFUNCTION("""COMPUTED_VALUE"""),250.20600000000002)</f>
        <v>250.206</v>
      </c>
      <c r="W23" s="200">
        <f>IFERROR(__xludf.DUMMYFUNCTION("""COMPUTED_VALUE"""),0.0)</f>
        <v>0</v>
      </c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</row>
    <row r="24">
      <c r="A24" s="197" t="str">
        <f>IF(AND(B24&lt;&gt;"", C24=TRUE, E24=Report!$B$1), B24, "")</f>
        <v/>
      </c>
      <c r="B24" s="202" t="str">
        <f>IF(OR(E24=Report!$B$1, F24=Report!$B$1, G24=Report!$B$1, H24=Report!$B$1), D24, "")</f>
        <v/>
      </c>
      <c r="C24" s="197" t="b">
        <f>IFERROR(__xludf.DUMMYFUNCTION("""COMPUTED_VALUE"""),FALSE)</f>
        <v>0</v>
      </c>
      <c r="D24" s="197" t="str">
        <f>IFERROR(__xludf.DUMMYFUNCTION("""COMPUTED_VALUE"""),"Bubník Martin")</f>
        <v>Bubník Martin</v>
      </c>
      <c r="E24" s="197" t="str">
        <f>IFERROR(__xludf.DUMMYFUNCTION("""COMPUTED_VALUE"""),"Libuš")</f>
        <v>Libuš</v>
      </c>
      <c r="F24" s="197" t="str">
        <f>IFERROR(__xludf.DUMMYFUNCTION("""COMPUTED_VALUE"""),"Malešice")</f>
        <v>Malešice</v>
      </c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200">
        <f>IFERROR(__xludf.DUMMYFUNCTION("""COMPUTED_VALUE"""),267.6)</f>
        <v>267.6</v>
      </c>
      <c r="W24" s="200">
        <f>IFERROR(__xludf.DUMMYFUNCTION("""COMPUTED_VALUE"""),0.0)</f>
        <v>0</v>
      </c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</row>
    <row r="25">
      <c r="A25" s="197" t="str">
        <f>IF(AND(B25&lt;&gt;"", C25=TRUE, E25=Report!$B$1), B25, "")</f>
        <v/>
      </c>
      <c r="B25" s="202" t="str">
        <f>IF(OR(E25=Report!$B$1, F25=Report!$B$1, G25=Report!$B$1, H25=Report!$B$1), D25, "")</f>
        <v/>
      </c>
      <c r="C25" s="197" t="b">
        <f>IFERROR(__xludf.DUMMYFUNCTION("""COMPUTED_VALUE"""),FALSE)</f>
        <v>0</v>
      </c>
      <c r="D25" s="197" t="str">
        <f>IFERROR(__xludf.DUMMYFUNCTION("""COMPUTED_VALUE"""),"Mirga Simon")</f>
        <v>Mirga Simon</v>
      </c>
      <c r="E25" s="197" t="str">
        <f>IFERROR(__xludf.DUMMYFUNCTION("""COMPUTED_VALUE"""),"Malešice")</f>
        <v>Malešice</v>
      </c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200">
        <f>IFERROR(__xludf.DUMMYFUNCTION("""COMPUTED_VALUE"""),231.474)</f>
        <v>231.474</v>
      </c>
      <c r="W25" s="200">
        <f>IFERROR(__xludf.DUMMYFUNCTION("""COMPUTED_VALUE"""),0.0)</f>
        <v>0</v>
      </c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</row>
    <row r="26">
      <c r="A26" s="197" t="str">
        <f>IF(AND(B26&lt;&gt;"", C26=TRUE, E26=Report!$B$1), B26, "")</f>
        <v/>
      </c>
      <c r="B26" s="202" t="str">
        <f>IF(OR(E26=Report!$B$1, F26=Report!$B$1, G26=Report!$B$1, H26=Report!$B$1), D26, "")</f>
        <v/>
      </c>
      <c r="C26" s="197" t="b">
        <f>IFERROR(__xludf.DUMMYFUNCTION("""COMPUTED_VALUE"""),FALSE)</f>
        <v>0</v>
      </c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200">
        <f>IFERROR(__xludf.DUMMYFUNCTION("""COMPUTED_VALUE"""),0.0)</f>
        <v>0</v>
      </c>
      <c r="W26" s="200">
        <f>IFERROR(__xludf.DUMMYFUNCTION("""COMPUTED_VALUE"""),0.0)</f>
        <v>0</v>
      </c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</row>
    <row r="27">
      <c r="A27" s="197" t="str">
        <f>IF(AND(B27&lt;&gt;"", C27=TRUE, E27=Report!$B$1), B27, "")</f>
        <v/>
      </c>
      <c r="B27" s="202" t="str">
        <f>IF(OR(E27=Report!$B$1, F27=Report!$B$1, G27=Report!$B$1, H27=Report!$B$1), D27, "")</f>
        <v/>
      </c>
      <c r="C27" s="197" t="b">
        <f>IFERROR(__xludf.DUMMYFUNCTION("""COMPUTED_VALUE"""),FALSE)</f>
        <v>0</v>
      </c>
      <c r="D27" s="197" t="str">
        <f>IFERROR(__xludf.DUMMYFUNCTION("""COMPUTED_VALUE"""),"Berdar Vasyl")</f>
        <v>Berdar Vasyl</v>
      </c>
      <c r="E27" s="197" t="str">
        <f>IFERROR(__xludf.DUMMYFUNCTION("""COMPUTED_VALUE"""),"Libuš")</f>
        <v>Libuš</v>
      </c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200">
        <f>IFERROR(__xludf.DUMMYFUNCTION("""COMPUTED_VALUE"""),286.332)</f>
        <v>286.332</v>
      </c>
      <c r="W27" s="200">
        <f>IFERROR(__xludf.DUMMYFUNCTION("""COMPUTED_VALUE"""),0.0)</f>
        <v>0</v>
      </c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</row>
    <row r="28">
      <c r="A28" s="197" t="str">
        <f>IF(AND(B28&lt;&gt;"", C28=TRUE, E28=Report!$B$1), B28, "")</f>
        <v/>
      </c>
      <c r="B28" s="202" t="str">
        <f>IF(OR(E28=Report!$B$1, F28=Report!$B$1, G28=Report!$B$1, H28=Report!$B$1), D28, "")</f>
        <v/>
      </c>
      <c r="C28" s="197" t="b">
        <f>IFERROR(__xludf.DUMMYFUNCTION("""COMPUTED_VALUE"""),FALSE)</f>
        <v>0</v>
      </c>
      <c r="D28" s="197" t="str">
        <f>IFERROR(__xludf.DUMMYFUNCTION("""COMPUTED_VALUE"""),"Yarushynskyi Vladyslav")</f>
        <v>Yarushynskyi Vladyslav</v>
      </c>
      <c r="E28" s="197" t="str">
        <f>IFERROR(__xludf.DUMMYFUNCTION("""COMPUTED_VALUE"""),"Chodov")</f>
        <v>Chodov</v>
      </c>
      <c r="F28" s="197" t="str">
        <f>IFERROR(__xludf.DUMMYFUNCTION("""COMPUTED_VALUE"""),"Malešice")</f>
        <v>Malešice</v>
      </c>
      <c r="G28" s="197" t="str">
        <f>IFERROR(__xludf.DUMMYFUNCTION("""COMPUTED_VALUE"""),"Zličín")</f>
        <v>Zličín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200">
        <f>IFERROR(__xludf.DUMMYFUNCTION("""COMPUTED_VALUE"""),267.6)</f>
        <v>267.6</v>
      </c>
      <c r="W28" s="200">
        <f>IFERROR(__xludf.DUMMYFUNCTION("""COMPUTED_VALUE"""),0.0)</f>
        <v>0</v>
      </c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</row>
    <row r="29">
      <c r="A29" s="197" t="str">
        <f>IF(AND(B29&lt;&gt;"", C29=TRUE, E29=Report!$B$1), B29, "")</f>
        <v/>
      </c>
      <c r="B29" s="202" t="str">
        <f>IF(OR(E29=Report!$B$1, F29=Report!$B$1, G29=Report!$B$1, H29=Report!$B$1), D29, "")</f>
        <v>Raboch Tomáš</v>
      </c>
      <c r="C29" s="197" t="b">
        <f>IFERROR(__xludf.DUMMYFUNCTION("""COMPUTED_VALUE"""),FALSE)</f>
        <v>0</v>
      </c>
      <c r="D29" s="197" t="str">
        <f>IFERROR(__xludf.DUMMYFUNCTION("""COMPUTED_VALUE"""),"Raboch Tomáš")</f>
        <v>Raboch Tomáš</v>
      </c>
      <c r="E29" s="197" t="str">
        <f>IFERROR(__xludf.DUMMYFUNCTION("""COMPUTED_VALUE"""),"Bolevec")</f>
        <v>Bolevec</v>
      </c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200">
        <f>IFERROR(__xludf.DUMMYFUNCTION("""COMPUTED_VALUE"""),250.20600000000002)</f>
        <v>250.206</v>
      </c>
      <c r="W29" s="200">
        <f>IFERROR(__xludf.DUMMYFUNCTION("""COMPUTED_VALUE"""),0.0)</f>
        <v>0</v>
      </c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</row>
    <row r="30">
      <c r="A30" s="197" t="str">
        <f>IF(AND(B30&lt;&gt;"", C30=TRUE, E30=Report!$B$1), B30, "")</f>
        <v/>
      </c>
      <c r="B30" s="202" t="str">
        <f>IF(OR(E30=Report!$B$1, F30=Report!$B$1, G30=Report!$B$1, H30=Report!$B$1), D30, "")</f>
        <v/>
      </c>
      <c r="C30" s="197" t="b">
        <f>IFERROR(__xludf.DUMMYFUNCTION("""COMPUTED_VALUE"""),FALSE)</f>
        <v>0</v>
      </c>
      <c r="D30" s="197" t="str">
        <f>IFERROR(__xludf.DUMMYFUNCTION("""COMPUTED_VALUE"""),"Židek Petr")</f>
        <v>Židek Petr</v>
      </c>
      <c r="E30" s="197" t="str">
        <f>IFERROR(__xludf.DUMMYFUNCTION("""COMPUTED_VALUE"""),"Chodov")</f>
        <v>Chodov</v>
      </c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200">
        <f>IFERROR(__xludf.DUMMYFUNCTION("""COMPUTED_VALUE"""),250.20600000000002)</f>
        <v>250.206</v>
      </c>
      <c r="W30" s="200">
        <f>IFERROR(__xludf.DUMMYFUNCTION("""COMPUTED_VALUE"""),0.0)</f>
        <v>0</v>
      </c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</row>
    <row r="31">
      <c r="A31" s="197" t="str">
        <f>IF(AND(B31&lt;&gt;"", C31=TRUE, E31=Report!$B$1), B31, "")</f>
        <v/>
      </c>
      <c r="B31" s="202" t="str">
        <f>IF(OR(E31=Report!$B$1, F31=Report!$B$1, G31=Report!$B$1, H31=Report!$B$1), D31, "")</f>
        <v/>
      </c>
      <c r="C31" s="197" t="b">
        <f>IFERROR(__xludf.DUMMYFUNCTION("""COMPUTED_VALUE"""),FALSE)</f>
        <v>0</v>
      </c>
      <c r="D31" s="197" t="str">
        <f>IFERROR(__xludf.DUMMYFUNCTION("""COMPUTED_VALUE"""),"Gorol Patrik")</f>
        <v>Gorol Patrik</v>
      </c>
      <c r="E31" s="197" t="str">
        <f>IFERROR(__xludf.DUMMYFUNCTION("""COMPUTED_VALUE"""),"Malešice")</f>
        <v>Malešice</v>
      </c>
      <c r="F31" s="197" t="str">
        <f>IFERROR(__xludf.DUMMYFUNCTION("""COMPUTED_VALUE"""),"Libuš")</f>
        <v>Libuš</v>
      </c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200">
        <f>IFERROR(__xludf.DUMMYFUNCTION("""COMPUTED_VALUE"""),231.474)</f>
        <v>231.474</v>
      </c>
      <c r="W31" s="200">
        <f>IFERROR(__xludf.DUMMYFUNCTION("""COMPUTED_VALUE"""),0.0)</f>
        <v>0</v>
      </c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</row>
    <row r="32">
      <c r="A32" s="197" t="str">
        <f>IF(AND(B32&lt;&gt;"", C32=TRUE, E32=Report!$B$1), B32, "")</f>
        <v/>
      </c>
      <c r="B32" s="202" t="str">
        <f>IF(OR(E32=Report!$B$1, F32=Report!$B$1, G32=Report!$B$1, H32=Report!$B$1), D32, "")</f>
        <v>Kratochvíl Kryštof</v>
      </c>
      <c r="C32" s="197" t="b">
        <f>IFERROR(__xludf.DUMMYFUNCTION("""COMPUTED_VALUE"""),FALSE)</f>
        <v>0</v>
      </c>
      <c r="D32" s="197" t="str">
        <f>IFERROR(__xludf.DUMMYFUNCTION("""COMPUTED_VALUE"""),"Kratochvíl Kryštof")</f>
        <v>Kratochvíl Kryštof</v>
      </c>
      <c r="E32" s="197" t="str">
        <f>IFERROR(__xludf.DUMMYFUNCTION("""COMPUTED_VALUE"""),"Bolevec")</f>
        <v>Bolevec</v>
      </c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200">
        <f>IFERROR(__xludf.DUMMYFUNCTION("""COMPUTED_VALUE"""),267.6)</f>
        <v>267.6</v>
      </c>
      <c r="W32" s="200">
        <f>IFERROR(__xludf.DUMMYFUNCTION("""COMPUTED_VALUE"""),0.0)</f>
        <v>0</v>
      </c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</row>
    <row r="33">
      <c r="A33" s="197" t="str">
        <f>IF(AND(B33&lt;&gt;"", C33=TRUE, E33=Report!$B$1), B33, "")</f>
        <v/>
      </c>
      <c r="B33" s="202" t="str">
        <f>IF(OR(E33=Report!$B$1, F33=Report!$B$1, G33=Report!$B$1, H33=Report!$B$1), D33, "")</f>
        <v/>
      </c>
      <c r="C33" s="197" t="b">
        <f>IFERROR(__xludf.DUMMYFUNCTION("""COMPUTED_VALUE"""),FALSE)</f>
        <v>0</v>
      </c>
      <c r="D33" s="197" t="str">
        <f>IFERROR(__xludf.DUMMYFUNCTION("""COMPUTED_VALUE"""),"Hegedüs Gergö")</f>
        <v>Hegedüs Gergö</v>
      </c>
      <c r="E33" s="197" t="str">
        <f>IFERROR(__xludf.DUMMYFUNCTION("""COMPUTED_VALUE"""),"Libuš")</f>
        <v>Libuš</v>
      </c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200">
        <f>IFERROR(__xludf.DUMMYFUNCTION("""COMPUTED_VALUE"""),214.08)</f>
        <v>214.08</v>
      </c>
      <c r="W33" s="200">
        <f>IFERROR(__xludf.DUMMYFUNCTION("""COMPUTED_VALUE"""),0.0)</f>
        <v>0</v>
      </c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</row>
    <row r="34">
      <c r="A34" s="197" t="str">
        <f>IF(AND(B34&lt;&gt;"", C34=TRUE, E34=Report!$B$1), B34, "")</f>
        <v/>
      </c>
      <c r="B34" s="202" t="str">
        <f>IF(OR(E34=Report!$B$1, F34=Report!$B$1, G34=Report!$B$1, H34=Report!$B$1), D34, "")</f>
        <v/>
      </c>
      <c r="C34" s="197" t="b">
        <f>IFERROR(__xludf.DUMMYFUNCTION("""COMPUTED_VALUE"""),FALSE)</f>
        <v>0</v>
      </c>
      <c r="D34" s="197" t="str">
        <f>IFERROR(__xludf.DUMMYFUNCTION("""COMPUTED_VALUE"""),"Barvínková Eliška")</f>
        <v>Barvínková Eliška</v>
      </c>
      <c r="E34" s="197" t="str">
        <f>IFERROR(__xludf.DUMMYFUNCTION("""COMPUTED_VALUE"""),"Libuš")</f>
        <v>Libuš</v>
      </c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200">
        <f>IFERROR(__xludf.DUMMYFUNCTION("""COMPUTED_VALUE"""),231.474)</f>
        <v>231.474</v>
      </c>
      <c r="W34" s="200">
        <f>IFERROR(__xludf.DUMMYFUNCTION("""COMPUTED_VALUE"""),0.0)</f>
        <v>0</v>
      </c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</row>
    <row r="35">
      <c r="A35" s="197" t="str">
        <f>IF(AND(B35&lt;&gt;"", C35=TRUE, E35=Report!$B$1), B35, "")</f>
        <v/>
      </c>
      <c r="B35" s="202" t="str">
        <f>IF(OR(E35=Report!$B$1, F35=Report!$B$1, G35=Report!$B$1, H35=Report!$B$1), D35, "")</f>
        <v/>
      </c>
      <c r="C35" s="197" t="b">
        <f>IFERROR(__xludf.DUMMYFUNCTION("""COMPUTED_VALUE"""),FALSE)</f>
        <v>0</v>
      </c>
      <c r="D35" s="197" t="str">
        <f>IFERROR(__xludf.DUMMYFUNCTION("""COMPUTED_VALUE"""),"Kursheva Diana")</f>
        <v>Kursheva Diana</v>
      </c>
      <c r="E35" s="197" t="str">
        <f>IFERROR(__xludf.DUMMYFUNCTION("""COMPUTED_VALUE"""),"Výroba")</f>
        <v>Výroba</v>
      </c>
      <c r="F35" s="197" t="str">
        <f>IFERROR(__xludf.DUMMYFUNCTION("""COMPUTED_VALUE"""),"Chodov")</f>
        <v>Chodov</v>
      </c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200">
        <f>IFERROR(__xludf.DUMMYFUNCTION("""COMPUTED_VALUE"""),250.20600000000002)</f>
        <v>250.206</v>
      </c>
      <c r="W35" s="200">
        <f>IFERROR(__xludf.DUMMYFUNCTION("""COMPUTED_VALUE"""),0.0)</f>
        <v>0</v>
      </c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</row>
    <row r="36">
      <c r="A36" s="197" t="str">
        <f>IF(AND(B36&lt;&gt;"", C36=TRUE, E36=Report!$B$1), B36, "")</f>
        <v/>
      </c>
      <c r="B36" s="202" t="str">
        <f>IF(OR(E36=Report!$B$1, F36=Report!$B$1, G36=Report!$B$1, H36=Report!$B$1), D36, "")</f>
        <v>Tůma Vladimír</v>
      </c>
      <c r="C36" s="197" t="b">
        <f>IFERROR(__xludf.DUMMYFUNCTION("""COMPUTED_VALUE"""),FALSE)</f>
        <v>0</v>
      </c>
      <c r="D36" s="197" t="str">
        <f>IFERROR(__xludf.DUMMYFUNCTION("""COMPUTED_VALUE"""),"Tůma Vladimír")</f>
        <v>Tůma Vladimír</v>
      </c>
      <c r="E36" s="197" t="str">
        <f>IFERROR(__xludf.DUMMYFUNCTION("""COMPUTED_VALUE"""),"Bolevec")</f>
        <v>Bolevec</v>
      </c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200">
        <f>IFERROR(__xludf.DUMMYFUNCTION("""COMPUTED_VALUE"""),250.20600000000002)</f>
        <v>250.206</v>
      </c>
      <c r="W36" s="200">
        <f>IFERROR(__xludf.DUMMYFUNCTION("""COMPUTED_VALUE"""),0.0)</f>
        <v>0</v>
      </c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</row>
    <row r="37">
      <c r="A37" s="197" t="str">
        <f>IF(AND(B37&lt;&gt;"", C37=TRUE, E37=Report!$B$1), B37, "")</f>
        <v/>
      </c>
      <c r="B37" s="202" t="str">
        <f>IF(OR(E37=Report!$B$1, F37=Report!$B$1, G37=Report!$B$1, H37=Report!$B$1), D37, "")</f>
        <v/>
      </c>
      <c r="C37" s="197" t="b">
        <f>IFERROR(__xludf.DUMMYFUNCTION("""COMPUTED_VALUE"""),FALSE)</f>
        <v>0</v>
      </c>
      <c r="D37" s="197" t="str">
        <f>IFERROR(__xludf.DUMMYFUNCTION("""COMPUTED_VALUE"""),"Kubík Martin")</f>
        <v>Kubík Martin</v>
      </c>
      <c r="E37" s="197" t="str">
        <f>IFERROR(__xludf.DUMMYFUNCTION("""COMPUTED_VALUE"""),"Libuš")</f>
        <v>Libuš</v>
      </c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200">
        <f>IFERROR(__xludf.DUMMYFUNCTION("""COMPUTED_VALUE"""),250.20600000000002)</f>
        <v>250.206</v>
      </c>
      <c r="W37" s="200">
        <f>IFERROR(__xludf.DUMMYFUNCTION("""COMPUTED_VALUE"""),0.0)</f>
        <v>0</v>
      </c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</row>
    <row r="38">
      <c r="A38" s="197" t="str">
        <f>IF(AND(B38&lt;&gt;"", C38=TRUE, E38=Report!$B$1), B38, "")</f>
        <v/>
      </c>
      <c r="B38" s="202" t="str">
        <f>IF(OR(E38=Report!$B$1, F38=Report!$B$1, G38=Report!$B$1, H38=Report!$B$1), D38, "")</f>
        <v/>
      </c>
      <c r="C38" s="197" t="b">
        <f>IFERROR(__xludf.DUMMYFUNCTION("""COMPUTED_VALUE"""),FALSE)</f>
        <v>0</v>
      </c>
      <c r="D38" s="197" t="str">
        <f>IFERROR(__xludf.DUMMYFUNCTION("""COMPUTED_VALUE"""),"Putna Jaroslav")</f>
        <v>Putna Jaroslav</v>
      </c>
      <c r="E38" s="197" t="str">
        <f>IFERROR(__xludf.DUMMYFUNCTION("""COMPUTED_VALUE"""),"Zličín")</f>
        <v>Zličín</v>
      </c>
      <c r="F38" s="197" t="str">
        <f>IFERROR(__xludf.DUMMYFUNCTION("""COMPUTED_VALUE"""),"Prosek")</f>
        <v>Prosek</v>
      </c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200">
        <f>IFERROR(__xludf.DUMMYFUNCTION("""COMPUTED_VALUE"""),250.20600000000002)</f>
        <v>250.206</v>
      </c>
      <c r="W38" s="200">
        <f>IFERROR(__xludf.DUMMYFUNCTION("""COMPUTED_VALUE"""),0.0)</f>
        <v>0</v>
      </c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</row>
    <row r="39">
      <c r="A39" s="197" t="str">
        <f>IF(AND(B39&lt;&gt;"", C39=TRUE, E39=Report!$B$1), B39, "")</f>
        <v/>
      </c>
      <c r="B39" s="202" t="str">
        <f>IF(OR(E39=Report!$B$1, F39=Report!$B$1, G39=Report!$B$1, H39=Report!$B$1), D39, "")</f>
        <v/>
      </c>
      <c r="C39" s="197" t="b">
        <f>IFERROR(__xludf.DUMMYFUNCTION("""COMPUTED_VALUE"""),FALSE)</f>
        <v>0</v>
      </c>
      <c r="D39" s="197" t="str">
        <f>IFERROR(__xludf.DUMMYFUNCTION("""COMPUTED_VALUE"""),"Kopic Jakub")</f>
        <v>Kopic Jakub</v>
      </c>
      <c r="E39" s="197" t="str">
        <f>IFERROR(__xludf.DUMMYFUNCTION("""COMPUTED_VALUE"""),"Malešice")</f>
        <v>Malešice</v>
      </c>
      <c r="F39" s="197" t="str">
        <f>IFERROR(__xludf.DUMMYFUNCTION("""COMPUTED_VALUE"""),"Prosek")</f>
        <v>Prosek</v>
      </c>
      <c r="G39" s="197" t="str">
        <f>IFERROR(__xludf.DUMMYFUNCTION("""COMPUTED_VALUE"""),"Libuš")</f>
        <v>Libuš</v>
      </c>
      <c r="H39" s="197" t="str">
        <f>IFERROR(__xludf.DUMMYFUNCTION("""COMPUTED_VALUE"""),"Prosek")</f>
        <v>Prosek</v>
      </c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200">
        <f>IFERROR(__xludf.DUMMYFUNCTION("""COMPUTED_VALUE"""),250.20600000000002)</f>
        <v>250.206</v>
      </c>
      <c r="W39" s="200">
        <f>IFERROR(__xludf.DUMMYFUNCTION("""COMPUTED_VALUE"""),0.0)</f>
        <v>0</v>
      </c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</row>
    <row r="40">
      <c r="A40" s="197" t="str">
        <f>IF(AND(B40&lt;&gt;"", C40=TRUE, E40=Report!$B$1), B40, "")</f>
        <v/>
      </c>
      <c r="B40" s="202" t="str">
        <f>IF(OR(E40=Report!$B$1, F40=Report!$B$1, G40=Report!$B$1, H40=Report!$B$1), D40, "")</f>
        <v/>
      </c>
      <c r="C40" s="197" t="b">
        <f>IFERROR(__xludf.DUMMYFUNCTION("""COMPUTED_VALUE"""),FALSE)</f>
        <v>0</v>
      </c>
      <c r="D40" s="197" t="str">
        <f>IFERROR(__xludf.DUMMYFUNCTION("""COMPUTED_VALUE"""),"Fáberová Kateřina")</f>
        <v>Fáberová Kateřina</v>
      </c>
      <c r="E40" s="197" t="str">
        <f>IFERROR(__xludf.DUMMYFUNCTION("""COMPUTED_VALUE"""),"Prosek")</f>
        <v>Prosek</v>
      </c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200">
        <f>IFERROR(__xludf.DUMMYFUNCTION("""COMPUTED_VALUE"""),250.20600000000002)</f>
        <v>250.206</v>
      </c>
      <c r="W40" s="200">
        <f>IFERROR(__xludf.DUMMYFUNCTION("""COMPUTED_VALUE"""),0.0)</f>
        <v>0</v>
      </c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</row>
    <row r="41">
      <c r="A41" s="197" t="str">
        <f>IF(AND(B41&lt;&gt;"", C41=TRUE, E41=Report!$B$1), B41, "")</f>
        <v/>
      </c>
      <c r="B41" s="202" t="str">
        <f>IF(OR(E41=Report!$B$1, F41=Report!$B$1, G41=Report!$B$1, H41=Report!$B$1), D41, "")</f>
        <v/>
      </c>
      <c r="C41" s="197" t="b">
        <f>IFERROR(__xludf.DUMMYFUNCTION("""COMPUTED_VALUE"""),FALSE)</f>
        <v>0</v>
      </c>
      <c r="D41" s="197" t="str">
        <f>IFERROR(__xludf.DUMMYFUNCTION("""COMPUTED_VALUE"""),"Chlubnová Adéla")</f>
        <v>Chlubnová Adéla</v>
      </c>
      <c r="E41" s="197" t="str">
        <f>IFERROR(__xludf.DUMMYFUNCTION("""COMPUTED_VALUE"""),"Chodov")</f>
        <v>Chodov</v>
      </c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200">
        <f>IFERROR(__xludf.DUMMYFUNCTION("""COMPUTED_VALUE"""),250.20600000000002)</f>
        <v>250.206</v>
      </c>
      <c r="W41" s="200">
        <f>IFERROR(__xludf.DUMMYFUNCTION("""COMPUTED_VALUE"""),0.0)</f>
        <v>0</v>
      </c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</row>
    <row r="42">
      <c r="A42" s="197" t="str">
        <f>IF(AND(B42&lt;&gt;"", C42=TRUE, E42=Report!$B$1), B42, "")</f>
        <v/>
      </c>
      <c r="B42" s="202" t="str">
        <f>IF(OR(E42=Report!$B$1, F42=Report!$B$1, G42=Report!$B$1, H42=Report!$B$1), D42, "")</f>
        <v/>
      </c>
      <c r="C42" s="197" t="b">
        <f>IFERROR(__xludf.DUMMYFUNCTION("""COMPUTED_VALUE"""),FALSE)</f>
        <v>0</v>
      </c>
      <c r="D42" s="197" t="str">
        <f>IFERROR(__xludf.DUMMYFUNCTION("""COMPUTED_VALUE"""),"Kuzníková Nicol")</f>
        <v>Kuzníková Nicol</v>
      </c>
      <c r="E42" s="197" t="str">
        <f>IFERROR(__xludf.DUMMYFUNCTION("""COMPUTED_VALUE"""),"Zličín")</f>
        <v>Zličín</v>
      </c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200">
        <f>IFERROR(__xludf.DUMMYFUNCTION("""COMPUTED_VALUE"""),250.20600000000002)</f>
        <v>250.206</v>
      </c>
      <c r="W42" s="200">
        <f>IFERROR(__xludf.DUMMYFUNCTION("""COMPUTED_VALUE"""),0.0)</f>
        <v>0</v>
      </c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</row>
    <row r="43">
      <c r="A43" s="197" t="str">
        <f>IF(AND(B43&lt;&gt;"", C43=TRUE, E43=Report!$B$1), B43, "")</f>
        <v/>
      </c>
      <c r="B43" s="202" t="str">
        <f>IF(OR(E43=Report!$B$1, F43=Report!$B$1, G43=Report!$B$1, H43=Report!$B$1), D43, "")</f>
        <v/>
      </c>
      <c r="C43" s="197" t="b">
        <f>IFERROR(__xludf.DUMMYFUNCTION("""COMPUTED_VALUE"""),FALSE)</f>
        <v>0</v>
      </c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200">
        <f>IFERROR(__xludf.DUMMYFUNCTION("""COMPUTED_VALUE"""),0.0)</f>
        <v>0</v>
      </c>
      <c r="W43" s="200">
        <f>IFERROR(__xludf.DUMMYFUNCTION("""COMPUTED_VALUE"""),0.0)</f>
        <v>0</v>
      </c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</row>
    <row r="44">
      <c r="A44" s="197"/>
      <c r="B44" s="203" t="str">
        <f>IF(OR(E44=Report!$B$1, F44=Report!$B$1, G44=Report!$B$1, H44=Report!$B$1), D44, "")</f>
        <v/>
      </c>
      <c r="C44" s="197" t="b">
        <f>IFERROR(__xludf.DUMMYFUNCTION("""COMPUTED_VALUE"""),FALSE)</f>
        <v>0</v>
      </c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200">
        <f>IFERROR(__xludf.DUMMYFUNCTION("""COMPUTED_VALUE"""),0.0)</f>
        <v>0</v>
      </c>
      <c r="W44" s="200">
        <f>IFERROR(__xludf.DUMMYFUNCTION("""COMPUTED_VALUE"""),0.0)</f>
        <v>0</v>
      </c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</row>
    <row r="45">
      <c r="A45" s="197"/>
      <c r="B45" s="203" t="str">
        <f>IF(OR(E45=Report!$B$1, F45=Report!$B$1, G45=Report!$B$1, H45=Report!$B$1), D45, "")</f>
        <v/>
      </c>
      <c r="C45" s="197" t="b">
        <f>IFERROR(__xludf.DUMMYFUNCTION("""COMPUTED_VALUE"""),FALSE)</f>
        <v>0</v>
      </c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200">
        <f>IFERROR(__xludf.DUMMYFUNCTION("""COMPUTED_VALUE"""),0.0)</f>
        <v>0</v>
      </c>
      <c r="W45" s="200">
        <f>IFERROR(__xludf.DUMMYFUNCTION("""COMPUTED_VALUE"""),0.0)</f>
        <v>0</v>
      </c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</row>
    <row r="46">
      <c r="A46" s="197"/>
      <c r="B46" s="203" t="str">
        <f>IF(OR(E46=Report!$B$1, F46=Report!$B$1, G46=Report!$B$1, H46=Report!$B$1), D46, "")</f>
        <v/>
      </c>
      <c r="C46" s="197" t="b">
        <f>IFERROR(__xludf.DUMMYFUNCTION("""COMPUTED_VALUE"""),FALSE)</f>
        <v>0</v>
      </c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200">
        <f>IFERROR(__xludf.DUMMYFUNCTION("""COMPUTED_VALUE"""),0.0)</f>
        <v>0</v>
      </c>
      <c r="W46" s="200">
        <f>IFERROR(__xludf.DUMMYFUNCTION("""COMPUTED_VALUE"""),0.0)</f>
        <v>0</v>
      </c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</row>
    <row r="47">
      <c r="A47" s="197"/>
      <c r="B47" s="203" t="str">
        <f>IF(OR(E47=Report!$B$1, F47=Report!$B$1, G47=Report!$B$1, H47=Report!$B$1), D47, "")</f>
        <v/>
      </c>
      <c r="C47" s="197" t="b">
        <f>IFERROR(__xludf.DUMMYFUNCTION("""COMPUTED_VALUE"""),FALSE)</f>
        <v>0</v>
      </c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200">
        <f>IFERROR(__xludf.DUMMYFUNCTION("""COMPUTED_VALUE"""),0.0)</f>
        <v>0</v>
      </c>
      <c r="W47" s="200">
        <f>IFERROR(__xludf.DUMMYFUNCTION("""COMPUTED_VALUE"""),0.0)</f>
        <v>0</v>
      </c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</row>
    <row r="48">
      <c r="A48" s="197"/>
      <c r="B48" s="203" t="str">
        <f>IF(OR(E48=Report!$B$1, F48=Report!$B$1, G48=Report!$B$1, H48=Report!$B$1), D48, "")</f>
        <v/>
      </c>
      <c r="C48" s="197" t="b">
        <f>IFERROR(__xludf.DUMMYFUNCTION("""COMPUTED_VALUE"""),FALSE)</f>
        <v>0</v>
      </c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200">
        <f>IFERROR(__xludf.DUMMYFUNCTION("""COMPUTED_VALUE"""),0.0)</f>
        <v>0</v>
      </c>
      <c r="W48" s="200">
        <f>IFERROR(__xludf.DUMMYFUNCTION("""COMPUTED_VALUE"""),0.0)</f>
        <v>0</v>
      </c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</row>
    <row r="49">
      <c r="A49" s="197"/>
      <c r="B49" s="203" t="str">
        <f>IF(OR(E49=Report!$B$1, F49=Report!$B$1, G49=Report!$B$1, H49=Report!$B$1), D49, "")</f>
        <v/>
      </c>
      <c r="C49" s="197" t="b">
        <f>IFERROR(__xludf.DUMMYFUNCTION("""COMPUTED_VALUE"""),FALSE)</f>
        <v>0</v>
      </c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200">
        <f>IFERROR(__xludf.DUMMYFUNCTION("""COMPUTED_VALUE"""),0.0)</f>
        <v>0</v>
      </c>
      <c r="W49" s="200">
        <f>IFERROR(__xludf.DUMMYFUNCTION("""COMPUTED_VALUE"""),0.0)</f>
        <v>0</v>
      </c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</row>
    <row r="50">
      <c r="A50" s="197"/>
      <c r="B50" s="203" t="str">
        <f>IF(OR(E50=Report!$B$1, F50=Report!$B$1, G50=Report!$B$1, H50=Report!$B$1), D50, "")</f>
        <v/>
      </c>
      <c r="C50" s="197" t="b">
        <f>IFERROR(__xludf.DUMMYFUNCTION("""COMPUTED_VALUE"""),FALSE)</f>
        <v>0</v>
      </c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200">
        <f>IFERROR(__xludf.DUMMYFUNCTION("""COMPUTED_VALUE"""),0.0)</f>
        <v>0</v>
      </c>
      <c r="W50" s="200">
        <f>IFERROR(__xludf.DUMMYFUNCTION("""COMPUTED_VALUE"""),0.0)</f>
        <v>0</v>
      </c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</row>
    <row r="51">
      <c r="A51" s="197"/>
      <c r="B51" s="203" t="str">
        <f>IF(OR(E51=Report!$B$1, F51=Report!$B$1, G51=Report!$B$1, H51=Report!$B$1), D51, "")</f>
        <v/>
      </c>
      <c r="C51" s="197" t="b">
        <f>IFERROR(__xludf.DUMMYFUNCTION("""COMPUTED_VALUE"""),FALSE)</f>
        <v>0</v>
      </c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200">
        <f>IFERROR(__xludf.DUMMYFUNCTION("""COMPUTED_VALUE"""),0.0)</f>
        <v>0</v>
      </c>
      <c r="W51" s="200">
        <f>IFERROR(__xludf.DUMMYFUNCTION("""COMPUTED_VALUE"""),0.0)</f>
        <v>0</v>
      </c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</row>
    <row r="52">
      <c r="A52" s="197"/>
      <c r="B52" s="203" t="str">
        <f>IF(OR(E52=Report!$B$1, F52=Report!$B$1, G52=Report!$B$1, H52=Report!$B$1), D52, "")</f>
        <v/>
      </c>
      <c r="C52" s="197" t="b">
        <f>IFERROR(__xludf.DUMMYFUNCTION("""COMPUTED_VALUE"""),FALSE)</f>
        <v>0</v>
      </c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200">
        <f>IFERROR(__xludf.DUMMYFUNCTION("""COMPUTED_VALUE"""),0.0)</f>
        <v>0</v>
      </c>
      <c r="W52" s="200">
        <f>IFERROR(__xludf.DUMMYFUNCTION("""COMPUTED_VALUE"""),0.0)</f>
        <v>0</v>
      </c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</row>
    <row r="53">
      <c r="A53" s="197"/>
      <c r="B53" s="203" t="str">
        <f>IF(OR(E53=Report!$B$1, F53=Report!$B$1, G53=Report!$B$1, H53=Report!$B$1), D53, "")</f>
        <v/>
      </c>
      <c r="C53" s="197" t="b">
        <f>IFERROR(__xludf.DUMMYFUNCTION("""COMPUTED_VALUE"""),FALSE)</f>
        <v>0</v>
      </c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200">
        <f>IFERROR(__xludf.DUMMYFUNCTION("""COMPUTED_VALUE"""),0.0)</f>
        <v>0</v>
      </c>
      <c r="W53" s="200">
        <f>IFERROR(__xludf.DUMMYFUNCTION("""COMPUTED_VALUE"""),0.0)</f>
        <v>0</v>
      </c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</row>
    <row r="54">
      <c r="A54" s="197"/>
      <c r="B54" s="203" t="str">
        <f>IF(OR(E54=Report!$B$1, F54=Report!$B$1, G54=Report!$B$1, H54=Report!$B$1), D54, "")</f>
        <v/>
      </c>
      <c r="C54" s="197" t="b">
        <f>IFERROR(__xludf.DUMMYFUNCTION("""COMPUTED_VALUE"""),FALSE)</f>
        <v>0</v>
      </c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200">
        <f>IFERROR(__xludf.DUMMYFUNCTION("""COMPUTED_VALUE"""),0.0)</f>
        <v>0</v>
      </c>
      <c r="W54" s="200">
        <f>IFERROR(__xludf.DUMMYFUNCTION("""COMPUTED_VALUE"""),0.0)</f>
        <v>0</v>
      </c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</row>
    <row r="55">
      <c r="A55" s="197"/>
      <c r="B55" s="203" t="str">
        <f>IF(OR(E55=Report!$B$1, F55=Report!$B$1, G55=Report!$B$1, H55=Report!$B$1), D55, "")</f>
        <v/>
      </c>
      <c r="C55" s="197" t="b">
        <f>IFERROR(__xludf.DUMMYFUNCTION("""COMPUTED_VALUE"""),FALSE)</f>
        <v>0</v>
      </c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200">
        <f>IFERROR(__xludf.DUMMYFUNCTION("""COMPUTED_VALUE"""),0.0)</f>
        <v>0</v>
      </c>
      <c r="W55" s="200">
        <f>IFERROR(__xludf.DUMMYFUNCTION("""COMPUTED_VALUE"""),0.0)</f>
        <v>0</v>
      </c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</row>
    <row r="56">
      <c r="A56" s="197"/>
      <c r="B56" s="203" t="str">
        <f>IF(OR(E56=Report!$B$1, F56=Report!$B$1, G56=Report!$B$1, H56=Report!$B$1), D56, "")</f>
        <v/>
      </c>
      <c r="C56" s="197" t="b">
        <f>IFERROR(__xludf.DUMMYFUNCTION("""COMPUTED_VALUE"""),FALSE)</f>
        <v>0</v>
      </c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200">
        <f>IFERROR(__xludf.DUMMYFUNCTION("""COMPUTED_VALUE"""),250.20600000000002)</f>
        <v>250.206</v>
      </c>
      <c r="W56" s="200">
        <f>IFERROR(__xludf.DUMMYFUNCTION("""COMPUTED_VALUE"""),0.0)</f>
        <v>0</v>
      </c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</row>
    <row r="57">
      <c r="A57" s="197"/>
      <c r="B57" s="203" t="str">
        <f>IF(OR(E57=Report!$B$1, F57=Report!$B$1, G57=Report!$B$1, H57=Report!$B$1), D57, "")</f>
        <v/>
      </c>
      <c r="C57" s="197" t="b">
        <f>IFERROR(__xludf.DUMMYFUNCTION("""COMPUTED_VALUE"""),FALSE)</f>
        <v>0</v>
      </c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200">
        <f>IFERROR(__xludf.DUMMYFUNCTION("""COMPUTED_VALUE"""),0.0)</f>
        <v>0</v>
      </c>
      <c r="W57" s="200">
        <f>IFERROR(__xludf.DUMMYFUNCTION("""COMPUTED_VALUE"""),0.0)</f>
        <v>0</v>
      </c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</row>
    <row r="58">
      <c r="A58" s="197"/>
      <c r="B58" s="203" t="str">
        <f>IF(OR(E58=Report!$B$1, F58=Report!$B$1, G58=Report!$B$1, H58=Report!$B$1), D58, "")</f>
        <v/>
      </c>
      <c r="C58" s="197"/>
      <c r="D58" s="197" t="str">
        <f>IFERROR(__xludf.DUMMYFUNCTION("""COMPUTED_VALUE"""),"End")</f>
        <v>End</v>
      </c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200">
        <f>IFERROR(__xludf.DUMMYFUNCTION("""COMPUTED_VALUE"""),0.0)</f>
        <v>0</v>
      </c>
      <c r="W58" s="200">
        <f>IFERROR(__xludf.DUMMYFUNCTION("""COMPUTED_VALUE"""),0.0)</f>
        <v>0</v>
      </c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</row>
    <row r="59">
      <c r="A59" s="197"/>
      <c r="B59" s="203" t="str">
        <f>IF(OR(E59=Report!$B$1, F59=Report!$B$1, G59=Report!$B$1, H59=Report!$B$1), D59, "")</f>
        <v/>
      </c>
      <c r="C59" s="197"/>
      <c r="D59" s="197" t="str">
        <f>IFERROR(__xludf.DUMMYFUNCTION("""COMPUTED_VALUE"""),"Suma instor")</f>
        <v>Suma instor</v>
      </c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200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</row>
    <row r="60">
      <c r="A60" s="197"/>
      <c r="B60" s="203" t="str">
        <f>IF(OR(E60=Report!$B$1, F60=Report!$B$1, G60=Report!$B$1, H60=Report!$B$1), D60, "")</f>
        <v/>
      </c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200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</row>
    <row r="61">
      <c r="A61" s="197"/>
      <c r="B61" s="202" t="str">
        <f>IF(OR(E61=Report!$B$1, F61=Report!$B$1, G61=Report!$B$1, H61=Report!$B$1), D61, "")</f>
        <v/>
      </c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200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</row>
    <row r="62">
      <c r="A62" s="197"/>
      <c r="B62" s="202" t="str">
        <f>IF(OR(E62=Report!$B$1, F62=Report!$B$1, G62=Report!$B$1, H62=Report!$B$1), D62, "")</f>
        <v/>
      </c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200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</row>
    <row r="63">
      <c r="A63" s="197"/>
      <c r="B63" s="202" t="str">
        <f>IF(OR(E63=Report!$B$1, F63=Report!$B$1, G63=Report!$B$1, H63=Report!$B$1), D63, "")</f>
        <v/>
      </c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200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</row>
    <row r="64">
      <c r="A64" s="197"/>
      <c r="B64" s="202" t="str">
        <f>IF(OR(E64=Report!$B$1, F64=Report!$B$1, G64=Report!$B$1, H64=Report!$B$1), D64, "")</f>
        <v/>
      </c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200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</row>
    <row r="65">
      <c r="A65" s="197"/>
      <c r="B65" s="202" t="str">
        <f>IF(OR(E65=Report!$B$1, F65=Report!$B$1, G65=Report!$B$1, H65=Report!$B$1), D65, "")</f>
        <v/>
      </c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200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</row>
    <row r="66">
      <c r="A66" s="197"/>
      <c r="B66" s="202" t="str">
        <f>IF(OR(E66=Report!$B$1, F66=Report!$B$1, G66=Report!$B$1, H66=Report!$B$1), D66, "")</f>
        <v/>
      </c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200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</row>
    <row r="67">
      <c r="A67" s="197"/>
      <c r="B67" s="202" t="str">
        <f>IF(OR(E67=Report!$B$1, F67=Report!$B$1, G67=Report!$B$1, H67=Report!$B$1), D67, "")</f>
        <v/>
      </c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200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</row>
    <row r="68">
      <c r="A68" s="197"/>
      <c r="B68" s="202" t="str">
        <f>IF(OR(E68=Report!$B$1, F68=Report!$B$1, G68=Report!$B$1, H68=Report!$B$1), D68, "")</f>
        <v/>
      </c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200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</row>
    <row r="69">
      <c r="A69" s="197"/>
      <c r="B69" s="202" t="str">
        <f>IF(OR(E69=Report!$B$1, F69=Report!$B$1, G69=Report!$B$1, H69=Report!$B$1), D69, "")</f>
        <v/>
      </c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200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</row>
    <row r="70">
      <c r="A70" s="197"/>
      <c r="B70" s="202" t="str">
        <f>IF(OR(E70=Report!$B$1, F70=Report!$B$1, G70=Report!$B$1, H70=Report!$B$1), D70, "")</f>
        <v/>
      </c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200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</row>
    <row r="71">
      <c r="A71" s="197"/>
      <c r="B71" s="202" t="str">
        <f>IF(OR(E71=Report!$B$1, F71=Report!$B$1, G71=Report!$B$1, H71=Report!$B$1), D71, "")</f>
        <v/>
      </c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200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</row>
    <row r="72">
      <c r="A72" s="197"/>
      <c r="B72" s="202" t="str">
        <f>IF(OR(E72=Report!$B$1, F72=Report!$B$1, G72=Report!$B$1, H72=Report!$B$1), D72, "")</f>
        <v/>
      </c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200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</row>
    <row r="73">
      <c r="A73" s="197"/>
      <c r="B73" s="202" t="str">
        <f>IF(OR(E73=Report!$B$1, F73=Report!$B$1, G73=Report!$B$1, H73=Report!$B$1), D73, "")</f>
        <v/>
      </c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200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</row>
    <row r="74">
      <c r="A74" s="197"/>
      <c r="B74" s="202" t="str">
        <f>IF(OR(E74=Report!$B$1, F74=Report!$B$1, G74=Report!$B$1, H74=Report!$B$1), D74, "")</f>
        <v/>
      </c>
      <c r="C74" s="197" t="str">
        <f>IFERROR(__xludf.DUMMYFUNCTION("""COMPUTED_VALUE"""),"Manažer")</f>
        <v>Manažer</v>
      </c>
      <c r="D74" s="197" t="str">
        <f>IFERROR(__xludf.DUMMYFUNCTION("""COMPUTED_VALUE"""),"Kurýr")</f>
        <v>Kurýr</v>
      </c>
      <c r="E74" s="197" t="str">
        <f>IFERROR(__xludf.DUMMYFUNCTION("""COMPUTED_VALUE"""),"První domácí,          Pobočky max 4    ")</f>
        <v>První domácí,          Pobočky max 4    </v>
      </c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 t="str">
        <f>IFERROR(__xludf.DUMMYFUNCTION("""COMPUTED_VALUE"""),"Sp.hr. / h")</f>
        <v>Sp.hr. / h</v>
      </c>
      <c r="W74" s="200" t="str">
        <f>IFERROR(__xludf.DUMMYFUNCTION("""COMPUTED_VALUE"""),"Sp.hr. / den")</f>
        <v>Sp.hr. / den</v>
      </c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</row>
    <row r="75">
      <c r="A75" s="197"/>
      <c r="B75" s="202" t="str">
        <f>IF(OR(E75=Report!$B$1, F75=Report!$B$1, G75=Report!$B$1, H75=Report!$B$1), D75, "")</f>
        <v/>
      </c>
      <c r="C75" s="197" t="b">
        <f>IFERROR(__xludf.DUMMYFUNCTION("""COMPUTED_VALUE"""),FALSE)</f>
        <v>0</v>
      </c>
      <c r="D75" s="197" t="str">
        <f>IFERROR(__xludf.DUMMYFUNCTION("""COMPUTED_VALUE"""),"Jurkovič Martin")</f>
        <v>Jurkovič Martin</v>
      </c>
      <c r="E75" s="197" t="str">
        <f>IFERROR(__xludf.DUMMYFUNCTION("""COMPUTED_VALUE"""),"Libuš")</f>
        <v>Libuš</v>
      </c>
      <c r="F75" s="197" t="str">
        <f>IFERROR(__xludf.DUMMYFUNCTION("""COMPUTED_VALUE"""),"Chodov")</f>
        <v>Chodov</v>
      </c>
      <c r="G75" s="197" t="str">
        <f>IFERROR(__xludf.DUMMYFUNCTION("""COMPUTED_VALUE"""),"Malešice")</f>
        <v>Malešice</v>
      </c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200">
        <f>IFERROR(__xludf.DUMMYFUNCTION("""COMPUTED_VALUE"""),150.0)</f>
        <v>150</v>
      </c>
      <c r="W75" s="200">
        <f>IFERROR(__xludf.DUMMYFUNCTION("""COMPUTED_VALUE"""),0.0)</f>
        <v>0</v>
      </c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</row>
    <row r="76">
      <c r="A76" s="197"/>
      <c r="B76" s="202" t="str">
        <f>IF(OR(E76=Report!$B$1, F76=Report!$B$1, G76=Report!$B$1, H76=Report!$B$1), D76, "")</f>
        <v/>
      </c>
      <c r="C76" s="197" t="b">
        <f>IFERROR(__xludf.DUMMYFUNCTION("""COMPUTED_VALUE"""),FALSE)</f>
        <v>0</v>
      </c>
      <c r="D76" s="197" t="str">
        <f>IFERROR(__xludf.DUMMYFUNCTION("""COMPUTED_VALUE"""),"Navrátil Ondřej")</f>
        <v>Navrátil Ondřej</v>
      </c>
      <c r="E76" s="197" t="str">
        <f>IFERROR(__xludf.DUMMYFUNCTION("""COMPUTED_VALUE"""),"Chodov")</f>
        <v>Chodov</v>
      </c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200">
        <f>IFERROR(__xludf.DUMMYFUNCTION("""COMPUTED_VALUE"""),267.6)</f>
        <v>267.6</v>
      </c>
      <c r="W76" s="200">
        <f>IFERROR(__xludf.DUMMYFUNCTION("""COMPUTED_VALUE"""),0.0)</f>
        <v>0</v>
      </c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</row>
    <row r="77">
      <c r="A77" s="197"/>
      <c r="B77" s="202" t="str">
        <f>IF(OR(E77=Report!$B$1, F77=Report!$B$1, G77=Report!$B$1, H77=Report!$B$1), D77, "")</f>
        <v/>
      </c>
      <c r="C77" s="197" t="b">
        <f>IFERROR(__xludf.DUMMYFUNCTION("""COMPUTED_VALUE"""),FALSE)</f>
        <v>0</v>
      </c>
      <c r="D77" s="197" t="str">
        <f>IFERROR(__xludf.DUMMYFUNCTION("""COMPUTED_VALUE"""),"Němec Filip")</f>
        <v>Němec Filip</v>
      </c>
      <c r="E77" s="197" t="str">
        <f>IFERROR(__xludf.DUMMYFUNCTION("""COMPUTED_VALUE"""),"Zličín")</f>
        <v>Zličín</v>
      </c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200">
        <f>IFERROR(__xludf.DUMMYFUNCTION("""COMPUTED_VALUE"""),231.474)</f>
        <v>231.474</v>
      </c>
      <c r="W77" s="200">
        <f>IFERROR(__xludf.DUMMYFUNCTION("""COMPUTED_VALUE"""),0.0)</f>
        <v>0</v>
      </c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</row>
    <row r="78">
      <c r="A78" s="197"/>
      <c r="B78" s="202" t="str">
        <f>IF(OR(E78=Report!$B$1, F78=Report!$B$1, G78=Report!$B$1, H78=Report!$B$1), D78, "")</f>
        <v/>
      </c>
      <c r="C78" s="197" t="b">
        <f>IFERROR(__xludf.DUMMYFUNCTION("""COMPUTED_VALUE"""),FALSE)</f>
        <v>0</v>
      </c>
      <c r="D78" s="197" t="str">
        <f>IFERROR(__xludf.DUMMYFUNCTION("""COMPUTED_VALUE"""),"Zimmer Jakub")</f>
        <v>Zimmer Jakub</v>
      </c>
      <c r="E78" s="197" t="str">
        <f>IFERROR(__xludf.DUMMYFUNCTION("""COMPUTED_VALUE"""),"Zličín")</f>
        <v>Zličín</v>
      </c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200">
        <f>IFERROR(__xludf.DUMMYFUNCTION("""COMPUTED_VALUE"""),267.6)</f>
        <v>267.6</v>
      </c>
      <c r="W78" s="200">
        <f>IFERROR(__xludf.DUMMYFUNCTION("""COMPUTED_VALUE"""),0.0)</f>
        <v>0</v>
      </c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</row>
    <row r="79">
      <c r="A79" s="197"/>
      <c r="B79" s="202" t="str">
        <f>IF(OR(E79=Report!$B$1, F79=Report!$B$1, G79=Report!$B$1, H79=Report!$B$1), D79, "")</f>
        <v/>
      </c>
      <c r="C79" s="197" t="b">
        <f>IFERROR(__xludf.DUMMYFUNCTION("""COMPUTED_VALUE"""),FALSE)</f>
        <v>0</v>
      </c>
      <c r="D79" s="197" t="str">
        <f>IFERROR(__xludf.DUMMYFUNCTION("""COMPUTED_VALUE"""),"Nekolný Vladimír")</f>
        <v>Nekolný Vladimír</v>
      </c>
      <c r="E79" s="197" t="str">
        <f>IFERROR(__xludf.DUMMYFUNCTION("""COMPUTED_VALUE"""),"Chodov")</f>
        <v>Chodov</v>
      </c>
      <c r="F79" s="197" t="str">
        <f>IFERROR(__xludf.DUMMYFUNCTION("""COMPUTED_VALUE"""),"Libuš")</f>
        <v>Libuš</v>
      </c>
      <c r="G79" s="197" t="str">
        <f>IFERROR(__xludf.DUMMYFUNCTION("""COMPUTED_VALUE"""),"Zličín")</f>
        <v>Zličín</v>
      </c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200">
        <f>IFERROR(__xludf.DUMMYFUNCTION("""COMPUTED_VALUE"""),231.474)</f>
        <v>231.474</v>
      </c>
      <c r="W79" s="200">
        <f>IFERROR(__xludf.DUMMYFUNCTION("""COMPUTED_VALUE"""),0.0)</f>
        <v>0</v>
      </c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</row>
    <row r="80">
      <c r="A80" s="197"/>
      <c r="B80" s="202" t="str">
        <f>IF(OR(E80=Report!$B$1, F80=Report!$B$1, G80=Report!$B$1, H80=Report!$B$1), D80, "")</f>
        <v/>
      </c>
      <c r="C80" s="197" t="b">
        <f>IFERROR(__xludf.DUMMYFUNCTION("""COMPUTED_VALUE"""),FALSE)</f>
        <v>0</v>
      </c>
      <c r="D80" s="197" t="str">
        <f>IFERROR(__xludf.DUMMYFUNCTION("""COMPUTED_VALUE"""),"Hanibal Filip")</f>
        <v>Hanibal Filip</v>
      </c>
      <c r="E80" s="197" t="str">
        <f>IFERROR(__xludf.DUMMYFUNCTION("""COMPUTED_VALUE"""),"Malešice")</f>
        <v>Malešice</v>
      </c>
      <c r="F80" s="197" t="str">
        <f>IFERROR(__xludf.DUMMYFUNCTION("""COMPUTED_VALUE"""),"Libuš")</f>
        <v>Libuš</v>
      </c>
      <c r="G80" s="197" t="str">
        <f>IFERROR(__xludf.DUMMYFUNCTION("""COMPUTED_VALUE"""),"Prosek")</f>
        <v>Prosek</v>
      </c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200">
        <f>IFERROR(__xludf.DUMMYFUNCTION("""COMPUTED_VALUE"""),250.20600000000002)</f>
        <v>250.206</v>
      </c>
      <c r="W80" s="200">
        <f>IFERROR(__xludf.DUMMYFUNCTION("""COMPUTED_VALUE"""),0.0)</f>
        <v>0</v>
      </c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</row>
    <row r="81">
      <c r="A81" s="197"/>
      <c r="B81" s="202" t="str">
        <f>IF(OR(E81=Report!$B$1, F81=Report!$B$1, G81=Report!$B$1, H81=Report!$B$1), D81, "")</f>
        <v/>
      </c>
      <c r="C81" s="197" t="b">
        <f>IFERROR(__xludf.DUMMYFUNCTION("""COMPUTED_VALUE"""),FALSE)</f>
        <v>0</v>
      </c>
      <c r="D81" s="197" t="str">
        <f>IFERROR(__xludf.DUMMYFUNCTION("""COMPUTED_VALUE"""),"Novák Jakub")</f>
        <v>Novák Jakub</v>
      </c>
      <c r="E81" s="197" t="str">
        <f>IFERROR(__xludf.DUMMYFUNCTION("""COMPUTED_VALUE"""),"Zličín")</f>
        <v>Zličín</v>
      </c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200">
        <f>IFERROR(__xludf.DUMMYFUNCTION("""COMPUTED_VALUE"""),214.08)</f>
        <v>214.08</v>
      </c>
      <c r="W81" s="200">
        <f>IFERROR(__xludf.DUMMYFUNCTION("""COMPUTED_VALUE"""),0.0)</f>
        <v>0</v>
      </c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</row>
    <row r="82">
      <c r="A82" s="197"/>
      <c r="B82" s="202" t="str">
        <f>IF(OR(E82=Report!$B$1, F82=Report!$B$1, G82=Report!$B$1, H82=Report!$B$1), D82, "")</f>
        <v/>
      </c>
      <c r="C82" s="197" t="b">
        <f>IFERROR(__xludf.DUMMYFUNCTION("""COMPUTED_VALUE"""),FALSE)</f>
        <v>0</v>
      </c>
      <c r="D82" s="197" t="str">
        <f>IFERROR(__xludf.DUMMYFUNCTION("""COMPUTED_VALUE"""),"Černohorský Otakar")</f>
        <v>Černohorský Otakar</v>
      </c>
      <c r="E82" s="197" t="str">
        <f>IFERROR(__xludf.DUMMYFUNCTION("""COMPUTED_VALUE"""),"Zličín")</f>
        <v>Zličín</v>
      </c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200">
        <f>IFERROR(__xludf.DUMMYFUNCTION("""COMPUTED_VALUE"""),231.474)</f>
        <v>231.474</v>
      </c>
      <c r="W82" s="200">
        <f>IFERROR(__xludf.DUMMYFUNCTION("""COMPUTED_VALUE"""),0.0)</f>
        <v>0</v>
      </c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</row>
    <row r="83">
      <c r="A83" s="197"/>
      <c r="B83" s="202" t="str">
        <f>IF(OR(E83=Report!$B$1, F83=Report!$B$1, G83=Report!$B$1, H83=Report!$B$1), D83, "")</f>
        <v/>
      </c>
      <c r="C83" s="197" t="b">
        <f>IFERROR(__xludf.DUMMYFUNCTION("""COMPUTED_VALUE"""),FALSE)</f>
        <v>0</v>
      </c>
      <c r="D83" s="197" t="str">
        <f>IFERROR(__xludf.DUMMYFUNCTION("""COMPUTED_VALUE"""),"Nedvěd Dominik")</f>
        <v>Nedvěd Dominik</v>
      </c>
      <c r="E83" s="197" t="str">
        <f>IFERROR(__xludf.DUMMYFUNCTION("""COMPUTED_VALUE"""),"Libuš")</f>
        <v>Libuš</v>
      </c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200">
        <f>IFERROR(__xludf.DUMMYFUNCTION("""COMPUTED_VALUE"""),231.474)</f>
        <v>231.474</v>
      </c>
      <c r="W83" s="200">
        <f>IFERROR(__xludf.DUMMYFUNCTION("""COMPUTED_VALUE"""),0.0)</f>
        <v>0</v>
      </c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</row>
    <row r="84">
      <c r="A84" s="197"/>
      <c r="B84" s="202" t="str">
        <f>IF(OR(E84=Report!$B$1, F84=Report!$B$1, G84=Report!$B$1, H84=Report!$B$1), D84, "")</f>
        <v/>
      </c>
      <c r="C84" s="197" t="b">
        <f>IFERROR(__xludf.DUMMYFUNCTION("""COMPUTED_VALUE"""),FALSE)</f>
        <v>0</v>
      </c>
      <c r="D84" s="197" t="str">
        <f>IFERROR(__xludf.DUMMYFUNCTION("""COMPUTED_VALUE"""),"Lanský Zoltan")</f>
        <v>Lanský Zoltan</v>
      </c>
      <c r="E84" s="197" t="str">
        <f>IFERROR(__xludf.DUMMYFUNCTION("""COMPUTED_VALUE"""),"Chodov")</f>
        <v>Chodov</v>
      </c>
      <c r="F84" s="197" t="str">
        <f>IFERROR(__xludf.DUMMYFUNCTION("""COMPUTED_VALUE"""),"Libuš")</f>
        <v>Libuš</v>
      </c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200">
        <f>IFERROR(__xludf.DUMMYFUNCTION("""COMPUTED_VALUE"""),250.20600000000002)</f>
        <v>250.206</v>
      </c>
      <c r="W84" s="200">
        <f>IFERROR(__xludf.DUMMYFUNCTION("""COMPUTED_VALUE"""),0.0)</f>
        <v>0</v>
      </c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</row>
    <row r="85">
      <c r="A85" s="197"/>
      <c r="B85" s="202" t="str">
        <f>IF(OR(E85=Report!$B$1, F85=Report!$B$1, G85=Report!$B$1, H85=Report!$B$1), D85, "")</f>
        <v/>
      </c>
      <c r="C85" s="197" t="b">
        <f>IFERROR(__xludf.DUMMYFUNCTION("""COMPUTED_VALUE"""),FALSE)</f>
        <v>0</v>
      </c>
      <c r="D85" s="197" t="str">
        <f>IFERROR(__xludf.DUMMYFUNCTION("""COMPUTED_VALUE"""),"Lowe Jana")</f>
        <v>Lowe Jana</v>
      </c>
      <c r="E85" s="197" t="str">
        <f>IFERROR(__xludf.DUMMYFUNCTION("""COMPUTED_VALUE"""),"Zličín")</f>
        <v>Zličín</v>
      </c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200">
        <f>IFERROR(__xludf.DUMMYFUNCTION("""COMPUTED_VALUE"""),150.0)</f>
        <v>150</v>
      </c>
      <c r="W85" s="200">
        <f>IFERROR(__xludf.DUMMYFUNCTION("""COMPUTED_VALUE"""),0.0)</f>
        <v>0</v>
      </c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</row>
    <row r="86">
      <c r="A86" s="197"/>
      <c r="B86" s="202" t="str">
        <f>IF(OR(E86=Report!$B$1, F86=Report!$B$1, G86=Report!$B$1, H86=Report!$B$1), D86, "")</f>
        <v/>
      </c>
      <c r="C86" s="197" t="b">
        <f>IFERROR(__xludf.DUMMYFUNCTION("""COMPUTED_VALUE"""),FALSE)</f>
        <v>0</v>
      </c>
      <c r="D86" s="197" t="str">
        <f>IFERROR(__xludf.DUMMYFUNCTION("""COMPUTED_VALUE"""),"Mikuš Pavel")</f>
        <v>Mikuš Pavel</v>
      </c>
      <c r="E86" s="197" t="str">
        <f>IFERROR(__xludf.DUMMYFUNCTION("""COMPUTED_VALUE"""),"Prosek")</f>
        <v>Prosek</v>
      </c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200">
        <f>IFERROR(__xludf.DUMMYFUNCTION("""COMPUTED_VALUE"""),250.20600000000002)</f>
        <v>250.206</v>
      </c>
      <c r="W86" s="200">
        <f>IFERROR(__xludf.DUMMYFUNCTION("""COMPUTED_VALUE"""),0.0)</f>
        <v>0</v>
      </c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</row>
    <row r="87">
      <c r="A87" s="197"/>
      <c r="B87" s="202" t="str">
        <f>IF(OR(E87=Report!$B$1, F87=Report!$B$1, G87=Report!$B$1, H87=Report!$B$1), D87, "")</f>
        <v/>
      </c>
      <c r="C87" s="197" t="b">
        <f>IFERROR(__xludf.DUMMYFUNCTION("""COMPUTED_VALUE"""),FALSE)</f>
        <v>0</v>
      </c>
      <c r="D87" s="197" t="str">
        <f>IFERROR(__xludf.DUMMYFUNCTION("""COMPUTED_VALUE"""),"Hyský Aleš")</f>
        <v>Hyský Aleš</v>
      </c>
      <c r="E87" s="197" t="str">
        <f>IFERROR(__xludf.DUMMYFUNCTION("""COMPUTED_VALUE"""),"Chodov")</f>
        <v>Chodov</v>
      </c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200">
        <f>IFERROR(__xludf.DUMMYFUNCTION("""COMPUTED_VALUE"""),231.474)</f>
        <v>231.474</v>
      </c>
      <c r="W87" s="200">
        <f>IFERROR(__xludf.DUMMYFUNCTION("""COMPUTED_VALUE"""),0.0)</f>
        <v>0</v>
      </c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</row>
    <row r="88">
      <c r="A88" s="197"/>
      <c r="B88" s="202" t="str">
        <f>IF(OR(E88=Report!$B$1, F88=Report!$B$1, G88=Report!$B$1, H88=Report!$B$1), D88, "")</f>
        <v/>
      </c>
      <c r="C88" s="197" t="b">
        <f>IFERROR(__xludf.DUMMYFUNCTION("""COMPUTED_VALUE"""),FALSE)</f>
        <v>0</v>
      </c>
      <c r="D88" s="197" t="str">
        <f>IFERROR(__xludf.DUMMYFUNCTION("""COMPUTED_VALUE"""),"Šmídová Sabina")</f>
        <v>Šmídová Sabina</v>
      </c>
      <c r="E88" s="197" t="str">
        <f>IFERROR(__xludf.DUMMYFUNCTION("""COMPUTED_VALUE"""),"Chodov")</f>
        <v>Chodov</v>
      </c>
      <c r="F88" s="197" t="str">
        <f>IFERROR(__xludf.DUMMYFUNCTION("""COMPUTED_VALUE"""),"Prosek")</f>
        <v>Prosek</v>
      </c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200">
        <f>IFERROR(__xludf.DUMMYFUNCTION("""COMPUTED_VALUE"""),250.20600000000002)</f>
        <v>250.206</v>
      </c>
      <c r="W88" s="200">
        <f>IFERROR(__xludf.DUMMYFUNCTION("""COMPUTED_VALUE"""),0.0)</f>
        <v>0</v>
      </c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</row>
    <row r="89">
      <c r="A89" s="197"/>
      <c r="B89" s="202" t="str">
        <f>IF(OR(E89=Report!$B$1, F89=Report!$B$1, G89=Report!$B$1, H89=Report!$B$1), D89, "")</f>
        <v/>
      </c>
      <c r="C89" s="197" t="b">
        <f>IFERROR(__xludf.DUMMYFUNCTION("""COMPUTED_VALUE"""),FALSE)</f>
        <v>0</v>
      </c>
      <c r="D89" s="197" t="str">
        <f>IFERROR(__xludf.DUMMYFUNCTION("""COMPUTED_VALUE"""),"Lažek Jaroslav")</f>
        <v>Lažek Jaroslav</v>
      </c>
      <c r="E89" s="197" t="str">
        <f>IFERROR(__xludf.DUMMYFUNCTION("""COMPUTED_VALUE"""),"Libuš")</f>
        <v>Libuš</v>
      </c>
      <c r="F89" s="197" t="str">
        <f>IFERROR(__xludf.DUMMYFUNCTION("""COMPUTED_VALUE"""),"Chodov")</f>
        <v>Chodov</v>
      </c>
      <c r="G89" s="197" t="str">
        <f>IFERROR(__xludf.DUMMYFUNCTION("""COMPUTED_VALUE"""),"Malešice")</f>
        <v>Malešice</v>
      </c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200">
        <f>IFERROR(__xludf.DUMMYFUNCTION("""COMPUTED_VALUE"""),170.0)</f>
        <v>170</v>
      </c>
      <c r="W89" s="200">
        <f>IFERROR(__xludf.DUMMYFUNCTION("""COMPUTED_VALUE"""),0.0)</f>
        <v>0</v>
      </c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</row>
    <row r="90">
      <c r="A90" s="197"/>
      <c r="B90" s="202" t="str">
        <f>IF(OR(E90=Report!$B$1, F90=Report!$B$1, G90=Report!$B$1, H90=Report!$B$1), D90, "")</f>
        <v/>
      </c>
      <c r="C90" s="197" t="b">
        <f>IFERROR(__xludf.DUMMYFUNCTION("""COMPUTED_VALUE"""),FALSE)</f>
        <v>0</v>
      </c>
      <c r="D90" s="197" t="str">
        <f>IFERROR(__xludf.DUMMYFUNCTION("""COMPUTED_VALUE"""),"Kormash Liubov")</f>
        <v>Kormash Liubov</v>
      </c>
      <c r="E90" s="197" t="str">
        <f>IFERROR(__xludf.DUMMYFUNCTION("""COMPUTED_VALUE"""),"Zličín")</f>
        <v>Zličín</v>
      </c>
      <c r="F90" s="197" t="str">
        <f>IFERROR(__xludf.DUMMYFUNCTION("""COMPUTED_VALUE"""),"Prosek")</f>
        <v>Prosek</v>
      </c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200">
        <f>IFERROR(__xludf.DUMMYFUNCTION("""COMPUTED_VALUE"""),160.0)</f>
        <v>160</v>
      </c>
      <c r="W90" s="200">
        <f>IFERROR(__xludf.DUMMYFUNCTION("""COMPUTED_VALUE"""),0.0)</f>
        <v>0</v>
      </c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</row>
    <row r="91">
      <c r="A91" s="197"/>
      <c r="B91" s="202" t="str">
        <f>IF(OR(E91=Report!$B$1, F91=Report!$B$1, G91=Report!$B$1, H91=Report!$B$1), D91, "")</f>
        <v/>
      </c>
      <c r="C91" s="197" t="b">
        <f>IFERROR(__xludf.DUMMYFUNCTION("""COMPUTED_VALUE"""),FALSE)</f>
        <v>0</v>
      </c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200">
        <f>IFERROR(__xludf.DUMMYFUNCTION("""COMPUTED_VALUE"""),0.0)</f>
        <v>0</v>
      </c>
      <c r="W91" s="200">
        <f>IFERROR(__xludf.DUMMYFUNCTION("""COMPUTED_VALUE"""),0.0)</f>
        <v>0</v>
      </c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</row>
    <row r="92">
      <c r="A92" s="197"/>
      <c r="B92" s="202" t="str">
        <f>IF(OR(E92=Report!$B$1, F92=Report!$B$1, G92=Report!$B$1, H92=Report!$B$1), D92, "")</f>
        <v/>
      </c>
      <c r="C92" s="197" t="b">
        <f>IFERROR(__xludf.DUMMYFUNCTION("""COMPUTED_VALUE"""),FALSE)</f>
        <v>0</v>
      </c>
      <c r="D92" s="197" t="str">
        <f>IFERROR(__xludf.DUMMYFUNCTION("""COMPUTED_VALUE"""),"Killiakov Andrei")</f>
        <v>Killiakov Andrei</v>
      </c>
      <c r="E92" s="197" t="str">
        <f>IFERROR(__xludf.DUMMYFUNCTION("""COMPUTED_VALUE"""),"Zličín")</f>
        <v>Zličín</v>
      </c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200">
        <f>IFERROR(__xludf.DUMMYFUNCTION("""COMPUTED_VALUE"""),231.474)</f>
        <v>231.474</v>
      </c>
      <c r="W92" s="200">
        <f>IFERROR(__xludf.DUMMYFUNCTION("""COMPUTED_VALUE"""),0.0)</f>
        <v>0</v>
      </c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</row>
    <row r="93">
      <c r="A93" s="197"/>
      <c r="B93" s="202" t="str">
        <f>IF(OR(E93=Report!$B$1, F93=Report!$B$1, G93=Report!$B$1, H93=Report!$B$1), D93, "")</f>
        <v/>
      </c>
      <c r="C93" s="197" t="b">
        <f>IFERROR(__xludf.DUMMYFUNCTION("""COMPUTED_VALUE"""),FALSE)</f>
        <v>0</v>
      </c>
      <c r="D93" s="197" t="str">
        <f>IFERROR(__xludf.DUMMYFUNCTION("""COMPUTED_VALUE"""),"Chlubna Tomáš")</f>
        <v>Chlubna Tomáš</v>
      </c>
      <c r="E93" s="197" t="str">
        <f>IFERROR(__xludf.DUMMYFUNCTION("""COMPUTED_VALUE"""),"Chodov")</f>
        <v>Chodov</v>
      </c>
      <c r="F93" s="197" t="str">
        <f>IFERROR(__xludf.DUMMYFUNCTION("""COMPUTED_VALUE"""),"Libuš")</f>
        <v>Libuš</v>
      </c>
      <c r="G93" s="197" t="str">
        <f>IFERROR(__xludf.DUMMYFUNCTION("""COMPUTED_VALUE"""),"Výroba")</f>
        <v>Výroba</v>
      </c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200">
        <f>IFERROR(__xludf.DUMMYFUNCTION("""COMPUTED_VALUE"""),250.20600000000002)</f>
        <v>250.206</v>
      </c>
      <c r="W93" s="200">
        <f>IFERROR(__xludf.DUMMYFUNCTION("""COMPUTED_VALUE"""),0.0)</f>
        <v>0</v>
      </c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</row>
    <row r="94">
      <c r="A94" s="197"/>
      <c r="B94" s="202" t="str">
        <f>IF(OR(E94=Report!$B$1, F94=Report!$B$1, G94=Report!$B$1, H94=Report!$B$1), D94, "")</f>
        <v/>
      </c>
      <c r="C94" s="197" t="b">
        <f>IFERROR(__xludf.DUMMYFUNCTION("""COMPUTED_VALUE"""),FALSE)</f>
        <v>0</v>
      </c>
      <c r="D94" s="197" t="str">
        <f>IFERROR(__xludf.DUMMYFUNCTION("""COMPUTED_VALUE"""),"Vychivskyi Volodymyr")</f>
        <v>Vychivskyi Volodymyr</v>
      </c>
      <c r="E94" s="197" t="str">
        <f>IFERROR(__xludf.DUMMYFUNCTION("""COMPUTED_VALUE"""),"Malešice")</f>
        <v>Malešice</v>
      </c>
      <c r="F94" s="197" t="str">
        <f>IFERROR(__xludf.DUMMYFUNCTION("""COMPUTED_VALUE"""),"Prosek")</f>
        <v>Prosek</v>
      </c>
      <c r="G94" s="197" t="str">
        <f>IFERROR(__xludf.DUMMYFUNCTION("""COMPUTED_VALUE"""),"Zličín")</f>
        <v>Zličín</v>
      </c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200">
        <f>IFERROR(__xludf.DUMMYFUNCTION("""COMPUTED_VALUE"""),250.20600000000002)</f>
        <v>250.206</v>
      </c>
      <c r="W94" s="200">
        <f>IFERROR(__xludf.DUMMYFUNCTION("""COMPUTED_VALUE"""),0.0)</f>
        <v>0</v>
      </c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</row>
    <row r="95">
      <c r="A95" s="197"/>
      <c r="B95" s="202" t="str">
        <f>IF(OR(E95=Report!$B$1, F95=Report!$B$1, G95=Report!$B$1, H95=Report!$B$1), D95, "")</f>
        <v/>
      </c>
      <c r="C95" s="197" t="b">
        <f>IFERROR(__xludf.DUMMYFUNCTION("""COMPUTED_VALUE"""),FALSE)</f>
        <v>0</v>
      </c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200">
        <f>IFERROR(__xludf.DUMMYFUNCTION("""COMPUTED_VALUE"""),0.0)</f>
        <v>0</v>
      </c>
      <c r="W95" s="200">
        <f>IFERROR(__xludf.DUMMYFUNCTION("""COMPUTED_VALUE"""),0.0)</f>
        <v>0</v>
      </c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</row>
    <row r="96">
      <c r="A96" s="197"/>
      <c r="B96" s="202" t="str">
        <f>IF(OR(E96=Report!$B$1, F96=Report!$B$1, G96=Report!$B$1, H96=Report!$B$1), D96, "")</f>
        <v/>
      </c>
      <c r="C96" s="197" t="b">
        <f>IFERROR(__xludf.DUMMYFUNCTION("""COMPUTED_VALUE"""),FALSE)</f>
        <v>0</v>
      </c>
      <c r="D96" s="197" t="str">
        <f>IFERROR(__xludf.DUMMYFUNCTION("""COMPUTED_VALUE"""),"Hřebík Martin")</f>
        <v>Hřebík Martin</v>
      </c>
      <c r="E96" s="197" t="str">
        <f>IFERROR(__xludf.DUMMYFUNCTION("""COMPUTED_VALUE"""),"Výroba")</f>
        <v>Výroba</v>
      </c>
      <c r="F96" s="197" t="str">
        <f>IFERROR(__xludf.DUMMYFUNCTION("""COMPUTED_VALUE"""),"Chodov")</f>
        <v>Chodov</v>
      </c>
      <c r="G96" s="197" t="str">
        <f>IFERROR(__xludf.DUMMYFUNCTION("""COMPUTED_VALUE"""),"Prosek")</f>
        <v>Prosek</v>
      </c>
      <c r="H96" s="197" t="str">
        <f>IFERROR(__xludf.DUMMYFUNCTION("""COMPUTED_VALUE"""),"Libuš")</f>
        <v>Libuš</v>
      </c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200">
        <f>IFERROR(__xludf.DUMMYFUNCTION("""COMPUTED_VALUE"""),386.68199999999996)</f>
        <v>386.682</v>
      </c>
      <c r="W96" s="200">
        <f>IFERROR(__xludf.DUMMYFUNCTION("""COMPUTED_VALUE"""),2494.722580645161)</f>
        <v>2494.722581</v>
      </c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</row>
    <row r="97">
      <c r="A97" s="197"/>
      <c r="B97" s="202" t="str">
        <f>IF(OR(E97=Report!$B$1, F97=Report!$B$1, G97=Report!$B$1, H97=Report!$B$1), D97, "")</f>
        <v/>
      </c>
      <c r="C97" s="197" t="b">
        <f>IFERROR(__xludf.DUMMYFUNCTION("""COMPUTED_VALUE"""),FALSE)</f>
        <v>0</v>
      </c>
      <c r="D97" s="197" t="str">
        <f>IFERROR(__xludf.DUMMYFUNCTION("""COMPUTED_VALUE"""),"Eszenyiová Patrícia")</f>
        <v>Eszenyiová Patrícia</v>
      </c>
      <c r="E97" s="197" t="str">
        <f>IFERROR(__xludf.DUMMYFUNCTION("""COMPUTED_VALUE"""),"Libuš")</f>
        <v>Libuš</v>
      </c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200">
        <f>IFERROR(__xludf.DUMMYFUNCTION("""COMPUTED_VALUE"""),250.20600000000002)</f>
        <v>250.206</v>
      </c>
      <c r="W97" s="200">
        <f>IFERROR(__xludf.DUMMYFUNCTION("""COMPUTED_VALUE"""),0.0)</f>
        <v>0</v>
      </c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</row>
    <row r="98">
      <c r="A98" s="197"/>
      <c r="B98" s="202" t="str">
        <f>IF(OR(E98=Report!$B$1, F98=Report!$B$1, G98=Report!$B$1, H98=Report!$B$1), D98, "")</f>
        <v/>
      </c>
      <c r="C98" s="197" t="b">
        <f>IFERROR(__xludf.DUMMYFUNCTION("""COMPUTED_VALUE"""),FALSE)</f>
        <v>0</v>
      </c>
      <c r="D98" s="197" t="str">
        <f>IFERROR(__xludf.DUMMYFUNCTION("""COMPUTED_VALUE"""),"Reischl Jan")</f>
        <v>Reischl Jan</v>
      </c>
      <c r="E98" s="197" t="str">
        <f>IFERROR(__xludf.DUMMYFUNCTION("""COMPUTED_VALUE"""),"Malešice")</f>
        <v>Malešice</v>
      </c>
      <c r="F98" s="197" t="str">
        <f>IFERROR(__xludf.DUMMYFUNCTION("""COMPUTED_VALUE"""),"Chodov")</f>
        <v>Chodov</v>
      </c>
      <c r="G98" s="197" t="str">
        <f>IFERROR(__xludf.DUMMYFUNCTION("""COMPUTED_VALUE"""),"Libuš")</f>
        <v>Libuš</v>
      </c>
      <c r="H98" s="197" t="str">
        <f>IFERROR(__xludf.DUMMYFUNCTION("""COMPUTED_VALUE"""),"Prosek")</f>
        <v>Prosek</v>
      </c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200">
        <f>IFERROR(__xludf.DUMMYFUNCTION("""COMPUTED_VALUE"""),214.08)</f>
        <v>214.08</v>
      </c>
      <c r="W98" s="200">
        <f>IFERROR(__xludf.DUMMYFUNCTION("""COMPUTED_VALUE"""),0.0)</f>
        <v>0</v>
      </c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</row>
    <row r="99">
      <c r="A99" s="197"/>
      <c r="B99" s="202" t="str">
        <f>IF(OR(E99=Report!$B$1, F99=Report!$B$1, G99=Report!$B$1, H99=Report!$B$1), D99, "")</f>
        <v>Mikešová Adéla</v>
      </c>
      <c r="C99" s="197" t="b">
        <f>IFERROR(__xludf.DUMMYFUNCTION("""COMPUTED_VALUE"""),FALSE)</f>
        <v>0</v>
      </c>
      <c r="D99" s="197" t="str">
        <f>IFERROR(__xludf.DUMMYFUNCTION("""COMPUTED_VALUE"""),"Mikešová Adéla")</f>
        <v>Mikešová Adéla</v>
      </c>
      <c r="E99" s="197" t="str">
        <f>IFERROR(__xludf.DUMMYFUNCTION("""COMPUTED_VALUE"""),"Bolevec")</f>
        <v>Bolevec</v>
      </c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200">
        <f>IFERROR(__xludf.DUMMYFUNCTION("""COMPUTED_VALUE"""),214.08)</f>
        <v>214.08</v>
      </c>
      <c r="W99" s="200">
        <f>IFERROR(__xludf.DUMMYFUNCTION("""COMPUTED_VALUE"""),0.0)</f>
        <v>0</v>
      </c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</row>
    <row r="100">
      <c r="A100" s="197"/>
      <c r="B100" s="202" t="str">
        <f>IF(OR(E100=Report!$B$1, F100=Report!$B$1, G100=Report!$B$1, H100=Report!$B$1), D100, "")</f>
        <v/>
      </c>
      <c r="C100" s="197" t="b">
        <f>IFERROR(__xludf.DUMMYFUNCTION("""COMPUTED_VALUE"""),FALSE)</f>
        <v>0</v>
      </c>
      <c r="D100" s="197" t="str">
        <f>IFERROR(__xludf.DUMMYFUNCTION("""COMPUTED_VALUE"""),"Pražák Aleš")</f>
        <v>Pražák Aleš</v>
      </c>
      <c r="E100" s="197" t="str">
        <f>IFERROR(__xludf.DUMMYFUNCTION("""COMPUTED_VALUE"""),"Chodov")</f>
        <v>Chodov</v>
      </c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200">
        <f>IFERROR(__xludf.DUMMYFUNCTION("""COMPUTED_VALUE"""),231.474)</f>
        <v>231.474</v>
      </c>
      <c r="W100" s="200">
        <f>IFERROR(__xludf.DUMMYFUNCTION("""COMPUTED_VALUE"""),0.0)</f>
        <v>0</v>
      </c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</row>
    <row r="101">
      <c r="A101" s="197"/>
      <c r="B101" s="202" t="str">
        <f>IF(OR(E101=Report!$B$1, F101=Report!$B$1, G101=Report!$B$1, H101=Report!$B$1), D101, "")</f>
        <v/>
      </c>
      <c r="C101" s="197" t="b">
        <f>IFERROR(__xludf.DUMMYFUNCTION("""COMPUTED_VALUE"""),FALSE)</f>
        <v>0</v>
      </c>
      <c r="D101" s="197" t="str">
        <f>IFERROR(__xludf.DUMMYFUNCTION("""COMPUTED_VALUE"""),"Chyský David")</f>
        <v>Chyský David</v>
      </c>
      <c r="E101" s="197" t="str">
        <f>IFERROR(__xludf.DUMMYFUNCTION("""COMPUTED_VALUE"""),"Chodov")</f>
        <v>Chodov</v>
      </c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200">
        <f>IFERROR(__xludf.DUMMYFUNCTION("""COMPUTED_VALUE"""),231.474)</f>
        <v>231.474</v>
      </c>
      <c r="W101" s="200">
        <f>IFERROR(__xludf.DUMMYFUNCTION("""COMPUTED_VALUE"""),0.0)</f>
        <v>0</v>
      </c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</row>
    <row r="102">
      <c r="A102" s="197"/>
      <c r="B102" s="202" t="str">
        <f>IF(OR(E102=Report!$B$1, F102=Report!$B$1, G102=Report!$B$1, H102=Report!$B$1), D102, "")</f>
        <v/>
      </c>
      <c r="C102" s="197" t="b">
        <f>IFERROR(__xludf.DUMMYFUNCTION("""COMPUTED_VALUE"""),FALSE)</f>
        <v>0</v>
      </c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200">
        <f>IFERROR(__xludf.DUMMYFUNCTION("""COMPUTED_VALUE"""),0.0)</f>
        <v>0</v>
      </c>
      <c r="W102" s="200">
        <f>IFERROR(__xludf.DUMMYFUNCTION("""COMPUTED_VALUE"""),0.0)</f>
        <v>0</v>
      </c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</row>
    <row r="103">
      <c r="A103" s="197"/>
      <c r="B103" s="202" t="str">
        <f>IF(OR(E103=Report!$B$1, F103=Report!$B$1, G103=Report!$B$1, H103=Report!$B$1), D103, "")</f>
        <v/>
      </c>
      <c r="C103" s="197" t="b">
        <f>IFERROR(__xludf.DUMMYFUNCTION("""COMPUTED_VALUE"""),FALSE)</f>
        <v>0</v>
      </c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200">
        <f>IFERROR(__xludf.DUMMYFUNCTION("""COMPUTED_VALUE"""),0.0)</f>
        <v>0</v>
      </c>
      <c r="W103" s="200">
        <f>IFERROR(__xludf.DUMMYFUNCTION("""COMPUTED_VALUE"""),0.0)</f>
        <v>0</v>
      </c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</row>
    <row r="104">
      <c r="A104" s="197"/>
      <c r="B104" s="202" t="str">
        <f>IF(OR(E104=Report!$B$1, F104=Report!$B$1, G104=Report!$B$1, H104=Report!$B$1), D104, "")</f>
        <v/>
      </c>
      <c r="C104" s="197" t="b">
        <f>IFERROR(__xludf.DUMMYFUNCTION("""COMPUTED_VALUE"""),FALSE)</f>
        <v>0</v>
      </c>
      <c r="D104" s="197" t="str">
        <f>IFERROR(__xludf.DUMMYFUNCTION("""COMPUTED_VALUE"""),"Kulinič Michail")</f>
        <v>Kulinič Michail</v>
      </c>
      <c r="E104" s="197" t="str">
        <f>IFERROR(__xludf.DUMMYFUNCTION("""COMPUTED_VALUE"""),"Prosek")</f>
        <v>Prosek</v>
      </c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200">
        <f>IFERROR(__xludf.DUMMYFUNCTION("""COMPUTED_VALUE"""),231.474)</f>
        <v>231.474</v>
      </c>
      <c r="W104" s="200">
        <f>IFERROR(__xludf.DUMMYFUNCTION("""COMPUTED_VALUE"""),0.0)</f>
        <v>0</v>
      </c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</row>
    <row r="105">
      <c r="A105" s="197"/>
      <c r="B105" s="202" t="str">
        <f>IF(OR(E105=Report!$B$1, F105=Report!$B$1, G105=Report!$B$1, H105=Report!$B$1), D105, "")</f>
        <v/>
      </c>
      <c r="C105" s="197" t="b">
        <f>IFERROR(__xludf.DUMMYFUNCTION("""COMPUTED_VALUE"""),FALSE)</f>
        <v>0</v>
      </c>
      <c r="D105" s="197" t="str">
        <f>IFERROR(__xludf.DUMMYFUNCTION("""COMPUTED_VALUE"""),"Kalina Filip")</f>
        <v>Kalina Filip</v>
      </c>
      <c r="E105" s="197" t="str">
        <f>IFERROR(__xludf.DUMMYFUNCTION("""COMPUTED_VALUE"""),"Malešice")</f>
        <v>Malešice</v>
      </c>
      <c r="F105" s="197" t="str">
        <f>IFERROR(__xludf.DUMMYFUNCTION("""COMPUTED_VALUE"""),"Libuš")</f>
        <v>Libuš</v>
      </c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200">
        <f>IFERROR(__xludf.DUMMYFUNCTION("""COMPUTED_VALUE"""),231.474)</f>
        <v>231.474</v>
      </c>
      <c r="W105" s="200">
        <f>IFERROR(__xludf.DUMMYFUNCTION("""COMPUTED_VALUE"""),0.0)</f>
        <v>0</v>
      </c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</row>
    <row r="106">
      <c r="A106" s="197"/>
      <c r="B106" s="202" t="str">
        <f>IF(OR(E106=Report!$B$1, F106=Report!$B$1, G106=Report!$B$1, H106=Report!$B$1), D106, "")</f>
        <v/>
      </c>
      <c r="C106" s="197" t="b">
        <f>IFERROR(__xludf.DUMMYFUNCTION("""COMPUTED_VALUE"""),FALSE)</f>
        <v>0</v>
      </c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200">
        <f>IFERROR(__xludf.DUMMYFUNCTION("""COMPUTED_VALUE"""),0.0)</f>
        <v>0</v>
      </c>
      <c r="W106" s="200">
        <f>IFERROR(__xludf.DUMMYFUNCTION("""COMPUTED_VALUE"""),0.0)</f>
        <v>0</v>
      </c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</row>
    <row r="107">
      <c r="A107" s="197"/>
      <c r="B107" s="202" t="str">
        <f>IF(OR(E107=Report!$B$1, F107=Report!$B$1, G107=Report!$B$1, H107=Report!$B$1), D107, "")</f>
        <v>Kaločai Rudolf</v>
      </c>
      <c r="C107" s="197" t="b">
        <f>IFERROR(__xludf.DUMMYFUNCTION("""COMPUTED_VALUE"""),FALSE)</f>
        <v>0</v>
      </c>
      <c r="D107" s="197" t="str">
        <f>IFERROR(__xludf.DUMMYFUNCTION("""COMPUTED_VALUE"""),"Kaločai Rudolf")</f>
        <v>Kaločai Rudolf</v>
      </c>
      <c r="E107" s="197" t="str">
        <f>IFERROR(__xludf.DUMMYFUNCTION("""COMPUTED_VALUE"""),"Bolevec")</f>
        <v>Bolevec</v>
      </c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200">
        <f>IFERROR(__xludf.DUMMYFUNCTION("""COMPUTED_VALUE"""),140.0)</f>
        <v>140</v>
      </c>
      <c r="W107" s="200">
        <f>IFERROR(__xludf.DUMMYFUNCTION("""COMPUTED_VALUE"""),0.0)</f>
        <v>0</v>
      </c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</row>
    <row r="108">
      <c r="A108" s="197"/>
      <c r="B108" s="202" t="str">
        <f>IF(OR(E108=Report!$B$1, F108=Report!$B$1, G108=Report!$B$1, H108=Report!$B$1), D108, "")</f>
        <v/>
      </c>
      <c r="C108" s="197" t="b">
        <f>IFERROR(__xludf.DUMMYFUNCTION("""COMPUTED_VALUE"""),FALSE)</f>
        <v>0</v>
      </c>
      <c r="D108" s="197" t="str">
        <f>IFERROR(__xludf.DUMMYFUNCTION("""COMPUTED_VALUE"""),"Dušek Sam")</f>
        <v>Dušek Sam</v>
      </c>
      <c r="E108" s="197" t="str">
        <f>IFERROR(__xludf.DUMMYFUNCTION("""COMPUTED_VALUE"""),"Libuš")</f>
        <v>Libuš</v>
      </c>
      <c r="F108" s="197" t="str">
        <f>IFERROR(__xludf.DUMMYFUNCTION("""COMPUTED_VALUE"""),"Malešice")</f>
        <v>Malešice</v>
      </c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200">
        <f>IFERROR(__xludf.DUMMYFUNCTION("""COMPUTED_VALUE"""),250.20600000000002)</f>
        <v>250.206</v>
      </c>
      <c r="W108" s="200">
        <f>IFERROR(__xludf.DUMMYFUNCTION("""COMPUTED_VALUE"""),0.0)</f>
        <v>0</v>
      </c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</row>
    <row r="109">
      <c r="A109" s="197"/>
      <c r="B109" s="202" t="str">
        <f>IF(OR(E109=Report!$B$1, F109=Report!$B$1, G109=Report!$B$1, H109=Report!$B$1), D109, "")</f>
        <v/>
      </c>
      <c r="C109" s="197" t="b">
        <f>IFERROR(__xludf.DUMMYFUNCTION("""COMPUTED_VALUE"""),FALSE)</f>
        <v>0</v>
      </c>
      <c r="D109" s="197" t="str">
        <f>IFERROR(__xludf.DUMMYFUNCTION("""COMPUTED_VALUE"""),"Kačena Stanislav")</f>
        <v>Kačena Stanislav</v>
      </c>
      <c r="E109" s="197" t="str">
        <f>IFERROR(__xludf.DUMMYFUNCTION("""COMPUTED_VALUE"""),"Prosek")</f>
        <v>Prosek</v>
      </c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200">
        <f>IFERROR(__xludf.DUMMYFUNCTION("""COMPUTED_VALUE"""),231.474)</f>
        <v>231.474</v>
      </c>
      <c r="W109" s="200">
        <f>IFERROR(__xludf.DUMMYFUNCTION("""COMPUTED_VALUE"""),0.0)</f>
        <v>0</v>
      </c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</row>
    <row r="110">
      <c r="A110" s="197"/>
      <c r="B110" s="202" t="str">
        <f>IF(OR(E110=Report!$B$1, F110=Report!$B$1, G110=Report!$B$1, H110=Report!$B$1), D110, "")</f>
        <v/>
      </c>
      <c r="C110" s="197" t="b">
        <f>IFERROR(__xludf.DUMMYFUNCTION("""COMPUTED_VALUE"""),FALSE)</f>
        <v>0</v>
      </c>
      <c r="D110" s="197" t="str">
        <f>IFERROR(__xludf.DUMMYFUNCTION("""COMPUTED_VALUE"""),"Cieslar Marek")</f>
        <v>Cieslar Marek</v>
      </c>
      <c r="E110" s="197" t="str">
        <f>IFERROR(__xludf.DUMMYFUNCTION("""COMPUTED_VALUE"""),"Libuš")</f>
        <v>Libuš</v>
      </c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200">
        <f>IFERROR(__xludf.DUMMYFUNCTION("""COMPUTED_VALUE"""),231.474)</f>
        <v>231.474</v>
      </c>
      <c r="W110" s="200">
        <f>IFERROR(__xludf.DUMMYFUNCTION("""COMPUTED_VALUE"""),0.0)</f>
        <v>0</v>
      </c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</row>
    <row r="111">
      <c r="A111" s="197"/>
      <c r="B111" s="202" t="str">
        <f>IF(OR(E111=Report!$B$1, F111=Report!$B$1, G111=Report!$B$1, H111=Report!$B$1), D111, "")</f>
        <v/>
      </c>
      <c r="C111" s="197" t="b">
        <f>IFERROR(__xludf.DUMMYFUNCTION("""COMPUTED_VALUE"""),FALSE)</f>
        <v>0</v>
      </c>
      <c r="D111" s="197" t="str">
        <f>IFERROR(__xludf.DUMMYFUNCTION("""COMPUTED_VALUE"""),"Banga Adam")</f>
        <v>Banga Adam</v>
      </c>
      <c r="E111" s="197" t="str">
        <f>IFERROR(__xludf.DUMMYFUNCTION("""COMPUTED_VALUE"""),"Zličín")</f>
        <v>Zličín</v>
      </c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200">
        <f>IFERROR(__xludf.DUMMYFUNCTION("""COMPUTED_VALUE"""),231.474)</f>
        <v>231.474</v>
      </c>
      <c r="W111" s="200">
        <f>IFERROR(__xludf.DUMMYFUNCTION("""COMPUTED_VALUE"""),0.0)</f>
        <v>0</v>
      </c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</row>
    <row r="112">
      <c r="A112" s="197"/>
      <c r="B112" s="202" t="str">
        <f>IF(OR(E112=Report!$B$1, F112=Report!$B$1, G112=Report!$B$1, H112=Report!$B$1), D112, "")</f>
        <v>Vopatová Anna</v>
      </c>
      <c r="C112" s="197" t="b">
        <f>IFERROR(__xludf.DUMMYFUNCTION("""COMPUTED_VALUE"""),FALSE)</f>
        <v>0</v>
      </c>
      <c r="D112" s="197" t="str">
        <f>IFERROR(__xludf.DUMMYFUNCTION("""COMPUTED_VALUE"""),"Vopatová Anna")</f>
        <v>Vopatová Anna</v>
      </c>
      <c r="E112" s="197" t="str">
        <f>IFERROR(__xludf.DUMMYFUNCTION("""COMPUTED_VALUE"""),"Bolevec")</f>
        <v>Bolevec</v>
      </c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200">
        <f>IFERROR(__xludf.DUMMYFUNCTION("""COMPUTED_VALUE"""),214.08)</f>
        <v>214.08</v>
      </c>
      <c r="W112" s="200">
        <f>IFERROR(__xludf.DUMMYFUNCTION("""COMPUTED_VALUE"""),0.0)</f>
        <v>0</v>
      </c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</row>
    <row r="113">
      <c r="A113" s="197"/>
      <c r="B113" s="202" t="str">
        <f>IF(OR(E113=Report!$B$1, F113=Report!$B$1, G113=Report!$B$1, H113=Report!$B$1), D113, "")</f>
        <v>Vopatová Šárka</v>
      </c>
      <c r="C113" s="197" t="b">
        <f>IFERROR(__xludf.DUMMYFUNCTION("""COMPUTED_VALUE"""),FALSE)</f>
        <v>0</v>
      </c>
      <c r="D113" s="197" t="str">
        <f>IFERROR(__xludf.DUMMYFUNCTION("""COMPUTED_VALUE"""),"Vopatová Šárka")</f>
        <v>Vopatová Šárka</v>
      </c>
      <c r="E113" s="197" t="str">
        <f>IFERROR(__xludf.DUMMYFUNCTION("""COMPUTED_VALUE"""),"Bolevec")</f>
        <v>Bolevec</v>
      </c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200">
        <f>IFERROR(__xludf.DUMMYFUNCTION("""COMPUTED_VALUE"""),214.08)</f>
        <v>214.08</v>
      </c>
      <c r="W113" s="200">
        <f>IFERROR(__xludf.DUMMYFUNCTION("""COMPUTED_VALUE"""),0.0)</f>
        <v>0</v>
      </c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</row>
    <row r="114">
      <c r="A114" s="197"/>
      <c r="B114" s="202" t="str">
        <f>IF(OR(E114=Report!$B$1, F114=Report!$B$1, G114=Report!$B$1, H114=Report!$B$1), D114, "")</f>
        <v/>
      </c>
      <c r="C114" s="197" t="b">
        <f>IFERROR(__xludf.DUMMYFUNCTION("""COMPUTED_VALUE"""),FALSE)</f>
        <v>0</v>
      </c>
      <c r="D114" s="197" t="str">
        <f>IFERROR(__xludf.DUMMYFUNCTION("""COMPUTED_VALUE"""),"Richterová Monika")</f>
        <v>Richterová Monika</v>
      </c>
      <c r="E114" s="197" t="str">
        <f>IFERROR(__xludf.DUMMYFUNCTION("""COMPUTED_VALUE"""),"Malešice")</f>
        <v>Malešice</v>
      </c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200">
        <f>IFERROR(__xludf.DUMMYFUNCTION("""COMPUTED_VALUE"""),214.08)</f>
        <v>214.08</v>
      </c>
      <c r="W114" s="200">
        <f>IFERROR(__xludf.DUMMYFUNCTION("""COMPUTED_VALUE"""),0.0)</f>
        <v>0</v>
      </c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</row>
    <row r="115">
      <c r="A115" s="197"/>
      <c r="B115" s="202" t="str">
        <f>IF(OR(E115=Report!$B$1, F115=Report!$B$1, G115=Report!$B$1, H115=Report!$B$1), D115, "")</f>
        <v/>
      </c>
      <c r="C115" s="197" t="b">
        <f>IFERROR(__xludf.DUMMYFUNCTION("""COMPUTED_VALUE"""),FALSE)</f>
        <v>0</v>
      </c>
      <c r="D115" s="197" t="str">
        <f>IFERROR(__xludf.DUMMYFUNCTION("""COMPUTED_VALUE"""),"Serin David")</f>
        <v>Serin David</v>
      </c>
      <c r="E115" s="197" t="str">
        <f>IFERROR(__xludf.DUMMYFUNCTION("""COMPUTED_VALUE"""),"Libuš")</f>
        <v>Libuš</v>
      </c>
      <c r="F115" s="197" t="str">
        <f>IFERROR(__xludf.DUMMYFUNCTION("""COMPUTED_VALUE"""),"Malešice")</f>
        <v>Malešice</v>
      </c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200">
        <f>IFERROR(__xludf.DUMMYFUNCTION("""COMPUTED_VALUE"""),250.20600000000002)</f>
        <v>250.206</v>
      </c>
      <c r="W115" s="200">
        <f>IFERROR(__xludf.DUMMYFUNCTION("""COMPUTED_VALUE"""),0.0)</f>
        <v>0</v>
      </c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</row>
    <row r="116">
      <c r="A116" s="197"/>
      <c r="B116" s="202" t="str">
        <f>IF(OR(E116=Report!$B$1, F116=Report!$B$1, G116=Report!$B$1, H116=Report!$B$1), D116, "")</f>
        <v/>
      </c>
      <c r="C116" s="197" t="b">
        <f>IFERROR(__xludf.DUMMYFUNCTION("""COMPUTED_VALUE"""),FALSE)</f>
        <v>0</v>
      </c>
      <c r="D116" s="197" t="str">
        <f>IFERROR(__xludf.DUMMYFUNCTION("""COMPUTED_VALUE"""),"Fabera Tomáš")</f>
        <v>Fabera Tomáš</v>
      </c>
      <c r="E116" s="197" t="str">
        <f>IFERROR(__xludf.DUMMYFUNCTION("""COMPUTED_VALUE"""),"Chodov")</f>
        <v>Chodov</v>
      </c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200">
        <f>IFERROR(__xludf.DUMMYFUNCTION("""COMPUTED_VALUE"""),231.474)</f>
        <v>231.474</v>
      </c>
      <c r="W116" s="200">
        <f>IFERROR(__xludf.DUMMYFUNCTION("""COMPUTED_VALUE"""),0.0)</f>
        <v>0</v>
      </c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</row>
    <row r="117">
      <c r="A117" s="197"/>
      <c r="B117" s="202" t="str">
        <f>IF(OR(E117=Report!$B$1, F117=Report!$B$1, G117=Report!$B$1, H117=Report!$B$1), D117, "")</f>
        <v/>
      </c>
      <c r="C117" s="197" t="b">
        <f>IFERROR(__xludf.DUMMYFUNCTION("""COMPUTED_VALUE"""),FALSE)</f>
        <v>0</v>
      </c>
      <c r="D117" s="197" t="str">
        <f>IFERROR(__xludf.DUMMYFUNCTION("""COMPUTED_VALUE"""),"Hendrych Rostislav")</f>
        <v>Hendrych Rostislav</v>
      </c>
      <c r="E117" s="197" t="str">
        <f>IFERROR(__xludf.DUMMYFUNCTION("""COMPUTED_VALUE"""),"Malešice")</f>
        <v>Malešice</v>
      </c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200">
        <f>IFERROR(__xludf.DUMMYFUNCTION("""COMPUTED_VALUE"""),250.20600000000002)</f>
        <v>250.206</v>
      </c>
      <c r="W117" s="200">
        <f>IFERROR(__xludf.DUMMYFUNCTION("""COMPUTED_VALUE"""),0.0)</f>
        <v>0</v>
      </c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</row>
    <row r="118">
      <c r="A118" s="197"/>
      <c r="B118" s="202" t="str">
        <f>IF(OR(E118=Report!$B$1, F118=Report!$B$1, G118=Report!$B$1, H118=Report!$B$1), D118, "")</f>
        <v/>
      </c>
      <c r="C118" s="197" t="b">
        <f>IFERROR(__xludf.DUMMYFUNCTION("""COMPUTED_VALUE"""),FALSE)</f>
        <v>0</v>
      </c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200">
        <f>IFERROR(__xludf.DUMMYFUNCTION("""COMPUTED_VALUE"""),0.0)</f>
        <v>0</v>
      </c>
      <c r="W118" s="200">
        <f>IFERROR(__xludf.DUMMYFUNCTION("""COMPUTED_VALUE"""),0.0)</f>
        <v>0</v>
      </c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</row>
    <row r="119">
      <c r="A119" s="197"/>
      <c r="B119" s="202" t="str">
        <f>IF(OR(E119=Report!$B$1, F119=Report!$B$1, G119=Report!$B$1, H119=Report!$B$1), D119, "")</f>
        <v>Světlík František</v>
      </c>
      <c r="C119" s="197" t="b">
        <f>IFERROR(__xludf.DUMMYFUNCTION("""COMPUTED_VALUE"""),FALSE)</f>
        <v>0</v>
      </c>
      <c r="D119" s="197" t="str">
        <f>IFERROR(__xludf.DUMMYFUNCTION("""COMPUTED_VALUE"""),"Světlík František")</f>
        <v>Světlík František</v>
      </c>
      <c r="E119" s="197" t="str">
        <f>IFERROR(__xludf.DUMMYFUNCTION("""COMPUTED_VALUE"""),"Bolevec")</f>
        <v>Bolevec</v>
      </c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200">
        <f>IFERROR(__xludf.DUMMYFUNCTION("""COMPUTED_VALUE"""),214.08)</f>
        <v>214.08</v>
      </c>
      <c r="W119" s="200">
        <f>IFERROR(__xludf.DUMMYFUNCTION("""COMPUTED_VALUE"""),0.0)</f>
        <v>0</v>
      </c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</row>
    <row r="120">
      <c r="A120" s="197"/>
      <c r="B120" s="202" t="str">
        <f>IF(OR(E120=Report!$B$1, F120=Report!$B$1, G120=Report!$B$1, H120=Report!$B$1), D120, "")</f>
        <v>Ženíšek Lukáš</v>
      </c>
      <c r="C120" s="197" t="b">
        <f>IFERROR(__xludf.DUMMYFUNCTION("""COMPUTED_VALUE"""),FALSE)</f>
        <v>0</v>
      </c>
      <c r="D120" s="197" t="str">
        <f>IFERROR(__xludf.DUMMYFUNCTION("""COMPUTED_VALUE"""),"Ženíšek Lukáš")</f>
        <v>Ženíšek Lukáš</v>
      </c>
      <c r="E120" s="197" t="str">
        <f>IFERROR(__xludf.DUMMYFUNCTION("""COMPUTED_VALUE"""),"Bolevec")</f>
        <v>Bolevec</v>
      </c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200">
        <f>IFERROR(__xludf.DUMMYFUNCTION("""COMPUTED_VALUE"""),214.08)</f>
        <v>214.08</v>
      </c>
      <c r="W120" s="200">
        <f>IFERROR(__xludf.DUMMYFUNCTION("""COMPUTED_VALUE"""),0.0)</f>
        <v>0</v>
      </c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</row>
    <row r="121">
      <c r="A121" s="197"/>
      <c r="B121" s="202" t="str">
        <f>IF(OR(E121=Report!$B$1, F121=Report!$B$1, G121=Report!$B$1, H121=Report!$B$1), D121, "")</f>
        <v/>
      </c>
      <c r="C121" s="197" t="b">
        <f>IFERROR(__xludf.DUMMYFUNCTION("""COMPUTED_VALUE"""),FALSE)</f>
        <v>0</v>
      </c>
      <c r="D121" s="197" t="str">
        <f>IFERROR(__xludf.DUMMYFUNCTION("""COMPUTED_VALUE"""),"Přibyl Jan")</f>
        <v>Přibyl Jan</v>
      </c>
      <c r="E121" s="197" t="str">
        <f>IFERROR(__xludf.DUMMYFUNCTION("""COMPUTED_VALUE"""),"Chodov")</f>
        <v>Chodov</v>
      </c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200">
        <f>IFERROR(__xludf.DUMMYFUNCTION("""COMPUTED_VALUE"""),231.474)</f>
        <v>231.474</v>
      </c>
      <c r="W121" s="200">
        <f>IFERROR(__xludf.DUMMYFUNCTION("""COMPUTED_VALUE"""),0.0)</f>
        <v>0</v>
      </c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</row>
    <row r="122">
      <c r="A122" s="197"/>
      <c r="B122" s="202" t="str">
        <f>IF(OR(E122=Report!$B$1, F122=Report!$B$1, G122=Report!$B$1, H122=Report!$B$1), D122, "")</f>
        <v>Roth Stanislav st.</v>
      </c>
      <c r="C122" s="197" t="b">
        <f>IFERROR(__xludf.DUMMYFUNCTION("""COMPUTED_VALUE"""),FALSE)</f>
        <v>0</v>
      </c>
      <c r="D122" s="197" t="str">
        <f>IFERROR(__xludf.DUMMYFUNCTION("""COMPUTED_VALUE"""),"Roth Stanislav st.")</f>
        <v>Roth Stanislav st.</v>
      </c>
      <c r="E122" s="197" t="str">
        <f>IFERROR(__xludf.DUMMYFUNCTION("""COMPUTED_VALUE"""),"Bolevec")</f>
        <v>Bolevec</v>
      </c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200">
        <f>IFERROR(__xludf.DUMMYFUNCTION("""COMPUTED_VALUE"""),49506.0)</f>
        <v>49506</v>
      </c>
      <c r="W122" s="200">
        <f>IFERROR(__xludf.DUMMYFUNCTION("""COMPUTED_VALUE"""),1596.967741935484)</f>
        <v>1596.967742</v>
      </c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</row>
    <row r="123">
      <c r="A123" s="197"/>
      <c r="B123" s="202" t="str">
        <f>IF(OR(E123=Report!$B$1, F123=Report!$B$1, G123=Report!$B$1, H123=Report!$B$1), D123, "")</f>
        <v/>
      </c>
      <c r="C123" s="197" t="b">
        <f>IFERROR(__xludf.DUMMYFUNCTION("""COMPUTED_VALUE"""),FALSE)</f>
        <v>0</v>
      </c>
      <c r="D123" s="197" t="str">
        <f>IFERROR(__xludf.DUMMYFUNCTION("""COMPUTED_VALUE"""),"Hrach Michal")</f>
        <v>Hrach Michal</v>
      </c>
      <c r="E123" s="197" t="str">
        <f>IFERROR(__xludf.DUMMYFUNCTION("""COMPUTED_VALUE"""),"Chodov")</f>
        <v>Chodov</v>
      </c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200">
        <f>IFERROR(__xludf.DUMMYFUNCTION("""COMPUTED_VALUE"""),231.474)</f>
        <v>231.474</v>
      </c>
      <c r="W123" s="200">
        <f>IFERROR(__xludf.DUMMYFUNCTION("""COMPUTED_VALUE"""),0.0)</f>
        <v>0</v>
      </c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</row>
    <row r="124">
      <c r="A124" s="197"/>
      <c r="B124" s="202" t="str">
        <f>IF(OR(E124=Report!$B$1, F124=Report!$B$1, G124=Report!$B$1, H124=Report!$B$1), D124, "")</f>
        <v/>
      </c>
      <c r="C124" s="197" t="b">
        <f>IFERROR(__xludf.DUMMYFUNCTION("""COMPUTED_VALUE"""),FALSE)</f>
        <v>0</v>
      </c>
      <c r="D124" s="197" t="str">
        <f>IFERROR(__xludf.DUMMYFUNCTION("""COMPUTED_VALUE"""),"Kvapil Filip Leon")</f>
        <v>Kvapil Filip Leon</v>
      </c>
      <c r="E124" s="197" t="str">
        <f>IFERROR(__xludf.DUMMYFUNCTION("""COMPUTED_VALUE"""),"Zličín")</f>
        <v>Zličín</v>
      </c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200">
        <f>IFERROR(__xludf.DUMMYFUNCTION("""COMPUTED_VALUE"""),231.474)</f>
        <v>231.474</v>
      </c>
      <c r="W124" s="200">
        <f>IFERROR(__xludf.DUMMYFUNCTION("""COMPUTED_VALUE"""),0.0)</f>
        <v>0</v>
      </c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</row>
    <row r="125">
      <c r="A125" s="197"/>
      <c r="B125" s="202" t="str">
        <f>IF(OR(E125=Report!$B$1, F125=Report!$B$1, G125=Report!$B$1, H125=Report!$B$1), D125, "")</f>
        <v/>
      </c>
      <c r="C125" s="197" t="b">
        <f>IFERROR(__xludf.DUMMYFUNCTION("""COMPUTED_VALUE"""),FALSE)</f>
        <v>0</v>
      </c>
      <c r="D125" s="197" t="str">
        <f>IFERROR(__xludf.DUMMYFUNCTION("""COMPUTED_VALUE"""),"Vaníková Anna")</f>
        <v>Vaníková Anna</v>
      </c>
      <c r="E125" s="197" t="str">
        <f>IFERROR(__xludf.DUMMYFUNCTION("""COMPUTED_VALUE"""),"Zličín")</f>
        <v>Zličín</v>
      </c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200">
        <f>IFERROR(__xludf.DUMMYFUNCTION("""COMPUTED_VALUE"""),231.474)</f>
        <v>231.474</v>
      </c>
      <c r="W125" s="200">
        <f>IFERROR(__xludf.DUMMYFUNCTION("""COMPUTED_VALUE"""),0.0)</f>
        <v>0</v>
      </c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</row>
    <row r="126">
      <c r="A126" s="197"/>
      <c r="B126" s="202" t="str">
        <f>IF(OR(E126=Report!$B$1, F126=Report!$B$1, G126=Report!$B$1, H126=Report!$B$1), D126, "")</f>
        <v>Irena Kovacsova</v>
      </c>
      <c r="C126" s="197" t="b">
        <f>IFERROR(__xludf.DUMMYFUNCTION("""COMPUTED_VALUE"""),FALSE)</f>
        <v>0</v>
      </c>
      <c r="D126" s="197" t="str">
        <f>IFERROR(__xludf.DUMMYFUNCTION("""COMPUTED_VALUE"""),"Irena Kovacsova")</f>
        <v>Irena Kovacsova</v>
      </c>
      <c r="E126" s="197" t="str">
        <f>IFERROR(__xludf.DUMMYFUNCTION("""COMPUTED_VALUE"""),"Bolevec")</f>
        <v>Bolevec</v>
      </c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200">
        <f>IFERROR(__xludf.DUMMYFUNCTION("""COMPUTED_VALUE"""),224.784)</f>
        <v>224.784</v>
      </c>
      <c r="W126" s="200">
        <f>IFERROR(__xludf.DUMMYFUNCTION("""COMPUTED_VALUE"""),0.0)</f>
        <v>0</v>
      </c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</row>
    <row r="127">
      <c r="A127" s="197"/>
      <c r="B127" s="202" t="str">
        <f>IF(OR(E127=Report!$B$1, F127=Report!$B$1, G127=Report!$B$1, H127=Report!$B$1), D127, "")</f>
        <v/>
      </c>
      <c r="C127" s="197" t="b">
        <f>IFERROR(__xludf.DUMMYFUNCTION("""COMPUTED_VALUE"""),FALSE)</f>
        <v>0</v>
      </c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200">
        <f>IFERROR(__xludf.DUMMYFUNCTION("""COMPUTED_VALUE"""),0.0)</f>
        <v>0</v>
      </c>
      <c r="W127" s="200">
        <f>IFERROR(__xludf.DUMMYFUNCTION("""COMPUTED_VALUE"""),0.0)</f>
        <v>0</v>
      </c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</row>
    <row r="128">
      <c r="A128" s="197"/>
      <c r="B128" s="202" t="str">
        <f>IF(OR(E128=Report!$B$1, F128=Report!$B$1, G128=Report!$B$1, H128=Report!$B$1), D128, "")</f>
        <v/>
      </c>
      <c r="C128" s="197" t="b">
        <f>IFERROR(__xludf.DUMMYFUNCTION("""COMPUTED_VALUE"""),FALSE)</f>
        <v>0</v>
      </c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200">
        <f>IFERROR(__xludf.DUMMYFUNCTION("""COMPUTED_VALUE"""),0.0)</f>
        <v>0</v>
      </c>
      <c r="W128" s="200">
        <f>IFERROR(__xludf.DUMMYFUNCTION("""COMPUTED_VALUE"""),0.0)</f>
        <v>0</v>
      </c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</row>
    <row r="129">
      <c r="A129" s="197"/>
      <c r="B129" s="202" t="str">
        <f>IF(OR(E129=Report!$B$1, F129=Report!$B$1, G129=Report!$B$1, H129=Report!$B$1), D129, "")</f>
        <v/>
      </c>
      <c r="C129" s="197" t="b">
        <f>IFERROR(__xludf.DUMMYFUNCTION("""COMPUTED_VALUE"""),FALSE)</f>
        <v>0</v>
      </c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200">
        <f>IFERROR(__xludf.DUMMYFUNCTION("""COMPUTED_VALUE"""),0.0)</f>
        <v>0</v>
      </c>
      <c r="W129" s="200">
        <f>IFERROR(__xludf.DUMMYFUNCTION("""COMPUTED_VALUE"""),0.0)</f>
        <v>0</v>
      </c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</row>
    <row r="130">
      <c r="A130" s="197"/>
      <c r="B130" s="202" t="str">
        <f>IF(OR(E130=Report!$B$1, F130=Report!$B$1, G130=Report!$B$1, H130=Report!$B$1), D130, "")</f>
        <v/>
      </c>
      <c r="C130" s="197" t="b">
        <f>IFERROR(__xludf.DUMMYFUNCTION("""COMPUTED_VALUE"""),FALSE)</f>
        <v>0</v>
      </c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200">
        <f>IFERROR(__xludf.DUMMYFUNCTION("""COMPUTED_VALUE"""),0.0)</f>
        <v>0</v>
      </c>
      <c r="W130" s="200">
        <f>IFERROR(__xludf.DUMMYFUNCTION("""COMPUTED_VALUE"""),0.0)</f>
        <v>0</v>
      </c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</row>
    <row r="131">
      <c r="A131" s="197"/>
      <c r="B131" s="202" t="str">
        <f>IF(OR(E131=Report!$B$1, F131=Report!$B$1, G131=Report!$B$1, H131=Report!$B$1), D131, "")</f>
        <v/>
      </c>
      <c r="C131" s="197" t="b">
        <f>IFERROR(__xludf.DUMMYFUNCTION("""COMPUTED_VALUE"""),FALSE)</f>
        <v>0</v>
      </c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200">
        <f>IFERROR(__xludf.DUMMYFUNCTION("""COMPUTED_VALUE"""),0.0)</f>
        <v>0</v>
      </c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</row>
    <row r="132">
      <c r="A132" s="197"/>
      <c r="B132" s="202" t="str">
        <f>IF(OR(E132=Report!$B$1, F132=Report!$B$1, G132=Report!$B$1, H132=Report!$B$1), D132, "")</f>
        <v/>
      </c>
      <c r="C132" s="197" t="b">
        <f>IFERROR(__xludf.DUMMYFUNCTION("""COMPUTED_VALUE"""),FALSE)</f>
        <v>0</v>
      </c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200">
        <f>IFERROR(__xludf.DUMMYFUNCTION("""COMPUTED_VALUE"""),0.0)</f>
        <v>0</v>
      </c>
      <c r="W132" s="200">
        <f>IFERROR(__xludf.DUMMYFUNCTION("""COMPUTED_VALUE"""),0.0)</f>
        <v>0</v>
      </c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</row>
    <row r="133">
      <c r="A133" s="197"/>
      <c r="B133" s="202" t="str">
        <f>IF(OR(E133=Report!$B$1, F133=Report!$B$1, G133=Report!$B$1, H133=Report!$B$1), D133, "")</f>
        <v/>
      </c>
      <c r="C133" s="197" t="b">
        <f>IFERROR(__xludf.DUMMYFUNCTION("""COMPUTED_VALUE"""),FALSE)</f>
        <v>0</v>
      </c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200">
        <f>IFERROR(__xludf.DUMMYFUNCTION("""COMPUTED_VALUE"""),0.0)</f>
        <v>0</v>
      </c>
      <c r="W133" s="200">
        <f>IFERROR(__xludf.DUMMYFUNCTION("""COMPUTED_VALUE"""),0.0)</f>
        <v>0</v>
      </c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</row>
    <row r="134">
      <c r="A134" s="197"/>
      <c r="B134" s="202" t="str">
        <f>IF(OR(E134=Report!$B$1, F134=Report!$B$1, G134=Report!$B$1, H134=Report!$B$1), D134, "")</f>
        <v/>
      </c>
      <c r="C134" s="197" t="b">
        <f>IFERROR(__xludf.DUMMYFUNCTION("""COMPUTED_VALUE"""),FALSE)</f>
        <v>0</v>
      </c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200">
        <f>IFERROR(__xludf.DUMMYFUNCTION("""COMPUTED_VALUE"""),0.0)</f>
        <v>0</v>
      </c>
      <c r="W134" s="200">
        <f>IFERROR(__xludf.DUMMYFUNCTION("""COMPUTED_VALUE"""),0.0)</f>
        <v>0</v>
      </c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</row>
    <row r="135">
      <c r="A135" s="197"/>
      <c r="B135" s="202" t="str">
        <f>IF(OR(E135=Report!$B$1, F135=Report!$B$1, G135=Report!$B$1, H135=Report!$B$1), D135, "")</f>
        <v/>
      </c>
      <c r="C135" s="197" t="b">
        <f>IFERROR(__xludf.DUMMYFUNCTION("""COMPUTED_VALUE"""),FALSE)</f>
        <v>0</v>
      </c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200">
        <f>IFERROR(__xludf.DUMMYFUNCTION("""COMPUTED_VALUE"""),0.0)</f>
        <v>0</v>
      </c>
      <c r="W135" s="200">
        <f>IFERROR(__xludf.DUMMYFUNCTION("""COMPUTED_VALUE"""),0.0)</f>
        <v>0</v>
      </c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</row>
    <row r="136">
      <c r="A136" s="197"/>
      <c r="B136" s="202" t="str">
        <f>IF(OR(E136=Report!$B$1, F136=Report!$B$1, G136=Report!$B$1, H136=Report!$B$1), D136, "")</f>
        <v/>
      </c>
      <c r="C136" s="197" t="b">
        <f>IFERROR(__xludf.DUMMYFUNCTION("""COMPUTED_VALUE"""),FALSE)</f>
        <v>0</v>
      </c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200">
        <f>IFERROR(__xludf.DUMMYFUNCTION("""COMPUTED_VALUE"""),0.0)</f>
        <v>0</v>
      </c>
      <c r="W136" s="200">
        <f>IFERROR(__xludf.DUMMYFUNCTION("""COMPUTED_VALUE"""),0.0)</f>
        <v>0</v>
      </c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</row>
    <row r="137">
      <c r="A137" s="197"/>
      <c r="B137" s="202" t="str">
        <f>IF(OR(E137=Report!$B$1, F137=Report!$B$1, G137=Report!$B$1, H137=Report!$B$1), D137, "")</f>
        <v/>
      </c>
      <c r="C137" s="197" t="b">
        <f>IFERROR(__xludf.DUMMYFUNCTION("""COMPUTED_VALUE"""),FALSE)</f>
        <v>0</v>
      </c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200">
        <f>IFERROR(__xludf.DUMMYFUNCTION("""COMPUTED_VALUE"""),0.0)</f>
        <v>0</v>
      </c>
      <c r="W137" s="200">
        <f>IFERROR(__xludf.DUMMYFUNCTION("""COMPUTED_VALUE"""),0.0)</f>
        <v>0</v>
      </c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</row>
    <row r="138">
      <c r="A138" s="197"/>
      <c r="B138" s="202" t="str">
        <f>IF(OR(E138=Report!$B$1, F138=Report!$B$1, G138=Report!$B$1, H138=Report!$B$1), D138, "")</f>
        <v/>
      </c>
      <c r="C138" s="197" t="b">
        <f>IFERROR(__xludf.DUMMYFUNCTION("""COMPUTED_VALUE"""),FALSE)</f>
        <v>0</v>
      </c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200">
        <f>IFERROR(__xludf.DUMMYFUNCTION("""COMPUTED_VALUE"""),0.0)</f>
        <v>0</v>
      </c>
      <c r="W138" s="200">
        <f>IFERROR(__xludf.DUMMYFUNCTION("""COMPUTED_VALUE"""),0.0)</f>
        <v>0</v>
      </c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</row>
    <row r="139">
      <c r="A139" s="197"/>
      <c r="B139" s="202" t="str">
        <f>IF(OR(E139=Report!$B$1, F139=Report!$B$1, G139=Report!$B$1, H139=Report!$B$1), D139, "")</f>
        <v/>
      </c>
      <c r="C139" s="197" t="b">
        <f>IFERROR(__xludf.DUMMYFUNCTION("""COMPUTED_VALUE"""),FALSE)</f>
        <v>0</v>
      </c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200">
        <f>IFERROR(__xludf.DUMMYFUNCTION("""COMPUTED_VALUE"""),0.0)</f>
        <v>0</v>
      </c>
      <c r="W139" s="200">
        <f>IFERROR(__xludf.DUMMYFUNCTION("""COMPUTED_VALUE"""),0.0)</f>
        <v>0</v>
      </c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</row>
    <row r="140">
      <c r="A140" s="197"/>
      <c r="B140" s="202" t="str">
        <f>IF(OR(E140=Report!$B$1, F140=Report!$B$1, G140=Report!$B$1, H140=Report!$B$1), D140, "")</f>
        <v/>
      </c>
      <c r="C140" s="197" t="b">
        <f>IFERROR(__xludf.DUMMYFUNCTION("""COMPUTED_VALUE"""),FALSE)</f>
        <v>0</v>
      </c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200">
        <f>IFERROR(__xludf.DUMMYFUNCTION("""COMPUTED_VALUE"""),0.0)</f>
        <v>0</v>
      </c>
      <c r="W140" s="200">
        <f>IFERROR(__xludf.DUMMYFUNCTION("""COMPUTED_VALUE"""),0.0)</f>
        <v>0</v>
      </c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</row>
    <row r="141">
      <c r="A141" s="197"/>
      <c r="B141" s="202" t="str">
        <f>IF(OR(E141=Report!$B$1, F141=Report!$B$1, G141=Report!$B$1, H141=Report!$B$1), D141, "")</f>
        <v/>
      </c>
      <c r="C141" s="197" t="b">
        <f>IFERROR(__xludf.DUMMYFUNCTION("""COMPUTED_VALUE"""),FALSE)</f>
        <v>0</v>
      </c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200">
        <f>IFERROR(__xludf.DUMMYFUNCTION("""COMPUTED_VALUE"""),0.0)</f>
        <v>0</v>
      </c>
      <c r="W141" s="200">
        <f>IFERROR(__xludf.DUMMYFUNCTION("""COMPUTED_VALUE"""),0.0)</f>
        <v>0</v>
      </c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</row>
    <row r="142">
      <c r="A142" s="197"/>
      <c r="B142" s="202" t="str">
        <f>IF(OR(E142=Report!$B$1, F142=Report!$B$1, G142=Report!$B$1, H142=Report!$B$1), D142, "")</f>
        <v/>
      </c>
      <c r="C142" s="197" t="b">
        <f>IFERROR(__xludf.DUMMYFUNCTION("""COMPUTED_VALUE"""),FALSE)</f>
        <v>0</v>
      </c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200">
        <f>IFERROR(__xludf.DUMMYFUNCTION("""COMPUTED_VALUE"""),0.0)</f>
        <v>0</v>
      </c>
      <c r="W142" s="200">
        <f>IFERROR(__xludf.DUMMYFUNCTION("""COMPUTED_VALUE"""),0.0)</f>
        <v>0</v>
      </c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</row>
    <row r="143">
      <c r="A143" s="197"/>
      <c r="B143" s="202" t="str">
        <f>IF(OR(E143=Report!$B$1, F143=Report!$B$1, G143=Report!$B$1, H143=Report!$B$1), D143, "")</f>
        <v/>
      </c>
      <c r="C143" s="197" t="b">
        <f>IFERROR(__xludf.DUMMYFUNCTION("""COMPUTED_VALUE"""),FALSE)</f>
        <v>0</v>
      </c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200">
        <f>IFERROR(__xludf.DUMMYFUNCTION("""COMPUTED_VALUE"""),0.0)</f>
        <v>0</v>
      </c>
      <c r="W143" s="200">
        <f>IFERROR(__xludf.DUMMYFUNCTION("""COMPUTED_VALUE"""),0.0)</f>
        <v>0</v>
      </c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</row>
    <row r="144">
      <c r="A144" s="197"/>
      <c r="B144" s="202" t="str">
        <f>IF(OR(E144=Report!$B$1, F144=Report!$B$1, G144=Report!$B$1, H144=Report!$B$1), D144, "")</f>
        <v/>
      </c>
      <c r="C144" s="197" t="b">
        <f>IFERROR(__xludf.DUMMYFUNCTION("""COMPUTED_VALUE"""),FALSE)</f>
        <v>0</v>
      </c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200">
        <f>IFERROR(__xludf.DUMMYFUNCTION("""COMPUTED_VALUE"""),0.0)</f>
        <v>0</v>
      </c>
      <c r="W144" s="200">
        <f>IFERROR(__xludf.DUMMYFUNCTION("""COMPUTED_VALUE"""),0.0)</f>
        <v>0</v>
      </c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</row>
    <row r="145">
      <c r="A145" s="197"/>
      <c r="B145" s="202" t="str">
        <f>IF(OR(E145=Report!$B$1, F145=Report!$B$1, G145=Report!$B$1, H145=Report!$B$1), D145, "")</f>
        <v/>
      </c>
      <c r="C145" s="197" t="b">
        <f>IFERROR(__xludf.DUMMYFUNCTION("""COMPUTED_VALUE"""),FALSE)</f>
        <v>0</v>
      </c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200">
        <f>IFERROR(__xludf.DUMMYFUNCTION("""COMPUTED_VALUE"""),0.0)</f>
        <v>0</v>
      </c>
      <c r="W145" s="200">
        <f>IFERROR(__xludf.DUMMYFUNCTION("""COMPUTED_VALUE"""),0.0)</f>
        <v>0</v>
      </c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</row>
    <row r="146">
      <c r="A146" s="197"/>
      <c r="B146" s="202" t="str">
        <f>IF(OR(E146=Report!$B$1, F146=Report!$B$1, G146=Report!$B$1, H146=Report!$B$1), D146, "")</f>
        <v/>
      </c>
      <c r="C146" s="197" t="b">
        <f>IFERROR(__xludf.DUMMYFUNCTION("""COMPUTED_VALUE"""),FALSE)</f>
        <v>0</v>
      </c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200">
        <f>IFERROR(__xludf.DUMMYFUNCTION("""COMPUTED_VALUE"""),0.0)</f>
        <v>0</v>
      </c>
      <c r="W146" s="200">
        <f>IFERROR(__xludf.DUMMYFUNCTION("""COMPUTED_VALUE"""),0.0)</f>
        <v>0</v>
      </c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</row>
    <row r="147">
      <c r="A147" s="197"/>
      <c r="B147" s="202" t="str">
        <f>IF(OR(E147=Report!$B$1, F147=Report!$B$1, G147=Report!$B$1, H147=Report!$B$1), D147, "")</f>
        <v/>
      </c>
      <c r="C147" s="197" t="b">
        <f>IFERROR(__xludf.DUMMYFUNCTION("""COMPUTED_VALUE"""),FALSE)</f>
        <v>0</v>
      </c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200">
        <f>IFERROR(__xludf.DUMMYFUNCTION("""COMPUTED_VALUE"""),0.0)</f>
        <v>0</v>
      </c>
      <c r="W147" s="200">
        <f>IFERROR(__xludf.DUMMYFUNCTION("""COMPUTED_VALUE"""),0.0)</f>
        <v>0</v>
      </c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</row>
    <row r="148">
      <c r="A148" s="197"/>
      <c r="B148" s="202" t="str">
        <f>IF(OR(E148=Report!$B$1, F148=Report!$B$1, G148=Report!$B$1, H148=Report!$B$1), D148, "")</f>
        <v/>
      </c>
      <c r="C148" s="197" t="b">
        <f>IFERROR(__xludf.DUMMYFUNCTION("""COMPUTED_VALUE"""),FALSE)</f>
        <v>0</v>
      </c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200">
        <f>IFERROR(__xludf.DUMMYFUNCTION("""COMPUTED_VALUE"""),0.0)</f>
        <v>0</v>
      </c>
      <c r="W148" s="200">
        <f>IFERROR(__xludf.DUMMYFUNCTION("""COMPUTED_VALUE"""),0.0)</f>
        <v>0</v>
      </c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</row>
    <row r="149">
      <c r="A149" s="197"/>
      <c r="B149" s="202" t="str">
        <f>IF(OR(E149=Report!$B$1, F149=Report!$B$1, G149=Report!$B$1, H149=Report!$B$1), D149, "")</f>
        <v/>
      </c>
      <c r="C149" s="197" t="b">
        <f>IFERROR(__xludf.DUMMYFUNCTION("""COMPUTED_VALUE"""),FALSE)</f>
        <v>0</v>
      </c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200">
        <f>IFERROR(__xludf.DUMMYFUNCTION("""COMPUTED_VALUE"""),0.0)</f>
        <v>0</v>
      </c>
      <c r="W149" s="200">
        <f>IFERROR(__xludf.DUMMYFUNCTION("""COMPUTED_VALUE"""),0.0)</f>
        <v>0</v>
      </c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</row>
    <row r="150">
      <c r="A150" s="197"/>
      <c r="B150" s="202" t="str">
        <f>IF(OR(E150=Report!$B$1, F150=Report!$B$1, G150=Report!$B$1, H150=Report!$B$1), D150, "")</f>
        <v/>
      </c>
      <c r="C150" s="197" t="b">
        <f>IFERROR(__xludf.DUMMYFUNCTION("""COMPUTED_VALUE"""),FALSE)</f>
        <v>0</v>
      </c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200">
        <f>IFERROR(__xludf.DUMMYFUNCTION("""COMPUTED_VALUE"""),0.0)</f>
        <v>0</v>
      </c>
      <c r="W150" s="200">
        <f>IFERROR(__xludf.DUMMYFUNCTION("""COMPUTED_VALUE"""),0.0)</f>
        <v>0</v>
      </c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</row>
    <row r="151">
      <c r="A151" s="197"/>
      <c r="B151" s="202" t="str">
        <f>IF(OR(E151=Report!$B$1, F151=Report!$B$1, G151=Report!$B$1, H151=Report!$B$1), D151, "")</f>
        <v/>
      </c>
      <c r="C151" s="197" t="b">
        <f>IFERROR(__xludf.DUMMYFUNCTION("""COMPUTED_VALUE"""),FALSE)</f>
        <v>0</v>
      </c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200">
        <f>IFERROR(__xludf.DUMMYFUNCTION("""COMPUTED_VALUE"""),100.0)</f>
        <v>100</v>
      </c>
      <c r="W151" s="200">
        <f>IFERROR(__xludf.DUMMYFUNCTION("""COMPUTED_VALUE"""),0.0)</f>
        <v>0</v>
      </c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</row>
    <row r="152">
      <c r="A152" s="197"/>
      <c r="B152" s="202" t="str">
        <f>IF(OR(E152=Report!$B$1, F152=Report!$B$1, G152=Report!$B$1, H152=Report!$B$1), D152, "")</f>
        <v/>
      </c>
      <c r="C152" s="197" t="b">
        <f>IFERROR(__xludf.DUMMYFUNCTION("""COMPUTED_VALUE"""),FALSE)</f>
        <v>0</v>
      </c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200">
        <f>IFERROR(__xludf.DUMMYFUNCTION("""COMPUTED_VALUE"""),100.0)</f>
        <v>100</v>
      </c>
      <c r="W152" s="200">
        <f>IFERROR(__xludf.DUMMYFUNCTION("""COMPUTED_VALUE"""),0.0)</f>
        <v>0</v>
      </c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</row>
    <row r="153">
      <c r="A153" s="197"/>
      <c r="B153" s="202" t="str">
        <f>IF(OR(E153=Report!$B$1, F153=Report!$B$1, G153=Report!$B$1, H153=Report!$B$1), D153, "")</f>
        <v/>
      </c>
      <c r="C153" s="197" t="b">
        <f>IFERROR(__xludf.DUMMYFUNCTION("""COMPUTED_VALUE"""),FALSE)</f>
        <v>0</v>
      </c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200">
        <f>IFERROR(__xludf.DUMMYFUNCTION("""COMPUTED_VALUE"""),100.0)</f>
        <v>100</v>
      </c>
      <c r="W153" s="200">
        <f>IFERROR(__xludf.DUMMYFUNCTION("""COMPUTED_VALUE"""),0.0)</f>
        <v>0</v>
      </c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</row>
    <row r="154">
      <c r="A154" s="197"/>
      <c r="B154" s="202" t="str">
        <f>IF(OR(E154=Report!$B$1, F154=Report!$B$1, G154=Report!$B$1, H154=Report!$B$1), D154, "")</f>
        <v/>
      </c>
      <c r="C154" s="197" t="b">
        <f>IFERROR(__xludf.DUMMYFUNCTION("""COMPUTED_VALUE"""),FALSE)</f>
        <v>0</v>
      </c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200">
        <f>IFERROR(__xludf.DUMMYFUNCTION("""COMPUTED_VALUE"""),100.0)</f>
        <v>100</v>
      </c>
      <c r="W154" s="200">
        <f>IFERROR(__xludf.DUMMYFUNCTION("""COMPUTED_VALUE"""),0.0)</f>
        <v>0</v>
      </c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</row>
    <row r="155">
      <c r="A155" s="197"/>
      <c r="B155" s="202" t="str">
        <f>IF(OR(E155=Report!$B$1, F155=Report!$B$1, G155=Report!$B$1, H155=Report!$B$1), D155, "")</f>
        <v/>
      </c>
      <c r="C155" s="197" t="b">
        <f>IFERROR(__xludf.DUMMYFUNCTION("""COMPUTED_VALUE"""),FALSE)</f>
        <v>0</v>
      </c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200">
        <f>IFERROR(__xludf.DUMMYFUNCTION("""COMPUTED_VALUE"""),100.0)</f>
        <v>100</v>
      </c>
      <c r="W155" s="200">
        <f>IFERROR(__xludf.DUMMYFUNCTION("""COMPUTED_VALUE"""),0.0)</f>
        <v>0</v>
      </c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</row>
    <row r="156">
      <c r="A156" s="197"/>
      <c r="B156" s="202" t="str">
        <f>IF(OR(E156=Report!$B$1, F156=Report!$B$1, G156=Report!$B$1, H156=Report!$B$1), D156, "")</f>
        <v/>
      </c>
      <c r="C156" s="197" t="b">
        <f>IFERROR(__xludf.DUMMYFUNCTION("""COMPUTED_VALUE"""),FALSE)</f>
        <v>0</v>
      </c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200">
        <f>IFERROR(__xludf.DUMMYFUNCTION("""COMPUTED_VALUE"""),100.0)</f>
        <v>100</v>
      </c>
      <c r="W156" s="200">
        <f>IFERROR(__xludf.DUMMYFUNCTION("""COMPUTED_VALUE"""),0.0)</f>
        <v>0</v>
      </c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</row>
    <row r="157">
      <c r="A157" s="197"/>
      <c r="B157" s="202" t="str">
        <f>IF(OR(E157=Report!$B$1, F157=Report!$B$1, G157=Report!$B$1, H157=Report!$B$1), D157, "")</f>
        <v/>
      </c>
      <c r="C157" s="197" t="b">
        <f>IFERROR(__xludf.DUMMYFUNCTION("""COMPUTED_VALUE"""),FALSE)</f>
        <v>0</v>
      </c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200">
        <f>IFERROR(__xludf.DUMMYFUNCTION("""COMPUTED_VALUE"""),100.0)</f>
        <v>100</v>
      </c>
      <c r="W157" s="200">
        <f>IFERROR(__xludf.DUMMYFUNCTION("""COMPUTED_VALUE"""),0.0)</f>
        <v>0</v>
      </c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</row>
    <row r="158">
      <c r="A158" s="197"/>
      <c r="B158" s="202" t="str">
        <f>IF(OR(E158=Report!$B$1, F158=Report!$B$1, G158=Report!$B$1, H158=Report!$B$1), D158, "")</f>
        <v/>
      </c>
      <c r="C158" s="197" t="b">
        <f>IFERROR(__xludf.DUMMYFUNCTION("""COMPUTED_VALUE"""),FALSE)</f>
        <v>0</v>
      </c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200">
        <f>IFERROR(__xludf.DUMMYFUNCTION("""COMPUTED_VALUE"""),100.0)</f>
        <v>100</v>
      </c>
      <c r="W158" s="200">
        <f>IFERROR(__xludf.DUMMYFUNCTION("""COMPUTED_VALUE"""),0.0)</f>
        <v>0</v>
      </c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</row>
    <row r="159">
      <c r="A159" s="197"/>
      <c r="B159" s="202" t="str">
        <f>IF(OR(E159=Report!$B$1, F159=Report!$B$1, G159=Report!$B$1, H159=Report!$B$1), D159, "")</f>
        <v/>
      </c>
      <c r="C159" s="197" t="b">
        <f>IFERROR(__xludf.DUMMYFUNCTION("""COMPUTED_VALUE"""),FALSE)</f>
        <v>0</v>
      </c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200">
        <f>IFERROR(__xludf.DUMMYFUNCTION("""COMPUTED_VALUE"""),100.0)</f>
        <v>100</v>
      </c>
      <c r="W159" s="200">
        <f>IFERROR(__xludf.DUMMYFUNCTION("""COMPUTED_VALUE"""),0.0)</f>
        <v>0</v>
      </c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</row>
    <row r="160">
      <c r="A160" s="197"/>
      <c r="B160" s="202" t="str">
        <f>IF(OR(E160=Report!$B$1, F160=Report!$B$1, G160=Report!$B$1, H160=Report!$B$1), D160, "")</f>
        <v/>
      </c>
      <c r="C160" s="197" t="b">
        <f>IFERROR(__xludf.DUMMYFUNCTION("""COMPUTED_VALUE"""),FALSE)</f>
        <v>0</v>
      </c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200">
        <f>IFERROR(__xludf.DUMMYFUNCTION("""COMPUTED_VALUE"""),100.0)</f>
        <v>100</v>
      </c>
      <c r="W160" s="200">
        <f>IFERROR(__xludf.DUMMYFUNCTION("""COMPUTED_VALUE"""),0.0)</f>
        <v>0</v>
      </c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</row>
    <row r="161">
      <c r="A161" s="197"/>
      <c r="B161" s="202" t="str">
        <f>IF(OR(E161=Report!$B$1, F161=Report!$B$1, G161=Report!$B$1, H161=Report!$B$1), D161, "")</f>
        <v/>
      </c>
      <c r="C161" s="197" t="b">
        <f>IFERROR(__xludf.DUMMYFUNCTION("""COMPUTED_VALUE"""),FALSE)</f>
        <v>0</v>
      </c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200">
        <f>IFERROR(__xludf.DUMMYFUNCTION("""COMPUTED_VALUE"""),100.0)</f>
        <v>100</v>
      </c>
      <c r="W161" s="200">
        <f>IFERROR(__xludf.DUMMYFUNCTION("""COMPUTED_VALUE"""),0.0)</f>
        <v>0</v>
      </c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</row>
    <row r="162">
      <c r="A162" s="197"/>
      <c r="B162" s="202" t="str">
        <f>IF(OR(E162=Report!$B$1, F162=Report!$B$1, G162=Report!$B$1, H162=Report!$B$1), D162, "")</f>
        <v/>
      </c>
      <c r="C162" s="197" t="b">
        <f>IFERROR(__xludf.DUMMYFUNCTION("""COMPUTED_VALUE"""),FALSE)</f>
        <v>0</v>
      </c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200">
        <f>IFERROR(__xludf.DUMMYFUNCTION("""COMPUTED_VALUE"""),100.0)</f>
        <v>100</v>
      </c>
      <c r="W162" s="200">
        <f>IFERROR(__xludf.DUMMYFUNCTION("""COMPUTED_VALUE"""),0.0)</f>
        <v>0</v>
      </c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</row>
    <row r="163">
      <c r="A163" s="197"/>
      <c r="B163" s="202" t="str">
        <f>IF(OR(E163=Report!$B$1, F163=Report!$B$1, G163=Report!$B$1, H163=Report!$B$1), D163, "")</f>
        <v/>
      </c>
      <c r="C163" s="197" t="b">
        <f>IFERROR(__xludf.DUMMYFUNCTION("""COMPUTED_VALUE"""),FALSE)</f>
        <v>0</v>
      </c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200">
        <f>IFERROR(__xludf.DUMMYFUNCTION("""COMPUTED_VALUE"""),100.0)</f>
        <v>100</v>
      </c>
      <c r="W163" s="200">
        <f>IFERROR(__xludf.DUMMYFUNCTION("""COMPUTED_VALUE"""),0.0)</f>
        <v>0</v>
      </c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</row>
    <row r="164">
      <c r="A164" s="197"/>
      <c r="B164" s="202" t="str">
        <f>IF(OR(E164=Report!$B$1, F164=Report!$B$1, G164=Report!$B$1, H164=Report!$B$1), D164, "")</f>
        <v/>
      </c>
      <c r="C164" s="197" t="b">
        <f>IFERROR(__xludf.DUMMYFUNCTION("""COMPUTED_VALUE"""),FALSE)</f>
        <v>0</v>
      </c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200">
        <f>IFERROR(__xludf.DUMMYFUNCTION("""COMPUTED_VALUE"""),100.0)</f>
        <v>100</v>
      </c>
      <c r="W164" s="200">
        <f>IFERROR(__xludf.DUMMYFUNCTION("""COMPUTED_VALUE"""),0.0)</f>
        <v>0</v>
      </c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</row>
    <row r="165">
      <c r="A165" s="197"/>
      <c r="B165" s="202" t="str">
        <f>IF(OR(E165=Report!$B$1, F165=Report!$B$1, G165=Report!$B$1, H165=Report!$B$1), D165, "")</f>
        <v/>
      </c>
      <c r="C165" s="197" t="b">
        <f>IFERROR(__xludf.DUMMYFUNCTION("""COMPUTED_VALUE"""),FALSE)</f>
        <v>0</v>
      </c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200">
        <f>IFERROR(__xludf.DUMMYFUNCTION("""COMPUTED_VALUE"""),100.0)</f>
        <v>100</v>
      </c>
      <c r="W165" s="200">
        <f>IFERROR(__xludf.DUMMYFUNCTION("""COMPUTED_VALUE"""),0.0)</f>
        <v>0</v>
      </c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</row>
    <row r="166">
      <c r="A166" s="197"/>
      <c r="B166" s="202" t="str">
        <f>IF(OR(E166=Report!$B$1, F166=Report!$B$1, G166=Report!$B$1, H166=Report!$B$1), D166, "")</f>
        <v/>
      </c>
      <c r="C166" s="197" t="b">
        <f>IFERROR(__xludf.DUMMYFUNCTION("""COMPUTED_VALUE"""),FALSE)</f>
        <v>0</v>
      </c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200">
        <f>IFERROR(__xludf.DUMMYFUNCTION("""COMPUTED_VALUE"""),100.0)</f>
        <v>100</v>
      </c>
      <c r="W166" s="200">
        <f>IFERROR(__xludf.DUMMYFUNCTION("""COMPUTED_VALUE"""),0.0)</f>
        <v>0</v>
      </c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</row>
    <row r="167">
      <c r="A167" s="197"/>
      <c r="B167" s="202" t="str">
        <f>IF(OR(E167=Report!$B$1, F167=Report!$B$1, G167=Report!$B$1, H167=Report!$B$1), D167, "")</f>
        <v/>
      </c>
      <c r="C167" s="197" t="b">
        <f>IFERROR(__xludf.DUMMYFUNCTION("""COMPUTED_VALUE"""),FALSE)</f>
        <v>0</v>
      </c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200">
        <f>IFERROR(__xludf.DUMMYFUNCTION("""COMPUTED_VALUE"""),100.0)</f>
        <v>100</v>
      </c>
      <c r="W167" s="200">
        <f>IFERROR(__xludf.DUMMYFUNCTION("""COMPUTED_VALUE"""),0.0)</f>
        <v>0</v>
      </c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</row>
    <row r="168">
      <c r="A168" s="197"/>
      <c r="B168" s="202" t="str">
        <f>IF(OR(E168=Report!$B$1, F168=Report!$B$1, G168=Report!$B$1, H168=Report!$B$1), D168, "")</f>
        <v/>
      </c>
      <c r="C168" s="197" t="b">
        <f>IFERROR(__xludf.DUMMYFUNCTION("""COMPUTED_VALUE"""),FALSE)</f>
        <v>0</v>
      </c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200">
        <f>IFERROR(__xludf.DUMMYFUNCTION("""COMPUTED_VALUE"""),100.0)</f>
        <v>100</v>
      </c>
      <c r="W168" s="200">
        <f>IFERROR(__xludf.DUMMYFUNCTION("""COMPUTED_VALUE"""),0.0)</f>
        <v>0</v>
      </c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</row>
    <row r="169">
      <c r="A169" s="197"/>
      <c r="B169" s="202" t="str">
        <f>IF(OR(E169=Report!$B$1, F169=Report!$B$1, G169=Report!$B$1, H169=Report!$B$1), D169, "")</f>
        <v/>
      </c>
      <c r="C169" s="197" t="b">
        <f>IFERROR(__xludf.DUMMYFUNCTION("""COMPUTED_VALUE"""),FALSE)</f>
        <v>0</v>
      </c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200">
        <f>IFERROR(__xludf.DUMMYFUNCTION("""COMPUTED_VALUE"""),100.0)</f>
        <v>100</v>
      </c>
      <c r="W169" s="200">
        <f>IFERROR(__xludf.DUMMYFUNCTION("""COMPUTED_VALUE"""),0.0)</f>
        <v>0</v>
      </c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</row>
    <row r="170">
      <c r="A170" s="197"/>
      <c r="B170" s="202" t="str">
        <f>IF(OR(E170=Report!$B$1, F170=Report!$B$1, G170=Report!$B$1, H170=Report!$B$1), D170, "")</f>
        <v/>
      </c>
      <c r="C170" s="197" t="b">
        <f>IFERROR(__xludf.DUMMYFUNCTION("""COMPUTED_VALUE"""),FALSE)</f>
        <v>0</v>
      </c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200">
        <f>IFERROR(__xludf.DUMMYFUNCTION("""COMPUTED_VALUE"""),100.0)</f>
        <v>100</v>
      </c>
      <c r="W170" s="200">
        <f>IFERROR(__xludf.DUMMYFUNCTION("""COMPUTED_VALUE"""),0.0)</f>
        <v>0</v>
      </c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</row>
    <row r="171">
      <c r="A171" s="197"/>
      <c r="B171" s="202" t="str">
        <f>IF(OR(E171=Report!$B$1, F171=Report!$B$1, G171=Report!$B$1, H171=Report!$B$1), D171, "")</f>
        <v/>
      </c>
      <c r="C171" s="197" t="b">
        <f>IFERROR(__xludf.DUMMYFUNCTION("""COMPUTED_VALUE"""),FALSE)</f>
        <v>0</v>
      </c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200">
        <f>IFERROR(__xludf.DUMMYFUNCTION("""COMPUTED_VALUE"""),100.0)</f>
        <v>100</v>
      </c>
      <c r="W171" s="200">
        <f>IFERROR(__xludf.DUMMYFUNCTION("""COMPUTED_VALUE"""),0.0)</f>
        <v>0</v>
      </c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</row>
    <row r="172">
      <c r="A172" s="197"/>
      <c r="B172" s="202" t="str">
        <f>IF(OR(E172=Report!$B$1, F172=Report!$B$1, G172=Report!$B$1, H172=Report!$B$1), D172, "")</f>
        <v/>
      </c>
      <c r="C172" s="197" t="b">
        <f>IFERROR(__xludf.DUMMYFUNCTION("""COMPUTED_VALUE"""),FALSE)</f>
        <v>0</v>
      </c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200">
        <f>IFERROR(__xludf.DUMMYFUNCTION("""COMPUTED_VALUE"""),100.0)</f>
        <v>100</v>
      </c>
      <c r="W172" s="200">
        <f>IFERROR(__xludf.DUMMYFUNCTION("""COMPUTED_VALUE"""),0.0)</f>
        <v>0</v>
      </c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</row>
    <row r="173">
      <c r="A173" s="197"/>
      <c r="B173" s="202" t="str">
        <f>IF(OR(E173=Report!$B$1, F173=Report!$B$1, G173=Report!$B$1, H173=Report!$B$1), D173, "")</f>
        <v/>
      </c>
      <c r="C173" s="197" t="b">
        <f>IFERROR(__xludf.DUMMYFUNCTION("""COMPUTED_VALUE"""),FALSE)</f>
        <v>0</v>
      </c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200">
        <f>IFERROR(__xludf.DUMMYFUNCTION("""COMPUTED_VALUE"""),100.0)</f>
        <v>100</v>
      </c>
      <c r="W173" s="200">
        <f>IFERROR(__xludf.DUMMYFUNCTION("""COMPUTED_VALUE"""),0.0)</f>
        <v>0</v>
      </c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</row>
    <row r="174">
      <c r="A174" s="197"/>
      <c r="B174" s="202" t="str">
        <f>IF(OR(E174=Report!$B$1, F174=Report!$B$1, G174=Report!$B$1, H174=Report!$B$1), D174, "")</f>
        <v/>
      </c>
      <c r="C174" s="197" t="b">
        <f>IFERROR(__xludf.DUMMYFUNCTION("""COMPUTED_VALUE"""),FALSE)</f>
        <v>0</v>
      </c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200">
        <f>IFERROR(__xludf.DUMMYFUNCTION("""COMPUTED_VALUE"""),100.0)</f>
        <v>100</v>
      </c>
      <c r="W174" s="200">
        <f>IFERROR(__xludf.DUMMYFUNCTION("""COMPUTED_VALUE"""),0.0)</f>
        <v>0</v>
      </c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</row>
    <row r="175">
      <c r="A175" s="197"/>
      <c r="B175" s="202" t="str">
        <f>IF(OR(E175=Report!$B$1, F175=Report!$B$1, G175=Report!$B$1, H175=Report!$B$1), D175, "")</f>
        <v/>
      </c>
      <c r="C175" s="197" t="b">
        <f>IFERROR(__xludf.DUMMYFUNCTION("""COMPUTED_VALUE"""),FALSE)</f>
        <v>0</v>
      </c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200">
        <f>IFERROR(__xludf.DUMMYFUNCTION("""COMPUTED_VALUE"""),100.0)</f>
        <v>100</v>
      </c>
      <c r="W175" s="200">
        <f>IFERROR(__xludf.DUMMYFUNCTION("""COMPUTED_VALUE"""),0.0)</f>
        <v>0</v>
      </c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</row>
    <row r="176">
      <c r="A176" s="197"/>
      <c r="B176" s="202" t="str">
        <f>IF(OR(E176=Report!$B$1, F176=Report!$B$1, G176=Report!$B$1, H176=Report!$B$1), D176, "")</f>
        <v/>
      </c>
      <c r="C176" s="197" t="b">
        <f>IFERROR(__xludf.DUMMYFUNCTION("""COMPUTED_VALUE"""),FALSE)</f>
        <v>0</v>
      </c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200">
        <f>IFERROR(__xludf.DUMMYFUNCTION("""COMPUTED_VALUE"""),100.0)</f>
        <v>100</v>
      </c>
      <c r="W176" s="200">
        <f>IFERROR(__xludf.DUMMYFUNCTION("""COMPUTED_VALUE"""),0.0)</f>
        <v>0</v>
      </c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</row>
    <row r="177">
      <c r="A177" s="197"/>
      <c r="B177" s="202" t="str">
        <f>IF(OR(E177=Report!$B$1, F177=Report!$B$1, G177=Report!$B$1, H177=Report!$B$1), D177, "")</f>
        <v/>
      </c>
      <c r="C177" s="197" t="b">
        <f>IFERROR(__xludf.DUMMYFUNCTION("""COMPUTED_VALUE"""),FALSE)</f>
        <v>0</v>
      </c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200">
        <f>IFERROR(__xludf.DUMMYFUNCTION("""COMPUTED_VALUE"""),100.0)</f>
        <v>100</v>
      </c>
      <c r="W177" s="200">
        <f>IFERROR(__xludf.DUMMYFUNCTION("""COMPUTED_VALUE"""),0.0)</f>
        <v>0</v>
      </c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</row>
    <row r="178">
      <c r="A178" s="197"/>
      <c r="B178" s="202" t="str">
        <f>IF(OR(E178=Report!$B$1, F178=Report!$B$1, G178=Report!$B$1, H178=Report!$B$1), D178, "")</f>
        <v/>
      </c>
      <c r="C178" s="197" t="b">
        <f>IFERROR(__xludf.DUMMYFUNCTION("""COMPUTED_VALUE"""),FALSE)</f>
        <v>0</v>
      </c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200">
        <f>IFERROR(__xludf.DUMMYFUNCTION("""COMPUTED_VALUE"""),100.0)</f>
        <v>100</v>
      </c>
      <c r="W178" s="200">
        <f>IFERROR(__xludf.DUMMYFUNCTION("""COMPUTED_VALUE"""),0.0)</f>
        <v>0</v>
      </c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</row>
    <row r="179">
      <c r="A179" s="197"/>
      <c r="B179" s="202" t="str">
        <f>IF(OR(E179=Report!$B$1, F179=Report!$B$1, G179=Report!$B$1, H179=Report!$B$1), D179, "")</f>
        <v/>
      </c>
      <c r="C179" s="197" t="b">
        <f>IFERROR(__xludf.DUMMYFUNCTION("""COMPUTED_VALUE"""),FALSE)</f>
        <v>0</v>
      </c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200">
        <f>IFERROR(__xludf.DUMMYFUNCTION("""COMPUTED_VALUE"""),100.0)</f>
        <v>100</v>
      </c>
      <c r="W179" s="200">
        <f>IFERROR(__xludf.DUMMYFUNCTION("""COMPUTED_VALUE"""),0.0)</f>
        <v>0</v>
      </c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</row>
    <row r="180">
      <c r="A180" s="197"/>
      <c r="B180" s="197"/>
      <c r="C180" s="197" t="b">
        <f>IFERROR(__xludf.DUMMYFUNCTION("""COMPUTED_VALUE"""),FALSE)</f>
        <v>0</v>
      </c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200">
        <f>IFERROR(__xludf.DUMMYFUNCTION("""COMPUTED_VALUE"""),100.0)</f>
        <v>100</v>
      </c>
      <c r="W180" s="200">
        <f>IFERROR(__xludf.DUMMYFUNCTION("""COMPUTED_VALUE"""),0.0)</f>
        <v>0</v>
      </c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</row>
    <row r="181">
      <c r="A181" s="197"/>
      <c r="B181" s="197"/>
      <c r="C181" s="197" t="b">
        <f>IFERROR(__xludf.DUMMYFUNCTION("""COMPUTED_VALUE"""),FALSE)</f>
        <v>0</v>
      </c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200">
        <f>IFERROR(__xludf.DUMMYFUNCTION("""COMPUTED_VALUE"""),100.0)</f>
        <v>100</v>
      </c>
      <c r="W181" s="200">
        <f>IFERROR(__xludf.DUMMYFUNCTION("""COMPUTED_VALUE"""),0.0)</f>
        <v>0</v>
      </c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</row>
    <row r="182">
      <c r="A182" s="197"/>
      <c r="B182" s="197"/>
      <c r="C182" s="197" t="b">
        <f>IFERROR(__xludf.DUMMYFUNCTION("""COMPUTED_VALUE"""),FALSE)</f>
        <v>0</v>
      </c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200">
        <f>IFERROR(__xludf.DUMMYFUNCTION("""COMPUTED_VALUE"""),100.0)</f>
        <v>100</v>
      </c>
      <c r="W182" s="200">
        <f>IFERROR(__xludf.DUMMYFUNCTION("""COMPUTED_VALUE"""),0.0)</f>
        <v>0</v>
      </c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</row>
    <row r="183">
      <c r="A183" s="197"/>
      <c r="B183" s="197"/>
      <c r="C183" s="197" t="b">
        <f>IFERROR(__xludf.DUMMYFUNCTION("""COMPUTED_VALUE"""),FALSE)</f>
        <v>0</v>
      </c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200">
        <f>IFERROR(__xludf.DUMMYFUNCTION("""COMPUTED_VALUE"""),100.0)</f>
        <v>100</v>
      </c>
      <c r="W183" s="200">
        <f>IFERROR(__xludf.DUMMYFUNCTION("""COMPUTED_VALUE"""),0.0)</f>
        <v>0</v>
      </c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</row>
    <row r="184">
      <c r="A184" s="197"/>
      <c r="B184" s="197"/>
      <c r="C184" s="197" t="b">
        <f>IFERROR(__xludf.DUMMYFUNCTION("""COMPUTED_VALUE"""),FALSE)</f>
        <v>0</v>
      </c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200">
        <f>IFERROR(__xludf.DUMMYFUNCTION("""COMPUTED_VALUE"""),100.0)</f>
        <v>100</v>
      </c>
      <c r="W184" s="200">
        <f>IFERROR(__xludf.DUMMYFUNCTION("""COMPUTED_VALUE"""),0.0)</f>
        <v>0</v>
      </c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</row>
    <row r="185">
      <c r="A185" s="197"/>
      <c r="B185" s="197"/>
      <c r="C185" s="197" t="b">
        <f>IFERROR(__xludf.DUMMYFUNCTION("""COMPUTED_VALUE"""),FALSE)</f>
        <v>0</v>
      </c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200">
        <f>IFERROR(__xludf.DUMMYFUNCTION("""COMPUTED_VALUE"""),100.0)</f>
        <v>100</v>
      </c>
      <c r="W185" s="200">
        <f>IFERROR(__xludf.DUMMYFUNCTION("""COMPUTED_VALUE"""),0.0)</f>
        <v>0</v>
      </c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</row>
    <row r="186">
      <c r="A186" s="197"/>
      <c r="B186" s="197"/>
      <c r="C186" s="197" t="b">
        <f>IFERROR(__xludf.DUMMYFUNCTION("""COMPUTED_VALUE"""),FALSE)</f>
        <v>0</v>
      </c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200">
        <f>IFERROR(__xludf.DUMMYFUNCTION("""COMPUTED_VALUE"""),100.0)</f>
        <v>100</v>
      </c>
      <c r="W186" s="200">
        <f>IFERROR(__xludf.DUMMYFUNCTION("""COMPUTED_VALUE"""),0.0)</f>
        <v>0</v>
      </c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</row>
    <row r="187">
      <c r="A187" s="197"/>
      <c r="B187" s="197"/>
      <c r="C187" s="197" t="b">
        <f>IFERROR(__xludf.DUMMYFUNCTION("""COMPUTED_VALUE"""),FALSE)</f>
        <v>0</v>
      </c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200">
        <f>IFERROR(__xludf.DUMMYFUNCTION("""COMPUTED_VALUE"""),100.0)</f>
        <v>100</v>
      </c>
      <c r="W187" s="200">
        <f>IFERROR(__xludf.DUMMYFUNCTION("""COMPUTED_VALUE"""),0.0)</f>
        <v>0</v>
      </c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</row>
    <row r="188">
      <c r="A188" s="197"/>
      <c r="B188" s="197"/>
      <c r="C188" s="197" t="b">
        <f>IFERROR(__xludf.DUMMYFUNCTION("""COMPUTED_VALUE"""),FALSE)</f>
        <v>0</v>
      </c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200">
        <f>IFERROR(__xludf.DUMMYFUNCTION("""COMPUTED_VALUE"""),100.0)</f>
        <v>100</v>
      </c>
      <c r="W188" s="200">
        <f>IFERROR(__xludf.DUMMYFUNCTION("""COMPUTED_VALUE"""),0.0)</f>
        <v>0</v>
      </c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</row>
    <row r="189">
      <c r="A189" s="197"/>
      <c r="B189" s="197"/>
      <c r="C189" s="197" t="b">
        <f>IFERROR(__xludf.DUMMYFUNCTION("""COMPUTED_VALUE"""),FALSE)</f>
        <v>0</v>
      </c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200">
        <f>IFERROR(__xludf.DUMMYFUNCTION("""COMPUTED_VALUE"""),100.0)</f>
        <v>100</v>
      </c>
      <c r="W189" s="200">
        <f>IFERROR(__xludf.DUMMYFUNCTION("""COMPUTED_VALUE"""),0.0)</f>
        <v>0</v>
      </c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</row>
    <row r="190">
      <c r="A190" s="197"/>
      <c r="B190" s="197"/>
      <c r="C190" s="197" t="b">
        <f>IFERROR(__xludf.DUMMYFUNCTION("""COMPUTED_VALUE"""),FALSE)</f>
        <v>0</v>
      </c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200">
        <f>IFERROR(__xludf.DUMMYFUNCTION("""COMPUTED_VALUE"""),100.0)</f>
        <v>100</v>
      </c>
      <c r="W190" s="200">
        <f>IFERROR(__xludf.DUMMYFUNCTION("""COMPUTED_VALUE"""),0.0)</f>
        <v>0</v>
      </c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</row>
    <row r="191">
      <c r="A191" s="197"/>
      <c r="B191" s="197"/>
      <c r="C191" s="197" t="b">
        <f>IFERROR(__xludf.DUMMYFUNCTION("""COMPUTED_VALUE"""),FALSE)</f>
        <v>0</v>
      </c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200">
        <f>IFERROR(__xludf.DUMMYFUNCTION("""COMPUTED_VALUE"""),100.0)</f>
        <v>100</v>
      </c>
      <c r="W191" s="200">
        <f>IFERROR(__xludf.DUMMYFUNCTION("""COMPUTED_VALUE"""),0.0)</f>
        <v>0</v>
      </c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</row>
    <row r="192">
      <c r="A192" s="197"/>
      <c r="B192" s="197"/>
      <c r="C192" s="197" t="b">
        <f>IFERROR(__xludf.DUMMYFUNCTION("""COMPUTED_VALUE"""),FALSE)</f>
        <v>0</v>
      </c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200">
        <f>IFERROR(__xludf.DUMMYFUNCTION("""COMPUTED_VALUE"""),0.0)</f>
        <v>0</v>
      </c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</row>
    <row r="193">
      <c r="A193" s="197"/>
      <c r="B193" s="197"/>
      <c r="C193" s="197" t="b">
        <f>IFERROR(__xludf.DUMMYFUNCTION("""COMPUTED_VALUE"""),FALSE)</f>
        <v>0</v>
      </c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200">
        <f>IFERROR(__xludf.DUMMYFUNCTION("""COMPUTED_VALUE"""),0.0)</f>
        <v>0</v>
      </c>
      <c r="W193" s="200">
        <f>IFERROR(__xludf.DUMMYFUNCTION("""COMPUTED_VALUE"""),0.0)</f>
        <v>0</v>
      </c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</row>
    <row r="194">
      <c r="A194" s="197"/>
      <c r="B194" s="197"/>
      <c r="C194" s="197"/>
      <c r="D194" s="197" t="str">
        <f>IFERROR(__xludf.DUMMYFUNCTION("""COMPUTED_VALUE"""),"End")</f>
        <v>End</v>
      </c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200">
        <f>IFERROR(__xludf.DUMMYFUNCTION("""COMPUTED_VALUE"""),0.0)</f>
        <v>0</v>
      </c>
      <c r="W194" s="200">
        <f>IFERROR(__xludf.DUMMYFUNCTION("""COMPUTED_VALUE"""),0.0)</f>
        <v>0</v>
      </c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</row>
    <row r="195">
      <c r="A195" s="197"/>
      <c r="B195" s="197"/>
      <c r="C195" s="197"/>
      <c r="D195" s="197" t="str">
        <f>IFERROR(__xludf.DUMMYFUNCTION("""COMPUTED_VALUE"""),"Celkem kurýr")</f>
        <v>Celkem kurýr</v>
      </c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200">
        <f>IFERROR(__xludf.DUMMYFUNCTION("""COMPUTED_VALUE"""),0.0)</f>
        <v>0</v>
      </c>
      <c r="W195" s="200">
        <f>IFERROR(__xludf.DUMMYFUNCTION("""COMPUTED_VALUE"""),0.0)</f>
        <v>0</v>
      </c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</row>
    <row r="196">
      <c r="A196" s="197"/>
      <c r="B196" s="197"/>
      <c r="C196" s="197"/>
      <c r="D196" s="197" t="str">
        <f>IFERROR(__xludf.DUMMYFUNCTION("""COMPUTED_VALUE"""),"Celkem inst + kurýr")</f>
        <v>Celkem inst + kurýr</v>
      </c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200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</row>
    <row r="197">
      <c r="A197" s="197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200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</row>
    <row r="198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200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</row>
    <row r="199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200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</row>
    <row r="200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200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</row>
    <row r="201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200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</row>
    <row r="202">
      <c r="A202" s="197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200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</row>
    <row r="203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200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</row>
    <row r="204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200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</row>
    <row r="205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200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</row>
    <row r="206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200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</row>
    <row r="207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200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</row>
    <row r="208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200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</row>
    <row r="209">
      <c r="A209" s="197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200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</row>
    <row r="210">
      <c r="A210" s="197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200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</row>
    <row r="211">
      <c r="A211" s="197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200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</row>
    <row r="212">
      <c r="A212" s="197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200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</row>
    <row r="213">
      <c r="A213" s="197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200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</row>
    <row r="214">
      <c r="A214" s="197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200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</row>
    <row r="215">
      <c r="A215" s="197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200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</row>
    <row r="216">
      <c r="A216" s="197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200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</row>
    <row r="217">
      <c r="A217" s="197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200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</row>
    <row r="218">
      <c r="A218" s="197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200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</row>
    <row r="219">
      <c r="A219" s="197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200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</row>
    <row r="220">
      <c r="A220" s="197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200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</row>
    <row r="221">
      <c r="A221" s="197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200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</row>
    <row r="222">
      <c r="A222" s="197"/>
      <c r="B222" s="197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200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</row>
    <row r="223">
      <c r="A223" s="197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200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</row>
    <row r="224">
      <c r="A224" s="197"/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200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  <c r="AH224" s="197"/>
      <c r="AI224" s="197"/>
      <c r="AJ224" s="197"/>
      <c r="AK224" s="197"/>
    </row>
    <row r="225">
      <c r="A225" s="197"/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200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  <c r="AH225" s="197"/>
      <c r="AI225" s="197"/>
      <c r="AJ225" s="197"/>
      <c r="AK225" s="197"/>
    </row>
    <row r="226">
      <c r="A226" s="197"/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200"/>
      <c r="X226" s="197"/>
      <c r="Y226" s="197"/>
      <c r="Z226" s="197"/>
      <c r="AA226" s="197"/>
      <c r="AB226" s="197"/>
      <c r="AC226" s="197"/>
      <c r="AD226" s="197"/>
      <c r="AE226" s="197"/>
      <c r="AF226" s="197"/>
      <c r="AG226" s="197"/>
      <c r="AH226" s="197"/>
      <c r="AI226" s="197"/>
      <c r="AJ226" s="197"/>
      <c r="AK226" s="197"/>
    </row>
    <row r="227">
      <c r="A227" s="197"/>
      <c r="B227" s="197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200"/>
      <c r="X227" s="197"/>
      <c r="Y227" s="197"/>
      <c r="Z227" s="197"/>
      <c r="AA227" s="197"/>
      <c r="AB227" s="197"/>
      <c r="AC227" s="197"/>
      <c r="AD227" s="197"/>
      <c r="AE227" s="197"/>
      <c r="AF227" s="197"/>
      <c r="AG227" s="197"/>
      <c r="AH227" s="197"/>
      <c r="AI227" s="197"/>
      <c r="AJ227" s="197"/>
      <c r="AK227" s="197"/>
    </row>
    <row r="228">
      <c r="A228" s="197"/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200"/>
      <c r="X228" s="197"/>
      <c r="Y228" s="197"/>
      <c r="Z228" s="197"/>
      <c r="AA228" s="197"/>
      <c r="AB228" s="197"/>
      <c r="AC228" s="197"/>
      <c r="AD228" s="197"/>
      <c r="AE228" s="197"/>
      <c r="AF228" s="197"/>
      <c r="AG228" s="197"/>
      <c r="AH228" s="197"/>
      <c r="AI228" s="197"/>
      <c r="AJ228" s="197"/>
      <c r="AK228" s="197"/>
    </row>
    <row r="229">
      <c r="A229" s="197"/>
      <c r="B229" s="197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200"/>
      <c r="X229" s="197"/>
      <c r="Y229" s="197"/>
      <c r="Z229" s="197"/>
      <c r="AA229" s="197"/>
      <c r="AB229" s="197"/>
      <c r="AC229" s="197"/>
      <c r="AD229" s="197"/>
      <c r="AE229" s="197"/>
      <c r="AF229" s="197"/>
      <c r="AG229" s="197"/>
      <c r="AH229" s="197"/>
      <c r="AI229" s="197"/>
      <c r="AJ229" s="197"/>
      <c r="AK229" s="197"/>
    </row>
    <row r="230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200"/>
      <c r="X230" s="197"/>
      <c r="Y230" s="197"/>
      <c r="Z230" s="197"/>
      <c r="AA230" s="197"/>
      <c r="AB230" s="197"/>
      <c r="AC230" s="197"/>
      <c r="AD230" s="197"/>
      <c r="AE230" s="197"/>
      <c r="AF230" s="197"/>
      <c r="AG230" s="197"/>
      <c r="AH230" s="197"/>
      <c r="AI230" s="197"/>
      <c r="AJ230" s="197"/>
      <c r="AK230" s="197"/>
    </row>
    <row r="231">
      <c r="A231" s="197"/>
      <c r="B231" s="197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200"/>
      <c r="X231" s="197"/>
      <c r="Y231" s="197"/>
      <c r="Z231" s="197"/>
      <c r="AA231" s="197"/>
      <c r="AB231" s="197"/>
      <c r="AC231" s="197"/>
      <c r="AD231" s="197"/>
      <c r="AE231" s="197"/>
      <c r="AF231" s="197"/>
      <c r="AG231" s="197"/>
      <c r="AH231" s="197"/>
      <c r="AI231" s="197"/>
      <c r="AJ231" s="197"/>
      <c r="AK231" s="197"/>
    </row>
    <row r="232">
      <c r="A232" s="197"/>
      <c r="B232" s="197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200"/>
      <c r="X232" s="197"/>
      <c r="Y232" s="197"/>
      <c r="Z232" s="197"/>
      <c r="AA232" s="197"/>
      <c r="AB232" s="197"/>
      <c r="AC232" s="197"/>
      <c r="AD232" s="197"/>
      <c r="AE232" s="197"/>
      <c r="AF232" s="197"/>
      <c r="AG232" s="197"/>
      <c r="AH232" s="197"/>
      <c r="AI232" s="197"/>
      <c r="AJ232" s="197"/>
      <c r="AK232" s="197"/>
    </row>
    <row r="233">
      <c r="A233" s="197"/>
      <c r="B233" s="197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200"/>
      <c r="X233" s="197"/>
      <c r="Y233" s="197"/>
      <c r="Z233" s="197"/>
      <c r="AA233" s="197"/>
      <c r="AB233" s="197"/>
      <c r="AC233" s="197"/>
      <c r="AD233" s="197"/>
      <c r="AE233" s="197"/>
      <c r="AF233" s="197"/>
      <c r="AG233" s="197"/>
      <c r="AH233" s="197"/>
      <c r="AI233" s="197"/>
      <c r="AJ233" s="197"/>
      <c r="AK233" s="197"/>
    </row>
    <row r="234">
      <c r="A234" s="197"/>
      <c r="B234" s="197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200"/>
      <c r="X234" s="197"/>
      <c r="Y234" s="197"/>
      <c r="Z234" s="197"/>
      <c r="AA234" s="197"/>
      <c r="AB234" s="197"/>
      <c r="AC234" s="197"/>
      <c r="AD234" s="197"/>
      <c r="AE234" s="197"/>
      <c r="AF234" s="197"/>
      <c r="AG234" s="197"/>
      <c r="AH234" s="197"/>
      <c r="AI234" s="197"/>
      <c r="AJ234" s="197"/>
      <c r="AK234" s="197"/>
    </row>
    <row r="235">
      <c r="A235" s="197"/>
      <c r="B235" s="197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200"/>
      <c r="X235" s="197"/>
      <c r="Y235" s="197"/>
      <c r="Z235" s="197"/>
      <c r="AA235" s="197"/>
      <c r="AB235" s="197"/>
      <c r="AC235" s="197"/>
      <c r="AD235" s="197"/>
      <c r="AE235" s="197"/>
      <c r="AF235" s="197"/>
      <c r="AG235" s="197"/>
      <c r="AH235" s="197"/>
      <c r="AI235" s="197"/>
      <c r="AJ235" s="197"/>
      <c r="AK235" s="197"/>
    </row>
    <row r="236">
      <c r="A236" s="197"/>
      <c r="B236" s="197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200"/>
      <c r="X236" s="197"/>
      <c r="Y236" s="197"/>
      <c r="Z236" s="197"/>
      <c r="AA236" s="197"/>
      <c r="AB236" s="197"/>
      <c r="AC236" s="197"/>
      <c r="AD236" s="197"/>
      <c r="AE236" s="197"/>
      <c r="AF236" s="197"/>
      <c r="AG236" s="197"/>
      <c r="AH236" s="197"/>
      <c r="AI236" s="197"/>
      <c r="AJ236" s="197"/>
      <c r="AK236" s="197"/>
    </row>
    <row r="237">
      <c r="A237" s="197"/>
      <c r="B237" s="197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200"/>
      <c r="X237" s="197"/>
      <c r="Y237" s="197"/>
      <c r="Z237" s="197"/>
      <c r="AA237" s="197"/>
      <c r="AB237" s="197"/>
      <c r="AC237" s="197"/>
      <c r="AD237" s="197"/>
      <c r="AE237" s="197"/>
      <c r="AF237" s="197"/>
      <c r="AG237" s="197"/>
      <c r="AH237" s="197"/>
      <c r="AI237" s="197"/>
      <c r="AJ237" s="197"/>
      <c r="AK237" s="197"/>
    </row>
    <row r="238">
      <c r="A238" s="197"/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200"/>
      <c r="X238" s="197"/>
      <c r="Y238" s="197"/>
      <c r="Z238" s="197"/>
      <c r="AA238" s="197"/>
      <c r="AB238" s="197"/>
      <c r="AC238" s="197"/>
      <c r="AD238" s="197"/>
      <c r="AE238" s="197"/>
      <c r="AF238" s="197"/>
      <c r="AG238" s="197"/>
      <c r="AH238" s="197"/>
      <c r="AI238" s="197"/>
      <c r="AJ238" s="197"/>
      <c r="AK238" s="197"/>
    </row>
    <row r="239">
      <c r="A239" s="197"/>
      <c r="B239" s="197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200"/>
      <c r="X239" s="197"/>
      <c r="Y239" s="197"/>
      <c r="Z239" s="197"/>
      <c r="AA239" s="197"/>
      <c r="AB239" s="197"/>
      <c r="AC239" s="197"/>
      <c r="AD239" s="197"/>
      <c r="AE239" s="197"/>
      <c r="AF239" s="197"/>
      <c r="AG239" s="197"/>
      <c r="AH239" s="197"/>
      <c r="AI239" s="197"/>
      <c r="AJ239" s="197"/>
      <c r="AK239" s="197"/>
    </row>
    <row r="240">
      <c r="A240" s="197"/>
      <c r="B240" s="197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200"/>
      <c r="X240" s="197"/>
      <c r="Y240" s="197"/>
      <c r="Z240" s="197"/>
      <c r="AA240" s="197"/>
      <c r="AB240" s="197"/>
      <c r="AC240" s="197"/>
      <c r="AD240" s="197"/>
      <c r="AE240" s="197"/>
      <c r="AF240" s="197"/>
      <c r="AG240" s="197"/>
      <c r="AH240" s="197"/>
      <c r="AI240" s="197"/>
      <c r="AJ240" s="197"/>
      <c r="AK240" s="197"/>
    </row>
    <row r="241">
      <c r="A241" s="197"/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200"/>
      <c r="X241" s="197"/>
      <c r="Y241" s="197"/>
      <c r="Z241" s="197"/>
      <c r="AA241" s="197"/>
      <c r="AB241" s="197"/>
      <c r="AC241" s="197"/>
      <c r="AD241" s="197"/>
      <c r="AE241" s="197"/>
      <c r="AF241" s="197"/>
      <c r="AG241" s="197"/>
      <c r="AH241" s="197"/>
      <c r="AI241" s="197"/>
      <c r="AJ241" s="197"/>
      <c r="AK241" s="197"/>
    </row>
    <row r="242">
      <c r="A242" s="197"/>
      <c r="B242" s="197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200"/>
      <c r="X242" s="197"/>
      <c r="Y242" s="197"/>
      <c r="Z242" s="197"/>
      <c r="AA242" s="197"/>
      <c r="AB242" s="197"/>
      <c r="AC242" s="197"/>
      <c r="AD242" s="197"/>
      <c r="AE242" s="197"/>
      <c r="AF242" s="197"/>
      <c r="AG242" s="197"/>
      <c r="AH242" s="197"/>
      <c r="AI242" s="197"/>
      <c r="AJ242" s="197"/>
      <c r="AK242" s="197"/>
    </row>
    <row r="243">
      <c r="A243" s="197"/>
      <c r="B243" s="197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200"/>
      <c r="X243" s="197"/>
      <c r="Y243" s="197"/>
      <c r="Z243" s="197"/>
      <c r="AA243" s="197"/>
      <c r="AB243" s="197"/>
      <c r="AC243" s="197"/>
      <c r="AD243" s="197"/>
      <c r="AE243" s="197"/>
      <c r="AF243" s="197"/>
      <c r="AG243" s="197"/>
      <c r="AH243" s="197"/>
      <c r="AI243" s="197"/>
      <c r="AJ243" s="197"/>
      <c r="AK243" s="197"/>
    </row>
    <row r="244">
      <c r="A244" s="197"/>
      <c r="B244" s="197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200"/>
      <c r="X244" s="197"/>
      <c r="Y244" s="197"/>
      <c r="Z244" s="197"/>
      <c r="AA244" s="197"/>
      <c r="AB244" s="197"/>
      <c r="AC244" s="197"/>
      <c r="AD244" s="197"/>
      <c r="AE244" s="197"/>
      <c r="AF244" s="197"/>
      <c r="AG244" s="197"/>
      <c r="AH244" s="197"/>
      <c r="AI244" s="197"/>
      <c r="AJ244" s="197"/>
      <c r="AK244" s="197"/>
    </row>
    <row r="245">
      <c r="A245" s="197"/>
      <c r="B245" s="197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200"/>
      <c r="X245" s="197"/>
      <c r="Y245" s="197"/>
      <c r="Z245" s="197"/>
      <c r="AA245" s="197"/>
      <c r="AB245" s="197"/>
      <c r="AC245" s="197"/>
      <c r="AD245" s="197"/>
      <c r="AE245" s="197"/>
      <c r="AF245" s="197"/>
      <c r="AG245" s="197"/>
      <c r="AH245" s="197"/>
      <c r="AI245" s="197"/>
      <c r="AJ245" s="197"/>
      <c r="AK245" s="197"/>
    </row>
    <row r="246">
      <c r="A246" s="197"/>
      <c r="B246" s="197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200"/>
      <c r="X246" s="197"/>
      <c r="Y246" s="197"/>
      <c r="Z246" s="197"/>
      <c r="AA246" s="197"/>
      <c r="AB246" s="197"/>
      <c r="AC246" s="197"/>
      <c r="AD246" s="197"/>
      <c r="AE246" s="197"/>
      <c r="AF246" s="197"/>
      <c r="AG246" s="197"/>
      <c r="AH246" s="197"/>
      <c r="AI246" s="197"/>
      <c r="AJ246" s="197"/>
      <c r="AK246" s="197"/>
    </row>
    <row r="247">
      <c r="A247" s="197"/>
      <c r="B247" s="197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200"/>
      <c r="X247" s="197"/>
      <c r="Y247" s="197"/>
      <c r="Z247" s="197"/>
      <c r="AA247" s="197"/>
      <c r="AB247" s="197"/>
      <c r="AC247" s="197"/>
      <c r="AD247" s="197"/>
      <c r="AE247" s="197"/>
      <c r="AF247" s="197"/>
      <c r="AG247" s="197"/>
      <c r="AH247" s="197"/>
      <c r="AI247" s="197"/>
      <c r="AJ247" s="197"/>
      <c r="AK247" s="197"/>
    </row>
    <row r="248">
      <c r="A248" s="197"/>
      <c r="B248" s="197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200"/>
      <c r="X248" s="197"/>
      <c r="Y248" s="197"/>
      <c r="Z248" s="197"/>
      <c r="AA248" s="197"/>
      <c r="AB248" s="197"/>
      <c r="AC248" s="197"/>
      <c r="AD248" s="197"/>
      <c r="AE248" s="197"/>
      <c r="AF248" s="197"/>
      <c r="AG248" s="197"/>
      <c r="AH248" s="197"/>
      <c r="AI248" s="197"/>
      <c r="AJ248" s="197"/>
      <c r="AK248" s="197"/>
    </row>
    <row r="249">
      <c r="A249" s="197"/>
      <c r="B249" s="197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200"/>
      <c r="X249" s="197"/>
      <c r="Y249" s="197"/>
      <c r="Z249" s="197"/>
      <c r="AA249" s="197"/>
      <c r="AB249" s="197"/>
      <c r="AC249" s="197"/>
      <c r="AD249" s="197"/>
      <c r="AE249" s="197"/>
      <c r="AF249" s="197"/>
      <c r="AG249" s="197"/>
      <c r="AH249" s="197"/>
      <c r="AI249" s="197"/>
      <c r="AJ249" s="197"/>
      <c r="AK249" s="197"/>
    </row>
    <row r="250">
      <c r="A250" s="197"/>
      <c r="B250" s="197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200"/>
      <c r="X250" s="197"/>
      <c r="Y250" s="197"/>
      <c r="Z250" s="197"/>
      <c r="AA250" s="197"/>
      <c r="AB250" s="197"/>
      <c r="AC250" s="197"/>
      <c r="AD250" s="197"/>
      <c r="AE250" s="197"/>
      <c r="AF250" s="197"/>
      <c r="AG250" s="197"/>
      <c r="AH250" s="197"/>
      <c r="AI250" s="197"/>
      <c r="AJ250" s="197"/>
      <c r="AK250" s="197"/>
    </row>
    <row r="251">
      <c r="A251" s="197"/>
      <c r="B251" s="197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200"/>
      <c r="X251" s="197"/>
      <c r="Y251" s="197"/>
      <c r="Z251" s="197"/>
      <c r="AA251" s="197"/>
      <c r="AB251" s="197"/>
      <c r="AC251" s="197"/>
      <c r="AD251" s="197"/>
      <c r="AE251" s="197"/>
      <c r="AF251" s="197"/>
      <c r="AG251" s="197"/>
      <c r="AH251" s="197"/>
      <c r="AI251" s="197"/>
      <c r="AJ251" s="197"/>
      <c r="AK251" s="197"/>
    </row>
    <row r="252">
      <c r="A252" s="197"/>
      <c r="B252" s="197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200"/>
      <c r="X252" s="197"/>
      <c r="Y252" s="197"/>
      <c r="Z252" s="197"/>
      <c r="AA252" s="197"/>
      <c r="AB252" s="197"/>
      <c r="AC252" s="197"/>
      <c r="AD252" s="197"/>
      <c r="AE252" s="197"/>
      <c r="AF252" s="197"/>
      <c r="AG252" s="197"/>
      <c r="AH252" s="197"/>
      <c r="AI252" s="197"/>
      <c r="AJ252" s="197"/>
      <c r="AK252" s="197"/>
    </row>
    <row r="253">
      <c r="A253" s="197"/>
      <c r="B253" s="197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200"/>
      <c r="X253" s="197"/>
      <c r="Y253" s="197"/>
      <c r="Z253" s="197"/>
      <c r="AA253" s="197"/>
      <c r="AB253" s="197"/>
      <c r="AC253" s="197"/>
      <c r="AD253" s="197"/>
      <c r="AE253" s="197"/>
      <c r="AF253" s="197"/>
      <c r="AG253" s="197"/>
      <c r="AH253" s="197"/>
      <c r="AI253" s="197"/>
      <c r="AJ253" s="197"/>
      <c r="AK253" s="197"/>
    </row>
    <row r="254">
      <c r="A254" s="197"/>
      <c r="B254" s="197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200"/>
      <c r="X254" s="197"/>
      <c r="Y254" s="197"/>
      <c r="Z254" s="197"/>
      <c r="AA254" s="197"/>
      <c r="AB254" s="197"/>
      <c r="AC254" s="197"/>
      <c r="AD254" s="197"/>
      <c r="AE254" s="197"/>
      <c r="AF254" s="197"/>
      <c r="AG254" s="197"/>
      <c r="AH254" s="197"/>
      <c r="AI254" s="197"/>
      <c r="AJ254" s="197"/>
      <c r="AK254" s="197"/>
    </row>
    <row r="255">
      <c r="A255" s="197"/>
      <c r="B255" s="197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200"/>
      <c r="X255" s="197"/>
      <c r="Y255" s="197"/>
      <c r="Z255" s="197"/>
      <c r="AA255" s="197"/>
      <c r="AB255" s="197"/>
      <c r="AC255" s="197"/>
      <c r="AD255" s="197"/>
      <c r="AE255" s="197"/>
      <c r="AF255" s="197"/>
      <c r="AG255" s="197"/>
      <c r="AH255" s="197"/>
      <c r="AI255" s="197"/>
      <c r="AJ255" s="197"/>
      <c r="AK255" s="197"/>
    </row>
    <row r="256">
      <c r="A256" s="197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200"/>
      <c r="X256" s="197"/>
      <c r="Y256" s="197"/>
      <c r="Z256" s="197"/>
      <c r="AA256" s="197"/>
      <c r="AB256" s="197"/>
      <c r="AC256" s="197"/>
      <c r="AD256" s="197"/>
      <c r="AE256" s="197"/>
      <c r="AF256" s="197"/>
      <c r="AG256" s="197"/>
      <c r="AH256" s="197"/>
      <c r="AI256" s="197"/>
      <c r="AJ256" s="197"/>
      <c r="AK256" s="197"/>
    </row>
    <row r="257">
      <c r="A257" s="197"/>
      <c r="B257" s="197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200"/>
      <c r="X257" s="197"/>
      <c r="Y257" s="197"/>
      <c r="Z257" s="197"/>
      <c r="AA257" s="197"/>
      <c r="AB257" s="197"/>
      <c r="AC257" s="197"/>
      <c r="AD257" s="197"/>
      <c r="AE257" s="197"/>
      <c r="AF257" s="197"/>
      <c r="AG257" s="197"/>
      <c r="AH257" s="197"/>
      <c r="AI257" s="197"/>
      <c r="AJ257" s="197"/>
      <c r="AK257" s="197"/>
    </row>
    <row r="258">
      <c r="A258" s="197"/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200"/>
      <c r="X258" s="197"/>
      <c r="Y258" s="197"/>
      <c r="Z258" s="197"/>
      <c r="AA258" s="197"/>
      <c r="AB258" s="197"/>
      <c r="AC258" s="197"/>
      <c r="AD258" s="197"/>
      <c r="AE258" s="197"/>
      <c r="AF258" s="197"/>
      <c r="AG258" s="197"/>
      <c r="AH258" s="197"/>
      <c r="AI258" s="197"/>
      <c r="AJ258" s="197"/>
      <c r="AK258" s="197"/>
    </row>
    <row r="259">
      <c r="A259" s="197"/>
      <c r="B259" s="197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200"/>
      <c r="X259" s="197"/>
      <c r="Y259" s="197"/>
      <c r="Z259" s="197"/>
      <c r="AA259" s="197"/>
      <c r="AB259" s="197"/>
      <c r="AC259" s="197"/>
      <c r="AD259" s="197"/>
      <c r="AE259" s="197"/>
      <c r="AF259" s="197"/>
      <c r="AG259" s="197"/>
      <c r="AH259" s="197"/>
      <c r="AI259" s="197"/>
      <c r="AJ259" s="197"/>
      <c r="AK259" s="197"/>
    </row>
    <row r="260">
      <c r="A260" s="197"/>
      <c r="B260" s="197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200"/>
      <c r="X260" s="197"/>
      <c r="Y260" s="197"/>
      <c r="Z260" s="197"/>
      <c r="AA260" s="197"/>
      <c r="AB260" s="197"/>
      <c r="AC260" s="197"/>
      <c r="AD260" s="197"/>
      <c r="AE260" s="197"/>
      <c r="AF260" s="197"/>
      <c r="AG260" s="197"/>
      <c r="AH260" s="197"/>
      <c r="AI260" s="197"/>
      <c r="AJ260" s="197"/>
      <c r="AK260" s="197"/>
    </row>
    <row r="261">
      <c r="A261" s="197"/>
      <c r="B261" s="197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200"/>
      <c r="X261" s="197"/>
      <c r="Y261" s="197"/>
      <c r="Z261" s="197"/>
      <c r="AA261" s="197"/>
      <c r="AB261" s="197"/>
      <c r="AC261" s="197"/>
      <c r="AD261" s="197"/>
      <c r="AE261" s="197"/>
      <c r="AF261" s="197"/>
      <c r="AG261" s="197"/>
      <c r="AH261" s="197"/>
      <c r="AI261" s="197"/>
      <c r="AJ261" s="197"/>
      <c r="AK261" s="197"/>
    </row>
    <row r="262">
      <c r="A262" s="197"/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200"/>
      <c r="X262" s="197"/>
      <c r="Y262" s="197"/>
      <c r="Z262" s="197"/>
      <c r="AA262" s="197"/>
      <c r="AB262" s="197"/>
      <c r="AC262" s="197"/>
      <c r="AD262" s="197"/>
      <c r="AE262" s="197"/>
      <c r="AF262" s="197"/>
      <c r="AG262" s="197"/>
      <c r="AH262" s="197"/>
      <c r="AI262" s="197"/>
      <c r="AJ262" s="197"/>
      <c r="AK262" s="197"/>
    </row>
    <row r="263">
      <c r="A263" s="197"/>
      <c r="B263" s="197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200"/>
      <c r="X263" s="197"/>
      <c r="Y263" s="197"/>
      <c r="Z263" s="197"/>
      <c r="AA263" s="197"/>
      <c r="AB263" s="197"/>
      <c r="AC263" s="197"/>
      <c r="AD263" s="197"/>
      <c r="AE263" s="197"/>
      <c r="AF263" s="197"/>
      <c r="AG263" s="197"/>
      <c r="AH263" s="197"/>
      <c r="AI263" s="197"/>
      <c r="AJ263" s="197"/>
      <c r="AK263" s="197"/>
    </row>
    <row r="264">
      <c r="A264" s="197"/>
      <c r="B264" s="197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200"/>
      <c r="X264" s="197"/>
      <c r="Y264" s="197"/>
      <c r="Z264" s="197"/>
      <c r="AA264" s="197"/>
      <c r="AB264" s="197"/>
      <c r="AC264" s="197"/>
      <c r="AD264" s="197"/>
      <c r="AE264" s="197"/>
      <c r="AF264" s="197"/>
      <c r="AG264" s="197"/>
      <c r="AH264" s="197"/>
      <c r="AI264" s="197"/>
      <c r="AJ264" s="197"/>
      <c r="AK264" s="197"/>
    </row>
    <row r="265">
      <c r="A265" s="197"/>
      <c r="B265" s="197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200"/>
      <c r="X265" s="197"/>
      <c r="Y265" s="197"/>
      <c r="Z265" s="197"/>
      <c r="AA265" s="197"/>
      <c r="AB265" s="197"/>
      <c r="AC265" s="197"/>
      <c r="AD265" s="197"/>
      <c r="AE265" s="197"/>
      <c r="AF265" s="197"/>
      <c r="AG265" s="197"/>
      <c r="AH265" s="197"/>
      <c r="AI265" s="197"/>
      <c r="AJ265" s="197"/>
      <c r="AK265" s="197"/>
    </row>
    <row r="266">
      <c r="A266" s="197"/>
      <c r="B266" s="197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200"/>
      <c r="X266" s="197"/>
      <c r="Y266" s="197"/>
      <c r="Z266" s="197"/>
      <c r="AA266" s="197"/>
      <c r="AB266" s="197"/>
      <c r="AC266" s="197"/>
      <c r="AD266" s="197"/>
      <c r="AE266" s="197"/>
      <c r="AF266" s="197"/>
      <c r="AG266" s="197"/>
      <c r="AH266" s="197"/>
      <c r="AI266" s="197"/>
      <c r="AJ266" s="197"/>
      <c r="AK266" s="197"/>
    </row>
    <row r="267">
      <c r="A267" s="197"/>
      <c r="B267" s="197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200"/>
      <c r="X267" s="197"/>
      <c r="Y267" s="197"/>
      <c r="Z267" s="197"/>
      <c r="AA267" s="197"/>
      <c r="AB267" s="197"/>
      <c r="AC267" s="197"/>
      <c r="AD267" s="197"/>
      <c r="AE267" s="197"/>
      <c r="AF267" s="197"/>
      <c r="AG267" s="197"/>
      <c r="AH267" s="197"/>
      <c r="AI267" s="197"/>
      <c r="AJ267" s="197"/>
      <c r="AK267" s="197"/>
    </row>
    <row r="268">
      <c r="A268" s="197"/>
      <c r="B268" s="197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200"/>
      <c r="X268" s="197"/>
      <c r="Y268" s="197"/>
      <c r="Z268" s="197"/>
      <c r="AA268" s="197"/>
      <c r="AB268" s="197"/>
      <c r="AC268" s="197"/>
      <c r="AD268" s="197"/>
      <c r="AE268" s="197"/>
      <c r="AF268" s="197"/>
      <c r="AG268" s="197"/>
      <c r="AH268" s="197"/>
      <c r="AI268" s="197"/>
      <c r="AJ268" s="197"/>
      <c r="AK268" s="197"/>
    </row>
    <row r="269">
      <c r="A269" s="197"/>
      <c r="B269" s="197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200"/>
      <c r="X269" s="197"/>
      <c r="Y269" s="197"/>
      <c r="Z269" s="197"/>
      <c r="AA269" s="197"/>
      <c r="AB269" s="197"/>
      <c r="AC269" s="197"/>
      <c r="AD269" s="197"/>
      <c r="AE269" s="197"/>
      <c r="AF269" s="197"/>
      <c r="AG269" s="197"/>
      <c r="AH269" s="197"/>
      <c r="AI269" s="197"/>
      <c r="AJ269" s="197"/>
      <c r="AK269" s="197"/>
    </row>
    <row r="270">
      <c r="A270" s="197"/>
      <c r="B270" s="197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200"/>
      <c r="X270" s="197"/>
      <c r="Y270" s="197"/>
      <c r="Z270" s="197"/>
      <c r="AA270" s="197"/>
      <c r="AB270" s="197"/>
      <c r="AC270" s="197"/>
      <c r="AD270" s="197"/>
      <c r="AE270" s="197"/>
      <c r="AF270" s="197"/>
      <c r="AG270" s="197"/>
      <c r="AH270" s="197"/>
      <c r="AI270" s="197"/>
      <c r="AJ270" s="197"/>
      <c r="AK270" s="197"/>
    </row>
    <row r="271">
      <c r="A271" s="197"/>
      <c r="B271" s="197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200"/>
      <c r="X271" s="197"/>
      <c r="Y271" s="197"/>
      <c r="Z271" s="197"/>
      <c r="AA271" s="197"/>
      <c r="AB271" s="197"/>
      <c r="AC271" s="197"/>
      <c r="AD271" s="197"/>
      <c r="AE271" s="197"/>
      <c r="AF271" s="197"/>
      <c r="AG271" s="197"/>
      <c r="AH271" s="197"/>
      <c r="AI271" s="197"/>
      <c r="AJ271" s="197"/>
      <c r="AK271" s="197"/>
    </row>
    <row r="272">
      <c r="A272" s="197"/>
      <c r="B272" s="197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200"/>
      <c r="X272" s="197"/>
      <c r="Y272" s="197"/>
      <c r="Z272" s="197"/>
      <c r="AA272" s="197"/>
      <c r="AB272" s="197"/>
      <c r="AC272" s="197"/>
      <c r="AD272" s="197"/>
      <c r="AE272" s="197"/>
      <c r="AF272" s="197"/>
      <c r="AG272" s="197"/>
      <c r="AH272" s="197"/>
      <c r="AI272" s="197"/>
      <c r="AJ272" s="197"/>
      <c r="AK272" s="197"/>
    </row>
    <row r="273">
      <c r="A273" s="197"/>
      <c r="B273" s="197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200"/>
      <c r="X273" s="197"/>
      <c r="Y273" s="197"/>
      <c r="Z273" s="197"/>
      <c r="AA273" s="197"/>
      <c r="AB273" s="197"/>
      <c r="AC273" s="197"/>
      <c r="AD273" s="197"/>
      <c r="AE273" s="197"/>
      <c r="AF273" s="197"/>
      <c r="AG273" s="197"/>
      <c r="AH273" s="197"/>
      <c r="AI273" s="197"/>
      <c r="AJ273" s="197"/>
      <c r="AK273" s="197"/>
    </row>
    <row r="274">
      <c r="A274" s="197"/>
      <c r="B274" s="197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200"/>
      <c r="X274" s="197"/>
      <c r="Y274" s="197"/>
      <c r="Z274" s="197"/>
      <c r="AA274" s="197"/>
      <c r="AB274" s="197"/>
      <c r="AC274" s="197"/>
      <c r="AD274" s="197"/>
      <c r="AE274" s="197"/>
      <c r="AF274" s="197"/>
      <c r="AG274" s="197"/>
      <c r="AH274" s="197"/>
      <c r="AI274" s="197"/>
      <c r="AJ274" s="197"/>
      <c r="AK274" s="197"/>
    </row>
    <row r="275">
      <c r="A275" s="197"/>
      <c r="B275" s="197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200"/>
      <c r="X275" s="197"/>
      <c r="Y275" s="197"/>
      <c r="Z275" s="197"/>
      <c r="AA275" s="197"/>
      <c r="AB275" s="197"/>
      <c r="AC275" s="197"/>
      <c r="AD275" s="197"/>
      <c r="AE275" s="197"/>
      <c r="AF275" s="197"/>
      <c r="AG275" s="197"/>
      <c r="AH275" s="197"/>
      <c r="AI275" s="197"/>
      <c r="AJ275" s="197"/>
      <c r="AK275" s="197"/>
    </row>
    <row r="276">
      <c r="A276" s="197"/>
      <c r="B276" s="197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200"/>
      <c r="X276" s="197"/>
      <c r="Y276" s="197"/>
      <c r="Z276" s="197"/>
      <c r="AA276" s="197"/>
      <c r="AB276" s="197"/>
      <c r="AC276" s="197"/>
      <c r="AD276" s="197"/>
      <c r="AE276" s="197"/>
      <c r="AF276" s="197"/>
      <c r="AG276" s="197"/>
      <c r="AH276" s="197"/>
      <c r="AI276" s="197"/>
      <c r="AJ276" s="197"/>
      <c r="AK276" s="197"/>
    </row>
    <row r="277">
      <c r="A277" s="197"/>
      <c r="B277" s="197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200"/>
      <c r="X277" s="197"/>
      <c r="Y277" s="197"/>
      <c r="Z277" s="197"/>
      <c r="AA277" s="197"/>
      <c r="AB277" s="197"/>
      <c r="AC277" s="197"/>
      <c r="AD277" s="197"/>
      <c r="AE277" s="197"/>
      <c r="AF277" s="197"/>
      <c r="AG277" s="197"/>
      <c r="AH277" s="197"/>
      <c r="AI277" s="197"/>
      <c r="AJ277" s="197"/>
      <c r="AK277" s="197"/>
    </row>
    <row r="278">
      <c r="A278" s="197"/>
      <c r="B278" s="197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200"/>
      <c r="X278" s="197"/>
      <c r="Y278" s="197"/>
      <c r="Z278" s="197"/>
      <c r="AA278" s="197"/>
      <c r="AB278" s="197"/>
      <c r="AC278" s="197"/>
      <c r="AD278" s="197"/>
      <c r="AE278" s="197"/>
      <c r="AF278" s="197"/>
      <c r="AG278" s="197"/>
      <c r="AH278" s="197"/>
      <c r="AI278" s="197"/>
      <c r="AJ278" s="197"/>
      <c r="AK278" s="197"/>
    </row>
    <row r="279">
      <c r="A279" s="197"/>
      <c r="B279" s="197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200"/>
      <c r="X279" s="197"/>
      <c r="Y279" s="197"/>
      <c r="Z279" s="197"/>
      <c r="AA279" s="197"/>
      <c r="AB279" s="197"/>
      <c r="AC279" s="197"/>
      <c r="AD279" s="197"/>
      <c r="AE279" s="197"/>
      <c r="AF279" s="197"/>
      <c r="AG279" s="197"/>
      <c r="AH279" s="197"/>
      <c r="AI279" s="197"/>
      <c r="AJ279" s="197"/>
      <c r="AK279" s="197"/>
    </row>
    <row r="280">
      <c r="A280" s="197"/>
      <c r="B280" s="197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200"/>
      <c r="X280" s="197"/>
      <c r="Y280" s="197"/>
      <c r="Z280" s="197"/>
      <c r="AA280" s="197"/>
      <c r="AB280" s="197"/>
      <c r="AC280" s="197"/>
      <c r="AD280" s="197"/>
      <c r="AE280" s="197"/>
      <c r="AF280" s="197"/>
      <c r="AG280" s="197"/>
      <c r="AH280" s="197"/>
      <c r="AI280" s="197"/>
      <c r="AJ280" s="197"/>
      <c r="AK280" s="197"/>
    </row>
    <row r="281">
      <c r="A281" s="197"/>
      <c r="B281" s="197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200"/>
      <c r="X281" s="197"/>
      <c r="Y281" s="197"/>
      <c r="Z281" s="197"/>
      <c r="AA281" s="197"/>
      <c r="AB281" s="197"/>
      <c r="AC281" s="197"/>
      <c r="AD281" s="197"/>
      <c r="AE281" s="197"/>
      <c r="AF281" s="197"/>
      <c r="AG281" s="197"/>
      <c r="AH281" s="197"/>
      <c r="AI281" s="197"/>
      <c r="AJ281" s="197"/>
      <c r="AK281" s="197"/>
    </row>
    <row r="282">
      <c r="A282" s="197"/>
      <c r="B282" s="197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200"/>
      <c r="X282" s="197"/>
      <c r="Y282" s="197"/>
      <c r="Z282" s="197"/>
      <c r="AA282" s="197"/>
      <c r="AB282" s="197"/>
      <c r="AC282" s="197"/>
      <c r="AD282" s="197"/>
      <c r="AE282" s="197"/>
      <c r="AF282" s="197"/>
      <c r="AG282" s="197"/>
      <c r="AH282" s="197"/>
      <c r="AI282" s="197"/>
      <c r="AJ282" s="197"/>
      <c r="AK282" s="197"/>
    </row>
    <row r="283">
      <c r="A283" s="197"/>
      <c r="B283" s="197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200"/>
      <c r="X283" s="197"/>
      <c r="Y283" s="197"/>
      <c r="Z283" s="197"/>
      <c r="AA283" s="197"/>
      <c r="AB283" s="197"/>
      <c r="AC283" s="197"/>
      <c r="AD283" s="197"/>
      <c r="AE283" s="197"/>
      <c r="AF283" s="197"/>
      <c r="AG283" s="197"/>
      <c r="AH283" s="197"/>
      <c r="AI283" s="197"/>
      <c r="AJ283" s="197"/>
      <c r="AK283" s="197"/>
    </row>
    <row r="284">
      <c r="A284" s="197"/>
      <c r="B284" s="197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200"/>
      <c r="X284" s="197"/>
      <c r="Y284" s="197"/>
      <c r="Z284" s="197"/>
      <c r="AA284" s="197"/>
      <c r="AB284" s="197"/>
      <c r="AC284" s="197"/>
      <c r="AD284" s="197"/>
      <c r="AE284" s="197"/>
      <c r="AF284" s="197"/>
      <c r="AG284" s="197"/>
      <c r="AH284" s="197"/>
      <c r="AI284" s="197"/>
      <c r="AJ284" s="197"/>
      <c r="AK284" s="197"/>
    </row>
    <row r="285">
      <c r="A285" s="197"/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200"/>
      <c r="X285" s="197"/>
      <c r="Y285" s="197"/>
      <c r="Z285" s="197"/>
      <c r="AA285" s="197"/>
      <c r="AB285" s="197"/>
      <c r="AC285" s="197"/>
      <c r="AD285" s="197"/>
      <c r="AE285" s="197"/>
      <c r="AF285" s="197"/>
      <c r="AG285" s="197"/>
      <c r="AH285" s="197"/>
      <c r="AI285" s="197"/>
      <c r="AJ285" s="197"/>
      <c r="AK285" s="197"/>
    </row>
    <row r="286">
      <c r="A286" s="197"/>
      <c r="B286" s="197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200"/>
      <c r="X286" s="197"/>
      <c r="Y286" s="197"/>
      <c r="Z286" s="197"/>
      <c r="AA286" s="197"/>
      <c r="AB286" s="197"/>
      <c r="AC286" s="197"/>
      <c r="AD286" s="197"/>
      <c r="AE286" s="197"/>
      <c r="AF286" s="197"/>
      <c r="AG286" s="197"/>
      <c r="AH286" s="197"/>
      <c r="AI286" s="197"/>
      <c r="AJ286" s="197"/>
      <c r="AK286" s="197"/>
    </row>
    <row r="287">
      <c r="A287" s="197"/>
      <c r="B287" s="197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200"/>
      <c r="X287" s="197"/>
      <c r="Y287" s="197"/>
      <c r="Z287" s="197"/>
      <c r="AA287" s="197"/>
      <c r="AB287" s="197"/>
      <c r="AC287" s="197"/>
      <c r="AD287" s="197"/>
      <c r="AE287" s="197"/>
      <c r="AF287" s="197"/>
      <c r="AG287" s="197"/>
      <c r="AH287" s="197"/>
      <c r="AI287" s="197"/>
      <c r="AJ287" s="197"/>
      <c r="AK287" s="197"/>
    </row>
    <row r="288">
      <c r="A288" s="197"/>
      <c r="B288" s="197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200"/>
      <c r="X288" s="197"/>
      <c r="Y288" s="197"/>
      <c r="Z288" s="197"/>
      <c r="AA288" s="197"/>
      <c r="AB288" s="197"/>
      <c r="AC288" s="197"/>
      <c r="AD288" s="197"/>
      <c r="AE288" s="197"/>
      <c r="AF288" s="197"/>
      <c r="AG288" s="197"/>
      <c r="AH288" s="197"/>
      <c r="AI288" s="197"/>
      <c r="AJ288" s="197"/>
      <c r="AK288" s="197"/>
    </row>
    <row r="289">
      <c r="A289" s="197"/>
      <c r="B289" s="197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200"/>
      <c r="X289" s="197"/>
      <c r="Y289" s="197"/>
      <c r="Z289" s="197"/>
      <c r="AA289" s="197"/>
      <c r="AB289" s="197"/>
      <c r="AC289" s="197"/>
      <c r="AD289" s="197"/>
      <c r="AE289" s="197"/>
      <c r="AF289" s="197"/>
      <c r="AG289" s="197"/>
      <c r="AH289" s="197"/>
      <c r="AI289" s="197"/>
      <c r="AJ289" s="197"/>
      <c r="AK289" s="197"/>
    </row>
    <row r="290">
      <c r="A290" s="197"/>
      <c r="B290" s="197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200"/>
      <c r="X290" s="197"/>
      <c r="Y290" s="197"/>
      <c r="Z290" s="197"/>
      <c r="AA290" s="197"/>
      <c r="AB290" s="197"/>
      <c r="AC290" s="197"/>
      <c r="AD290" s="197"/>
      <c r="AE290" s="197"/>
      <c r="AF290" s="197"/>
      <c r="AG290" s="197"/>
      <c r="AH290" s="197"/>
      <c r="AI290" s="197"/>
      <c r="AJ290" s="197"/>
      <c r="AK290" s="197"/>
    </row>
    <row r="291">
      <c r="A291" s="197"/>
      <c r="B291" s="197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200"/>
      <c r="X291" s="197"/>
      <c r="Y291" s="197"/>
      <c r="Z291" s="197"/>
      <c r="AA291" s="197"/>
      <c r="AB291" s="197"/>
      <c r="AC291" s="197"/>
      <c r="AD291" s="197"/>
      <c r="AE291" s="197"/>
      <c r="AF291" s="197"/>
      <c r="AG291" s="197"/>
      <c r="AH291" s="197"/>
      <c r="AI291" s="197"/>
      <c r="AJ291" s="197"/>
      <c r="AK291" s="197"/>
    </row>
    <row r="292">
      <c r="A292" s="197"/>
      <c r="B292" s="197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200"/>
      <c r="X292" s="197"/>
      <c r="Y292" s="197"/>
      <c r="Z292" s="197"/>
      <c r="AA292" s="197"/>
      <c r="AB292" s="197"/>
      <c r="AC292" s="197"/>
      <c r="AD292" s="197"/>
      <c r="AE292" s="197"/>
      <c r="AF292" s="197"/>
      <c r="AG292" s="197"/>
      <c r="AH292" s="197"/>
      <c r="AI292" s="197"/>
      <c r="AJ292" s="197"/>
      <c r="AK292" s="197"/>
    </row>
    <row r="293">
      <c r="A293" s="197"/>
      <c r="B293" s="197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200"/>
      <c r="X293" s="197"/>
      <c r="Y293" s="197"/>
      <c r="Z293" s="197"/>
      <c r="AA293" s="197"/>
      <c r="AB293" s="197"/>
      <c r="AC293" s="197"/>
      <c r="AD293" s="197"/>
      <c r="AE293" s="197"/>
      <c r="AF293" s="197"/>
      <c r="AG293" s="197"/>
      <c r="AH293" s="197"/>
      <c r="AI293" s="197"/>
      <c r="AJ293" s="197"/>
      <c r="AK293" s="197"/>
    </row>
    <row r="294">
      <c r="A294" s="197"/>
      <c r="B294" s="197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200"/>
      <c r="X294" s="197"/>
      <c r="Y294" s="197"/>
      <c r="Z294" s="197"/>
      <c r="AA294" s="197"/>
      <c r="AB294" s="197"/>
      <c r="AC294" s="197"/>
      <c r="AD294" s="197"/>
      <c r="AE294" s="197"/>
      <c r="AF294" s="197"/>
      <c r="AG294" s="197"/>
      <c r="AH294" s="197"/>
      <c r="AI294" s="197"/>
      <c r="AJ294" s="197"/>
      <c r="AK294" s="197"/>
    </row>
    <row r="295">
      <c r="A295" s="197"/>
      <c r="B295" s="197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200"/>
      <c r="X295" s="197"/>
      <c r="Y295" s="197"/>
      <c r="Z295" s="197"/>
      <c r="AA295" s="197"/>
      <c r="AB295" s="197"/>
      <c r="AC295" s="197"/>
      <c r="AD295" s="197"/>
      <c r="AE295" s="197"/>
      <c r="AF295" s="197"/>
      <c r="AG295" s="197"/>
      <c r="AH295" s="197"/>
      <c r="AI295" s="197"/>
      <c r="AJ295" s="197"/>
      <c r="AK295" s="197"/>
    </row>
    <row r="296">
      <c r="A296" s="197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200"/>
      <c r="X296" s="197"/>
      <c r="Y296" s="197"/>
      <c r="Z296" s="197"/>
      <c r="AA296" s="197"/>
      <c r="AB296" s="197"/>
      <c r="AC296" s="197"/>
      <c r="AD296" s="197"/>
      <c r="AE296" s="197"/>
      <c r="AF296" s="197"/>
      <c r="AG296" s="197"/>
      <c r="AH296" s="197"/>
      <c r="AI296" s="197"/>
      <c r="AJ296" s="197"/>
      <c r="AK296" s="197"/>
    </row>
    <row r="297">
      <c r="A297" s="197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200"/>
      <c r="X297" s="197"/>
      <c r="Y297" s="197"/>
      <c r="Z297" s="197"/>
      <c r="AA297" s="197"/>
      <c r="AB297" s="197"/>
      <c r="AC297" s="197"/>
      <c r="AD297" s="197"/>
      <c r="AE297" s="197"/>
      <c r="AF297" s="197"/>
      <c r="AG297" s="197"/>
      <c r="AH297" s="197"/>
      <c r="AI297" s="197"/>
      <c r="AJ297" s="197"/>
      <c r="AK297" s="197"/>
    </row>
    <row r="298">
      <c r="A298" s="197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200"/>
      <c r="X298" s="197"/>
      <c r="Y298" s="197"/>
      <c r="Z298" s="197"/>
      <c r="AA298" s="197"/>
      <c r="AB298" s="197"/>
      <c r="AC298" s="197"/>
      <c r="AD298" s="197"/>
      <c r="AE298" s="197"/>
      <c r="AF298" s="197"/>
      <c r="AG298" s="197"/>
      <c r="AH298" s="197"/>
      <c r="AI298" s="197"/>
      <c r="AJ298" s="197"/>
      <c r="AK298" s="197"/>
    </row>
    <row r="299">
      <c r="A299" s="197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200"/>
      <c r="X299" s="197"/>
      <c r="Y299" s="197"/>
      <c r="Z299" s="197"/>
      <c r="AA299" s="197"/>
      <c r="AB299" s="197"/>
      <c r="AC299" s="197"/>
      <c r="AD299" s="197"/>
      <c r="AE299" s="197"/>
      <c r="AF299" s="197"/>
      <c r="AG299" s="197"/>
      <c r="AH299" s="197"/>
      <c r="AI299" s="197"/>
      <c r="AJ299" s="197"/>
      <c r="AK299" s="197"/>
    </row>
    <row r="300">
      <c r="A300" s="197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200"/>
      <c r="X300" s="197"/>
      <c r="Y300" s="197"/>
      <c r="Z300" s="197"/>
      <c r="AA300" s="197"/>
      <c r="AB300" s="197"/>
      <c r="AC300" s="197"/>
      <c r="AD300" s="197"/>
      <c r="AE300" s="197"/>
      <c r="AF300" s="197"/>
      <c r="AG300" s="197"/>
      <c r="AH300" s="197"/>
      <c r="AI300" s="197"/>
      <c r="AJ300" s="197"/>
      <c r="AK300" s="197"/>
    </row>
    <row r="301">
      <c r="A301" s="197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200"/>
      <c r="X301" s="197"/>
      <c r="Y301" s="197"/>
      <c r="Z301" s="197"/>
      <c r="AA301" s="197"/>
      <c r="AB301" s="197"/>
      <c r="AC301" s="197"/>
      <c r="AD301" s="197"/>
      <c r="AE301" s="197"/>
      <c r="AF301" s="197"/>
      <c r="AG301" s="197"/>
      <c r="AH301" s="197"/>
      <c r="AI301" s="197"/>
      <c r="AJ301" s="197"/>
      <c r="AK301" s="197"/>
    </row>
    <row r="302">
      <c r="A302" s="197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200"/>
      <c r="X302" s="197"/>
      <c r="Y302" s="197"/>
      <c r="Z302" s="197"/>
      <c r="AA302" s="197"/>
      <c r="AB302" s="197"/>
      <c r="AC302" s="197"/>
      <c r="AD302" s="197"/>
      <c r="AE302" s="197"/>
      <c r="AF302" s="197"/>
      <c r="AG302" s="197"/>
      <c r="AH302" s="197"/>
      <c r="AI302" s="197"/>
      <c r="AJ302" s="197"/>
      <c r="AK302" s="197"/>
    </row>
    <row r="303">
      <c r="A303" s="197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200"/>
      <c r="X303" s="197"/>
      <c r="Y303" s="197"/>
      <c r="Z303" s="197"/>
      <c r="AA303" s="197"/>
      <c r="AB303" s="197"/>
      <c r="AC303" s="197"/>
      <c r="AD303" s="197"/>
      <c r="AE303" s="197"/>
      <c r="AF303" s="197"/>
      <c r="AG303" s="197"/>
      <c r="AH303" s="197"/>
      <c r="AI303" s="197"/>
      <c r="AJ303" s="197"/>
      <c r="AK303" s="197"/>
    </row>
    <row r="304">
      <c r="A304" s="197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200"/>
      <c r="X304" s="197"/>
      <c r="Y304" s="197"/>
      <c r="Z304" s="197"/>
      <c r="AA304" s="197"/>
      <c r="AB304" s="197"/>
      <c r="AC304" s="197"/>
      <c r="AD304" s="197"/>
      <c r="AE304" s="197"/>
      <c r="AF304" s="197"/>
      <c r="AG304" s="197"/>
      <c r="AH304" s="197"/>
      <c r="AI304" s="197"/>
      <c r="AJ304" s="197"/>
      <c r="AK304" s="197"/>
    </row>
    <row r="305">
      <c r="A305" s="197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200"/>
      <c r="X305" s="197"/>
      <c r="Y305" s="197"/>
      <c r="Z305" s="197"/>
      <c r="AA305" s="197"/>
      <c r="AB305" s="197"/>
      <c r="AC305" s="197"/>
      <c r="AD305" s="197"/>
      <c r="AE305" s="197"/>
      <c r="AF305" s="197"/>
      <c r="AG305" s="197"/>
      <c r="AH305" s="197"/>
      <c r="AI305" s="197"/>
      <c r="AJ305" s="197"/>
      <c r="AK305" s="197"/>
    </row>
    <row r="306">
      <c r="A306" s="197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200"/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  <c r="AH306" s="197"/>
      <c r="AI306" s="197"/>
      <c r="AJ306" s="197"/>
      <c r="AK306" s="197"/>
    </row>
    <row r="307">
      <c r="A307" s="197"/>
      <c r="B307" s="197"/>
      <c r="C307" s="197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200"/>
      <c r="X307" s="197"/>
      <c r="Y307" s="197"/>
      <c r="Z307" s="197"/>
      <c r="AA307" s="197"/>
      <c r="AB307" s="197"/>
      <c r="AC307" s="197"/>
      <c r="AD307" s="197"/>
      <c r="AE307" s="197"/>
      <c r="AF307" s="197"/>
      <c r="AG307" s="197"/>
      <c r="AH307" s="197"/>
      <c r="AI307" s="197"/>
      <c r="AJ307" s="197"/>
      <c r="AK307" s="197"/>
    </row>
    <row r="308">
      <c r="A308" s="197"/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200"/>
      <c r="X308" s="197"/>
      <c r="Y308" s="197"/>
      <c r="Z308" s="197"/>
      <c r="AA308" s="197"/>
      <c r="AB308" s="197"/>
      <c r="AC308" s="197"/>
      <c r="AD308" s="197"/>
      <c r="AE308" s="197"/>
      <c r="AF308" s="197"/>
      <c r="AG308" s="197"/>
      <c r="AH308" s="197"/>
      <c r="AI308" s="197"/>
      <c r="AJ308" s="197"/>
      <c r="AK308" s="197"/>
    </row>
    <row r="309">
      <c r="A309" s="197"/>
      <c r="B309" s="197"/>
      <c r="C309" s="197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200"/>
      <c r="X309" s="197"/>
      <c r="Y309" s="197"/>
      <c r="Z309" s="197"/>
      <c r="AA309" s="197"/>
      <c r="AB309" s="197"/>
      <c r="AC309" s="197"/>
      <c r="AD309" s="197"/>
      <c r="AE309" s="197"/>
      <c r="AF309" s="197"/>
      <c r="AG309" s="197"/>
      <c r="AH309" s="197"/>
      <c r="AI309" s="197"/>
      <c r="AJ309" s="197"/>
      <c r="AK309" s="197"/>
    </row>
    <row r="310">
      <c r="A310" s="197"/>
      <c r="B310" s="197"/>
      <c r="C310" s="197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200"/>
      <c r="X310" s="197"/>
      <c r="Y310" s="197"/>
      <c r="Z310" s="197"/>
      <c r="AA310" s="197"/>
      <c r="AB310" s="197"/>
      <c r="AC310" s="197"/>
      <c r="AD310" s="197"/>
      <c r="AE310" s="197"/>
      <c r="AF310" s="197"/>
      <c r="AG310" s="197"/>
      <c r="AH310" s="197"/>
      <c r="AI310" s="197"/>
      <c r="AJ310" s="197"/>
      <c r="AK310" s="197"/>
    </row>
    <row r="311">
      <c r="A311" s="197"/>
      <c r="B311" s="197"/>
      <c r="C311" s="197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200"/>
      <c r="X311" s="197"/>
      <c r="Y311" s="197"/>
      <c r="Z311" s="197"/>
      <c r="AA311" s="197"/>
      <c r="AB311" s="197"/>
      <c r="AC311" s="197"/>
      <c r="AD311" s="197"/>
      <c r="AE311" s="197"/>
      <c r="AF311" s="197"/>
      <c r="AG311" s="197"/>
      <c r="AH311" s="197"/>
      <c r="AI311" s="197"/>
      <c r="AJ311" s="197"/>
      <c r="AK311" s="197"/>
    </row>
    <row r="312">
      <c r="A312" s="197"/>
      <c r="B312" s="197"/>
      <c r="C312" s="197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200"/>
      <c r="X312" s="197"/>
      <c r="Y312" s="197"/>
      <c r="Z312" s="197"/>
      <c r="AA312" s="197"/>
      <c r="AB312" s="197"/>
      <c r="AC312" s="197"/>
      <c r="AD312" s="197"/>
      <c r="AE312" s="197"/>
      <c r="AF312" s="197"/>
      <c r="AG312" s="197"/>
      <c r="AH312" s="197"/>
      <c r="AI312" s="197"/>
      <c r="AJ312" s="197"/>
      <c r="AK312" s="197"/>
    </row>
    <row r="313">
      <c r="A313" s="197"/>
      <c r="B313" s="197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200"/>
      <c r="X313" s="197"/>
      <c r="Y313" s="197"/>
      <c r="Z313" s="197"/>
      <c r="AA313" s="197"/>
      <c r="AB313" s="197"/>
      <c r="AC313" s="197"/>
      <c r="AD313" s="197"/>
      <c r="AE313" s="197"/>
      <c r="AF313" s="197"/>
      <c r="AG313" s="197"/>
      <c r="AH313" s="197"/>
      <c r="AI313" s="197"/>
      <c r="AJ313" s="197"/>
      <c r="AK313" s="197"/>
    </row>
    <row r="314">
      <c r="A314" s="197"/>
      <c r="B314" s="197"/>
      <c r="C314" s="197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200"/>
      <c r="X314" s="197"/>
      <c r="Y314" s="197"/>
      <c r="Z314" s="197"/>
      <c r="AA314" s="197"/>
      <c r="AB314" s="197"/>
      <c r="AC314" s="197"/>
      <c r="AD314" s="197"/>
      <c r="AE314" s="197"/>
      <c r="AF314" s="197"/>
      <c r="AG314" s="197"/>
      <c r="AH314" s="197"/>
      <c r="AI314" s="197"/>
      <c r="AJ314" s="197"/>
      <c r="AK314" s="197"/>
    </row>
    <row r="315">
      <c r="A315" s="197"/>
      <c r="B315" s="197"/>
      <c r="C315" s="197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200"/>
      <c r="X315" s="197"/>
      <c r="Y315" s="197"/>
      <c r="Z315" s="197"/>
      <c r="AA315" s="197"/>
      <c r="AB315" s="197"/>
      <c r="AC315" s="197"/>
      <c r="AD315" s="197"/>
      <c r="AE315" s="197"/>
      <c r="AF315" s="197"/>
      <c r="AG315" s="197"/>
      <c r="AH315" s="197"/>
      <c r="AI315" s="197"/>
      <c r="AJ315" s="197"/>
      <c r="AK315" s="197"/>
    </row>
    <row r="316">
      <c r="A316" s="197"/>
      <c r="B316" s="197"/>
      <c r="C316" s="197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200"/>
      <c r="X316" s="197"/>
      <c r="Y316" s="197"/>
      <c r="Z316" s="197"/>
      <c r="AA316" s="197"/>
      <c r="AB316" s="197"/>
      <c r="AC316" s="197"/>
      <c r="AD316" s="197"/>
      <c r="AE316" s="197"/>
      <c r="AF316" s="197"/>
      <c r="AG316" s="197"/>
      <c r="AH316" s="197"/>
      <c r="AI316" s="197"/>
      <c r="AJ316" s="197"/>
      <c r="AK316" s="197"/>
    </row>
    <row r="317">
      <c r="A317" s="197"/>
      <c r="B317" s="197"/>
      <c r="C317" s="197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200"/>
      <c r="X317" s="197"/>
      <c r="Y317" s="197"/>
      <c r="Z317" s="197"/>
      <c r="AA317" s="197"/>
      <c r="AB317" s="197"/>
      <c r="AC317" s="197"/>
      <c r="AD317" s="197"/>
      <c r="AE317" s="197"/>
      <c r="AF317" s="197"/>
      <c r="AG317" s="197"/>
      <c r="AH317" s="197"/>
      <c r="AI317" s="197"/>
      <c r="AJ317" s="197"/>
      <c r="AK317" s="197"/>
    </row>
    <row r="318">
      <c r="A318" s="197"/>
      <c r="B318" s="197"/>
      <c r="C318" s="197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200"/>
      <c r="X318" s="197"/>
      <c r="Y318" s="197"/>
      <c r="Z318" s="197"/>
      <c r="AA318" s="197"/>
      <c r="AB318" s="197"/>
      <c r="AC318" s="197"/>
      <c r="AD318" s="197"/>
      <c r="AE318" s="197"/>
      <c r="AF318" s="197"/>
      <c r="AG318" s="197"/>
      <c r="AH318" s="197"/>
      <c r="AI318" s="197"/>
      <c r="AJ318" s="197"/>
      <c r="AK318" s="197"/>
    </row>
    <row r="319">
      <c r="A319" s="197"/>
      <c r="B319" s="197"/>
      <c r="C319" s="197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200"/>
      <c r="X319" s="197"/>
      <c r="Y319" s="197"/>
      <c r="Z319" s="197"/>
      <c r="AA319" s="197"/>
      <c r="AB319" s="197"/>
      <c r="AC319" s="197"/>
      <c r="AD319" s="197"/>
      <c r="AE319" s="197"/>
      <c r="AF319" s="197"/>
      <c r="AG319" s="197"/>
      <c r="AH319" s="197"/>
      <c r="AI319" s="197"/>
      <c r="AJ319" s="197"/>
      <c r="AK319" s="197"/>
    </row>
    <row r="320">
      <c r="A320" s="197"/>
      <c r="B320" s="197"/>
      <c r="C320" s="197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200"/>
      <c r="X320" s="197"/>
      <c r="Y320" s="197"/>
      <c r="Z320" s="197"/>
      <c r="AA320" s="197"/>
      <c r="AB320" s="197"/>
      <c r="AC320" s="197"/>
      <c r="AD320" s="197"/>
      <c r="AE320" s="197"/>
      <c r="AF320" s="197"/>
      <c r="AG320" s="197"/>
      <c r="AH320" s="197"/>
      <c r="AI320" s="197"/>
      <c r="AJ320" s="197"/>
      <c r="AK320" s="197"/>
    </row>
    <row r="321">
      <c r="A321" s="197"/>
      <c r="B321" s="197"/>
      <c r="C321" s="197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200"/>
      <c r="X321" s="197"/>
      <c r="Y321" s="197"/>
      <c r="Z321" s="197"/>
      <c r="AA321" s="197"/>
      <c r="AB321" s="197"/>
      <c r="AC321" s="197"/>
      <c r="AD321" s="197"/>
      <c r="AE321" s="197"/>
      <c r="AF321" s="197"/>
      <c r="AG321" s="197"/>
      <c r="AH321" s="197"/>
      <c r="AI321" s="197"/>
      <c r="AJ321" s="197"/>
      <c r="AK321" s="197"/>
    </row>
    <row r="322">
      <c r="A322" s="197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200"/>
      <c r="X322" s="197"/>
      <c r="Y322" s="197"/>
      <c r="Z322" s="197"/>
      <c r="AA322" s="197"/>
      <c r="AB322" s="197"/>
      <c r="AC322" s="197"/>
      <c r="AD322" s="197"/>
      <c r="AE322" s="197"/>
      <c r="AF322" s="197"/>
      <c r="AG322" s="197"/>
      <c r="AH322" s="197"/>
      <c r="AI322" s="197"/>
      <c r="AJ322" s="197"/>
      <c r="AK322" s="197"/>
    </row>
    <row r="323">
      <c r="A323" s="197"/>
      <c r="B323" s="197"/>
      <c r="C323" s="197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200"/>
      <c r="X323" s="197"/>
      <c r="Y323" s="197"/>
      <c r="Z323" s="197"/>
      <c r="AA323" s="197"/>
      <c r="AB323" s="197"/>
      <c r="AC323" s="197"/>
      <c r="AD323" s="197"/>
      <c r="AE323" s="197"/>
      <c r="AF323" s="197"/>
      <c r="AG323" s="197"/>
      <c r="AH323" s="197"/>
      <c r="AI323" s="197"/>
      <c r="AJ323" s="197"/>
      <c r="AK323" s="197"/>
    </row>
    <row r="324">
      <c r="A324" s="197"/>
      <c r="B324" s="197"/>
      <c r="C324" s="197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200"/>
      <c r="X324" s="197"/>
      <c r="Y324" s="197"/>
      <c r="Z324" s="197"/>
      <c r="AA324" s="197"/>
      <c r="AB324" s="197"/>
      <c r="AC324" s="197"/>
      <c r="AD324" s="197"/>
      <c r="AE324" s="197"/>
      <c r="AF324" s="197"/>
      <c r="AG324" s="197"/>
      <c r="AH324" s="197"/>
      <c r="AI324" s="197"/>
      <c r="AJ324" s="197"/>
      <c r="AK324" s="197"/>
    </row>
    <row r="325">
      <c r="A325" s="197"/>
      <c r="B325" s="197"/>
      <c r="C325" s="197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200"/>
      <c r="X325" s="197"/>
      <c r="Y325" s="197"/>
      <c r="Z325" s="197"/>
      <c r="AA325" s="197"/>
      <c r="AB325" s="197"/>
      <c r="AC325" s="197"/>
      <c r="AD325" s="197"/>
      <c r="AE325" s="197"/>
      <c r="AF325" s="197"/>
      <c r="AG325" s="197"/>
      <c r="AH325" s="197"/>
      <c r="AI325" s="197"/>
      <c r="AJ325" s="197"/>
      <c r="AK325" s="197"/>
    </row>
    <row r="326">
      <c r="A326" s="197"/>
      <c r="B326" s="197"/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200"/>
      <c r="X326" s="197"/>
      <c r="Y326" s="197"/>
      <c r="Z326" s="197"/>
      <c r="AA326" s="197"/>
      <c r="AB326" s="197"/>
      <c r="AC326" s="197"/>
      <c r="AD326" s="197"/>
      <c r="AE326" s="197"/>
      <c r="AF326" s="197"/>
      <c r="AG326" s="197"/>
      <c r="AH326" s="197"/>
      <c r="AI326" s="197"/>
      <c r="AJ326" s="197"/>
      <c r="AK326" s="197"/>
    </row>
    <row r="327">
      <c r="A327" s="197"/>
      <c r="B327" s="197"/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200"/>
      <c r="X327" s="197"/>
      <c r="Y327" s="197"/>
      <c r="Z327" s="197"/>
      <c r="AA327" s="197"/>
      <c r="AB327" s="197"/>
      <c r="AC327" s="197"/>
      <c r="AD327" s="197"/>
      <c r="AE327" s="197"/>
      <c r="AF327" s="197"/>
      <c r="AG327" s="197"/>
      <c r="AH327" s="197"/>
      <c r="AI327" s="197"/>
      <c r="AJ327" s="197"/>
      <c r="AK327" s="197"/>
    </row>
    <row r="328">
      <c r="A328" s="197"/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200"/>
      <c r="X328" s="197"/>
      <c r="Y328" s="197"/>
      <c r="Z328" s="197"/>
      <c r="AA328" s="197"/>
      <c r="AB328" s="197"/>
      <c r="AC328" s="197"/>
      <c r="AD328" s="197"/>
      <c r="AE328" s="197"/>
      <c r="AF328" s="197"/>
      <c r="AG328" s="197"/>
      <c r="AH328" s="197"/>
      <c r="AI328" s="197"/>
      <c r="AJ328" s="197"/>
      <c r="AK328" s="197"/>
    </row>
    <row r="329">
      <c r="A329" s="197"/>
      <c r="B329" s="197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200"/>
      <c r="X329" s="197"/>
      <c r="Y329" s="197"/>
      <c r="Z329" s="197"/>
      <c r="AA329" s="197"/>
      <c r="AB329" s="197"/>
      <c r="AC329" s="197"/>
      <c r="AD329" s="197"/>
      <c r="AE329" s="197"/>
      <c r="AF329" s="197"/>
      <c r="AG329" s="197"/>
      <c r="AH329" s="197"/>
      <c r="AI329" s="197"/>
      <c r="AJ329" s="197"/>
      <c r="AK329" s="197"/>
    </row>
    <row r="330">
      <c r="A330" s="197"/>
      <c r="B330" s="197"/>
      <c r="C330" s="197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200"/>
      <c r="X330" s="197"/>
      <c r="Y330" s="197"/>
      <c r="Z330" s="197"/>
      <c r="AA330" s="197"/>
      <c r="AB330" s="197"/>
      <c r="AC330" s="197"/>
      <c r="AD330" s="197"/>
      <c r="AE330" s="197"/>
      <c r="AF330" s="197"/>
      <c r="AG330" s="197"/>
      <c r="AH330" s="197"/>
      <c r="AI330" s="197"/>
      <c r="AJ330" s="197"/>
      <c r="AK330" s="197"/>
    </row>
    <row r="331">
      <c r="A331" s="197"/>
      <c r="B331" s="197"/>
      <c r="C331" s="197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200"/>
      <c r="X331" s="197"/>
      <c r="Y331" s="197"/>
      <c r="Z331" s="197"/>
      <c r="AA331" s="197"/>
      <c r="AB331" s="197"/>
      <c r="AC331" s="197"/>
      <c r="AD331" s="197"/>
      <c r="AE331" s="197"/>
      <c r="AF331" s="197"/>
      <c r="AG331" s="197"/>
      <c r="AH331" s="197"/>
      <c r="AI331" s="197"/>
      <c r="AJ331" s="197"/>
      <c r="AK331" s="197"/>
    </row>
    <row r="332">
      <c r="A332" s="197"/>
      <c r="B332" s="197"/>
      <c r="C332" s="197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200"/>
      <c r="X332" s="197"/>
      <c r="Y332" s="197"/>
      <c r="Z332" s="197"/>
      <c r="AA332" s="197"/>
      <c r="AB332" s="197"/>
      <c r="AC332" s="197"/>
      <c r="AD332" s="197"/>
      <c r="AE332" s="197"/>
      <c r="AF332" s="197"/>
      <c r="AG332" s="197"/>
      <c r="AH332" s="197"/>
      <c r="AI332" s="197"/>
      <c r="AJ332" s="197"/>
      <c r="AK332" s="197"/>
    </row>
    <row r="333">
      <c r="A333" s="197"/>
      <c r="B333" s="197"/>
      <c r="C333" s="197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200"/>
      <c r="X333" s="197"/>
      <c r="Y333" s="197"/>
      <c r="Z333" s="197"/>
      <c r="AA333" s="197"/>
      <c r="AB333" s="197"/>
      <c r="AC333" s="197"/>
      <c r="AD333" s="197"/>
      <c r="AE333" s="197"/>
      <c r="AF333" s="197"/>
      <c r="AG333" s="197"/>
      <c r="AH333" s="197"/>
      <c r="AI333" s="197"/>
      <c r="AJ333" s="197"/>
      <c r="AK333" s="197"/>
    </row>
    <row r="334">
      <c r="A334" s="197"/>
      <c r="B334" s="197"/>
      <c r="C334" s="197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200"/>
      <c r="X334" s="197"/>
      <c r="Y334" s="197"/>
      <c r="Z334" s="197"/>
      <c r="AA334" s="197"/>
      <c r="AB334" s="197"/>
      <c r="AC334" s="197"/>
      <c r="AD334" s="197"/>
      <c r="AE334" s="197"/>
      <c r="AF334" s="197"/>
      <c r="AG334" s="197"/>
      <c r="AH334" s="197"/>
      <c r="AI334" s="197"/>
      <c r="AJ334" s="197"/>
      <c r="AK334" s="197"/>
    </row>
    <row r="335">
      <c r="A335" s="197"/>
      <c r="B335" s="197"/>
      <c r="C335" s="197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200"/>
      <c r="X335" s="197"/>
      <c r="Y335" s="197"/>
      <c r="Z335" s="197"/>
      <c r="AA335" s="197"/>
      <c r="AB335" s="197"/>
      <c r="AC335" s="197"/>
      <c r="AD335" s="197"/>
      <c r="AE335" s="197"/>
      <c r="AF335" s="197"/>
      <c r="AG335" s="197"/>
      <c r="AH335" s="197"/>
      <c r="AI335" s="197"/>
      <c r="AJ335" s="197"/>
      <c r="AK335" s="197"/>
    </row>
    <row r="336">
      <c r="A336" s="197"/>
      <c r="B336" s="197"/>
      <c r="C336" s="197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200"/>
      <c r="X336" s="197"/>
      <c r="Y336" s="197"/>
      <c r="Z336" s="197"/>
      <c r="AA336" s="197"/>
      <c r="AB336" s="197"/>
      <c r="AC336" s="197"/>
      <c r="AD336" s="197"/>
      <c r="AE336" s="197"/>
      <c r="AF336" s="197"/>
      <c r="AG336" s="197"/>
      <c r="AH336" s="197"/>
      <c r="AI336" s="197"/>
      <c r="AJ336" s="197"/>
      <c r="AK336" s="197"/>
    </row>
    <row r="337">
      <c r="A337" s="197"/>
      <c r="B337" s="197"/>
      <c r="C337" s="197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200"/>
      <c r="X337" s="197"/>
      <c r="Y337" s="197"/>
      <c r="Z337" s="197"/>
      <c r="AA337" s="197"/>
      <c r="AB337" s="197"/>
      <c r="AC337" s="197"/>
      <c r="AD337" s="197"/>
      <c r="AE337" s="197"/>
      <c r="AF337" s="197"/>
      <c r="AG337" s="197"/>
      <c r="AH337" s="197"/>
      <c r="AI337" s="197"/>
      <c r="AJ337" s="197"/>
      <c r="AK337" s="197"/>
    </row>
    <row r="338">
      <c r="A338" s="197"/>
      <c r="B338" s="197"/>
      <c r="C338" s="197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200"/>
      <c r="X338" s="197"/>
      <c r="Y338" s="197"/>
      <c r="Z338" s="197"/>
      <c r="AA338" s="197"/>
      <c r="AB338" s="197"/>
      <c r="AC338" s="197"/>
      <c r="AD338" s="197"/>
      <c r="AE338" s="197"/>
      <c r="AF338" s="197"/>
      <c r="AG338" s="197"/>
      <c r="AH338" s="197"/>
      <c r="AI338" s="197"/>
      <c r="AJ338" s="197"/>
      <c r="AK338" s="197"/>
    </row>
    <row r="339">
      <c r="A339" s="197"/>
      <c r="B339" s="197"/>
      <c r="C339" s="197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200"/>
      <c r="X339" s="197"/>
      <c r="Y339" s="197"/>
      <c r="Z339" s="197"/>
      <c r="AA339" s="197"/>
      <c r="AB339" s="197"/>
      <c r="AC339" s="197"/>
      <c r="AD339" s="197"/>
      <c r="AE339" s="197"/>
      <c r="AF339" s="197"/>
      <c r="AG339" s="197"/>
      <c r="AH339" s="197"/>
      <c r="AI339" s="197"/>
      <c r="AJ339" s="197"/>
      <c r="AK339" s="197"/>
    </row>
    <row r="340">
      <c r="A340" s="197"/>
      <c r="B340" s="197"/>
      <c r="C340" s="197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200"/>
      <c r="X340" s="197"/>
      <c r="Y340" s="197"/>
      <c r="Z340" s="197"/>
      <c r="AA340" s="197"/>
      <c r="AB340" s="197"/>
      <c r="AC340" s="197"/>
      <c r="AD340" s="197"/>
      <c r="AE340" s="197"/>
      <c r="AF340" s="197"/>
      <c r="AG340" s="197"/>
      <c r="AH340" s="197"/>
      <c r="AI340" s="197"/>
      <c r="AJ340" s="197"/>
      <c r="AK340" s="197"/>
    </row>
    <row r="341">
      <c r="A341" s="197"/>
      <c r="B341" s="197"/>
      <c r="C341" s="197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200"/>
      <c r="X341" s="197"/>
      <c r="Y341" s="197"/>
      <c r="Z341" s="197"/>
      <c r="AA341" s="197"/>
      <c r="AB341" s="197"/>
      <c r="AC341" s="197"/>
      <c r="AD341" s="197"/>
      <c r="AE341" s="197"/>
      <c r="AF341" s="197"/>
      <c r="AG341" s="197"/>
      <c r="AH341" s="197"/>
      <c r="AI341" s="197"/>
      <c r="AJ341" s="197"/>
      <c r="AK341" s="197"/>
    </row>
    <row r="342">
      <c r="A342" s="197"/>
      <c r="B342" s="197"/>
      <c r="C342" s="197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200"/>
      <c r="X342" s="197"/>
      <c r="Y342" s="197"/>
      <c r="Z342" s="197"/>
      <c r="AA342" s="197"/>
      <c r="AB342" s="197"/>
      <c r="AC342" s="197"/>
      <c r="AD342" s="197"/>
      <c r="AE342" s="197"/>
      <c r="AF342" s="197"/>
      <c r="AG342" s="197"/>
      <c r="AH342" s="197"/>
      <c r="AI342" s="197"/>
      <c r="AJ342" s="197"/>
      <c r="AK342" s="197"/>
    </row>
    <row r="343">
      <c r="A343" s="197"/>
      <c r="B343" s="197"/>
      <c r="C343" s="197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200"/>
      <c r="X343" s="197"/>
      <c r="Y343" s="197"/>
      <c r="Z343" s="197"/>
      <c r="AA343" s="197"/>
      <c r="AB343" s="197"/>
      <c r="AC343" s="197"/>
      <c r="AD343" s="197"/>
      <c r="AE343" s="197"/>
      <c r="AF343" s="197"/>
      <c r="AG343" s="197"/>
      <c r="AH343" s="197"/>
      <c r="AI343" s="197"/>
      <c r="AJ343" s="197"/>
      <c r="AK343" s="197"/>
    </row>
    <row r="344">
      <c r="A344" s="197"/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200"/>
      <c r="X344" s="197"/>
      <c r="Y344" s="197"/>
      <c r="Z344" s="197"/>
      <c r="AA344" s="197"/>
      <c r="AB344" s="197"/>
      <c r="AC344" s="197"/>
      <c r="AD344" s="197"/>
      <c r="AE344" s="197"/>
      <c r="AF344" s="197"/>
      <c r="AG344" s="197"/>
      <c r="AH344" s="197"/>
      <c r="AI344" s="197"/>
      <c r="AJ344" s="197"/>
      <c r="AK344" s="197"/>
    </row>
    <row r="345">
      <c r="A345" s="197"/>
      <c r="B345" s="197"/>
      <c r="C345" s="197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200"/>
      <c r="X345" s="197"/>
      <c r="Y345" s="197"/>
      <c r="Z345" s="197"/>
      <c r="AA345" s="197"/>
      <c r="AB345" s="197"/>
      <c r="AC345" s="197"/>
      <c r="AD345" s="197"/>
      <c r="AE345" s="197"/>
      <c r="AF345" s="197"/>
      <c r="AG345" s="197"/>
      <c r="AH345" s="197"/>
      <c r="AI345" s="197"/>
      <c r="AJ345" s="197"/>
      <c r="AK345" s="197"/>
    </row>
    <row r="346">
      <c r="A346" s="197"/>
      <c r="B346" s="197"/>
      <c r="C346" s="197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200"/>
      <c r="X346" s="197"/>
      <c r="Y346" s="197"/>
      <c r="Z346" s="197"/>
      <c r="AA346" s="197"/>
      <c r="AB346" s="197"/>
      <c r="AC346" s="197"/>
      <c r="AD346" s="197"/>
      <c r="AE346" s="197"/>
      <c r="AF346" s="197"/>
      <c r="AG346" s="197"/>
      <c r="AH346" s="197"/>
      <c r="AI346" s="197"/>
      <c r="AJ346" s="197"/>
      <c r="AK346" s="197"/>
    </row>
    <row r="347">
      <c r="A347" s="197"/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200"/>
      <c r="X347" s="197"/>
      <c r="Y347" s="197"/>
      <c r="Z347" s="197"/>
      <c r="AA347" s="197"/>
      <c r="AB347" s="197"/>
      <c r="AC347" s="197"/>
      <c r="AD347" s="197"/>
      <c r="AE347" s="197"/>
      <c r="AF347" s="197"/>
      <c r="AG347" s="197"/>
      <c r="AH347" s="197"/>
      <c r="AI347" s="197"/>
      <c r="AJ347" s="197"/>
      <c r="AK347" s="197"/>
    </row>
    <row r="348">
      <c r="A348" s="197"/>
      <c r="B348" s="197"/>
      <c r="C348" s="197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200"/>
      <c r="X348" s="197"/>
      <c r="Y348" s="197"/>
      <c r="Z348" s="197"/>
      <c r="AA348" s="197"/>
      <c r="AB348" s="197"/>
      <c r="AC348" s="197"/>
      <c r="AD348" s="197"/>
      <c r="AE348" s="197"/>
      <c r="AF348" s="197"/>
      <c r="AG348" s="197"/>
      <c r="AH348" s="197"/>
      <c r="AI348" s="197"/>
      <c r="AJ348" s="197"/>
      <c r="AK348" s="197"/>
    </row>
    <row r="349">
      <c r="A349" s="197"/>
      <c r="B349" s="197"/>
      <c r="C349" s="197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200"/>
      <c r="X349" s="197"/>
      <c r="Y349" s="197"/>
      <c r="Z349" s="197"/>
      <c r="AA349" s="197"/>
      <c r="AB349" s="197"/>
      <c r="AC349" s="197"/>
      <c r="AD349" s="197"/>
      <c r="AE349" s="197"/>
      <c r="AF349" s="197"/>
      <c r="AG349" s="197"/>
      <c r="AH349" s="197"/>
      <c r="AI349" s="197"/>
      <c r="AJ349" s="197"/>
      <c r="AK349" s="197"/>
    </row>
    <row r="350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200"/>
      <c r="X350" s="197"/>
      <c r="Y350" s="197"/>
      <c r="Z350" s="197"/>
      <c r="AA350" s="197"/>
      <c r="AB350" s="197"/>
      <c r="AC350" s="197"/>
      <c r="AD350" s="197"/>
      <c r="AE350" s="197"/>
      <c r="AF350" s="197"/>
      <c r="AG350" s="197"/>
      <c r="AH350" s="197"/>
      <c r="AI350" s="197"/>
      <c r="AJ350" s="197"/>
      <c r="AK350" s="197"/>
    </row>
    <row r="351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200"/>
      <c r="X351" s="197"/>
      <c r="Y351" s="197"/>
      <c r="Z351" s="197"/>
      <c r="AA351" s="197"/>
      <c r="AB351" s="197"/>
      <c r="AC351" s="197"/>
      <c r="AD351" s="197"/>
      <c r="AE351" s="197"/>
      <c r="AF351" s="197"/>
      <c r="AG351" s="197"/>
      <c r="AH351" s="197"/>
      <c r="AI351" s="197"/>
      <c r="AJ351" s="197"/>
      <c r="AK351" s="197"/>
    </row>
    <row r="352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200"/>
      <c r="X352" s="197"/>
      <c r="Y352" s="197"/>
      <c r="Z352" s="197"/>
      <c r="AA352" s="197"/>
      <c r="AB352" s="197"/>
      <c r="AC352" s="197"/>
      <c r="AD352" s="197"/>
      <c r="AE352" s="197"/>
      <c r="AF352" s="197"/>
      <c r="AG352" s="197"/>
      <c r="AH352" s="197"/>
      <c r="AI352" s="197"/>
      <c r="AJ352" s="197"/>
      <c r="AK352" s="197"/>
    </row>
    <row r="353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200"/>
      <c r="X353" s="197"/>
      <c r="Y353" s="197"/>
      <c r="Z353" s="197"/>
      <c r="AA353" s="197"/>
      <c r="AB353" s="197"/>
      <c r="AC353" s="197"/>
      <c r="AD353" s="197"/>
      <c r="AE353" s="197"/>
      <c r="AF353" s="197"/>
      <c r="AG353" s="197"/>
      <c r="AH353" s="197"/>
      <c r="AI353" s="197"/>
      <c r="AJ353" s="197"/>
      <c r="AK353" s="197"/>
    </row>
    <row r="354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200"/>
      <c r="X354" s="197"/>
      <c r="Y354" s="197"/>
      <c r="Z354" s="197"/>
      <c r="AA354" s="197"/>
      <c r="AB354" s="197"/>
      <c r="AC354" s="197"/>
      <c r="AD354" s="197"/>
      <c r="AE354" s="197"/>
      <c r="AF354" s="197"/>
      <c r="AG354" s="197"/>
      <c r="AH354" s="197"/>
      <c r="AI354" s="197"/>
      <c r="AJ354" s="197"/>
      <c r="AK354" s="197"/>
    </row>
    <row r="355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200"/>
      <c r="X355" s="197"/>
      <c r="Y355" s="197"/>
      <c r="Z355" s="197"/>
      <c r="AA355" s="197"/>
      <c r="AB355" s="197"/>
      <c r="AC355" s="197"/>
      <c r="AD355" s="197"/>
      <c r="AE355" s="197"/>
      <c r="AF355" s="197"/>
      <c r="AG355" s="197"/>
      <c r="AH355" s="197"/>
      <c r="AI355" s="197"/>
      <c r="AJ355" s="197"/>
      <c r="AK355" s="197"/>
    </row>
    <row r="356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200"/>
      <c r="X356" s="197"/>
      <c r="Y356" s="197"/>
      <c r="Z356" s="197"/>
      <c r="AA356" s="197"/>
      <c r="AB356" s="197"/>
      <c r="AC356" s="197"/>
      <c r="AD356" s="197"/>
      <c r="AE356" s="197"/>
      <c r="AF356" s="197"/>
      <c r="AG356" s="197"/>
      <c r="AH356" s="197"/>
      <c r="AI356" s="197"/>
      <c r="AJ356" s="197"/>
      <c r="AK356" s="197"/>
    </row>
    <row r="357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200"/>
      <c r="X357" s="197"/>
      <c r="Y357" s="197"/>
      <c r="Z357" s="197"/>
      <c r="AA357" s="197"/>
      <c r="AB357" s="197"/>
      <c r="AC357" s="197"/>
      <c r="AD357" s="197"/>
      <c r="AE357" s="197"/>
      <c r="AF357" s="197"/>
      <c r="AG357" s="197"/>
      <c r="AH357" s="197"/>
      <c r="AI357" s="197"/>
      <c r="AJ357" s="197"/>
      <c r="AK357" s="197"/>
    </row>
    <row r="358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200"/>
      <c r="X358" s="197"/>
      <c r="Y358" s="197"/>
      <c r="Z358" s="197"/>
      <c r="AA358" s="197"/>
      <c r="AB358" s="197"/>
      <c r="AC358" s="197"/>
      <c r="AD358" s="197"/>
      <c r="AE358" s="197"/>
      <c r="AF358" s="197"/>
      <c r="AG358" s="197"/>
      <c r="AH358" s="197"/>
      <c r="AI358" s="197"/>
      <c r="AJ358" s="197"/>
      <c r="AK358" s="197"/>
    </row>
    <row r="359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200"/>
      <c r="X359" s="197"/>
      <c r="Y359" s="197"/>
      <c r="Z359" s="197"/>
      <c r="AA359" s="197"/>
      <c r="AB359" s="197"/>
      <c r="AC359" s="197"/>
      <c r="AD359" s="197"/>
      <c r="AE359" s="197"/>
      <c r="AF359" s="197"/>
      <c r="AG359" s="197"/>
      <c r="AH359" s="197"/>
      <c r="AI359" s="197"/>
      <c r="AJ359" s="197"/>
      <c r="AK359" s="197"/>
    </row>
    <row r="360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200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  <c r="AH360" s="197"/>
      <c r="AI360" s="197"/>
      <c r="AJ360" s="197"/>
      <c r="AK360" s="197"/>
    </row>
    <row r="361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200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  <c r="AH361" s="197"/>
      <c r="AI361" s="197"/>
      <c r="AJ361" s="197"/>
      <c r="AK361" s="197"/>
    </row>
    <row r="362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200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  <c r="AH362" s="197"/>
      <c r="AI362" s="197"/>
      <c r="AJ362" s="197"/>
      <c r="AK362" s="197"/>
    </row>
    <row r="363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200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7"/>
    </row>
    <row r="364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200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</row>
    <row r="365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200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  <c r="AH365" s="197"/>
      <c r="AI365" s="197"/>
      <c r="AJ365" s="197"/>
      <c r="AK365" s="197"/>
    </row>
    <row r="366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200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</row>
    <row r="367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200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  <c r="AH367" s="197"/>
      <c r="AI367" s="197"/>
      <c r="AJ367" s="197"/>
      <c r="AK367" s="197"/>
    </row>
    <row r="368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200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  <c r="AH368" s="197"/>
      <c r="AI368" s="197"/>
      <c r="AJ368" s="197"/>
      <c r="AK368" s="197"/>
    </row>
    <row r="369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200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  <c r="AH369" s="197"/>
      <c r="AI369" s="197"/>
      <c r="AJ369" s="197"/>
      <c r="AK369" s="197"/>
    </row>
    <row r="370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200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  <c r="AH370" s="197"/>
      <c r="AI370" s="197"/>
      <c r="AJ370" s="197"/>
      <c r="AK370" s="197"/>
    </row>
    <row r="371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200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7"/>
    </row>
    <row r="372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200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  <c r="AH372" s="197"/>
      <c r="AI372" s="197"/>
      <c r="AJ372" s="197"/>
      <c r="AK372" s="197"/>
    </row>
    <row r="373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200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  <c r="AH373" s="197"/>
      <c r="AI373" s="197"/>
      <c r="AJ373" s="197"/>
      <c r="AK373" s="197"/>
    </row>
    <row r="374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200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  <c r="AH374" s="197"/>
      <c r="AI374" s="197"/>
      <c r="AJ374" s="197"/>
      <c r="AK374" s="197"/>
    </row>
    <row r="375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200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  <c r="AH375" s="197"/>
      <c r="AI375" s="197"/>
      <c r="AJ375" s="197"/>
      <c r="AK375" s="197"/>
    </row>
    <row r="376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200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  <c r="AH376" s="197"/>
      <c r="AI376" s="197"/>
      <c r="AJ376" s="197"/>
      <c r="AK376" s="197"/>
    </row>
    <row r="377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200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  <c r="AH377" s="197"/>
      <c r="AI377" s="197"/>
      <c r="AJ377" s="197"/>
      <c r="AK377" s="197"/>
    </row>
    <row r="378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200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  <c r="AH378" s="197"/>
      <c r="AI378" s="197"/>
      <c r="AJ378" s="197"/>
      <c r="AK378" s="197"/>
    </row>
    <row r="379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200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7"/>
    </row>
    <row r="380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200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  <c r="AH380" s="197"/>
      <c r="AI380" s="197"/>
      <c r="AJ380" s="197"/>
      <c r="AK380" s="197"/>
    </row>
    <row r="381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200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  <c r="AH381" s="197"/>
      <c r="AI381" s="197"/>
      <c r="AJ381" s="197"/>
      <c r="AK381" s="197"/>
    </row>
    <row r="382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200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  <c r="AH382" s="197"/>
      <c r="AI382" s="197"/>
      <c r="AJ382" s="197"/>
      <c r="AK382" s="197"/>
    </row>
    <row r="383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200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  <c r="AH383" s="197"/>
      <c r="AI383" s="197"/>
      <c r="AJ383" s="197"/>
      <c r="AK383" s="197"/>
    </row>
    <row r="384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200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  <c r="AH384" s="197"/>
      <c r="AI384" s="197"/>
      <c r="AJ384" s="197"/>
      <c r="AK384" s="197"/>
    </row>
    <row r="385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200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  <c r="AH385" s="197"/>
      <c r="AI385" s="197"/>
      <c r="AJ385" s="197"/>
      <c r="AK385" s="197"/>
    </row>
    <row r="386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200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  <c r="AH386" s="197"/>
      <c r="AI386" s="197"/>
      <c r="AJ386" s="197"/>
      <c r="AK386" s="197"/>
    </row>
    <row r="387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200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7"/>
    </row>
    <row r="388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200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  <c r="AH388" s="197"/>
      <c r="AI388" s="197"/>
      <c r="AJ388" s="197"/>
      <c r="AK388" s="197"/>
    </row>
    <row r="389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200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  <c r="AH389" s="197"/>
      <c r="AI389" s="197"/>
      <c r="AJ389" s="197"/>
      <c r="AK389" s="197"/>
    </row>
    <row r="390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200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  <c r="AH390" s="197"/>
      <c r="AI390" s="197"/>
      <c r="AJ390" s="197"/>
      <c r="AK390" s="197"/>
    </row>
    <row r="391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200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  <c r="AH391" s="197"/>
      <c r="AI391" s="197"/>
      <c r="AJ391" s="197"/>
      <c r="AK391" s="197"/>
    </row>
    <row r="392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200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</row>
    <row r="393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200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  <c r="AH393" s="197"/>
      <c r="AI393" s="197"/>
      <c r="AJ393" s="197"/>
      <c r="AK393" s="197"/>
    </row>
    <row r="394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200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</row>
    <row r="395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200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7"/>
    </row>
    <row r="396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200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  <c r="AH396" s="197"/>
      <c r="AI396" s="197"/>
      <c r="AJ396" s="197"/>
      <c r="AK396" s="197"/>
    </row>
    <row r="397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200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  <c r="AH397" s="197"/>
      <c r="AI397" s="197"/>
      <c r="AJ397" s="197"/>
      <c r="AK397" s="197"/>
    </row>
    <row r="398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200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  <c r="AH398" s="197"/>
      <c r="AI398" s="197"/>
      <c r="AJ398" s="197"/>
      <c r="AK398" s="197"/>
    </row>
    <row r="399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200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  <c r="AH399" s="197"/>
      <c r="AI399" s="197"/>
      <c r="AJ399" s="197"/>
      <c r="AK399" s="197"/>
    </row>
    <row r="400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200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  <c r="AH400" s="197"/>
      <c r="AI400" s="197"/>
      <c r="AJ400" s="197"/>
      <c r="AK400" s="197"/>
    </row>
    <row r="401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200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</row>
    <row r="402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200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  <c r="AH402" s="197"/>
      <c r="AI402" s="197"/>
      <c r="AJ402" s="197"/>
      <c r="AK402" s="197"/>
    </row>
    <row r="403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200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7"/>
    </row>
    <row r="404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200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  <c r="AH404" s="197"/>
      <c r="AI404" s="197"/>
      <c r="AJ404" s="197"/>
      <c r="AK404" s="197"/>
    </row>
    <row r="405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200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  <c r="AH405" s="197"/>
      <c r="AI405" s="197"/>
      <c r="AJ405" s="197"/>
      <c r="AK405" s="197"/>
    </row>
    <row r="406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200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  <c r="AH406" s="197"/>
      <c r="AI406" s="197"/>
      <c r="AJ406" s="197"/>
      <c r="AK406" s="197"/>
    </row>
    <row r="407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200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  <c r="AH407" s="197"/>
      <c r="AI407" s="197"/>
      <c r="AJ407" s="197"/>
      <c r="AK407" s="197"/>
    </row>
    <row r="408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200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  <c r="AH408" s="197"/>
      <c r="AI408" s="197"/>
      <c r="AJ408" s="197"/>
      <c r="AK408" s="197"/>
    </row>
    <row r="409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200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  <c r="AI409" s="197"/>
      <c r="AJ409" s="197"/>
      <c r="AK409" s="197"/>
    </row>
    <row r="410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200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</row>
    <row r="411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200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7"/>
    </row>
    <row r="412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200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  <c r="AH412" s="197"/>
      <c r="AI412" s="197"/>
      <c r="AJ412" s="197"/>
      <c r="AK412" s="197"/>
    </row>
    <row r="413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200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  <c r="AH413" s="197"/>
      <c r="AI413" s="197"/>
      <c r="AJ413" s="197"/>
      <c r="AK413" s="197"/>
    </row>
    <row r="414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200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  <c r="AH414" s="197"/>
      <c r="AI414" s="197"/>
      <c r="AJ414" s="197"/>
      <c r="AK414" s="197"/>
    </row>
    <row r="415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200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  <c r="AH415" s="197"/>
      <c r="AI415" s="197"/>
      <c r="AJ415" s="197"/>
      <c r="AK415" s="197"/>
    </row>
    <row r="416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200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  <c r="AH416" s="197"/>
      <c r="AI416" s="197"/>
      <c r="AJ416" s="197"/>
      <c r="AK416" s="197"/>
    </row>
    <row r="417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200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  <c r="AH417" s="197"/>
      <c r="AI417" s="197"/>
      <c r="AJ417" s="197"/>
      <c r="AK417" s="197"/>
    </row>
    <row r="418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200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  <c r="AH418" s="197"/>
      <c r="AI418" s="197"/>
      <c r="AJ418" s="197"/>
      <c r="AK418" s="197"/>
    </row>
    <row r="419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200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7"/>
    </row>
    <row r="420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200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  <c r="AH420" s="197"/>
      <c r="AI420" s="197"/>
      <c r="AJ420" s="197"/>
      <c r="AK420" s="197"/>
    </row>
    <row r="421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200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  <c r="AH421" s="197"/>
      <c r="AI421" s="197"/>
      <c r="AJ421" s="197"/>
      <c r="AK421" s="197"/>
    </row>
    <row r="422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200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  <c r="AH422" s="197"/>
      <c r="AI422" s="197"/>
      <c r="AJ422" s="197"/>
      <c r="AK422" s="197"/>
    </row>
    <row r="423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200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  <c r="AH423" s="197"/>
      <c r="AI423" s="197"/>
      <c r="AJ423" s="197"/>
      <c r="AK423" s="197"/>
    </row>
    <row r="424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200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  <c r="AH424" s="197"/>
      <c r="AI424" s="197"/>
      <c r="AJ424" s="197"/>
      <c r="AK424" s="197"/>
    </row>
    <row r="425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200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  <c r="AH425" s="197"/>
      <c r="AI425" s="197"/>
      <c r="AJ425" s="197"/>
      <c r="AK425" s="197"/>
    </row>
    <row r="426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200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  <c r="AH426" s="197"/>
      <c r="AI426" s="197"/>
      <c r="AJ426" s="197"/>
      <c r="AK426" s="197"/>
    </row>
    <row r="427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200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7"/>
    </row>
    <row r="428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200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  <c r="AH428" s="197"/>
      <c r="AI428" s="197"/>
      <c r="AJ428" s="197"/>
      <c r="AK428" s="197"/>
    </row>
    <row r="429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200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  <c r="AH429" s="197"/>
      <c r="AI429" s="197"/>
      <c r="AJ429" s="197"/>
      <c r="AK429" s="197"/>
    </row>
    <row r="430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200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  <c r="AH430" s="197"/>
      <c r="AI430" s="197"/>
      <c r="AJ430" s="197"/>
      <c r="AK430" s="197"/>
    </row>
    <row r="431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200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  <c r="AH431" s="197"/>
      <c r="AI431" s="197"/>
      <c r="AJ431" s="197"/>
      <c r="AK431" s="197"/>
    </row>
    <row r="432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200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  <c r="AH432" s="197"/>
      <c r="AI432" s="197"/>
      <c r="AJ432" s="197"/>
      <c r="AK432" s="197"/>
    </row>
    <row r="433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200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</row>
    <row r="434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200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</row>
    <row r="435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200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</row>
    <row r="436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200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</row>
    <row r="437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200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</row>
    <row r="438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200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  <c r="AH438" s="197"/>
      <c r="AI438" s="197"/>
      <c r="AJ438" s="197"/>
      <c r="AK438" s="197"/>
    </row>
    <row r="439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200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97"/>
      <c r="AJ439" s="197"/>
      <c r="AK439" s="197"/>
    </row>
    <row r="440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200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97"/>
      <c r="AJ440" s="197"/>
      <c r="AK440" s="197"/>
    </row>
    <row r="441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200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97"/>
      <c r="AJ441" s="197"/>
      <c r="AK441" s="197"/>
    </row>
    <row r="442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200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97"/>
      <c r="AJ442" s="197"/>
      <c r="AK442" s="197"/>
    </row>
    <row r="443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200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7"/>
    </row>
    <row r="444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200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97"/>
      <c r="AJ444" s="197"/>
      <c r="AK444" s="197"/>
    </row>
    <row r="445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200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  <c r="AH445" s="197"/>
      <c r="AI445" s="197"/>
      <c r="AJ445" s="197"/>
      <c r="AK445" s="197"/>
    </row>
    <row r="446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200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97"/>
      <c r="AJ446" s="197"/>
      <c r="AK446" s="197"/>
    </row>
    <row r="447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200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  <c r="AH447" s="197"/>
      <c r="AI447" s="197"/>
      <c r="AJ447" s="197"/>
      <c r="AK447" s="197"/>
    </row>
    <row r="448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200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  <c r="AH448" s="197"/>
      <c r="AI448" s="197"/>
      <c r="AJ448" s="197"/>
      <c r="AK448" s="197"/>
    </row>
    <row r="449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200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97"/>
      <c r="AJ449" s="197"/>
      <c r="AK449" s="197"/>
    </row>
    <row r="450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200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97"/>
      <c r="AJ450" s="197"/>
      <c r="AK450" s="197"/>
    </row>
    <row r="451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200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7"/>
    </row>
    <row r="452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200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  <c r="AH452" s="197"/>
      <c r="AI452" s="197"/>
      <c r="AJ452" s="197"/>
      <c r="AK452" s="197"/>
    </row>
    <row r="453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200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  <c r="AH453" s="197"/>
      <c r="AI453" s="197"/>
      <c r="AJ453" s="197"/>
      <c r="AK453" s="197"/>
    </row>
    <row r="454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200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  <c r="AH454" s="197"/>
      <c r="AI454" s="197"/>
      <c r="AJ454" s="197"/>
      <c r="AK454" s="197"/>
    </row>
    <row r="455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200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97"/>
      <c r="AJ455" s="197"/>
      <c r="AK455" s="197"/>
    </row>
    <row r="456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200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  <c r="AH456" s="197"/>
      <c r="AI456" s="197"/>
      <c r="AJ456" s="197"/>
      <c r="AK456" s="197"/>
    </row>
    <row r="457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200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97"/>
      <c r="AJ457" s="197"/>
      <c r="AK457" s="197"/>
    </row>
    <row r="458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200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  <c r="AI458" s="197"/>
      <c r="AJ458" s="197"/>
      <c r="AK458" s="197"/>
    </row>
    <row r="459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200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7"/>
    </row>
    <row r="460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200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97"/>
      <c r="AJ460" s="197"/>
      <c r="AK460" s="197"/>
    </row>
    <row r="461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200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  <c r="AH461" s="197"/>
      <c r="AI461" s="197"/>
      <c r="AJ461" s="197"/>
      <c r="AK461" s="197"/>
    </row>
    <row r="462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200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  <c r="AH462" s="197"/>
      <c r="AI462" s="197"/>
      <c r="AJ462" s="197"/>
      <c r="AK462" s="197"/>
    </row>
    <row r="463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200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  <c r="AH463" s="197"/>
      <c r="AI463" s="197"/>
      <c r="AJ463" s="197"/>
      <c r="AK463" s="197"/>
    </row>
    <row r="464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200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  <c r="AH464" s="197"/>
      <c r="AI464" s="197"/>
      <c r="AJ464" s="197"/>
      <c r="AK464" s="197"/>
    </row>
    <row r="465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200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  <c r="AH465" s="197"/>
      <c r="AI465" s="197"/>
      <c r="AJ465" s="197"/>
      <c r="AK465" s="197"/>
    </row>
    <row r="466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200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97"/>
      <c r="AJ466" s="197"/>
      <c r="AK466" s="197"/>
    </row>
    <row r="467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200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7"/>
    </row>
    <row r="468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200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</row>
    <row r="469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200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97"/>
      <c r="AJ469" s="197"/>
      <c r="AK469" s="197"/>
    </row>
    <row r="470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200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  <c r="AH470" s="197"/>
      <c r="AI470" s="197"/>
      <c r="AJ470" s="197"/>
      <c r="AK470" s="197"/>
    </row>
    <row r="471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200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  <c r="AH471" s="197"/>
      <c r="AI471" s="197"/>
      <c r="AJ471" s="197"/>
      <c r="AK471" s="197"/>
    </row>
    <row r="472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200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  <c r="AH472" s="197"/>
      <c r="AI472" s="197"/>
      <c r="AJ472" s="197"/>
      <c r="AK472" s="197"/>
    </row>
    <row r="473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200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97"/>
      <c r="AJ473" s="197"/>
      <c r="AK473" s="197"/>
    </row>
    <row r="474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200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97"/>
      <c r="AJ474" s="197"/>
      <c r="AK474" s="197"/>
    </row>
    <row r="475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200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7"/>
    </row>
    <row r="476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200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97"/>
      <c r="AJ476" s="197"/>
      <c r="AK476" s="197"/>
    </row>
    <row r="477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200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97"/>
      <c r="AJ477" s="197"/>
      <c r="AK477" s="197"/>
    </row>
    <row r="478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200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97"/>
      <c r="AJ478" s="197"/>
      <c r="AK478" s="197"/>
    </row>
    <row r="479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200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97"/>
      <c r="AJ479" s="197"/>
      <c r="AK479" s="197"/>
    </row>
    <row r="480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200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97"/>
      <c r="AJ480" s="197"/>
      <c r="AK480" s="197"/>
    </row>
    <row r="481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200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97"/>
      <c r="AJ481" s="197"/>
      <c r="AK481" s="197"/>
    </row>
    <row r="482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200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  <c r="AH482" s="197"/>
      <c r="AI482" s="197"/>
      <c r="AJ482" s="197"/>
      <c r="AK482" s="197"/>
    </row>
    <row r="483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200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7"/>
    </row>
    <row r="484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200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  <c r="AH484" s="197"/>
      <c r="AI484" s="197"/>
      <c r="AJ484" s="197"/>
      <c r="AK484" s="197"/>
    </row>
    <row r="485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200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</row>
    <row r="486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200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  <c r="AH486" s="197"/>
      <c r="AI486" s="197"/>
      <c r="AJ486" s="197"/>
      <c r="AK486" s="197"/>
    </row>
    <row r="487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200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  <c r="AH487" s="197"/>
      <c r="AI487" s="197"/>
      <c r="AJ487" s="197"/>
      <c r="AK487" s="197"/>
    </row>
    <row r="488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200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</row>
    <row r="489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200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</row>
    <row r="490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200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97"/>
      <c r="AJ490" s="197"/>
      <c r="AK490" s="197"/>
    </row>
    <row r="491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200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7"/>
    </row>
    <row r="492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200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97"/>
      <c r="AJ492" s="197"/>
      <c r="AK492" s="197"/>
    </row>
    <row r="493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200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97"/>
      <c r="AJ493" s="197"/>
      <c r="AK493" s="197"/>
    </row>
    <row r="494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200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</row>
    <row r="495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200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  <c r="AH495" s="197"/>
      <c r="AI495" s="197"/>
      <c r="AJ495" s="197"/>
      <c r="AK495" s="197"/>
    </row>
    <row r="496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200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  <c r="AH496" s="197"/>
      <c r="AI496" s="197"/>
      <c r="AJ496" s="197"/>
      <c r="AK496" s="197"/>
    </row>
    <row r="497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200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  <c r="AH497" s="197"/>
      <c r="AI497" s="197"/>
      <c r="AJ497" s="197"/>
      <c r="AK497" s="197"/>
    </row>
    <row r="498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200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  <c r="AH498" s="197"/>
      <c r="AI498" s="197"/>
      <c r="AJ498" s="197"/>
      <c r="AK498" s="197"/>
    </row>
    <row r="499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200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7"/>
    </row>
    <row r="500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200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</row>
    <row r="501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200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  <c r="AH501" s="197"/>
      <c r="AI501" s="197"/>
      <c r="AJ501" s="197"/>
      <c r="AK501" s="197"/>
    </row>
    <row r="502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200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  <c r="AH502" s="197"/>
      <c r="AI502" s="197"/>
      <c r="AJ502" s="197"/>
      <c r="AK502" s="197"/>
    </row>
    <row r="503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200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</row>
    <row r="504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200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  <c r="AH504" s="197"/>
      <c r="AI504" s="197"/>
      <c r="AJ504" s="197"/>
      <c r="AK504" s="197"/>
    </row>
    <row r="505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200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  <c r="AH505" s="197"/>
      <c r="AI505" s="197"/>
      <c r="AJ505" s="197"/>
      <c r="AK505" s="197"/>
    </row>
    <row r="506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200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  <c r="AH506" s="197"/>
      <c r="AI506" s="197"/>
      <c r="AJ506" s="197"/>
      <c r="AK506" s="197"/>
    </row>
    <row r="507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200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7"/>
    </row>
    <row r="508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200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  <c r="AH508" s="197"/>
      <c r="AI508" s="197"/>
      <c r="AJ508" s="197"/>
      <c r="AK508" s="197"/>
    </row>
    <row r="509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200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  <c r="AH509" s="197"/>
      <c r="AI509" s="197"/>
      <c r="AJ509" s="197"/>
      <c r="AK509" s="197"/>
    </row>
    <row r="510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200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97"/>
      <c r="AJ510" s="197"/>
      <c r="AK510" s="197"/>
    </row>
    <row r="511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200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  <c r="AI511" s="197"/>
      <c r="AJ511" s="197"/>
      <c r="AK511" s="197"/>
    </row>
    <row r="512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200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97"/>
      <c r="AJ512" s="197"/>
      <c r="AK512" s="197"/>
    </row>
    <row r="513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200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97"/>
      <c r="AJ513" s="197"/>
      <c r="AK513" s="197"/>
    </row>
    <row r="514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200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97"/>
      <c r="AJ514" s="197"/>
      <c r="AK514" s="197"/>
    </row>
    <row r="515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200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7"/>
    </row>
    <row r="516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200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  <c r="AH516" s="197"/>
      <c r="AI516" s="197"/>
      <c r="AJ516" s="197"/>
      <c r="AK516" s="197"/>
    </row>
    <row r="517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200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97"/>
      <c r="AJ517" s="197"/>
      <c r="AK517" s="197"/>
    </row>
    <row r="518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200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  <c r="AH518" s="197"/>
      <c r="AI518" s="197"/>
      <c r="AJ518" s="197"/>
      <c r="AK518" s="197"/>
    </row>
    <row r="519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200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97"/>
      <c r="AJ519" s="197"/>
      <c r="AK519" s="197"/>
    </row>
    <row r="520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200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97"/>
      <c r="AJ520" s="197"/>
      <c r="AK520" s="197"/>
    </row>
    <row r="521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200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  <c r="AH521" s="197"/>
      <c r="AI521" s="197"/>
      <c r="AJ521" s="197"/>
      <c r="AK521" s="197"/>
    </row>
    <row r="522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200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  <c r="AH522" s="197"/>
      <c r="AI522" s="197"/>
      <c r="AJ522" s="197"/>
      <c r="AK522" s="197"/>
    </row>
    <row r="523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200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7"/>
    </row>
    <row r="524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200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  <c r="AH524" s="197"/>
      <c r="AI524" s="197"/>
      <c r="AJ524" s="197"/>
      <c r="AK524" s="197"/>
    </row>
    <row r="525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200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97"/>
      <c r="AJ525" s="197"/>
      <c r="AK525" s="197"/>
    </row>
    <row r="526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200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97"/>
      <c r="AJ526" s="197"/>
      <c r="AK526" s="197"/>
    </row>
    <row r="527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200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  <c r="AH527" s="197"/>
      <c r="AI527" s="197"/>
      <c r="AJ527" s="197"/>
      <c r="AK527" s="197"/>
    </row>
    <row r="528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200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97"/>
      <c r="AJ528" s="197"/>
      <c r="AK528" s="197"/>
    </row>
    <row r="529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200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97"/>
      <c r="AJ529" s="197"/>
      <c r="AK529" s="197"/>
    </row>
    <row r="530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200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97"/>
      <c r="AJ530" s="197"/>
      <c r="AK530" s="197"/>
    </row>
    <row r="531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200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7"/>
    </row>
    <row r="532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200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</row>
    <row r="533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200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97"/>
      <c r="AJ533" s="197"/>
      <c r="AK533" s="197"/>
    </row>
    <row r="534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200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97"/>
      <c r="AJ534" s="197"/>
      <c r="AK534" s="197"/>
    </row>
    <row r="535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200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97"/>
      <c r="AJ535" s="197"/>
      <c r="AK535" s="197"/>
    </row>
    <row r="536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200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97"/>
      <c r="AJ536" s="197"/>
      <c r="AK536" s="197"/>
    </row>
    <row r="537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200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97"/>
      <c r="AJ537" s="197"/>
      <c r="AK537" s="197"/>
    </row>
    <row r="538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200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97"/>
      <c r="AJ538" s="197"/>
      <c r="AK538" s="197"/>
    </row>
    <row r="539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200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7"/>
    </row>
    <row r="540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200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97"/>
      <c r="AJ540" s="197"/>
      <c r="AK540" s="197"/>
    </row>
    <row r="541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200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  <c r="AH541" s="197"/>
      <c r="AI541" s="197"/>
      <c r="AJ541" s="197"/>
      <c r="AK541" s="197"/>
    </row>
    <row r="542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200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  <c r="AH542" s="197"/>
      <c r="AI542" s="197"/>
      <c r="AJ542" s="197"/>
      <c r="AK542" s="197"/>
    </row>
    <row r="543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200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  <c r="AH543" s="197"/>
      <c r="AI543" s="197"/>
      <c r="AJ543" s="197"/>
      <c r="AK543" s="197"/>
    </row>
    <row r="544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200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  <c r="AH544" s="197"/>
      <c r="AI544" s="197"/>
      <c r="AJ544" s="197"/>
      <c r="AK544" s="197"/>
    </row>
    <row r="545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200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97"/>
      <c r="AJ545" s="197"/>
      <c r="AK545" s="197"/>
    </row>
    <row r="546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200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  <c r="AH546" s="197"/>
      <c r="AI546" s="197"/>
      <c r="AJ546" s="197"/>
      <c r="AK546" s="197"/>
    </row>
    <row r="547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200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7"/>
    </row>
    <row r="548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200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  <c r="AH548" s="197"/>
      <c r="AI548" s="197"/>
      <c r="AJ548" s="197"/>
      <c r="AK548" s="197"/>
    </row>
    <row r="549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200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  <c r="AH549" s="197"/>
      <c r="AI549" s="197"/>
      <c r="AJ549" s="197"/>
      <c r="AK549" s="197"/>
    </row>
    <row r="550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200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  <c r="AH550" s="197"/>
      <c r="AI550" s="197"/>
      <c r="AJ550" s="197"/>
      <c r="AK550" s="197"/>
    </row>
    <row r="551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200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  <c r="AH551" s="197"/>
      <c r="AI551" s="197"/>
      <c r="AJ551" s="197"/>
      <c r="AK551" s="197"/>
    </row>
    <row r="552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200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  <c r="AH552" s="197"/>
      <c r="AI552" s="197"/>
      <c r="AJ552" s="197"/>
      <c r="AK552" s="197"/>
    </row>
    <row r="553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200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  <c r="AH553" s="197"/>
      <c r="AI553" s="197"/>
      <c r="AJ553" s="197"/>
      <c r="AK553" s="197"/>
    </row>
    <row r="554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200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  <c r="AH554" s="197"/>
      <c r="AI554" s="197"/>
      <c r="AJ554" s="197"/>
      <c r="AK554" s="197"/>
    </row>
    <row r="555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200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7"/>
    </row>
    <row r="556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200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  <c r="AH556" s="197"/>
      <c r="AI556" s="197"/>
      <c r="AJ556" s="197"/>
      <c r="AK556" s="197"/>
    </row>
    <row r="557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200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  <c r="AH557" s="197"/>
      <c r="AI557" s="197"/>
      <c r="AJ557" s="197"/>
      <c r="AK557" s="197"/>
    </row>
    <row r="558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200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  <c r="AH558" s="197"/>
      <c r="AI558" s="197"/>
      <c r="AJ558" s="197"/>
      <c r="AK558" s="197"/>
    </row>
    <row r="559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200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  <c r="AH559" s="197"/>
      <c r="AI559" s="197"/>
      <c r="AJ559" s="197"/>
      <c r="AK559" s="197"/>
    </row>
    <row r="560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200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  <c r="AH560" s="197"/>
      <c r="AI560" s="197"/>
      <c r="AJ560" s="197"/>
      <c r="AK560" s="197"/>
    </row>
    <row r="561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200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  <c r="AH561" s="197"/>
      <c r="AI561" s="197"/>
      <c r="AJ561" s="197"/>
      <c r="AK561" s="197"/>
    </row>
    <row r="562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200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  <c r="AH562" s="197"/>
      <c r="AI562" s="197"/>
      <c r="AJ562" s="197"/>
      <c r="AK562" s="197"/>
    </row>
    <row r="563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200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7"/>
    </row>
    <row r="564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200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  <c r="AH564" s="197"/>
      <c r="AI564" s="197"/>
      <c r="AJ564" s="197"/>
      <c r="AK564" s="197"/>
    </row>
    <row r="565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200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  <c r="AH565" s="197"/>
      <c r="AI565" s="197"/>
      <c r="AJ565" s="197"/>
      <c r="AK565" s="197"/>
    </row>
    <row r="566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200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  <c r="AH566" s="197"/>
      <c r="AI566" s="197"/>
      <c r="AJ566" s="197"/>
      <c r="AK566" s="197"/>
    </row>
    <row r="567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200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  <c r="AH567" s="197"/>
      <c r="AI567" s="197"/>
      <c r="AJ567" s="197"/>
      <c r="AK567" s="197"/>
    </row>
    <row r="568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200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  <c r="AH568" s="197"/>
      <c r="AI568" s="197"/>
      <c r="AJ568" s="197"/>
      <c r="AK568" s="197"/>
    </row>
    <row r="569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200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  <c r="AH569" s="197"/>
      <c r="AI569" s="197"/>
      <c r="AJ569" s="197"/>
      <c r="AK569" s="197"/>
    </row>
    <row r="570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200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  <c r="AH570" s="197"/>
      <c r="AI570" s="197"/>
      <c r="AJ570" s="197"/>
      <c r="AK570" s="197"/>
    </row>
    <row r="571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200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7"/>
    </row>
    <row r="572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200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  <c r="AH572" s="197"/>
      <c r="AI572" s="197"/>
      <c r="AJ572" s="197"/>
      <c r="AK572" s="197"/>
    </row>
    <row r="573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200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  <c r="AH573" s="197"/>
      <c r="AI573" s="197"/>
      <c r="AJ573" s="197"/>
      <c r="AK573" s="197"/>
    </row>
    <row r="574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200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  <c r="AH574" s="197"/>
      <c r="AI574" s="197"/>
      <c r="AJ574" s="197"/>
      <c r="AK574" s="197"/>
    </row>
    <row r="575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200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  <c r="AI575" s="197"/>
      <c r="AJ575" s="197"/>
      <c r="AK575" s="197"/>
    </row>
    <row r="576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200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  <c r="AH576" s="197"/>
      <c r="AI576" s="197"/>
      <c r="AJ576" s="197"/>
      <c r="AK576" s="197"/>
    </row>
    <row r="577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200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  <c r="AH577" s="197"/>
      <c r="AI577" s="197"/>
      <c r="AJ577" s="197"/>
      <c r="AK577" s="197"/>
    </row>
    <row r="578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200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  <c r="AH578" s="197"/>
      <c r="AI578" s="197"/>
      <c r="AJ578" s="197"/>
      <c r="AK578" s="197"/>
    </row>
    <row r="579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200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7"/>
    </row>
    <row r="580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200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  <c r="AH580" s="197"/>
      <c r="AI580" s="197"/>
      <c r="AJ580" s="197"/>
      <c r="AK580" s="197"/>
    </row>
    <row r="581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200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  <c r="AH581" s="197"/>
      <c r="AI581" s="197"/>
      <c r="AJ581" s="197"/>
      <c r="AK581" s="197"/>
    </row>
    <row r="582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200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  <c r="AH582" s="197"/>
      <c r="AI582" s="197"/>
      <c r="AJ582" s="197"/>
      <c r="AK582" s="197"/>
    </row>
    <row r="583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200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  <c r="AH583" s="197"/>
      <c r="AI583" s="197"/>
      <c r="AJ583" s="197"/>
      <c r="AK583" s="197"/>
    </row>
    <row r="584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200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  <c r="AH584" s="197"/>
      <c r="AI584" s="197"/>
      <c r="AJ584" s="197"/>
      <c r="AK584" s="197"/>
    </row>
    <row r="585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200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  <c r="AH585" s="197"/>
      <c r="AI585" s="197"/>
      <c r="AJ585" s="197"/>
      <c r="AK585" s="197"/>
    </row>
    <row r="586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200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  <c r="AH586" s="197"/>
      <c r="AI586" s="197"/>
      <c r="AJ586" s="197"/>
      <c r="AK586" s="197"/>
    </row>
    <row r="587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200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7"/>
    </row>
    <row r="588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200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  <c r="AH588" s="197"/>
      <c r="AI588" s="197"/>
      <c r="AJ588" s="197"/>
      <c r="AK588" s="197"/>
    </row>
    <row r="589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200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  <c r="AH589" s="197"/>
      <c r="AI589" s="197"/>
      <c r="AJ589" s="197"/>
      <c r="AK589" s="197"/>
    </row>
    <row r="590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200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  <c r="AH590" s="197"/>
      <c r="AI590" s="197"/>
      <c r="AJ590" s="197"/>
      <c r="AK590" s="197"/>
    </row>
    <row r="591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200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  <c r="AH591" s="197"/>
      <c r="AI591" s="197"/>
      <c r="AJ591" s="197"/>
      <c r="AK591" s="197"/>
    </row>
    <row r="592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200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97"/>
      <c r="AK592" s="197"/>
    </row>
    <row r="593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200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  <c r="AH593" s="197"/>
      <c r="AI593" s="197"/>
      <c r="AJ593" s="197"/>
      <c r="AK593" s="197"/>
    </row>
    <row r="594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200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  <c r="AH594" s="197"/>
      <c r="AI594" s="197"/>
      <c r="AJ594" s="197"/>
      <c r="AK594" s="197"/>
    </row>
    <row r="595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200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7"/>
    </row>
    <row r="596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200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  <c r="AH596" s="197"/>
      <c r="AI596" s="197"/>
      <c r="AJ596" s="197"/>
      <c r="AK596" s="197"/>
    </row>
    <row r="597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200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  <c r="AH597" s="197"/>
      <c r="AI597" s="197"/>
      <c r="AJ597" s="197"/>
      <c r="AK597" s="197"/>
    </row>
    <row r="598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200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  <c r="AH598" s="197"/>
      <c r="AI598" s="197"/>
      <c r="AJ598" s="197"/>
      <c r="AK598" s="197"/>
    </row>
    <row r="599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200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</row>
    <row r="600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200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  <c r="AH600" s="197"/>
      <c r="AI600" s="197"/>
      <c r="AJ600" s="197"/>
      <c r="AK600" s="197"/>
    </row>
    <row r="601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200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  <c r="AH601" s="197"/>
      <c r="AI601" s="197"/>
      <c r="AJ601" s="197"/>
      <c r="AK601" s="197"/>
    </row>
    <row r="602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200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</row>
    <row r="603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200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7"/>
    </row>
    <row r="604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200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  <c r="AH604" s="197"/>
      <c r="AI604" s="197"/>
      <c r="AJ604" s="197"/>
      <c r="AK604" s="197"/>
    </row>
    <row r="605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200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  <c r="AH605" s="197"/>
      <c r="AI605" s="197"/>
      <c r="AJ605" s="197"/>
      <c r="AK605" s="197"/>
    </row>
    <row r="606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200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  <c r="AH606" s="197"/>
      <c r="AI606" s="197"/>
      <c r="AJ606" s="197"/>
      <c r="AK606" s="197"/>
    </row>
    <row r="607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200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  <c r="AH607" s="197"/>
      <c r="AI607" s="197"/>
      <c r="AJ607" s="197"/>
      <c r="AK607" s="197"/>
    </row>
    <row r="608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200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  <c r="AH608" s="197"/>
      <c r="AI608" s="197"/>
      <c r="AJ608" s="197"/>
      <c r="AK608" s="197"/>
    </row>
    <row r="609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200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  <c r="AH609" s="197"/>
      <c r="AI609" s="197"/>
      <c r="AJ609" s="197"/>
      <c r="AK609" s="197"/>
    </row>
    <row r="610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200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  <c r="AH610" s="197"/>
      <c r="AI610" s="197"/>
      <c r="AJ610" s="197"/>
      <c r="AK610" s="197"/>
    </row>
    <row r="611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200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7"/>
    </row>
    <row r="612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200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  <c r="AH612" s="197"/>
      <c r="AI612" s="197"/>
      <c r="AJ612" s="197"/>
      <c r="AK612" s="197"/>
    </row>
    <row r="613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200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  <c r="AH613" s="197"/>
      <c r="AI613" s="197"/>
      <c r="AJ613" s="197"/>
      <c r="AK613" s="197"/>
    </row>
    <row r="614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200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  <c r="AH614" s="197"/>
      <c r="AI614" s="197"/>
      <c r="AJ614" s="197"/>
      <c r="AK614" s="197"/>
    </row>
    <row r="615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200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  <c r="AH615" s="197"/>
      <c r="AI615" s="197"/>
      <c r="AJ615" s="197"/>
      <c r="AK615" s="197"/>
    </row>
    <row r="616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200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  <c r="AH616" s="197"/>
      <c r="AI616" s="197"/>
      <c r="AJ616" s="197"/>
      <c r="AK616" s="197"/>
    </row>
    <row r="617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200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  <c r="AH617" s="197"/>
      <c r="AI617" s="197"/>
      <c r="AJ617" s="197"/>
      <c r="AK617" s="197"/>
    </row>
    <row r="618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200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  <c r="AH618" s="197"/>
      <c r="AI618" s="197"/>
      <c r="AJ618" s="197"/>
      <c r="AK618" s="197"/>
    </row>
    <row r="619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200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7"/>
    </row>
    <row r="620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200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  <c r="AH620" s="197"/>
      <c r="AI620" s="197"/>
      <c r="AJ620" s="197"/>
      <c r="AK620" s="197"/>
    </row>
    <row r="621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200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  <c r="AH621" s="197"/>
      <c r="AI621" s="197"/>
      <c r="AJ621" s="197"/>
      <c r="AK621" s="197"/>
    </row>
    <row r="622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200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  <c r="AH622" s="197"/>
      <c r="AI622" s="197"/>
      <c r="AJ622" s="197"/>
      <c r="AK622" s="197"/>
    </row>
    <row r="623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200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  <c r="AH623" s="197"/>
      <c r="AI623" s="197"/>
      <c r="AJ623" s="197"/>
      <c r="AK623" s="197"/>
    </row>
    <row r="624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200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  <c r="AH624" s="197"/>
      <c r="AI624" s="197"/>
      <c r="AJ624" s="197"/>
      <c r="AK624" s="197"/>
    </row>
    <row r="625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200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97"/>
      <c r="AK625" s="197"/>
    </row>
    <row r="626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200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  <c r="AH626" s="197"/>
      <c r="AI626" s="197"/>
      <c r="AJ626" s="197"/>
      <c r="AK626" s="197"/>
    </row>
    <row r="627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200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7"/>
    </row>
    <row r="628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200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  <c r="AH628" s="197"/>
      <c r="AI628" s="197"/>
      <c r="AJ628" s="197"/>
      <c r="AK628" s="197"/>
    </row>
    <row r="629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200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  <c r="AH629" s="197"/>
      <c r="AI629" s="197"/>
      <c r="AJ629" s="197"/>
      <c r="AK629" s="197"/>
    </row>
    <row r="630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200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  <c r="AH630" s="197"/>
      <c r="AI630" s="197"/>
      <c r="AJ630" s="197"/>
      <c r="AK630" s="197"/>
    </row>
    <row r="631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200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  <c r="AH631" s="197"/>
      <c r="AI631" s="197"/>
      <c r="AJ631" s="197"/>
      <c r="AK631" s="197"/>
    </row>
    <row r="632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200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  <c r="AH632" s="197"/>
      <c r="AI632" s="197"/>
      <c r="AJ632" s="197"/>
      <c r="AK632" s="197"/>
    </row>
    <row r="633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200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  <c r="AH633" s="197"/>
      <c r="AI633" s="197"/>
      <c r="AJ633" s="197"/>
      <c r="AK633" s="197"/>
    </row>
    <row r="634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200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  <c r="AH634" s="197"/>
      <c r="AI634" s="197"/>
      <c r="AJ634" s="197"/>
      <c r="AK634" s="197"/>
    </row>
    <row r="635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200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7"/>
    </row>
    <row r="636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200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  <c r="AH636" s="197"/>
      <c r="AI636" s="197"/>
      <c r="AJ636" s="197"/>
      <c r="AK636" s="197"/>
    </row>
    <row r="637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200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  <c r="AH637" s="197"/>
      <c r="AI637" s="197"/>
      <c r="AJ637" s="197"/>
      <c r="AK637" s="197"/>
    </row>
    <row r="638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200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  <c r="AH638" s="197"/>
      <c r="AI638" s="197"/>
      <c r="AJ638" s="197"/>
      <c r="AK638" s="197"/>
    </row>
    <row r="639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200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  <c r="AH639" s="197"/>
      <c r="AI639" s="197"/>
      <c r="AJ639" s="197"/>
      <c r="AK639" s="197"/>
    </row>
    <row r="640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200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97"/>
      <c r="AK640" s="197"/>
    </row>
    <row r="641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200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  <c r="AH641" s="197"/>
      <c r="AI641" s="197"/>
      <c r="AJ641" s="197"/>
      <c r="AK641" s="197"/>
    </row>
    <row r="642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200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  <c r="AH642" s="197"/>
      <c r="AI642" s="197"/>
      <c r="AJ642" s="197"/>
      <c r="AK642" s="197"/>
    </row>
    <row r="643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200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7"/>
    </row>
    <row r="644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200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  <c r="AH644" s="197"/>
      <c r="AI644" s="197"/>
      <c r="AJ644" s="197"/>
      <c r="AK644" s="197"/>
    </row>
    <row r="645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200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  <c r="AH645" s="197"/>
      <c r="AI645" s="197"/>
      <c r="AJ645" s="197"/>
      <c r="AK645" s="197"/>
    </row>
    <row r="646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200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  <c r="AH646" s="197"/>
      <c r="AI646" s="197"/>
      <c r="AJ646" s="197"/>
      <c r="AK646" s="197"/>
    </row>
    <row r="647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200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  <c r="AH647" s="197"/>
      <c r="AI647" s="197"/>
      <c r="AJ647" s="197"/>
      <c r="AK647" s="197"/>
    </row>
    <row r="648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200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  <c r="AH648" s="197"/>
      <c r="AI648" s="197"/>
      <c r="AJ648" s="197"/>
      <c r="AK648" s="197"/>
    </row>
    <row r="649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200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  <c r="AH649" s="197"/>
      <c r="AI649" s="197"/>
      <c r="AJ649" s="197"/>
      <c r="AK649" s="197"/>
    </row>
    <row r="650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200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  <c r="AH650" s="197"/>
      <c r="AI650" s="197"/>
      <c r="AJ650" s="197"/>
      <c r="AK650" s="197"/>
    </row>
    <row r="651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200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7"/>
    </row>
    <row r="652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200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  <c r="AH652" s="197"/>
      <c r="AI652" s="197"/>
      <c r="AJ652" s="197"/>
      <c r="AK652" s="197"/>
    </row>
    <row r="653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200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  <c r="AH653" s="197"/>
      <c r="AI653" s="197"/>
      <c r="AJ653" s="197"/>
      <c r="AK653" s="197"/>
    </row>
    <row r="654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200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</row>
    <row r="655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200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  <c r="AH655" s="197"/>
      <c r="AI655" s="197"/>
      <c r="AJ655" s="197"/>
      <c r="AK655" s="197"/>
    </row>
    <row r="656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200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  <c r="AH656" s="197"/>
      <c r="AI656" s="197"/>
      <c r="AJ656" s="197"/>
      <c r="AK656" s="197"/>
    </row>
    <row r="657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200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</row>
    <row r="658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200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  <c r="AH658" s="197"/>
      <c r="AI658" s="197"/>
      <c r="AJ658" s="197"/>
      <c r="AK658" s="197"/>
    </row>
    <row r="659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200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7"/>
    </row>
    <row r="660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200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  <c r="AH660" s="197"/>
      <c r="AI660" s="197"/>
      <c r="AJ660" s="197"/>
      <c r="AK660" s="197"/>
    </row>
    <row r="661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200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  <c r="AH661" s="197"/>
      <c r="AI661" s="197"/>
      <c r="AJ661" s="197"/>
      <c r="AK661" s="197"/>
    </row>
    <row r="662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200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  <c r="AH662" s="197"/>
      <c r="AI662" s="197"/>
      <c r="AJ662" s="197"/>
      <c r="AK662" s="197"/>
    </row>
    <row r="663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200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  <c r="AH663" s="197"/>
      <c r="AI663" s="197"/>
      <c r="AJ663" s="197"/>
      <c r="AK663" s="197"/>
    </row>
    <row r="664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200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  <c r="AH664" s="197"/>
      <c r="AI664" s="197"/>
      <c r="AJ664" s="197"/>
      <c r="AK664" s="197"/>
    </row>
    <row r="665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200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  <c r="AH665" s="197"/>
      <c r="AI665" s="197"/>
      <c r="AJ665" s="197"/>
      <c r="AK665" s="197"/>
    </row>
    <row r="666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200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  <c r="AH666" s="197"/>
      <c r="AI666" s="197"/>
      <c r="AJ666" s="197"/>
      <c r="AK666" s="197"/>
    </row>
    <row r="667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200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7"/>
    </row>
    <row r="668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200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  <c r="AH668" s="197"/>
      <c r="AI668" s="197"/>
      <c r="AJ668" s="197"/>
      <c r="AK668" s="197"/>
    </row>
    <row r="669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200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  <c r="AH669" s="197"/>
      <c r="AI669" s="197"/>
      <c r="AJ669" s="197"/>
      <c r="AK669" s="197"/>
    </row>
    <row r="670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200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  <c r="AH670" s="197"/>
      <c r="AI670" s="197"/>
      <c r="AJ670" s="197"/>
      <c r="AK670" s="197"/>
    </row>
    <row r="671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200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  <c r="AH671" s="197"/>
      <c r="AI671" s="197"/>
      <c r="AJ671" s="197"/>
      <c r="AK671" s="197"/>
    </row>
    <row r="672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200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  <c r="AH672" s="197"/>
      <c r="AI672" s="197"/>
      <c r="AJ672" s="197"/>
      <c r="AK672" s="197"/>
    </row>
    <row r="673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200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  <c r="AH673" s="197"/>
      <c r="AI673" s="197"/>
      <c r="AJ673" s="197"/>
      <c r="AK673" s="197"/>
    </row>
    <row r="674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200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  <c r="AH674" s="197"/>
      <c r="AI674" s="197"/>
      <c r="AJ674" s="197"/>
      <c r="AK674" s="197"/>
    </row>
    <row r="675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200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7"/>
    </row>
    <row r="676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200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  <c r="AH676" s="197"/>
      <c r="AI676" s="197"/>
      <c r="AJ676" s="197"/>
      <c r="AK676" s="197"/>
    </row>
    <row r="677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200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  <c r="AH677" s="197"/>
      <c r="AI677" s="197"/>
      <c r="AJ677" s="197"/>
      <c r="AK677" s="197"/>
    </row>
    <row r="678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200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  <c r="AH678" s="197"/>
      <c r="AI678" s="197"/>
      <c r="AJ678" s="197"/>
      <c r="AK678" s="197"/>
    </row>
    <row r="679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200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  <c r="AH679" s="197"/>
      <c r="AI679" s="197"/>
      <c r="AJ679" s="197"/>
      <c r="AK679" s="197"/>
    </row>
    <row r="680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200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  <c r="AH680" s="197"/>
      <c r="AI680" s="197"/>
      <c r="AJ680" s="197"/>
      <c r="AK680" s="197"/>
    </row>
    <row r="681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200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  <c r="AH681" s="197"/>
      <c r="AI681" s="197"/>
      <c r="AJ681" s="197"/>
      <c r="AK681" s="197"/>
    </row>
    <row r="682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200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  <c r="AH682" s="197"/>
      <c r="AI682" s="197"/>
      <c r="AJ682" s="197"/>
      <c r="AK682" s="197"/>
    </row>
    <row r="683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200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7"/>
    </row>
    <row r="684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200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  <c r="AH684" s="197"/>
      <c r="AI684" s="197"/>
      <c r="AJ684" s="197"/>
      <c r="AK684" s="197"/>
    </row>
    <row r="685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200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  <c r="AH685" s="197"/>
      <c r="AI685" s="197"/>
      <c r="AJ685" s="197"/>
      <c r="AK685" s="197"/>
    </row>
    <row r="686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200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  <c r="AH686" s="197"/>
      <c r="AI686" s="197"/>
      <c r="AJ686" s="197"/>
      <c r="AK686" s="197"/>
    </row>
    <row r="687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200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  <c r="AH687" s="197"/>
      <c r="AI687" s="197"/>
      <c r="AJ687" s="197"/>
      <c r="AK687" s="197"/>
    </row>
    <row r="688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200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  <c r="AH688" s="197"/>
      <c r="AI688" s="197"/>
      <c r="AJ688" s="197"/>
      <c r="AK688" s="197"/>
    </row>
    <row r="689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200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  <c r="AH689" s="197"/>
      <c r="AI689" s="197"/>
      <c r="AJ689" s="197"/>
      <c r="AK689" s="197"/>
    </row>
    <row r="690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200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  <c r="AH690" s="197"/>
      <c r="AI690" s="197"/>
      <c r="AJ690" s="197"/>
      <c r="AK690" s="197"/>
    </row>
    <row r="691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200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7"/>
    </row>
    <row r="692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200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  <c r="AH692" s="197"/>
      <c r="AI692" s="197"/>
      <c r="AJ692" s="197"/>
      <c r="AK692" s="197"/>
    </row>
    <row r="693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200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  <c r="AH693" s="197"/>
      <c r="AI693" s="197"/>
      <c r="AJ693" s="197"/>
      <c r="AK693" s="197"/>
    </row>
    <row r="694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200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  <c r="AH694" s="197"/>
      <c r="AI694" s="197"/>
      <c r="AJ694" s="197"/>
      <c r="AK694" s="197"/>
    </row>
    <row r="695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200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  <c r="AH695" s="197"/>
      <c r="AI695" s="197"/>
      <c r="AJ695" s="197"/>
      <c r="AK695" s="197"/>
    </row>
    <row r="696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200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  <c r="AH696" s="197"/>
      <c r="AI696" s="197"/>
      <c r="AJ696" s="197"/>
      <c r="AK696" s="197"/>
    </row>
    <row r="697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200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  <c r="AH697" s="197"/>
      <c r="AI697" s="197"/>
      <c r="AJ697" s="197"/>
      <c r="AK697" s="197"/>
    </row>
    <row r="698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200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  <c r="AH698" s="197"/>
      <c r="AI698" s="197"/>
      <c r="AJ698" s="197"/>
      <c r="AK698" s="197"/>
    </row>
    <row r="699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200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7"/>
    </row>
    <row r="700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200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  <c r="AH700" s="197"/>
      <c r="AI700" s="197"/>
      <c r="AJ700" s="197"/>
      <c r="AK700" s="197"/>
    </row>
    <row r="701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200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  <c r="AH701" s="197"/>
      <c r="AI701" s="197"/>
      <c r="AJ701" s="197"/>
      <c r="AK701" s="197"/>
    </row>
    <row r="702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200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  <c r="AH702" s="197"/>
      <c r="AI702" s="197"/>
      <c r="AJ702" s="197"/>
      <c r="AK702" s="197"/>
    </row>
    <row r="703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200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  <c r="AH703" s="197"/>
      <c r="AI703" s="197"/>
      <c r="AJ703" s="197"/>
      <c r="AK703" s="197"/>
    </row>
    <row r="704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200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  <c r="AH704" s="197"/>
      <c r="AI704" s="197"/>
      <c r="AJ704" s="197"/>
      <c r="AK704" s="197"/>
    </row>
    <row r="705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200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  <c r="AH705" s="197"/>
      <c r="AI705" s="197"/>
      <c r="AJ705" s="197"/>
      <c r="AK705" s="197"/>
    </row>
    <row r="706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200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  <c r="AH706" s="197"/>
      <c r="AI706" s="197"/>
      <c r="AJ706" s="197"/>
      <c r="AK706" s="197"/>
    </row>
    <row r="707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200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7"/>
    </row>
    <row r="708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200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  <c r="AH708" s="197"/>
      <c r="AI708" s="197"/>
      <c r="AJ708" s="197"/>
      <c r="AK708" s="197"/>
    </row>
    <row r="709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200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</row>
    <row r="710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200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  <c r="AH710" s="197"/>
      <c r="AI710" s="197"/>
      <c r="AJ710" s="197"/>
      <c r="AK710" s="197"/>
    </row>
    <row r="711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200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  <c r="AH711" s="197"/>
      <c r="AI711" s="197"/>
      <c r="AJ711" s="197"/>
      <c r="AK711" s="197"/>
    </row>
    <row r="712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200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</row>
    <row r="713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200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  <c r="AH713" s="197"/>
      <c r="AI713" s="197"/>
      <c r="AJ713" s="197"/>
      <c r="AK713" s="197"/>
    </row>
    <row r="714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200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  <c r="AH714" s="197"/>
      <c r="AI714" s="197"/>
      <c r="AJ714" s="197"/>
      <c r="AK714" s="197"/>
    </row>
    <row r="715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200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7"/>
    </row>
    <row r="716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200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  <c r="AH716" s="197"/>
      <c r="AI716" s="197"/>
      <c r="AJ716" s="197"/>
      <c r="AK716" s="197"/>
    </row>
    <row r="717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200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  <c r="AH717" s="197"/>
      <c r="AI717" s="197"/>
      <c r="AJ717" s="197"/>
      <c r="AK717" s="197"/>
    </row>
    <row r="718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200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  <c r="AH718" s="197"/>
      <c r="AI718" s="197"/>
      <c r="AJ718" s="197"/>
      <c r="AK718" s="197"/>
    </row>
    <row r="719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200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  <c r="AH719" s="197"/>
      <c r="AI719" s="197"/>
      <c r="AJ719" s="197"/>
      <c r="AK719" s="197"/>
    </row>
    <row r="720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200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  <c r="AH720" s="197"/>
      <c r="AI720" s="197"/>
      <c r="AJ720" s="197"/>
      <c r="AK720" s="197"/>
    </row>
    <row r="721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200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  <c r="AH721" s="197"/>
      <c r="AI721" s="197"/>
      <c r="AJ721" s="197"/>
      <c r="AK721" s="197"/>
    </row>
    <row r="722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200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  <c r="AH722" s="197"/>
      <c r="AI722" s="197"/>
      <c r="AJ722" s="197"/>
      <c r="AK722" s="197"/>
    </row>
    <row r="723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200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7"/>
    </row>
    <row r="724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200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  <c r="AH724" s="197"/>
      <c r="AI724" s="197"/>
      <c r="AJ724" s="197"/>
      <c r="AK724" s="197"/>
    </row>
    <row r="725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200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  <c r="AH725" s="197"/>
      <c r="AI725" s="197"/>
      <c r="AJ725" s="197"/>
      <c r="AK725" s="197"/>
    </row>
    <row r="726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200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  <c r="AH726" s="197"/>
      <c r="AI726" s="197"/>
      <c r="AJ726" s="197"/>
      <c r="AK726" s="197"/>
    </row>
    <row r="727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200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  <c r="AH727" s="197"/>
      <c r="AI727" s="197"/>
      <c r="AJ727" s="197"/>
      <c r="AK727" s="197"/>
    </row>
    <row r="728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200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  <c r="AH728" s="197"/>
      <c r="AI728" s="197"/>
      <c r="AJ728" s="197"/>
      <c r="AK728" s="197"/>
    </row>
    <row r="729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200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  <c r="AH729" s="197"/>
      <c r="AI729" s="197"/>
      <c r="AJ729" s="197"/>
      <c r="AK729" s="197"/>
    </row>
    <row r="730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200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  <c r="AH730" s="197"/>
      <c r="AI730" s="197"/>
      <c r="AJ730" s="197"/>
      <c r="AK730" s="197"/>
    </row>
    <row r="731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200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7"/>
    </row>
    <row r="732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200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  <c r="AH732" s="197"/>
      <c r="AI732" s="197"/>
      <c r="AJ732" s="197"/>
      <c r="AK732" s="197"/>
    </row>
    <row r="733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200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  <c r="AH733" s="197"/>
      <c r="AI733" s="197"/>
      <c r="AJ733" s="197"/>
      <c r="AK733" s="197"/>
    </row>
    <row r="734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200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  <c r="AH734" s="197"/>
      <c r="AI734" s="197"/>
      <c r="AJ734" s="197"/>
      <c r="AK734" s="197"/>
    </row>
    <row r="735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200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  <c r="AH735" s="197"/>
      <c r="AI735" s="197"/>
      <c r="AJ735" s="197"/>
      <c r="AK735" s="197"/>
    </row>
    <row r="736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200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  <c r="AH736" s="197"/>
      <c r="AI736" s="197"/>
      <c r="AJ736" s="197"/>
      <c r="AK736" s="197"/>
    </row>
    <row r="737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200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  <c r="AH737" s="197"/>
      <c r="AI737" s="197"/>
      <c r="AJ737" s="197"/>
      <c r="AK737" s="197"/>
    </row>
    <row r="738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200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  <c r="AH738" s="197"/>
      <c r="AI738" s="197"/>
      <c r="AJ738" s="197"/>
      <c r="AK738" s="197"/>
    </row>
    <row r="739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200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7"/>
    </row>
    <row r="740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200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  <c r="AH740" s="197"/>
      <c r="AI740" s="197"/>
      <c r="AJ740" s="197"/>
      <c r="AK740" s="197"/>
    </row>
    <row r="741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200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  <c r="AH741" s="197"/>
      <c r="AI741" s="197"/>
      <c r="AJ741" s="197"/>
      <c r="AK741" s="197"/>
    </row>
    <row r="742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200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  <c r="AH742" s="197"/>
      <c r="AI742" s="197"/>
      <c r="AJ742" s="197"/>
      <c r="AK742" s="197"/>
    </row>
    <row r="743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200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  <c r="AH743" s="197"/>
      <c r="AI743" s="197"/>
      <c r="AJ743" s="197"/>
      <c r="AK743" s="197"/>
    </row>
    <row r="744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200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  <c r="AH744" s="197"/>
      <c r="AI744" s="197"/>
      <c r="AJ744" s="197"/>
      <c r="AK744" s="197"/>
    </row>
    <row r="745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200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  <c r="AH745" s="197"/>
      <c r="AI745" s="197"/>
      <c r="AJ745" s="197"/>
      <c r="AK745" s="197"/>
    </row>
    <row r="746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200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  <c r="AH746" s="197"/>
      <c r="AI746" s="197"/>
      <c r="AJ746" s="197"/>
      <c r="AK746" s="197"/>
    </row>
    <row r="747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200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7"/>
    </row>
    <row r="748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200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  <c r="AH748" s="197"/>
      <c r="AI748" s="197"/>
      <c r="AJ748" s="197"/>
      <c r="AK748" s="197"/>
    </row>
    <row r="749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200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  <c r="AH749" s="197"/>
      <c r="AI749" s="197"/>
      <c r="AJ749" s="197"/>
      <c r="AK749" s="197"/>
    </row>
    <row r="750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200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  <c r="AH750" s="197"/>
      <c r="AI750" s="197"/>
      <c r="AJ750" s="197"/>
      <c r="AK750" s="197"/>
    </row>
    <row r="751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200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  <c r="AH751" s="197"/>
      <c r="AI751" s="197"/>
      <c r="AJ751" s="197"/>
      <c r="AK751" s="197"/>
    </row>
    <row r="752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200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  <c r="AH752" s="197"/>
      <c r="AI752" s="197"/>
      <c r="AJ752" s="197"/>
      <c r="AK752" s="197"/>
    </row>
    <row r="753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200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  <c r="AH753" s="197"/>
      <c r="AI753" s="197"/>
      <c r="AJ753" s="197"/>
      <c r="AK753" s="197"/>
    </row>
    <row r="754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200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  <c r="AH754" s="197"/>
      <c r="AI754" s="197"/>
      <c r="AJ754" s="197"/>
      <c r="AK754" s="197"/>
    </row>
    <row r="755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200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7"/>
    </row>
    <row r="756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200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  <c r="AH756" s="197"/>
      <c r="AI756" s="197"/>
      <c r="AJ756" s="197"/>
      <c r="AK756" s="197"/>
    </row>
    <row r="757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200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  <c r="AH757" s="197"/>
      <c r="AI757" s="197"/>
      <c r="AJ757" s="197"/>
      <c r="AK757" s="197"/>
    </row>
    <row r="758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200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  <c r="AH758" s="197"/>
      <c r="AI758" s="197"/>
      <c r="AJ758" s="197"/>
      <c r="AK758" s="197"/>
    </row>
    <row r="759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200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  <c r="AH759" s="197"/>
      <c r="AI759" s="197"/>
      <c r="AJ759" s="197"/>
      <c r="AK759" s="197"/>
    </row>
    <row r="760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200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  <c r="AH760" s="197"/>
      <c r="AI760" s="197"/>
      <c r="AJ760" s="197"/>
      <c r="AK760" s="197"/>
    </row>
    <row r="761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200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  <c r="AH761" s="197"/>
      <c r="AI761" s="197"/>
      <c r="AJ761" s="197"/>
      <c r="AK761" s="197"/>
    </row>
    <row r="762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200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  <c r="AH762" s="197"/>
      <c r="AI762" s="197"/>
      <c r="AJ762" s="197"/>
      <c r="AK762" s="197"/>
    </row>
    <row r="763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200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7"/>
    </row>
    <row r="764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200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</row>
    <row r="765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200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  <c r="AH765" s="197"/>
      <c r="AI765" s="197"/>
      <c r="AJ765" s="197"/>
      <c r="AK765" s="197"/>
    </row>
    <row r="766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200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  <c r="AH766" s="197"/>
      <c r="AI766" s="197"/>
      <c r="AJ766" s="197"/>
      <c r="AK766" s="197"/>
    </row>
    <row r="767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200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</row>
    <row r="768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200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  <c r="AH768" s="197"/>
      <c r="AI768" s="197"/>
      <c r="AJ768" s="197"/>
      <c r="AK768" s="197"/>
    </row>
    <row r="769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200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  <c r="AH769" s="197"/>
      <c r="AI769" s="197"/>
      <c r="AJ769" s="197"/>
      <c r="AK769" s="197"/>
    </row>
    <row r="770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200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  <c r="AH770" s="197"/>
      <c r="AI770" s="197"/>
      <c r="AJ770" s="197"/>
      <c r="AK770" s="197"/>
    </row>
    <row r="771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200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7"/>
    </row>
    <row r="772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200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  <c r="AH772" s="197"/>
      <c r="AI772" s="197"/>
      <c r="AJ772" s="197"/>
      <c r="AK772" s="197"/>
    </row>
    <row r="773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200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  <c r="AH773" s="197"/>
      <c r="AI773" s="197"/>
      <c r="AJ773" s="197"/>
      <c r="AK773" s="197"/>
    </row>
    <row r="774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200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  <c r="AH774" s="197"/>
      <c r="AI774" s="197"/>
      <c r="AJ774" s="197"/>
      <c r="AK774" s="197"/>
    </row>
    <row r="775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200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  <c r="AH775" s="197"/>
      <c r="AI775" s="197"/>
      <c r="AJ775" s="197"/>
      <c r="AK775" s="197"/>
    </row>
    <row r="776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200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  <c r="AH776" s="197"/>
      <c r="AI776" s="197"/>
      <c r="AJ776" s="197"/>
      <c r="AK776" s="197"/>
    </row>
    <row r="777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200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  <c r="AH777" s="197"/>
      <c r="AI777" s="197"/>
      <c r="AJ777" s="197"/>
      <c r="AK777" s="197"/>
    </row>
    <row r="778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200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  <c r="AH778" s="197"/>
      <c r="AI778" s="197"/>
      <c r="AJ778" s="197"/>
      <c r="AK778" s="197"/>
    </row>
    <row r="779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200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</row>
    <row r="780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200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</row>
    <row r="781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200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  <c r="AH781" s="197"/>
      <c r="AI781" s="197"/>
      <c r="AJ781" s="197"/>
      <c r="AK781" s="197"/>
    </row>
    <row r="782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200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  <c r="AH782" s="197"/>
      <c r="AI782" s="197"/>
      <c r="AJ782" s="197"/>
      <c r="AK782" s="197"/>
    </row>
    <row r="783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200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  <c r="AH783" s="197"/>
      <c r="AI783" s="197"/>
      <c r="AJ783" s="197"/>
      <c r="AK783" s="197"/>
    </row>
    <row r="784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200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  <c r="AH784" s="197"/>
      <c r="AI784" s="197"/>
      <c r="AJ784" s="197"/>
      <c r="AK784" s="197"/>
    </row>
    <row r="785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200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  <c r="AH785" s="197"/>
      <c r="AI785" s="197"/>
      <c r="AJ785" s="197"/>
      <c r="AK785" s="197"/>
    </row>
    <row r="786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200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  <c r="AH786" s="197"/>
      <c r="AI786" s="197"/>
      <c r="AJ786" s="197"/>
      <c r="AK786" s="197"/>
    </row>
    <row r="787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200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7"/>
    </row>
    <row r="788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200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  <c r="AH788" s="197"/>
      <c r="AI788" s="197"/>
      <c r="AJ788" s="197"/>
      <c r="AK788" s="197"/>
    </row>
    <row r="789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200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  <c r="AH789" s="197"/>
      <c r="AI789" s="197"/>
      <c r="AJ789" s="197"/>
      <c r="AK789" s="197"/>
    </row>
    <row r="790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200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  <c r="AH790" s="197"/>
      <c r="AI790" s="197"/>
      <c r="AJ790" s="197"/>
      <c r="AK790" s="197"/>
    </row>
    <row r="791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200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  <c r="AH791" s="197"/>
      <c r="AI791" s="197"/>
      <c r="AJ791" s="197"/>
      <c r="AK791" s="197"/>
    </row>
    <row r="792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200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  <c r="AH792" s="197"/>
      <c r="AI792" s="197"/>
      <c r="AJ792" s="197"/>
      <c r="AK792" s="197"/>
    </row>
    <row r="793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200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  <c r="AH793" s="197"/>
      <c r="AI793" s="197"/>
      <c r="AJ793" s="197"/>
      <c r="AK793" s="197"/>
    </row>
    <row r="794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200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  <c r="AH794" s="197"/>
      <c r="AI794" s="197"/>
      <c r="AJ794" s="197"/>
      <c r="AK794" s="197"/>
    </row>
    <row r="795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200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7"/>
    </row>
    <row r="796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200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  <c r="AH796" s="197"/>
      <c r="AI796" s="197"/>
      <c r="AJ796" s="197"/>
      <c r="AK796" s="197"/>
    </row>
    <row r="797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200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  <c r="AH797" s="197"/>
      <c r="AI797" s="197"/>
      <c r="AJ797" s="197"/>
      <c r="AK797" s="197"/>
    </row>
    <row r="798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200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  <c r="AH798" s="197"/>
      <c r="AI798" s="197"/>
      <c r="AJ798" s="197"/>
      <c r="AK798" s="197"/>
    </row>
    <row r="799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200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  <c r="AH799" s="197"/>
      <c r="AI799" s="197"/>
      <c r="AJ799" s="197"/>
      <c r="AK799" s="197"/>
    </row>
    <row r="800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200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  <c r="AH800" s="197"/>
      <c r="AI800" s="197"/>
      <c r="AJ800" s="197"/>
      <c r="AK800" s="197"/>
    </row>
    <row r="801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200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  <c r="AH801" s="197"/>
      <c r="AI801" s="197"/>
      <c r="AJ801" s="197"/>
      <c r="AK801" s="197"/>
    </row>
    <row r="802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200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  <c r="AH802" s="197"/>
      <c r="AI802" s="197"/>
      <c r="AJ802" s="197"/>
      <c r="AK802" s="197"/>
    </row>
    <row r="803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200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7"/>
    </row>
    <row r="804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200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  <c r="AH804" s="197"/>
      <c r="AI804" s="197"/>
      <c r="AJ804" s="197"/>
      <c r="AK804" s="197"/>
    </row>
    <row r="805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200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  <c r="AH805" s="197"/>
      <c r="AI805" s="197"/>
      <c r="AJ805" s="197"/>
      <c r="AK805" s="197"/>
    </row>
    <row r="806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200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  <c r="AH806" s="197"/>
      <c r="AI806" s="197"/>
      <c r="AJ806" s="197"/>
      <c r="AK806" s="197"/>
    </row>
    <row r="807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200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  <c r="AH807" s="197"/>
      <c r="AI807" s="197"/>
      <c r="AJ807" s="197"/>
      <c r="AK807" s="197"/>
    </row>
    <row r="808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200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  <c r="AH808" s="197"/>
      <c r="AI808" s="197"/>
      <c r="AJ808" s="197"/>
      <c r="AK808" s="197"/>
    </row>
    <row r="809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200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  <c r="AH809" s="197"/>
      <c r="AI809" s="197"/>
      <c r="AJ809" s="197"/>
      <c r="AK809" s="197"/>
    </row>
    <row r="810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200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  <c r="AH810" s="197"/>
      <c r="AI810" s="197"/>
      <c r="AJ810" s="197"/>
      <c r="AK810" s="197"/>
    </row>
    <row r="811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200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7"/>
    </row>
    <row r="812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200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  <c r="AH812" s="197"/>
      <c r="AI812" s="197"/>
      <c r="AJ812" s="197"/>
      <c r="AK812" s="197"/>
    </row>
    <row r="813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200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  <c r="AH813" s="197"/>
      <c r="AI813" s="197"/>
      <c r="AJ813" s="197"/>
      <c r="AK813" s="197"/>
    </row>
    <row r="814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200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  <c r="AH814" s="197"/>
      <c r="AI814" s="197"/>
      <c r="AJ814" s="197"/>
      <c r="AK814" s="197"/>
    </row>
    <row r="815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200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  <c r="AH815" s="197"/>
      <c r="AI815" s="197"/>
      <c r="AJ815" s="197"/>
      <c r="AK815" s="197"/>
    </row>
    <row r="816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200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  <c r="AH816" s="197"/>
      <c r="AI816" s="197"/>
      <c r="AJ816" s="197"/>
      <c r="AK816" s="197"/>
    </row>
    <row r="817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200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  <c r="AH817" s="197"/>
      <c r="AI817" s="197"/>
      <c r="AJ817" s="197"/>
      <c r="AK817" s="197"/>
    </row>
    <row r="818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200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  <c r="AH818" s="197"/>
      <c r="AI818" s="197"/>
      <c r="AJ818" s="197"/>
      <c r="AK818" s="197"/>
    </row>
    <row r="819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200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7"/>
    </row>
    <row r="820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200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  <c r="AH820" s="197"/>
      <c r="AI820" s="197"/>
      <c r="AJ820" s="197"/>
      <c r="AK820" s="197"/>
    </row>
    <row r="821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200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  <c r="AH821" s="197"/>
      <c r="AI821" s="197"/>
      <c r="AJ821" s="197"/>
      <c r="AK821" s="197"/>
    </row>
    <row r="822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200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  <c r="AH822" s="197"/>
      <c r="AI822" s="197"/>
      <c r="AJ822" s="197"/>
      <c r="AK822" s="197"/>
    </row>
    <row r="823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200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  <c r="AH823" s="197"/>
      <c r="AI823" s="197"/>
      <c r="AJ823" s="197"/>
      <c r="AK823" s="197"/>
    </row>
    <row r="824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200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  <c r="AH824" s="197"/>
      <c r="AI824" s="197"/>
      <c r="AJ824" s="197"/>
      <c r="AK824" s="197"/>
    </row>
    <row r="825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200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  <c r="AH825" s="197"/>
      <c r="AI825" s="197"/>
      <c r="AJ825" s="197"/>
      <c r="AK825" s="197"/>
    </row>
    <row r="826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200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  <c r="AH826" s="197"/>
      <c r="AI826" s="197"/>
      <c r="AJ826" s="197"/>
      <c r="AK826" s="197"/>
    </row>
    <row r="827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200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7"/>
    </row>
    <row r="828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200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  <c r="AH828" s="197"/>
      <c r="AI828" s="197"/>
      <c r="AJ828" s="197"/>
      <c r="AK828" s="197"/>
    </row>
    <row r="829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200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  <c r="AH829" s="197"/>
      <c r="AI829" s="197"/>
      <c r="AJ829" s="197"/>
      <c r="AK829" s="197"/>
    </row>
    <row r="830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200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  <c r="AH830" s="197"/>
      <c r="AI830" s="197"/>
      <c r="AJ830" s="197"/>
      <c r="AK830" s="197"/>
    </row>
    <row r="831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200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  <c r="AH831" s="197"/>
      <c r="AI831" s="197"/>
      <c r="AJ831" s="197"/>
      <c r="AK831" s="197"/>
    </row>
    <row r="832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200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  <c r="AH832" s="197"/>
      <c r="AI832" s="197"/>
      <c r="AJ832" s="197"/>
      <c r="AK832" s="197"/>
    </row>
    <row r="833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200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  <c r="AH833" s="197"/>
      <c r="AI833" s="197"/>
      <c r="AJ833" s="197"/>
      <c r="AK833" s="197"/>
    </row>
    <row r="834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200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  <c r="AH834" s="197"/>
      <c r="AI834" s="197"/>
      <c r="AJ834" s="197"/>
      <c r="AK834" s="197"/>
    </row>
    <row r="835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200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7"/>
    </row>
    <row r="836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200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  <c r="AH836" s="197"/>
      <c r="AI836" s="197"/>
      <c r="AJ836" s="197"/>
      <c r="AK836" s="197"/>
    </row>
    <row r="837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200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  <c r="AH837" s="197"/>
      <c r="AI837" s="197"/>
      <c r="AJ837" s="197"/>
      <c r="AK837" s="197"/>
    </row>
    <row r="838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200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  <c r="AH838" s="197"/>
      <c r="AI838" s="197"/>
      <c r="AJ838" s="197"/>
      <c r="AK838" s="197"/>
    </row>
    <row r="839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200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  <c r="AH839" s="197"/>
      <c r="AI839" s="197"/>
      <c r="AJ839" s="197"/>
      <c r="AK839" s="197"/>
    </row>
    <row r="840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200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  <c r="AH840" s="197"/>
      <c r="AI840" s="197"/>
      <c r="AJ840" s="197"/>
      <c r="AK840" s="197"/>
    </row>
    <row r="841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200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  <c r="AH841" s="197"/>
      <c r="AI841" s="197"/>
      <c r="AJ841" s="197"/>
      <c r="AK841" s="197"/>
    </row>
    <row r="842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200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  <c r="AH842" s="197"/>
      <c r="AI842" s="197"/>
      <c r="AJ842" s="197"/>
      <c r="AK842" s="197"/>
    </row>
    <row r="843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200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7"/>
    </row>
    <row r="844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200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  <c r="AH844" s="197"/>
      <c r="AI844" s="197"/>
      <c r="AJ844" s="197"/>
      <c r="AK844" s="197"/>
    </row>
    <row r="845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200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  <c r="AH845" s="197"/>
      <c r="AI845" s="197"/>
      <c r="AJ845" s="197"/>
      <c r="AK845" s="197"/>
    </row>
    <row r="846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200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  <c r="AH846" s="197"/>
      <c r="AI846" s="197"/>
      <c r="AJ846" s="197"/>
      <c r="AK846" s="197"/>
    </row>
    <row r="847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200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  <c r="AH847" s="197"/>
      <c r="AI847" s="197"/>
      <c r="AJ847" s="197"/>
      <c r="AK847" s="197"/>
    </row>
    <row r="848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200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  <c r="AH848" s="197"/>
      <c r="AI848" s="197"/>
      <c r="AJ848" s="197"/>
      <c r="AK848" s="197"/>
    </row>
    <row r="849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200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  <c r="AH849" s="197"/>
      <c r="AI849" s="197"/>
      <c r="AJ849" s="197"/>
      <c r="AK849" s="197"/>
    </row>
    <row r="850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200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  <c r="AH850" s="197"/>
      <c r="AI850" s="197"/>
      <c r="AJ850" s="197"/>
      <c r="AK850" s="197"/>
    </row>
    <row r="851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200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7"/>
    </row>
    <row r="852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200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  <c r="AH852" s="197"/>
      <c r="AI852" s="197"/>
      <c r="AJ852" s="197"/>
      <c r="AK852" s="197"/>
    </row>
    <row r="853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200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  <c r="AH853" s="197"/>
      <c r="AI853" s="197"/>
      <c r="AJ853" s="197"/>
      <c r="AK853" s="197"/>
    </row>
    <row r="854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200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  <c r="AH854" s="197"/>
      <c r="AI854" s="197"/>
      <c r="AJ854" s="197"/>
      <c r="AK854" s="197"/>
    </row>
    <row r="855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200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  <c r="AH855" s="197"/>
      <c r="AI855" s="197"/>
      <c r="AJ855" s="197"/>
      <c r="AK855" s="197"/>
    </row>
    <row r="856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200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  <c r="AH856" s="197"/>
      <c r="AI856" s="197"/>
      <c r="AJ856" s="197"/>
      <c r="AK856" s="197"/>
    </row>
    <row r="857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200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  <c r="AH857" s="197"/>
      <c r="AI857" s="197"/>
      <c r="AJ857" s="197"/>
      <c r="AK857" s="197"/>
    </row>
    <row r="858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200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  <c r="AH858" s="197"/>
      <c r="AI858" s="197"/>
      <c r="AJ858" s="197"/>
      <c r="AK858" s="197"/>
    </row>
    <row r="859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200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7"/>
    </row>
    <row r="860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200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  <c r="AH860" s="197"/>
      <c r="AI860" s="197"/>
      <c r="AJ860" s="197"/>
      <c r="AK860" s="197"/>
    </row>
    <row r="861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200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  <c r="AH861" s="197"/>
      <c r="AI861" s="197"/>
      <c r="AJ861" s="197"/>
      <c r="AK861" s="197"/>
    </row>
    <row r="862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200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  <c r="AH862" s="197"/>
      <c r="AI862" s="197"/>
      <c r="AJ862" s="197"/>
      <c r="AK862" s="197"/>
    </row>
    <row r="863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200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  <c r="AH863" s="197"/>
      <c r="AI863" s="197"/>
      <c r="AJ863" s="197"/>
      <c r="AK863" s="197"/>
    </row>
    <row r="864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200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  <c r="AH864" s="197"/>
      <c r="AI864" s="197"/>
      <c r="AJ864" s="197"/>
      <c r="AK864" s="197"/>
    </row>
    <row r="865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200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  <c r="AH865" s="197"/>
      <c r="AI865" s="197"/>
      <c r="AJ865" s="197"/>
      <c r="AK865" s="197"/>
    </row>
    <row r="866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200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  <c r="AH866" s="197"/>
      <c r="AI866" s="197"/>
      <c r="AJ866" s="197"/>
      <c r="AK866" s="197"/>
    </row>
    <row r="867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200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  <c r="AH867" s="197"/>
      <c r="AI867" s="197"/>
      <c r="AJ867" s="197"/>
      <c r="AK867" s="197"/>
    </row>
    <row r="868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200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  <c r="AH868" s="197"/>
      <c r="AI868" s="197"/>
      <c r="AJ868" s="197"/>
      <c r="AK868" s="197"/>
    </row>
    <row r="869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200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  <c r="AH869" s="197"/>
      <c r="AI869" s="197"/>
      <c r="AJ869" s="197"/>
      <c r="AK869" s="197"/>
    </row>
    <row r="870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200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  <c r="AH870" s="197"/>
      <c r="AI870" s="197"/>
      <c r="AJ870" s="197"/>
      <c r="AK870" s="197"/>
    </row>
    <row r="871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200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  <c r="AH871" s="197"/>
      <c r="AI871" s="197"/>
      <c r="AJ871" s="197"/>
      <c r="AK871" s="197"/>
    </row>
    <row r="872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200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  <c r="AH872" s="197"/>
      <c r="AI872" s="197"/>
      <c r="AJ872" s="197"/>
      <c r="AK872" s="197"/>
    </row>
    <row r="873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200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  <c r="AH873" s="197"/>
      <c r="AI873" s="197"/>
      <c r="AJ873" s="197"/>
      <c r="AK873" s="197"/>
    </row>
    <row r="874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200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  <c r="AH874" s="197"/>
      <c r="AI874" s="197"/>
      <c r="AJ874" s="197"/>
      <c r="AK874" s="197"/>
    </row>
    <row r="875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200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  <c r="AH875" s="197"/>
      <c r="AI875" s="197"/>
      <c r="AJ875" s="197"/>
      <c r="AK875" s="197"/>
    </row>
    <row r="876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200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  <c r="AH876" s="197"/>
      <c r="AI876" s="197"/>
      <c r="AJ876" s="197"/>
      <c r="AK876" s="197"/>
    </row>
    <row r="877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200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  <c r="AH877" s="197"/>
      <c r="AI877" s="197"/>
      <c r="AJ877" s="197"/>
      <c r="AK877" s="197"/>
    </row>
    <row r="878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200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  <c r="AH878" s="197"/>
      <c r="AI878" s="197"/>
      <c r="AJ878" s="197"/>
      <c r="AK878" s="197"/>
    </row>
    <row r="879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200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  <c r="AH879" s="197"/>
      <c r="AI879" s="197"/>
      <c r="AJ879" s="197"/>
      <c r="AK879" s="197"/>
    </row>
    <row r="880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200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  <c r="AH880" s="197"/>
      <c r="AI880" s="197"/>
      <c r="AJ880" s="197"/>
      <c r="AK880" s="197"/>
    </row>
    <row r="881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200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  <c r="AH881" s="197"/>
      <c r="AI881" s="197"/>
      <c r="AJ881" s="197"/>
      <c r="AK881" s="197"/>
    </row>
    <row r="882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200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  <c r="AH882" s="197"/>
      <c r="AI882" s="197"/>
      <c r="AJ882" s="197"/>
      <c r="AK882" s="197"/>
    </row>
    <row r="883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200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  <c r="AH883" s="197"/>
      <c r="AI883" s="197"/>
      <c r="AJ883" s="197"/>
      <c r="AK883" s="197"/>
    </row>
    <row r="884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200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  <c r="AH884" s="197"/>
      <c r="AI884" s="197"/>
      <c r="AJ884" s="197"/>
      <c r="AK884" s="197"/>
    </row>
    <row r="885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200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  <c r="AH885" s="197"/>
      <c r="AI885" s="197"/>
      <c r="AJ885" s="197"/>
      <c r="AK885" s="197"/>
    </row>
    <row r="886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200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  <c r="AH886" s="197"/>
      <c r="AI886" s="197"/>
      <c r="AJ886" s="197"/>
      <c r="AK886" s="197"/>
    </row>
    <row r="887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200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  <c r="AI887" s="197"/>
      <c r="AJ887" s="197"/>
      <c r="AK887" s="197"/>
    </row>
    <row r="888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200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  <c r="AH888" s="197"/>
      <c r="AI888" s="197"/>
      <c r="AJ888" s="197"/>
      <c r="AK888" s="197"/>
    </row>
    <row r="889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200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  <c r="AH889" s="197"/>
      <c r="AI889" s="197"/>
      <c r="AJ889" s="197"/>
      <c r="AK889" s="197"/>
    </row>
    <row r="890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200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  <c r="AH890" s="197"/>
      <c r="AI890" s="197"/>
      <c r="AJ890" s="197"/>
      <c r="AK890" s="197"/>
    </row>
    <row r="891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200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  <c r="AH891" s="197"/>
      <c r="AI891" s="197"/>
      <c r="AJ891" s="197"/>
      <c r="AK891" s="197"/>
    </row>
    <row r="892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200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  <c r="AH892" s="197"/>
      <c r="AI892" s="197"/>
      <c r="AJ892" s="197"/>
      <c r="AK892" s="197"/>
    </row>
    <row r="893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200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  <c r="AH893" s="197"/>
      <c r="AI893" s="197"/>
      <c r="AJ893" s="197"/>
      <c r="AK893" s="197"/>
    </row>
    <row r="894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200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  <c r="AH894" s="197"/>
      <c r="AI894" s="197"/>
      <c r="AJ894" s="197"/>
      <c r="AK894" s="197"/>
    </row>
    <row r="895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200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  <c r="AH895" s="197"/>
      <c r="AI895" s="197"/>
      <c r="AJ895" s="197"/>
      <c r="AK895" s="197"/>
    </row>
    <row r="896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200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  <c r="AH896" s="197"/>
      <c r="AI896" s="197"/>
      <c r="AJ896" s="197"/>
      <c r="AK896" s="197"/>
    </row>
    <row r="897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200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  <c r="AH897" s="197"/>
      <c r="AI897" s="197"/>
      <c r="AJ897" s="197"/>
      <c r="AK897" s="197"/>
    </row>
    <row r="898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200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  <c r="AH898" s="197"/>
      <c r="AI898" s="197"/>
      <c r="AJ898" s="197"/>
      <c r="AK898" s="197"/>
    </row>
    <row r="899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200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  <c r="AH899" s="197"/>
      <c r="AI899" s="197"/>
      <c r="AJ899" s="197"/>
      <c r="AK899" s="197"/>
    </row>
    <row r="900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200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  <c r="AH900" s="197"/>
      <c r="AI900" s="197"/>
      <c r="AJ900" s="197"/>
      <c r="AK900" s="197"/>
    </row>
    <row r="901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200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  <c r="AH901" s="197"/>
      <c r="AI901" s="197"/>
      <c r="AJ901" s="197"/>
      <c r="AK901" s="197"/>
    </row>
    <row r="902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200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  <c r="AH902" s="197"/>
      <c r="AI902" s="197"/>
      <c r="AJ902" s="197"/>
      <c r="AK902" s="197"/>
    </row>
    <row r="903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200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  <c r="AH903" s="197"/>
      <c r="AI903" s="197"/>
      <c r="AJ903" s="197"/>
      <c r="AK903" s="197"/>
    </row>
    <row r="904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200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  <c r="AH904" s="197"/>
      <c r="AI904" s="197"/>
      <c r="AJ904" s="197"/>
      <c r="AK904" s="197"/>
    </row>
    <row r="905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200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  <c r="AH905" s="197"/>
      <c r="AI905" s="197"/>
      <c r="AJ905" s="197"/>
      <c r="AK905" s="197"/>
    </row>
    <row r="906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200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  <c r="AH906" s="197"/>
      <c r="AI906" s="197"/>
      <c r="AJ906" s="197"/>
      <c r="AK906" s="197"/>
    </row>
    <row r="907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200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  <c r="AH907" s="197"/>
      <c r="AI907" s="197"/>
      <c r="AJ907" s="197"/>
      <c r="AK907" s="197"/>
    </row>
    <row r="908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200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  <c r="AH908" s="197"/>
      <c r="AI908" s="197"/>
      <c r="AJ908" s="197"/>
      <c r="AK908" s="197"/>
    </row>
    <row r="909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200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  <c r="AH909" s="197"/>
      <c r="AI909" s="197"/>
      <c r="AJ909" s="197"/>
      <c r="AK909" s="197"/>
    </row>
    <row r="910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200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  <c r="AH910" s="197"/>
      <c r="AI910" s="197"/>
      <c r="AJ910" s="197"/>
      <c r="AK910" s="197"/>
    </row>
    <row r="911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200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  <c r="AH911" s="197"/>
      <c r="AI911" s="197"/>
      <c r="AJ911" s="197"/>
      <c r="AK911" s="197"/>
    </row>
    <row r="912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200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  <c r="AH912" s="197"/>
      <c r="AI912" s="197"/>
      <c r="AJ912" s="197"/>
      <c r="AK912" s="197"/>
    </row>
    <row r="913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200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  <c r="AH913" s="197"/>
      <c r="AI913" s="197"/>
      <c r="AJ913" s="197"/>
      <c r="AK913" s="197"/>
    </row>
    <row r="914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200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  <c r="AH914" s="197"/>
      <c r="AI914" s="197"/>
      <c r="AJ914" s="197"/>
      <c r="AK914" s="197"/>
    </row>
    <row r="915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200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  <c r="AH915" s="197"/>
      <c r="AI915" s="197"/>
      <c r="AJ915" s="197"/>
      <c r="AK915" s="197"/>
    </row>
    <row r="916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200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  <c r="AH916" s="197"/>
      <c r="AI916" s="197"/>
      <c r="AJ916" s="197"/>
      <c r="AK916" s="197"/>
    </row>
    <row r="917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200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  <c r="AH917" s="197"/>
      <c r="AI917" s="197"/>
      <c r="AJ917" s="197"/>
      <c r="AK917" s="197"/>
    </row>
    <row r="918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200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  <c r="AH918" s="197"/>
      <c r="AI918" s="197"/>
      <c r="AJ918" s="197"/>
      <c r="AK918" s="197"/>
    </row>
    <row r="919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200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  <c r="AH919" s="197"/>
      <c r="AI919" s="197"/>
      <c r="AJ919" s="197"/>
      <c r="AK919" s="197"/>
    </row>
    <row r="920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200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  <c r="AH920" s="197"/>
      <c r="AI920" s="197"/>
      <c r="AJ920" s="197"/>
      <c r="AK920" s="197"/>
    </row>
    <row r="921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200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  <c r="AH921" s="197"/>
      <c r="AI921" s="197"/>
      <c r="AJ921" s="197"/>
      <c r="AK921" s="197"/>
    </row>
    <row r="922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200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  <c r="AH922" s="197"/>
      <c r="AI922" s="197"/>
      <c r="AJ922" s="197"/>
      <c r="AK922" s="197"/>
    </row>
    <row r="923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200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  <c r="AH923" s="197"/>
      <c r="AI923" s="197"/>
      <c r="AJ923" s="197"/>
      <c r="AK923" s="197"/>
    </row>
    <row r="924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200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  <c r="AH924" s="197"/>
      <c r="AI924" s="197"/>
      <c r="AJ924" s="197"/>
      <c r="AK924" s="197"/>
    </row>
    <row r="925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200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  <c r="AH925" s="197"/>
      <c r="AI925" s="197"/>
      <c r="AJ925" s="197"/>
      <c r="AK925" s="197"/>
    </row>
    <row r="926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200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  <c r="AH926" s="197"/>
      <c r="AI926" s="197"/>
      <c r="AJ926" s="197"/>
      <c r="AK926" s="197"/>
    </row>
    <row r="927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200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  <c r="AH927" s="197"/>
      <c r="AI927" s="197"/>
      <c r="AJ927" s="197"/>
      <c r="AK927" s="197"/>
    </row>
    <row r="928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200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  <c r="AH928" s="197"/>
      <c r="AI928" s="197"/>
      <c r="AJ928" s="197"/>
      <c r="AK928" s="197"/>
    </row>
    <row r="929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200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  <c r="AH929" s="197"/>
      <c r="AI929" s="197"/>
      <c r="AJ929" s="197"/>
      <c r="AK929" s="197"/>
    </row>
    <row r="930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200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  <c r="AH930" s="197"/>
      <c r="AI930" s="197"/>
      <c r="AJ930" s="197"/>
      <c r="AK930" s="197"/>
    </row>
    <row r="931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200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  <c r="AH931" s="197"/>
      <c r="AI931" s="197"/>
      <c r="AJ931" s="197"/>
      <c r="AK931" s="197"/>
    </row>
    <row r="932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200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  <c r="AH932" s="197"/>
      <c r="AI932" s="197"/>
      <c r="AJ932" s="197"/>
      <c r="AK932" s="197"/>
    </row>
    <row r="933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200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  <c r="AH933" s="197"/>
      <c r="AI933" s="197"/>
      <c r="AJ933" s="197"/>
      <c r="AK933" s="197"/>
    </row>
    <row r="934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200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  <c r="AH934" s="197"/>
      <c r="AI934" s="197"/>
      <c r="AJ934" s="197"/>
      <c r="AK934" s="197"/>
    </row>
    <row r="935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200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  <c r="AH935" s="197"/>
      <c r="AI935" s="197"/>
      <c r="AJ935" s="197"/>
      <c r="AK935" s="197"/>
    </row>
    <row r="936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200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  <c r="AH936" s="197"/>
      <c r="AI936" s="197"/>
      <c r="AJ936" s="197"/>
      <c r="AK936" s="197"/>
    </row>
    <row r="937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200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  <c r="AH937" s="197"/>
      <c r="AI937" s="197"/>
      <c r="AJ937" s="197"/>
      <c r="AK937" s="197"/>
    </row>
    <row r="938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200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  <c r="AH938" s="197"/>
      <c r="AI938" s="197"/>
      <c r="AJ938" s="197"/>
      <c r="AK938" s="197"/>
    </row>
    <row r="939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200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  <c r="AH939" s="197"/>
      <c r="AI939" s="197"/>
      <c r="AJ939" s="197"/>
      <c r="AK939" s="197"/>
    </row>
    <row r="940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200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  <c r="AH940" s="197"/>
      <c r="AI940" s="197"/>
      <c r="AJ940" s="197"/>
      <c r="AK940" s="197"/>
    </row>
    <row r="941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200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  <c r="AH941" s="197"/>
      <c r="AI941" s="197"/>
      <c r="AJ941" s="197"/>
      <c r="AK941" s="197"/>
    </row>
    <row r="942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200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  <c r="AH942" s="197"/>
      <c r="AI942" s="197"/>
      <c r="AJ942" s="197"/>
      <c r="AK942" s="197"/>
    </row>
    <row r="943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200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  <c r="AH943" s="197"/>
      <c r="AI943" s="197"/>
      <c r="AJ943" s="197"/>
      <c r="AK943" s="197"/>
    </row>
    <row r="944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200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  <c r="AH944" s="197"/>
      <c r="AI944" s="197"/>
      <c r="AJ944" s="197"/>
      <c r="AK944" s="197"/>
    </row>
    <row r="945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200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  <c r="AH945" s="197"/>
      <c r="AI945" s="197"/>
      <c r="AJ945" s="197"/>
      <c r="AK945" s="197"/>
    </row>
    <row r="946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200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  <c r="AH946" s="197"/>
      <c r="AI946" s="197"/>
      <c r="AJ946" s="197"/>
      <c r="AK946" s="197"/>
    </row>
    <row r="947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200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  <c r="AH947" s="197"/>
      <c r="AI947" s="197"/>
      <c r="AJ947" s="197"/>
      <c r="AK947" s="197"/>
    </row>
    <row r="948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200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  <c r="AH948" s="197"/>
      <c r="AI948" s="197"/>
      <c r="AJ948" s="197"/>
      <c r="AK948" s="197"/>
    </row>
    <row r="949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200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  <c r="AH949" s="197"/>
      <c r="AI949" s="197"/>
      <c r="AJ949" s="197"/>
      <c r="AK949" s="197"/>
    </row>
    <row r="950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200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  <c r="AH950" s="197"/>
      <c r="AI950" s="197"/>
      <c r="AJ950" s="197"/>
      <c r="AK950" s="197"/>
    </row>
    <row r="95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200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  <c r="AH951" s="197"/>
      <c r="AI951" s="197"/>
      <c r="AJ951" s="197"/>
      <c r="AK951" s="197"/>
    </row>
    <row r="952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200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  <c r="AH952" s="197"/>
      <c r="AI952" s="197"/>
      <c r="AJ952" s="197"/>
      <c r="AK952" s="197"/>
    </row>
    <row r="953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200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  <c r="AH953" s="197"/>
      <c r="AI953" s="197"/>
      <c r="AJ953" s="197"/>
      <c r="AK953" s="197"/>
    </row>
    <row r="954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200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  <c r="AH954" s="197"/>
      <c r="AI954" s="197"/>
      <c r="AJ954" s="197"/>
      <c r="AK954" s="197"/>
    </row>
    <row r="955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200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  <c r="AH955" s="197"/>
      <c r="AI955" s="197"/>
      <c r="AJ955" s="197"/>
      <c r="AK955" s="197"/>
    </row>
    <row r="956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200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  <c r="AH956" s="197"/>
      <c r="AI956" s="197"/>
      <c r="AJ956" s="197"/>
      <c r="AK956" s="197"/>
    </row>
    <row r="957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200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  <c r="AH957" s="197"/>
      <c r="AI957" s="197"/>
      <c r="AJ957" s="197"/>
      <c r="AK957" s="197"/>
    </row>
    <row r="958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200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  <c r="AH958" s="197"/>
      <c r="AI958" s="197"/>
      <c r="AJ958" s="197"/>
      <c r="AK958" s="197"/>
    </row>
    <row r="959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200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  <c r="AH959" s="197"/>
      <c r="AI959" s="197"/>
      <c r="AJ959" s="197"/>
      <c r="AK959" s="197"/>
    </row>
    <row r="960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200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  <c r="AH960" s="197"/>
      <c r="AI960" s="197"/>
      <c r="AJ960" s="197"/>
      <c r="AK960" s="197"/>
    </row>
    <row r="961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200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  <c r="AH961" s="197"/>
      <c r="AI961" s="197"/>
      <c r="AJ961" s="197"/>
      <c r="AK961" s="197"/>
    </row>
    <row r="962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200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  <c r="AH962" s="197"/>
      <c r="AI962" s="197"/>
      <c r="AJ962" s="197"/>
      <c r="AK962" s="197"/>
    </row>
    <row r="963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200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  <c r="AH963" s="197"/>
      <c r="AI963" s="197"/>
      <c r="AJ963" s="197"/>
      <c r="AK963" s="197"/>
    </row>
    <row r="964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200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  <c r="AH964" s="197"/>
      <c r="AI964" s="197"/>
      <c r="AJ964" s="197"/>
      <c r="AK964" s="197"/>
    </row>
    <row r="965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200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  <c r="AH965" s="197"/>
      <c r="AI965" s="197"/>
      <c r="AJ965" s="197"/>
      <c r="AK965" s="197"/>
    </row>
    <row r="966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200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  <c r="AH966" s="197"/>
      <c r="AI966" s="197"/>
      <c r="AJ966" s="197"/>
      <c r="AK966" s="197"/>
    </row>
    <row r="967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200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  <c r="AH967" s="197"/>
      <c r="AI967" s="197"/>
      <c r="AJ967" s="197"/>
      <c r="AK967" s="197"/>
    </row>
    <row r="968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200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  <c r="AH968" s="197"/>
      <c r="AI968" s="197"/>
      <c r="AJ968" s="197"/>
      <c r="AK968" s="197"/>
    </row>
    <row r="969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200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  <c r="AH969" s="197"/>
      <c r="AI969" s="197"/>
      <c r="AJ969" s="197"/>
      <c r="AK969" s="197"/>
    </row>
    <row r="970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200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  <c r="AH970" s="197"/>
      <c r="AI970" s="197"/>
      <c r="AJ970" s="197"/>
      <c r="AK970" s="197"/>
    </row>
    <row r="971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200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  <c r="AH971" s="197"/>
      <c r="AI971" s="197"/>
      <c r="AJ971" s="197"/>
      <c r="AK971" s="197"/>
    </row>
    <row r="972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200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  <c r="AH972" s="197"/>
      <c r="AI972" s="197"/>
      <c r="AJ972" s="197"/>
      <c r="AK972" s="197"/>
    </row>
    <row r="973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200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  <c r="AH973" s="197"/>
      <c r="AI973" s="197"/>
      <c r="AJ973" s="197"/>
      <c r="AK973" s="197"/>
    </row>
    <row r="974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200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  <c r="AH974" s="197"/>
      <c r="AI974" s="197"/>
      <c r="AJ974" s="197"/>
      <c r="AK974" s="197"/>
    </row>
    <row r="975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200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  <c r="AH975" s="197"/>
      <c r="AI975" s="197"/>
      <c r="AJ975" s="197"/>
      <c r="AK975" s="197"/>
    </row>
    <row r="976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200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  <c r="AH976" s="197"/>
      <c r="AI976" s="197"/>
      <c r="AJ976" s="197"/>
      <c r="AK976" s="197"/>
    </row>
    <row r="977">
      <c r="A977" s="197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200"/>
      <c r="X977" s="197"/>
      <c r="Y977" s="197"/>
      <c r="Z977" s="197"/>
      <c r="AA977" s="197"/>
      <c r="AB977" s="197"/>
      <c r="AC977" s="197"/>
      <c r="AD977" s="197"/>
      <c r="AE977" s="197"/>
      <c r="AF977" s="197"/>
      <c r="AG977" s="197"/>
      <c r="AH977" s="197"/>
      <c r="AI977" s="197"/>
      <c r="AJ977" s="197"/>
      <c r="AK977" s="197"/>
    </row>
    <row r="978">
      <c r="A978" s="197"/>
      <c r="B978" s="197"/>
      <c r="C978" s="197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200"/>
      <c r="X978" s="197"/>
      <c r="Y978" s="197"/>
      <c r="Z978" s="197"/>
      <c r="AA978" s="197"/>
      <c r="AB978" s="197"/>
      <c r="AC978" s="197"/>
      <c r="AD978" s="197"/>
      <c r="AE978" s="197"/>
      <c r="AF978" s="197"/>
      <c r="AG978" s="197"/>
      <c r="AH978" s="197"/>
      <c r="AI978" s="197"/>
      <c r="AJ978" s="197"/>
      <c r="AK978" s="197"/>
    </row>
    <row r="979">
      <c r="A979" s="197"/>
      <c r="B979" s="197"/>
      <c r="C979" s="197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200"/>
      <c r="X979" s="197"/>
      <c r="Y979" s="197"/>
      <c r="Z979" s="197"/>
      <c r="AA979" s="197"/>
      <c r="AB979" s="197"/>
      <c r="AC979" s="197"/>
      <c r="AD979" s="197"/>
      <c r="AE979" s="197"/>
      <c r="AF979" s="197"/>
      <c r="AG979" s="197"/>
      <c r="AH979" s="197"/>
      <c r="AI979" s="197"/>
      <c r="AJ979" s="197"/>
      <c r="AK979" s="197"/>
    </row>
    <row r="980">
      <c r="A980" s="197"/>
      <c r="B980" s="197"/>
      <c r="C980" s="197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200"/>
      <c r="X980" s="197"/>
      <c r="Y980" s="197"/>
      <c r="Z980" s="197"/>
      <c r="AA980" s="197"/>
      <c r="AB980" s="197"/>
      <c r="AC980" s="197"/>
      <c r="AD980" s="197"/>
      <c r="AE980" s="197"/>
      <c r="AF980" s="197"/>
      <c r="AG980" s="197"/>
      <c r="AH980" s="197"/>
      <c r="AI980" s="197"/>
      <c r="AJ980" s="197"/>
      <c r="AK980" s="197"/>
    </row>
    <row r="981">
      <c r="A981" s="197"/>
      <c r="B981" s="197"/>
      <c r="C981" s="197"/>
      <c r="D981" s="197"/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200"/>
      <c r="X981" s="197"/>
      <c r="Y981" s="197"/>
      <c r="Z981" s="197"/>
      <c r="AA981" s="197"/>
      <c r="AB981" s="197"/>
      <c r="AC981" s="197"/>
      <c r="AD981" s="197"/>
      <c r="AE981" s="197"/>
      <c r="AF981" s="197"/>
      <c r="AG981" s="197"/>
      <c r="AH981" s="197"/>
      <c r="AI981" s="197"/>
      <c r="AJ981" s="197"/>
      <c r="AK981" s="197"/>
    </row>
    <row r="982">
      <c r="A982" s="197"/>
      <c r="B982" s="197"/>
      <c r="C982" s="197"/>
      <c r="D982" s="197"/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200"/>
      <c r="X982" s="197"/>
      <c r="Y982" s="197"/>
      <c r="Z982" s="197"/>
      <c r="AA982" s="197"/>
      <c r="AB982" s="197"/>
      <c r="AC982" s="197"/>
      <c r="AD982" s="197"/>
      <c r="AE982" s="197"/>
      <c r="AF982" s="197"/>
      <c r="AG982" s="197"/>
      <c r="AH982" s="197"/>
      <c r="AI982" s="197"/>
      <c r="AJ982" s="197"/>
      <c r="AK982" s="197"/>
    </row>
    <row r="983">
      <c r="A983" s="197"/>
      <c r="B983" s="197"/>
      <c r="C983" s="197"/>
      <c r="D983" s="197"/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200"/>
      <c r="X983" s="197"/>
      <c r="Y983" s="197"/>
      <c r="Z983" s="197"/>
      <c r="AA983" s="197"/>
      <c r="AB983" s="197"/>
      <c r="AC983" s="197"/>
      <c r="AD983" s="197"/>
      <c r="AE983" s="197"/>
      <c r="AF983" s="197"/>
      <c r="AG983" s="197"/>
      <c r="AH983" s="197"/>
      <c r="AI983" s="197"/>
      <c r="AJ983" s="197"/>
      <c r="AK983" s="197"/>
    </row>
    <row r="984">
      <c r="A984" s="197"/>
      <c r="B984" s="197"/>
      <c r="C984" s="197"/>
      <c r="D984" s="197"/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200"/>
      <c r="X984" s="197"/>
      <c r="Y984" s="197"/>
      <c r="Z984" s="197"/>
      <c r="AA984" s="197"/>
      <c r="AB984" s="197"/>
      <c r="AC984" s="197"/>
      <c r="AD984" s="197"/>
      <c r="AE984" s="197"/>
      <c r="AF984" s="197"/>
      <c r="AG984" s="197"/>
      <c r="AH984" s="197"/>
      <c r="AI984" s="197"/>
      <c r="AJ984" s="197"/>
      <c r="AK984" s="197"/>
    </row>
    <row r="985">
      <c r="A985" s="197"/>
      <c r="B985" s="197"/>
      <c r="C985" s="197"/>
      <c r="D985" s="197"/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200"/>
      <c r="X985" s="197"/>
      <c r="Y985" s="197"/>
      <c r="Z985" s="197"/>
      <c r="AA985" s="197"/>
      <c r="AB985" s="197"/>
      <c r="AC985" s="197"/>
      <c r="AD985" s="197"/>
      <c r="AE985" s="197"/>
      <c r="AF985" s="197"/>
      <c r="AG985" s="197"/>
      <c r="AH985" s="197"/>
      <c r="AI985" s="197"/>
      <c r="AJ985" s="197"/>
      <c r="AK985" s="197"/>
    </row>
    <row r="986">
      <c r="A986" s="197"/>
      <c r="B986" s="197"/>
      <c r="C986" s="197"/>
      <c r="D986" s="197"/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200"/>
      <c r="X986" s="197"/>
      <c r="Y986" s="197"/>
      <c r="Z986" s="197"/>
      <c r="AA986" s="197"/>
      <c r="AB986" s="197"/>
      <c r="AC986" s="197"/>
      <c r="AD986" s="197"/>
      <c r="AE986" s="197"/>
      <c r="AF986" s="197"/>
      <c r="AG986" s="197"/>
      <c r="AH986" s="197"/>
      <c r="AI986" s="197"/>
      <c r="AJ986" s="197"/>
      <c r="AK986" s="197"/>
    </row>
    <row r="987">
      <c r="A987" s="197"/>
      <c r="B987" s="197"/>
      <c r="C987" s="197"/>
      <c r="D987" s="197"/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200"/>
      <c r="X987" s="197"/>
      <c r="Y987" s="197"/>
      <c r="Z987" s="197"/>
      <c r="AA987" s="197"/>
      <c r="AB987" s="197"/>
      <c r="AC987" s="197"/>
      <c r="AD987" s="197"/>
      <c r="AE987" s="197"/>
      <c r="AF987" s="197"/>
      <c r="AG987" s="197"/>
      <c r="AH987" s="197"/>
      <c r="AI987" s="197"/>
      <c r="AJ987" s="197"/>
      <c r="AK987" s="197"/>
    </row>
    <row r="988">
      <c r="A988" s="197"/>
      <c r="B988" s="197"/>
      <c r="C988" s="197"/>
      <c r="D988" s="197"/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200"/>
      <c r="X988" s="197"/>
      <c r="Y988" s="197"/>
      <c r="Z988" s="197"/>
      <c r="AA988" s="197"/>
      <c r="AB988" s="197"/>
      <c r="AC988" s="197"/>
      <c r="AD988" s="197"/>
      <c r="AE988" s="197"/>
      <c r="AF988" s="197"/>
      <c r="AG988" s="197"/>
      <c r="AH988" s="197"/>
      <c r="AI988" s="197"/>
      <c r="AJ988" s="197"/>
      <c r="AK988" s="197"/>
    </row>
    <row r="989">
      <c r="A989" s="197"/>
      <c r="B989" s="197"/>
      <c r="C989" s="197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200"/>
      <c r="X989" s="197"/>
      <c r="Y989" s="197"/>
      <c r="Z989" s="197"/>
      <c r="AA989" s="197"/>
      <c r="AB989" s="197"/>
      <c r="AC989" s="197"/>
      <c r="AD989" s="197"/>
      <c r="AE989" s="197"/>
      <c r="AF989" s="197"/>
      <c r="AG989" s="197"/>
      <c r="AH989" s="197"/>
      <c r="AI989" s="197"/>
      <c r="AJ989" s="197"/>
      <c r="AK989" s="197"/>
    </row>
    <row r="990">
      <c r="A990" s="197"/>
      <c r="B990" s="197"/>
      <c r="C990" s="197"/>
      <c r="D990" s="197"/>
      <c r="E990" s="197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200"/>
      <c r="X990" s="197"/>
      <c r="Y990" s="197"/>
      <c r="Z990" s="197"/>
      <c r="AA990" s="197"/>
      <c r="AB990" s="197"/>
      <c r="AC990" s="197"/>
      <c r="AD990" s="197"/>
      <c r="AE990" s="197"/>
      <c r="AF990" s="197"/>
      <c r="AG990" s="197"/>
      <c r="AH990" s="197"/>
      <c r="AI990" s="197"/>
      <c r="AJ990" s="197"/>
      <c r="AK990" s="197"/>
    </row>
    <row r="991">
      <c r="A991" s="197"/>
      <c r="B991" s="197"/>
      <c r="C991" s="197"/>
      <c r="D991" s="197"/>
      <c r="E991" s="197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200"/>
      <c r="X991" s="197"/>
      <c r="Y991" s="197"/>
      <c r="Z991" s="197"/>
      <c r="AA991" s="197"/>
      <c r="AB991" s="197"/>
      <c r="AC991" s="197"/>
      <c r="AD991" s="197"/>
      <c r="AE991" s="197"/>
      <c r="AF991" s="197"/>
      <c r="AG991" s="197"/>
      <c r="AH991" s="197"/>
      <c r="AI991" s="197"/>
      <c r="AJ991" s="197"/>
      <c r="AK991" s="197"/>
    </row>
    <row r="992">
      <c r="A992" s="197"/>
      <c r="B992" s="197"/>
      <c r="C992" s="197"/>
      <c r="D992" s="197"/>
      <c r="E992" s="197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200"/>
      <c r="X992" s="197"/>
      <c r="Y992" s="197"/>
      <c r="Z992" s="197"/>
      <c r="AA992" s="197"/>
      <c r="AB992" s="197"/>
      <c r="AC992" s="197"/>
      <c r="AD992" s="197"/>
      <c r="AE992" s="197"/>
      <c r="AF992" s="197"/>
      <c r="AG992" s="197"/>
      <c r="AH992" s="197"/>
      <c r="AI992" s="197"/>
      <c r="AJ992" s="197"/>
      <c r="AK992" s="197"/>
    </row>
    <row r="993">
      <c r="A993" s="197"/>
      <c r="B993" s="197"/>
      <c r="C993" s="197"/>
      <c r="D993" s="197"/>
      <c r="E993" s="197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200"/>
      <c r="X993" s="197"/>
      <c r="Y993" s="197"/>
      <c r="Z993" s="197"/>
      <c r="AA993" s="197"/>
      <c r="AB993" s="197"/>
      <c r="AC993" s="197"/>
      <c r="AD993" s="197"/>
      <c r="AE993" s="197"/>
      <c r="AF993" s="197"/>
      <c r="AG993" s="197"/>
      <c r="AH993" s="197"/>
      <c r="AI993" s="197"/>
      <c r="AJ993" s="197"/>
      <c r="AK993" s="197"/>
    </row>
    <row r="994">
      <c r="A994" s="197"/>
      <c r="B994" s="197"/>
      <c r="C994" s="197"/>
      <c r="D994" s="197"/>
      <c r="E994" s="197"/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200"/>
      <c r="X994" s="197"/>
      <c r="Y994" s="197"/>
      <c r="Z994" s="197"/>
      <c r="AA994" s="197"/>
      <c r="AB994" s="197"/>
      <c r="AC994" s="197"/>
      <c r="AD994" s="197"/>
      <c r="AE994" s="197"/>
      <c r="AF994" s="197"/>
      <c r="AG994" s="197"/>
      <c r="AH994" s="197"/>
      <c r="AI994" s="197"/>
      <c r="AJ994" s="197"/>
      <c r="AK994" s="197"/>
    </row>
    <row r="995">
      <c r="A995" s="197"/>
      <c r="B995" s="197"/>
      <c r="C995" s="197"/>
      <c r="D995" s="197"/>
      <c r="E995" s="197"/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200"/>
      <c r="X995" s="197"/>
      <c r="Y995" s="197"/>
      <c r="Z995" s="197"/>
      <c r="AA995" s="197"/>
      <c r="AB995" s="197"/>
      <c r="AC995" s="197"/>
      <c r="AD995" s="197"/>
      <c r="AE995" s="197"/>
      <c r="AF995" s="197"/>
      <c r="AG995" s="197"/>
      <c r="AH995" s="197"/>
      <c r="AI995" s="197"/>
      <c r="AJ995" s="197"/>
      <c r="AK995" s="197"/>
    </row>
    <row r="996">
      <c r="A996" s="197"/>
      <c r="B996" s="197"/>
      <c r="C996" s="197"/>
      <c r="D996" s="197"/>
      <c r="E996" s="197"/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200"/>
      <c r="X996" s="197"/>
      <c r="Y996" s="197"/>
      <c r="Z996" s="197"/>
      <c r="AA996" s="197"/>
      <c r="AB996" s="197"/>
      <c r="AC996" s="197"/>
      <c r="AD996" s="197"/>
      <c r="AE996" s="197"/>
      <c r="AF996" s="197"/>
      <c r="AG996" s="197"/>
      <c r="AH996" s="197"/>
      <c r="AI996" s="197"/>
      <c r="AJ996" s="197"/>
      <c r="AK996" s="197"/>
    </row>
    <row r="997">
      <c r="A997" s="197"/>
      <c r="B997" s="197"/>
      <c r="C997" s="197"/>
      <c r="D997" s="197"/>
      <c r="E997" s="197"/>
      <c r="F997" s="197"/>
      <c r="G997" s="197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200"/>
      <c r="X997" s="197"/>
      <c r="Y997" s="197"/>
      <c r="Z997" s="197"/>
      <c r="AA997" s="197"/>
      <c r="AB997" s="197"/>
      <c r="AC997" s="197"/>
      <c r="AD997" s="197"/>
      <c r="AE997" s="197"/>
      <c r="AF997" s="197"/>
      <c r="AG997" s="197"/>
      <c r="AH997" s="197"/>
      <c r="AI997" s="197"/>
      <c r="AJ997" s="197"/>
      <c r="AK997" s="197"/>
    </row>
    <row r="998">
      <c r="A998" s="197"/>
      <c r="B998" s="197"/>
      <c r="C998" s="197"/>
      <c r="D998" s="197"/>
      <c r="E998" s="197"/>
      <c r="F998" s="197"/>
      <c r="G998" s="197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200"/>
      <c r="X998" s="197"/>
      <c r="Y998" s="197"/>
      <c r="Z998" s="197"/>
      <c r="AA998" s="197"/>
      <c r="AB998" s="197"/>
      <c r="AC998" s="197"/>
      <c r="AD998" s="197"/>
      <c r="AE998" s="197"/>
      <c r="AF998" s="197"/>
      <c r="AG998" s="197"/>
      <c r="AH998" s="197"/>
      <c r="AI998" s="197"/>
      <c r="AJ998" s="197"/>
      <c r="AK998" s="197"/>
    </row>
    <row r="999">
      <c r="A999" s="197"/>
      <c r="B999" s="197"/>
      <c r="C999" s="197"/>
      <c r="D999" s="197"/>
      <c r="E999" s="197"/>
      <c r="F999" s="197"/>
      <c r="G999" s="197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200"/>
      <c r="X999" s="197"/>
      <c r="Y999" s="197"/>
      <c r="Z999" s="197"/>
      <c r="AA999" s="197"/>
      <c r="AB999" s="197"/>
      <c r="AC999" s="197"/>
      <c r="AD999" s="197"/>
      <c r="AE999" s="197"/>
      <c r="AF999" s="197"/>
      <c r="AG999" s="197"/>
      <c r="AH999" s="197"/>
      <c r="AI999" s="197"/>
      <c r="AJ999" s="197"/>
      <c r="AK999" s="197"/>
    </row>
    <row r="1000">
      <c r="A1000" s="197"/>
      <c r="B1000" s="197"/>
      <c r="C1000" s="197"/>
      <c r="D1000" s="197"/>
      <c r="E1000" s="197"/>
      <c r="F1000" s="197"/>
      <c r="G1000" s="197"/>
      <c r="H1000" s="197"/>
      <c r="I1000" s="197"/>
      <c r="J1000" s="197"/>
      <c r="K1000" s="197"/>
      <c r="L1000" s="197"/>
      <c r="M1000" s="197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200"/>
      <c r="X1000" s="197"/>
      <c r="Y1000" s="197"/>
      <c r="Z1000" s="197"/>
      <c r="AA1000" s="197"/>
      <c r="AB1000" s="197"/>
      <c r="AC1000" s="197"/>
      <c r="AD1000" s="197"/>
      <c r="AE1000" s="197"/>
      <c r="AF1000" s="197"/>
      <c r="AG1000" s="197"/>
      <c r="AH1000" s="197"/>
      <c r="AI1000" s="197"/>
      <c r="AJ1000" s="197"/>
      <c r="AK1000" s="197"/>
    </row>
  </sheetData>
  <drawing r:id="rId1"/>
</worksheet>
</file>