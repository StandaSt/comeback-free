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5" name="_xlnm._FilterDatabase">RestiaCSV!$A$1:$M$418</definedName>
  </definedNames>
  <calcPr/>
</workbook>
</file>

<file path=xl/sharedStrings.xml><?xml version="1.0" encoding="utf-8"?>
<sst xmlns="http://schemas.openxmlformats.org/spreadsheetml/2006/main" count="5484" uniqueCount="1605">
  <si>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</si>
  <si>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</si>
  <si>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</si>
  <si>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</si>
  <si>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</si>
  <si>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</si>
  <si>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</si>
  <si>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</si>
  <si>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</si>
  <si>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</si>
  <si>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</si>
  <si>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</si>
  <si>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</si>
  <si>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</si>
  <si>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</si>
  <si>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</si>
  <si>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</si>
  <si>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</si>
  <si>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</si>
  <si>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</si>
  <si>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</si>
  <si>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</si>
  <si>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</si>
  <si>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</si>
  <si>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</si>
  <si>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</si>
  <si>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</si>
  <si>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</si>
  <si>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</si>
  <si>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</si>
  <si>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</si>
  <si>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</si>
  <si>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</si>
  <si>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</si>
  <si>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</si>
  <si>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</si>
  <si>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</si>
  <si>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</si>
  <si>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</si>
  <si>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</si>
  <si>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</si>
  <si>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</si>
  <si>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</si>
  <si>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</si>
  <si>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</si>
  <si>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</si>
  <si>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</si>
  <si>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</si>
  <si>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</si>
  <si>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</si>
  <si>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</si>
  <si>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</si>
  <si>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</si>
  <si>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</si>
  <si>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</si>
  <si>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</si>
  <si>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</si>
  <si>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</si>
  <si>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</si>
  <si>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</si>
  <si>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</si>
  <si>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</si>
  <si>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</si>
  <si>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</si>
  <si>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</si>
  <si>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</si>
  <si>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</si>
  <si>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</si>
  <si>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</si>
  <si>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</si>
  <si>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</si>
  <si>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</si>
  <si>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</si>
  <si>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</si>
  <si>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</si>
  <si>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</si>
  <si>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</si>
  <si>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</si>
  <si>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</si>
  <si>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</si>
  <si>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</si>
  <si>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</si>
  <si>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</si>
  <si>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</si>
  <si>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</si>
  <si>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</si>
  <si>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</si>
  <si>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</si>
  <si>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</si>
  <si>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</si>
  <si>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</si>
  <si>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</si>
  <si>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</si>
  <si>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</si>
  <si>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</si>
  <si>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</si>
  <si>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</si>
  <si>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</si>
  <si>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</si>
  <si>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</si>
  <si>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</si>
  <si>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</si>
  <si>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</si>
  <si>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</si>
  <si>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</si>
  <si>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</si>
  <si>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</si>
  <si>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</si>
  <si>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</si>
  <si>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</si>
  <si>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</si>
  <si>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</si>
  <si>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</si>
  <si>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</si>
  <si>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</si>
  <si>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</si>
  <si>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</si>
  <si>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</si>
  <si>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</si>
  <si>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</si>
  <si>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</si>
  <si>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</si>
  <si>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</si>
  <si>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</si>
  <si>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</si>
  <si>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</si>
  <si>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</si>
  <si>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</si>
  <si>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</si>
  <si>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</si>
  <si>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</si>
  <si>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</si>
  <si>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</si>
  <si>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</si>
  <si>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</si>
  <si>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</si>
  <si>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</si>
  <si>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</si>
  <si>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</si>
  <si>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</si>
  <si>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</si>
  <si>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</si>
  <si>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</si>
  <si>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</si>
  <si>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</si>
  <si>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</si>
  <si>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</si>
  <si>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</si>
  <si>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</si>
  <si>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</si>
  <si>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</si>
  <si>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</si>
  <si>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</si>
  <si>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</si>
  <si>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</si>
  <si>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</si>
  <si>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</si>
  <si>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</si>
  <si>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</si>
  <si>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</si>
  <si>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</si>
  <si>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</si>
  <si>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</si>
  <si>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</si>
  <si>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</si>
  <si>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</si>
  <si>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</si>
  <si>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</si>
  <si>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</si>
  <si>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</si>
  <si>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</si>
  <si>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</si>
  <si>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</si>
  <si>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</si>
  <si>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</si>
  <si>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</si>
  <si>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</si>
  <si>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</si>
  <si>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</si>
  <si>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</si>
  <si>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</si>
  <si>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</si>
  <si>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</si>
  <si>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</si>
  <si>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</si>
  <si>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</si>
  <si>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</si>
  <si>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</si>
  <si>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</si>
  <si>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</si>
  <si>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</si>
  <si>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</si>
  <si>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</si>
  <si>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</si>
  <si>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</si>
  <si>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</si>
  <si>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</si>
  <si>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</si>
  <si>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</si>
  <si>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</si>
  <si>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</si>
  <si>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</si>
  <si>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</si>
  <si>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</si>
  <si>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</si>
  <si>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</si>
  <si>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</si>
  <si>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</si>
  <si>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</si>
  <si>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</si>
  <si>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</si>
  <si>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</si>
  <si>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</si>
  <si>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</si>
  <si>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</si>
  <si>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</si>
  <si>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</si>
  <si>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</si>
  <si>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</si>
  <si>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</si>
  <si>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</si>
  <si>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</si>
  <si>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</si>
  <si>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</si>
  <si>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</si>
  <si>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</si>
  <si>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</si>
  <si>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</si>
  <si>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</si>
  <si>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</si>
  <si>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</si>
  <si>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</si>
  <si>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</si>
  <si>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</si>
  <si>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</si>
  <si>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</si>
  <si>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</si>
  <si>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</si>
  <si>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</si>
  <si>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</si>
  <si>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</si>
  <si>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</si>
  <si>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</si>
  <si>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</si>
  <si>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</si>
  <si>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</si>
  <si>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</si>
  <si>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</si>
  <si>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</si>
  <si>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</si>
  <si>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</si>
  <si>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</si>
  <si>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</si>
  <si>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</si>
  <si>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</si>
  <si>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</si>
  <si>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</si>
  <si>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</si>
  <si>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</si>
  <si>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</si>
  <si>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</si>
  <si>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</si>
  <si>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</si>
  <si>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</si>
  <si>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</si>
  <si>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</si>
  <si>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</si>
  <si>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</si>
  <si>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</si>
  <si>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</si>
  <si>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</si>
  <si>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</si>
  <si>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</si>
  <si>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</si>
  <si>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</si>
  <si>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</si>
  <si>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</si>
  <si>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</si>
  <si>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</si>
  <si>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</si>
  <si>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</si>
  <si>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</si>
  <si>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</si>
  <si>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</si>
  <si>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</si>
  <si>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</si>
  <si>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</si>
  <si>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</si>
  <si>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</si>
  <si>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</si>
  <si>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</si>
  <si>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</si>
  <si>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</si>
  <si>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</si>
  <si>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</si>
  <si>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</si>
  <si>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</si>
  <si>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</si>
  <si>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</si>
  <si>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</si>
  <si>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</si>
  <si>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</si>
  <si>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</si>
  <si>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</si>
  <si>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</si>
  <si>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</si>
  <si>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</si>
  <si>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</si>
  <si>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</si>
  <si>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</si>
  <si>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</si>
  <si>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</si>
  <si>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</si>
  <si>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</si>
  <si>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</si>
  <si>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</si>
  <si>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</si>
  <si>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</si>
  <si>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</si>
  <si>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</si>
  <si>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</si>
  <si>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</si>
  <si>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</si>
  <si>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</si>
  <si>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</si>
  <si>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</si>
  <si>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</si>
  <si>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</si>
  <si>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</si>
  <si>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</si>
  <si>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</si>
  <si>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</si>
  <si>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</si>
  <si>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</si>
  <si>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</si>
  <si>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</si>
  <si>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</si>
  <si>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</si>
  <si>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</si>
  <si>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</si>
  <si>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</si>
  <si>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</si>
  <si>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</si>
  <si>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</si>
  <si>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</si>
  <si>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</si>
  <si>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</si>
  <si>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</si>
  <si>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</si>
  <si>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</si>
  <si>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</si>
  <si>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</si>
  <si>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</si>
  <si>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</si>
  <si>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</si>
  <si>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</si>
  <si>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</si>
  <si>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</si>
  <si>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</si>
  <si>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</si>
  <si>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</si>
  <si>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</si>
  <si>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</si>
  <si>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</si>
  <si>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</si>
  <si>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</si>
  <si>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</si>
  <si>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</si>
  <si>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</si>
  <si>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</si>
  <si>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</si>
  <si>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</si>
  <si>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</si>
  <si>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</si>
  <si>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</si>
  <si>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</si>
  <si>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</si>
  <si>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</si>
  <si>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</si>
  <si>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</si>
  <si>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</si>
  <si>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</si>
  <si>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</si>
  <si>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</si>
  <si>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</si>
  <si>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</si>
  <si>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</si>
  <si>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</si>
  <si>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</si>
  <si>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</si>
  <si>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</si>
  <si>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</si>
  <si>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</si>
  <si>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</si>
  <si>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</si>
  <si>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</si>
  <si>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</si>
  <si>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</si>
  <si>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</si>
  <si>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</si>
  <si>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</si>
  <si>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</si>
  <si>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</si>
  <si>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</si>
  <si>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</si>
  <si>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</si>
  <si>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</si>
  <si>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</si>
  <si>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</si>
  <si>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</si>
  <si>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</si>
  <si>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</si>
  <si>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</si>
  <si>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</si>
  <si>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</si>
  <si>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</si>
  <si>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</si>
  <si>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</si>
  <si>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</si>
  <si>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</si>
  <si>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</si>
  <si>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</si>
  <si>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</si>
  <si>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</si>
  <si>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</si>
  <si>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</si>
  <si>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</si>
  <si>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</si>
  <si>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</si>
  <si>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</si>
  <si>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</si>
  <si>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</si>
  <si>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</si>
  <si>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</si>
  <si>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</si>
  <si>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</si>
  <si>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</si>
  <si>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</si>
  <si>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</si>
  <si>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</si>
  <si>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</si>
  <si>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</si>
  <si>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</si>
  <si>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</si>
  <si>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</si>
  <si>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</si>
  <si>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</si>
  <si>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</si>
  <si>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</si>
  <si>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</si>
  <si>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</si>
  <si>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</si>
  <si>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</si>
  <si>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</si>
  <si>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</si>
  <si>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</si>
  <si>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</si>
  <si>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</si>
  <si>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</si>
  <si>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</si>
  <si>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</si>
  <si>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</si>
  <si>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</si>
  <si>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</si>
  <si>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</si>
  <si>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</si>
  <si>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</si>
  <si>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</si>
  <si>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</si>
  <si>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</si>
  <si>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</si>
  <si>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</si>
  <si>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</si>
  <si>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</si>
  <si>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</si>
  <si>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</si>
  <si>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</si>
  <si>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</si>
  <si>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</si>
  <si>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</si>
  <si>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</si>
  <si>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</si>
  <si>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</si>
  <si>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</si>
  <si>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</si>
  <si>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</si>
  <si>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</si>
  <si>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</si>
  <si>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</si>
  <si>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</si>
  <si>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</si>
  <si>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</si>
  <si>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</si>
  <si>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</si>
  <si>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</si>
  <si>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</si>
  <si>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</si>
  <si>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</si>
  <si>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</si>
  <si>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</si>
  <si>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</si>
  <si>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</si>
  <si>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</si>
  <si>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</si>
  <si>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</si>
  <si>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</si>
  <si>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</si>
  <si>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</si>
  <si>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</si>
  <si>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</si>
  <si>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</si>
  <si>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</si>
  <si>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</si>
  <si>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</si>
  <si>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</si>
  <si>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</si>
  <si>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</si>
  <si>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</si>
  <si>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</si>
  <si>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</si>
  <si>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</si>
  <si>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</si>
  <si>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</si>
  <si>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</si>
  <si>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</si>
  <si>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</si>
  <si>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</si>
  <si>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</si>
  <si>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</si>
  <si>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</si>
  <si>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</si>
  <si>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</si>
  <si>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</si>
  <si>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</si>
  <si>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</si>
  <si>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</si>
  <si>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</si>
  <si>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</si>
  <si>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</si>
  <si>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</si>
  <si>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</si>
  <si>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</si>
  <si>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</si>
  <si>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</si>
  <si>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</si>
  <si>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</si>
  <si>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</si>
  <si>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</si>
  <si>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</si>
  <si>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</si>
  <si>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</si>
  <si>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</si>
  <si>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</si>
  <si>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</si>
  <si>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</si>
  <si>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</si>
  <si>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</si>
  <si>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</si>
  <si>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</si>
  <si>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</si>
  <si>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</si>
  <si>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</si>
  <si>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</si>
  <si>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</si>
  <si>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</si>
  <si>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</si>
  <si>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</si>
  <si>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</si>
  <si>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</si>
  <si>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</si>
  <si>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</si>
  <si>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</si>
  <si>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</si>
  <si>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</si>
  <si>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</si>
  <si>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</si>
  <si>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</si>
  <si>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</si>
  <si>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</si>
  <si>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</si>
  <si>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</si>
  <si>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</si>
  <si>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</si>
  <si>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</si>
  <si>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</si>
  <si>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</si>
  <si>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</si>
  <si>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</si>
  <si>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</si>
  <si>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</si>
  <si>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</si>
  <si>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</si>
  <si>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</si>
  <si>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</si>
  <si>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</si>
  <si>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</si>
  <si>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</si>
  <si>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</si>
  <si>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</si>
  <si>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</si>
  <si>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</si>
  <si>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</si>
  <si>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</si>
  <si>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</si>
  <si>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</si>
  <si>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</si>
  <si>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</si>
  <si>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</si>
  <si>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</si>
  <si>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</si>
  <si>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</si>
  <si>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</si>
  <si>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</si>
  <si>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</si>
  <si>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</si>
  <si>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</si>
  <si>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</si>
  <si>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</si>
  <si>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</si>
  <si>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</si>
  <si>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</si>
  <si>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</si>
  <si>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</si>
  <si>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</si>
  <si>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</si>
  <si>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</si>
  <si>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</si>
  <si>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</si>
  <si>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</si>
  <si>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</si>
  <si>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</si>
  <si>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</si>
  <si>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</si>
  <si>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</si>
  <si>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</si>
  <si>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</si>
  <si>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</si>
  <si>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</si>
  <si>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</si>
  <si>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</si>
  <si>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</si>
  <si>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</si>
  <si>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</si>
  <si>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</si>
  <si>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</si>
  <si>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</si>
  <si>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</si>
  <si>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</si>
  <si>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</si>
  <si>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</si>
  <si>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</si>
  <si>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</si>
  <si>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</si>
  <si>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</si>
  <si>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</si>
  <si>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</si>
  <si>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</si>
  <si>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</si>
  <si>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</si>
  <si>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</si>
  <si>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</si>
  <si>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</si>
  <si>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</si>
  <si>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</si>
  <si>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</si>
  <si>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</si>
  <si>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</si>
  <si>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</si>
  <si>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</si>
  <si>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</si>
  <si>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</si>
  <si>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</si>
  <si>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</si>
  <si>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</si>
  <si>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</si>
  <si>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</si>
  <si>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</si>
  <si>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</si>
  <si>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</si>
  <si>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</si>
  <si>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</si>
  <si>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</si>
  <si>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</si>
  <si>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</si>
  <si>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</si>
  <si>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</si>
  <si>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</si>
  <si>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</si>
  <si>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</si>
  <si>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</si>
  <si>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</si>
  <si>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</si>
  <si>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</si>
  <si>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</si>
  <si>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</si>
  <si>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</si>
  <si>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</si>
  <si>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</si>
  <si>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</si>
  <si>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</si>
  <si>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</si>
  <si>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</si>
  <si>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</si>
  <si>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</si>
  <si>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</si>
  <si>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</si>
  <si>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</si>
  <si>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</si>
  <si>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</si>
  <si>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</si>
  <si>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</si>
  <si>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</si>
  <si>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</si>
  <si>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</si>
  <si>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</si>
  <si>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</si>
  <si>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</si>
  <si>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</si>
  <si>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</si>
  <si>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</si>
  <si>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</si>
  <si>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</si>
  <si>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</si>
  <si>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</si>
  <si>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</si>
  <si>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</si>
  <si>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</si>
  <si>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</si>
  <si>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</si>
  <si>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</si>
  <si>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</si>
  <si>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</si>
  <si>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</si>
  <si>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</si>
  <si>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</si>
  <si>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</si>
  <si>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</si>
  <si>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</si>
  <si>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</si>
  <si>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</si>
  <si>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</si>
  <si>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</si>
  <si>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</si>
  <si>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</si>
  <si>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</si>
  <si>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</si>
  <si>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</si>
  <si>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</si>
  <si>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</si>
  <si>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</si>
  <si>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</si>
  <si>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</si>
  <si>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</si>
  <si>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</si>
  <si>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</si>
  <si>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</si>
  <si>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</si>
  <si>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</si>
  <si>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</si>
  <si>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</si>
  <si>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</si>
  <si>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</si>
  <si>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</si>
  <si>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</si>
  <si>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</si>
  <si>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</si>
  <si>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</si>
  <si>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</si>
  <si>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</si>
  <si>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</si>
  <si>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</si>
  <si>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</si>
  <si>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</si>
  <si>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</si>
  <si>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</si>
  <si>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</si>
  <si>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</si>
  <si>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</si>
  <si>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</si>
  <si>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</si>
  <si>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</si>
  <si>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</si>
  <si>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</si>
  <si>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</si>
  <si>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</si>
  <si>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</si>
  <si>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</si>
  <si>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</si>
  <si>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</si>
  <si>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</si>
  <si>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</si>
  <si>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</si>
  <si>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</si>
  <si>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</si>
  <si>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</si>
  <si>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</si>
  <si>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</si>
  <si>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</si>
  <si>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</si>
  <si>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</si>
  <si>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</si>
  <si>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</si>
  <si>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</si>
  <si>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</si>
  <si>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</si>
  <si>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</si>
  <si>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</si>
  <si>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</si>
  <si>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</si>
  <si>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</si>
  <si>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</si>
  <si>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</si>
  <si>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</si>
  <si>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</si>
  <si>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</si>
  <si>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</si>
  <si>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</si>
  <si>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</si>
  <si>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</si>
  <si>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</si>
  <si>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</si>
  <si>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</si>
  <si>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</si>
  <si>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</si>
  <si>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</si>
  <si>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</si>
  <si>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</si>
  <si>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</si>
  <si>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</si>
  <si>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</si>
  <si>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</si>
  <si>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</si>
  <si>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</si>
  <si>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</si>
  <si>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</si>
  <si>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</si>
  <si>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</si>
  <si>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</si>
  <si>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</si>
  <si>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</si>
  <si>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</si>
  <si>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</si>
  <si>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</si>
  <si>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</si>
  <si>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</si>
  <si>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</si>
  <si>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</si>
  <si>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</si>
  <si>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</si>
  <si>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</si>
  <si>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</si>
  <si>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</si>
  <si>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</si>
  <si>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</si>
  <si>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</si>
  <si>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</si>
  <si>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</si>
  <si>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</si>
  <si>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</si>
  <si>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</si>
  <si>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</si>
  <si>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</si>
  <si>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</si>
  <si>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</si>
  <si>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</si>
  <si>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</si>
  <si>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</si>
  <si>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</si>
  <si>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</si>
  <si>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</si>
  <si>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</si>
  <si>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</si>
  <si>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</si>
  <si>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</si>
  <si>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</si>
  <si>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</si>
  <si>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</si>
  <si>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</si>
  <si>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</si>
  <si>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</si>
  <si>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</si>
  <si>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</si>
  <si>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</si>
  <si>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</si>
  <si>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</si>
  <si>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</si>
  <si>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</si>
  <si>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</si>
  <si>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</si>
  <si>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</si>
  <si>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</si>
  <si>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</si>
  <si>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</si>
  <si>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</si>
  <si>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</si>
  <si>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</si>
  <si>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</si>
  <si>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</si>
  <si>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</si>
  <si>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</si>
  <si>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</si>
  <si>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</si>
  <si>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</si>
  <si>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</si>
  <si>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</si>
  <si>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</si>
  <si>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</si>
  <si>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</si>
  <si>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</si>
  <si>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</si>
  <si>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</si>
  <si>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</si>
  <si>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</si>
  <si>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</si>
  <si>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</si>
  <si>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</si>
  <si>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</si>
  <si>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</si>
  <si>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</si>
  <si>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</si>
  <si>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</si>
  <si>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</si>
  <si>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</si>
  <si>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</si>
  <si>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</si>
  <si>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</si>
  <si>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</si>
  <si>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</si>
  <si>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</si>
  <si>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</si>
  <si>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</si>
  <si>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</si>
  <si>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</si>
  <si>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</si>
  <si>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</si>
  <si>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</si>
  <si>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</si>
  <si>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</si>
  <si>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</si>
  <si>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</si>
  <si>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</si>
  <si>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</si>
  <si>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</si>
  <si>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</si>
  <si>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</si>
  <si>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</si>
  <si>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</si>
  <si>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</si>
  <si>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</si>
  <si>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</si>
  <si>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</si>
  <si>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</si>
  <si>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</si>
  <si>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</si>
  <si>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</si>
  <si>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</si>
  <si>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</si>
  <si>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</si>
  <si>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</si>
  <si>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</si>
  <si>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</si>
  <si>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</si>
  <si>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</si>
  <si>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</si>
  <si>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</si>
  <si>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</si>
  <si>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</si>
  <si>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</si>
  <si>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</si>
  <si>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</si>
  <si>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</si>
  <si>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</si>
  <si>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</si>
  <si>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</si>
  <si>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</si>
  <si>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</si>
  <si>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</si>
  <si>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</si>
  <si>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</si>
  <si>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</si>
  <si>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</si>
  <si>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</si>
  <si>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</si>
  <si>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</si>
  <si>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</si>
  <si>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</si>
  <si>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</si>
  <si>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</si>
  <si>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</si>
  <si>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</si>
  <si>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</si>
  <si>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</si>
  <si>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</si>
  <si>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</si>
  <si>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</si>
  <si>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</si>
  <si>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</si>
  <si>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</si>
  <si>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</si>
  <si>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</si>
  <si>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</si>
  <si>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</si>
  <si>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</si>
  <si>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</si>
  <si>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</si>
  <si>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</si>
  <si>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</si>
  <si>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</si>
  <si>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</si>
  <si>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</si>
  <si>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</si>
  <si>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</si>
  <si>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</si>
  <si>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</si>
  <si>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</si>
  <si>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</si>
  <si>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</si>
  <si>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</si>
  <si>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</si>
  <si>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</si>
  <si>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</si>
  <si>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</si>
  <si>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</si>
  <si>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</si>
  <si>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</si>
  <si>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</si>
  <si>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</si>
  <si>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</si>
  <si>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</si>
  <si>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</si>
  <si>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</si>
  <si>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</si>
  <si>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</si>
  <si>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</si>
  <si>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</si>
  <si>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</si>
  <si>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</si>
  <si>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</si>
  <si>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</si>
  <si>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</si>
  <si>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</si>
  <si>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</si>
  <si>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</si>
  <si>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</si>
  <si>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</si>
  <si>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</si>
  <si>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</si>
  <si>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</si>
  <si>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</si>
  <si>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</si>
  <si>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</si>
  <si>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</si>
  <si>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</si>
  <si>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</si>
  <si>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</si>
  <si>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</si>
  <si>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</si>
  <si>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</si>
  <si>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</si>
  <si>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</si>
  <si>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</si>
  <si>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</si>
  <si>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</si>
  <si>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</si>
  <si>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</si>
  <si>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</si>
  <si>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</si>
  <si>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</si>
  <si>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</si>
  <si>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</si>
  <si>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</si>
  <si>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</si>
  <si>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</si>
  <si>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</si>
  <si>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</si>
  <si>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</si>
  <si>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</si>
  <si>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</si>
  <si>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</si>
  <si>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</si>
  <si>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</si>
  <si>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</si>
  <si>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</si>
  <si>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</si>
  <si>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</si>
  <si>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</si>
  <si>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</si>
  <si>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</si>
  <si>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</si>
  <si>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</si>
  <si>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</si>
  <si>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</si>
  <si>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</si>
  <si>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</si>
  <si>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</si>
  <si>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</si>
  <si>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</si>
  <si>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</si>
  <si>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</si>
  <si>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</si>
  <si>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</si>
  <si>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</si>
  <si>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</si>
  <si>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</si>
  <si>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</si>
  <si>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</si>
  <si>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</si>
  <si>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</si>
  <si>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</si>
  <si>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</si>
  <si>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</si>
  <si>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</si>
  <si>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</si>
  <si>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</si>
  <si>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</si>
  <si>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</si>
  <si>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</si>
  <si>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</si>
  <si>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</si>
  <si>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</si>
  <si>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</si>
  <si>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</si>
  <si>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</si>
  <si>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</si>
  <si>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</si>
  <si>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</si>
  <si>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</si>
  <si>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</si>
  <si>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</si>
  <si>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</si>
  <si>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</si>
  <si>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</si>
  <si>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</si>
  <si>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</si>
  <si>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</si>
  <si>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</si>
  <si>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</si>
  <si>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</si>
  <si>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</si>
  <si>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</si>
  <si>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</si>
  <si>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</si>
  <si>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</si>
  <si>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</si>
  <si>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</si>
  <si>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</si>
  <si>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</si>
  <si>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</si>
  <si>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</si>
  <si>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</si>
  <si>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</si>
  <si>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</si>
  <si>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</si>
  <si>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</si>
  <si>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</si>
  <si>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</si>
  <si>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</si>
  <si>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</si>
  <si>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</si>
  <si>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</si>
  <si>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</si>
  <si>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</si>
  <si>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</si>
  <si>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</si>
  <si>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</si>
  <si>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</si>
  <si>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</si>
  <si>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</si>
  <si>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</si>
  <si>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</si>
  <si>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</si>
  <si>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</si>
  <si>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</si>
  <si>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</si>
  <si>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</si>
  <si>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</si>
  <si>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</si>
  <si>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</si>
  <si>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</si>
  <si>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</si>
  <si>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</si>
  <si>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</si>
  <si>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</si>
  <si>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</si>
  <si>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</si>
  <si>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</si>
  <si>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</si>
  <si>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</si>
  <si>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</si>
  <si>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</si>
  <si>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</si>
  <si>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</si>
  <si>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</si>
  <si>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</si>
  <si>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</si>
  <si>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</si>
  <si>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</si>
  <si>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</si>
  <si>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</si>
  <si>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</si>
  <si>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</si>
  <si>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</si>
  <si>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</si>
  <si>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</si>
  <si>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</si>
  <si>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</si>
  <si>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</si>
  <si>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</si>
  <si>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</si>
  <si>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</si>
  <si>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</si>
  <si>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</si>
  <si>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</si>
  <si>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</si>
  <si>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</si>
  <si>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</si>
  <si>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</si>
  <si>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</si>
  <si>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</si>
  <si>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</si>
  <si>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</si>
  <si>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</si>
  <si>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</si>
  <si>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</si>
  <si>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</si>
  <si>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</si>
  <si>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</si>
  <si>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</si>
  <si>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</si>
  <si>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</si>
  <si>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</si>
  <si>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</si>
  <si>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</si>
  <si>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</si>
  <si>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</si>
  <si>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</si>
  <si>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</si>
  <si>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</si>
  <si>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</si>
  <si>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</si>
  <si>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</si>
  <si>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</si>
  <si>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</si>
  <si>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</si>
  <si>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</si>
  <si>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</si>
  <si>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</si>
  <si>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</si>
  <si>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</si>
  <si>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</si>
  <si>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</si>
  <si>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</si>
  <si>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</si>
  <si>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</si>
  <si>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</si>
  <si>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</si>
  <si>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</si>
  <si>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</si>
  <si>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</si>
  <si>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</si>
  <si>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</si>
  <si>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</si>
  <si>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</si>
  <si>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</si>
  <si>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</si>
  <si>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</si>
  <si>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</si>
  <si>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</si>
  <si>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</si>
  <si>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</si>
  <si>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</si>
  <si>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</si>
  <si>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</si>
  <si>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</si>
  <si>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</si>
  <si>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</si>
  <si>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</si>
  <si>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</si>
  <si>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</si>
  <si>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</si>
  <si>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</si>
  <si>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</si>
  <si>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</si>
  <si>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</si>
  <si>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</si>
  <si>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</si>
  <si>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</si>
  <si>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</si>
  <si>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</si>
  <si>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</si>
  <si>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</si>
  <si>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</si>
  <si>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</si>
  <si>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</si>
  <si>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</si>
  <si>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</si>
  <si>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</si>
  <si>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</si>
  <si>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</si>
  <si>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</si>
  <si>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</si>
  <si>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</si>
  <si>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</si>
  <si>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</si>
  <si>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</si>
  <si>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</si>
  <si>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</si>
  <si>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</si>
  <si>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</si>
  <si>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</si>
  <si>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</si>
  <si>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</si>
  <si>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</si>
  <si>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</si>
  <si>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</si>
  <si>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</si>
  <si>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</si>
  <si>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</si>
  <si>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</si>
  <si>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</si>
  <si>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</si>
  <si>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</si>
  <si>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</si>
  <si>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</si>
  <si>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</si>
  <si>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</si>
  <si>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</si>
  <si>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</si>
  <si>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</si>
  <si>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</si>
  <si>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</si>
  <si>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</si>
  <si>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</si>
  <si>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</si>
  <si>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</si>
  <si>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</si>
  <si>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</si>
  <si>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</si>
  <si>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</si>
  <si>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</si>
  <si>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</si>
  <si>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</si>
  <si>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</si>
  <si>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</si>
  <si>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</si>
  <si>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</si>
  <si>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</si>
  <si>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</si>
  <si>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</si>
  <si>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</si>
  <si>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</si>
  <si>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</si>
  <si>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</si>
  <si>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</si>
  <si>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</si>
  <si>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</si>
  <si>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</si>
  <si>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</si>
  <si>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</si>
  <si>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</si>
  <si>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</si>
  <si>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</si>
  <si>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</si>
  <si>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</si>
  <si>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</si>
  <si>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</si>
  <si>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</si>
  <si>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</si>
  <si>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</si>
  <si>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</si>
  <si>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</si>
  <si>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</si>
  <si>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</si>
  <si>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</si>
  <si>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</si>
  <si>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</si>
  <si>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</si>
  <si>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</si>
  <si>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</si>
  <si>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</si>
  <si>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</si>
  <si>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</si>
  <si>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</si>
  <si>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</si>
  <si>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</si>
  <si>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</si>
  <si>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</si>
  <si>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</si>
  <si>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</si>
  <si>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</si>
  <si>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</si>
  <si>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</si>
  <si>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</si>
  <si>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</si>
  <si>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</si>
  <si>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</si>
  <si>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</si>
  <si>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</si>
  <si>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</si>
  <si>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</si>
  <si>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</si>
  <si>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</si>
  <si>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</si>
  <si>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</si>
  <si>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</si>
  <si>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</si>
  <si>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</si>
  <si>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</si>
  <si>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</si>
  <si>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</si>
  <si>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</si>
  <si>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</si>
  <si>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</si>
  <si>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</si>
  <si>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</si>
  <si>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</si>
  <si>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</si>
  <si>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</si>
  <si>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</si>
  <si>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</si>
  <si>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</si>
  <si>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</si>
  <si>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</si>
  <si>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</si>
  <si>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</si>
  <si>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</si>
  <si>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</si>
  <si>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</si>
  <si>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</si>
  <si>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</si>
  <si>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</si>
  <si>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</si>
  <si>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</si>
  <si>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</si>
  <si>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</si>
  <si>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</si>
  <si>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</si>
  <si>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</si>
  <si>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</si>
  <si>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</si>
  <si>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</si>
  <si>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</si>
  <si>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</si>
  <si>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</si>
  <si>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</si>
  <si>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</si>
  <si>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</si>
  <si>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</si>
  <si>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</si>
  <si>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</si>
  <si>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</si>
  <si>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</si>
  <si>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</si>
  <si>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</si>
  <si>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</si>
  <si>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</si>
  <si>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</si>
  <si>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</si>
  <si>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</si>
  <si>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</si>
  <si>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</si>
  <si>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</si>
  <si>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</si>
  <si>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</si>
  <si>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</si>
  <si>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</si>
  <si>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</si>
  <si>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</si>
  <si>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</si>
  <si>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</si>
  <si>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</si>
  <si>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</si>
  <si>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</si>
  <si>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</si>
  <si>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</si>
  <si>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</si>
  <si>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</si>
  <si>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</si>
  <si>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</si>
  <si>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</si>
  <si>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</si>
  <si>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</si>
  <si>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</si>
  <si>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</si>
  <si>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</si>
  <si>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</si>
  <si>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</si>
  <si>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</si>
  <si>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</si>
  <si>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</si>
  <si>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</si>
  <si>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</si>
  <si>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</si>
  <si>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</si>
  <si>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</si>
  <si>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</si>
  <si>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</si>
  <si>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</si>
  <si>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</si>
  <si>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</si>
  <si>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</si>
  <si>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</si>
  <si>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</si>
  <si>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</si>
  <si>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</si>
  <si>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</si>
  <si>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</si>
  <si>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</si>
  <si>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</si>
  <si>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</si>
  <si>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</si>
  <si>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</si>
  <si>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</si>
  <si>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</si>
  <si>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</si>
  <si>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</si>
  <si>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</si>
  <si>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</si>
  <si>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</si>
  <si>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</si>
  <si>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</si>
  <si>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</si>
  <si>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</si>
  <si>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</si>
  <si>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</si>
  <si>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</si>
  <si>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</si>
  <si>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</si>
  <si>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</si>
  <si>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</si>
  <si>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</si>
  <si>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</si>
  <si>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</si>
  <si>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</si>
  <si>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</si>
  <si>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</si>
  <si>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</si>
  <si>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</si>
  <si>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</si>
  <si>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</si>
  <si>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</si>
  <si>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</si>
  <si>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16:30</t>
  </si>
  <si>
    <t>14 min 45 s</t>
  </si>
  <si>
    <t>14 min 50 s</t>
  </si>
  <si>
    <t>15 min 01 s</t>
  </si>
  <si>
    <t>09:30</t>
  </si>
  <si>
    <t>15 min 32 s</t>
  </si>
  <si>
    <t>Libuš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</si>
  <si>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</si>
  <si>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</si>
  <si>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</si>
  <si>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</si>
  <si>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</si>
  <si>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</si>
  <si>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</si>
  <si>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</si>
  <si>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</si>
  <si>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</si>
  <si>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</si>
  <si>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</si>
  <si>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</si>
  <si>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</si>
  <si>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</si>
  <si>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</si>
  <si>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</si>
  <si>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</si>
  <si>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</si>
  <si>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</si>
  <si>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Serin David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</si>
  <si>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</si>
  <si>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</si>
  <si>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</si>
  <si>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</si>
  <si>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</si>
  <si>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Bubník Martin</t>
  </si>
  <si>
    <t>8:00</t>
  </si>
  <si>
    <t>29:00</t>
  </si>
  <si>
    <t>Dušek Sam</t>
  </si>
  <si>
    <t>7:00</t>
  </si>
  <si>
    <t>15 min 43 s</t>
  </si>
  <si>
    <t>Vlož Souhrn mzdy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</si>
  <si>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</si>
  <si>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</si>
  <si>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</si>
  <si>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</si>
  <si>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Eszenyiová Patrícia</t>
  </si>
  <si>
    <t>10:00 - 17:00 (Instor)</t>
  </si>
  <si>
    <t>17:00 - 23:00 (Instor)</t>
  </si>
  <si>
    <t>17:00 - 0:00 (Instor)</t>
  </si>
  <si>
    <t>17:00 - 1:00 (Instor)</t>
  </si>
  <si>
    <t>17:00 - 3:00 (Instor)</t>
  </si>
  <si>
    <t>11:00 - 1:00 (Kurýr)</t>
  </si>
  <si>
    <t>17:00 - 21:00 (Kurýr)</t>
  </si>
  <si>
    <t>Robert Lisý</t>
  </si>
  <si>
    <t>17:00 - 0:00 (Kurýr)</t>
  </si>
  <si>
    <t>11:00 - 17:00 (Kurýr)</t>
  </si>
  <si>
    <t>Nedvěd Dominik</t>
  </si>
  <si>
    <t>11:00 - 15:00 (Kurýr)</t>
  </si>
  <si>
    <t>Jurkovič Martin</t>
  </si>
  <si>
    <t>11:00 - 19:00 (Kurýr)</t>
  </si>
  <si>
    <t>Coufal Jakub</t>
  </si>
  <si>
    <t>19:00 - 23:00 (Kurýr)</t>
  </si>
  <si>
    <t>17:00 - 22:00 (Kurýr)</t>
  </si>
  <si>
    <t>10:00 - 1:00 (Instor)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</si>
</sst>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sz val="22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2.0"/>
      <color theme="1"/>
      <name val="&quot;Google Sans Mono&quot;"/>
    </font>
    <font>
      <b/>
      <sz val="14.0"/>
      <color theme="1"/>
      <name val="Arial"/>
      <scheme val="minor"/>
    </font>
    <font>
      <b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4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2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18" fillId="9" fontId="2" numFmtId="0" xfId="0" applyAlignment="1" applyBorder="1" applyFont="1">
      <alignment horizontal="center" readingOrder="0" vertical="center"/>
    </xf>
    <xf borderId="17" fillId="0" fontId="6" numFmtId="0" xfId="0" applyBorder="1" applyFont="1"/>
    <xf borderId="3" fillId="11" fontId="15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0" fillId="5" fontId="16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4" fillId="9" fontId="2" numFmtId="49" xfId="0" applyAlignment="1" applyBorder="1" applyFont="1" applyNumberFormat="1">
      <alignment horizontal="center" readingOrder="0" vertical="center"/>
    </xf>
    <xf borderId="25" fillId="12" fontId="17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6" fillId="0" fontId="6" numFmtId="0" xfId="0" applyBorder="1" applyFont="1"/>
    <xf borderId="24" fillId="0" fontId="6" numFmtId="0" xfId="0" applyBorder="1" applyFont="1"/>
    <xf borderId="12" fillId="0" fontId="6" numFmtId="0" xfId="0" applyBorder="1" applyFont="1"/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7" fillId="9" fontId="1" numFmtId="49" xfId="0" applyAlignment="1" applyBorder="1" applyFont="1" applyNumberFormat="1">
      <alignment readingOrder="0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8" numFmtId="0" xfId="0" applyAlignment="1" applyFont="1">
      <alignment horizontal="center" readingOrder="0" shrinkToFit="0" vertical="center" wrapText="1"/>
    </xf>
    <xf borderId="0" fillId="9" fontId="19" numFmtId="0" xfId="0" applyAlignment="1" applyFont="1">
      <alignment horizontal="center" readingOrder="0" vertical="center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7" fillId="10" fontId="18" numFmtId="0" xfId="0" applyAlignment="1" applyBorder="1" applyFont="1">
      <alignment horizontal="center" shrinkToFit="0" wrapText="1"/>
    </xf>
    <xf borderId="27" fillId="10" fontId="14" numFmtId="0" xfId="0" applyAlignment="1" applyBorder="1" applyFont="1">
      <alignment horizontal="center" shrinkToFit="0" wrapText="1"/>
    </xf>
    <xf borderId="25" fillId="10" fontId="14" numFmtId="0" xfId="0" applyAlignment="1" applyBorder="1" applyFont="1">
      <alignment horizontal="center" shrinkToFit="0" wrapText="1"/>
    </xf>
    <xf borderId="27" fillId="13" fontId="18" numFmtId="0" xfId="0" applyAlignment="1" applyBorder="1" applyFill="1" applyFont="1">
      <alignment horizontal="center" shrinkToFit="0" wrapText="1"/>
    </xf>
    <xf borderId="27" fillId="13" fontId="18" numFmtId="166" xfId="0" applyAlignment="1" applyBorder="1" applyFont="1" applyNumberFormat="1">
      <alignment horizontal="center" shrinkToFit="0" wrapText="1"/>
    </xf>
    <xf borderId="27" fillId="13" fontId="2" numFmtId="0" xfId="0" applyAlignment="1" applyBorder="1" applyFont="1">
      <alignment horizontal="center"/>
    </xf>
    <xf borderId="25" fillId="13" fontId="18" numFmtId="0" xfId="0" applyAlignment="1" applyBorder="1" applyFont="1">
      <alignment horizontal="center" shrinkToFit="0" wrapText="1"/>
    </xf>
    <xf borderId="0" fillId="5" fontId="2" numFmtId="2" xfId="0" applyFont="1" applyNumberFormat="1"/>
    <xf borderId="21" fillId="0" fontId="14" numFmtId="0" xfId="0" applyAlignment="1" applyBorder="1" applyFont="1">
      <alignment horizontal="center" vertical="center"/>
    </xf>
    <xf borderId="28" fillId="10" fontId="14" numFmtId="0" xfId="0" applyAlignment="1" applyBorder="1" applyFont="1">
      <alignment horizontal="center" shrinkToFit="0" wrapText="1"/>
    </xf>
    <xf borderId="29" fillId="10" fontId="18" numFmtId="0" xfId="0" applyAlignment="1" applyBorder="1" applyFont="1">
      <alignment horizontal="center" shrinkToFit="0" wrapText="1"/>
    </xf>
    <xf borderId="29" fillId="10" fontId="14" numFmtId="0" xfId="0" applyAlignment="1" applyBorder="1" applyFont="1">
      <alignment horizontal="center" shrinkToFit="0" wrapText="1"/>
    </xf>
    <xf borderId="30" fillId="10" fontId="18" numFmtId="0" xfId="0" applyAlignment="1" applyBorder="1" applyFont="1">
      <alignment horizontal="center" shrinkToFit="0" wrapText="1"/>
    </xf>
    <xf borderId="27" fillId="9" fontId="2" numFmtId="49" xfId="0" applyAlignment="1" applyBorder="1" applyFont="1" applyNumberFormat="1">
      <alignment horizontal="center" readingOrder="0" vertical="center"/>
    </xf>
    <xf borderId="27" fillId="12" fontId="17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1" fillId="0" fontId="6" numFmtId="0" xfId="0" applyBorder="1" applyFont="1"/>
    <xf borderId="32" fillId="0" fontId="6" numFmtId="0" xfId="0" applyBorder="1" applyFont="1"/>
    <xf borderId="33" fillId="15" fontId="18" numFmtId="0" xfId="0" applyAlignment="1" applyBorder="1" applyFill="1" applyFont="1">
      <alignment horizontal="center" shrinkToFit="0" wrapText="1"/>
    </xf>
    <xf borderId="25" fillId="16" fontId="2" numFmtId="0" xfId="0" applyAlignment="1" applyBorder="1" applyFill="1" applyFont="1">
      <alignment horizontal="center"/>
    </xf>
    <xf borderId="27" fillId="9" fontId="2" numFmtId="49" xfId="0" applyAlignment="1" applyBorder="1" applyFont="1" applyNumberFormat="1">
      <alignment horizontal="center" readingOrder="0"/>
    </xf>
    <xf borderId="34" fillId="10" fontId="14" numFmtId="0" xfId="0" applyAlignment="1" applyBorder="1" applyFont="1">
      <alignment horizontal="center" shrinkToFit="0" wrapText="1"/>
    </xf>
    <xf borderId="28" fillId="0" fontId="6" numFmtId="0" xfId="0" applyBorder="1" applyFont="1"/>
    <xf borderId="35" fillId="16" fontId="2" numFmtId="0" xfId="0" applyAlignment="1" applyBorder="1" applyFont="1">
      <alignment horizontal="center"/>
    </xf>
    <xf borderId="33" fillId="0" fontId="6" numFmtId="0" xfId="0" applyBorder="1" applyFont="1"/>
    <xf borderId="27" fillId="13" fontId="2" numFmtId="10" xfId="0" applyAlignment="1" applyBorder="1" applyFont="1" applyNumberFormat="1">
      <alignment horizontal="center"/>
    </xf>
    <xf borderId="25" fillId="13" fontId="2" numFmtId="0" xfId="0" applyAlignment="1" applyBorder="1" applyFont="1">
      <alignment horizontal="center"/>
    </xf>
    <xf borderId="0" fillId="17" fontId="2" numFmtId="0" xfId="0" applyFill="1" applyFont="1"/>
    <xf borderId="0" fillId="2" fontId="21" numFmtId="2" xfId="0" applyAlignment="1" applyFont="1" applyNumberFormat="1">
      <alignment horizontal="center" vertical="center"/>
    </xf>
    <xf borderId="36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15" fillId="17" fontId="2" numFmtId="0" xfId="0" applyBorder="1" applyFont="1"/>
    <xf borderId="37" fillId="13" fontId="2" numFmtId="10" xfId="0" applyAlignment="1" applyBorder="1" applyFont="1" applyNumberFormat="1">
      <alignment horizontal="center"/>
    </xf>
    <xf borderId="38" fillId="13" fontId="2" numFmtId="10" xfId="0" applyAlignment="1" applyBorder="1" applyFont="1" applyNumberFormat="1">
      <alignment horizontal="center"/>
    </xf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39" fillId="5" fontId="10" numFmtId="0" xfId="0" applyAlignment="1" applyBorder="1" applyFont="1">
      <alignment horizontal="center" vertical="center"/>
    </xf>
    <xf borderId="38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0" fillId="5" fontId="14" numFmtId="0" xfId="0" applyAlignment="1" applyBorder="1" applyFont="1">
      <alignment horizontal="center" readingOrder="0" vertical="center"/>
    </xf>
    <xf borderId="3" fillId="5" fontId="15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4" fillId="14" fontId="2" numFmtId="49" xfId="0" applyAlignment="1" applyBorder="1" applyFont="1" applyNumberFormat="1">
      <alignment horizontal="center" readingOrder="0" vertical="center"/>
    </xf>
    <xf borderId="40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2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Alignment="1" applyBorder="1" applyFont="1">
      <alignment horizontal="center" vertical="center"/>
    </xf>
    <xf borderId="0" fillId="5" fontId="18" numFmtId="0" xfId="0" applyAlignment="1" applyFont="1">
      <alignment horizontal="center" readingOrder="0" shrinkToFit="0" vertical="center" wrapText="1"/>
    </xf>
    <xf borderId="41" fillId="10" fontId="18" numFmtId="0" xfId="0" applyAlignment="1" applyBorder="1" applyFont="1">
      <alignment horizontal="center" shrinkToFit="0" vertical="center" wrapText="1"/>
    </xf>
    <xf borderId="42" fillId="10" fontId="18" numFmtId="0" xfId="0" applyAlignment="1" applyBorder="1" applyFont="1">
      <alignment horizontal="center" shrinkToFit="0" vertical="center" wrapText="1"/>
    </xf>
    <xf borderId="42" fillId="10" fontId="14" numFmtId="0" xfId="0" applyAlignment="1" applyBorder="1" applyFont="1">
      <alignment horizontal="center" shrinkToFit="0" vertical="center" wrapText="1"/>
    </xf>
    <xf borderId="43" fillId="10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6" numFmtId="0" xfId="0" applyBorder="1" applyFont="1"/>
    <xf borderId="44" fillId="13" fontId="18" numFmtId="0" xfId="0" applyAlignment="1" applyBorder="1" applyFont="1">
      <alignment horizontal="center" readingOrder="0" shrinkToFit="0" vertical="center" wrapText="1"/>
    </xf>
    <xf borderId="27" fillId="13" fontId="18" numFmtId="166" xfId="0" applyAlignment="1" applyBorder="1" applyFont="1" applyNumberFormat="1">
      <alignment horizontal="center" readingOrder="0" shrinkToFit="0" vertical="center" wrapText="1"/>
    </xf>
    <xf borderId="27" fillId="13" fontId="2" numFmtId="0" xfId="0" applyAlignment="1" applyBorder="1" applyFont="1">
      <alignment horizontal="center" readingOrder="0" vertical="center"/>
    </xf>
    <xf borderId="25" fillId="13" fontId="18" numFmtId="0" xfId="0" applyAlignment="1" applyBorder="1" applyFont="1">
      <alignment horizontal="center" readingOrder="0" shrinkToFit="0" vertical="center" wrapText="1"/>
    </xf>
    <xf borderId="45" fillId="10" fontId="14" numFmtId="0" xfId="0" applyAlignment="1" applyBorder="1" applyFont="1">
      <alignment horizontal="center" shrinkToFit="0" vertical="center" wrapText="1"/>
    </xf>
    <xf borderId="29" fillId="10" fontId="18" numFmtId="0" xfId="0" applyAlignment="1" applyBorder="1" applyFont="1">
      <alignment horizontal="center" shrinkToFit="0" vertical="center" wrapText="1"/>
    </xf>
    <xf borderId="29" fillId="10" fontId="14" numFmtId="0" xfId="0" applyAlignment="1" applyBorder="1" applyFont="1">
      <alignment horizontal="center" shrinkToFit="0" vertical="center" wrapText="1"/>
    </xf>
    <xf borderId="30" fillId="10" fontId="18" numFmtId="0" xfId="0" applyAlignment="1" applyBorder="1" applyFont="1">
      <alignment horizontal="center" shrinkToFit="0" vertical="center" wrapText="1"/>
    </xf>
    <xf borderId="44" fillId="15" fontId="18" numFmtId="0" xfId="0" applyAlignment="1" applyBorder="1" applyFont="1">
      <alignment horizontal="center" readingOrder="0" shrinkToFit="0" vertical="center" wrapText="1"/>
    </xf>
    <xf borderId="25" fillId="20" fontId="2" numFmtId="0" xfId="0" applyAlignment="1" applyBorder="1" applyFill="1" applyFont="1">
      <alignment horizontal="center" readingOrder="0" vertical="center"/>
    </xf>
    <xf borderId="46" fillId="10" fontId="14" numFmtId="0" xfId="0" applyAlignment="1" applyBorder="1" applyFont="1">
      <alignment horizontal="center" shrinkToFit="0" vertical="center" wrapText="1"/>
    </xf>
    <xf borderId="29" fillId="10" fontId="14" numFmtId="169" xfId="0" applyAlignment="1" applyBorder="1" applyFont="1" applyNumberFormat="1">
      <alignment horizontal="center" shrinkToFit="0" vertical="center" wrapText="1"/>
    </xf>
    <xf borderId="30" fillId="10" fontId="18" numFmtId="169" xfId="0" applyAlignment="1" applyBorder="1" applyFont="1" applyNumberFormat="1">
      <alignment horizontal="center" shrinkToFit="0" vertical="center" wrapText="1"/>
    </xf>
    <xf borderId="47" fillId="20" fontId="2" numFmtId="0" xfId="0" applyAlignment="1" applyBorder="1" applyFont="1">
      <alignment horizontal="center" readingOrder="0" vertical="center"/>
    </xf>
    <xf borderId="27" fillId="13" fontId="2" numFmtId="10" xfId="0" applyAlignment="1" applyBorder="1" applyFont="1" applyNumberFormat="1">
      <alignment horizontal="center" readingOrder="0" vertical="center"/>
    </xf>
    <xf borderId="25" fillId="13" fontId="2" numFmtId="0" xfId="0" applyAlignment="1" applyBorder="1" applyFont="1">
      <alignment horizontal="center" readingOrder="0" vertical="center"/>
    </xf>
    <xf borderId="18" fillId="17" fontId="2" numFmtId="169" xfId="0" applyAlignment="1" applyBorder="1" applyFont="1" applyNumberFormat="1">
      <alignment horizontal="center" vertical="center"/>
    </xf>
    <xf borderId="29" fillId="10" fontId="18" numFmtId="169" xfId="0" applyAlignment="1" applyBorder="1" applyFont="1" applyNumberFormat="1">
      <alignment horizontal="center" shrinkToFit="0" vertical="center" wrapText="1"/>
    </xf>
    <xf borderId="37" fillId="13" fontId="2" numFmtId="10" xfId="0" applyAlignment="1" applyBorder="1" applyFont="1" applyNumberFormat="1">
      <alignment horizontal="center" readingOrder="0" vertical="center"/>
    </xf>
    <xf borderId="38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1" fontId="1" numFmtId="0" xfId="0" applyFill="1" applyFont="1"/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2" numFmtId="0" xfId="0" applyAlignment="1" applyFont="1">
      <alignment vertical="bottom"/>
    </xf>
    <xf borderId="19" fillId="22" fontId="26" numFmtId="0" xfId="0" applyAlignment="1" applyBorder="1" applyFill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45531.0</v>
      </c>
      <c r="B2" s="1" t="s">
        <v>88</v>
      </c>
      <c r="C2" s="1" t="s">
        <v>89</v>
      </c>
      <c r="D2" s="4">
        <v>289.0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-3.0</v>
      </c>
      <c r="O2" s="4">
        <v>11.8191</v>
      </c>
    </row>
    <row r="3">
      <c r="A3" s="7">
        <v>45531.0</v>
      </c>
      <c r="B3" s="1" t="s">
        <v>95</v>
      </c>
      <c r="C3" s="1" t="s">
        <v>89</v>
      </c>
      <c r="D3" s="4">
        <v>400.0</v>
      </c>
      <c r="E3" s="4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4">
        <v>0.0</v>
      </c>
      <c r="N3" s="4">
        <v>0.009433333333333334</v>
      </c>
      <c r="O3" s="4">
        <v>10.741433333333333</v>
      </c>
    </row>
    <row r="4">
      <c r="A4" s="7">
        <v>45531.0</v>
      </c>
      <c r="B4" s="1" t="s">
        <v>88</v>
      </c>
      <c r="C4" s="1" t="s">
        <v>89</v>
      </c>
      <c r="D4" s="4">
        <v>464.0</v>
      </c>
      <c r="E4" s="4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4">
        <v>-4.0</v>
      </c>
      <c r="O4" s="4">
        <v>10.0414</v>
      </c>
    </row>
    <row r="5">
      <c r="A5" s="7">
        <v>45531.0</v>
      </c>
      <c r="B5" s="1" t="s">
        <v>104</v>
      </c>
      <c r="C5" s="1" t="s">
        <v>105</v>
      </c>
      <c r="D5" s="4">
        <v>329.0</v>
      </c>
      <c r="E5" s="4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4">
        <v>-1.0</v>
      </c>
      <c r="O5" s="4">
        <v>13.0708</v>
      </c>
    </row>
    <row r="6">
      <c r="A6" s="7">
        <v>45531.0</v>
      </c>
      <c r="B6" s="1" t="s">
        <v>104</v>
      </c>
      <c r="C6" s="1" t="s">
        <v>105</v>
      </c>
      <c r="D6" s="4">
        <v>329.0</v>
      </c>
      <c r="E6" s="4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4">
        <v>-6.0</v>
      </c>
      <c r="O6" s="4">
        <v>8.68665</v>
      </c>
    </row>
    <row r="7">
      <c r="A7" s="7">
        <v>45531.0</v>
      </c>
      <c r="B7" s="1" t="s">
        <v>88</v>
      </c>
      <c r="C7" s="1" t="s">
        <v>89</v>
      </c>
      <c r="D7" s="4">
        <v>321.0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4">
        <v>-2.0</v>
      </c>
      <c r="O7" s="4">
        <v>13.3126</v>
      </c>
    </row>
    <row r="8">
      <c r="A8" s="7">
        <v>45531.0</v>
      </c>
      <c r="B8" s="1" t="s">
        <v>104</v>
      </c>
      <c r="C8" s="1" t="s">
        <v>105</v>
      </c>
      <c r="D8" s="4">
        <v>321.0</v>
      </c>
      <c r="E8" s="4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4">
        <v>-2.0</v>
      </c>
      <c r="O8" s="4">
        <v>12.273</v>
      </c>
    </row>
    <row r="9">
      <c r="A9" s="7">
        <v>45531.0</v>
      </c>
      <c r="B9" s="1" t="s">
        <v>95</v>
      </c>
      <c r="C9" s="1" t="s">
        <v>89</v>
      </c>
      <c r="D9" s="4">
        <v>299.0</v>
      </c>
      <c r="E9" s="4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4">
        <v>10.0</v>
      </c>
      <c r="N9" s="4">
        <v>0.0101</v>
      </c>
      <c r="O9" s="4">
        <v>11.6734</v>
      </c>
    </row>
    <row r="10">
      <c r="A10" s="7">
        <v>45531.0</v>
      </c>
      <c r="B10" s="1" t="s">
        <v>95</v>
      </c>
      <c r="C10" s="1" t="s">
        <v>89</v>
      </c>
      <c r="D10" s="4">
        <v>288.0</v>
      </c>
      <c r="E10" s="4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4">
        <v>-1.0</v>
      </c>
      <c r="N10" s="4">
        <v>0.008283333333333334</v>
      </c>
      <c r="O10" s="4">
        <v>10.429033333333333</v>
      </c>
    </row>
    <row r="11">
      <c r="A11" s="7">
        <v>45531.0</v>
      </c>
      <c r="B11" s="1" t="s">
        <v>88</v>
      </c>
      <c r="C11" s="1" t="s">
        <v>89</v>
      </c>
      <c r="D11" s="4">
        <v>394.0</v>
      </c>
      <c r="E11" s="4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4">
        <v>1.0</v>
      </c>
      <c r="O11" s="4">
        <v>16.4414</v>
      </c>
    </row>
    <row r="12">
      <c r="A12" s="7">
        <v>45531.0</v>
      </c>
      <c r="B12" s="1" t="s">
        <v>127</v>
      </c>
      <c r="C12" s="1" t="s">
        <v>105</v>
      </c>
      <c r="D12" s="4">
        <v>264.0</v>
      </c>
      <c r="E12" s="4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4">
        <v>1.0</v>
      </c>
      <c r="O12" s="4">
        <v>11.841666666666667</v>
      </c>
    </row>
    <row r="13">
      <c r="A13" s="7">
        <v>45531.0</v>
      </c>
      <c r="B13" s="1" t="s">
        <v>127</v>
      </c>
      <c r="C13" s="1" t="s">
        <v>105</v>
      </c>
      <c r="D13" s="4">
        <v>264.0</v>
      </c>
      <c r="E13" s="4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4">
        <v>0.0</v>
      </c>
      <c r="O13" s="4">
        <v>9.892133333333334</v>
      </c>
    </row>
    <row r="14">
      <c r="A14" s="7">
        <v>45531.0</v>
      </c>
      <c r="B14" s="1" t="s">
        <v>95</v>
      </c>
      <c r="C14" s="1" t="s">
        <v>89</v>
      </c>
      <c r="D14" s="4">
        <v>309.0</v>
      </c>
      <c r="E14" s="4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4">
        <v>1.0</v>
      </c>
      <c r="N14" s="4">
        <v>0.0082</v>
      </c>
      <c r="O14" s="4">
        <v>11.110533333333333</v>
      </c>
    </row>
    <row r="15">
      <c r="A15" s="7">
        <v>45531.0</v>
      </c>
      <c r="B15" s="1" t="s">
        <v>95</v>
      </c>
      <c r="C15" s="1" t="s">
        <v>89</v>
      </c>
      <c r="D15" s="4">
        <v>250.0</v>
      </c>
      <c r="E15" s="4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4">
        <v>-5.0</v>
      </c>
      <c r="N15" s="4">
        <v>0.0089</v>
      </c>
      <c r="O15" s="4">
        <v>11.5456</v>
      </c>
    </row>
    <row r="16">
      <c r="A16" s="7">
        <v>45531.0</v>
      </c>
      <c r="B16" s="1" t="s">
        <v>127</v>
      </c>
      <c r="C16" s="1" t="s">
        <v>89</v>
      </c>
      <c r="D16" s="4">
        <v>394.0</v>
      </c>
      <c r="E16" s="4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4">
        <v>0.0</v>
      </c>
      <c r="O16" s="4">
        <v>13.0193</v>
      </c>
    </row>
    <row r="17">
      <c r="A17" s="7">
        <v>45531.0</v>
      </c>
      <c r="B17" s="1" t="s">
        <v>127</v>
      </c>
      <c r="C17" s="1" t="s">
        <v>89</v>
      </c>
      <c r="D17" s="4">
        <v>358.0</v>
      </c>
      <c r="E17" s="4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4">
        <v>0.0</v>
      </c>
      <c r="O17" s="4">
        <v>11.024483333333333</v>
      </c>
    </row>
    <row r="18">
      <c r="A18" s="7">
        <v>45531.0</v>
      </c>
      <c r="B18" s="1" t="s">
        <v>104</v>
      </c>
      <c r="C18" s="1" t="s">
        <v>105</v>
      </c>
      <c r="D18" s="4">
        <v>329.0</v>
      </c>
      <c r="E18" s="4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4">
        <v>-3.0</v>
      </c>
      <c r="O18" s="4">
        <v>11.478066666666667</v>
      </c>
    </row>
    <row r="19">
      <c r="A19" s="7">
        <v>45531.0</v>
      </c>
      <c r="B19" s="1" t="s">
        <v>88</v>
      </c>
      <c r="C19" s="1" t="s">
        <v>89</v>
      </c>
      <c r="D19" s="4">
        <v>264.0</v>
      </c>
      <c r="E19" s="4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4">
        <v>-4.0</v>
      </c>
      <c r="O19" s="4">
        <v>10.516116666666667</v>
      </c>
    </row>
    <row r="20">
      <c r="A20" s="7">
        <v>45531.0</v>
      </c>
      <c r="B20" s="1" t="s">
        <v>95</v>
      </c>
      <c r="C20" s="1" t="s">
        <v>89</v>
      </c>
      <c r="D20" s="4">
        <v>267.0</v>
      </c>
      <c r="E20" s="4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4">
        <v>-8.0</v>
      </c>
      <c r="O20" s="4">
        <v>8.571</v>
      </c>
    </row>
    <row r="21">
      <c r="A21" s="7">
        <v>45531.0</v>
      </c>
      <c r="B21" s="1" t="s">
        <v>95</v>
      </c>
      <c r="C21" s="1" t="s">
        <v>152</v>
      </c>
      <c r="D21" s="4">
        <v>267.0</v>
      </c>
      <c r="E21" s="4">
        <v>67.0</v>
      </c>
      <c r="G21" s="1" t="s">
        <v>149</v>
      </c>
      <c r="H21" s="1" t="s">
        <v>153</v>
      </c>
      <c r="I21" s="1" t="s">
        <v>154</v>
      </c>
      <c r="M21" s="4">
        <v>0.0</v>
      </c>
    </row>
    <row r="22">
      <c r="A22" s="7">
        <v>45531.0</v>
      </c>
      <c r="B22" s="1" t="s">
        <v>127</v>
      </c>
      <c r="C22" s="1" t="s">
        <v>105</v>
      </c>
      <c r="D22" s="4">
        <v>394.0</v>
      </c>
      <c r="E22" s="4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4">
        <v>-2.0</v>
      </c>
      <c r="O22" s="4">
        <v>10.2971</v>
      </c>
    </row>
    <row r="23">
      <c r="A23" s="7">
        <v>45531.0</v>
      </c>
      <c r="B23" s="1" t="s">
        <v>88</v>
      </c>
      <c r="C23" s="1" t="s">
        <v>89</v>
      </c>
      <c r="D23" s="4">
        <v>264.0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4">
        <v>-6.0</v>
      </c>
      <c r="O23" s="4">
        <v>8.067116666666667</v>
      </c>
    </row>
    <row r="24">
      <c r="A24" s="7">
        <v>45531.0</v>
      </c>
      <c r="B24" s="1" t="s">
        <v>127</v>
      </c>
      <c r="C24" s="1" t="s">
        <v>105</v>
      </c>
      <c r="D24" s="4">
        <v>368.0</v>
      </c>
      <c r="E24" s="4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4">
        <v>-2.0</v>
      </c>
      <c r="O24" s="4">
        <v>9.608666666666666</v>
      </c>
    </row>
    <row r="25">
      <c r="A25" s="7">
        <v>45531.0</v>
      </c>
      <c r="B25" s="1" t="s">
        <v>95</v>
      </c>
      <c r="C25" s="1" t="s">
        <v>89</v>
      </c>
      <c r="D25" s="4">
        <v>426.0</v>
      </c>
      <c r="E25" s="4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4">
        <v>15.0</v>
      </c>
      <c r="N25" s="4">
        <v>0.01095</v>
      </c>
      <c r="O25" s="4">
        <v>11.465633333333333</v>
      </c>
    </row>
    <row r="26">
      <c r="A26" s="7">
        <v>45531.0</v>
      </c>
      <c r="B26" s="1" t="s">
        <v>95</v>
      </c>
      <c r="C26" s="1" t="s">
        <v>89</v>
      </c>
      <c r="D26" s="4">
        <v>329.0</v>
      </c>
      <c r="E26" s="4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4">
        <v>0.0</v>
      </c>
      <c r="N26" s="4">
        <v>0.010816666666666667</v>
      </c>
      <c r="O26" s="4">
        <v>9.003516666666666</v>
      </c>
    </row>
    <row r="27">
      <c r="A27" s="7">
        <v>45531.0</v>
      </c>
      <c r="B27" s="1" t="s">
        <v>169</v>
      </c>
      <c r="C27" s="1" t="s">
        <v>89</v>
      </c>
      <c r="D27" s="4">
        <v>90.0</v>
      </c>
      <c r="E27" s="4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4">
        <v>-4.0</v>
      </c>
      <c r="O27" s="4">
        <v>0.6302666666666666</v>
      </c>
    </row>
    <row r="28">
      <c r="A28" s="7">
        <v>45531.0</v>
      </c>
      <c r="B28" s="1" t="s">
        <v>95</v>
      </c>
      <c r="C28" s="1" t="s">
        <v>89</v>
      </c>
      <c r="D28" s="4">
        <v>374.0</v>
      </c>
      <c r="E28" s="4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4">
        <v>-3.0</v>
      </c>
      <c r="N28" s="4">
        <v>0.008183333333333334</v>
      </c>
      <c r="O28" s="4">
        <v>10.143933333333333</v>
      </c>
    </row>
    <row r="29">
      <c r="A29" s="7">
        <v>45531.0</v>
      </c>
      <c r="B29" s="1" t="s">
        <v>127</v>
      </c>
      <c r="C29" s="1" t="s">
        <v>105</v>
      </c>
      <c r="D29" s="4">
        <v>264.0</v>
      </c>
      <c r="E29" s="4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4">
        <v>-1.0</v>
      </c>
      <c r="O29" s="4">
        <v>8.996866666666667</v>
      </c>
    </row>
    <row r="30">
      <c r="A30" s="7">
        <v>45531.0</v>
      </c>
      <c r="B30" s="1" t="s">
        <v>127</v>
      </c>
      <c r="C30" s="1" t="s">
        <v>105</v>
      </c>
      <c r="D30" s="4">
        <v>294.0</v>
      </c>
      <c r="E30" s="4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4">
        <v>-2.0</v>
      </c>
      <c r="O30" s="4">
        <v>9.25065</v>
      </c>
    </row>
    <row r="31">
      <c r="A31" s="7">
        <v>45531.0</v>
      </c>
      <c r="B31" s="1" t="s">
        <v>104</v>
      </c>
      <c r="C31" s="1" t="s">
        <v>105</v>
      </c>
      <c r="D31" s="4">
        <v>368.0</v>
      </c>
      <c r="E31" s="4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4">
        <v>-3.0</v>
      </c>
      <c r="O31" s="4">
        <v>11.316733333333334</v>
      </c>
    </row>
    <row r="32">
      <c r="A32" s="7">
        <v>45531.0</v>
      </c>
      <c r="B32" s="1" t="s">
        <v>127</v>
      </c>
      <c r="C32" s="1" t="s">
        <v>105</v>
      </c>
      <c r="D32" s="4">
        <v>264.0</v>
      </c>
      <c r="E32" s="4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4">
        <v>0.0</v>
      </c>
      <c r="O32" s="4">
        <v>11.13275</v>
      </c>
    </row>
    <row r="33">
      <c r="A33" s="7">
        <v>45531.0</v>
      </c>
      <c r="B33" s="1" t="s">
        <v>88</v>
      </c>
      <c r="C33" s="1" t="s">
        <v>89</v>
      </c>
      <c r="D33" s="4">
        <v>258.0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4">
        <v>-14.0</v>
      </c>
      <c r="O33" s="4">
        <v>0.9019833333333334</v>
      </c>
    </row>
    <row r="34">
      <c r="A34" s="7">
        <v>45531.0</v>
      </c>
      <c r="B34" s="1" t="s">
        <v>169</v>
      </c>
      <c r="C34" s="1" t="s">
        <v>89</v>
      </c>
      <c r="D34" s="4">
        <v>309.0</v>
      </c>
      <c r="E34" s="4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4">
        <v>8.0</v>
      </c>
      <c r="O34" s="4">
        <v>13.98825</v>
      </c>
    </row>
    <row r="35">
      <c r="A35" s="7">
        <v>45531.0</v>
      </c>
      <c r="B35" s="1" t="s">
        <v>169</v>
      </c>
      <c r="C35" s="1" t="s">
        <v>89</v>
      </c>
      <c r="D35" s="4">
        <v>209.0</v>
      </c>
      <c r="E35" s="4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4">
        <v>6.0</v>
      </c>
      <c r="O35" s="4">
        <v>11.871116666666667</v>
      </c>
    </row>
    <row r="36">
      <c r="A36" s="7">
        <v>45531.0</v>
      </c>
      <c r="B36" s="1" t="s">
        <v>95</v>
      </c>
      <c r="C36" s="1" t="s">
        <v>89</v>
      </c>
      <c r="D36" s="4">
        <v>199.0</v>
      </c>
      <c r="E36" s="4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4">
        <v>-4.0</v>
      </c>
      <c r="O36" s="4">
        <v>15.246933333333333</v>
      </c>
    </row>
    <row r="37">
      <c r="A37" s="7">
        <v>45531.0</v>
      </c>
      <c r="B37" s="1" t="s">
        <v>95</v>
      </c>
      <c r="C37" s="1" t="s">
        <v>89</v>
      </c>
      <c r="D37" s="4">
        <v>279.0</v>
      </c>
      <c r="E37" s="4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4">
        <v>-4.0</v>
      </c>
      <c r="O37" s="4">
        <v>14.970983333333333</v>
      </c>
    </row>
    <row r="38">
      <c r="A38" s="7">
        <v>45531.0</v>
      </c>
      <c r="B38" s="1" t="s">
        <v>169</v>
      </c>
      <c r="C38" s="1" t="s">
        <v>152</v>
      </c>
      <c r="D38" s="4">
        <v>249.0</v>
      </c>
      <c r="E38" s="4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4">
        <v>7.0</v>
      </c>
      <c r="O38" s="4">
        <v>12.863816666666667</v>
      </c>
    </row>
    <row r="39">
      <c r="A39" s="7">
        <v>45531.0</v>
      </c>
      <c r="B39" s="1" t="s">
        <v>95</v>
      </c>
      <c r="C39" s="1" t="s">
        <v>89</v>
      </c>
      <c r="D39" s="4">
        <v>247.0</v>
      </c>
      <c r="E39" s="4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4">
        <v>-6.0</v>
      </c>
      <c r="O39" s="4">
        <v>12.694433333333333</v>
      </c>
    </row>
    <row r="40">
      <c r="A40" s="7">
        <v>45531.0</v>
      </c>
      <c r="B40" s="1" t="s">
        <v>88</v>
      </c>
      <c r="C40" s="1" t="s">
        <v>89</v>
      </c>
      <c r="D40" s="4">
        <v>313.0</v>
      </c>
      <c r="E40" s="4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4">
        <v>4.0</v>
      </c>
      <c r="O40" s="4">
        <v>19.777033333333332</v>
      </c>
    </row>
    <row r="41">
      <c r="A41" s="7">
        <v>45531.0</v>
      </c>
      <c r="B41" s="1" t="s">
        <v>127</v>
      </c>
      <c r="C41" s="1" t="s">
        <v>105</v>
      </c>
      <c r="D41" s="4">
        <v>693.0</v>
      </c>
      <c r="E41" s="4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4">
        <v>0.0</v>
      </c>
      <c r="O41" s="4">
        <v>14.46005</v>
      </c>
    </row>
    <row r="42">
      <c r="A42" s="7">
        <v>45531.0</v>
      </c>
      <c r="B42" s="1" t="s">
        <v>104</v>
      </c>
      <c r="C42" s="1" t="s">
        <v>105</v>
      </c>
      <c r="D42" s="4">
        <v>356.0</v>
      </c>
      <c r="E42" s="4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4">
        <v>0.0</v>
      </c>
      <c r="O42" s="4">
        <v>15.28745</v>
      </c>
    </row>
    <row r="43">
      <c r="A43" s="7">
        <v>45531.0</v>
      </c>
      <c r="B43" s="1" t="s">
        <v>95</v>
      </c>
      <c r="C43" s="1" t="s">
        <v>89</v>
      </c>
      <c r="D43" s="4">
        <v>379.0</v>
      </c>
      <c r="E43" s="4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4">
        <v>-5.0</v>
      </c>
      <c r="O43" s="4">
        <v>12.610883333333334</v>
      </c>
    </row>
    <row r="44">
      <c r="A44" s="7">
        <v>45531.0</v>
      </c>
      <c r="B44" s="1" t="s">
        <v>95</v>
      </c>
      <c r="C44" s="1" t="s">
        <v>89</v>
      </c>
      <c r="D44" s="4">
        <v>247.0</v>
      </c>
      <c r="E44" s="4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4">
        <v>-8.0</v>
      </c>
      <c r="O44" s="4">
        <v>10.526083333333334</v>
      </c>
    </row>
    <row r="45">
      <c r="A45" s="7">
        <v>45531.0</v>
      </c>
      <c r="B45" s="1" t="s">
        <v>95</v>
      </c>
      <c r="C45" s="1" t="s">
        <v>89</v>
      </c>
      <c r="D45" s="4">
        <v>245.0</v>
      </c>
      <c r="E45" s="4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4">
        <v>-9.0</v>
      </c>
      <c r="O45" s="4">
        <v>9.184483333333333</v>
      </c>
    </row>
    <row r="46">
      <c r="A46" s="7">
        <v>45531.0</v>
      </c>
      <c r="B46" s="1" t="s">
        <v>88</v>
      </c>
      <c r="C46" s="1" t="s">
        <v>89</v>
      </c>
      <c r="D46" s="4">
        <v>321.0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4">
        <v>8.0</v>
      </c>
      <c r="O46" s="4">
        <v>24.185216666666665</v>
      </c>
    </row>
    <row r="47">
      <c r="A47" s="7">
        <v>45531.0</v>
      </c>
      <c r="B47" s="1" t="s">
        <v>95</v>
      </c>
      <c r="C47" s="1" t="s">
        <v>89</v>
      </c>
      <c r="D47" s="4">
        <v>274.0</v>
      </c>
      <c r="E47" s="4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4">
        <v>-6.0</v>
      </c>
      <c r="N47" s="4">
        <v>0.008466666666666667</v>
      </c>
      <c r="O47" s="4">
        <v>16.068183333333334</v>
      </c>
    </row>
    <row r="48">
      <c r="A48" s="7">
        <v>45531.0</v>
      </c>
      <c r="B48" s="1" t="s">
        <v>127</v>
      </c>
      <c r="C48" s="1" t="s">
        <v>89</v>
      </c>
      <c r="D48" s="4">
        <v>582.0</v>
      </c>
      <c r="E48" s="4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4">
        <v>0.0</v>
      </c>
      <c r="O48" s="4">
        <v>15.7037</v>
      </c>
    </row>
    <row r="49">
      <c r="A49" s="7">
        <v>45531.0</v>
      </c>
      <c r="B49" s="1" t="s">
        <v>127</v>
      </c>
      <c r="C49" s="1" t="s">
        <v>105</v>
      </c>
      <c r="D49" s="4">
        <v>214.0</v>
      </c>
      <c r="E49" s="4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4">
        <v>11.0</v>
      </c>
      <c r="O49" s="4">
        <v>22.53465</v>
      </c>
    </row>
    <row r="50">
      <c r="A50" s="7">
        <v>45531.0</v>
      </c>
      <c r="B50" s="1" t="s">
        <v>95</v>
      </c>
      <c r="C50" s="1" t="s">
        <v>89</v>
      </c>
      <c r="D50" s="4">
        <v>797.0</v>
      </c>
      <c r="E50" s="4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19.6758</v>
      </c>
    </row>
    <row r="51">
      <c r="A51" s="7">
        <v>45531.0</v>
      </c>
      <c r="B51" s="1" t="s">
        <v>127</v>
      </c>
      <c r="C51" s="1" t="s">
        <v>105</v>
      </c>
      <c r="D51" s="4">
        <v>368.0</v>
      </c>
      <c r="E51" s="4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4">
        <v>9.0</v>
      </c>
      <c r="O51" s="4">
        <v>22.38985</v>
      </c>
    </row>
    <row r="52">
      <c r="A52" s="7">
        <v>45531.0</v>
      </c>
      <c r="B52" s="1" t="s">
        <v>127</v>
      </c>
      <c r="C52" s="1" t="s">
        <v>105</v>
      </c>
      <c r="D52" s="4">
        <v>264.0</v>
      </c>
      <c r="E52" s="4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-3.0</v>
      </c>
      <c r="O52" s="4">
        <v>7.4117</v>
      </c>
    </row>
    <row r="53">
      <c r="A53" s="7">
        <v>45531.0</v>
      </c>
      <c r="B53" s="1" t="s">
        <v>95</v>
      </c>
      <c r="C53" s="1" t="s">
        <v>89</v>
      </c>
      <c r="D53" s="4">
        <v>336.0</v>
      </c>
      <c r="E53" s="4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4">
        <v>1.0</v>
      </c>
      <c r="N53" s="4">
        <v>12.3929</v>
      </c>
      <c r="O53" s="4">
        <v>14.58575</v>
      </c>
    </row>
    <row r="54">
      <c r="A54" s="7">
        <v>45531.0</v>
      </c>
      <c r="B54" s="1" t="s">
        <v>95</v>
      </c>
      <c r="C54" s="1" t="s">
        <v>152</v>
      </c>
      <c r="D54" s="4">
        <v>299.0</v>
      </c>
      <c r="E54" s="4">
        <v>75.0</v>
      </c>
      <c r="G54" s="1" t="s">
        <v>149</v>
      </c>
      <c r="H54" s="1" t="s">
        <v>153</v>
      </c>
      <c r="I54" s="1" t="s">
        <v>232</v>
      </c>
      <c r="M54" s="4">
        <v>0.0</v>
      </c>
    </row>
    <row r="55">
      <c r="A55" s="7">
        <v>45531.0</v>
      </c>
      <c r="B55" s="1" t="s">
        <v>104</v>
      </c>
      <c r="C55" s="1" t="s">
        <v>105</v>
      </c>
      <c r="D55" s="4">
        <v>553.0</v>
      </c>
      <c r="E55" s="4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4">
        <v>-5.0</v>
      </c>
      <c r="O55" s="4">
        <v>13.188666666666666</v>
      </c>
    </row>
    <row r="56">
      <c r="A56" s="7">
        <v>45531.0</v>
      </c>
      <c r="B56" s="1" t="s">
        <v>169</v>
      </c>
      <c r="C56" s="1" t="s">
        <v>89</v>
      </c>
      <c r="D56" s="4">
        <v>168.0</v>
      </c>
      <c r="E56" s="4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4">
        <v>3.0</v>
      </c>
      <c r="O56" s="4">
        <v>8.54645</v>
      </c>
    </row>
    <row r="57">
      <c r="A57" s="7">
        <v>45531.0</v>
      </c>
      <c r="B57" s="1" t="s">
        <v>127</v>
      </c>
      <c r="C57" s="1" t="s">
        <v>105</v>
      </c>
      <c r="D57" s="4">
        <v>528.0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-1.0</v>
      </c>
      <c r="O57" s="4">
        <v>12.790866666666666</v>
      </c>
    </row>
    <row r="58">
      <c r="A58" s="7">
        <v>45531.0</v>
      </c>
      <c r="B58" s="1" t="s">
        <v>95</v>
      </c>
      <c r="C58" s="1" t="s">
        <v>89</v>
      </c>
      <c r="D58" s="4">
        <v>299.0</v>
      </c>
      <c r="E58" s="4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4">
        <v>-7.0</v>
      </c>
      <c r="O58" s="4">
        <v>12.055616666666667</v>
      </c>
    </row>
    <row r="59">
      <c r="A59" s="7">
        <v>45531.0</v>
      </c>
      <c r="B59" s="1" t="s">
        <v>95</v>
      </c>
      <c r="C59" s="1" t="s">
        <v>89</v>
      </c>
      <c r="D59" s="4">
        <v>683.0</v>
      </c>
      <c r="E59" s="4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4">
        <v>10.0</v>
      </c>
      <c r="N59" s="4">
        <v>0.012683333333333333</v>
      </c>
      <c r="O59" s="4">
        <v>14.565133333333334</v>
      </c>
    </row>
    <row r="60">
      <c r="A60" s="7">
        <v>45531.0</v>
      </c>
      <c r="B60" s="1" t="s">
        <v>104</v>
      </c>
      <c r="C60" s="1" t="s">
        <v>89</v>
      </c>
      <c r="D60" s="4">
        <v>329.0</v>
      </c>
      <c r="E60" s="4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4">
        <v>2.0</v>
      </c>
      <c r="O60" s="4">
        <v>17.60875</v>
      </c>
    </row>
    <row r="61">
      <c r="A61" s="7">
        <v>45531.0</v>
      </c>
      <c r="B61" s="1" t="s">
        <v>95</v>
      </c>
      <c r="C61" s="1" t="s">
        <v>89</v>
      </c>
      <c r="D61" s="4">
        <v>575.0</v>
      </c>
      <c r="E61" s="4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4">
        <v>3.0</v>
      </c>
      <c r="N61" s="4">
        <v>0.0099</v>
      </c>
      <c r="O61" s="4">
        <v>11.029266666666667</v>
      </c>
    </row>
    <row r="62">
      <c r="A62" s="7">
        <v>45531.0</v>
      </c>
      <c r="B62" s="1" t="s">
        <v>127</v>
      </c>
      <c r="C62" s="1" t="s">
        <v>105</v>
      </c>
      <c r="D62" s="4">
        <v>653.0</v>
      </c>
      <c r="E62" s="4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4">
        <v>-4.0</v>
      </c>
      <c r="O62" s="4">
        <v>10.776983333333334</v>
      </c>
    </row>
    <row r="63">
      <c r="A63" s="7">
        <v>45531.0</v>
      </c>
      <c r="B63" s="1" t="s">
        <v>169</v>
      </c>
      <c r="C63" s="1" t="s">
        <v>89</v>
      </c>
      <c r="D63" s="4">
        <v>398.0</v>
      </c>
      <c r="E63" s="4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4">
        <v>4.0</v>
      </c>
      <c r="O63" s="4">
        <v>9.67945</v>
      </c>
    </row>
    <row r="64">
      <c r="A64" s="7">
        <v>45531.0</v>
      </c>
      <c r="B64" s="1" t="s">
        <v>95</v>
      </c>
      <c r="C64" s="1" t="s">
        <v>89</v>
      </c>
      <c r="D64" s="4">
        <v>366.0</v>
      </c>
      <c r="E64" s="4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4">
        <v>-8.0</v>
      </c>
      <c r="O64" s="4">
        <v>89.64916666666667</v>
      </c>
    </row>
    <row r="65">
      <c r="A65" s="7">
        <v>45531.0</v>
      </c>
      <c r="B65" s="1" t="s">
        <v>169</v>
      </c>
      <c r="C65" s="1" t="s">
        <v>89</v>
      </c>
      <c r="D65" s="4">
        <v>348.0</v>
      </c>
      <c r="E65" s="4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4">
        <v>7.0</v>
      </c>
      <c r="O65" s="4">
        <v>12.3883</v>
      </c>
    </row>
    <row r="66">
      <c r="A66" s="7">
        <v>45531.0</v>
      </c>
      <c r="B66" s="1" t="s">
        <v>104</v>
      </c>
      <c r="C66" s="1" t="s">
        <v>105</v>
      </c>
      <c r="D66" s="4">
        <v>588.0</v>
      </c>
      <c r="E66" s="4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4">
        <v>0.0</v>
      </c>
      <c r="O66" s="4">
        <v>18.05265</v>
      </c>
    </row>
    <row r="67">
      <c r="A67" s="7">
        <v>45531.0</v>
      </c>
      <c r="B67" s="1" t="s">
        <v>95</v>
      </c>
      <c r="C67" s="1" t="s">
        <v>89</v>
      </c>
      <c r="D67" s="4">
        <v>329.0</v>
      </c>
      <c r="E67" s="4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4">
        <v>9.0</v>
      </c>
      <c r="N67" s="4">
        <v>0.008933333333333333</v>
      </c>
      <c r="O67" s="4">
        <v>21.337433333333333</v>
      </c>
    </row>
    <row r="68">
      <c r="A68" s="7">
        <v>45531.0</v>
      </c>
      <c r="B68" s="1" t="s">
        <v>95</v>
      </c>
      <c r="C68" s="1" t="s">
        <v>89</v>
      </c>
      <c r="D68" s="4">
        <v>374.0</v>
      </c>
      <c r="E68" s="4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4">
        <v>2.0</v>
      </c>
      <c r="N68" s="4">
        <v>0.008516666666666667</v>
      </c>
      <c r="O68" s="4">
        <v>15.152033333333334</v>
      </c>
    </row>
    <row r="69">
      <c r="A69" s="7">
        <v>45531.0</v>
      </c>
      <c r="B69" s="1" t="s">
        <v>95</v>
      </c>
      <c r="C69" s="1" t="s">
        <v>89</v>
      </c>
      <c r="D69" s="4">
        <v>523.0</v>
      </c>
      <c r="E69" s="4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4">
        <v>18.0</v>
      </c>
      <c r="N69" s="4">
        <v>10.967766666666666</v>
      </c>
      <c r="O69" s="4">
        <v>13.16235</v>
      </c>
    </row>
    <row r="70">
      <c r="A70" s="7">
        <v>45531.0</v>
      </c>
      <c r="B70" s="1" t="s">
        <v>95</v>
      </c>
      <c r="C70" s="1" t="s">
        <v>89</v>
      </c>
      <c r="D70" s="4">
        <v>168.0</v>
      </c>
      <c r="E70" s="4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4">
        <v>-6.0</v>
      </c>
      <c r="O70" s="4">
        <v>12.58635</v>
      </c>
    </row>
    <row r="71">
      <c r="A71" s="7">
        <v>45531.0</v>
      </c>
      <c r="B71" s="1" t="s">
        <v>127</v>
      </c>
      <c r="C71" s="1" t="s">
        <v>105</v>
      </c>
      <c r="D71" s="4">
        <v>264.0</v>
      </c>
      <c r="E71" s="4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4">
        <v>-2.0</v>
      </c>
      <c r="O71" s="4">
        <v>8.602383333333334</v>
      </c>
    </row>
    <row r="72">
      <c r="A72" s="7">
        <v>45531.0</v>
      </c>
      <c r="B72" s="1" t="s">
        <v>127</v>
      </c>
      <c r="C72" s="1" t="s">
        <v>105</v>
      </c>
      <c r="D72" s="4">
        <v>429.0</v>
      </c>
      <c r="E72" s="4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4">
        <v>-2.0</v>
      </c>
      <c r="O72" s="4">
        <v>10.722833333333334</v>
      </c>
    </row>
    <row r="73">
      <c r="A73" s="7">
        <v>45531.0</v>
      </c>
      <c r="B73" s="1" t="s">
        <v>88</v>
      </c>
      <c r="C73" s="1" t="s">
        <v>89</v>
      </c>
      <c r="D73" s="4">
        <v>593.0</v>
      </c>
      <c r="E73" s="4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4">
        <v>-4.0</v>
      </c>
      <c r="O73" s="4">
        <v>10.3188</v>
      </c>
    </row>
    <row r="74">
      <c r="A74" s="7">
        <v>45531.0</v>
      </c>
      <c r="B74" s="1" t="s">
        <v>95</v>
      </c>
      <c r="C74" s="1" t="s">
        <v>89</v>
      </c>
      <c r="D74" s="4">
        <v>219.0</v>
      </c>
      <c r="E74" s="4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4">
        <v>-11.0</v>
      </c>
      <c r="O74" s="4">
        <v>8.287916666666666</v>
      </c>
    </row>
    <row r="75">
      <c r="A75" s="7">
        <v>45531.0</v>
      </c>
      <c r="B75" s="1" t="s">
        <v>127</v>
      </c>
      <c r="C75" s="1" t="s">
        <v>105</v>
      </c>
      <c r="D75" s="4">
        <v>553.0</v>
      </c>
      <c r="E75" s="4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4">
        <v>-2.0</v>
      </c>
      <c r="O75" s="4">
        <v>11.9187</v>
      </c>
    </row>
    <row r="76">
      <c r="A76" s="7">
        <v>45531.0</v>
      </c>
      <c r="B76" s="1" t="s">
        <v>95</v>
      </c>
      <c r="C76" s="1" t="s">
        <v>152</v>
      </c>
      <c r="D76" s="4">
        <v>267.0</v>
      </c>
      <c r="E76" s="4">
        <v>62.0</v>
      </c>
      <c r="G76" s="1" t="s">
        <v>149</v>
      </c>
      <c r="H76" s="1" t="s">
        <v>153</v>
      </c>
      <c r="I76" s="1" t="s">
        <v>286</v>
      </c>
      <c r="M76" s="4">
        <v>0.0</v>
      </c>
    </row>
    <row r="77">
      <c r="A77" s="7">
        <v>45531.0</v>
      </c>
      <c r="B77" s="1" t="s">
        <v>95</v>
      </c>
      <c r="C77" s="1" t="s">
        <v>89</v>
      </c>
      <c r="D77" s="4">
        <v>267.0</v>
      </c>
      <c r="E77" s="4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4">
        <v>-10.0</v>
      </c>
      <c r="O77" s="4">
        <v>9.247833333333332</v>
      </c>
    </row>
    <row r="78">
      <c r="A78" s="7">
        <v>45531.0</v>
      </c>
      <c r="B78" s="1" t="s">
        <v>95</v>
      </c>
      <c r="C78" s="1" t="s">
        <v>89</v>
      </c>
      <c r="D78" s="4">
        <v>267.0</v>
      </c>
      <c r="E78" s="4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4">
        <v>-8.0</v>
      </c>
      <c r="O78" s="4">
        <v>10.433783333333333</v>
      </c>
    </row>
    <row r="79">
      <c r="A79" s="7">
        <v>45531.0</v>
      </c>
      <c r="B79" s="1" t="s">
        <v>95</v>
      </c>
      <c r="C79" s="1" t="s">
        <v>89</v>
      </c>
      <c r="D79" s="4">
        <v>324.0</v>
      </c>
      <c r="E79" s="4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4">
        <v>-9.0</v>
      </c>
      <c r="O79" s="4">
        <v>9.912783333333334</v>
      </c>
    </row>
    <row r="80">
      <c r="A80" s="7">
        <v>45531.0</v>
      </c>
      <c r="B80" s="1" t="s">
        <v>127</v>
      </c>
      <c r="C80" s="1" t="s">
        <v>105</v>
      </c>
      <c r="D80" s="4">
        <v>573.0</v>
      </c>
      <c r="E80" s="4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4">
        <v>-2.0</v>
      </c>
      <c r="O80" s="4">
        <v>11.2444</v>
      </c>
    </row>
    <row r="81">
      <c r="A81" s="7">
        <v>45531.0</v>
      </c>
      <c r="B81" s="1" t="s">
        <v>104</v>
      </c>
      <c r="C81" s="1" t="s">
        <v>105</v>
      </c>
      <c r="D81" s="4">
        <v>788.0</v>
      </c>
      <c r="E81" s="4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4">
        <v>-6.0</v>
      </c>
      <c r="O81" s="4">
        <v>12.034283333333333</v>
      </c>
    </row>
    <row r="82">
      <c r="A82" s="7">
        <v>45531.0</v>
      </c>
      <c r="B82" s="1" t="s">
        <v>95</v>
      </c>
      <c r="C82" s="1" t="s">
        <v>89</v>
      </c>
      <c r="D82" s="4">
        <v>289.0</v>
      </c>
      <c r="E82" s="4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4">
        <v>-9.0</v>
      </c>
      <c r="N82" s="4">
        <v>0.0098</v>
      </c>
      <c r="O82" s="4">
        <v>7.289016666666667</v>
      </c>
    </row>
    <row r="83">
      <c r="A83" s="7">
        <v>45531.0</v>
      </c>
      <c r="B83" s="1" t="s">
        <v>127</v>
      </c>
      <c r="C83" s="1" t="s">
        <v>89</v>
      </c>
      <c r="D83" s="4">
        <v>294.0</v>
      </c>
      <c r="E83" s="4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4">
        <v>-1.0</v>
      </c>
      <c r="O83" s="4">
        <v>11.603533333333333</v>
      </c>
    </row>
    <row r="84">
      <c r="A84" s="7">
        <v>45531.0</v>
      </c>
      <c r="B84" s="1" t="s">
        <v>95</v>
      </c>
      <c r="C84" s="1" t="s">
        <v>89</v>
      </c>
      <c r="D84" s="4">
        <v>575.0</v>
      </c>
      <c r="E84" s="4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4">
        <v>-3.0</v>
      </c>
      <c r="N84" s="4">
        <v>0.013266666666666666</v>
      </c>
      <c r="O84" s="4">
        <v>10.217433333333334</v>
      </c>
    </row>
    <row r="85">
      <c r="A85" s="7">
        <v>45531.0</v>
      </c>
      <c r="B85" s="1" t="s">
        <v>127</v>
      </c>
      <c r="C85" s="1" t="s">
        <v>89</v>
      </c>
      <c r="D85" s="4">
        <v>665.0</v>
      </c>
      <c r="E85" s="4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4">
        <v>-3.0</v>
      </c>
      <c r="O85" s="4">
        <v>10.494016666666667</v>
      </c>
    </row>
    <row r="86">
      <c r="A86" s="7">
        <v>45531.0</v>
      </c>
      <c r="B86" s="1" t="s">
        <v>95</v>
      </c>
      <c r="C86" s="1" t="s">
        <v>89</v>
      </c>
      <c r="D86" s="4">
        <v>285.0</v>
      </c>
      <c r="E86" s="4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4">
        <v>-7.0</v>
      </c>
      <c r="O86" s="4">
        <v>11.47205</v>
      </c>
    </row>
    <row r="87">
      <c r="A87" s="7">
        <v>45531.0</v>
      </c>
      <c r="B87" s="1" t="s">
        <v>95</v>
      </c>
      <c r="C87" s="1" t="s">
        <v>89</v>
      </c>
      <c r="D87" s="4">
        <v>309.0</v>
      </c>
      <c r="E87" s="4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4">
        <v>0.0</v>
      </c>
      <c r="N87" s="4">
        <v>0.008666666666666666</v>
      </c>
      <c r="O87" s="4">
        <v>14.306633333333334</v>
      </c>
    </row>
    <row r="88">
      <c r="A88" s="7">
        <v>45531.0</v>
      </c>
      <c r="B88" s="1" t="s">
        <v>88</v>
      </c>
      <c r="C88" s="1" t="s">
        <v>89</v>
      </c>
      <c r="D88" s="4">
        <v>406.0</v>
      </c>
      <c r="E88" s="4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4">
        <v>-6.0</v>
      </c>
      <c r="O88" s="4">
        <v>8.4832</v>
      </c>
    </row>
    <row r="89">
      <c r="A89" s="7">
        <v>45531.0</v>
      </c>
      <c r="B89" s="1" t="s">
        <v>104</v>
      </c>
      <c r="C89" s="1" t="s">
        <v>105</v>
      </c>
      <c r="D89" s="4">
        <v>553.0</v>
      </c>
      <c r="E89" s="4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4">
        <v>-1.0</v>
      </c>
      <c r="O89" s="4">
        <v>14.2658</v>
      </c>
    </row>
    <row r="90">
      <c r="A90" s="7">
        <v>45531.0</v>
      </c>
      <c r="B90" s="1" t="s">
        <v>169</v>
      </c>
      <c r="C90" s="1" t="s">
        <v>89</v>
      </c>
      <c r="D90" s="4">
        <v>119.0</v>
      </c>
      <c r="E90" s="4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4">
        <v>7.0</v>
      </c>
      <c r="O90" s="4">
        <v>12.805283333333334</v>
      </c>
    </row>
    <row r="91">
      <c r="A91" s="7">
        <v>45531.0</v>
      </c>
      <c r="B91" s="1" t="s">
        <v>95</v>
      </c>
      <c r="C91" s="1" t="s">
        <v>89</v>
      </c>
      <c r="D91" s="4">
        <v>357.0</v>
      </c>
      <c r="E91" s="4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4">
        <v>-5.0</v>
      </c>
      <c r="O91" s="4">
        <v>15.2749</v>
      </c>
    </row>
    <row r="92">
      <c r="A92" s="7">
        <v>45531.0</v>
      </c>
      <c r="B92" s="1" t="s">
        <v>95</v>
      </c>
      <c r="C92" s="1" t="s">
        <v>89</v>
      </c>
      <c r="D92" s="4">
        <v>331.0</v>
      </c>
      <c r="E92" s="4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4">
        <v>-6.0</v>
      </c>
      <c r="N92" s="4">
        <v>0.008416666666666666</v>
      </c>
      <c r="O92" s="4">
        <v>16.221933333333332</v>
      </c>
    </row>
    <row r="93">
      <c r="A93" s="7">
        <v>45531.0</v>
      </c>
      <c r="B93" s="1" t="s">
        <v>169</v>
      </c>
      <c r="C93" s="1" t="s">
        <v>89</v>
      </c>
      <c r="D93" s="4">
        <v>45.0</v>
      </c>
      <c r="E93" s="4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4">
        <v>4.0</v>
      </c>
      <c r="O93" s="4">
        <v>9.26605</v>
      </c>
    </row>
    <row r="94">
      <c r="A94" s="7">
        <v>45531.0</v>
      </c>
      <c r="B94" s="1" t="s">
        <v>95</v>
      </c>
      <c r="C94" s="1" t="s">
        <v>89</v>
      </c>
      <c r="D94" s="4">
        <v>358.0</v>
      </c>
      <c r="E94" s="4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4">
        <v>-2.0</v>
      </c>
      <c r="N94" s="4">
        <v>0.00925</v>
      </c>
      <c r="O94" s="4">
        <v>8.1714</v>
      </c>
    </row>
    <row r="95">
      <c r="A95" s="7">
        <v>45531.0</v>
      </c>
      <c r="B95" s="1" t="s">
        <v>95</v>
      </c>
      <c r="C95" s="1" t="s">
        <v>89</v>
      </c>
      <c r="D95" s="4">
        <v>339.0</v>
      </c>
      <c r="E95" s="4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4">
        <v>-9.0</v>
      </c>
      <c r="N95" s="4">
        <v>0.0117</v>
      </c>
      <c r="O95" s="4">
        <v>12.003616666666666</v>
      </c>
    </row>
    <row r="96">
      <c r="A96" s="7">
        <v>45531.0</v>
      </c>
      <c r="B96" s="1" t="s">
        <v>95</v>
      </c>
      <c r="C96" s="1" t="s">
        <v>89</v>
      </c>
      <c r="D96" s="4">
        <v>247.0</v>
      </c>
      <c r="E96" s="4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4">
        <v>-10.0</v>
      </c>
      <c r="O96" s="4">
        <v>9.253283333333334</v>
      </c>
    </row>
    <row r="97">
      <c r="A97" s="7">
        <v>45531.0</v>
      </c>
      <c r="B97" s="1" t="s">
        <v>104</v>
      </c>
      <c r="C97" s="1" t="s">
        <v>105</v>
      </c>
      <c r="D97" s="4">
        <v>264.0</v>
      </c>
      <c r="E97" s="4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4">
        <v>-8.0</v>
      </c>
      <c r="O97" s="4">
        <v>6.6682</v>
      </c>
    </row>
    <row r="98">
      <c r="A98" s="7">
        <v>45531.0</v>
      </c>
      <c r="B98" s="1" t="s">
        <v>88</v>
      </c>
      <c r="C98" s="1" t="s">
        <v>89</v>
      </c>
      <c r="D98" s="4">
        <v>321.0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4">
        <v>-7.0</v>
      </c>
      <c r="O98" s="4">
        <v>7.0488333333333335</v>
      </c>
    </row>
    <row r="99">
      <c r="A99" s="7">
        <v>45531.0</v>
      </c>
      <c r="B99" s="1" t="s">
        <v>127</v>
      </c>
      <c r="C99" s="1" t="s">
        <v>105</v>
      </c>
      <c r="D99" s="4">
        <v>321.0</v>
      </c>
      <c r="E99" s="4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4">
        <v>4.0</v>
      </c>
      <c r="O99" s="4">
        <v>16.666</v>
      </c>
    </row>
    <row r="100">
      <c r="A100" s="7">
        <v>45531.0</v>
      </c>
      <c r="B100" s="1" t="s">
        <v>127</v>
      </c>
      <c r="C100" s="1" t="s">
        <v>105</v>
      </c>
      <c r="D100" s="4">
        <v>423.0</v>
      </c>
      <c r="E100" s="4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4">
        <v>3.0</v>
      </c>
      <c r="O100" s="4">
        <v>17.000966666666667</v>
      </c>
    </row>
    <row r="101">
      <c r="A101" s="7">
        <v>45531.0</v>
      </c>
      <c r="B101" s="1" t="s">
        <v>169</v>
      </c>
      <c r="C101" s="1" t="s">
        <v>89</v>
      </c>
      <c r="D101" s="4">
        <v>249.0</v>
      </c>
      <c r="E101" s="4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4">
        <v>6.0</v>
      </c>
      <c r="O101" s="4">
        <v>11.491983333333334</v>
      </c>
    </row>
    <row r="102">
      <c r="A102" s="7">
        <v>45531.0</v>
      </c>
      <c r="B102" s="1" t="s">
        <v>95</v>
      </c>
      <c r="C102" s="1" t="s">
        <v>89</v>
      </c>
      <c r="D102" s="4">
        <v>653.0</v>
      </c>
      <c r="E102" s="4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4">
        <v>15.0</v>
      </c>
      <c r="N102" s="4">
        <v>12.6065</v>
      </c>
      <c r="O102" s="4">
        <v>16.7422</v>
      </c>
    </row>
    <row r="103">
      <c r="A103" s="7">
        <v>45531.0</v>
      </c>
      <c r="B103" s="1" t="s">
        <v>169</v>
      </c>
      <c r="C103" s="1" t="s">
        <v>89</v>
      </c>
      <c r="D103" s="4">
        <v>119.0</v>
      </c>
      <c r="E103" s="4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4">
        <v>5.0</v>
      </c>
      <c r="O103" s="4">
        <v>10.697166666666666</v>
      </c>
    </row>
    <row r="104">
      <c r="A104" s="7">
        <v>45531.0</v>
      </c>
      <c r="B104" s="1" t="s">
        <v>127</v>
      </c>
      <c r="C104" s="1" t="s">
        <v>105</v>
      </c>
      <c r="D104" s="4">
        <v>429.0</v>
      </c>
      <c r="E104" s="4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4">
        <v>4.0</v>
      </c>
      <c r="O104" s="4">
        <v>16.540383333333335</v>
      </c>
    </row>
    <row r="105">
      <c r="A105" s="7">
        <v>45531.0</v>
      </c>
      <c r="B105" s="1" t="s">
        <v>104</v>
      </c>
      <c r="C105" s="1" t="s">
        <v>105</v>
      </c>
      <c r="D105" s="4">
        <v>596.0</v>
      </c>
      <c r="E105" s="4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4">
        <v>3.0</v>
      </c>
      <c r="O105" s="4">
        <v>20.080916666666667</v>
      </c>
    </row>
    <row r="106">
      <c r="A106" s="7">
        <v>45531.0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4">
        <v>-5.0</v>
      </c>
      <c r="O106" s="4">
        <v>9.520716666666667</v>
      </c>
    </row>
    <row r="107">
      <c r="A107" s="7">
        <v>45531.0</v>
      </c>
      <c r="B107" s="1" t="s">
        <v>88</v>
      </c>
      <c r="C107" s="1" t="s">
        <v>89</v>
      </c>
      <c r="D107" s="4">
        <v>348.0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4">
        <v>-6.0</v>
      </c>
      <c r="O107" s="4">
        <v>8.207083333333333</v>
      </c>
    </row>
    <row r="108">
      <c r="A108" s="7">
        <v>45531.0</v>
      </c>
      <c r="B108" s="1" t="s">
        <v>95</v>
      </c>
      <c r="C108" s="1" t="s">
        <v>89</v>
      </c>
      <c r="D108" s="4">
        <v>494.0</v>
      </c>
      <c r="E108" s="4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4">
        <v>-6.0</v>
      </c>
      <c r="O108" s="4">
        <v>12.524216666666666</v>
      </c>
    </row>
    <row r="109">
      <c r="A109" s="7">
        <v>45531.0</v>
      </c>
      <c r="B109" s="1" t="s">
        <v>127</v>
      </c>
      <c r="C109" s="1" t="s">
        <v>105</v>
      </c>
      <c r="D109" s="4">
        <v>279.0</v>
      </c>
      <c r="E109" s="4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4">
        <v>1.0</v>
      </c>
      <c r="O109" s="4">
        <v>14.751333333333333</v>
      </c>
    </row>
    <row r="110">
      <c r="A110" s="7">
        <v>45531.0</v>
      </c>
      <c r="B110" s="1" t="s">
        <v>104</v>
      </c>
      <c r="C110" s="1" t="s">
        <v>105</v>
      </c>
      <c r="D110" s="4">
        <v>299.0</v>
      </c>
      <c r="E110" s="4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4">
        <v>-6.0</v>
      </c>
      <c r="O110" s="4">
        <v>8.547533333333334</v>
      </c>
    </row>
    <row r="111">
      <c r="A111" s="7">
        <v>45531.0</v>
      </c>
      <c r="B111" s="1" t="s">
        <v>127</v>
      </c>
      <c r="C111" s="1" t="s">
        <v>105</v>
      </c>
      <c r="D111" s="4">
        <v>334.0</v>
      </c>
      <c r="E111" s="4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4">
        <v>-4.0</v>
      </c>
      <c r="O111" s="4">
        <v>8.84795</v>
      </c>
    </row>
    <row r="112">
      <c r="A112" s="7">
        <v>45531.0</v>
      </c>
      <c r="B112" s="1" t="s">
        <v>127</v>
      </c>
      <c r="C112" s="1" t="s">
        <v>105</v>
      </c>
      <c r="D112" s="4">
        <v>321.0</v>
      </c>
      <c r="E112" s="4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4">
        <v>0.0</v>
      </c>
      <c r="O112" s="4">
        <v>11.877516666666667</v>
      </c>
    </row>
    <row r="113">
      <c r="A113" s="7">
        <v>45531.0</v>
      </c>
      <c r="B113" s="1" t="s">
        <v>104</v>
      </c>
      <c r="C113" s="1" t="s">
        <v>105</v>
      </c>
      <c r="D113" s="4">
        <v>313.0</v>
      </c>
      <c r="E113" s="4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4">
        <v>-1.0</v>
      </c>
      <c r="O113" s="4">
        <v>13.798416666666666</v>
      </c>
    </row>
    <row r="114">
      <c r="A114" s="7">
        <v>45531.0</v>
      </c>
      <c r="B114" s="1" t="s">
        <v>127</v>
      </c>
      <c r="C114" s="1" t="s">
        <v>105</v>
      </c>
      <c r="D114" s="4">
        <v>393.0</v>
      </c>
      <c r="E114" s="4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4">
        <v>-2.0</v>
      </c>
      <c r="O114" s="4">
        <v>10.156416666666667</v>
      </c>
    </row>
    <row r="115">
      <c r="A115" s="7">
        <v>45531.0</v>
      </c>
      <c r="B115" s="1" t="s">
        <v>127</v>
      </c>
      <c r="C115" s="1" t="s">
        <v>105</v>
      </c>
      <c r="D115" s="4">
        <v>466.0</v>
      </c>
      <c r="E115" s="4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4">
        <v>2.0</v>
      </c>
      <c r="O115" s="4">
        <v>15.659533333333334</v>
      </c>
    </row>
    <row r="116">
      <c r="A116" s="7">
        <v>45531.0</v>
      </c>
      <c r="B116" s="1" t="s">
        <v>104</v>
      </c>
      <c r="C116" s="1" t="s">
        <v>105</v>
      </c>
      <c r="D116" s="4">
        <v>329.0</v>
      </c>
      <c r="E116" s="4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4">
        <v>-4.0</v>
      </c>
      <c r="O116" s="4">
        <v>10.918916666666666</v>
      </c>
    </row>
    <row r="117">
      <c r="A117" s="7">
        <v>45531.0</v>
      </c>
      <c r="B117" s="1" t="s">
        <v>95</v>
      </c>
      <c r="C117" s="1" t="s">
        <v>89</v>
      </c>
      <c r="D117" s="4">
        <v>270.0</v>
      </c>
      <c r="E117" s="4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4">
        <v>-21.0</v>
      </c>
      <c r="N117" s="4">
        <v>0.010266666666666667</v>
      </c>
      <c r="O117" s="4">
        <v>7.150166666666666</v>
      </c>
    </row>
    <row r="118">
      <c r="A118" s="7">
        <v>45531.0</v>
      </c>
      <c r="B118" s="1" t="s">
        <v>104</v>
      </c>
      <c r="C118" s="1" t="s">
        <v>105</v>
      </c>
      <c r="D118" s="4">
        <v>329.0</v>
      </c>
      <c r="E118" s="4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4">
        <v>1.0</v>
      </c>
      <c r="O118" s="4">
        <v>16.789933333333334</v>
      </c>
    </row>
    <row r="119">
      <c r="A119" s="7">
        <v>45531.0</v>
      </c>
      <c r="B119" s="1" t="s">
        <v>95</v>
      </c>
      <c r="C119" s="1" t="s">
        <v>89</v>
      </c>
      <c r="D119" s="4">
        <v>368.0</v>
      </c>
      <c r="E119" s="4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4">
        <v>7.0</v>
      </c>
      <c r="N119" s="4">
        <v>19.564733333333333</v>
      </c>
      <c r="O119" s="4">
        <v>18.648083333333332</v>
      </c>
    </row>
    <row r="120">
      <c r="A120" s="7">
        <v>45531.0</v>
      </c>
      <c r="B120" s="1" t="s">
        <v>95</v>
      </c>
      <c r="C120" s="1" t="s">
        <v>89</v>
      </c>
      <c r="D120" s="4">
        <v>423.0</v>
      </c>
      <c r="E120" s="4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4">
        <v>-3.0</v>
      </c>
      <c r="N120" s="4">
        <v>27.606633333333335</v>
      </c>
      <c r="O120" s="4">
        <v>31.295666666666666</v>
      </c>
    </row>
    <row r="121">
      <c r="A121" s="7">
        <v>45532.0</v>
      </c>
      <c r="F121" s="1" t="s">
        <v>78</v>
      </c>
    </row>
    <row r="122">
      <c r="A122" s="7">
        <v>45533.0</v>
      </c>
      <c r="B122" s="1" t="s">
        <v>169</v>
      </c>
      <c r="C122" s="1" t="s">
        <v>404</v>
      </c>
      <c r="D122" s="4">
        <v>49.0</v>
      </c>
      <c r="E122" s="4">
        <v>0.0</v>
      </c>
      <c r="G122" s="1" t="s">
        <v>149</v>
      </c>
      <c r="H122" s="1" t="s">
        <v>116</v>
      </c>
      <c r="I122" s="1" t="s">
        <v>405</v>
      </c>
      <c r="M122" s="4">
        <v>0.0</v>
      </c>
    </row>
    <row r="123">
      <c r="A123" s="7">
        <v>45533.0</v>
      </c>
      <c r="B123" s="1" t="s">
        <v>95</v>
      </c>
      <c r="C123" s="1" t="s">
        <v>406</v>
      </c>
      <c r="D123" s="4">
        <v>299.0</v>
      </c>
      <c r="E123" s="4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4">
        <v>0.0</v>
      </c>
      <c r="N123" s="4">
        <v>8.213683333333334</v>
      </c>
      <c r="O123" s="4">
        <v>10.663683333333333</v>
      </c>
    </row>
    <row r="124">
      <c r="A124" s="7">
        <v>45533.0</v>
      </c>
      <c r="B124" s="1" t="s">
        <v>127</v>
      </c>
      <c r="C124" s="1" t="s">
        <v>105</v>
      </c>
      <c r="D124" s="4">
        <v>364.0</v>
      </c>
      <c r="E124" s="4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4">
        <v>1.0</v>
      </c>
      <c r="O124" s="4">
        <v>13.570583333333333</v>
      </c>
    </row>
    <row r="125">
      <c r="A125" s="7">
        <v>45533.0</v>
      </c>
      <c r="B125" s="1" t="s">
        <v>127</v>
      </c>
      <c r="C125" s="1" t="s">
        <v>105</v>
      </c>
      <c r="D125" s="4">
        <v>144.0</v>
      </c>
      <c r="E125" s="4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4">
        <v>-3.0</v>
      </c>
      <c r="O125" s="4">
        <v>5.1116</v>
      </c>
    </row>
    <row r="126">
      <c r="A126" s="7">
        <v>45533.0</v>
      </c>
      <c r="B126" s="1" t="s">
        <v>104</v>
      </c>
      <c r="C126" s="1" t="s">
        <v>105</v>
      </c>
      <c r="D126" s="4">
        <v>264.0</v>
      </c>
      <c r="E126" s="4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4">
        <v>-7.0</v>
      </c>
      <c r="O126" s="4">
        <v>7.4913</v>
      </c>
    </row>
    <row r="127">
      <c r="A127" s="7">
        <v>45533.0</v>
      </c>
      <c r="B127" s="1" t="s">
        <v>95</v>
      </c>
      <c r="C127" s="1" t="s">
        <v>89</v>
      </c>
      <c r="D127" s="4">
        <v>368.0</v>
      </c>
      <c r="E127" s="4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4">
        <v>0.0</v>
      </c>
      <c r="N127" s="4">
        <v>0.008983333333333333</v>
      </c>
      <c r="O127" s="4">
        <v>13.7157</v>
      </c>
    </row>
    <row r="128">
      <c r="A128" s="7">
        <v>45533.0</v>
      </c>
      <c r="B128" s="1" t="s">
        <v>127</v>
      </c>
      <c r="C128" s="1" t="s">
        <v>105</v>
      </c>
      <c r="D128" s="4">
        <v>833.0</v>
      </c>
      <c r="E128" s="4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4">
        <v>3.0</v>
      </c>
      <c r="O128" s="4">
        <v>18.34155</v>
      </c>
    </row>
    <row r="129">
      <c r="A129" s="7">
        <v>45533.0</v>
      </c>
      <c r="B129" s="1" t="s">
        <v>95</v>
      </c>
      <c r="C129" s="1" t="s">
        <v>89</v>
      </c>
      <c r="D129" s="4">
        <v>323.0</v>
      </c>
      <c r="E129" s="4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4">
        <v>0.0</v>
      </c>
      <c r="N129" s="4">
        <v>0.00975</v>
      </c>
      <c r="O129" s="4">
        <v>8.284033333333333</v>
      </c>
    </row>
    <row r="130">
      <c r="A130" s="7">
        <v>45533.0</v>
      </c>
      <c r="B130" s="1" t="s">
        <v>104</v>
      </c>
      <c r="C130" s="1" t="s">
        <v>105</v>
      </c>
      <c r="D130" s="4">
        <v>324.0</v>
      </c>
      <c r="E130" s="4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4">
        <v>-1.0</v>
      </c>
      <c r="O130" s="4">
        <v>13.8603</v>
      </c>
    </row>
    <row r="131">
      <c r="A131" s="7">
        <v>45533.0</v>
      </c>
      <c r="B131" s="1" t="s">
        <v>169</v>
      </c>
      <c r="C131" s="1" t="s">
        <v>105</v>
      </c>
      <c r="D131" s="4">
        <v>329.0</v>
      </c>
      <c r="E131" s="4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4">
        <v>7.0</v>
      </c>
      <c r="O131" s="4">
        <v>12.073533333333334</v>
      </c>
    </row>
    <row r="132">
      <c r="A132" s="7">
        <v>45533.0</v>
      </c>
      <c r="B132" s="1" t="s">
        <v>88</v>
      </c>
      <c r="C132" s="1" t="s">
        <v>89</v>
      </c>
      <c r="D132" s="4">
        <v>289.0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4">
        <v>-8.0</v>
      </c>
      <c r="O132" s="4">
        <v>6.192233333333333</v>
      </c>
    </row>
    <row r="133">
      <c r="A133" s="7">
        <v>45533.0</v>
      </c>
      <c r="B133" s="1" t="s">
        <v>95</v>
      </c>
      <c r="C133" s="1" t="s">
        <v>105</v>
      </c>
      <c r="D133" s="4">
        <v>199.0</v>
      </c>
      <c r="E133" s="4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4">
        <v>-7.0</v>
      </c>
      <c r="O133" s="4">
        <v>12.001266666666666</v>
      </c>
    </row>
    <row r="134">
      <c r="A134" s="7">
        <v>45533.0</v>
      </c>
      <c r="B134" s="1" t="s">
        <v>88</v>
      </c>
      <c r="C134" s="1" t="s">
        <v>89</v>
      </c>
      <c r="D134" s="4">
        <v>470.0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4">
        <v>7.0</v>
      </c>
      <c r="O134" s="4">
        <v>22.712616666666666</v>
      </c>
    </row>
    <row r="135">
      <c r="A135" s="7">
        <v>45533.0</v>
      </c>
      <c r="B135" s="1" t="s">
        <v>104</v>
      </c>
      <c r="C135" s="1" t="s">
        <v>105</v>
      </c>
      <c r="D135" s="4">
        <v>642.0</v>
      </c>
      <c r="E135" s="4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4">
        <v>6.0</v>
      </c>
      <c r="O135" s="4">
        <v>26.428433333333334</v>
      </c>
    </row>
    <row r="136">
      <c r="A136" s="7">
        <v>45533.0</v>
      </c>
      <c r="B136" s="1" t="s">
        <v>104</v>
      </c>
      <c r="C136" s="1" t="s">
        <v>105</v>
      </c>
      <c r="D136" s="4">
        <v>329.0</v>
      </c>
      <c r="E136" s="4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4">
        <v>1.0</v>
      </c>
      <c r="O136" s="4">
        <v>16.41185</v>
      </c>
    </row>
    <row r="137">
      <c r="A137" s="7">
        <v>45533.0</v>
      </c>
      <c r="B137" s="1" t="s">
        <v>127</v>
      </c>
      <c r="C137" s="1" t="s">
        <v>105</v>
      </c>
      <c r="D137" s="4">
        <v>264.0</v>
      </c>
      <c r="E137" s="4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4">
        <v>6.0</v>
      </c>
      <c r="O137" s="4">
        <v>17.317016666666667</v>
      </c>
    </row>
    <row r="138">
      <c r="A138" s="7">
        <v>45533.0</v>
      </c>
      <c r="B138" s="1" t="s">
        <v>104</v>
      </c>
      <c r="C138" s="1" t="s">
        <v>105</v>
      </c>
      <c r="D138" s="4">
        <v>303.0</v>
      </c>
      <c r="E138" s="4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4">
        <v>-5.0</v>
      </c>
      <c r="O138" s="4">
        <v>9.71065</v>
      </c>
    </row>
    <row r="139">
      <c r="A139" s="7">
        <v>45533.0</v>
      </c>
      <c r="B139" s="1" t="s">
        <v>127</v>
      </c>
      <c r="C139" s="1" t="s">
        <v>105</v>
      </c>
      <c r="D139" s="4">
        <v>433.0</v>
      </c>
      <c r="E139" s="4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4">
        <v>9.0</v>
      </c>
      <c r="O139" s="4">
        <v>21.1616</v>
      </c>
    </row>
    <row r="140">
      <c r="A140" s="7">
        <v>45533.0</v>
      </c>
      <c r="B140" s="1" t="s">
        <v>95</v>
      </c>
      <c r="C140" s="1" t="s">
        <v>89</v>
      </c>
      <c r="D140" s="4">
        <v>299.0</v>
      </c>
      <c r="E140" s="4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4">
        <v>-5.0</v>
      </c>
      <c r="N140" s="4">
        <v>0.009433333333333334</v>
      </c>
      <c r="O140" s="4">
        <v>9.81535</v>
      </c>
    </row>
    <row r="141">
      <c r="A141" s="7">
        <v>45533.0</v>
      </c>
      <c r="B141" s="1" t="s">
        <v>95</v>
      </c>
      <c r="C141" s="1" t="s">
        <v>89</v>
      </c>
      <c r="D141" s="4">
        <v>398.0</v>
      </c>
      <c r="E141" s="4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4">
        <v>-2.0</v>
      </c>
      <c r="N141" s="4">
        <v>0.009233333333333333</v>
      </c>
      <c r="O141" s="4">
        <v>14.48675</v>
      </c>
    </row>
    <row r="142">
      <c r="A142" s="7">
        <v>45533.0</v>
      </c>
      <c r="B142" s="1" t="s">
        <v>104</v>
      </c>
      <c r="C142" s="1" t="s">
        <v>105</v>
      </c>
      <c r="D142" s="4">
        <v>329.0</v>
      </c>
      <c r="E142" s="4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4">
        <v>-2.0</v>
      </c>
      <c r="O142" s="4">
        <v>12.798116666666667</v>
      </c>
    </row>
    <row r="143">
      <c r="A143" s="7">
        <v>45533.0</v>
      </c>
      <c r="B143" s="1" t="s">
        <v>88</v>
      </c>
      <c r="C143" s="1" t="s">
        <v>89</v>
      </c>
      <c r="D143" s="4">
        <v>179.0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4">
        <v>-2.0</v>
      </c>
      <c r="O143" s="4">
        <v>12.558416666666666</v>
      </c>
    </row>
    <row r="144">
      <c r="A144" s="7">
        <v>45533.0</v>
      </c>
      <c r="B144" s="1" t="s">
        <v>95</v>
      </c>
      <c r="C144" s="1" t="s">
        <v>105</v>
      </c>
      <c r="D144" s="4">
        <v>247.0</v>
      </c>
      <c r="E144" s="4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4">
        <v>-4.0</v>
      </c>
      <c r="O144" s="4">
        <v>14.068783333333334</v>
      </c>
    </row>
    <row r="145">
      <c r="A145" s="7">
        <v>45533.0</v>
      </c>
      <c r="B145" s="1" t="s">
        <v>95</v>
      </c>
      <c r="C145" s="1" t="s">
        <v>89</v>
      </c>
      <c r="D145" s="4">
        <v>378.0</v>
      </c>
      <c r="E145" s="4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4">
        <v>-7.0</v>
      </c>
      <c r="N145" s="4">
        <v>0.0098</v>
      </c>
      <c r="O145" s="4">
        <v>11.913783333333333</v>
      </c>
    </row>
    <row r="146">
      <c r="A146" s="7">
        <v>45533.0</v>
      </c>
      <c r="B146" s="1" t="s">
        <v>104</v>
      </c>
      <c r="C146" s="1" t="s">
        <v>89</v>
      </c>
      <c r="D146" s="4">
        <v>264.0</v>
      </c>
      <c r="E146" s="4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4">
        <v>-1.0</v>
      </c>
      <c r="O146" s="4">
        <v>13.59315</v>
      </c>
    </row>
    <row r="147">
      <c r="A147" s="7">
        <v>45533.0</v>
      </c>
      <c r="B147" s="1" t="s">
        <v>88</v>
      </c>
      <c r="C147" s="1" t="s">
        <v>89</v>
      </c>
      <c r="D147" s="4">
        <v>234.0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4">
        <v>3.0</v>
      </c>
      <c r="O147" s="4">
        <v>18.44505</v>
      </c>
    </row>
    <row r="148">
      <c r="A148" s="7">
        <v>45533.0</v>
      </c>
      <c r="B148" s="1" t="s">
        <v>95</v>
      </c>
      <c r="C148" s="1" t="s">
        <v>89</v>
      </c>
      <c r="D148" s="4">
        <v>306.0</v>
      </c>
      <c r="E148" s="4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4">
        <v>-18.0</v>
      </c>
      <c r="N148" s="4">
        <v>0.008316666666666667</v>
      </c>
      <c r="O148" s="4">
        <v>23.05925</v>
      </c>
    </row>
    <row r="149">
      <c r="A149" s="7">
        <v>45533.0</v>
      </c>
      <c r="B149" s="1" t="s">
        <v>104</v>
      </c>
      <c r="C149" s="1" t="s">
        <v>89</v>
      </c>
      <c r="D149" s="4">
        <v>418.0</v>
      </c>
      <c r="E149" s="4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4">
        <v>0.0</v>
      </c>
      <c r="O149" s="4">
        <v>15.91705</v>
      </c>
    </row>
    <row r="150">
      <c r="A150" s="7">
        <v>45533.0</v>
      </c>
      <c r="B150" s="1" t="s">
        <v>127</v>
      </c>
      <c r="C150" s="1" t="s">
        <v>105</v>
      </c>
      <c r="D150" s="4">
        <v>328.0</v>
      </c>
      <c r="E150" s="4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4">
        <v>-1.0</v>
      </c>
      <c r="O150" s="4">
        <v>9.27075</v>
      </c>
    </row>
    <row r="151">
      <c r="A151" s="7">
        <v>45533.0</v>
      </c>
      <c r="B151" s="1" t="s">
        <v>95</v>
      </c>
      <c r="C151" s="1" t="s">
        <v>89</v>
      </c>
      <c r="D151" s="4">
        <v>299.0</v>
      </c>
      <c r="E151" s="4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4">
        <v>8.0</v>
      </c>
      <c r="N151" s="4">
        <v>0.01125</v>
      </c>
      <c r="O151" s="4">
        <v>16.839933333333335</v>
      </c>
    </row>
    <row r="152">
      <c r="A152" s="7">
        <v>45533.0</v>
      </c>
      <c r="B152" s="1" t="s">
        <v>95</v>
      </c>
      <c r="C152" s="1" t="s">
        <v>89</v>
      </c>
      <c r="D152" s="4">
        <v>319.0</v>
      </c>
      <c r="E152" s="4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4">
        <v>0.0</v>
      </c>
      <c r="N152" s="4">
        <v>0.007783333333333333</v>
      </c>
      <c r="O152" s="4">
        <v>8.417416666666666</v>
      </c>
    </row>
    <row r="153">
      <c r="A153" s="7">
        <v>45533.0</v>
      </c>
      <c r="B153" s="1" t="s">
        <v>95</v>
      </c>
      <c r="C153" s="1" t="s">
        <v>89</v>
      </c>
      <c r="D153" s="4">
        <v>569.0</v>
      </c>
      <c r="E153" s="4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4">
        <v>-10.0</v>
      </c>
      <c r="N153" s="4">
        <v>0.013033333333333333</v>
      </c>
      <c r="O153" s="4">
        <v>10.855183333333333</v>
      </c>
    </row>
    <row r="154">
      <c r="A154" s="7">
        <v>45533.0</v>
      </c>
      <c r="B154" s="1" t="s">
        <v>95</v>
      </c>
      <c r="C154" s="1" t="s">
        <v>89</v>
      </c>
      <c r="D154" s="4">
        <v>358.0</v>
      </c>
      <c r="E154" s="4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4">
        <v>3.0</v>
      </c>
      <c r="N154" s="4">
        <v>0.009583333333333333</v>
      </c>
      <c r="O154" s="4">
        <v>10.931183333333333</v>
      </c>
    </row>
    <row r="155">
      <c r="A155" s="7">
        <v>45533.0</v>
      </c>
      <c r="B155" s="1" t="s">
        <v>127</v>
      </c>
      <c r="C155" s="1" t="s">
        <v>105</v>
      </c>
      <c r="D155" s="4">
        <v>313.0</v>
      </c>
      <c r="E155" s="4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4">
        <v>6.0</v>
      </c>
      <c r="O155" s="4">
        <v>18.39595</v>
      </c>
    </row>
    <row r="156">
      <c r="A156" s="7">
        <v>45533.0</v>
      </c>
      <c r="B156" s="1" t="s">
        <v>95</v>
      </c>
      <c r="C156" s="1" t="s">
        <v>89</v>
      </c>
      <c r="D156" s="4">
        <v>278.0</v>
      </c>
      <c r="E156" s="4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4">
        <v>-3.0</v>
      </c>
      <c r="N156" s="4">
        <v>0.011233333333333333</v>
      </c>
      <c r="O156" s="4">
        <v>15.974733333333333</v>
      </c>
    </row>
    <row r="157">
      <c r="A157" s="7">
        <v>45533.0</v>
      </c>
      <c r="B157" s="1" t="s">
        <v>169</v>
      </c>
      <c r="C157" s="1" t="s">
        <v>89</v>
      </c>
      <c r="D157" s="4">
        <v>258.0</v>
      </c>
      <c r="E157" s="4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4">
        <v>8.0</v>
      </c>
      <c r="O157" s="4">
        <v>13.2007</v>
      </c>
    </row>
    <row r="158">
      <c r="A158" s="7">
        <v>45533.0</v>
      </c>
      <c r="B158" s="1" t="s">
        <v>127</v>
      </c>
      <c r="C158" s="1" t="s">
        <v>105</v>
      </c>
      <c r="D158" s="4">
        <v>254.0</v>
      </c>
      <c r="E158" s="4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4">
        <v>8.0</v>
      </c>
      <c r="O158" s="4">
        <v>18.4592</v>
      </c>
    </row>
    <row r="159">
      <c r="A159" s="7">
        <v>45533.0</v>
      </c>
      <c r="B159" s="1" t="s">
        <v>169</v>
      </c>
      <c r="C159" s="1" t="s">
        <v>89</v>
      </c>
      <c r="D159" s="4">
        <v>119.0</v>
      </c>
      <c r="E159" s="4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4">
        <v>5.0</v>
      </c>
      <c r="O159" s="4">
        <v>10.5284</v>
      </c>
    </row>
    <row r="160">
      <c r="A160" s="7">
        <v>45533.0</v>
      </c>
      <c r="B160" s="1" t="s">
        <v>95</v>
      </c>
      <c r="C160" s="1" t="s">
        <v>89</v>
      </c>
      <c r="D160" s="4">
        <v>328.0</v>
      </c>
      <c r="E160" s="4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4">
        <v>-5.0</v>
      </c>
      <c r="N160" s="4">
        <v>0.008233333333333334</v>
      </c>
      <c r="O160" s="4">
        <v>14.58365</v>
      </c>
    </row>
    <row r="161">
      <c r="A161" s="7">
        <v>45533.0</v>
      </c>
      <c r="B161" s="1" t="s">
        <v>95</v>
      </c>
      <c r="C161" s="1" t="s">
        <v>89</v>
      </c>
      <c r="D161" s="4">
        <v>657.0</v>
      </c>
      <c r="E161" s="4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4">
        <v>8.0</v>
      </c>
      <c r="N161" s="4">
        <v>0.0188</v>
      </c>
      <c r="O161" s="4">
        <v>19.371683333333333</v>
      </c>
    </row>
    <row r="162">
      <c r="A162" s="7">
        <v>45533.0</v>
      </c>
      <c r="B162" s="1" t="s">
        <v>95</v>
      </c>
      <c r="C162" s="1" t="s">
        <v>89</v>
      </c>
      <c r="D162" s="4">
        <v>394.0</v>
      </c>
      <c r="E162" s="4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4">
        <v>-3.0</v>
      </c>
      <c r="N162" s="4">
        <v>0.014466666666666666</v>
      </c>
      <c r="O162" s="4">
        <v>17.63845</v>
      </c>
    </row>
    <row r="163">
      <c r="A163" s="7">
        <v>45533.0</v>
      </c>
      <c r="B163" s="1" t="s">
        <v>127</v>
      </c>
      <c r="C163" s="1" t="s">
        <v>105</v>
      </c>
      <c r="D163" s="4">
        <v>658.0</v>
      </c>
      <c r="E163" s="4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4">
        <v>3.0</v>
      </c>
      <c r="O163" s="4">
        <v>18.527733333333334</v>
      </c>
    </row>
    <row r="164">
      <c r="A164" s="7">
        <v>45533.0</v>
      </c>
      <c r="B164" s="1" t="s">
        <v>88</v>
      </c>
      <c r="C164" s="1" t="s">
        <v>89</v>
      </c>
      <c r="D164" s="4">
        <v>264.0</v>
      </c>
      <c r="E164" s="4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4">
        <v>-3.0</v>
      </c>
      <c r="O164" s="4">
        <v>11.254383333333333</v>
      </c>
    </row>
    <row r="165">
      <c r="A165" s="7">
        <v>45533.0</v>
      </c>
      <c r="B165" s="1" t="s">
        <v>95</v>
      </c>
      <c r="C165" s="1" t="s">
        <v>89</v>
      </c>
      <c r="D165" s="4">
        <v>418.0</v>
      </c>
      <c r="E165" s="4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4">
        <v>1.0</v>
      </c>
      <c r="O165" s="4">
        <v>21.2277</v>
      </c>
    </row>
    <row r="166">
      <c r="A166" s="7">
        <v>45533.0</v>
      </c>
      <c r="B166" s="1" t="s">
        <v>88</v>
      </c>
      <c r="C166" s="1" t="s">
        <v>89</v>
      </c>
      <c r="D166" s="4">
        <v>264.0</v>
      </c>
      <c r="E166" s="4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4">
        <v>3.0</v>
      </c>
      <c r="O166" s="4">
        <v>18.43235</v>
      </c>
    </row>
    <row r="167">
      <c r="A167" s="7">
        <v>45533.0</v>
      </c>
      <c r="B167" s="1" t="s">
        <v>104</v>
      </c>
      <c r="C167" s="1" t="s">
        <v>105</v>
      </c>
      <c r="D167" s="4">
        <v>358.0</v>
      </c>
      <c r="E167" s="4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4">
        <v>1.0</v>
      </c>
      <c r="O167" s="4">
        <v>17.771383333333333</v>
      </c>
    </row>
    <row r="168">
      <c r="A168" s="7">
        <v>45533.0</v>
      </c>
      <c r="B168" s="1" t="s">
        <v>127</v>
      </c>
      <c r="C168" s="1" t="s">
        <v>105</v>
      </c>
      <c r="D168" s="4">
        <v>597.0</v>
      </c>
      <c r="E168" s="4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4">
        <v>6.0</v>
      </c>
      <c r="O168" s="4">
        <v>22.733616666666666</v>
      </c>
    </row>
    <row r="169">
      <c r="A169" s="7">
        <v>45533.0</v>
      </c>
      <c r="B169" s="1" t="s">
        <v>127</v>
      </c>
      <c r="C169" s="1" t="s">
        <v>105</v>
      </c>
      <c r="D169" s="4">
        <v>439.0</v>
      </c>
      <c r="E169" s="4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4">
        <v>3.0</v>
      </c>
      <c r="O169" s="4">
        <v>18.430316666666666</v>
      </c>
    </row>
    <row r="170">
      <c r="A170" s="7">
        <v>45533.0</v>
      </c>
      <c r="B170" s="1" t="s">
        <v>127</v>
      </c>
      <c r="C170" s="1" t="s">
        <v>105</v>
      </c>
      <c r="D170" s="4">
        <v>321.0</v>
      </c>
      <c r="E170" s="4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4">
        <v>7.0</v>
      </c>
      <c r="O170" s="4">
        <v>20.455133333333333</v>
      </c>
    </row>
    <row r="171">
      <c r="A171" s="7">
        <v>45533.0</v>
      </c>
      <c r="B171" s="1" t="s">
        <v>127</v>
      </c>
      <c r="C171" s="1" t="s">
        <v>105</v>
      </c>
      <c r="D171" s="4">
        <v>483.0</v>
      </c>
      <c r="E171" s="4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4">
        <v>5.0</v>
      </c>
      <c r="O171" s="4">
        <v>19.47896666666667</v>
      </c>
    </row>
    <row r="172">
      <c r="A172" s="7">
        <v>45533.0</v>
      </c>
      <c r="B172" s="1" t="s">
        <v>88</v>
      </c>
      <c r="C172" s="1" t="s">
        <v>89</v>
      </c>
      <c r="D172" s="4">
        <v>528.0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4">
        <v>13.0</v>
      </c>
      <c r="O172" s="4">
        <v>28.3766</v>
      </c>
    </row>
    <row r="173">
      <c r="A173" s="7">
        <v>45533.0</v>
      </c>
      <c r="B173" s="1" t="s">
        <v>95</v>
      </c>
      <c r="C173" s="1" t="s">
        <v>89</v>
      </c>
      <c r="D173" s="4">
        <v>363.0</v>
      </c>
      <c r="E173" s="4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4">
        <v>-5.0</v>
      </c>
      <c r="O173" s="4">
        <v>13.296633333333334</v>
      </c>
    </row>
    <row r="174">
      <c r="A174" s="7">
        <v>45533.0</v>
      </c>
      <c r="B174" s="1" t="s">
        <v>127</v>
      </c>
      <c r="C174" s="1" t="s">
        <v>105</v>
      </c>
      <c r="D174" s="4">
        <v>658.0</v>
      </c>
      <c r="E174" s="4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4">
        <v>4.0</v>
      </c>
      <c r="O174" s="4">
        <v>19.078533333333333</v>
      </c>
    </row>
    <row r="175">
      <c r="A175" s="7">
        <v>45533.0</v>
      </c>
      <c r="B175" s="1" t="s">
        <v>104</v>
      </c>
      <c r="C175" s="1" t="s">
        <v>105</v>
      </c>
      <c r="D175" s="4">
        <v>872.0</v>
      </c>
      <c r="E175" s="4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4">
        <v>-6.0</v>
      </c>
      <c r="O175" s="4">
        <v>14.434133333333333</v>
      </c>
    </row>
    <row r="176">
      <c r="A176" s="7">
        <v>45533.0</v>
      </c>
      <c r="B176" s="1" t="s">
        <v>127</v>
      </c>
      <c r="C176" s="1" t="s">
        <v>105</v>
      </c>
      <c r="D176" s="4">
        <v>434.0</v>
      </c>
      <c r="E176" s="4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4">
        <v>-3.0</v>
      </c>
      <c r="O176" s="4">
        <v>9.731333333333334</v>
      </c>
    </row>
    <row r="177">
      <c r="A177" s="7">
        <v>45533.0</v>
      </c>
      <c r="B177" s="1" t="s">
        <v>95</v>
      </c>
      <c r="C177" s="1" t="s">
        <v>89</v>
      </c>
      <c r="D177" s="4">
        <v>247.0</v>
      </c>
      <c r="E177" s="4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4">
        <v>-8.0</v>
      </c>
      <c r="O177" s="4">
        <v>11.413033333333333</v>
      </c>
    </row>
    <row r="178">
      <c r="A178" s="7">
        <v>45533.0</v>
      </c>
      <c r="B178" s="1" t="s">
        <v>88</v>
      </c>
      <c r="C178" s="1" t="s">
        <v>89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4">
        <v>-2.0</v>
      </c>
      <c r="O178" s="4">
        <v>12.07025</v>
      </c>
    </row>
    <row r="179">
      <c r="A179" s="7">
        <v>45533.0</v>
      </c>
      <c r="B179" s="1" t="s">
        <v>95</v>
      </c>
      <c r="C179" s="1" t="s">
        <v>89</v>
      </c>
      <c r="D179" s="4">
        <v>250.0</v>
      </c>
      <c r="E179" s="4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4">
        <v>-11.0</v>
      </c>
      <c r="N179" s="4">
        <v>0.007883333333333332</v>
      </c>
      <c r="O179" s="4">
        <v>12.822983333333333</v>
      </c>
    </row>
    <row r="180">
      <c r="A180" s="7">
        <v>45533.0</v>
      </c>
      <c r="B180" s="1" t="s">
        <v>95</v>
      </c>
      <c r="C180" s="1" t="s">
        <v>89</v>
      </c>
      <c r="D180" s="4">
        <v>329.0</v>
      </c>
      <c r="E180" s="4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4">
        <v>-2.0</v>
      </c>
      <c r="N180" s="4">
        <v>0.008833333333333334</v>
      </c>
      <c r="O180" s="4">
        <v>16.026516666666666</v>
      </c>
    </row>
    <row r="181">
      <c r="A181" s="7">
        <v>45533.0</v>
      </c>
      <c r="B181" s="1" t="s">
        <v>127</v>
      </c>
      <c r="C181" s="1" t="s">
        <v>105</v>
      </c>
      <c r="D181" s="4">
        <v>583.0</v>
      </c>
      <c r="E181" s="4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4">
        <v>4.0</v>
      </c>
      <c r="O181" s="4">
        <v>19.954</v>
      </c>
    </row>
    <row r="182">
      <c r="A182" s="7">
        <v>45533.0</v>
      </c>
      <c r="B182" s="1" t="s">
        <v>127</v>
      </c>
      <c r="C182" s="1" t="s">
        <v>105</v>
      </c>
      <c r="D182" s="4">
        <v>264.0</v>
      </c>
      <c r="E182" s="4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4">
        <v>7.0</v>
      </c>
      <c r="O182" s="4">
        <v>18.23795</v>
      </c>
    </row>
    <row r="183">
      <c r="A183" s="7">
        <v>45533.0</v>
      </c>
      <c r="B183" s="1" t="s">
        <v>95</v>
      </c>
      <c r="C183" s="1" t="s">
        <v>89</v>
      </c>
      <c r="D183" s="4">
        <v>323.0</v>
      </c>
      <c r="E183" s="4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4">
        <v>-11.0</v>
      </c>
      <c r="N183" s="4">
        <v>0.00895</v>
      </c>
      <c r="O183" s="4">
        <v>8.916283333333332</v>
      </c>
    </row>
    <row r="184">
      <c r="A184" s="7">
        <v>45533.0</v>
      </c>
      <c r="B184" s="1" t="s">
        <v>95</v>
      </c>
      <c r="C184" s="1" t="s">
        <v>89</v>
      </c>
      <c r="D184" s="4">
        <v>291.0</v>
      </c>
      <c r="E184" s="4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4">
        <v>-12.0</v>
      </c>
      <c r="N184" s="4">
        <v>0.014616666666666667</v>
      </c>
      <c r="O184" s="4">
        <v>9.564033333333333</v>
      </c>
    </row>
    <row r="185">
      <c r="A185" s="7">
        <v>45533.0</v>
      </c>
      <c r="B185" s="1" t="s">
        <v>88</v>
      </c>
      <c r="C185" s="1" t="s">
        <v>89</v>
      </c>
      <c r="D185" s="4">
        <v>726.0</v>
      </c>
      <c r="E185" s="4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4">
        <v>1.0</v>
      </c>
      <c r="O185" s="4">
        <v>29.170266666666667</v>
      </c>
    </row>
    <row r="186">
      <c r="A186" s="7">
        <v>45533.0</v>
      </c>
      <c r="B186" s="1" t="s">
        <v>127</v>
      </c>
      <c r="C186" s="1" t="s">
        <v>105</v>
      </c>
      <c r="D186" s="4">
        <v>1187.0</v>
      </c>
      <c r="E186" s="4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4">
        <v>3.0</v>
      </c>
      <c r="O186" s="4">
        <v>21.611366666666665</v>
      </c>
    </row>
    <row r="187">
      <c r="A187" s="7">
        <v>45533.0</v>
      </c>
      <c r="B187" s="1" t="s">
        <v>104</v>
      </c>
      <c r="C187" s="1" t="s">
        <v>105</v>
      </c>
      <c r="D187" s="4">
        <v>364.0</v>
      </c>
      <c r="E187" s="4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4">
        <v>10.0</v>
      </c>
      <c r="O187" s="4">
        <v>26.265516666666667</v>
      </c>
    </row>
    <row r="188">
      <c r="A188" s="7">
        <v>45533.0</v>
      </c>
      <c r="B188" s="1" t="s">
        <v>127</v>
      </c>
      <c r="C188" s="1" t="s">
        <v>105</v>
      </c>
      <c r="D188" s="4">
        <v>602.0</v>
      </c>
      <c r="E188" s="4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4">
        <v>-2.0</v>
      </c>
      <c r="O188" s="4">
        <v>11.248833333333334</v>
      </c>
    </row>
    <row r="189">
      <c r="A189" s="7">
        <v>45533.0</v>
      </c>
      <c r="B189" s="1" t="s">
        <v>95</v>
      </c>
      <c r="C189" s="1" t="s">
        <v>89</v>
      </c>
      <c r="D189" s="4">
        <v>257.0</v>
      </c>
      <c r="E189" s="4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4">
        <v>-7.0</v>
      </c>
      <c r="N189" s="4">
        <v>0.010216666666666667</v>
      </c>
      <c r="O189" s="4">
        <v>13.87445</v>
      </c>
    </row>
    <row r="190">
      <c r="A190" s="7">
        <v>45533.0</v>
      </c>
      <c r="B190" s="1" t="s">
        <v>127</v>
      </c>
      <c r="C190" s="1" t="s">
        <v>105</v>
      </c>
      <c r="D190" s="4">
        <v>593.0</v>
      </c>
      <c r="E190" s="4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4">
        <v>4.0</v>
      </c>
      <c r="O190" s="4">
        <v>19.511383333333335</v>
      </c>
    </row>
    <row r="191">
      <c r="A191" s="7">
        <v>45533.0</v>
      </c>
      <c r="B191" s="1" t="s">
        <v>127</v>
      </c>
      <c r="C191" s="1" t="s">
        <v>105</v>
      </c>
      <c r="D191" s="4">
        <v>610.0</v>
      </c>
      <c r="E191" s="4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4">
        <v>3.0</v>
      </c>
      <c r="O191" s="4">
        <v>18.747616666666666</v>
      </c>
    </row>
    <row r="192">
      <c r="A192" s="7">
        <v>45533.0</v>
      </c>
      <c r="B192" s="1" t="s">
        <v>127</v>
      </c>
      <c r="C192" s="1" t="s">
        <v>105</v>
      </c>
      <c r="D192" s="4">
        <v>346.0</v>
      </c>
      <c r="E192" s="4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4">
        <v>8.0</v>
      </c>
      <c r="O192" s="4">
        <v>20.96055</v>
      </c>
    </row>
    <row r="193">
      <c r="A193" s="7">
        <v>45533.0</v>
      </c>
      <c r="B193" s="1" t="s">
        <v>95</v>
      </c>
      <c r="C193" s="1" t="s">
        <v>89</v>
      </c>
      <c r="D193" s="4">
        <v>885.0</v>
      </c>
      <c r="E193" s="4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4">
        <v>11.0</v>
      </c>
      <c r="N193" s="4">
        <v>0.01948333333333333</v>
      </c>
      <c r="O193" s="4">
        <v>17.168016666666666</v>
      </c>
    </row>
    <row r="194">
      <c r="A194" s="7">
        <v>45533.0</v>
      </c>
      <c r="B194" s="1" t="s">
        <v>95</v>
      </c>
      <c r="C194" s="1" t="s">
        <v>89</v>
      </c>
      <c r="D194" s="4">
        <v>548.0</v>
      </c>
      <c r="E194" s="4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4">
        <v>9.0</v>
      </c>
      <c r="N194" s="4">
        <v>0.0092</v>
      </c>
      <c r="O194" s="4">
        <v>16.321083333333334</v>
      </c>
    </row>
    <row r="195">
      <c r="A195" s="7">
        <v>45533.0</v>
      </c>
      <c r="B195" s="1" t="s">
        <v>127</v>
      </c>
      <c r="C195" s="1" t="s">
        <v>105</v>
      </c>
      <c r="D195" s="4">
        <v>294.0</v>
      </c>
      <c r="E195" s="4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4">
        <v>6.0</v>
      </c>
      <c r="O195" s="4">
        <v>18.040216666666666</v>
      </c>
    </row>
    <row r="196">
      <c r="A196" s="7">
        <v>45533.0</v>
      </c>
      <c r="B196" s="1" t="s">
        <v>127</v>
      </c>
      <c r="C196" s="1" t="s">
        <v>89</v>
      </c>
      <c r="D196" s="4">
        <v>528.0</v>
      </c>
      <c r="E196" s="4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4">
        <v>1.0</v>
      </c>
      <c r="O196" s="4">
        <v>14.11675</v>
      </c>
    </row>
    <row r="197">
      <c r="A197" s="7">
        <v>45533.0</v>
      </c>
      <c r="B197" s="1" t="s">
        <v>95</v>
      </c>
      <c r="C197" s="1" t="s">
        <v>89</v>
      </c>
      <c r="D197" s="4">
        <v>666.0</v>
      </c>
      <c r="E197" s="4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4">
        <v>-7.0</v>
      </c>
      <c r="O197" s="4">
        <v>38.79011666666667</v>
      </c>
    </row>
    <row r="198">
      <c r="A198" s="7">
        <v>45533.0</v>
      </c>
      <c r="B198" s="1" t="s">
        <v>169</v>
      </c>
      <c r="C198" s="1" t="s">
        <v>89</v>
      </c>
      <c r="D198" s="4">
        <v>39.0</v>
      </c>
      <c r="E198" s="4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4">
        <v>-3.0</v>
      </c>
      <c r="O198" s="4">
        <v>1.4770833333333333</v>
      </c>
    </row>
    <row r="199">
      <c r="A199" s="7">
        <v>45533.0</v>
      </c>
      <c r="B199" s="1" t="s">
        <v>95</v>
      </c>
      <c r="C199" s="1" t="s">
        <v>89</v>
      </c>
      <c r="D199" s="4">
        <v>269.0</v>
      </c>
      <c r="E199" s="4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4">
        <v>-5.0</v>
      </c>
      <c r="N199" s="4">
        <v>0.008083333333333333</v>
      </c>
      <c r="O199" s="4">
        <v>16.717966666666666</v>
      </c>
    </row>
    <row r="200">
      <c r="A200" s="7">
        <v>45533.0</v>
      </c>
      <c r="B200" s="1" t="s">
        <v>88</v>
      </c>
      <c r="C200" s="1" t="s">
        <v>89</v>
      </c>
      <c r="D200" s="4">
        <v>675.0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4">
        <v>-2.0</v>
      </c>
      <c r="O200" s="4">
        <v>12.861416666666667</v>
      </c>
    </row>
    <row r="201">
      <c r="A201" s="7">
        <v>45533.0</v>
      </c>
      <c r="B201" s="1" t="s">
        <v>127</v>
      </c>
      <c r="C201" s="1" t="s">
        <v>105</v>
      </c>
      <c r="D201" s="4">
        <v>321.0</v>
      </c>
      <c r="E201" s="4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4">
        <v>-2.0</v>
      </c>
      <c r="O201" s="4">
        <v>8.871583333333334</v>
      </c>
    </row>
    <row r="202">
      <c r="A202" s="7">
        <v>45533.0</v>
      </c>
      <c r="B202" s="1" t="s">
        <v>95</v>
      </c>
      <c r="C202" s="1" t="s">
        <v>89</v>
      </c>
      <c r="D202" s="4">
        <v>219.0</v>
      </c>
      <c r="E202" s="4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4">
        <v>-9.0</v>
      </c>
      <c r="O202" s="4">
        <v>17.607533333333333</v>
      </c>
    </row>
    <row r="203">
      <c r="A203" s="7">
        <v>45533.0</v>
      </c>
      <c r="B203" s="1" t="s">
        <v>88</v>
      </c>
      <c r="C203" s="1" t="s">
        <v>89</v>
      </c>
      <c r="D203" s="4">
        <v>264.0</v>
      </c>
      <c r="E203" s="4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4">
        <v>-1.0</v>
      </c>
      <c r="O203" s="4">
        <v>13.666016666666666</v>
      </c>
    </row>
    <row r="204">
      <c r="A204" s="7">
        <v>45533.0</v>
      </c>
      <c r="B204" s="1" t="s">
        <v>104</v>
      </c>
      <c r="C204" s="1" t="s">
        <v>105</v>
      </c>
      <c r="D204" s="4">
        <v>329.0</v>
      </c>
      <c r="E204" s="4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4">
        <v>-2.0</v>
      </c>
      <c r="O204" s="4">
        <v>12.3941</v>
      </c>
    </row>
    <row r="205">
      <c r="A205" s="7">
        <v>45533.0</v>
      </c>
      <c r="B205" s="1" t="s">
        <v>95</v>
      </c>
      <c r="C205" s="1" t="s">
        <v>89</v>
      </c>
      <c r="D205" s="4">
        <v>211.0</v>
      </c>
      <c r="E205" s="4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4">
        <v>-9.0</v>
      </c>
      <c r="O205" s="4">
        <v>9.658933333333334</v>
      </c>
    </row>
    <row r="206">
      <c r="A206" s="7">
        <v>45533.0</v>
      </c>
      <c r="B206" s="1" t="s">
        <v>127</v>
      </c>
      <c r="C206" s="1" t="s">
        <v>89</v>
      </c>
      <c r="D206" s="4">
        <v>658.0</v>
      </c>
      <c r="E206" s="4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4">
        <v>6.0</v>
      </c>
      <c r="O206" s="4">
        <v>20.9665</v>
      </c>
    </row>
    <row r="207">
      <c r="A207" s="7">
        <v>45533.0</v>
      </c>
      <c r="B207" s="1" t="s">
        <v>95</v>
      </c>
      <c r="C207" s="1" t="s">
        <v>89</v>
      </c>
      <c r="D207" s="4">
        <v>199.0</v>
      </c>
      <c r="E207" s="4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4">
        <v>-4.0</v>
      </c>
      <c r="O207" s="4">
        <v>15.020416666666666</v>
      </c>
    </row>
    <row r="208">
      <c r="A208" s="7">
        <v>45533.0</v>
      </c>
      <c r="B208" s="1" t="s">
        <v>95</v>
      </c>
      <c r="C208" s="1" t="s">
        <v>89</v>
      </c>
      <c r="D208" s="4">
        <v>341.0</v>
      </c>
      <c r="E208" s="4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4">
        <v>-4.0</v>
      </c>
      <c r="N208" s="4">
        <v>5.443716666666667</v>
      </c>
      <c r="O208" s="4">
        <v>9.059833333333334</v>
      </c>
    </row>
    <row r="209">
      <c r="A209" s="7">
        <v>45533.0</v>
      </c>
      <c r="B209" s="1" t="s">
        <v>88</v>
      </c>
      <c r="C209" s="1" t="s">
        <v>89</v>
      </c>
      <c r="D209" s="4">
        <v>488.0</v>
      </c>
      <c r="E209" s="4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4">
        <v>-1.0</v>
      </c>
      <c r="O209" s="4">
        <v>13.8337</v>
      </c>
    </row>
    <row r="210">
      <c r="A210" s="7">
        <v>45533.0</v>
      </c>
      <c r="B210" s="1" t="s">
        <v>88</v>
      </c>
      <c r="C210" s="1" t="s">
        <v>89</v>
      </c>
      <c r="D210" s="4">
        <v>499.0</v>
      </c>
      <c r="E210" s="4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4">
        <v>8.0</v>
      </c>
      <c r="O210" s="4">
        <v>23.46315</v>
      </c>
    </row>
    <row r="211">
      <c r="A211" s="7">
        <v>45533.0</v>
      </c>
      <c r="B211" s="1" t="s">
        <v>127</v>
      </c>
      <c r="C211" s="1" t="s">
        <v>89</v>
      </c>
      <c r="D211" s="4">
        <v>278.0</v>
      </c>
      <c r="E211" s="4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4">
        <v>6.0</v>
      </c>
      <c r="O211" s="4">
        <v>18.5577</v>
      </c>
    </row>
    <row r="212">
      <c r="A212" s="7">
        <v>45533.0</v>
      </c>
      <c r="B212" s="1" t="s">
        <v>95</v>
      </c>
      <c r="C212" s="1" t="s">
        <v>89</v>
      </c>
      <c r="D212" s="4">
        <v>309.0</v>
      </c>
      <c r="E212" s="4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4">
        <v>37.0</v>
      </c>
      <c r="N212" s="4">
        <v>11.977816666666667</v>
      </c>
      <c r="O212" s="4">
        <v>14.9844</v>
      </c>
    </row>
    <row r="213">
      <c r="A213" s="7">
        <v>45533.0</v>
      </c>
      <c r="B213" s="1" t="s">
        <v>88</v>
      </c>
      <c r="C213" s="1" t="s">
        <v>89</v>
      </c>
      <c r="D213" s="4">
        <v>313.0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4">
        <v>-8.0</v>
      </c>
      <c r="O213" s="4">
        <v>6.364183333333333</v>
      </c>
    </row>
    <row r="214">
      <c r="A214" s="7">
        <v>45533.0</v>
      </c>
      <c r="B214" s="1" t="s">
        <v>169</v>
      </c>
      <c r="C214" s="1" t="s">
        <v>89</v>
      </c>
      <c r="D214" s="4">
        <v>249.0</v>
      </c>
      <c r="E214" s="4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4">
        <v>4.0</v>
      </c>
      <c r="O214" s="4">
        <v>9.529666666666667</v>
      </c>
    </row>
    <row r="215">
      <c r="A215" s="7">
        <v>45533.0</v>
      </c>
      <c r="B215" s="1" t="s">
        <v>127</v>
      </c>
      <c r="C215" s="1" t="s">
        <v>89</v>
      </c>
      <c r="D215" s="4">
        <v>214.0</v>
      </c>
      <c r="E215" s="4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4">
        <v>-4.0</v>
      </c>
      <c r="O215" s="4">
        <v>6.828366666666667</v>
      </c>
    </row>
    <row r="216">
      <c r="A216" s="7">
        <v>45533.0</v>
      </c>
      <c r="B216" s="1" t="s">
        <v>127</v>
      </c>
      <c r="C216" s="1" t="s">
        <v>89</v>
      </c>
      <c r="D216" s="4">
        <v>456.0</v>
      </c>
      <c r="E216" s="4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4">
        <v>1.0</v>
      </c>
      <c r="O216" s="4">
        <v>14.513716666666667</v>
      </c>
    </row>
    <row r="217">
      <c r="A217" s="7">
        <v>45533.0</v>
      </c>
      <c r="B217" s="1" t="s">
        <v>104</v>
      </c>
      <c r="C217" s="1" t="s">
        <v>89</v>
      </c>
      <c r="D217" s="4">
        <v>803.0</v>
      </c>
      <c r="E217" s="4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4">
        <v>-2.0</v>
      </c>
      <c r="O217" s="4">
        <v>14.57965</v>
      </c>
    </row>
    <row r="218">
      <c r="A218" s="7">
        <v>45533.0</v>
      </c>
      <c r="B218" s="1" t="s">
        <v>127</v>
      </c>
      <c r="C218" s="1" t="s">
        <v>105</v>
      </c>
      <c r="D218" s="4">
        <v>268.0</v>
      </c>
      <c r="E218" s="4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4">
        <v>0.0</v>
      </c>
      <c r="O218" s="4">
        <v>10.631733333333333</v>
      </c>
    </row>
    <row r="219">
      <c r="A219" s="7">
        <v>45533.0</v>
      </c>
      <c r="B219" s="1" t="s">
        <v>95</v>
      </c>
      <c r="C219" s="1" t="s">
        <v>89</v>
      </c>
      <c r="D219" s="4">
        <v>199.0</v>
      </c>
      <c r="E219" s="4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4">
        <v>-9.0</v>
      </c>
      <c r="O219" s="4">
        <v>10.1084</v>
      </c>
    </row>
    <row r="220">
      <c r="A220" s="7">
        <v>45533.0</v>
      </c>
      <c r="B220" s="1" t="s">
        <v>104</v>
      </c>
      <c r="C220" s="1" t="s">
        <v>105</v>
      </c>
      <c r="D220" s="4">
        <v>321.0</v>
      </c>
      <c r="E220" s="4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4">
        <v>-3.0</v>
      </c>
      <c r="O220" s="4">
        <v>11.067816666666667</v>
      </c>
    </row>
    <row r="221">
      <c r="A221" s="7">
        <v>45533.0</v>
      </c>
      <c r="B221" s="1" t="s">
        <v>169</v>
      </c>
      <c r="C221" s="1" t="s">
        <v>89</v>
      </c>
      <c r="D221" s="4">
        <v>547.0</v>
      </c>
      <c r="E221" s="4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4">
        <v>3.0</v>
      </c>
      <c r="O221" s="4">
        <v>8.951216666666667</v>
      </c>
    </row>
    <row r="222">
      <c r="A222" s="7">
        <v>45533.0</v>
      </c>
      <c r="B222" s="1" t="s">
        <v>169</v>
      </c>
      <c r="C222" s="1" t="s">
        <v>89</v>
      </c>
      <c r="D222" s="4">
        <v>119.0</v>
      </c>
      <c r="E222" s="4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4">
        <v>3.0</v>
      </c>
      <c r="O222" s="4">
        <v>8.077166666666667</v>
      </c>
    </row>
    <row r="223">
      <c r="A223" s="7">
        <v>45533.0</v>
      </c>
      <c r="B223" s="1" t="s">
        <v>127</v>
      </c>
      <c r="C223" s="1" t="s">
        <v>89</v>
      </c>
      <c r="D223" s="4">
        <v>462.0</v>
      </c>
      <c r="E223" s="4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4">
        <v>0.0</v>
      </c>
      <c r="O223" s="4">
        <v>13.9508</v>
      </c>
    </row>
    <row r="224">
      <c r="A224" s="7">
        <v>45533.0</v>
      </c>
      <c r="B224" s="1" t="s">
        <v>95</v>
      </c>
      <c r="C224" s="1" t="s">
        <v>89</v>
      </c>
      <c r="D224" s="4">
        <v>566.0</v>
      </c>
      <c r="E224" s="4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4">
        <v>2.0</v>
      </c>
      <c r="O224" s="4">
        <v>22.204883333333335</v>
      </c>
    </row>
    <row r="225">
      <c r="A225" s="7">
        <v>45533.0</v>
      </c>
      <c r="B225" s="1" t="s">
        <v>95</v>
      </c>
      <c r="C225" s="1" t="s">
        <v>89</v>
      </c>
      <c r="D225" s="4">
        <v>512.0</v>
      </c>
      <c r="E225" s="4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4">
        <v>1.0</v>
      </c>
      <c r="N225" s="4">
        <v>0.00355</v>
      </c>
      <c r="O225" s="4">
        <v>19.38435</v>
      </c>
    </row>
    <row r="226">
      <c r="A226" s="7">
        <v>45533.0</v>
      </c>
      <c r="B226" s="1" t="s">
        <v>127</v>
      </c>
      <c r="C226" s="1" t="s">
        <v>89</v>
      </c>
      <c r="D226" s="4">
        <v>313.0</v>
      </c>
      <c r="E226" s="4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4">
        <v>8.0</v>
      </c>
      <c r="O226" s="4">
        <v>19.908183333333334</v>
      </c>
    </row>
    <row r="227">
      <c r="A227" s="7">
        <v>45533.0</v>
      </c>
      <c r="B227" s="1" t="s">
        <v>95</v>
      </c>
      <c r="C227" s="1" t="s">
        <v>89</v>
      </c>
      <c r="D227" s="4">
        <v>355.0</v>
      </c>
      <c r="E227" s="4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4">
        <v>-4.0</v>
      </c>
      <c r="N227" s="4">
        <v>0.004033333333333333</v>
      </c>
      <c r="O227" s="4">
        <v>10.328833333333334</v>
      </c>
    </row>
    <row r="228">
      <c r="A228" s="7">
        <v>45533.0</v>
      </c>
      <c r="B228" s="1" t="s">
        <v>127</v>
      </c>
      <c r="C228" s="1" t="s">
        <v>89</v>
      </c>
      <c r="D228" s="4">
        <v>268.0</v>
      </c>
      <c r="E228" s="4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4">
        <v>-1.0</v>
      </c>
      <c r="O228" s="4">
        <v>9.42805</v>
      </c>
    </row>
    <row r="229">
      <c r="A229" s="7">
        <v>45533.0</v>
      </c>
      <c r="B229" s="1" t="s">
        <v>104</v>
      </c>
      <c r="C229" s="1" t="s">
        <v>89</v>
      </c>
      <c r="D229" s="4">
        <v>388.0</v>
      </c>
      <c r="E229" s="4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4">
        <v>8.0</v>
      </c>
      <c r="O229" s="4">
        <v>23.911416666666668</v>
      </c>
    </row>
    <row r="230">
      <c r="A230" s="7">
        <v>45533.0</v>
      </c>
      <c r="B230" s="1" t="s">
        <v>104</v>
      </c>
      <c r="C230" s="1" t="s">
        <v>89</v>
      </c>
      <c r="D230" s="4">
        <v>653.0</v>
      </c>
      <c r="E230" s="4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4">
        <v>0.0</v>
      </c>
      <c r="O230" s="4">
        <v>15.990083333333333</v>
      </c>
    </row>
    <row r="231">
      <c r="A231" s="7">
        <v>45533.0</v>
      </c>
      <c r="B231" s="1" t="s">
        <v>88</v>
      </c>
      <c r="C231" s="1" t="s">
        <v>89</v>
      </c>
      <c r="D231" s="4">
        <v>289.0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4">
        <v>-6.0</v>
      </c>
      <c r="O231" s="4">
        <v>8.84295</v>
      </c>
    </row>
    <row r="232">
      <c r="A232" s="7">
        <v>45533.0</v>
      </c>
      <c r="B232" s="1" t="s">
        <v>95</v>
      </c>
      <c r="C232" s="1" t="s">
        <v>89</v>
      </c>
      <c r="D232" s="4">
        <v>385.0</v>
      </c>
      <c r="E232" s="4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4">
        <v>10.0</v>
      </c>
      <c r="N232" s="4">
        <v>20.515083333333333</v>
      </c>
      <c r="O232" s="4">
        <v>28.2596</v>
      </c>
    </row>
    <row r="233">
      <c r="A233" s="7">
        <v>45533.0</v>
      </c>
      <c r="B233" s="1" t="s">
        <v>127</v>
      </c>
      <c r="C233" s="1" t="s">
        <v>89</v>
      </c>
      <c r="D233" s="4">
        <v>329.0</v>
      </c>
      <c r="E233" s="4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4">
        <v>0.0</v>
      </c>
      <c r="O233" s="4">
        <v>10.264466666666667</v>
      </c>
    </row>
    <row r="234">
      <c r="A234" s="7">
        <v>45533.0</v>
      </c>
      <c r="B234" s="1" t="s">
        <v>95</v>
      </c>
      <c r="C234" s="1" t="s">
        <v>89</v>
      </c>
      <c r="D234" s="4">
        <v>309.0</v>
      </c>
      <c r="E234" s="4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4">
        <v>-7.0</v>
      </c>
      <c r="N234" s="4">
        <v>0.00345</v>
      </c>
      <c r="O234" s="4">
        <v>19.948183333333333</v>
      </c>
    </row>
    <row r="235">
      <c r="A235" s="7">
        <v>45533.0</v>
      </c>
      <c r="B235" s="1" t="s">
        <v>95</v>
      </c>
      <c r="C235" s="1" t="s">
        <v>89</v>
      </c>
      <c r="D235" s="4">
        <v>672.0</v>
      </c>
      <c r="E235" s="4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4">
        <v>6.0</v>
      </c>
      <c r="N235" s="4">
        <v>0.007116666666666667</v>
      </c>
      <c r="O235" s="4">
        <v>49.34688333333333</v>
      </c>
    </row>
    <row r="236">
      <c r="A236" s="7">
        <v>45534.0</v>
      </c>
      <c r="B236" s="1" t="s">
        <v>95</v>
      </c>
      <c r="C236" s="1" t="s">
        <v>406</v>
      </c>
      <c r="D236" s="4">
        <v>279.0</v>
      </c>
      <c r="E236" s="4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4">
        <v>0.0</v>
      </c>
      <c r="N236" s="4">
        <v>4.240083333333334</v>
      </c>
      <c r="O236" s="4">
        <v>8.09375</v>
      </c>
    </row>
    <row r="237">
      <c r="A237" s="7">
        <v>45534.0</v>
      </c>
      <c r="B237" s="1" t="s">
        <v>95</v>
      </c>
      <c r="C237" s="1" t="s">
        <v>406</v>
      </c>
      <c r="D237" s="4">
        <v>483.0</v>
      </c>
      <c r="E237" s="4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4">
        <v>0.0</v>
      </c>
      <c r="N237" s="4">
        <v>12.925883333333333</v>
      </c>
      <c r="O237" s="4">
        <v>14.191533333333334</v>
      </c>
    </row>
    <row r="238">
      <c r="A238" s="7">
        <v>45534.0</v>
      </c>
      <c r="B238" s="1" t="s">
        <v>104</v>
      </c>
      <c r="C238" s="1" t="s">
        <v>105</v>
      </c>
      <c r="D238" s="4">
        <v>828.0</v>
      </c>
      <c r="E238" s="4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4">
        <v>-8.0</v>
      </c>
      <c r="O238" s="4">
        <v>10.047866666666666</v>
      </c>
    </row>
    <row r="239">
      <c r="A239" s="7">
        <v>45534.0</v>
      </c>
      <c r="B239" s="1" t="s">
        <v>95</v>
      </c>
      <c r="C239" s="1" t="s">
        <v>89</v>
      </c>
      <c r="D239" s="4">
        <v>269.0</v>
      </c>
      <c r="E239" s="4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4">
        <v>-2.0</v>
      </c>
      <c r="N239" s="4">
        <v>7.3308</v>
      </c>
      <c r="O239" s="4">
        <v>8.321416666666666</v>
      </c>
    </row>
    <row r="240">
      <c r="A240" s="7">
        <v>45534.0</v>
      </c>
      <c r="B240" s="1" t="s">
        <v>104</v>
      </c>
      <c r="C240" s="1" t="s">
        <v>105</v>
      </c>
      <c r="D240" s="4">
        <v>329.0</v>
      </c>
      <c r="E240" s="4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4">
        <v>-6.0</v>
      </c>
      <c r="O240" s="4">
        <v>8.668466666666667</v>
      </c>
    </row>
    <row r="241">
      <c r="A241" s="7">
        <v>45534.0</v>
      </c>
      <c r="B241" s="1" t="s">
        <v>127</v>
      </c>
      <c r="C241" s="1" t="s">
        <v>105</v>
      </c>
      <c r="D241" s="4">
        <v>214.0</v>
      </c>
      <c r="E241" s="4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4">
        <v>-3.0</v>
      </c>
      <c r="O241" s="4">
        <v>6.90925</v>
      </c>
    </row>
    <row r="242">
      <c r="A242" s="7">
        <v>45534.0</v>
      </c>
      <c r="B242" s="1" t="s">
        <v>95</v>
      </c>
      <c r="C242" s="1" t="s">
        <v>89</v>
      </c>
      <c r="D242" s="4">
        <v>268.0</v>
      </c>
      <c r="E242" s="4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4">
        <v>-11.0</v>
      </c>
      <c r="O242" s="4">
        <v>6.946116666666667</v>
      </c>
    </row>
    <row r="243">
      <c r="A243" s="7">
        <v>45534.0</v>
      </c>
      <c r="B243" s="1" t="s">
        <v>88</v>
      </c>
      <c r="C243" s="1" t="s">
        <v>89</v>
      </c>
      <c r="D243" s="4">
        <v>364.0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4">
        <v>-3.0</v>
      </c>
      <c r="O243" s="4">
        <v>11.4964</v>
      </c>
    </row>
    <row r="244">
      <c r="A244" s="7">
        <v>45534.0</v>
      </c>
      <c r="B244" s="1" t="s">
        <v>127</v>
      </c>
      <c r="C244" s="1" t="s">
        <v>105</v>
      </c>
      <c r="D244" s="4">
        <v>264.0</v>
      </c>
      <c r="E244" s="4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4">
        <v>-4.0</v>
      </c>
      <c r="O244" s="4">
        <v>6.7827</v>
      </c>
    </row>
    <row r="245">
      <c r="A245" s="7">
        <v>45534.0</v>
      </c>
      <c r="B245" s="1" t="s">
        <v>127</v>
      </c>
      <c r="C245" s="1" t="s">
        <v>105</v>
      </c>
      <c r="D245" s="4">
        <v>269.0</v>
      </c>
      <c r="E245" s="4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4">
        <v>-3.0</v>
      </c>
      <c r="O245" s="4">
        <v>8.8269</v>
      </c>
    </row>
    <row r="246">
      <c r="A246" s="7">
        <v>45534.0</v>
      </c>
      <c r="B246" s="1" t="s">
        <v>127</v>
      </c>
      <c r="C246" s="1" t="s">
        <v>105</v>
      </c>
      <c r="D246" s="4">
        <v>264.0</v>
      </c>
      <c r="E246" s="4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4">
        <v>0.0</v>
      </c>
      <c r="O246" s="4">
        <v>10.414316666666666</v>
      </c>
    </row>
    <row r="247">
      <c r="A247" s="7">
        <v>45534.0</v>
      </c>
      <c r="B247" s="1" t="s">
        <v>88</v>
      </c>
      <c r="C247" s="1" t="s">
        <v>89</v>
      </c>
      <c r="D247" s="4">
        <v>258.0</v>
      </c>
      <c r="E247" s="4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4">
        <v>-7.0</v>
      </c>
      <c r="O247" s="4">
        <v>7.225366666666667</v>
      </c>
    </row>
    <row r="248">
      <c r="A248" s="7">
        <v>45534.0</v>
      </c>
      <c r="B248" s="1" t="s">
        <v>88</v>
      </c>
      <c r="C248" s="1" t="s">
        <v>89</v>
      </c>
      <c r="D248" s="4">
        <v>264.0</v>
      </c>
      <c r="E248" s="4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4">
        <v>-2.0</v>
      </c>
      <c r="O248" s="4">
        <v>12.632716666666667</v>
      </c>
    </row>
    <row r="249">
      <c r="A249" s="7">
        <v>45534.0</v>
      </c>
      <c r="B249" s="1" t="s">
        <v>104</v>
      </c>
      <c r="C249" s="1" t="s">
        <v>105</v>
      </c>
      <c r="D249" s="4">
        <v>329.0</v>
      </c>
      <c r="E249" s="4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4">
        <v>-3.0</v>
      </c>
      <c r="O249" s="4">
        <v>11.470216666666667</v>
      </c>
    </row>
    <row r="250">
      <c r="A250" s="7">
        <v>45534.0</v>
      </c>
      <c r="B250" s="1" t="s">
        <v>88</v>
      </c>
      <c r="C250" s="1" t="s">
        <v>89</v>
      </c>
      <c r="D250" s="4">
        <v>329.0</v>
      </c>
      <c r="E250" s="4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4">
        <v>0.0</v>
      </c>
      <c r="O250" s="4">
        <v>15.419816666666666</v>
      </c>
    </row>
    <row r="251">
      <c r="A251" s="7">
        <v>45534.0</v>
      </c>
      <c r="B251" s="1" t="s">
        <v>127</v>
      </c>
      <c r="C251" s="1" t="s">
        <v>105</v>
      </c>
      <c r="D251" s="4">
        <v>264.0</v>
      </c>
      <c r="E251" s="4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4">
        <v>3.0</v>
      </c>
      <c r="O251" s="4">
        <v>13.1156</v>
      </c>
    </row>
    <row r="252">
      <c r="A252" s="7">
        <v>45534.0</v>
      </c>
      <c r="B252" s="1" t="s">
        <v>95</v>
      </c>
      <c r="C252" s="1" t="s">
        <v>89</v>
      </c>
      <c r="D252" s="4">
        <v>299.0</v>
      </c>
      <c r="E252" s="4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4">
        <v>15.0</v>
      </c>
      <c r="N252" s="4">
        <v>23.959816666666665</v>
      </c>
      <c r="O252" s="4">
        <v>12.751316666666666</v>
      </c>
    </row>
    <row r="253">
      <c r="A253" s="7">
        <v>45534.0</v>
      </c>
      <c r="B253" s="1" t="s">
        <v>95</v>
      </c>
      <c r="C253" s="1" t="s">
        <v>89</v>
      </c>
      <c r="D253" s="4">
        <v>944.0</v>
      </c>
      <c r="E253" s="4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4">
        <v>5.0</v>
      </c>
      <c r="N253" s="4">
        <v>11.837633333333333</v>
      </c>
      <c r="O253" s="4">
        <v>14.83025</v>
      </c>
    </row>
    <row r="254">
      <c r="A254" s="7">
        <v>45534.0</v>
      </c>
      <c r="B254" s="1" t="s">
        <v>95</v>
      </c>
      <c r="C254" s="1" t="s">
        <v>89</v>
      </c>
      <c r="D254" s="4">
        <v>498.0</v>
      </c>
      <c r="E254" s="4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4">
        <v>-7.0</v>
      </c>
      <c r="O254" s="4">
        <v>12.25545</v>
      </c>
    </row>
    <row r="255">
      <c r="A255" s="7">
        <v>45534.0</v>
      </c>
      <c r="B255" s="1" t="s">
        <v>95</v>
      </c>
      <c r="C255" s="1" t="s">
        <v>89</v>
      </c>
      <c r="D255" s="4">
        <v>299.0</v>
      </c>
      <c r="E255" s="4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4">
        <v>-5.0</v>
      </c>
      <c r="O255" s="4">
        <v>14.5157</v>
      </c>
    </row>
    <row r="256">
      <c r="A256" s="7">
        <v>45534.0</v>
      </c>
      <c r="B256" s="1" t="s">
        <v>104</v>
      </c>
      <c r="C256" s="1" t="s">
        <v>105</v>
      </c>
      <c r="D256" s="4">
        <v>329.0</v>
      </c>
      <c r="E256" s="4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4">
        <v>-3.0</v>
      </c>
      <c r="O256" s="4">
        <v>11.6394</v>
      </c>
    </row>
    <row r="257">
      <c r="A257" s="7">
        <v>45534.0</v>
      </c>
      <c r="B257" s="1" t="s">
        <v>95</v>
      </c>
      <c r="C257" s="1" t="s">
        <v>89</v>
      </c>
      <c r="D257" s="4">
        <v>319.0</v>
      </c>
      <c r="E257" s="4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4">
        <v>-6.0</v>
      </c>
      <c r="O257" s="4">
        <v>11.815433333333333</v>
      </c>
    </row>
    <row r="258">
      <c r="A258" s="7">
        <v>45534.0</v>
      </c>
      <c r="B258" s="1" t="s">
        <v>127</v>
      </c>
      <c r="C258" s="1" t="s">
        <v>105</v>
      </c>
      <c r="D258" s="4">
        <v>313.0</v>
      </c>
      <c r="E258" s="4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4">
        <v>-3.0</v>
      </c>
      <c r="O258" s="4">
        <v>8.5757</v>
      </c>
    </row>
    <row r="259">
      <c r="A259" s="7">
        <v>45534.0</v>
      </c>
      <c r="B259" s="1" t="s">
        <v>88</v>
      </c>
      <c r="C259" s="1" t="s">
        <v>89</v>
      </c>
      <c r="D259" s="4">
        <v>264.0</v>
      </c>
      <c r="E259" s="4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4">
        <v>-3.0</v>
      </c>
      <c r="O259" s="4">
        <v>11.957333333333333</v>
      </c>
    </row>
    <row r="260">
      <c r="A260" s="7">
        <v>45534.0</v>
      </c>
      <c r="B260" s="1" t="s">
        <v>169</v>
      </c>
      <c r="C260" s="1" t="s">
        <v>89</v>
      </c>
      <c r="D260" s="4">
        <v>249.0</v>
      </c>
      <c r="E260" s="4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4">
        <v>4.0</v>
      </c>
      <c r="O260" s="4">
        <v>9.150983333333333</v>
      </c>
    </row>
    <row r="261">
      <c r="A261" s="7">
        <v>45534.0</v>
      </c>
      <c r="B261" s="1" t="s">
        <v>127</v>
      </c>
      <c r="C261" s="1" t="s">
        <v>105</v>
      </c>
      <c r="D261" s="4">
        <v>498.0</v>
      </c>
      <c r="E261" s="4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4">
        <v>2.0</v>
      </c>
      <c r="O261" s="4">
        <v>15.04605</v>
      </c>
    </row>
    <row r="262">
      <c r="A262" s="7">
        <v>45534.0</v>
      </c>
      <c r="B262" s="1" t="s">
        <v>104</v>
      </c>
      <c r="C262" s="1" t="s">
        <v>105</v>
      </c>
      <c r="D262" s="4">
        <v>434.0</v>
      </c>
      <c r="E262" s="4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4">
        <v>-1.0</v>
      </c>
      <c r="O262" s="4">
        <v>14.625316666666667</v>
      </c>
    </row>
    <row r="263">
      <c r="A263" s="7">
        <v>45534.0</v>
      </c>
      <c r="B263" s="1" t="s">
        <v>127</v>
      </c>
      <c r="C263" s="1" t="s">
        <v>89</v>
      </c>
      <c r="D263" s="4">
        <v>528.0</v>
      </c>
      <c r="E263" s="4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4">
        <v>-1.0</v>
      </c>
      <c r="O263" s="4">
        <v>13.055966666666666</v>
      </c>
    </row>
    <row r="264">
      <c r="A264" s="7">
        <v>45534.0</v>
      </c>
      <c r="B264" s="1" t="s">
        <v>88</v>
      </c>
      <c r="C264" s="1" t="s">
        <v>89</v>
      </c>
      <c r="D264" s="4">
        <v>354.0</v>
      </c>
      <c r="E264" s="4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4">
        <v>-1.0</v>
      </c>
      <c r="O264" s="4">
        <v>13.671416666666667</v>
      </c>
    </row>
    <row r="265">
      <c r="A265" s="7">
        <v>45534.0</v>
      </c>
      <c r="B265" s="1" t="s">
        <v>127</v>
      </c>
      <c r="C265" s="1" t="s">
        <v>89</v>
      </c>
      <c r="D265" s="4">
        <v>509.0</v>
      </c>
      <c r="E265" s="4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4">
        <v>0.0</v>
      </c>
      <c r="O265" s="4">
        <v>15.0119</v>
      </c>
    </row>
    <row r="266">
      <c r="A266" s="7">
        <v>45534.0</v>
      </c>
      <c r="B266" s="1" t="s">
        <v>88</v>
      </c>
      <c r="C266" s="1" t="s">
        <v>89</v>
      </c>
      <c r="D266" s="4">
        <v>321.0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4">
        <v>-2.0</v>
      </c>
      <c r="O266" s="4">
        <v>12.741933333333334</v>
      </c>
    </row>
    <row r="267">
      <c r="A267" s="7">
        <v>45534.0</v>
      </c>
      <c r="B267" s="1" t="s">
        <v>127</v>
      </c>
      <c r="C267" s="1" t="s">
        <v>89</v>
      </c>
      <c r="D267" s="4">
        <v>299.0</v>
      </c>
      <c r="E267" s="4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4">
        <v>2.0</v>
      </c>
      <c r="O267" s="4">
        <v>14.148416666666666</v>
      </c>
    </row>
    <row r="268">
      <c r="A268" s="7">
        <v>45534.0</v>
      </c>
      <c r="B268" s="1" t="s">
        <v>88</v>
      </c>
      <c r="C268" s="1" t="s">
        <v>89</v>
      </c>
      <c r="D268" s="4">
        <v>376.0</v>
      </c>
      <c r="E268" s="4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4">
        <v>0.0</v>
      </c>
      <c r="O268" s="4">
        <v>14.184016666666666</v>
      </c>
    </row>
    <row r="269">
      <c r="A269" s="7">
        <v>45534.0</v>
      </c>
      <c r="B269" s="1" t="s">
        <v>127</v>
      </c>
      <c r="C269" s="1" t="s">
        <v>89</v>
      </c>
      <c r="D269" s="4">
        <v>442.0</v>
      </c>
      <c r="E269" s="4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4">
        <v>-1.0</v>
      </c>
      <c r="O269" s="4">
        <v>11.585733333333334</v>
      </c>
    </row>
    <row r="270">
      <c r="A270" s="7">
        <v>45534.0</v>
      </c>
      <c r="B270" s="1" t="s">
        <v>127</v>
      </c>
      <c r="C270" s="1" t="s">
        <v>89</v>
      </c>
      <c r="D270" s="4">
        <v>694.0</v>
      </c>
      <c r="E270" s="4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4">
        <v>-3.0</v>
      </c>
      <c r="O270" s="4">
        <v>11.76755</v>
      </c>
    </row>
    <row r="271">
      <c r="A271" s="7">
        <v>45534.0</v>
      </c>
      <c r="B271" s="1" t="s">
        <v>95</v>
      </c>
      <c r="C271" s="1" t="s">
        <v>89</v>
      </c>
      <c r="D271" s="4">
        <v>402.0</v>
      </c>
      <c r="E271" s="4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4">
        <v>-11.0</v>
      </c>
      <c r="N271" s="4">
        <v>0.011416666666666667</v>
      </c>
      <c r="O271" s="4">
        <v>9.85145</v>
      </c>
    </row>
    <row r="272">
      <c r="A272" s="7">
        <v>45534.0</v>
      </c>
      <c r="B272" s="1" t="s">
        <v>169</v>
      </c>
      <c r="C272" s="1" t="s">
        <v>89</v>
      </c>
      <c r="D272" s="4">
        <v>124.5</v>
      </c>
      <c r="E272" s="4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4">
        <v>2.0</v>
      </c>
      <c r="O272" s="4">
        <v>7.474</v>
      </c>
    </row>
    <row r="273">
      <c r="A273" s="7">
        <v>45534.0</v>
      </c>
      <c r="B273" s="1" t="s">
        <v>169</v>
      </c>
      <c r="C273" s="1" t="s">
        <v>89</v>
      </c>
      <c r="D273" s="4">
        <v>269.0</v>
      </c>
      <c r="E273" s="4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4">
        <v>6.0</v>
      </c>
      <c r="O273" s="4">
        <v>11.040983333333333</v>
      </c>
    </row>
    <row r="274">
      <c r="A274" s="7">
        <v>45534.0</v>
      </c>
      <c r="B274" s="1" t="s">
        <v>95</v>
      </c>
      <c r="C274" s="1" t="s">
        <v>89</v>
      </c>
      <c r="D274" s="4">
        <v>219.0</v>
      </c>
      <c r="E274" s="4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4">
        <v>-9.0</v>
      </c>
      <c r="O274" s="4">
        <v>10.014283333333333</v>
      </c>
    </row>
    <row r="275">
      <c r="A275" s="7">
        <v>45534.0</v>
      </c>
      <c r="B275" s="1" t="s">
        <v>127</v>
      </c>
      <c r="C275" s="1" t="s">
        <v>105</v>
      </c>
      <c r="D275" s="4">
        <v>264.0</v>
      </c>
      <c r="E275" s="4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4">
        <v>0.0</v>
      </c>
      <c r="O275" s="4">
        <v>10.863283333333333</v>
      </c>
    </row>
    <row r="276">
      <c r="A276" s="7">
        <v>45534.0</v>
      </c>
      <c r="B276" s="1" t="s">
        <v>95</v>
      </c>
      <c r="C276" s="1" t="s">
        <v>89</v>
      </c>
      <c r="D276" s="4">
        <v>280.0</v>
      </c>
      <c r="E276" s="4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4">
        <v>-11.0</v>
      </c>
      <c r="N276" s="4">
        <v>0.00965</v>
      </c>
      <c r="O276" s="4">
        <v>10.37225</v>
      </c>
    </row>
    <row r="277">
      <c r="A277" s="7">
        <v>45534.0</v>
      </c>
      <c r="B277" s="1" t="s">
        <v>127</v>
      </c>
      <c r="C277" s="1" t="s">
        <v>105</v>
      </c>
      <c r="D277" s="4">
        <v>329.0</v>
      </c>
      <c r="E277" s="4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4">
        <v>4.0</v>
      </c>
      <c r="O277" s="4">
        <v>16.506233333333334</v>
      </c>
    </row>
    <row r="278">
      <c r="A278" s="7">
        <v>45534.0</v>
      </c>
      <c r="B278" s="1" t="s">
        <v>88</v>
      </c>
      <c r="C278" s="1" t="s">
        <v>89</v>
      </c>
      <c r="D278" s="4">
        <v>357.0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4">
        <v>-1.0</v>
      </c>
      <c r="O278" s="4">
        <v>13.66355</v>
      </c>
    </row>
    <row r="279">
      <c r="A279" s="7">
        <v>45534.0</v>
      </c>
      <c r="B279" s="1" t="s">
        <v>127</v>
      </c>
      <c r="C279" s="1" t="s">
        <v>105</v>
      </c>
      <c r="D279" s="4">
        <v>395.0</v>
      </c>
      <c r="E279" s="4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4">
        <v>0.0</v>
      </c>
      <c r="O279" s="4">
        <v>12.38225</v>
      </c>
    </row>
    <row r="280">
      <c r="A280" s="7">
        <v>45534.0</v>
      </c>
      <c r="B280" s="1" t="s">
        <v>88</v>
      </c>
      <c r="C280" s="1" t="s">
        <v>89</v>
      </c>
      <c r="D280" s="4">
        <v>433.0</v>
      </c>
      <c r="E280" s="4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4">
        <v>-3.0</v>
      </c>
      <c r="O280" s="4">
        <v>11.847733333333334</v>
      </c>
    </row>
    <row r="281">
      <c r="A281" s="7">
        <v>45534.0</v>
      </c>
      <c r="B281" s="1" t="s">
        <v>169</v>
      </c>
      <c r="C281" s="1" t="s">
        <v>89</v>
      </c>
      <c r="D281" s="4">
        <v>329.0</v>
      </c>
      <c r="E281" s="4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4">
        <v>5.0</v>
      </c>
      <c r="O281" s="4">
        <v>10.2427</v>
      </c>
    </row>
    <row r="282">
      <c r="A282" s="7">
        <v>45534.0</v>
      </c>
      <c r="B282" s="1" t="s">
        <v>104</v>
      </c>
      <c r="C282" s="1" t="s">
        <v>105</v>
      </c>
      <c r="D282" s="4">
        <v>551.0</v>
      </c>
      <c r="E282" s="4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4">
        <v>-4.0</v>
      </c>
      <c r="O282" s="4">
        <v>13.9294</v>
      </c>
    </row>
    <row r="283">
      <c r="A283" s="7">
        <v>45534.0</v>
      </c>
      <c r="B283" s="1" t="s">
        <v>169</v>
      </c>
      <c r="C283" s="1" t="s">
        <v>89</v>
      </c>
      <c r="D283" s="4">
        <v>49.0</v>
      </c>
      <c r="E283" s="4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4">
        <v>0.0</v>
      </c>
      <c r="O283" s="4">
        <v>5.563766666666667</v>
      </c>
    </row>
    <row r="284">
      <c r="A284" s="7">
        <v>45534.0</v>
      </c>
      <c r="B284" s="1" t="s">
        <v>104</v>
      </c>
      <c r="C284" s="1" t="s">
        <v>105</v>
      </c>
      <c r="D284" s="4">
        <v>987.0</v>
      </c>
      <c r="E284" s="4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4">
        <v>-4.0</v>
      </c>
      <c r="O284" s="4">
        <v>15.345616666666666</v>
      </c>
    </row>
    <row r="285">
      <c r="A285" s="7">
        <v>45534.0</v>
      </c>
      <c r="B285" s="1" t="s">
        <v>88</v>
      </c>
      <c r="C285" s="1" t="s">
        <v>89</v>
      </c>
      <c r="D285" s="4">
        <v>627.0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4">
        <v>-2.0</v>
      </c>
      <c r="O285" s="4">
        <v>12.14575</v>
      </c>
    </row>
    <row r="286">
      <c r="A286" s="7">
        <v>45534.0</v>
      </c>
      <c r="B286" s="1" t="s">
        <v>127</v>
      </c>
      <c r="C286" s="1" t="s">
        <v>105</v>
      </c>
      <c r="D286" s="4">
        <v>299.0</v>
      </c>
      <c r="E286" s="4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4">
        <v>3.0</v>
      </c>
      <c r="O286" s="4">
        <v>14.136133333333333</v>
      </c>
    </row>
    <row r="287">
      <c r="A287" s="7">
        <v>45534.0</v>
      </c>
      <c r="B287" s="1" t="s">
        <v>95</v>
      </c>
      <c r="C287" s="1" t="s">
        <v>89</v>
      </c>
      <c r="D287" s="4">
        <v>219.0</v>
      </c>
      <c r="E287" s="4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4">
        <v>-9.0</v>
      </c>
      <c r="O287" s="4">
        <v>9.7732</v>
      </c>
    </row>
    <row r="288">
      <c r="A288" s="7">
        <v>45534.0</v>
      </c>
      <c r="B288" s="1" t="s">
        <v>127</v>
      </c>
      <c r="C288" s="1" t="s">
        <v>105</v>
      </c>
      <c r="D288" s="4">
        <v>672.0</v>
      </c>
      <c r="E288" s="4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4">
        <v>0.0</v>
      </c>
      <c r="O288" s="4">
        <v>15.7561</v>
      </c>
    </row>
    <row r="289">
      <c r="A289" s="7">
        <v>45534.0</v>
      </c>
      <c r="B289" s="1" t="s">
        <v>104</v>
      </c>
      <c r="C289" s="1" t="s">
        <v>105</v>
      </c>
      <c r="D289" s="4">
        <v>329.0</v>
      </c>
      <c r="E289" s="4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4">
        <v>-3.0</v>
      </c>
      <c r="O289" s="4">
        <v>11.998033333333334</v>
      </c>
    </row>
    <row r="290">
      <c r="A290" s="7">
        <v>45534.0</v>
      </c>
      <c r="B290" s="1" t="s">
        <v>95</v>
      </c>
      <c r="C290" s="1" t="s">
        <v>89</v>
      </c>
      <c r="D290" s="4">
        <v>444.0</v>
      </c>
      <c r="E290" s="4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4">
        <v>-3.0</v>
      </c>
      <c r="O290" s="4">
        <v>15.74925</v>
      </c>
    </row>
    <row r="291">
      <c r="A291" s="7">
        <v>45534.0</v>
      </c>
      <c r="B291" s="1" t="s">
        <v>127</v>
      </c>
      <c r="C291" s="1" t="s">
        <v>105</v>
      </c>
      <c r="D291" s="4">
        <v>513.0</v>
      </c>
      <c r="E291" s="4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4">
        <v>-2.0</v>
      </c>
      <c r="O291" s="4">
        <v>10.252483333333334</v>
      </c>
    </row>
    <row r="292">
      <c r="A292" s="7">
        <v>45534.0</v>
      </c>
      <c r="B292" s="1" t="s">
        <v>127</v>
      </c>
      <c r="C292" s="1" t="s">
        <v>105</v>
      </c>
      <c r="D292" s="4">
        <v>364.0</v>
      </c>
      <c r="E292" s="4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4">
        <v>-3.0</v>
      </c>
      <c r="O292" s="4">
        <v>7.51945</v>
      </c>
    </row>
    <row r="293">
      <c r="A293" s="7">
        <v>45534.0</v>
      </c>
      <c r="B293" s="1" t="s">
        <v>169</v>
      </c>
      <c r="C293" s="1" t="s">
        <v>89</v>
      </c>
      <c r="D293" s="4">
        <v>39.0</v>
      </c>
      <c r="E293" s="4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4">
        <v>4.0</v>
      </c>
      <c r="O293" s="4">
        <v>9.276966666666667</v>
      </c>
    </row>
    <row r="294">
      <c r="A294" s="7">
        <v>45534.0</v>
      </c>
      <c r="B294" s="1" t="s">
        <v>95</v>
      </c>
      <c r="C294" s="1" t="s">
        <v>89</v>
      </c>
      <c r="D294" s="4">
        <v>368.0</v>
      </c>
      <c r="E294" s="4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4">
        <v>-3.0</v>
      </c>
      <c r="N294" s="4">
        <v>0.008966666666666666</v>
      </c>
      <c r="O294" s="4">
        <v>16.247883333333334</v>
      </c>
    </row>
    <row r="295">
      <c r="A295" s="7">
        <v>45534.0</v>
      </c>
      <c r="B295" s="1" t="s">
        <v>95</v>
      </c>
      <c r="C295" s="1" t="s">
        <v>89</v>
      </c>
      <c r="D295" s="4">
        <v>267.0</v>
      </c>
      <c r="E295" s="4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4">
        <v>2.0</v>
      </c>
      <c r="O295" s="4">
        <v>21.779816666666665</v>
      </c>
    </row>
    <row r="296">
      <c r="A296" s="7">
        <v>45534.0</v>
      </c>
      <c r="B296" s="1" t="s">
        <v>95</v>
      </c>
      <c r="C296" s="1" t="s">
        <v>89</v>
      </c>
      <c r="D296" s="4">
        <v>398.0</v>
      </c>
      <c r="E296" s="4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4">
        <v>0.0</v>
      </c>
      <c r="N296" s="4">
        <v>0.0093</v>
      </c>
      <c r="O296" s="4">
        <v>20.600133333333332</v>
      </c>
    </row>
    <row r="297">
      <c r="A297" s="7">
        <v>45534.0</v>
      </c>
      <c r="B297" s="1" t="s">
        <v>95</v>
      </c>
      <c r="C297" s="1" t="s">
        <v>89</v>
      </c>
      <c r="D297" s="4">
        <v>1132.0</v>
      </c>
      <c r="E297" s="4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4">
        <v>11.0</v>
      </c>
      <c r="N297" s="4">
        <v>0.011133333333333334</v>
      </c>
      <c r="O297" s="4">
        <v>18.518883333333335</v>
      </c>
    </row>
    <row r="298">
      <c r="A298" s="7">
        <v>45534.0</v>
      </c>
      <c r="B298" s="1" t="s">
        <v>127</v>
      </c>
      <c r="C298" s="1" t="s">
        <v>105</v>
      </c>
      <c r="D298" s="4">
        <v>474.0</v>
      </c>
      <c r="E298" s="4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4">
        <v>2.0</v>
      </c>
      <c r="O298" s="4">
        <v>16.6031</v>
      </c>
    </row>
    <row r="299">
      <c r="A299" s="7">
        <v>45534.0</v>
      </c>
      <c r="B299" s="1" t="s">
        <v>95</v>
      </c>
      <c r="C299" s="1" t="s">
        <v>89</v>
      </c>
      <c r="D299" s="4">
        <v>329.0</v>
      </c>
      <c r="E299" s="4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4">
        <v>-9.0</v>
      </c>
      <c r="N299" s="4">
        <v>0.008716666666666666</v>
      </c>
      <c r="O299" s="4">
        <v>12.854466666666667</v>
      </c>
    </row>
    <row r="300">
      <c r="A300" s="7">
        <v>45534.0</v>
      </c>
      <c r="B300" s="1" t="s">
        <v>95</v>
      </c>
      <c r="C300" s="1" t="s">
        <v>89</v>
      </c>
      <c r="D300" s="4">
        <v>473.0</v>
      </c>
      <c r="E300" s="4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4">
        <v>-2.0</v>
      </c>
      <c r="N300" s="4">
        <v>0.010516666666666667</v>
      </c>
      <c r="O300" s="4">
        <v>16.346733333333333</v>
      </c>
    </row>
    <row r="301">
      <c r="A301" s="7">
        <v>45534.0</v>
      </c>
      <c r="B301" s="1" t="s">
        <v>127</v>
      </c>
      <c r="C301" s="1" t="s">
        <v>105</v>
      </c>
      <c r="D301" s="4">
        <v>394.0</v>
      </c>
      <c r="E301" s="4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4">
        <v>17.0</v>
      </c>
      <c r="O301" s="4">
        <v>30.905033333333332</v>
      </c>
    </row>
    <row r="302">
      <c r="A302" s="7">
        <v>45534.0</v>
      </c>
      <c r="B302" s="1" t="s">
        <v>127</v>
      </c>
      <c r="C302" s="1" t="s">
        <v>105</v>
      </c>
      <c r="D302" s="4">
        <v>398.0</v>
      </c>
      <c r="E302" s="4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4">
        <v>10.0</v>
      </c>
      <c r="O302" s="4">
        <v>23.3148</v>
      </c>
    </row>
    <row r="303">
      <c r="A303" s="7">
        <v>45534.0</v>
      </c>
      <c r="B303" s="1" t="s">
        <v>127</v>
      </c>
      <c r="C303" s="1" t="s">
        <v>105</v>
      </c>
      <c r="D303" s="4">
        <v>765.0</v>
      </c>
      <c r="E303" s="4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4">
        <v>3.0</v>
      </c>
      <c r="O303" s="4">
        <v>18.25955</v>
      </c>
    </row>
    <row r="304">
      <c r="A304" s="7">
        <v>45534.0</v>
      </c>
      <c r="B304" s="1" t="s">
        <v>88</v>
      </c>
      <c r="C304" s="1" t="s">
        <v>89</v>
      </c>
      <c r="D304" s="4">
        <v>996.0</v>
      </c>
      <c r="E304" s="4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4">
        <v>-1.0</v>
      </c>
      <c r="O304" s="4">
        <v>13.951783333333333</v>
      </c>
    </row>
    <row r="305">
      <c r="A305" s="7">
        <v>45534.0</v>
      </c>
      <c r="B305" s="1" t="s">
        <v>88</v>
      </c>
      <c r="C305" s="1" t="s">
        <v>89</v>
      </c>
      <c r="D305" s="4">
        <v>264.0</v>
      </c>
      <c r="E305" s="4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4">
        <v>-2.0</v>
      </c>
      <c r="O305" s="4">
        <v>12.0688</v>
      </c>
    </row>
    <row r="306">
      <c r="A306" s="7">
        <v>45534.0</v>
      </c>
      <c r="B306" s="1" t="s">
        <v>95</v>
      </c>
      <c r="C306" s="1" t="s">
        <v>89</v>
      </c>
      <c r="D306" s="4">
        <v>199.0</v>
      </c>
      <c r="E306" s="4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4">
        <v>-10.0</v>
      </c>
      <c r="O306" s="4">
        <v>8.539916666666667</v>
      </c>
    </row>
    <row r="307">
      <c r="A307" s="7">
        <v>45534.0</v>
      </c>
      <c r="B307" s="1" t="s">
        <v>127</v>
      </c>
      <c r="C307" s="1" t="s">
        <v>105</v>
      </c>
      <c r="D307" s="4">
        <v>593.0</v>
      </c>
      <c r="E307" s="4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4">
        <v>-1.0</v>
      </c>
      <c r="O307" s="4">
        <v>12.924533333333333</v>
      </c>
    </row>
    <row r="308">
      <c r="A308" s="7">
        <v>45534.0</v>
      </c>
      <c r="B308" s="1" t="s">
        <v>95</v>
      </c>
      <c r="C308" s="1" t="s">
        <v>89</v>
      </c>
      <c r="D308" s="4">
        <v>304.0</v>
      </c>
      <c r="E308" s="4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4">
        <v>-12.0</v>
      </c>
      <c r="N308" s="4">
        <v>0.008533333333333334</v>
      </c>
      <c r="O308" s="4">
        <v>8.179883333333333</v>
      </c>
    </row>
    <row r="309">
      <c r="A309" s="7">
        <v>45534.0</v>
      </c>
      <c r="B309" s="1" t="s">
        <v>127</v>
      </c>
      <c r="C309" s="1" t="s">
        <v>105</v>
      </c>
      <c r="D309" s="4">
        <v>469.0</v>
      </c>
      <c r="E309" s="4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4">
        <v>-3.0</v>
      </c>
      <c r="O309" s="4">
        <v>10.459533333333333</v>
      </c>
    </row>
    <row r="310">
      <c r="A310" s="7">
        <v>45534.0</v>
      </c>
      <c r="B310" s="1" t="s">
        <v>127</v>
      </c>
      <c r="C310" s="1" t="s">
        <v>105</v>
      </c>
      <c r="D310" s="4">
        <v>443.0</v>
      </c>
      <c r="E310" s="4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4">
        <v>-1.0</v>
      </c>
      <c r="O310" s="4">
        <v>11.584416666666666</v>
      </c>
    </row>
    <row r="311">
      <c r="A311" s="7">
        <v>45534.0</v>
      </c>
      <c r="B311" s="1" t="s">
        <v>104</v>
      </c>
      <c r="C311" s="1" t="s">
        <v>105</v>
      </c>
      <c r="D311" s="4">
        <v>329.0</v>
      </c>
      <c r="E311" s="4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4">
        <v>-1.0</v>
      </c>
      <c r="O311" s="4">
        <v>13.978616666666667</v>
      </c>
    </row>
    <row r="312">
      <c r="A312" s="7">
        <v>45534.0</v>
      </c>
      <c r="B312" s="1" t="s">
        <v>88</v>
      </c>
      <c r="C312" s="1" t="s">
        <v>89</v>
      </c>
      <c r="D312" s="4">
        <v>346.0</v>
      </c>
      <c r="E312" s="4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4">
        <v>-3.0</v>
      </c>
      <c r="O312" s="4">
        <v>11.573733333333333</v>
      </c>
    </row>
    <row r="313">
      <c r="A313" s="7">
        <v>45534.0</v>
      </c>
      <c r="B313" s="1" t="s">
        <v>127</v>
      </c>
      <c r="C313" s="1" t="s">
        <v>105</v>
      </c>
      <c r="D313" s="4">
        <v>593.0</v>
      </c>
      <c r="E313" s="4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4">
        <v>0.0</v>
      </c>
      <c r="O313" s="4">
        <v>13.437833333333334</v>
      </c>
    </row>
    <row r="314">
      <c r="A314" s="7">
        <v>45534.0</v>
      </c>
      <c r="B314" s="1" t="s">
        <v>95</v>
      </c>
      <c r="C314" s="1" t="s">
        <v>89</v>
      </c>
      <c r="D314" s="4">
        <v>286.0</v>
      </c>
      <c r="E314" s="4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4">
        <v>-21.0</v>
      </c>
      <c r="O314" s="4">
        <v>34.836983333333336</v>
      </c>
    </row>
    <row r="315">
      <c r="A315" s="7">
        <v>45534.0</v>
      </c>
      <c r="B315" s="1" t="s">
        <v>88</v>
      </c>
      <c r="C315" s="1" t="s">
        <v>89</v>
      </c>
      <c r="D315" s="4">
        <v>329.0</v>
      </c>
      <c r="E315" s="4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4">
        <v>-3.0</v>
      </c>
      <c r="O315" s="4">
        <v>11.80875</v>
      </c>
    </row>
    <row r="316">
      <c r="A316" s="7">
        <v>45534.0</v>
      </c>
      <c r="B316" s="1" t="s">
        <v>88</v>
      </c>
      <c r="C316" s="1" t="s">
        <v>89</v>
      </c>
      <c r="D316" s="4">
        <v>264.0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4">
        <v>0.0</v>
      </c>
      <c r="O316" s="4">
        <v>14.013</v>
      </c>
    </row>
    <row r="317">
      <c r="A317" s="7">
        <v>45534.0</v>
      </c>
      <c r="B317" s="1" t="s">
        <v>88</v>
      </c>
      <c r="C317" s="1" t="s">
        <v>89</v>
      </c>
      <c r="D317" s="4">
        <v>289.0</v>
      </c>
      <c r="E317" s="4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4">
        <v>-1.0</v>
      </c>
      <c r="O317" s="4">
        <v>13.5385</v>
      </c>
    </row>
    <row r="318">
      <c r="A318" s="7">
        <v>45534.0</v>
      </c>
      <c r="B318" s="1" t="s">
        <v>104</v>
      </c>
      <c r="C318" s="1" t="s">
        <v>105</v>
      </c>
      <c r="D318" s="4">
        <v>289.0</v>
      </c>
      <c r="E318" s="4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4">
        <v>0.0</v>
      </c>
      <c r="O318" s="4">
        <v>15.1745</v>
      </c>
    </row>
    <row r="319">
      <c r="A319" s="7">
        <v>45534.0</v>
      </c>
      <c r="B319" s="1" t="s">
        <v>88</v>
      </c>
      <c r="C319" s="1" t="s">
        <v>89</v>
      </c>
      <c r="D319" s="4">
        <v>723.0</v>
      </c>
      <c r="E319" s="4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4">
        <v>2.0</v>
      </c>
      <c r="O319" s="4">
        <v>17.672333333333334</v>
      </c>
    </row>
    <row r="320">
      <c r="A320" s="7">
        <v>45534.0</v>
      </c>
      <c r="B320" s="1" t="s">
        <v>127</v>
      </c>
      <c r="C320" s="1" t="s">
        <v>105</v>
      </c>
      <c r="D320" s="4">
        <v>585.0</v>
      </c>
      <c r="E320" s="4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4">
        <v>0.0</v>
      </c>
      <c r="O320" s="4">
        <v>13.115283333333334</v>
      </c>
    </row>
    <row r="321">
      <c r="A321" s="7">
        <v>45534.0</v>
      </c>
      <c r="B321" s="1" t="s">
        <v>169</v>
      </c>
      <c r="C321" s="1" t="s">
        <v>89</v>
      </c>
      <c r="D321" s="4">
        <v>555.0</v>
      </c>
      <c r="E321" s="4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4">
        <v>16.0</v>
      </c>
      <c r="O321" s="4">
        <v>21.73445</v>
      </c>
    </row>
    <row r="322">
      <c r="A322" s="7">
        <v>45534.0</v>
      </c>
      <c r="B322" s="1" t="s">
        <v>169</v>
      </c>
      <c r="C322" s="1" t="s">
        <v>89</v>
      </c>
      <c r="D322" s="4">
        <v>344.0</v>
      </c>
      <c r="E322" s="4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4">
        <v>14.0</v>
      </c>
      <c r="O322" s="4">
        <v>19.301133333333333</v>
      </c>
    </row>
    <row r="323">
      <c r="A323" s="7">
        <v>45534.0</v>
      </c>
      <c r="B323" s="1" t="s">
        <v>95</v>
      </c>
      <c r="C323" s="1" t="s">
        <v>89</v>
      </c>
      <c r="D323" s="4">
        <v>603.0</v>
      </c>
      <c r="E323" s="4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4">
        <v>-7.0</v>
      </c>
      <c r="N323" s="4">
        <v>0.022883333333333332</v>
      </c>
      <c r="O323" s="4">
        <v>12.89785</v>
      </c>
    </row>
    <row r="324">
      <c r="A324" s="7">
        <v>45534.0</v>
      </c>
      <c r="B324" s="1" t="s">
        <v>95</v>
      </c>
      <c r="C324" s="1" t="s">
        <v>89</v>
      </c>
      <c r="D324" s="4">
        <v>705.0</v>
      </c>
      <c r="E324" s="4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4">
        <v>-5.0</v>
      </c>
      <c r="N324" s="4">
        <v>0.015116666666666667</v>
      </c>
      <c r="O324" s="4">
        <v>18.331333333333333</v>
      </c>
    </row>
    <row r="325">
      <c r="A325" s="7">
        <v>45534.0</v>
      </c>
      <c r="B325" s="1" t="s">
        <v>127</v>
      </c>
      <c r="C325" s="1" t="s">
        <v>105</v>
      </c>
      <c r="D325" s="4">
        <v>460.0</v>
      </c>
      <c r="E325" s="4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4">
        <v>0.0</v>
      </c>
      <c r="O325" s="4">
        <v>13.216883333333334</v>
      </c>
    </row>
    <row r="326">
      <c r="A326" s="7">
        <v>45534.0</v>
      </c>
      <c r="B326" s="1" t="s">
        <v>95</v>
      </c>
      <c r="C326" s="1" t="s">
        <v>89</v>
      </c>
      <c r="D326" s="4">
        <v>375.0</v>
      </c>
      <c r="E326" s="4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4">
        <v>-17.0</v>
      </c>
      <c r="N326" s="4">
        <v>0.014183333333333333</v>
      </c>
    </row>
    <row r="327">
      <c r="A327" s="7">
        <v>45534.0</v>
      </c>
      <c r="B327" s="1" t="s">
        <v>95</v>
      </c>
      <c r="C327" s="1" t="s">
        <v>89</v>
      </c>
      <c r="D327" s="4">
        <v>495.0</v>
      </c>
      <c r="E327" s="4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4">
        <v>-6.0</v>
      </c>
      <c r="O327" s="4">
        <v>11.745233333333333</v>
      </c>
    </row>
    <row r="328">
      <c r="A328" s="7">
        <v>45534.0</v>
      </c>
      <c r="B328" s="1" t="s">
        <v>95</v>
      </c>
      <c r="C328" s="1" t="s">
        <v>89</v>
      </c>
      <c r="D328" s="4">
        <v>458.0</v>
      </c>
      <c r="E328" s="4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4">
        <v>-5.0</v>
      </c>
      <c r="N328" s="4">
        <v>0.00925</v>
      </c>
      <c r="O328" s="4">
        <v>10.79145</v>
      </c>
    </row>
    <row r="329">
      <c r="A329" s="7">
        <v>45534.0</v>
      </c>
      <c r="B329" s="1" t="s">
        <v>95</v>
      </c>
      <c r="C329" s="1" t="s">
        <v>89</v>
      </c>
      <c r="D329" s="4">
        <v>585.0</v>
      </c>
      <c r="E329" s="4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4">
        <v>-5.0</v>
      </c>
      <c r="N329" s="4">
        <v>0.009416666666666667</v>
      </c>
      <c r="O329" s="4">
        <v>12.323166666666667</v>
      </c>
    </row>
    <row r="330">
      <c r="A330" s="7">
        <v>45534.0</v>
      </c>
      <c r="B330" s="1" t="s">
        <v>95</v>
      </c>
      <c r="C330" s="1" t="s">
        <v>89</v>
      </c>
      <c r="D330" s="4">
        <v>418.0</v>
      </c>
      <c r="E330" s="4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4">
        <v>0.0</v>
      </c>
      <c r="N330" s="4">
        <v>0.013116666666666667</v>
      </c>
      <c r="O330" s="4">
        <v>9.201633333333334</v>
      </c>
    </row>
    <row r="331">
      <c r="A331" s="7">
        <v>45534.0</v>
      </c>
      <c r="B331" s="1" t="s">
        <v>95</v>
      </c>
      <c r="C331" s="1" t="s">
        <v>89</v>
      </c>
      <c r="D331" s="4">
        <v>199.0</v>
      </c>
      <c r="E331" s="4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4">
        <v>-13.0</v>
      </c>
      <c r="O331" s="4">
        <v>6.172616666666666</v>
      </c>
    </row>
    <row r="332">
      <c r="A332" s="7">
        <v>45534.0</v>
      </c>
      <c r="B332" s="1" t="s">
        <v>95</v>
      </c>
      <c r="C332" s="1" t="s">
        <v>89</v>
      </c>
      <c r="D332" s="4">
        <v>247.0</v>
      </c>
      <c r="E332" s="4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4">
        <v>-7.0</v>
      </c>
      <c r="O332" s="4">
        <v>12.17635</v>
      </c>
    </row>
    <row r="333">
      <c r="A333" s="7">
        <v>45534.0</v>
      </c>
      <c r="B333" s="1" t="s">
        <v>95</v>
      </c>
      <c r="C333" s="1" t="s">
        <v>89</v>
      </c>
      <c r="D333" s="4">
        <v>275.0</v>
      </c>
      <c r="E333" s="4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4">
        <v>-47.0</v>
      </c>
      <c r="O333" s="4">
        <v>46.16095</v>
      </c>
    </row>
    <row r="334">
      <c r="A334" s="7">
        <v>45534.0</v>
      </c>
      <c r="B334" s="1" t="s">
        <v>127</v>
      </c>
      <c r="C334" s="1" t="s">
        <v>105</v>
      </c>
      <c r="D334" s="4">
        <v>264.0</v>
      </c>
      <c r="E334" s="4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4">
        <v>7.0</v>
      </c>
      <c r="O334" s="4">
        <v>18.540816666666668</v>
      </c>
    </row>
    <row r="335">
      <c r="A335" s="7">
        <v>45534.0</v>
      </c>
      <c r="B335" s="1" t="s">
        <v>88</v>
      </c>
      <c r="C335" s="1" t="s">
        <v>89</v>
      </c>
      <c r="D335" s="4">
        <v>746.0</v>
      </c>
      <c r="E335" s="4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4">
        <v>-6.0</v>
      </c>
      <c r="O335" s="4">
        <v>11.345466666666667</v>
      </c>
    </row>
    <row r="336">
      <c r="A336" s="7">
        <v>45534.0</v>
      </c>
      <c r="B336" s="1" t="s">
        <v>127</v>
      </c>
      <c r="C336" s="1" t="s">
        <v>105</v>
      </c>
      <c r="D336" s="4">
        <v>273.0</v>
      </c>
      <c r="E336" s="4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4">
        <v>-1.0</v>
      </c>
      <c r="O336" s="4">
        <v>9.38455</v>
      </c>
    </row>
    <row r="337">
      <c r="A337" s="7">
        <v>45534.0</v>
      </c>
      <c r="B337" s="1" t="s">
        <v>127</v>
      </c>
      <c r="C337" s="1" t="s">
        <v>105</v>
      </c>
      <c r="D337" s="4">
        <v>199.0</v>
      </c>
      <c r="E337" s="4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4">
        <v>3.0</v>
      </c>
      <c r="O337" s="4">
        <v>12.011233333333333</v>
      </c>
    </row>
    <row r="338">
      <c r="A338" s="7">
        <v>45534.0</v>
      </c>
      <c r="B338" s="1" t="s">
        <v>104</v>
      </c>
      <c r="C338" s="1" t="s">
        <v>105</v>
      </c>
      <c r="D338" s="4">
        <v>658.0</v>
      </c>
      <c r="E338" s="4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4">
        <v>0.0</v>
      </c>
      <c r="O338" s="4">
        <v>17.447516666666665</v>
      </c>
    </row>
    <row r="339">
      <c r="A339" s="7">
        <v>45534.0</v>
      </c>
      <c r="B339" s="1" t="s">
        <v>104</v>
      </c>
      <c r="C339" s="1" t="s">
        <v>105</v>
      </c>
      <c r="D339" s="4">
        <v>329.0</v>
      </c>
      <c r="E339" s="4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4">
        <v>0.0</v>
      </c>
      <c r="O339" s="4">
        <v>14.664183333333334</v>
      </c>
    </row>
    <row r="340">
      <c r="A340" s="7">
        <v>45534.0</v>
      </c>
      <c r="B340" s="1" t="s">
        <v>95</v>
      </c>
      <c r="C340" s="1" t="s">
        <v>89</v>
      </c>
      <c r="D340" s="4">
        <v>588.0</v>
      </c>
      <c r="E340" s="4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4">
        <v>-5.0</v>
      </c>
      <c r="N340" s="4">
        <v>0.011133333333333334</v>
      </c>
      <c r="O340" s="4">
        <v>14.595283333333333</v>
      </c>
    </row>
    <row r="341">
      <c r="A341" s="7">
        <v>45534.0</v>
      </c>
      <c r="B341" s="1" t="s">
        <v>88</v>
      </c>
      <c r="C341" s="1" t="s">
        <v>89</v>
      </c>
      <c r="D341" s="4">
        <v>528.0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4">
        <v>-5.0</v>
      </c>
      <c r="O341" s="4">
        <v>9.9408</v>
      </c>
    </row>
    <row r="342">
      <c r="A342" s="7">
        <v>45534.0</v>
      </c>
      <c r="B342" s="1" t="s">
        <v>127</v>
      </c>
      <c r="C342" s="1" t="s">
        <v>105</v>
      </c>
      <c r="D342" s="4">
        <v>264.0</v>
      </c>
      <c r="E342" s="4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4">
        <v>-1.0</v>
      </c>
      <c r="O342" s="4">
        <v>10.248683333333334</v>
      </c>
    </row>
    <row r="343">
      <c r="A343" s="7">
        <v>45534.0</v>
      </c>
      <c r="B343" s="1" t="s">
        <v>127</v>
      </c>
      <c r="C343" s="1" t="s">
        <v>105</v>
      </c>
      <c r="D343" s="4">
        <v>522.0</v>
      </c>
      <c r="E343" s="4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4">
        <v>1.0</v>
      </c>
      <c r="O343" s="4">
        <v>14.003133333333333</v>
      </c>
    </row>
    <row r="344">
      <c r="A344" s="7">
        <v>45534.0</v>
      </c>
      <c r="B344" s="1" t="s">
        <v>104</v>
      </c>
      <c r="C344" s="1" t="s">
        <v>105</v>
      </c>
      <c r="D344" s="4">
        <v>329.0</v>
      </c>
      <c r="E344" s="4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4">
        <v>0.0</v>
      </c>
      <c r="O344" s="4">
        <v>14.7306</v>
      </c>
    </row>
    <row r="345">
      <c r="A345" s="7">
        <v>45534.0</v>
      </c>
      <c r="B345" s="1" t="s">
        <v>127</v>
      </c>
      <c r="C345" s="1" t="s">
        <v>105</v>
      </c>
      <c r="D345" s="4">
        <v>279.0</v>
      </c>
      <c r="E345" s="4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4">
        <v>6.0</v>
      </c>
      <c r="O345" s="4">
        <v>17.1847</v>
      </c>
    </row>
    <row r="346">
      <c r="A346" s="7">
        <v>45534.0</v>
      </c>
      <c r="B346" s="1" t="s">
        <v>127</v>
      </c>
      <c r="C346" s="1" t="s">
        <v>105</v>
      </c>
      <c r="D346" s="4">
        <v>492.0</v>
      </c>
      <c r="E346" s="4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4">
        <v>1.0</v>
      </c>
      <c r="O346" s="4">
        <v>15.937016666666667</v>
      </c>
    </row>
    <row r="347">
      <c r="A347" s="7">
        <v>45534.0</v>
      </c>
      <c r="B347" s="1" t="s">
        <v>169</v>
      </c>
      <c r="C347" s="1" t="s">
        <v>89</v>
      </c>
      <c r="D347" s="4">
        <v>45.0</v>
      </c>
      <c r="E347" s="4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4">
        <v>-1.0</v>
      </c>
      <c r="O347" s="4">
        <v>3.119066666666667</v>
      </c>
    </row>
    <row r="348">
      <c r="A348" s="7">
        <v>45534.0</v>
      </c>
      <c r="B348" s="1" t="s">
        <v>169</v>
      </c>
      <c r="C348" s="1" t="s">
        <v>89</v>
      </c>
      <c r="D348" s="4">
        <v>747.0</v>
      </c>
      <c r="E348" s="4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4">
        <v>5.0</v>
      </c>
      <c r="O348" s="4">
        <v>10.343333333333334</v>
      </c>
    </row>
    <row r="349">
      <c r="A349" s="7">
        <v>45534.0</v>
      </c>
      <c r="B349" s="1" t="s">
        <v>95</v>
      </c>
      <c r="C349" s="1" t="s">
        <v>89</v>
      </c>
      <c r="D349" s="4">
        <v>703.0</v>
      </c>
      <c r="E349" s="4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4">
        <v>17.0</v>
      </c>
      <c r="N349" s="4">
        <v>11.390233333333333</v>
      </c>
      <c r="O349" s="4">
        <v>17.03485</v>
      </c>
    </row>
    <row r="350">
      <c r="A350" s="7">
        <v>45534.0</v>
      </c>
      <c r="B350" s="1" t="s">
        <v>95</v>
      </c>
      <c r="C350" s="1" t="s">
        <v>89</v>
      </c>
      <c r="D350" s="4">
        <v>318.0</v>
      </c>
      <c r="E350" s="4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4">
        <v>-13.0</v>
      </c>
      <c r="O350" s="4">
        <v>26.82046666666667</v>
      </c>
    </row>
    <row r="351">
      <c r="A351" s="7">
        <v>45534.0</v>
      </c>
      <c r="B351" s="1" t="s">
        <v>95</v>
      </c>
      <c r="C351" s="1" t="s">
        <v>89</v>
      </c>
      <c r="D351" s="4">
        <v>463.0</v>
      </c>
      <c r="E351" s="4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4">
        <v>0.0</v>
      </c>
      <c r="N351" s="4">
        <v>0.0117</v>
      </c>
    </row>
    <row r="352">
      <c r="A352" s="7">
        <v>45534.0</v>
      </c>
      <c r="B352" s="1" t="s">
        <v>95</v>
      </c>
      <c r="C352" s="1" t="s">
        <v>89</v>
      </c>
      <c r="D352" s="4">
        <v>239.0</v>
      </c>
      <c r="E352" s="4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4">
        <v>0.0</v>
      </c>
      <c r="N352" s="4">
        <v>0.015566666666666666</v>
      </c>
      <c r="O352" s="4">
        <v>11.012833333333333</v>
      </c>
    </row>
    <row r="353">
      <c r="A353" s="7">
        <v>45534.0</v>
      </c>
      <c r="B353" s="1" t="s">
        <v>88</v>
      </c>
      <c r="C353" s="1" t="s">
        <v>89</v>
      </c>
      <c r="D353" s="4">
        <v>264.0</v>
      </c>
      <c r="E353" s="4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4">
        <v>-4.0</v>
      </c>
      <c r="O353" s="4">
        <v>10.434333333333333</v>
      </c>
    </row>
    <row r="354">
      <c r="A354" s="7">
        <v>45534.0</v>
      </c>
      <c r="B354" s="1" t="s">
        <v>95</v>
      </c>
      <c r="C354" s="1" t="s">
        <v>89</v>
      </c>
      <c r="D354" s="4">
        <v>223.0</v>
      </c>
      <c r="E354" s="4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4">
        <v>-10.0</v>
      </c>
      <c r="O354" s="4">
        <v>8.927833333333334</v>
      </c>
    </row>
    <row r="355">
      <c r="A355" s="7">
        <v>45534.0</v>
      </c>
      <c r="B355" s="1" t="s">
        <v>95</v>
      </c>
      <c r="C355" s="1" t="s">
        <v>89</v>
      </c>
      <c r="D355" s="4">
        <v>1157.0</v>
      </c>
      <c r="E355" s="4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4">
        <v>-3.0</v>
      </c>
      <c r="N355" s="4">
        <v>0.015133333333333334</v>
      </c>
      <c r="O355" s="4">
        <v>140.94301666666667</v>
      </c>
    </row>
    <row r="356">
      <c r="A356" s="7">
        <v>45534.0</v>
      </c>
      <c r="B356" s="1" t="s">
        <v>127</v>
      </c>
      <c r="C356" s="1" t="s">
        <v>105</v>
      </c>
      <c r="D356" s="4">
        <v>575.0</v>
      </c>
      <c r="E356" s="4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4">
        <v>-4.0</v>
      </c>
      <c r="O356" s="4">
        <v>9.028716666666666</v>
      </c>
    </row>
    <row r="357">
      <c r="A357" s="7">
        <v>45534.0</v>
      </c>
      <c r="B357" s="1" t="s">
        <v>95</v>
      </c>
      <c r="C357" s="1" t="s">
        <v>89</v>
      </c>
      <c r="D357" s="4">
        <v>309.0</v>
      </c>
      <c r="E357" s="4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4">
        <v>10.0</v>
      </c>
      <c r="N357" s="4">
        <v>0.00835</v>
      </c>
      <c r="O357" s="4">
        <v>7.1523666666666665</v>
      </c>
    </row>
    <row r="358">
      <c r="A358" s="7">
        <v>45534.0</v>
      </c>
      <c r="B358" s="1" t="s">
        <v>127</v>
      </c>
      <c r="C358" s="1" t="s">
        <v>105</v>
      </c>
      <c r="D358" s="4">
        <v>321.0</v>
      </c>
      <c r="E358" s="4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4">
        <v>-1.0</v>
      </c>
      <c r="O358" s="4">
        <v>9.094033333333334</v>
      </c>
    </row>
    <row r="359">
      <c r="A359" s="7">
        <v>45534.0</v>
      </c>
      <c r="B359" s="1" t="s">
        <v>95</v>
      </c>
      <c r="C359" s="1" t="s">
        <v>1009</v>
      </c>
      <c r="D359" s="4">
        <v>309.0</v>
      </c>
      <c r="E359" s="4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4">
        <v>1.0</v>
      </c>
      <c r="N359" s="4">
        <v>0.00875</v>
      </c>
      <c r="O359" s="4">
        <v>8.435216666666667</v>
      </c>
    </row>
    <row r="360">
      <c r="A360" s="7">
        <v>45534.0</v>
      </c>
      <c r="B360" s="1" t="s">
        <v>95</v>
      </c>
      <c r="C360" s="1" t="s">
        <v>89</v>
      </c>
      <c r="D360" s="4">
        <v>209.0</v>
      </c>
      <c r="E360" s="4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4">
        <v>-7.0</v>
      </c>
      <c r="O360" s="4">
        <v>11.1654</v>
      </c>
    </row>
    <row r="361">
      <c r="A361" s="7">
        <v>45534.0</v>
      </c>
      <c r="B361" s="1" t="s">
        <v>127</v>
      </c>
      <c r="C361" s="1" t="s">
        <v>105</v>
      </c>
      <c r="D361" s="4">
        <v>183.0</v>
      </c>
      <c r="E361" s="4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4">
        <v>-2.0</v>
      </c>
      <c r="O361" s="4">
        <v>6.969266666666667</v>
      </c>
    </row>
    <row r="362">
      <c r="A362" s="7">
        <v>45534.0</v>
      </c>
      <c r="B362" s="1" t="s">
        <v>127</v>
      </c>
      <c r="C362" s="1" t="s">
        <v>105</v>
      </c>
      <c r="D362" s="4">
        <v>333.0</v>
      </c>
      <c r="E362" s="4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4">
        <v>-2.0</v>
      </c>
      <c r="O362" s="4">
        <v>9.320933333333333</v>
      </c>
    </row>
    <row r="363">
      <c r="A363" s="7">
        <v>45534.0</v>
      </c>
      <c r="B363" s="1" t="s">
        <v>127</v>
      </c>
      <c r="C363" s="1" t="s">
        <v>105</v>
      </c>
      <c r="D363" s="4">
        <v>583.0</v>
      </c>
      <c r="E363" s="4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4">
        <v>-4.0</v>
      </c>
      <c r="O363" s="4">
        <v>9.9082</v>
      </c>
    </row>
    <row r="364">
      <c r="A364" s="7">
        <v>45534.0</v>
      </c>
      <c r="B364" s="1" t="s">
        <v>95</v>
      </c>
      <c r="C364" s="1" t="s">
        <v>89</v>
      </c>
      <c r="D364" s="4">
        <v>489.0</v>
      </c>
      <c r="E364" s="4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4">
        <v>-3.0</v>
      </c>
      <c r="N364" s="4">
        <v>0.0117</v>
      </c>
      <c r="O364" s="4">
        <v>9.605833333333333</v>
      </c>
    </row>
    <row r="365">
      <c r="A365" s="7">
        <v>45534.0</v>
      </c>
      <c r="B365" s="1" t="s">
        <v>127</v>
      </c>
      <c r="C365" s="1" t="s">
        <v>105</v>
      </c>
      <c r="D365" s="4">
        <v>346.0</v>
      </c>
      <c r="E365" s="4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4">
        <v>-1.0</v>
      </c>
      <c r="O365" s="4">
        <v>10.578366666666666</v>
      </c>
    </row>
    <row r="366">
      <c r="A366" s="7">
        <v>45534.0</v>
      </c>
      <c r="B366" s="1" t="s">
        <v>169</v>
      </c>
      <c r="C366" s="1" t="s">
        <v>89</v>
      </c>
      <c r="D366" s="4">
        <v>309.0</v>
      </c>
      <c r="E366" s="4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4">
        <v>5.0</v>
      </c>
      <c r="O366" s="4">
        <v>10.396216666666668</v>
      </c>
    </row>
    <row r="367">
      <c r="A367" s="7">
        <v>45534.0</v>
      </c>
      <c r="B367" s="1" t="s">
        <v>127</v>
      </c>
      <c r="C367" s="1" t="s">
        <v>105</v>
      </c>
      <c r="D367" s="4">
        <v>329.0</v>
      </c>
      <c r="E367" s="4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4">
        <v>-1.0</v>
      </c>
      <c r="O367" s="4">
        <v>9.603466666666666</v>
      </c>
    </row>
    <row r="368">
      <c r="A368" s="7">
        <v>45534.0</v>
      </c>
      <c r="B368" s="1" t="s">
        <v>169</v>
      </c>
      <c r="C368" s="1" t="s">
        <v>89</v>
      </c>
      <c r="D368" s="4">
        <v>618.0</v>
      </c>
      <c r="E368" s="4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4">
        <v>9.0</v>
      </c>
      <c r="O368" s="4">
        <v>14.0355</v>
      </c>
    </row>
    <row r="369">
      <c r="A369" s="7">
        <v>45534.0</v>
      </c>
      <c r="B369" s="1" t="s">
        <v>95</v>
      </c>
      <c r="C369" s="1" t="s">
        <v>89</v>
      </c>
      <c r="D369" s="4">
        <v>387.0</v>
      </c>
      <c r="E369" s="4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4">
        <v>-3.0</v>
      </c>
      <c r="N369" s="4">
        <v>0.009383333333333334</v>
      </c>
      <c r="O369" s="4">
        <v>9.584816666666667</v>
      </c>
    </row>
    <row r="370">
      <c r="A370" s="7">
        <v>45534.0</v>
      </c>
      <c r="B370" s="1" t="s">
        <v>95</v>
      </c>
      <c r="C370" s="1" t="s">
        <v>89</v>
      </c>
      <c r="D370" s="4">
        <v>269.0</v>
      </c>
      <c r="E370" s="4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4">
        <v>-6.0</v>
      </c>
      <c r="N370" s="4">
        <v>0.011133333333333334</v>
      </c>
      <c r="O370" s="4">
        <v>10.658433333333333</v>
      </c>
    </row>
    <row r="371">
      <c r="A371" s="7">
        <v>45534.0</v>
      </c>
      <c r="B371" s="1" t="s">
        <v>95</v>
      </c>
      <c r="C371" s="1" t="s">
        <v>89</v>
      </c>
      <c r="D371" s="4">
        <v>573.0</v>
      </c>
      <c r="E371" s="4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4">
        <v>14.0</v>
      </c>
      <c r="N371" s="4">
        <v>0.008633333333333333</v>
      </c>
      <c r="O371" s="4">
        <v>11.3383</v>
      </c>
    </row>
    <row r="372">
      <c r="A372" s="7">
        <v>45534.0</v>
      </c>
      <c r="B372" s="1" t="s">
        <v>104</v>
      </c>
      <c r="C372" s="1" t="s">
        <v>105</v>
      </c>
      <c r="D372" s="4">
        <v>321.0</v>
      </c>
      <c r="E372" s="4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4">
        <v>-4.0</v>
      </c>
      <c r="O372" s="4">
        <v>10.005883333333333</v>
      </c>
    </row>
    <row r="373">
      <c r="A373" s="7">
        <v>45534.0</v>
      </c>
      <c r="B373" s="1" t="s">
        <v>169</v>
      </c>
      <c r="C373" s="1" t="s">
        <v>89</v>
      </c>
      <c r="D373" s="4">
        <v>249.0</v>
      </c>
      <c r="E373" s="4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4">
        <v>4.0</v>
      </c>
      <c r="O373" s="4">
        <v>9.677516666666667</v>
      </c>
    </row>
    <row r="374">
      <c r="A374" s="7">
        <v>45534.0</v>
      </c>
      <c r="B374" s="1" t="s">
        <v>169</v>
      </c>
      <c r="C374" s="1" t="s">
        <v>89</v>
      </c>
      <c r="D374" s="4">
        <v>558.0</v>
      </c>
      <c r="E374" s="4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4">
        <v>1.0</v>
      </c>
      <c r="O374" s="4">
        <v>6.7999</v>
      </c>
    </row>
    <row r="375">
      <c r="A375" s="7">
        <v>45534.0</v>
      </c>
      <c r="B375" s="1" t="s">
        <v>127</v>
      </c>
      <c r="C375" s="1" t="s">
        <v>105</v>
      </c>
      <c r="D375" s="4">
        <v>329.0</v>
      </c>
      <c r="E375" s="4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4">
        <v>6.0</v>
      </c>
      <c r="O375" s="4">
        <v>17.119933333333332</v>
      </c>
    </row>
    <row r="376">
      <c r="A376" s="7">
        <v>45534.0</v>
      </c>
      <c r="B376" s="1" t="s">
        <v>127</v>
      </c>
      <c r="C376" s="1" t="s">
        <v>105</v>
      </c>
      <c r="D376" s="4">
        <v>239.0</v>
      </c>
      <c r="E376" s="4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4">
        <v>-1.0</v>
      </c>
      <c r="O376" s="4">
        <v>9.020066666666667</v>
      </c>
    </row>
    <row r="377">
      <c r="A377" s="7">
        <v>45534.0</v>
      </c>
      <c r="B377" s="1" t="s">
        <v>95</v>
      </c>
      <c r="C377" s="1" t="s">
        <v>89</v>
      </c>
      <c r="D377" s="4">
        <v>267.0</v>
      </c>
      <c r="E377" s="4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4">
        <v>-6.0</v>
      </c>
      <c r="O377" s="4">
        <v>12.19515</v>
      </c>
    </row>
    <row r="378">
      <c r="A378" s="7">
        <v>45534.0</v>
      </c>
      <c r="B378" s="1" t="s">
        <v>95</v>
      </c>
      <c r="C378" s="1" t="s">
        <v>89</v>
      </c>
      <c r="D378" s="4">
        <v>434.0</v>
      </c>
      <c r="E378" s="4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4">
        <v>-7.0</v>
      </c>
      <c r="O378" s="4">
        <v>11.11585</v>
      </c>
    </row>
    <row r="379">
      <c r="A379" s="7">
        <v>45534.0</v>
      </c>
      <c r="B379" s="1" t="s">
        <v>169</v>
      </c>
      <c r="C379" s="1" t="s">
        <v>89</v>
      </c>
      <c r="D379" s="4">
        <v>249.0</v>
      </c>
      <c r="E379" s="4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4">
        <v>4.0</v>
      </c>
      <c r="O379" s="4">
        <v>9.772216666666667</v>
      </c>
    </row>
    <row r="380">
      <c r="A380" s="7">
        <v>45534.0</v>
      </c>
      <c r="B380" s="1" t="s">
        <v>169</v>
      </c>
      <c r="C380" s="1" t="s">
        <v>89</v>
      </c>
      <c r="D380" s="4">
        <v>119.0</v>
      </c>
      <c r="E380" s="4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4">
        <v>4.0</v>
      </c>
      <c r="O380" s="4">
        <v>9.00935</v>
      </c>
    </row>
    <row r="381">
      <c r="A381" s="7">
        <v>45534.0</v>
      </c>
      <c r="B381" s="1" t="s">
        <v>127</v>
      </c>
      <c r="C381" s="1" t="s">
        <v>89</v>
      </c>
      <c r="D381" s="4">
        <v>264.0</v>
      </c>
      <c r="E381" s="4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4">
        <v>2.0</v>
      </c>
      <c r="O381" s="4">
        <v>14.1992</v>
      </c>
    </row>
    <row r="382">
      <c r="A382" s="7">
        <v>45534.0</v>
      </c>
      <c r="B382" s="1" t="s">
        <v>95</v>
      </c>
      <c r="C382" s="1" t="s">
        <v>89</v>
      </c>
      <c r="D382" s="4">
        <v>368.0</v>
      </c>
      <c r="E382" s="4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4">
        <v>3.0</v>
      </c>
      <c r="N382" s="4">
        <v>0.0081</v>
      </c>
      <c r="O382" s="4">
        <v>12.618433333333334</v>
      </c>
    </row>
    <row r="383">
      <c r="A383" s="7">
        <v>45534.0</v>
      </c>
      <c r="B383" s="1" t="s">
        <v>88</v>
      </c>
      <c r="C383" s="1" t="s">
        <v>89</v>
      </c>
      <c r="D383" s="4">
        <v>387.0</v>
      </c>
      <c r="E383" s="4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4">
        <v>-9.0</v>
      </c>
      <c r="O383" s="4">
        <v>9.328083333333334</v>
      </c>
    </row>
    <row r="384">
      <c r="A384" s="7">
        <v>45534.0</v>
      </c>
      <c r="B384" s="1" t="s">
        <v>95</v>
      </c>
      <c r="C384" s="1" t="s">
        <v>89</v>
      </c>
      <c r="D384" s="4">
        <v>309.0</v>
      </c>
      <c r="E384" s="4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4">
        <v>-4.0</v>
      </c>
      <c r="N384" s="4">
        <v>0.009933333333333334</v>
      </c>
      <c r="O384" s="4">
        <v>10.8984</v>
      </c>
    </row>
    <row r="385">
      <c r="A385" s="7">
        <v>45534.0</v>
      </c>
      <c r="B385" s="1" t="s">
        <v>95</v>
      </c>
      <c r="C385" s="1" t="s">
        <v>89</v>
      </c>
      <c r="D385" s="4">
        <v>347.0</v>
      </c>
      <c r="E385" s="4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4">
        <v>0.0</v>
      </c>
      <c r="N385" s="4">
        <v>0.0117</v>
      </c>
      <c r="O385" s="4">
        <v>7.140833333333333</v>
      </c>
    </row>
    <row r="386">
      <c r="A386" s="7">
        <v>45534.0</v>
      </c>
      <c r="B386" s="1" t="s">
        <v>95</v>
      </c>
      <c r="C386" s="1" t="s">
        <v>89</v>
      </c>
      <c r="D386" s="4">
        <v>378.0</v>
      </c>
      <c r="E386" s="4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4">
        <v>-21.0</v>
      </c>
      <c r="O386" s="4">
        <v>11.829133333333333</v>
      </c>
    </row>
    <row r="387">
      <c r="A387" s="7">
        <v>45534.0</v>
      </c>
      <c r="B387" s="1" t="s">
        <v>95</v>
      </c>
      <c r="C387" s="1" t="s">
        <v>89</v>
      </c>
      <c r="D387" s="4">
        <v>238.0</v>
      </c>
      <c r="E387" s="4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4">
        <v>-9.0</v>
      </c>
      <c r="N387" s="4">
        <v>0.01335</v>
      </c>
      <c r="O387" s="4">
        <v>9.5619</v>
      </c>
    </row>
    <row r="388">
      <c r="A388" s="7">
        <v>45534.0</v>
      </c>
      <c r="B388" s="1" t="s">
        <v>88</v>
      </c>
      <c r="C388" s="1" t="s">
        <v>89</v>
      </c>
      <c r="D388" s="4">
        <v>289.0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4">
        <v>3.0</v>
      </c>
      <c r="O388" s="4">
        <v>18.018433333333334</v>
      </c>
    </row>
    <row r="389">
      <c r="A389" s="7">
        <v>45534.0</v>
      </c>
      <c r="B389" s="1" t="s">
        <v>127</v>
      </c>
      <c r="C389" s="1" t="s">
        <v>105</v>
      </c>
      <c r="D389" s="4">
        <v>214.0</v>
      </c>
      <c r="E389" s="4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4">
        <v>9.0</v>
      </c>
      <c r="O389" s="4">
        <v>20.572183333333335</v>
      </c>
    </row>
    <row r="390">
      <c r="A390" s="7">
        <v>45534.0</v>
      </c>
      <c r="B390" s="1" t="s">
        <v>127</v>
      </c>
      <c r="C390" s="1" t="s">
        <v>105</v>
      </c>
      <c r="D390" s="4">
        <v>324.0</v>
      </c>
      <c r="E390" s="4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4">
        <v>8.0</v>
      </c>
      <c r="O390" s="4">
        <v>19.736</v>
      </c>
    </row>
    <row r="391">
      <c r="A391" s="7">
        <v>45534.0</v>
      </c>
      <c r="B391" s="1" t="s">
        <v>88</v>
      </c>
      <c r="C391" s="1" t="s">
        <v>89</v>
      </c>
      <c r="D391" s="4">
        <v>321.0</v>
      </c>
      <c r="E391" s="4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4">
        <v>3.0</v>
      </c>
      <c r="O391" s="4">
        <v>18.379466666666666</v>
      </c>
    </row>
    <row r="392">
      <c r="A392" s="7">
        <v>45534.0</v>
      </c>
      <c r="B392" s="1" t="s">
        <v>104</v>
      </c>
      <c r="C392" s="1" t="s">
        <v>105</v>
      </c>
      <c r="D392" s="4">
        <v>328.0</v>
      </c>
      <c r="E392" s="4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4">
        <v>3.0</v>
      </c>
      <c r="O392" s="4">
        <v>18.148083333333332</v>
      </c>
    </row>
    <row r="393">
      <c r="A393" s="7">
        <v>45534.0</v>
      </c>
      <c r="B393" s="1" t="s">
        <v>95</v>
      </c>
      <c r="C393" s="1" t="s">
        <v>89</v>
      </c>
      <c r="D393" s="4">
        <v>526.0</v>
      </c>
      <c r="E393" s="4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4">
        <v>2.0</v>
      </c>
      <c r="N393" s="4">
        <v>9.951966666666667</v>
      </c>
      <c r="O393" s="4">
        <v>9.973383333333333</v>
      </c>
    </row>
    <row r="394">
      <c r="A394" s="7">
        <v>45534.0</v>
      </c>
      <c r="B394" s="1" t="s">
        <v>95</v>
      </c>
      <c r="C394" s="1" t="s">
        <v>89</v>
      </c>
      <c r="D394" s="4">
        <v>612.0</v>
      </c>
      <c r="E394" s="4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4">
        <v>7.0</v>
      </c>
      <c r="N394" s="4">
        <v>45.01045</v>
      </c>
      <c r="O394" s="4">
        <v>55.65295</v>
      </c>
    </row>
    <row r="395">
      <c r="A395" s="7">
        <v>45535.0</v>
      </c>
      <c r="B395" s="1" t="s">
        <v>169</v>
      </c>
      <c r="C395" s="1" t="s">
        <v>89</v>
      </c>
      <c r="D395" s="4">
        <v>49.0</v>
      </c>
      <c r="E395" s="4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4">
        <v>2.0</v>
      </c>
      <c r="O395" s="4">
        <v>7.810083333333333</v>
      </c>
    </row>
    <row r="396">
      <c r="A396" s="7">
        <v>45535.0</v>
      </c>
      <c r="B396" s="1" t="s">
        <v>95</v>
      </c>
      <c r="C396" s="1" t="s">
        <v>89</v>
      </c>
      <c r="D396" s="4">
        <v>388.0</v>
      </c>
      <c r="E396" s="4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4">
        <v>8.0</v>
      </c>
      <c r="N396" s="4">
        <v>6.6984</v>
      </c>
      <c r="O396" s="4">
        <v>12.93805</v>
      </c>
    </row>
    <row r="397">
      <c r="A397" s="7">
        <v>45535.0</v>
      </c>
      <c r="B397" s="1" t="s">
        <v>127</v>
      </c>
      <c r="C397" s="1" t="s">
        <v>89</v>
      </c>
      <c r="D397" s="4">
        <v>350.0</v>
      </c>
      <c r="E397" s="4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4">
        <v>1.0</v>
      </c>
      <c r="O397" s="4">
        <v>13.12025</v>
      </c>
    </row>
    <row r="398">
      <c r="A398" s="7">
        <v>45535.0</v>
      </c>
      <c r="B398" s="1" t="s">
        <v>169</v>
      </c>
      <c r="C398" s="1" t="s">
        <v>89</v>
      </c>
      <c r="D398" s="4">
        <v>119.0</v>
      </c>
      <c r="E398" s="4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4">
        <v>2.0</v>
      </c>
      <c r="O398" s="4">
        <v>7.8571</v>
      </c>
    </row>
    <row r="399">
      <c r="A399" s="7">
        <v>45535.0</v>
      </c>
      <c r="B399" s="1" t="s">
        <v>169</v>
      </c>
      <c r="C399" s="1" t="s">
        <v>152</v>
      </c>
      <c r="D399" s="4">
        <v>249.0</v>
      </c>
      <c r="E399" s="4">
        <v>0.0</v>
      </c>
      <c r="G399" s="1" t="s">
        <v>149</v>
      </c>
      <c r="H399" s="1" t="s">
        <v>116</v>
      </c>
      <c r="I399" s="1" t="s">
        <v>1116</v>
      </c>
      <c r="M399" s="4">
        <v>0.0</v>
      </c>
    </row>
    <row r="400">
      <c r="A400" s="7">
        <v>45535.0</v>
      </c>
      <c r="B400" s="1" t="s">
        <v>127</v>
      </c>
      <c r="C400" s="1" t="s">
        <v>105</v>
      </c>
      <c r="D400" s="4">
        <v>294.0</v>
      </c>
      <c r="E400" s="4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4">
        <v>2.0</v>
      </c>
      <c r="O400" s="4">
        <v>15.06505</v>
      </c>
    </row>
    <row r="401">
      <c r="A401" s="7">
        <v>45535.0</v>
      </c>
      <c r="B401" s="1" t="s">
        <v>127</v>
      </c>
      <c r="C401" s="1" t="s">
        <v>105</v>
      </c>
      <c r="D401" s="4">
        <v>397.0</v>
      </c>
      <c r="E401" s="4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4">
        <v>-2.0</v>
      </c>
      <c r="O401" s="4">
        <v>10.72</v>
      </c>
    </row>
    <row r="402">
      <c r="A402" s="7">
        <v>45535.0</v>
      </c>
      <c r="B402" s="1" t="s">
        <v>127</v>
      </c>
      <c r="C402" s="1" t="s">
        <v>105</v>
      </c>
      <c r="D402" s="4">
        <v>268.0</v>
      </c>
      <c r="E402" s="4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4">
        <v>1.0</v>
      </c>
      <c r="O402" s="4">
        <v>13.935116666666667</v>
      </c>
    </row>
    <row r="403">
      <c r="A403" s="7">
        <v>45535.0</v>
      </c>
      <c r="B403" s="1" t="s">
        <v>127</v>
      </c>
      <c r="C403" s="1" t="s">
        <v>105</v>
      </c>
      <c r="D403" s="4">
        <v>260.0</v>
      </c>
      <c r="E403" s="4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4">
        <v>1.0</v>
      </c>
      <c r="O403" s="4">
        <v>14.666283333333332</v>
      </c>
    </row>
    <row r="404">
      <c r="A404" s="7">
        <v>45535.0</v>
      </c>
      <c r="B404" s="1" t="s">
        <v>104</v>
      </c>
      <c r="C404" s="1" t="s">
        <v>105</v>
      </c>
      <c r="D404" s="4">
        <v>264.0</v>
      </c>
      <c r="E404" s="4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4">
        <v>0.0</v>
      </c>
      <c r="O404" s="4">
        <v>15.32795</v>
      </c>
    </row>
    <row r="405">
      <c r="A405" s="7">
        <v>45535.0</v>
      </c>
      <c r="B405" s="1" t="s">
        <v>95</v>
      </c>
      <c r="C405" s="1" t="s">
        <v>89</v>
      </c>
      <c r="D405" s="4">
        <v>376.0</v>
      </c>
      <c r="E405" s="4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4">
        <v>-2.0</v>
      </c>
      <c r="O405" s="4">
        <v>16.580283333333334</v>
      </c>
    </row>
    <row r="406">
      <c r="A406" s="7">
        <v>45535.0</v>
      </c>
      <c r="B406" s="1" t="s">
        <v>95</v>
      </c>
      <c r="C406" s="1" t="s">
        <v>89</v>
      </c>
      <c r="D406" s="4">
        <v>247.0</v>
      </c>
      <c r="E406" s="4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4">
        <v>-7.0</v>
      </c>
      <c r="O406" s="4">
        <v>12.609816666666667</v>
      </c>
    </row>
    <row r="407">
      <c r="A407" s="7">
        <v>45535.0</v>
      </c>
      <c r="B407" s="1" t="s">
        <v>104</v>
      </c>
      <c r="C407" s="1" t="s">
        <v>105</v>
      </c>
      <c r="D407" s="4">
        <v>264.0</v>
      </c>
      <c r="E407" s="4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4">
        <v>0.0</v>
      </c>
      <c r="O407" s="4">
        <v>15.944283333333333</v>
      </c>
    </row>
    <row r="408">
      <c r="A408" s="7">
        <v>45535.0</v>
      </c>
      <c r="B408" s="1" t="s">
        <v>127</v>
      </c>
      <c r="C408" s="1" t="s">
        <v>105</v>
      </c>
      <c r="D408" s="4">
        <v>378.0</v>
      </c>
      <c r="E408" s="4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4">
        <v>8.0</v>
      </c>
      <c r="O408" s="4">
        <v>23.692233333333334</v>
      </c>
    </row>
    <row r="409">
      <c r="A409" s="7">
        <v>45535.0</v>
      </c>
      <c r="B409" s="1" t="s">
        <v>104</v>
      </c>
      <c r="C409" s="1" t="s">
        <v>105</v>
      </c>
      <c r="D409" s="4">
        <v>264.0</v>
      </c>
      <c r="E409" s="4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4">
        <v>5.0</v>
      </c>
      <c r="O409" s="4">
        <v>20.6454</v>
      </c>
    </row>
    <row r="410">
      <c r="A410" s="7">
        <v>45535.0</v>
      </c>
      <c r="B410" s="1" t="s">
        <v>127</v>
      </c>
      <c r="C410" s="1" t="s">
        <v>105</v>
      </c>
      <c r="D410" s="4">
        <v>479.0</v>
      </c>
      <c r="E410" s="4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4">
        <v>5.0</v>
      </c>
      <c r="O410" s="4">
        <v>19.854316666666666</v>
      </c>
    </row>
    <row r="411">
      <c r="A411" s="7">
        <v>45535.0</v>
      </c>
      <c r="B411" s="1" t="s">
        <v>104</v>
      </c>
      <c r="C411" s="1" t="s">
        <v>105</v>
      </c>
      <c r="D411" s="4">
        <v>399.0</v>
      </c>
      <c r="E411" s="4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4">
        <v>1.0</v>
      </c>
      <c r="O411" s="4">
        <v>16.395583333333335</v>
      </c>
    </row>
    <row r="412">
      <c r="A412" s="7">
        <v>45535.0</v>
      </c>
      <c r="B412" s="1" t="s">
        <v>127</v>
      </c>
      <c r="C412" s="1" t="s">
        <v>105</v>
      </c>
      <c r="D412" s="4">
        <v>371.0</v>
      </c>
      <c r="E412" s="4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4">
        <v>0.0</v>
      </c>
      <c r="O412" s="4">
        <v>14.990016666666667</v>
      </c>
    </row>
    <row r="413">
      <c r="A413" s="7">
        <v>45535.0</v>
      </c>
      <c r="B413" s="1" t="s">
        <v>95</v>
      </c>
      <c r="C413" s="1" t="s">
        <v>89</v>
      </c>
      <c r="D413" s="4">
        <v>395.0</v>
      </c>
      <c r="E413" s="4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4">
        <v>-22.0</v>
      </c>
      <c r="O413" s="4">
        <v>14.013333333333334</v>
      </c>
    </row>
    <row r="414">
      <c r="A414" s="7">
        <v>45535.0</v>
      </c>
      <c r="B414" s="1" t="s">
        <v>169</v>
      </c>
      <c r="C414" s="1" t="s">
        <v>89</v>
      </c>
      <c r="D414" s="4">
        <v>249.0</v>
      </c>
      <c r="E414" s="4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4">
        <v>6.0</v>
      </c>
      <c r="O414" s="4">
        <v>11.520966666666666</v>
      </c>
    </row>
    <row r="415">
      <c r="A415" s="7">
        <v>45535.0</v>
      </c>
      <c r="B415" s="1" t="s">
        <v>127</v>
      </c>
      <c r="C415" s="1" t="s">
        <v>105</v>
      </c>
      <c r="D415" s="4">
        <v>289.0</v>
      </c>
      <c r="E415" s="4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4">
        <v>-2.0</v>
      </c>
      <c r="O415" s="4">
        <v>9.737116666666667</v>
      </c>
    </row>
    <row r="416">
      <c r="A416" s="7">
        <v>45535.0</v>
      </c>
      <c r="B416" s="1" t="s">
        <v>88</v>
      </c>
      <c r="C416" s="1" t="s">
        <v>89</v>
      </c>
      <c r="D416" s="4">
        <v>289.0</v>
      </c>
      <c r="E416" s="4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4">
        <v>-6.0</v>
      </c>
      <c r="O416" s="4">
        <v>8.199883333333334</v>
      </c>
    </row>
    <row r="417">
      <c r="A417" s="7">
        <v>45535.0</v>
      </c>
      <c r="B417" s="1" t="s">
        <v>127</v>
      </c>
      <c r="C417" s="1" t="s">
        <v>105</v>
      </c>
      <c r="D417" s="4">
        <v>404.0</v>
      </c>
      <c r="E417" s="4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4">
        <v>-1.0</v>
      </c>
      <c r="O417" s="4">
        <v>11.1674</v>
      </c>
    </row>
    <row r="418">
      <c r="A418" s="7">
        <v>45535.0</v>
      </c>
      <c r="B418" s="1" t="s">
        <v>88</v>
      </c>
      <c r="C418" s="1" t="s">
        <v>89</v>
      </c>
      <c r="D418" s="4">
        <v>224.0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4">
        <v>-7.0</v>
      </c>
      <c r="O418" s="4">
        <v>7.26755</v>
      </c>
    </row>
    <row r="419">
      <c r="A419" s="7">
        <v>45535.0</v>
      </c>
      <c r="B419" s="1" t="s">
        <v>127</v>
      </c>
      <c r="C419" s="1" t="s">
        <v>105</v>
      </c>
      <c r="D419" s="4">
        <v>448.0</v>
      </c>
      <c r="E419" s="4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4">
        <v>-4.0</v>
      </c>
      <c r="O419" s="4">
        <v>9.7769</v>
      </c>
    </row>
    <row r="420">
      <c r="A420" s="7">
        <v>45535.0</v>
      </c>
      <c r="B420" s="1" t="s">
        <v>127</v>
      </c>
      <c r="C420" s="1" t="s">
        <v>89</v>
      </c>
      <c r="D420" s="4">
        <v>264.0</v>
      </c>
      <c r="E420" s="4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4">
        <v>-2.0</v>
      </c>
      <c r="O420" s="4">
        <v>9.67845</v>
      </c>
    </row>
    <row r="421">
      <c r="A421" s="7">
        <v>45535.0</v>
      </c>
      <c r="B421" s="1" t="s">
        <v>127</v>
      </c>
      <c r="C421" s="1" t="s">
        <v>89</v>
      </c>
      <c r="D421" s="4">
        <v>528.0</v>
      </c>
      <c r="E421" s="4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4">
        <v>3.0</v>
      </c>
      <c r="O421" s="4">
        <v>17.151066666666665</v>
      </c>
    </row>
    <row r="422">
      <c r="A422" s="7">
        <v>45535.0</v>
      </c>
      <c r="B422" s="1" t="s">
        <v>127</v>
      </c>
      <c r="C422" s="1" t="s">
        <v>89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4">
        <v>3.0</v>
      </c>
      <c r="O422" s="4">
        <v>15.194816666666666</v>
      </c>
    </row>
    <row r="423">
      <c r="A423" s="7">
        <v>45535.0</v>
      </c>
      <c r="B423" s="1" t="s">
        <v>127</v>
      </c>
      <c r="C423" s="1" t="s">
        <v>89</v>
      </c>
      <c r="D423" s="4">
        <v>329.0</v>
      </c>
      <c r="E423" s="4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4">
        <v>1.0</v>
      </c>
      <c r="O423" s="4">
        <v>12.557516666666666</v>
      </c>
    </row>
    <row r="424">
      <c r="A424" s="7">
        <v>45535.0</v>
      </c>
      <c r="B424" s="1" t="s">
        <v>169</v>
      </c>
      <c r="C424" s="1" t="s">
        <v>89</v>
      </c>
      <c r="D424" s="4">
        <v>124.5</v>
      </c>
      <c r="E424" s="4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4">
        <v>4.0</v>
      </c>
      <c r="O424" s="4">
        <v>9.431516666666667</v>
      </c>
    </row>
    <row r="425">
      <c r="A425" s="7">
        <v>45535.0</v>
      </c>
      <c r="B425" s="1" t="s">
        <v>88</v>
      </c>
      <c r="C425" s="1" t="s">
        <v>89</v>
      </c>
      <c r="D425" s="4">
        <v>359.0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4">
        <v>0.0</v>
      </c>
      <c r="O425" s="4">
        <v>14.825966666666666</v>
      </c>
    </row>
    <row r="426">
      <c r="A426" s="7">
        <v>45535.0</v>
      </c>
      <c r="B426" s="1" t="s">
        <v>104</v>
      </c>
      <c r="C426" s="1" t="s">
        <v>105</v>
      </c>
      <c r="D426" s="4">
        <v>259.0</v>
      </c>
      <c r="E426" s="4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4">
        <v>-4.0</v>
      </c>
      <c r="O426" s="4">
        <v>10.725533333333333</v>
      </c>
    </row>
    <row r="427">
      <c r="A427" s="7">
        <v>45535.0</v>
      </c>
      <c r="B427" s="1" t="s">
        <v>88</v>
      </c>
      <c r="C427" s="1" t="s">
        <v>89</v>
      </c>
      <c r="D427" s="4">
        <v>857.0</v>
      </c>
      <c r="E427" s="4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4">
        <v>-1.0</v>
      </c>
      <c r="O427" s="4">
        <v>13.3621</v>
      </c>
    </row>
    <row r="428">
      <c r="A428" s="7">
        <v>45535.0</v>
      </c>
      <c r="B428" s="1" t="s">
        <v>88</v>
      </c>
      <c r="C428" s="1" t="s">
        <v>89</v>
      </c>
      <c r="D428" s="4">
        <v>324.0</v>
      </c>
      <c r="E428" s="4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4">
        <v>-5.0</v>
      </c>
      <c r="O428" s="4">
        <v>9.285716666666668</v>
      </c>
    </row>
    <row r="429">
      <c r="A429" s="7">
        <v>45535.0</v>
      </c>
      <c r="B429" s="1" t="s">
        <v>88</v>
      </c>
      <c r="C429" s="1" t="s">
        <v>89</v>
      </c>
      <c r="D429" s="4">
        <v>369.0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4">
        <v>0.0</v>
      </c>
      <c r="O429" s="4">
        <v>15.489416666666667</v>
      </c>
    </row>
    <row r="430">
      <c r="A430" s="7">
        <v>45535.0</v>
      </c>
      <c r="B430" s="1" t="s">
        <v>127</v>
      </c>
      <c r="C430" s="1" t="s">
        <v>105</v>
      </c>
      <c r="D430" s="4">
        <v>264.0</v>
      </c>
      <c r="E430" s="4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4">
        <v>5.0</v>
      </c>
      <c r="O430" s="4">
        <v>16.21405</v>
      </c>
    </row>
    <row r="431">
      <c r="A431" s="7">
        <v>45535.0</v>
      </c>
      <c r="B431" s="1" t="s">
        <v>95</v>
      </c>
      <c r="C431" s="1" t="s">
        <v>89</v>
      </c>
      <c r="D431" s="4">
        <v>711.0</v>
      </c>
      <c r="E431" s="4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4">
        <v>-11.0</v>
      </c>
      <c r="N431" s="4">
        <v>0.0116</v>
      </c>
      <c r="O431" s="4">
        <v>41.35658333333333</v>
      </c>
    </row>
    <row r="432">
      <c r="A432" s="7">
        <v>45535.0</v>
      </c>
      <c r="B432" s="1" t="s">
        <v>127</v>
      </c>
      <c r="C432" s="1" t="s">
        <v>105</v>
      </c>
      <c r="D432" s="4">
        <v>294.0</v>
      </c>
      <c r="E432" s="4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4">
        <v>6.0</v>
      </c>
      <c r="O432" s="4">
        <v>17.581716666666665</v>
      </c>
    </row>
    <row r="433">
      <c r="A433" s="7">
        <v>45535.0</v>
      </c>
      <c r="B433" s="1" t="s">
        <v>95</v>
      </c>
      <c r="C433" s="1" t="s">
        <v>89</v>
      </c>
      <c r="D433" s="4">
        <v>583.0</v>
      </c>
      <c r="E433" s="4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4">
        <v>0.0</v>
      </c>
      <c r="O433" s="4">
        <v>19.512366666666665</v>
      </c>
    </row>
    <row r="434">
      <c r="A434" s="7">
        <v>45535.0</v>
      </c>
      <c r="B434" s="1" t="s">
        <v>104</v>
      </c>
      <c r="C434" s="1" t="s">
        <v>105</v>
      </c>
      <c r="D434" s="4">
        <v>139.0</v>
      </c>
      <c r="E434" s="4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4">
        <v>-14.0</v>
      </c>
      <c r="O434" s="4">
        <v>0.7055166666666667</v>
      </c>
    </row>
    <row r="435">
      <c r="A435" s="7">
        <v>45535.0</v>
      </c>
      <c r="B435" s="1" t="s">
        <v>95</v>
      </c>
      <c r="C435" s="1" t="s">
        <v>89</v>
      </c>
      <c r="D435" s="4">
        <v>309.0</v>
      </c>
      <c r="E435" s="4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4">
        <v>-9.0</v>
      </c>
      <c r="N435" s="4">
        <v>0.0077</v>
      </c>
      <c r="O435" s="4">
        <v>12.448666666666666</v>
      </c>
    </row>
    <row r="436">
      <c r="A436" s="7">
        <v>45535.0</v>
      </c>
      <c r="B436" s="1" t="s">
        <v>127</v>
      </c>
      <c r="C436" s="1" t="s">
        <v>105</v>
      </c>
      <c r="D436" s="4">
        <v>928.0</v>
      </c>
      <c r="E436" s="4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4">
        <v>1.0</v>
      </c>
      <c r="O436" s="4">
        <v>17.755683333333334</v>
      </c>
    </row>
    <row r="437">
      <c r="A437" s="7">
        <v>45535.0</v>
      </c>
      <c r="B437" s="1" t="s">
        <v>95</v>
      </c>
      <c r="C437" s="1" t="s">
        <v>89</v>
      </c>
      <c r="D437" s="4">
        <v>358.0</v>
      </c>
      <c r="E437" s="4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4">
        <v>6.0</v>
      </c>
      <c r="N437" s="4">
        <v>0.009283333333333333</v>
      </c>
      <c r="O437" s="4">
        <v>16.508816666666668</v>
      </c>
    </row>
    <row r="438">
      <c r="A438" s="7">
        <v>45535.0</v>
      </c>
      <c r="B438" s="1" t="s">
        <v>127</v>
      </c>
      <c r="C438" s="1" t="s">
        <v>105</v>
      </c>
      <c r="D438" s="4">
        <v>329.0</v>
      </c>
      <c r="E438" s="4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4">
        <v>0.0</v>
      </c>
      <c r="O438" s="4">
        <v>11.324333333333334</v>
      </c>
    </row>
    <row r="439">
      <c r="A439" s="7">
        <v>45535.0</v>
      </c>
      <c r="B439" s="1" t="s">
        <v>95</v>
      </c>
      <c r="C439" s="1" t="s">
        <v>89</v>
      </c>
      <c r="D439" s="4">
        <v>215.0</v>
      </c>
      <c r="E439" s="4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4">
        <v>-27.0</v>
      </c>
      <c r="O439" s="4">
        <v>7.9587666666666665</v>
      </c>
    </row>
    <row r="440">
      <c r="A440" s="7">
        <v>45535.0</v>
      </c>
      <c r="B440" s="1" t="s">
        <v>169</v>
      </c>
      <c r="C440" s="1" t="s">
        <v>89</v>
      </c>
      <c r="D440" s="4">
        <v>39.0</v>
      </c>
      <c r="E440" s="4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4">
        <v>11.0</v>
      </c>
      <c r="O440" s="4">
        <v>16.1081</v>
      </c>
    </row>
    <row r="441">
      <c r="A441" s="7">
        <v>45535.0</v>
      </c>
      <c r="B441" s="1" t="s">
        <v>169</v>
      </c>
      <c r="C441" s="1" t="s">
        <v>89</v>
      </c>
      <c r="D441" s="4">
        <v>249.0</v>
      </c>
      <c r="E441" s="4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4">
        <v>4.0</v>
      </c>
      <c r="O441" s="4">
        <v>9.564266666666667</v>
      </c>
    </row>
    <row r="442">
      <c r="A442" s="7">
        <v>45535.0</v>
      </c>
      <c r="B442" s="1" t="s">
        <v>127</v>
      </c>
      <c r="C442" s="1" t="s">
        <v>89</v>
      </c>
      <c r="D442" s="4">
        <v>394.0</v>
      </c>
      <c r="E442" s="4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4">
        <v>8.0</v>
      </c>
      <c r="O442" s="4">
        <v>20.048833333333334</v>
      </c>
    </row>
    <row r="443">
      <c r="A443" s="7">
        <v>45535.0</v>
      </c>
      <c r="B443" s="1" t="s">
        <v>95</v>
      </c>
      <c r="C443" s="1" t="s">
        <v>89</v>
      </c>
      <c r="D443" s="4">
        <v>247.0</v>
      </c>
      <c r="E443" s="4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4">
        <v>-3.0</v>
      </c>
      <c r="O443" s="4">
        <v>15.582983333333333</v>
      </c>
    </row>
    <row r="444">
      <c r="A444" s="7">
        <v>45535.0</v>
      </c>
      <c r="B444" s="1" t="s">
        <v>169</v>
      </c>
      <c r="C444" s="1" t="s">
        <v>152</v>
      </c>
      <c r="D444" s="4">
        <v>249.0</v>
      </c>
      <c r="E444" s="4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4">
        <v>5.0</v>
      </c>
      <c r="O444" s="4">
        <v>10.294233333333333</v>
      </c>
    </row>
    <row r="445">
      <c r="A445" s="7">
        <v>45535.0</v>
      </c>
      <c r="B445" s="1" t="s">
        <v>104</v>
      </c>
      <c r="C445" s="1" t="s">
        <v>89</v>
      </c>
      <c r="D445" s="4">
        <v>443.0</v>
      </c>
      <c r="E445" s="4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4">
        <v>-3.0</v>
      </c>
      <c r="O445" s="4">
        <v>11.35225</v>
      </c>
    </row>
    <row r="446">
      <c r="A446" s="7">
        <v>45535.0</v>
      </c>
      <c r="B446" s="1" t="s">
        <v>88</v>
      </c>
      <c r="C446" s="1" t="s">
        <v>89</v>
      </c>
      <c r="D446" s="4">
        <v>129.0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4">
        <v>-5.0</v>
      </c>
      <c r="O446" s="4">
        <v>9.590566666666666</v>
      </c>
    </row>
    <row r="447">
      <c r="A447" s="7">
        <v>45535.0</v>
      </c>
      <c r="B447" s="1" t="s">
        <v>169</v>
      </c>
      <c r="C447" s="1" t="s">
        <v>89</v>
      </c>
      <c r="D447" s="4">
        <v>309.0</v>
      </c>
      <c r="E447" s="4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4">
        <v>7.0</v>
      </c>
      <c r="O447" s="4">
        <v>12.608316666666667</v>
      </c>
    </row>
    <row r="448">
      <c r="A448" s="7">
        <v>45535.0</v>
      </c>
      <c r="B448" s="1" t="s">
        <v>88</v>
      </c>
      <c r="C448" s="1" t="s">
        <v>89</v>
      </c>
      <c r="D448" s="4">
        <v>329.0</v>
      </c>
      <c r="E448" s="4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4">
        <v>2.0</v>
      </c>
      <c r="O448" s="4">
        <v>17.65095</v>
      </c>
    </row>
    <row r="449">
      <c r="A449" s="7">
        <v>45535.0</v>
      </c>
      <c r="B449" s="1" t="s">
        <v>88</v>
      </c>
      <c r="C449" s="1" t="s">
        <v>89</v>
      </c>
      <c r="D449" s="4">
        <v>329.0</v>
      </c>
      <c r="E449" s="4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4">
        <v>2.0</v>
      </c>
      <c r="O449" s="4">
        <v>17.622883333333334</v>
      </c>
    </row>
    <row r="450">
      <c r="A450" s="7">
        <v>45535.0</v>
      </c>
      <c r="B450" s="1" t="s">
        <v>95</v>
      </c>
      <c r="C450" s="1" t="s">
        <v>89</v>
      </c>
      <c r="D450" s="4">
        <v>349.0</v>
      </c>
      <c r="E450" s="4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4">
        <v>0.0</v>
      </c>
      <c r="O450" s="4">
        <v>18.394716666666667</v>
      </c>
    </row>
    <row r="451">
      <c r="A451" s="7">
        <v>45535.0</v>
      </c>
      <c r="B451" s="1" t="s">
        <v>127</v>
      </c>
      <c r="C451" s="1" t="s">
        <v>105</v>
      </c>
      <c r="D451" s="4">
        <v>369.0</v>
      </c>
      <c r="E451" s="4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4">
        <v>-1.0</v>
      </c>
      <c r="O451" s="4">
        <v>10.9266</v>
      </c>
    </row>
    <row r="452">
      <c r="A452" s="7">
        <v>45535.0</v>
      </c>
      <c r="B452" s="1" t="s">
        <v>88</v>
      </c>
      <c r="C452" s="1" t="s">
        <v>89</v>
      </c>
      <c r="D452" s="4">
        <v>329.0</v>
      </c>
      <c r="E452" s="4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4">
        <v>-5.0</v>
      </c>
      <c r="O452" s="4">
        <v>12.499666666666666</v>
      </c>
    </row>
    <row r="453">
      <c r="A453" s="7">
        <v>45535.0</v>
      </c>
      <c r="B453" s="1" t="s">
        <v>104</v>
      </c>
      <c r="C453" s="1" t="s">
        <v>89</v>
      </c>
      <c r="D453" s="4">
        <v>264.0</v>
      </c>
      <c r="E453" s="4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4">
        <v>-5.0</v>
      </c>
      <c r="O453" s="4">
        <v>9.756166666666667</v>
      </c>
    </row>
    <row r="454">
      <c r="A454" s="7">
        <v>45535.0</v>
      </c>
      <c r="B454" s="1" t="s">
        <v>95</v>
      </c>
      <c r="C454" s="1" t="s">
        <v>89</v>
      </c>
      <c r="D454" s="4">
        <v>358.0</v>
      </c>
      <c r="E454" s="4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4">
        <v>-7.0</v>
      </c>
      <c r="N454" s="4">
        <v>0.008833333333333334</v>
      </c>
      <c r="O454" s="4">
        <v>9.46335</v>
      </c>
    </row>
    <row r="455">
      <c r="A455" s="7">
        <v>45535.0</v>
      </c>
      <c r="B455" s="1" t="s">
        <v>104</v>
      </c>
      <c r="C455" s="1" t="s">
        <v>89</v>
      </c>
      <c r="D455" s="4">
        <v>289.0</v>
      </c>
      <c r="E455" s="4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4">
        <v>-5.0</v>
      </c>
      <c r="O455" s="4">
        <v>10.628583333333333</v>
      </c>
    </row>
    <row r="456">
      <c r="A456" s="7">
        <v>45535.0</v>
      </c>
      <c r="B456" s="1" t="s">
        <v>104</v>
      </c>
      <c r="C456" s="1" t="s">
        <v>89</v>
      </c>
      <c r="D456" s="4">
        <v>329.0</v>
      </c>
      <c r="E456" s="4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4">
        <v>-1.0</v>
      </c>
      <c r="O456" s="4">
        <v>13.591666666666667</v>
      </c>
    </row>
    <row r="457">
      <c r="A457" s="7">
        <v>45535.0</v>
      </c>
      <c r="B457" s="1" t="s">
        <v>95</v>
      </c>
      <c r="C457" s="1" t="s">
        <v>89</v>
      </c>
      <c r="D457" s="4">
        <v>270.0</v>
      </c>
      <c r="E457" s="4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4">
        <v>-7.0</v>
      </c>
      <c r="N457" s="4">
        <v>0.0093</v>
      </c>
      <c r="O457" s="4">
        <v>14.30625</v>
      </c>
    </row>
    <row r="458">
      <c r="A458" s="7">
        <v>45535.0</v>
      </c>
      <c r="B458" s="1" t="s">
        <v>95</v>
      </c>
      <c r="C458" s="1" t="s">
        <v>89</v>
      </c>
      <c r="D458" s="4">
        <v>167.0</v>
      </c>
      <c r="E458" s="4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4">
        <v>-24.0</v>
      </c>
      <c r="O458" s="4">
        <v>11.070916666666667</v>
      </c>
    </row>
    <row r="459">
      <c r="A459" s="7">
        <v>45535.0</v>
      </c>
      <c r="B459" s="1" t="s">
        <v>95</v>
      </c>
      <c r="C459" s="1" t="s">
        <v>89</v>
      </c>
      <c r="D459" s="4">
        <v>526.0</v>
      </c>
      <c r="E459" s="4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4">
        <v>11.0</v>
      </c>
      <c r="N459" s="4">
        <v>0.009716666666666667</v>
      </c>
      <c r="O459" s="4">
        <v>21.542916666666667</v>
      </c>
    </row>
    <row r="460">
      <c r="A460" s="7">
        <v>45535.0</v>
      </c>
      <c r="B460" s="1" t="s">
        <v>95</v>
      </c>
      <c r="C460" s="1" t="s">
        <v>89</v>
      </c>
      <c r="D460" s="4">
        <v>219.0</v>
      </c>
      <c r="E460" s="4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4">
        <v>-5.0</v>
      </c>
      <c r="O460" s="4">
        <v>13.484766666666667</v>
      </c>
    </row>
    <row r="461">
      <c r="A461" s="7">
        <v>45535.0</v>
      </c>
      <c r="B461" s="1" t="s">
        <v>95</v>
      </c>
      <c r="C461" s="1" t="s">
        <v>89</v>
      </c>
      <c r="D461" s="4">
        <v>377.0</v>
      </c>
      <c r="E461" s="4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4">
        <v>-6.0</v>
      </c>
      <c r="O461" s="4">
        <v>12.910133333333333</v>
      </c>
    </row>
    <row r="462">
      <c r="A462" s="7">
        <v>45535.0</v>
      </c>
      <c r="B462" s="1" t="s">
        <v>88</v>
      </c>
      <c r="C462" s="1" t="s">
        <v>89</v>
      </c>
      <c r="D462" s="4">
        <v>264.0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4">
        <v>4.0</v>
      </c>
      <c r="O462" s="4">
        <v>19.475733333333334</v>
      </c>
    </row>
    <row r="463">
      <c r="A463" s="7">
        <v>45535.0</v>
      </c>
      <c r="B463" s="1" t="s">
        <v>169</v>
      </c>
      <c r="C463" s="1" t="s">
        <v>89</v>
      </c>
      <c r="D463" s="4">
        <v>249.0</v>
      </c>
      <c r="E463" s="4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4">
        <v>6.0</v>
      </c>
      <c r="O463" s="4">
        <v>11.261483333333333</v>
      </c>
    </row>
    <row r="464">
      <c r="A464" s="7">
        <v>45535.0</v>
      </c>
      <c r="B464" s="1" t="s">
        <v>88</v>
      </c>
      <c r="C464" s="1" t="s">
        <v>89</v>
      </c>
      <c r="D464" s="4">
        <v>394.0</v>
      </c>
      <c r="E464" s="4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4">
        <v>3.0</v>
      </c>
      <c r="O464" s="4">
        <v>18.646533333333334</v>
      </c>
    </row>
    <row r="465">
      <c r="A465" s="7">
        <v>45535.0</v>
      </c>
      <c r="B465" s="1" t="s">
        <v>127</v>
      </c>
      <c r="C465" s="1" t="s">
        <v>105</v>
      </c>
      <c r="D465" s="4">
        <v>329.0</v>
      </c>
      <c r="E465" s="4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4">
        <v>6.0</v>
      </c>
      <c r="O465" s="4">
        <v>18.327016666666665</v>
      </c>
    </row>
    <row r="466">
      <c r="A466" s="7">
        <v>45535.0</v>
      </c>
      <c r="B466" s="1" t="s">
        <v>95</v>
      </c>
      <c r="C466" s="1" t="s">
        <v>89</v>
      </c>
      <c r="D466" s="4">
        <v>275.0</v>
      </c>
      <c r="E466" s="4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4">
        <v>-4.0</v>
      </c>
      <c r="O466" s="4">
        <v>14.35365</v>
      </c>
    </row>
    <row r="467">
      <c r="A467" s="7">
        <v>45535.0</v>
      </c>
      <c r="B467" s="1" t="s">
        <v>95</v>
      </c>
      <c r="C467" s="1" t="s">
        <v>89</v>
      </c>
      <c r="D467" s="4">
        <v>267.0</v>
      </c>
      <c r="E467" s="4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4">
        <v>-6.0</v>
      </c>
      <c r="O467" s="4">
        <v>12.475466666666666</v>
      </c>
    </row>
    <row r="468">
      <c r="A468" s="7">
        <v>45535.0</v>
      </c>
      <c r="B468" s="1" t="s">
        <v>95</v>
      </c>
      <c r="C468" s="1" t="s">
        <v>89</v>
      </c>
      <c r="D468" s="4">
        <v>1645.0</v>
      </c>
      <c r="E468" s="4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4">
        <v>13.0</v>
      </c>
      <c r="N468" s="4">
        <v>0.020816666666666667</v>
      </c>
      <c r="O468" s="4">
        <v>28.86616666666667</v>
      </c>
    </row>
    <row r="469">
      <c r="A469" s="7">
        <v>45535.0</v>
      </c>
      <c r="B469" s="1" t="s">
        <v>95</v>
      </c>
      <c r="C469" s="1" t="s">
        <v>89</v>
      </c>
      <c r="D469" s="4">
        <v>478.0</v>
      </c>
      <c r="E469" s="4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4">
        <v>15.0</v>
      </c>
      <c r="N469" s="4">
        <v>0.013083333333333334</v>
      </c>
      <c r="O469" s="4">
        <v>13.916266666666667</v>
      </c>
    </row>
    <row r="470">
      <c r="A470" s="7">
        <v>45535.0</v>
      </c>
      <c r="B470" s="1" t="s">
        <v>127</v>
      </c>
      <c r="C470" s="1" t="s">
        <v>105</v>
      </c>
      <c r="D470" s="4">
        <v>642.0</v>
      </c>
      <c r="E470" s="4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4">
        <v>5.0</v>
      </c>
      <c r="O470" s="4">
        <v>19.167683333333333</v>
      </c>
    </row>
    <row r="471">
      <c r="A471" s="7">
        <v>45535.0</v>
      </c>
      <c r="B471" s="1" t="s">
        <v>95</v>
      </c>
      <c r="C471" s="1" t="s">
        <v>89</v>
      </c>
      <c r="D471" s="4">
        <v>247.0</v>
      </c>
      <c r="E471" s="4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4">
        <v>-2.0</v>
      </c>
      <c r="O471" s="4">
        <v>16.765033333333335</v>
      </c>
    </row>
    <row r="472">
      <c r="A472" s="7">
        <v>45535.0</v>
      </c>
      <c r="B472" s="1" t="s">
        <v>95</v>
      </c>
      <c r="C472" s="1" t="s">
        <v>89</v>
      </c>
      <c r="D472" s="4">
        <v>247.0</v>
      </c>
      <c r="E472" s="4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4">
        <v>-2.0</v>
      </c>
      <c r="O472" s="4">
        <v>17.30378333333333</v>
      </c>
    </row>
    <row r="473">
      <c r="A473" s="7">
        <v>45535.0</v>
      </c>
      <c r="B473" s="1" t="s">
        <v>95</v>
      </c>
      <c r="C473" s="1" t="s">
        <v>89</v>
      </c>
      <c r="D473" s="4">
        <v>369.0</v>
      </c>
      <c r="E473" s="4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4">
        <v>-11.0</v>
      </c>
      <c r="N473" s="4">
        <v>0.00895</v>
      </c>
      <c r="O473" s="4">
        <v>11.078016666666667</v>
      </c>
    </row>
    <row r="474">
      <c r="A474" s="7">
        <v>45535.0</v>
      </c>
      <c r="B474" s="1" t="s">
        <v>95</v>
      </c>
      <c r="C474" s="1" t="s">
        <v>89</v>
      </c>
      <c r="D474" s="4">
        <v>661.0</v>
      </c>
      <c r="E474" s="4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4">
        <v>18.0</v>
      </c>
      <c r="N474" s="4">
        <v>0.012666666666666666</v>
      </c>
      <c r="O474" s="4">
        <v>15.4739</v>
      </c>
    </row>
    <row r="475">
      <c r="A475" s="7">
        <v>45535.0</v>
      </c>
      <c r="B475" s="1" t="s">
        <v>88</v>
      </c>
      <c r="C475" s="1" t="s">
        <v>89</v>
      </c>
      <c r="D475" s="4">
        <v>393.0</v>
      </c>
      <c r="E475" s="4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4">
        <v>11.0</v>
      </c>
      <c r="O475" s="4">
        <v>26.489366666666665</v>
      </c>
    </row>
    <row r="476">
      <c r="A476" s="7">
        <v>45535.0</v>
      </c>
      <c r="B476" s="1" t="s">
        <v>95</v>
      </c>
      <c r="C476" s="1" t="s">
        <v>89</v>
      </c>
      <c r="D476" s="4">
        <v>299.0</v>
      </c>
      <c r="E476" s="4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4">
        <v>-4.0</v>
      </c>
      <c r="O476" s="4">
        <v>14.7405</v>
      </c>
    </row>
    <row r="477">
      <c r="A477" s="7">
        <v>45535.0</v>
      </c>
      <c r="B477" s="1" t="s">
        <v>95</v>
      </c>
      <c r="C477" s="1" t="s">
        <v>89</v>
      </c>
      <c r="D477" s="4">
        <v>468.0</v>
      </c>
      <c r="E477" s="4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4">
        <v>15.0</v>
      </c>
      <c r="N477" s="4">
        <v>0.011016666666666666</v>
      </c>
      <c r="O477" s="4">
        <v>13.039966666666666</v>
      </c>
    </row>
    <row r="478">
      <c r="A478" s="7">
        <v>45535.0</v>
      </c>
      <c r="B478" s="1" t="s">
        <v>95</v>
      </c>
      <c r="C478" s="1" t="s">
        <v>89</v>
      </c>
      <c r="D478" s="4">
        <v>247.0</v>
      </c>
      <c r="E478" s="4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4">
        <v>-9.0</v>
      </c>
      <c r="O478" s="4">
        <v>8.622116666666667</v>
      </c>
    </row>
    <row r="479">
      <c r="A479" s="7">
        <v>45535.0</v>
      </c>
      <c r="B479" s="1" t="s">
        <v>127</v>
      </c>
      <c r="C479" s="1" t="s">
        <v>105</v>
      </c>
      <c r="D479" s="4">
        <v>364.0</v>
      </c>
      <c r="E479" s="4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4">
        <v>4.0</v>
      </c>
      <c r="O479" s="4">
        <v>17.441716666666668</v>
      </c>
    </row>
    <row r="480">
      <c r="A480" s="7">
        <v>45535.0</v>
      </c>
      <c r="B480" s="1" t="s">
        <v>127</v>
      </c>
      <c r="C480" s="1" t="s">
        <v>105</v>
      </c>
      <c r="D480" s="4">
        <v>528.0</v>
      </c>
      <c r="E480" s="4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4">
        <v>1.0</v>
      </c>
      <c r="O480" s="4">
        <v>14.976966666666666</v>
      </c>
    </row>
    <row r="481">
      <c r="A481" s="7">
        <v>45535.0</v>
      </c>
      <c r="B481" s="1" t="s">
        <v>127</v>
      </c>
      <c r="C481" s="1" t="s">
        <v>105</v>
      </c>
      <c r="D481" s="4">
        <v>371.0</v>
      </c>
      <c r="E481" s="4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4">
        <v>-2.0</v>
      </c>
      <c r="O481" s="4">
        <v>9.8059</v>
      </c>
    </row>
    <row r="482">
      <c r="A482" s="7">
        <v>45535.0</v>
      </c>
      <c r="B482" s="1" t="s">
        <v>95</v>
      </c>
      <c r="C482" s="1" t="s">
        <v>89</v>
      </c>
      <c r="D482" s="4">
        <v>607.0</v>
      </c>
      <c r="E482" s="4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4">
        <v>-9.0</v>
      </c>
      <c r="N482" s="4">
        <v>0.0108</v>
      </c>
      <c r="O482" s="4">
        <v>11.580283333333334</v>
      </c>
    </row>
    <row r="483">
      <c r="A483" s="7">
        <v>45535.0</v>
      </c>
      <c r="B483" s="1" t="s">
        <v>95</v>
      </c>
      <c r="C483" s="1" t="s">
        <v>89</v>
      </c>
      <c r="D483" s="4">
        <v>250.0</v>
      </c>
      <c r="E483" s="4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4">
        <v>-7.0</v>
      </c>
      <c r="N483" s="4">
        <v>0.0091</v>
      </c>
      <c r="O483" s="4">
        <v>12.096766666666667</v>
      </c>
    </row>
    <row r="484">
      <c r="A484" s="7">
        <v>45535.0</v>
      </c>
      <c r="B484" s="1" t="s">
        <v>95</v>
      </c>
      <c r="C484" s="1" t="s">
        <v>89</v>
      </c>
      <c r="D484" s="4">
        <v>397.0</v>
      </c>
      <c r="E484" s="4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4">
        <v>8.0</v>
      </c>
      <c r="N484" s="4">
        <v>0.009783333333333333</v>
      </c>
      <c r="O484" s="4">
        <v>9.7344</v>
      </c>
    </row>
    <row r="485">
      <c r="A485" s="7">
        <v>45535.0</v>
      </c>
      <c r="B485" s="1" t="s">
        <v>104</v>
      </c>
      <c r="C485" s="1" t="s">
        <v>105</v>
      </c>
      <c r="D485" s="4">
        <v>443.0</v>
      </c>
      <c r="E485" s="4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4">
        <v>-1.0</v>
      </c>
      <c r="O485" s="4">
        <v>14.712966666666667</v>
      </c>
    </row>
    <row r="486">
      <c r="A486" s="7">
        <v>45535.0</v>
      </c>
      <c r="B486" s="1" t="s">
        <v>95</v>
      </c>
      <c r="C486" s="1" t="s">
        <v>89</v>
      </c>
      <c r="D486" s="4">
        <v>503.0</v>
      </c>
      <c r="E486" s="4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4">
        <v>5.0</v>
      </c>
      <c r="N486" s="4">
        <v>6.443816666666667</v>
      </c>
      <c r="O486" s="4">
        <v>10.496</v>
      </c>
    </row>
    <row r="487">
      <c r="A487" s="7">
        <v>45535.0</v>
      </c>
      <c r="B487" s="1" t="s">
        <v>95</v>
      </c>
      <c r="C487" s="1" t="s">
        <v>89</v>
      </c>
      <c r="D487" s="4">
        <v>299.0</v>
      </c>
      <c r="E487" s="4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4">
        <v>-10.0</v>
      </c>
      <c r="N487" s="4">
        <v>0.0077666666666666665</v>
      </c>
      <c r="O487" s="4">
        <v>11.600883333333334</v>
      </c>
    </row>
    <row r="488">
      <c r="A488" s="7">
        <v>45535.0</v>
      </c>
      <c r="B488" s="1" t="s">
        <v>127</v>
      </c>
      <c r="C488" s="1" t="s">
        <v>89</v>
      </c>
      <c r="D488" s="4">
        <v>473.0</v>
      </c>
      <c r="E488" s="4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4">
        <v>-1.0</v>
      </c>
      <c r="O488" s="4">
        <v>10.639516666666667</v>
      </c>
    </row>
    <row r="489">
      <c r="A489" s="7">
        <v>45535.0</v>
      </c>
      <c r="B489" s="1" t="s">
        <v>95</v>
      </c>
      <c r="C489" s="1" t="s">
        <v>89</v>
      </c>
      <c r="D489" s="4">
        <v>618.0</v>
      </c>
      <c r="E489" s="4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4">
        <v>5.0</v>
      </c>
      <c r="N489" s="4">
        <v>0.008483333333333334</v>
      </c>
      <c r="O489" s="4">
        <v>11.659633333333334</v>
      </c>
    </row>
    <row r="490">
      <c r="A490" s="7">
        <v>45535.0</v>
      </c>
      <c r="B490" s="1" t="s">
        <v>88</v>
      </c>
      <c r="C490" s="1" t="s">
        <v>89</v>
      </c>
      <c r="D490" s="4">
        <v>224.0</v>
      </c>
      <c r="E490" s="4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4">
        <v>-8.0</v>
      </c>
      <c r="O490" s="4">
        <v>6.392083333333333</v>
      </c>
    </row>
    <row r="491">
      <c r="A491" s="7">
        <v>45535.0</v>
      </c>
      <c r="B491" s="1" t="s">
        <v>169</v>
      </c>
      <c r="C491" s="1" t="s">
        <v>89</v>
      </c>
      <c r="D491" s="4">
        <v>249.0</v>
      </c>
      <c r="E491" s="4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4">
        <v>-2.0</v>
      </c>
      <c r="O491" s="4">
        <v>2.88825</v>
      </c>
    </row>
    <row r="492">
      <c r="A492" s="7">
        <v>45535.0</v>
      </c>
      <c r="B492" s="1" t="s">
        <v>95</v>
      </c>
      <c r="C492" s="1" t="s">
        <v>89</v>
      </c>
      <c r="D492" s="4">
        <v>309.0</v>
      </c>
      <c r="E492" s="4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4">
        <v>-5.0</v>
      </c>
      <c r="N492" s="4">
        <v>0.008766666666666667</v>
      </c>
      <c r="O492" s="4">
        <v>14.577516666666666</v>
      </c>
    </row>
    <row r="493">
      <c r="A493" s="7">
        <v>45535.0</v>
      </c>
      <c r="B493" s="1" t="s">
        <v>127</v>
      </c>
      <c r="C493" s="1" t="s">
        <v>89</v>
      </c>
      <c r="D493" s="4">
        <v>528.0</v>
      </c>
      <c r="E493" s="4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4">
        <v>0.0</v>
      </c>
      <c r="O493" s="4">
        <v>13.4899</v>
      </c>
    </row>
    <row r="494">
      <c r="A494" s="7">
        <v>45535.0</v>
      </c>
      <c r="B494" s="1" t="s">
        <v>127</v>
      </c>
      <c r="C494" s="1" t="s">
        <v>105</v>
      </c>
      <c r="D494" s="4">
        <v>508.0</v>
      </c>
      <c r="E494" s="4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4">
        <v>-1.0</v>
      </c>
      <c r="O494" s="4">
        <v>11.757183333333334</v>
      </c>
    </row>
    <row r="495">
      <c r="A495" s="7">
        <v>45535.0</v>
      </c>
      <c r="B495" s="1" t="s">
        <v>95</v>
      </c>
      <c r="C495" s="1" t="s">
        <v>89</v>
      </c>
      <c r="D495" s="4">
        <v>299.0</v>
      </c>
      <c r="E495" s="4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4">
        <v>-3.0</v>
      </c>
      <c r="O495" s="4">
        <v>15.477466666666666</v>
      </c>
    </row>
    <row r="496">
      <c r="A496" s="7">
        <v>45535.0</v>
      </c>
      <c r="B496" s="1" t="s">
        <v>169</v>
      </c>
      <c r="C496" s="1" t="s">
        <v>89</v>
      </c>
      <c r="D496" s="4">
        <v>309.0</v>
      </c>
      <c r="E496" s="4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4">
        <v>5.0</v>
      </c>
      <c r="O496" s="4">
        <v>10.116616666666667</v>
      </c>
    </row>
    <row r="497">
      <c r="A497" s="7">
        <v>45535.0</v>
      </c>
      <c r="B497" s="1" t="s">
        <v>95</v>
      </c>
      <c r="C497" s="1" t="s">
        <v>89</v>
      </c>
      <c r="D497" s="4">
        <v>299.0</v>
      </c>
      <c r="E497" s="4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4">
        <v>1.0</v>
      </c>
      <c r="N497" s="4">
        <v>0.009116666666666667</v>
      </c>
      <c r="O497" s="4">
        <v>9.902466666666667</v>
      </c>
    </row>
    <row r="498">
      <c r="A498" s="7">
        <v>45535.0</v>
      </c>
      <c r="B498" s="1" t="s">
        <v>95</v>
      </c>
      <c r="C498" s="1" t="s">
        <v>89</v>
      </c>
      <c r="D498" s="4">
        <v>250.0</v>
      </c>
      <c r="E498" s="4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4">
        <v>-12.0</v>
      </c>
      <c r="N498" s="4">
        <v>0.0109</v>
      </c>
      <c r="O498" s="4">
        <v>9.320616666666666</v>
      </c>
    </row>
    <row r="499">
      <c r="A499" s="7">
        <v>45535.0</v>
      </c>
      <c r="B499" s="1" t="s">
        <v>127</v>
      </c>
      <c r="C499" s="1" t="s">
        <v>105</v>
      </c>
      <c r="D499" s="4">
        <v>394.0</v>
      </c>
      <c r="E499" s="4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4">
        <v>4.0</v>
      </c>
      <c r="O499" s="4">
        <v>16.245616666666667</v>
      </c>
    </row>
    <row r="500">
      <c r="A500" s="7">
        <v>45535.0</v>
      </c>
      <c r="B500" s="1" t="s">
        <v>127</v>
      </c>
      <c r="C500" s="1" t="s">
        <v>105</v>
      </c>
      <c r="D500" s="4">
        <v>728.0</v>
      </c>
      <c r="E500" s="4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4">
        <v>1.0</v>
      </c>
      <c r="O500" s="4">
        <v>15.212833333333334</v>
      </c>
    </row>
    <row r="501">
      <c r="A501" s="7">
        <v>45535.0</v>
      </c>
      <c r="B501" s="1" t="s">
        <v>127</v>
      </c>
      <c r="C501" s="1" t="s">
        <v>105</v>
      </c>
      <c r="D501" s="4">
        <v>338.0</v>
      </c>
      <c r="E501" s="4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4">
        <v>-3.0</v>
      </c>
      <c r="O501" s="4">
        <v>7.079283333333334</v>
      </c>
    </row>
    <row r="502">
      <c r="A502" s="7">
        <v>45535.0</v>
      </c>
      <c r="B502" s="1" t="s">
        <v>88</v>
      </c>
      <c r="C502" s="1" t="s">
        <v>89</v>
      </c>
      <c r="D502" s="4">
        <v>923.0</v>
      </c>
      <c r="E502" s="4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4">
        <v>3.0</v>
      </c>
      <c r="O502" s="4">
        <v>18.003016666666667</v>
      </c>
    </row>
    <row r="503">
      <c r="A503" s="7">
        <v>45535.0</v>
      </c>
      <c r="B503" s="1" t="s">
        <v>95</v>
      </c>
      <c r="C503" s="1" t="s">
        <v>89</v>
      </c>
      <c r="D503" s="4">
        <v>349.0</v>
      </c>
      <c r="E503" s="4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4">
        <v>-2.0</v>
      </c>
      <c r="N503" s="4">
        <v>0.010383333333333333</v>
      </c>
      <c r="O503" s="4">
        <v>12.504933333333334</v>
      </c>
    </row>
    <row r="504">
      <c r="A504" s="7">
        <v>45535.0</v>
      </c>
      <c r="B504" s="1" t="s">
        <v>127</v>
      </c>
      <c r="C504" s="1" t="s">
        <v>89</v>
      </c>
      <c r="D504" s="4">
        <v>492.0</v>
      </c>
      <c r="E504" s="4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4">
        <v>-3.0</v>
      </c>
      <c r="O504" s="4">
        <v>10.8222</v>
      </c>
    </row>
    <row r="505">
      <c r="A505" s="7">
        <v>45535.0</v>
      </c>
      <c r="B505" s="1" t="s">
        <v>104</v>
      </c>
      <c r="C505" s="1" t="s">
        <v>89</v>
      </c>
      <c r="D505" s="4">
        <v>313.0</v>
      </c>
      <c r="E505" s="4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4">
        <v>-7.0</v>
      </c>
      <c r="O505" s="4">
        <v>7.9484</v>
      </c>
    </row>
    <row r="506">
      <c r="A506" s="7">
        <v>45535.0</v>
      </c>
      <c r="B506" s="1" t="s">
        <v>95</v>
      </c>
      <c r="C506" s="1" t="s">
        <v>89</v>
      </c>
      <c r="D506" s="4">
        <v>306.0</v>
      </c>
      <c r="E506" s="4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4">
        <v>-16.0</v>
      </c>
      <c r="N506" s="4">
        <v>0.010916666666666667</v>
      </c>
      <c r="O506" s="4">
        <v>6.608483333333333</v>
      </c>
    </row>
    <row r="507">
      <c r="A507" s="7">
        <v>45535.0</v>
      </c>
      <c r="B507" s="1" t="s">
        <v>104</v>
      </c>
      <c r="C507" s="1" t="s">
        <v>105</v>
      </c>
      <c r="D507" s="4">
        <v>429.0</v>
      </c>
      <c r="E507" s="4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4">
        <v>-3.0</v>
      </c>
      <c r="O507" s="4">
        <v>11.345133333333333</v>
      </c>
    </row>
    <row r="508">
      <c r="A508" s="7">
        <v>45535.0</v>
      </c>
      <c r="B508" s="1" t="s">
        <v>127</v>
      </c>
      <c r="C508" s="1" t="s">
        <v>105</v>
      </c>
      <c r="D508" s="4">
        <v>394.0</v>
      </c>
      <c r="E508" s="4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4">
        <v>-2.0</v>
      </c>
      <c r="O508" s="4">
        <v>9.884133333333333</v>
      </c>
    </row>
    <row r="509">
      <c r="A509" s="7">
        <v>45535.0</v>
      </c>
      <c r="B509" s="1" t="s">
        <v>88</v>
      </c>
      <c r="C509" s="1" t="s">
        <v>89</v>
      </c>
      <c r="D509" s="4">
        <v>328.0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4">
        <v>-3.0</v>
      </c>
      <c r="O509" s="4">
        <v>11.244883333333334</v>
      </c>
    </row>
    <row r="510">
      <c r="A510" s="7">
        <v>45535.0</v>
      </c>
      <c r="B510" s="1" t="s">
        <v>127</v>
      </c>
      <c r="C510" s="1" t="s">
        <v>105</v>
      </c>
      <c r="D510" s="4">
        <v>394.0</v>
      </c>
      <c r="E510" s="4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4">
        <v>0.0</v>
      </c>
      <c r="O510" s="4">
        <v>11.809466666666667</v>
      </c>
    </row>
    <row r="511">
      <c r="A511" s="7">
        <v>45535.0</v>
      </c>
      <c r="B511" s="1" t="s">
        <v>95</v>
      </c>
      <c r="C511" s="1" t="s">
        <v>89</v>
      </c>
      <c r="D511" s="4">
        <v>219.0</v>
      </c>
      <c r="E511" s="4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4">
        <v>-8.0</v>
      </c>
      <c r="O511" s="4">
        <v>10.942583333333333</v>
      </c>
    </row>
    <row r="512">
      <c r="A512" s="7">
        <v>45535.0</v>
      </c>
      <c r="B512" s="1" t="s">
        <v>88</v>
      </c>
      <c r="C512" s="1" t="s">
        <v>89</v>
      </c>
      <c r="D512" s="4">
        <v>528.0</v>
      </c>
      <c r="E512" s="4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4">
        <v>-4.0</v>
      </c>
      <c r="O512" s="4">
        <v>10.19415</v>
      </c>
    </row>
    <row r="513">
      <c r="A513" s="7">
        <v>45535.0</v>
      </c>
      <c r="B513" s="1" t="s">
        <v>169</v>
      </c>
      <c r="C513" s="1" t="s">
        <v>89</v>
      </c>
      <c r="D513" s="4">
        <v>249.0</v>
      </c>
      <c r="E513" s="4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4">
        <v>4.0</v>
      </c>
      <c r="O513" s="4">
        <v>9.850933333333334</v>
      </c>
    </row>
    <row r="514">
      <c r="A514" s="7">
        <v>45535.0</v>
      </c>
      <c r="B514" s="1" t="s">
        <v>95</v>
      </c>
      <c r="C514" s="1" t="s">
        <v>89</v>
      </c>
      <c r="D514" s="4">
        <v>374.0</v>
      </c>
      <c r="E514" s="4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4">
        <v>1.0</v>
      </c>
      <c r="N514" s="4">
        <v>0.010066666666666666</v>
      </c>
      <c r="O514" s="4">
        <v>13.679083333333333</v>
      </c>
    </row>
    <row r="515">
      <c r="A515" s="7">
        <v>45535.0</v>
      </c>
      <c r="B515" s="1" t="s">
        <v>95</v>
      </c>
      <c r="C515" s="1" t="s">
        <v>89</v>
      </c>
      <c r="D515" s="4">
        <v>535.0</v>
      </c>
      <c r="E515" s="4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4">
        <v>14.0</v>
      </c>
      <c r="N515" s="4">
        <v>13.00505</v>
      </c>
      <c r="O515" s="4">
        <v>20.31051666666667</v>
      </c>
    </row>
    <row r="516">
      <c r="A516" s="7">
        <v>45535.0</v>
      </c>
      <c r="B516" s="1" t="s">
        <v>127</v>
      </c>
      <c r="C516" s="1" t="s">
        <v>105</v>
      </c>
      <c r="D516" s="4">
        <v>450.0</v>
      </c>
      <c r="E516" s="4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4">
        <v>11.0</v>
      </c>
      <c r="O516" s="4">
        <v>24.31005</v>
      </c>
    </row>
    <row r="517">
      <c r="A517" s="7">
        <v>45535.0</v>
      </c>
      <c r="B517" s="1" t="s">
        <v>95</v>
      </c>
      <c r="C517" s="1" t="s">
        <v>89</v>
      </c>
      <c r="D517" s="4">
        <v>309.0</v>
      </c>
      <c r="E517" s="4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4">
        <v>0.0</v>
      </c>
      <c r="N517" s="4">
        <v>0.012616666666666667</v>
      </c>
      <c r="O517" s="4">
        <v>13.108683333333333</v>
      </c>
    </row>
    <row r="518">
      <c r="A518" s="7">
        <v>45535.0</v>
      </c>
      <c r="B518" s="1" t="s">
        <v>95</v>
      </c>
      <c r="C518" s="1" t="s">
        <v>89</v>
      </c>
      <c r="D518" s="4">
        <v>309.0</v>
      </c>
      <c r="E518" s="4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4">
        <v>-7.0</v>
      </c>
      <c r="N518" s="4">
        <v>0.016783333333333334</v>
      </c>
      <c r="O518" s="4">
        <v>11.158116666666666</v>
      </c>
    </row>
    <row r="519">
      <c r="A519" s="7">
        <v>45535.0</v>
      </c>
      <c r="B519" s="1" t="s">
        <v>95</v>
      </c>
      <c r="C519" s="1" t="s">
        <v>89</v>
      </c>
      <c r="D519" s="4">
        <v>264.0</v>
      </c>
      <c r="E519" s="4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4">
        <v>-5.0</v>
      </c>
      <c r="N519" s="4">
        <v>0.0082</v>
      </c>
      <c r="O519" s="4">
        <v>16.7334</v>
      </c>
    </row>
    <row r="520">
      <c r="A520" s="7">
        <v>45535.0</v>
      </c>
      <c r="B520" s="1" t="s">
        <v>104</v>
      </c>
      <c r="C520" s="1" t="s">
        <v>105</v>
      </c>
      <c r="D520" s="4">
        <v>348.0</v>
      </c>
      <c r="E520" s="4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4">
        <v>3.0</v>
      </c>
      <c r="O520" s="4">
        <v>18.304683333333333</v>
      </c>
    </row>
    <row r="521">
      <c r="A521" s="7">
        <v>45535.0</v>
      </c>
      <c r="B521" s="1" t="s">
        <v>169</v>
      </c>
      <c r="C521" s="1" t="s">
        <v>89</v>
      </c>
      <c r="D521" s="4">
        <v>173.5</v>
      </c>
      <c r="E521" s="4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4">
        <v>12.0</v>
      </c>
      <c r="O521" s="4">
        <v>17.227016666666668</v>
      </c>
    </row>
    <row r="522">
      <c r="A522" s="7">
        <v>45535.0</v>
      </c>
      <c r="B522" s="1" t="s">
        <v>169</v>
      </c>
      <c r="C522" s="1" t="s">
        <v>89</v>
      </c>
      <c r="D522" s="4">
        <v>124.5</v>
      </c>
      <c r="E522" s="4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4">
        <v>11.0</v>
      </c>
      <c r="O522" s="4">
        <v>16.869016666666667</v>
      </c>
    </row>
    <row r="523">
      <c r="A523" s="7">
        <v>45535.0</v>
      </c>
      <c r="B523" s="1" t="s">
        <v>127</v>
      </c>
      <c r="C523" s="1" t="s">
        <v>105</v>
      </c>
      <c r="D523" s="4">
        <v>1092.0</v>
      </c>
      <c r="E523" s="4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4">
        <v>-2.0</v>
      </c>
      <c r="O523" s="4">
        <v>15.96425</v>
      </c>
    </row>
    <row r="524">
      <c r="A524" s="7">
        <v>45535.0</v>
      </c>
      <c r="B524" s="1" t="s">
        <v>169</v>
      </c>
      <c r="C524" s="1" t="s">
        <v>89</v>
      </c>
      <c r="D524" s="4">
        <v>124.5</v>
      </c>
      <c r="E524" s="4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4">
        <v>3.0</v>
      </c>
      <c r="O524" s="4">
        <v>8.880766666666666</v>
      </c>
    </row>
    <row r="525">
      <c r="A525" s="7">
        <v>45535.0</v>
      </c>
      <c r="B525" s="1" t="s">
        <v>127</v>
      </c>
      <c r="C525" s="1" t="s">
        <v>105</v>
      </c>
      <c r="D525" s="4">
        <v>364.0</v>
      </c>
      <c r="E525" s="4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4">
        <v>-1.0</v>
      </c>
      <c r="O525" s="4">
        <v>10.59215</v>
      </c>
    </row>
    <row r="526">
      <c r="A526" s="7">
        <v>45535.0</v>
      </c>
      <c r="B526" s="1" t="s">
        <v>169</v>
      </c>
      <c r="C526" s="1" t="s">
        <v>89</v>
      </c>
      <c r="D526" s="4">
        <v>306.0</v>
      </c>
      <c r="E526" s="4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4">
        <v>6.0</v>
      </c>
      <c r="O526" s="4">
        <v>11.632633333333333</v>
      </c>
    </row>
    <row r="527">
      <c r="A527" s="7">
        <v>45535.0</v>
      </c>
      <c r="B527" s="1" t="s">
        <v>127</v>
      </c>
      <c r="C527" s="1" t="s">
        <v>105</v>
      </c>
      <c r="D527" s="4">
        <v>395.0</v>
      </c>
      <c r="E527" s="4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4">
        <v>0.0</v>
      </c>
      <c r="O527" s="4">
        <v>12.196866666666667</v>
      </c>
    </row>
    <row r="528">
      <c r="A528" s="7">
        <v>45535.0</v>
      </c>
      <c r="B528" s="1" t="s">
        <v>88</v>
      </c>
      <c r="C528" s="1" t="s">
        <v>89</v>
      </c>
      <c r="D528" s="4">
        <v>259.0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4">
        <v>-5.0</v>
      </c>
      <c r="O528" s="4">
        <v>9.069766666666666</v>
      </c>
    </row>
    <row r="529">
      <c r="A529" s="7">
        <v>45535.0</v>
      </c>
      <c r="B529" s="1" t="s">
        <v>88</v>
      </c>
      <c r="C529" s="1" t="s">
        <v>89</v>
      </c>
      <c r="D529" s="4">
        <v>443.0</v>
      </c>
      <c r="E529" s="4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4">
        <v>-6.0</v>
      </c>
      <c r="O529" s="4">
        <v>8.965416666666666</v>
      </c>
    </row>
    <row r="530">
      <c r="A530" s="7">
        <v>45535.0</v>
      </c>
      <c r="B530" s="1" t="s">
        <v>127</v>
      </c>
      <c r="C530" s="1" t="s">
        <v>89</v>
      </c>
      <c r="D530" s="4">
        <v>278.0</v>
      </c>
      <c r="E530" s="4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4">
        <v>1.0</v>
      </c>
      <c r="O530" s="4">
        <v>13.907116666666667</v>
      </c>
    </row>
    <row r="531">
      <c r="A531" s="7">
        <v>45535.0</v>
      </c>
      <c r="B531" s="1" t="s">
        <v>127</v>
      </c>
      <c r="C531" s="1" t="s">
        <v>89</v>
      </c>
      <c r="D531" s="4">
        <v>264.0</v>
      </c>
      <c r="E531" s="4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4">
        <v>1.0</v>
      </c>
      <c r="O531" s="4">
        <v>12.48975</v>
      </c>
    </row>
    <row r="532">
      <c r="A532" s="7">
        <v>45535.0</v>
      </c>
      <c r="B532" s="1" t="s">
        <v>95</v>
      </c>
      <c r="C532" s="1" t="s">
        <v>89</v>
      </c>
      <c r="D532" s="4">
        <v>250.0</v>
      </c>
      <c r="E532" s="4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4">
        <v>-9.0</v>
      </c>
      <c r="N532" s="4">
        <v>0.0086</v>
      </c>
      <c r="O532" s="4">
        <v>9.32145</v>
      </c>
    </row>
    <row r="533">
      <c r="A533" s="7">
        <v>45535.0</v>
      </c>
      <c r="B533" s="1" t="s">
        <v>104</v>
      </c>
      <c r="C533" s="1" t="s">
        <v>89</v>
      </c>
      <c r="D533" s="4">
        <v>698.0</v>
      </c>
      <c r="E533" s="4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4">
        <v>1.0</v>
      </c>
      <c r="O533" s="4">
        <v>17.692616666666666</v>
      </c>
    </row>
    <row r="534">
      <c r="A534" s="7">
        <v>45535.0</v>
      </c>
      <c r="B534" s="1" t="s">
        <v>127</v>
      </c>
      <c r="C534" s="1" t="s">
        <v>89</v>
      </c>
      <c r="D534" s="4">
        <v>376.0</v>
      </c>
      <c r="E534" s="4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4">
        <v>0.0</v>
      </c>
      <c r="O534" s="4">
        <v>13.1058</v>
      </c>
    </row>
    <row r="535">
      <c r="A535" s="7">
        <v>45535.0</v>
      </c>
      <c r="B535" s="1" t="s">
        <v>169</v>
      </c>
      <c r="C535" s="1" t="s">
        <v>89</v>
      </c>
      <c r="D535" s="4">
        <v>309.0</v>
      </c>
      <c r="E535" s="4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4">
        <v>5.0</v>
      </c>
      <c r="O535" s="4">
        <v>10.10675</v>
      </c>
    </row>
    <row r="536">
      <c r="A536" s="7">
        <v>45535.0</v>
      </c>
      <c r="B536" s="1" t="s">
        <v>88</v>
      </c>
      <c r="C536" s="1" t="s">
        <v>89</v>
      </c>
      <c r="D536" s="4">
        <v>658.0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4">
        <v>-1.0</v>
      </c>
      <c r="O536" s="4">
        <v>13.130466666666667</v>
      </c>
    </row>
    <row r="537">
      <c r="A537" s="7">
        <v>45535.0</v>
      </c>
      <c r="B537" s="1" t="s">
        <v>169</v>
      </c>
      <c r="C537" s="1" t="s">
        <v>89</v>
      </c>
      <c r="D537" s="4">
        <v>124.5</v>
      </c>
      <c r="E537" s="4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4">
        <v>3.0</v>
      </c>
      <c r="O537" s="4">
        <v>8.43315</v>
      </c>
    </row>
    <row r="538">
      <c r="A538" s="7">
        <v>45535.0</v>
      </c>
      <c r="B538" s="1" t="s">
        <v>104</v>
      </c>
      <c r="C538" s="1" t="s">
        <v>105</v>
      </c>
      <c r="D538" s="4">
        <v>264.0</v>
      </c>
      <c r="E538" s="4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4">
        <v>-4.0</v>
      </c>
      <c r="O538" s="4">
        <v>10.603983333333334</v>
      </c>
    </row>
    <row r="539">
      <c r="A539" s="7">
        <v>45535.0</v>
      </c>
      <c r="B539" s="1" t="s">
        <v>169</v>
      </c>
      <c r="C539" s="1" t="s">
        <v>89</v>
      </c>
      <c r="D539" s="4">
        <v>306.0</v>
      </c>
      <c r="E539" s="4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4">
        <v>4.0</v>
      </c>
      <c r="O539" s="4">
        <v>9.352366666666667</v>
      </c>
    </row>
    <row r="540">
      <c r="A540" s="7">
        <v>45535.0</v>
      </c>
      <c r="B540" s="1" t="s">
        <v>169</v>
      </c>
      <c r="C540" s="1" t="s">
        <v>89</v>
      </c>
      <c r="D540" s="4">
        <v>309.0</v>
      </c>
      <c r="E540" s="4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4">
        <v>9.0</v>
      </c>
      <c r="O540" s="4">
        <v>14.140766666666666</v>
      </c>
    </row>
    <row r="541">
      <c r="A541" s="7">
        <v>45535.0</v>
      </c>
      <c r="B541" s="1" t="s">
        <v>95</v>
      </c>
      <c r="C541" s="1" t="s">
        <v>89</v>
      </c>
      <c r="D541" s="4">
        <v>568.0</v>
      </c>
      <c r="E541" s="4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4">
        <v>-9.0</v>
      </c>
      <c r="N541" s="4">
        <v>0.0099</v>
      </c>
      <c r="O541" s="4">
        <v>16.141583333333333</v>
      </c>
    </row>
    <row r="542">
      <c r="A542" s="7">
        <v>45535.0</v>
      </c>
      <c r="B542" s="1" t="s">
        <v>95</v>
      </c>
      <c r="C542" s="1" t="s">
        <v>89</v>
      </c>
      <c r="D542" s="4">
        <v>521.0</v>
      </c>
      <c r="E542" s="4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4">
        <v>-1.0</v>
      </c>
      <c r="N542" s="4">
        <v>0.016</v>
      </c>
      <c r="O542" s="4">
        <v>41.070283333333336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88"/>
    <col customWidth="1" min="40" max="40" width="20.25"/>
    <col customWidth="1" min="47" max="47" width="20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1469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1470</v>
      </c>
      <c r="AP1" s="5" t="s">
        <v>1471</v>
      </c>
      <c r="AQ1" s="5" t="s">
        <v>1472</v>
      </c>
      <c r="AR1" s="5" t="s">
        <v>1473</v>
      </c>
      <c r="AS1" s="5" t="s">
        <v>1474</v>
      </c>
      <c r="AT1" s="5" t="s">
        <v>1475</v>
      </c>
      <c r="AU1" s="5" t="s">
        <v>1476</v>
      </c>
      <c r="AV1" s="5" t="s">
        <v>1477</v>
      </c>
    </row>
    <row r="2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4">
        <v>10.0</v>
      </c>
      <c r="N6" s="1" t="b">
        <v>1</v>
      </c>
      <c r="O6" s="4">
        <v>400.0</v>
      </c>
    </row>
    <row r="7">
      <c r="A7" s="2">
        <v>45505.0</v>
      </c>
      <c r="B7" s="1" t="s">
        <v>1478</v>
      </c>
      <c r="C7" s="1"/>
      <c r="D7" s="1"/>
      <c r="E7" s="1"/>
      <c r="G7" s="1"/>
      <c r="P7" s="4">
        <v>2.0</v>
      </c>
      <c r="Q7" s="1" t="s">
        <v>438</v>
      </c>
      <c r="R7" s="1" t="s">
        <v>1479</v>
      </c>
      <c r="S7" s="4">
        <v>7874.0</v>
      </c>
      <c r="T7" s="4">
        <v>4327.0</v>
      </c>
      <c r="U7" s="4">
        <v>13467.0</v>
      </c>
      <c r="V7" s="4">
        <v>8130.0</v>
      </c>
      <c r="W7" s="4">
        <v>0.0</v>
      </c>
      <c r="X7" s="4">
        <v>3209.0</v>
      </c>
      <c r="Y7" s="4">
        <v>4245.0</v>
      </c>
      <c r="AA7" s="4">
        <v>6221.0</v>
      </c>
      <c r="AB7" s="4">
        <v>46064.0</v>
      </c>
      <c r="AC7" s="4">
        <v>-240.0</v>
      </c>
      <c r="AD7" s="4">
        <v>0.31400112292574706</v>
      </c>
      <c r="AH7" s="4">
        <v>800.0</v>
      </c>
      <c r="AI7" s="4">
        <v>760.0</v>
      </c>
      <c r="AJ7" s="4">
        <v>2.0</v>
      </c>
      <c r="AK7" s="4">
        <v>826.0</v>
      </c>
      <c r="AL7" s="4">
        <v>8.0</v>
      </c>
      <c r="AM7" s="1" t="s">
        <v>1488</v>
      </c>
      <c r="AN7" s="4">
        <v>2.0</v>
      </c>
      <c r="AO7" s="4">
        <v>120.0</v>
      </c>
      <c r="AP7" s="4">
        <v>28.0</v>
      </c>
      <c r="AQ7" s="4">
        <v>0.0</v>
      </c>
      <c r="AR7" s="4">
        <v>0.0</v>
      </c>
      <c r="AS7" s="4">
        <v>0.2857142857142857</v>
      </c>
      <c r="AT7" s="4">
        <v>0.0</v>
      </c>
      <c r="AU7" s="4">
        <v>0.7142857142857143</v>
      </c>
      <c r="AV7" s="4">
        <v>0.0</v>
      </c>
    </row>
    <row r="8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4">
        <v>5.0</v>
      </c>
      <c r="N10" s="1" t="b">
        <v>1</v>
      </c>
      <c r="O10" s="4">
        <v>200.0</v>
      </c>
    </row>
    <row r="1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4">
        <v>15.0</v>
      </c>
      <c r="N12" s="1" t="b">
        <v>1</v>
      </c>
      <c r="O12" s="4">
        <v>600.0</v>
      </c>
    </row>
    <row r="13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4">
        <v>12.0</v>
      </c>
      <c r="N13" s="1" t="b">
        <v>1</v>
      </c>
      <c r="O13" s="4">
        <v>480.0</v>
      </c>
    </row>
    <row r="14">
      <c r="A14" s="2">
        <v>45506.0</v>
      </c>
      <c r="B14" s="1" t="s">
        <v>39</v>
      </c>
      <c r="C14" s="1"/>
      <c r="D14" s="1"/>
      <c r="E14" s="1"/>
      <c r="G14" s="1"/>
      <c r="P14" s="4">
        <v>1.0</v>
      </c>
      <c r="Q14" s="1" t="s">
        <v>1479</v>
      </c>
      <c r="R14" s="1" t="s">
        <v>1490</v>
      </c>
      <c r="S14" s="4">
        <v>10222.0</v>
      </c>
      <c r="T14" s="4">
        <v>8521.0</v>
      </c>
      <c r="U14" s="4">
        <v>16447.0</v>
      </c>
      <c r="V14" s="4">
        <v>13790.0</v>
      </c>
      <c r="W14" s="4">
        <v>0.0</v>
      </c>
      <c r="X14" s="4">
        <v>2015.0</v>
      </c>
      <c r="Y14" s="4">
        <v>5577.0</v>
      </c>
      <c r="AA14" s="4">
        <v>5665.0</v>
      </c>
      <c r="AB14" s="4">
        <v>61834.5</v>
      </c>
      <c r="AC14" s="4">
        <v>4.5</v>
      </c>
      <c r="AD14" s="4">
        <v>0.3494599352538084</v>
      </c>
      <c r="AH14" s="4">
        <v>337.0</v>
      </c>
      <c r="AI14" s="4">
        <v>1280.0</v>
      </c>
      <c r="AJ14" s="4">
        <v>0.0</v>
      </c>
      <c r="AK14" s="4">
        <v>0.0</v>
      </c>
      <c r="AL14" s="4">
        <v>12.0</v>
      </c>
      <c r="AM14" s="1" t="s">
        <v>1499</v>
      </c>
      <c r="AN14" s="4">
        <v>3.0</v>
      </c>
      <c r="AO14" s="4">
        <v>150.0</v>
      </c>
      <c r="AP14" s="4">
        <v>33.0</v>
      </c>
      <c r="AQ14" s="4">
        <v>0.0</v>
      </c>
      <c r="AR14" s="4">
        <v>0.0</v>
      </c>
      <c r="AS14" s="4">
        <v>0.36363636363636365</v>
      </c>
      <c r="AT14" s="4">
        <v>1.0</v>
      </c>
      <c r="AU14" s="4">
        <v>0.6363636363636364</v>
      </c>
      <c r="AV14" s="4">
        <v>0.030303030303030304</v>
      </c>
    </row>
    <row r="15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4">
        <v>5.0</v>
      </c>
      <c r="N17" s="1" t="b">
        <v>1</v>
      </c>
      <c r="O17" s="4">
        <v>200.0</v>
      </c>
    </row>
    <row r="18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4">
        <v>5.0</v>
      </c>
      <c r="N18" s="1" t="b">
        <v>1</v>
      </c>
      <c r="O18" s="4">
        <v>200.0</v>
      </c>
    </row>
    <row r="19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4">
        <v>8.0</v>
      </c>
      <c r="N19" s="1" t="b">
        <v>1</v>
      </c>
      <c r="O19" s="4">
        <v>320.0</v>
      </c>
    </row>
    <row r="20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4">
        <v>10.0</v>
      </c>
      <c r="N20" s="1" t="b">
        <v>1</v>
      </c>
      <c r="O20" s="4">
        <v>400.0</v>
      </c>
    </row>
    <row r="21">
      <c r="A21" s="2">
        <v>45507.0</v>
      </c>
      <c r="B21" s="1" t="s">
        <v>1500</v>
      </c>
      <c r="C21" s="1"/>
      <c r="D21" s="1"/>
      <c r="E21" s="1"/>
      <c r="G21" s="1"/>
      <c r="P21" s="4">
        <v>0.0</v>
      </c>
      <c r="Q21" s="1" t="s">
        <v>1479</v>
      </c>
      <c r="R21" s="1" t="s">
        <v>1490</v>
      </c>
      <c r="S21" s="4">
        <v>8565.0</v>
      </c>
      <c r="T21" s="4">
        <v>6171.0</v>
      </c>
      <c r="U21" s="4">
        <v>11683.0</v>
      </c>
      <c r="V21" s="4">
        <v>9243.0</v>
      </c>
      <c r="W21" s="4">
        <v>0.0</v>
      </c>
      <c r="X21" s="4">
        <v>543.0</v>
      </c>
      <c r="Y21" s="4">
        <v>2099.0</v>
      </c>
      <c r="AA21" s="4">
        <v>5864.0</v>
      </c>
      <c r="AB21" s="4">
        <v>46745.0</v>
      </c>
      <c r="AC21" s="4">
        <v>0.0</v>
      </c>
      <c r="AD21" s="4">
        <v>0.23751934552255027</v>
      </c>
      <c r="AE21" s="4">
        <v>2000.0</v>
      </c>
      <c r="AI21" s="4">
        <v>1120.0</v>
      </c>
      <c r="AJ21" s="4">
        <v>0.0</v>
      </c>
      <c r="AK21" s="4">
        <v>0.0</v>
      </c>
      <c r="AL21" s="4">
        <v>6.0</v>
      </c>
      <c r="AM21" s="1" t="s">
        <v>1505</v>
      </c>
      <c r="AN21" s="4">
        <v>4.0</v>
      </c>
      <c r="AO21" s="4">
        <v>117.0</v>
      </c>
      <c r="AP21" s="4">
        <v>28.0</v>
      </c>
      <c r="AQ21" s="4">
        <v>0.0</v>
      </c>
      <c r="AR21" s="4">
        <v>0.0</v>
      </c>
      <c r="AS21" s="4">
        <v>0.21428571428571427</v>
      </c>
      <c r="AT21" s="4">
        <v>0.0</v>
      </c>
      <c r="AU21" s="4">
        <v>0.7857142857142857</v>
      </c>
      <c r="AV21" s="4">
        <v>0.0</v>
      </c>
    </row>
    <row r="22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4">
        <v>15.0</v>
      </c>
      <c r="N25" s="1" t="b">
        <v>1</v>
      </c>
      <c r="O25" s="4">
        <v>600.0</v>
      </c>
    </row>
    <row r="26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4">
        <v>10.0</v>
      </c>
      <c r="N27" s="1" t="b">
        <v>1</v>
      </c>
      <c r="O27" s="4">
        <v>400.0</v>
      </c>
    </row>
    <row r="28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4">
        <v>8.0</v>
      </c>
      <c r="N28" s="1" t="b">
        <v>1</v>
      </c>
      <c r="O28" s="4">
        <v>320.0</v>
      </c>
    </row>
    <row r="29">
      <c r="A29" s="2">
        <v>45508.0</v>
      </c>
      <c r="B29" s="1" t="s">
        <v>67</v>
      </c>
      <c r="C29" s="1"/>
      <c r="D29" s="1"/>
      <c r="E29" s="1"/>
      <c r="G29" s="1"/>
      <c r="P29" s="4">
        <v>2.0</v>
      </c>
      <c r="Q29" s="1" t="s">
        <v>1508</v>
      </c>
      <c r="R29" s="1" t="s">
        <v>438</v>
      </c>
      <c r="S29" s="4">
        <v>11702.0</v>
      </c>
      <c r="T29" s="4">
        <v>3756.0</v>
      </c>
      <c r="U29" s="4">
        <v>16469.0</v>
      </c>
      <c r="V29" s="4">
        <v>14491.0</v>
      </c>
      <c r="W29" s="4">
        <v>375.0</v>
      </c>
      <c r="X29" s="4">
        <v>1571.0</v>
      </c>
      <c r="Y29" s="4">
        <v>4709.0</v>
      </c>
      <c r="AA29" s="4">
        <v>6169.0</v>
      </c>
      <c r="AB29" s="4">
        <v>59490.5</v>
      </c>
      <c r="AC29" s="4">
        <v>0.5</v>
      </c>
      <c r="AD29" s="4">
        <v>0.2951238756852206</v>
      </c>
      <c r="AE29" s="4">
        <v>500.0</v>
      </c>
      <c r="AI29" s="4">
        <v>1320.0</v>
      </c>
      <c r="AJ29" s="4">
        <v>0.0</v>
      </c>
      <c r="AK29" s="4">
        <v>0.0</v>
      </c>
      <c r="AL29" s="4">
        <v>5.0</v>
      </c>
      <c r="AM29" s="1" t="s">
        <v>1509</v>
      </c>
      <c r="AN29" s="4">
        <v>3.0</v>
      </c>
      <c r="AO29" s="4">
        <v>146.0</v>
      </c>
      <c r="AP29" s="4">
        <v>36.0</v>
      </c>
      <c r="AQ29" s="4">
        <v>2.0</v>
      </c>
      <c r="AR29" s="4">
        <v>0.0</v>
      </c>
      <c r="AS29" s="4">
        <v>0.1388888888888889</v>
      </c>
      <c r="AT29" s="4">
        <v>0.0</v>
      </c>
      <c r="AU29" s="4">
        <v>0.8611111111111112</v>
      </c>
      <c r="AV29" s="4">
        <v>0.0</v>
      </c>
    </row>
    <row r="30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4">
        <v>7.0</v>
      </c>
    </row>
    <row r="32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4">
        <v>13.0</v>
      </c>
      <c r="N33" s="1" t="b">
        <v>1</v>
      </c>
      <c r="O33" s="4">
        <v>520.0</v>
      </c>
    </row>
    <row r="34">
      <c r="A34" s="2">
        <v>45509.0</v>
      </c>
      <c r="B34" s="1" t="s">
        <v>69</v>
      </c>
      <c r="C34" s="1"/>
      <c r="D34" s="1"/>
      <c r="E34" s="1"/>
      <c r="G34" s="1"/>
      <c r="P34" s="4">
        <v>2.0</v>
      </c>
      <c r="Q34" s="1" t="s">
        <v>1479</v>
      </c>
      <c r="R34" s="1" t="s">
        <v>1479</v>
      </c>
      <c r="S34" s="4">
        <v>5067.0</v>
      </c>
      <c r="T34" s="4">
        <v>4145.0</v>
      </c>
      <c r="U34" s="4">
        <v>9858.0</v>
      </c>
      <c r="V34" s="4">
        <v>7572.0</v>
      </c>
      <c r="W34" s="4">
        <v>320.0</v>
      </c>
      <c r="X34" s="4">
        <v>2544.0</v>
      </c>
      <c r="Y34" s="4">
        <v>3479.0</v>
      </c>
      <c r="AA34" s="4">
        <v>1190.0</v>
      </c>
      <c r="AB34" s="4">
        <v>38287.5</v>
      </c>
      <c r="AC34" s="4">
        <v>0.5</v>
      </c>
      <c r="AD34" s="4">
        <v>0.4357984168841427</v>
      </c>
      <c r="AE34" s="4">
        <v>500.0</v>
      </c>
      <c r="AG34" s="4">
        <v>5597.0</v>
      </c>
      <c r="AH34" s="4">
        <v>40.0</v>
      </c>
      <c r="AI34" s="4">
        <v>520.0</v>
      </c>
      <c r="AJ34" s="4">
        <v>1.0</v>
      </c>
      <c r="AK34" s="4">
        <v>247.0</v>
      </c>
      <c r="AL34" s="4">
        <v>7.0</v>
      </c>
      <c r="AM34" s="1" t="s">
        <v>1510</v>
      </c>
      <c r="AN34" s="4">
        <v>1.0</v>
      </c>
      <c r="AO34" s="4">
        <v>108.0</v>
      </c>
      <c r="AP34" s="4">
        <v>22.0</v>
      </c>
      <c r="AQ34" s="4">
        <v>1.0</v>
      </c>
      <c r="AR34" s="4">
        <v>1.0</v>
      </c>
      <c r="AS34" s="4">
        <v>0.3181818181818182</v>
      </c>
      <c r="AT34" s="4">
        <v>1.0</v>
      </c>
      <c r="AU34" s="4">
        <v>0.6818181818181819</v>
      </c>
      <c r="AV34" s="4">
        <v>0.045454545454545456</v>
      </c>
    </row>
    <row r="35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4">
        <v>5.0</v>
      </c>
    </row>
    <row r="38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4">
        <v>9.0</v>
      </c>
    </row>
    <row r="40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>
      <c r="A41" s="2">
        <v>45510.0</v>
      </c>
      <c r="B41" s="1" t="s">
        <v>61</v>
      </c>
      <c r="C41" s="1"/>
      <c r="D41" s="1"/>
      <c r="E41" s="1"/>
      <c r="G41" s="1"/>
      <c r="P41" s="4">
        <v>0.0</v>
      </c>
      <c r="Q41" s="1" t="s">
        <v>1479</v>
      </c>
      <c r="R41" s="1" t="s">
        <v>1479</v>
      </c>
      <c r="S41" s="4">
        <v>5551.0</v>
      </c>
      <c r="T41" s="4">
        <v>5114.0</v>
      </c>
      <c r="U41" s="4">
        <v>12091.0</v>
      </c>
      <c r="V41" s="4">
        <v>2929.0</v>
      </c>
      <c r="W41" s="4">
        <v>0.0</v>
      </c>
      <c r="X41" s="4">
        <v>578.0</v>
      </c>
      <c r="Y41" s="4">
        <v>3667.0</v>
      </c>
      <c r="AA41" s="4">
        <v>4558.0</v>
      </c>
      <c r="AB41" s="4">
        <v>35304.0</v>
      </c>
      <c r="AC41" s="4">
        <v>76.0</v>
      </c>
      <c r="AD41" s="4">
        <v>0.28198073551018615</v>
      </c>
      <c r="AE41" s="4">
        <v>500.0</v>
      </c>
      <c r="AH41" s="4">
        <v>970.0</v>
      </c>
      <c r="AI41" s="4">
        <v>0.0</v>
      </c>
      <c r="AJ41" s="4">
        <v>1.0</v>
      </c>
      <c r="AK41" s="4">
        <v>436.0</v>
      </c>
      <c r="AL41" s="4">
        <v>2.0</v>
      </c>
      <c r="AM41" s="1" t="s">
        <v>1511</v>
      </c>
      <c r="AN41" s="4">
        <v>0.0</v>
      </c>
      <c r="AO41" s="4">
        <v>92.0</v>
      </c>
      <c r="AP41" s="4">
        <v>14.0</v>
      </c>
      <c r="AQ41" s="4">
        <v>0.0</v>
      </c>
      <c r="AR41" s="4">
        <v>0.0</v>
      </c>
      <c r="AS41" s="4">
        <v>0.14285714285714285</v>
      </c>
      <c r="AT41" s="4">
        <v>0.0</v>
      </c>
      <c r="AU41" s="4">
        <v>0.8571428571428572</v>
      </c>
      <c r="AV41" s="4">
        <v>0.0</v>
      </c>
    </row>
    <row r="42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4">
        <v>8.0</v>
      </c>
    </row>
    <row r="45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4">
        <v>8.0</v>
      </c>
      <c r="N46" s="1" t="b">
        <v>1</v>
      </c>
      <c r="O46" s="4">
        <v>320.0</v>
      </c>
    </row>
    <row r="47">
      <c r="A47" s="2">
        <v>45511.0</v>
      </c>
      <c r="B47" s="1" t="s">
        <v>73</v>
      </c>
      <c r="C47" s="1"/>
      <c r="D47" s="1"/>
      <c r="E47" s="1"/>
      <c r="G47" s="1"/>
      <c r="P47" s="4">
        <v>7.0</v>
      </c>
      <c r="Q47" s="1" t="s">
        <v>438</v>
      </c>
      <c r="R47" s="1" t="s">
        <v>51</v>
      </c>
      <c r="S47" s="4">
        <v>7199.0</v>
      </c>
      <c r="T47" s="4">
        <v>4695.0</v>
      </c>
      <c r="U47" s="4">
        <v>11841.0</v>
      </c>
      <c r="V47" s="4">
        <v>8584.0</v>
      </c>
      <c r="W47" s="4">
        <v>337.0</v>
      </c>
      <c r="X47" s="4">
        <v>1842.0</v>
      </c>
      <c r="Y47" s="4">
        <v>2681.0</v>
      </c>
      <c r="AA47" s="4">
        <v>6414.0</v>
      </c>
      <c r="AB47" s="4">
        <v>42111.3</v>
      </c>
      <c r="AC47" s="4">
        <v>-0.3000000000029104</v>
      </c>
      <c r="AD47" s="4">
        <v>0.2790598410985083</v>
      </c>
      <c r="AH47" s="4">
        <v>40.0</v>
      </c>
      <c r="AI47" s="4">
        <v>320.0</v>
      </c>
      <c r="AJ47" s="4">
        <v>0.0</v>
      </c>
      <c r="AK47" s="4">
        <v>0.0</v>
      </c>
      <c r="AL47" s="4">
        <v>6.0</v>
      </c>
      <c r="AM47" s="1" t="s">
        <v>1515</v>
      </c>
      <c r="AN47" s="4">
        <v>1.0</v>
      </c>
      <c r="AO47" s="4">
        <v>106.0</v>
      </c>
      <c r="AP47" s="4">
        <v>23.0</v>
      </c>
      <c r="AQ47" s="4">
        <v>6.0</v>
      </c>
      <c r="AR47" s="4">
        <v>4.0</v>
      </c>
      <c r="AS47" s="4">
        <v>0.2608695652173913</v>
      </c>
      <c r="AT47" s="4">
        <v>5.0</v>
      </c>
      <c r="AU47" s="4">
        <v>0.7391304347826086</v>
      </c>
      <c r="AV47" s="4">
        <v>0.21739130434782608</v>
      </c>
    </row>
    <row r="48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4">
        <v>7.0</v>
      </c>
      <c r="N50" s="1" t="b">
        <v>1</v>
      </c>
      <c r="O50" s="4">
        <v>280.0</v>
      </c>
    </row>
    <row r="5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4">
        <v>9.0</v>
      </c>
      <c r="N51" s="1" t="b">
        <v>1</v>
      </c>
      <c r="O51" s="4">
        <v>360.0</v>
      </c>
    </row>
    <row r="52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4">
        <v>7.0</v>
      </c>
      <c r="N52" s="1" t="b">
        <v>1</v>
      </c>
      <c r="O52" s="4">
        <v>280.0</v>
      </c>
    </row>
    <row r="53">
      <c r="A53" s="2">
        <v>45512.0</v>
      </c>
      <c r="B53" s="1" t="s">
        <v>1478</v>
      </c>
      <c r="C53" s="1"/>
      <c r="D53" s="1"/>
      <c r="E53" s="1"/>
      <c r="G53" s="1"/>
      <c r="P53" s="4">
        <v>6.0</v>
      </c>
      <c r="Q53" s="1" t="s">
        <v>51</v>
      </c>
      <c r="R53" s="1" t="s">
        <v>51</v>
      </c>
      <c r="S53" s="4">
        <v>11575.0</v>
      </c>
      <c r="T53" s="4">
        <v>5816.0</v>
      </c>
      <c r="U53" s="4">
        <v>12429.0</v>
      </c>
      <c r="V53" s="4">
        <v>13313.0</v>
      </c>
      <c r="W53" s="4">
        <v>757.0</v>
      </c>
      <c r="X53" s="4">
        <v>2014.0</v>
      </c>
      <c r="Y53" s="4">
        <v>4921.0</v>
      </c>
      <c r="AA53" s="4">
        <v>3664.0</v>
      </c>
      <c r="AB53" s="4">
        <v>53395.0</v>
      </c>
      <c r="AC53" s="4">
        <v>0.0</v>
      </c>
      <c r="AD53" s="4">
        <v>0.24060548378034674</v>
      </c>
      <c r="AI53" s="4">
        <v>920.0</v>
      </c>
      <c r="AJ53" s="4">
        <v>0.0</v>
      </c>
      <c r="AK53" s="4">
        <v>0.0</v>
      </c>
      <c r="AL53" s="4">
        <v>18.0</v>
      </c>
      <c r="AM53" s="1" t="s">
        <v>1516</v>
      </c>
      <c r="AN53" s="4">
        <v>3.0</v>
      </c>
      <c r="AO53" s="4">
        <v>132.0</v>
      </c>
      <c r="AP53" s="4">
        <v>29.0</v>
      </c>
      <c r="AQ53" s="4">
        <v>6.0</v>
      </c>
      <c r="AR53" s="4">
        <v>4.0</v>
      </c>
      <c r="AS53" s="4">
        <v>0.6206896551724138</v>
      </c>
      <c r="AT53" s="4">
        <v>4.0</v>
      </c>
      <c r="AU53" s="4">
        <v>0.3793103448275862</v>
      </c>
      <c r="AV53" s="4">
        <v>0.13793103448275862</v>
      </c>
    </row>
    <row r="54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4">
        <v>6.0</v>
      </c>
      <c r="N57" s="1" t="b">
        <v>1</v>
      </c>
      <c r="O57" s="4">
        <v>240.0</v>
      </c>
    </row>
    <row r="58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4">
        <v>4.0</v>
      </c>
      <c r="N58" s="1" t="b">
        <v>1</v>
      </c>
      <c r="O58" s="4">
        <v>160.0</v>
      </c>
    </row>
    <row r="59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4">
        <v>12.0</v>
      </c>
      <c r="N59" s="1" t="b">
        <v>1</v>
      </c>
      <c r="O59" s="4">
        <v>480.0</v>
      </c>
    </row>
    <row r="60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4">
        <v>1.0</v>
      </c>
    </row>
    <row r="61">
      <c r="A61" s="2">
        <v>45513.0</v>
      </c>
      <c r="B61" s="1" t="s">
        <v>39</v>
      </c>
      <c r="C61" s="1"/>
      <c r="D61" s="1"/>
      <c r="E61" s="1"/>
      <c r="G61" s="1"/>
      <c r="P61" s="4">
        <v>3.0</v>
      </c>
      <c r="Q61" s="1" t="s">
        <v>438</v>
      </c>
      <c r="R61" s="1" t="s">
        <v>438</v>
      </c>
      <c r="S61" s="4">
        <v>8506.0</v>
      </c>
      <c r="T61" s="4">
        <v>6088.0</v>
      </c>
      <c r="U61" s="4">
        <v>18433.0</v>
      </c>
      <c r="V61" s="4">
        <v>12630.0</v>
      </c>
      <c r="W61" s="4">
        <v>0.0</v>
      </c>
      <c r="X61" s="4">
        <v>2312.0</v>
      </c>
      <c r="Y61" s="4">
        <v>4918.0</v>
      </c>
      <c r="AA61" s="4">
        <v>5013.0</v>
      </c>
      <c r="AB61" s="4">
        <v>57548.0</v>
      </c>
      <c r="AC61" s="4">
        <v>-80.0</v>
      </c>
      <c r="AD61" s="4">
        <v>0.25437877609042214</v>
      </c>
      <c r="AE61" s="4">
        <v>1000.0</v>
      </c>
      <c r="AI61" s="4">
        <v>880.0</v>
      </c>
      <c r="AJ61" s="4">
        <v>2.0</v>
      </c>
      <c r="AK61" s="4">
        <v>711.0</v>
      </c>
      <c r="AL61" s="4">
        <v>3.0</v>
      </c>
      <c r="AM61" s="1" t="s">
        <v>1518</v>
      </c>
      <c r="AN61" s="4">
        <v>3.0</v>
      </c>
      <c r="AO61" s="4">
        <v>145.0</v>
      </c>
      <c r="AP61" s="4">
        <v>26.0</v>
      </c>
      <c r="AQ61" s="4">
        <v>2.0</v>
      </c>
      <c r="AR61" s="4">
        <v>1.0</v>
      </c>
      <c r="AS61" s="4">
        <v>0.11538461538461539</v>
      </c>
      <c r="AT61" s="4">
        <v>1.0</v>
      </c>
      <c r="AU61" s="4">
        <v>0.8846153846153846</v>
      </c>
      <c r="AV61" s="4">
        <v>0.038461538461538464</v>
      </c>
    </row>
    <row r="62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4">
        <v>10.0</v>
      </c>
      <c r="N65" s="1" t="b">
        <v>1</v>
      </c>
      <c r="O65" s="4">
        <v>400.0</v>
      </c>
    </row>
    <row r="66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4">
        <v>15.0</v>
      </c>
      <c r="N66" s="1" t="b">
        <v>1</v>
      </c>
      <c r="O66" s="4">
        <v>600.0</v>
      </c>
    </row>
    <row r="67">
      <c r="A67" s="2">
        <v>45514.0</v>
      </c>
      <c r="B67" s="1" t="s">
        <v>1500</v>
      </c>
      <c r="C67" s="1"/>
      <c r="D67" s="1"/>
      <c r="E67" s="1"/>
      <c r="G67" s="1"/>
      <c r="P67" s="4">
        <v>6.0</v>
      </c>
      <c r="Q67" s="1" t="s">
        <v>1490</v>
      </c>
      <c r="R67" s="1" t="s">
        <v>438</v>
      </c>
      <c r="S67" s="4">
        <v>9219.0</v>
      </c>
      <c r="T67" s="4">
        <v>7517.0</v>
      </c>
      <c r="U67" s="4">
        <v>16192.0</v>
      </c>
      <c r="V67" s="4">
        <v>12120.0</v>
      </c>
      <c r="W67" s="4">
        <v>0.0</v>
      </c>
      <c r="X67" s="4">
        <v>2137.0</v>
      </c>
      <c r="Y67" s="4">
        <v>4178.0</v>
      </c>
      <c r="AA67" s="4">
        <v>10845.0</v>
      </c>
      <c r="AB67" s="4">
        <v>61071.0</v>
      </c>
      <c r="AC67" s="4">
        <v>0.0</v>
      </c>
      <c r="AD67" s="4">
        <v>0.25061366944133245</v>
      </c>
      <c r="AI67" s="4">
        <v>1000.0</v>
      </c>
      <c r="AJ67" s="4">
        <v>0.0</v>
      </c>
      <c r="AK67" s="4">
        <v>0.0</v>
      </c>
      <c r="AL67" s="4">
        <v>10.0</v>
      </c>
      <c r="AM67" s="1" t="s">
        <v>1520</v>
      </c>
      <c r="AN67" s="4">
        <v>2.0</v>
      </c>
      <c r="AO67" s="4">
        <v>147.0</v>
      </c>
      <c r="AP67" s="4">
        <v>31.0</v>
      </c>
      <c r="AQ67" s="4">
        <v>5.0</v>
      </c>
      <c r="AR67" s="4">
        <v>4.0</v>
      </c>
      <c r="AS67" s="4">
        <v>0.3225806451612903</v>
      </c>
      <c r="AT67" s="4">
        <v>4.0</v>
      </c>
      <c r="AU67" s="4">
        <v>0.6774193548387097</v>
      </c>
      <c r="AV67" s="4">
        <v>0.12903225806451613</v>
      </c>
    </row>
    <row r="68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4">
        <v>6.0</v>
      </c>
      <c r="N71" s="1" t="b">
        <v>1</v>
      </c>
      <c r="O71" s="4">
        <v>240.0</v>
      </c>
    </row>
    <row r="72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4">
        <v>4.0</v>
      </c>
    </row>
    <row r="73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4">
        <v>19.0</v>
      </c>
      <c r="N73" s="1" t="b">
        <v>1</v>
      </c>
      <c r="O73" s="4">
        <v>760.0</v>
      </c>
    </row>
    <row r="74">
      <c r="A74" s="2">
        <v>45515.0</v>
      </c>
      <c r="B74" s="1" t="s">
        <v>67</v>
      </c>
      <c r="C74" s="1"/>
      <c r="D74" s="1"/>
      <c r="E74" s="1"/>
      <c r="G74" s="1"/>
      <c r="P74" s="4">
        <v>8.0</v>
      </c>
      <c r="Q74" s="1" t="s">
        <v>438</v>
      </c>
      <c r="R74" s="1" t="s">
        <v>1479</v>
      </c>
      <c r="S74" s="4">
        <v>3033.0</v>
      </c>
      <c r="T74" s="4">
        <v>5022.0</v>
      </c>
      <c r="U74" s="4">
        <v>7563.0</v>
      </c>
      <c r="V74" s="4">
        <v>15790.0</v>
      </c>
      <c r="W74" s="4">
        <v>299.0</v>
      </c>
      <c r="X74" s="4">
        <v>1052.0</v>
      </c>
      <c r="Y74" s="4">
        <v>4058.0</v>
      </c>
      <c r="AA74" s="4">
        <v>4600.0</v>
      </c>
      <c r="AB74" s="4">
        <v>41762.5</v>
      </c>
      <c r="AC74" s="4">
        <v>2.5</v>
      </c>
      <c r="AD74" s="4">
        <v>0.38250279189348374</v>
      </c>
      <c r="AE74" s="4">
        <v>400.0</v>
      </c>
      <c r="AI74" s="4">
        <v>1000.0</v>
      </c>
      <c r="AJ74" s="4">
        <v>1.0</v>
      </c>
      <c r="AK74" s="4">
        <v>557.0</v>
      </c>
      <c r="AL74" s="4">
        <v>11.0</v>
      </c>
      <c r="AM74" s="1" t="s">
        <v>1521</v>
      </c>
      <c r="AN74" s="4">
        <v>2.0</v>
      </c>
      <c r="AO74" s="4">
        <v>106.0</v>
      </c>
      <c r="AP74" s="4">
        <v>37.0</v>
      </c>
      <c r="AQ74" s="4">
        <v>7.0</v>
      </c>
      <c r="AR74" s="4">
        <v>4.0</v>
      </c>
      <c r="AS74" s="4">
        <v>0.2972972972972973</v>
      </c>
      <c r="AT74" s="4">
        <v>4.0</v>
      </c>
      <c r="AU74" s="4">
        <v>0.7027027027027026</v>
      </c>
      <c r="AV74" s="4">
        <v>0.10810810810810811</v>
      </c>
    </row>
    <row r="75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4">
        <v>11.0</v>
      </c>
      <c r="N77" s="1" t="b">
        <v>1</v>
      </c>
      <c r="O77" s="4">
        <v>440.0</v>
      </c>
    </row>
    <row r="78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4">
        <v>4.0</v>
      </c>
    </row>
    <row r="79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>
      <c r="A80" s="2">
        <v>45516.0</v>
      </c>
      <c r="B80" s="1" t="s">
        <v>69</v>
      </c>
      <c r="C80" s="1"/>
      <c r="D80" s="1"/>
      <c r="E80" s="1"/>
      <c r="G80" s="1"/>
      <c r="P80" s="4">
        <v>4.0</v>
      </c>
      <c r="Q80" s="1" t="s">
        <v>438</v>
      </c>
      <c r="R80" s="1" t="s">
        <v>1479</v>
      </c>
      <c r="S80" s="4">
        <v>4757.0</v>
      </c>
      <c r="T80" s="4">
        <v>6406.0</v>
      </c>
      <c r="U80" s="4">
        <v>10842.0</v>
      </c>
      <c r="V80" s="4">
        <v>10633.0</v>
      </c>
      <c r="W80" s="4">
        <v>0.0</v>
      </c>
      <c r="X80" s="4">
        <v>2592.0</v>
      </c>
      <c r="Y80" s="4">
        <v>3523.0</v>
      </c>
      <c r="AA80" s="4">
        <v>120.0</v>
      </c>
      <c r="AB80" s="4">
        <v>42461.0</v>
      </c>
      <c r="AC80" s="4">
        <v>-40.0</v>
      </c>
      <c r="AD80" s="4">
        <v>0.3706484022150117</v>
      </c>
      <c r="AE80" s="4">
        <v>600.0</v>
      </c>
      <c r="AG80" s="4">
        <v>5100.0</v>
      </c>
      <c r="AI80" s="4">
        <v>440.0</v>
      </c>
      <c r="AJ80" s="4">
        <v>2.0</v>
      </c>
      <c r="AK80" s="4">
        <v>535.0</v>
      </c>
      <c r="AL80" s="4">
        <v>6.0</v>
      </c>
      <c r="AM80" s="1" t="s">
        <v>1523</v>
      </c>
      <c r="AN80" s="4">
        <v>1.0</v>
      </c>
      <c r="AO80" s="4">
        <v>118.0</v>
      </c>
      <c r="AP80" s="4">
        <v>19.0</v>
      </c>
      <c r="AQ80" s="4">
        <v>4.0</v>
      </c>
      <c r="AR80" s="4">
        <v>2.0</v>
      </c>
      <c r="AS80" s="4">
        <v>0.3157894736842105</v>
      </c>
      <c r="AT80" s="4">
        <v>2.0</v>
      </c>
      <c r="AU80" s="4">
        <v>0.6842105263157895</v>
      </c>
      <c r="AV80" s="4">
        <v>0.10526315789473684</v>
      </c>
    </row>
    <row r="8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4">
        <v>7.0</v>
      </c>
    </row>
    <row r="85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4">
        <v>15.0</v>
      </c>
      <c r="N85" s="1" t="b">
        <v>1</v>
      </c>
      <c r="O85" s="4">
        <v>600.0</v>
      </c>
    </row>
    <row r="86">
      <c r="A86" s="2">
        <v>45517.0</v>
      </c>
      <c r="B86" s="1" t="s">
        <v>61</v>
      </c>
      <c r="C86" s="1"/>
      <c r="D86" s="1"/>
      <c r="E86" s="1"/>
      <c r="G86" s="1"/>
      <c r="P86" s="4">
        <v>6.0</v>
      </c>
      <c r="Q86" s="1" t="s">
        <v>1508</v>
      </c>
      <c r="R86" s="1" t="s">
        <v>1479</v>
      </c>
      <c r="S86" s="4">
        <v>4564.0</v>
      </c>
      <c r="T86" s="4">
        <v>3676.0</v>
      </c>
      <c r="U86" s="4">
        <v>7981.0</v>
      </c>
      <c r="V86" s="4">
        <v>12832.0</v>
      </c>
      <c r="W86" s="4">
        <v>706.0</v>
      </c>
      <c r="X86" s="4">
        <v>2387.0</v>
      </c>
      <c r="Y86" s="4">
        <v>3181.0</v>
      </c>
      <c r="AA86" s="4">
        <v>1310.0</v>
      </c>
      <c r="AB86" s="4">
        <v>37568.5</v>
      </c>
      <c r="AC86" s="4">
        <v>3.5</v>
      </c>
      <c r="AD86" s="4">
        <v>0.4605856599665042</v>
      </c>
      <c r="AE86" s="4">
        <v>2000.0</v>
      </c>
      <c r="AG86" s="4">
        <v>722.0</v>
      </c>
      <c r="AI86" s="4">
        <v>600.0</v>
      </c>
      <c r="AJ86" s="4">
        <v>1.0</v>
      </c>
      <c r="AK86" s="4">
        <v>364.0</v>
      </c>
      <c r="AL86" s="4">
        <v>3.0</v>
      </c>
      <c r="AM86" s="1" t="s">
        <v>1524</v>
      </c>
      <c r="AN86" s="4">
        <v>1.0</v>
      </c>
      <c r="AO86" s="4">
        <v>104.0</v>
      </c>
      <c r="AP86" s="4">
        <v>28.0</v>
      </c>
      <c r="AQ86" s="4">
        <v>5.0</v>
      </c>
      <c r="AR86" s="4">
        <v>2.0</v>
      </c>
      <c r="AS86" s="4">
        <v>0.10714285714285714</v>
      </c>
      <c r="AT86" s="4">
        <v>2.0</v>
      </c>
      <c r="AU86" s="4">
        <v>0.8928571428571429</v>
      </c>
      <c r="AV86" s="4">
        <v>0.07142857142857142</v>
      </c>
    </row>
    <row r="87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4">
        <v>4.0</v>
      </c>
      <c r="N89" s="1" t="b">
        <v>1</v>
      </c>
      <c r="O89" s="4">
        <v>160.0</v>
      </c>
    </row>
    <row r="90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4">
        <v>7.0</v>
      </c>
    </row>
    <row r="9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4">
        <v>6.0</v>
      </c>
      <c r="N91" s="1" t="b">
        <v>1</v>
      </c>
      <c r="O91" s="4">
        <v>240.0</v>
      </c>
    </row>
    <row r="92">
      <c r="A92" s="2">
        <v>45518.0</v>
      </c>
      <c r="B92" s="1" t="s">
        <v>73</v>
      </c>
      <c r="C92" s="1"/>
      <c r="D92" s="1"/>
      <c r="E92" s="1"/>
      <c r="G92" s="1"/>
      <c r="P92" s="4">
        <v>3.0</v>
      </c>
      <c r="Q92" s="1" t="s">
        <v>1490</v>
      </c>
      <c r="R92" s="1" t="s">
        <v>1490</v>
      </c>
      <c r="S92" s="4">
        <v>4707.0</v>
      </c>
      <c r="T92" s="4">
        <v>5117.0</v>
      </c>
      <c r="U92" s="4">
        <v>13153.0</v>
      </c>
      <c r="V92" s="4">
        <v>8240.0</v>
      </c>
      <c r="W92" s="4">
        <v>547.0</v>
      </c>
      <c r="X92" s="4">
        <v>2181.0</v>
      </c>
      <c r="Y92" s="4">
        <v>4129.0</v>
      </c>
      <c r="Z92" s="4">
        <v>480.0</v>
      </c>
      <c r="AA92" s="4">
        <v>3201.0</v>
      </c>
      <c r="AB92" s="4">
        <v>40571.0</v>
      </c>
      <c r="AC92" s="4">
        <v>0.0</v>
      </c>
      <c r="AD92" s="4">
        <v>0.39211626547168205</v>
      </c>
      <c r="AG92" s="4">
        <v>597.0</v>
      </c>
      <c r="AI92" s="4">
        <v>400.0</v>
      </c>
      <c r="AJ92" s="4">
        <v>1.0</v>
      </c>
      <c r="AK92" s="4">
        <v>718.0</v>
      </c>
      <c r="AL92" s="4">
        <v>2.0</v>
      </c>
      <c r="AM92" s="1" t="s">
        <v>1525</v>
      </c>
      <c r="AN92" s="4">
        <v>2.0</v>
      </c>
      <c r="AO92" s="4">
        <v>110.0</v>
      </c>
      <c r="AP92" s="4">
        <v>19.0</v>
      </c>
      <c r="AQ92" s="4">
        <v>3.0</v>
      </c>
      <c r="AR92" s="4">
        <v>2.0</v>
      </c>
      <c r="AS92" s="4">
        <v>0.10526315789473684</v>
      </c>
      <c r="AT92" s="4">
        <v>2.0</v>
      </c>
      <c r="AU92" s="4">
        <v>0.8947368421052632</v>
      </c>
      <c r="AV92" s="4">
        <v>0.10526315789473684</v>
      </c>
    </row>
    <row r="93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4">
        <v>8.0</v>
      </c>
      <c r="N95" s="1" t="b">
        <v>1</v>
      </c>
      <c r="O95" s="4">
        <v>320.0</v>
      </c>
    </row>
    <row r="96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4">
        <v>4.0</v>
      </c>
      <c r="N96" s="1" t="b">
        <v>1</v>
      </c>
      <c r="O96" s="4">
        <v>160.0</v>
      </c>
    </row>
    <row r="97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4">
        <v>11.0</v>
      </c>
      <c r="N97" s="1" t="b">
        <v>1</v>
      </c>
      <c r="O97" s="4">
        <v>440.0</v>
      </c>
    </row>
    <row r="98">
      <c r="A98" s="2">
        <v>45519.0</v>
      </c>
      <c r="B98" s="1" t="s">
        <v>1478</v>
      </c>
      <c r="C98" s="1"/>
      <c r="D98" s="1"/>
      <c r="E98" s="1"/>
      <c r="G98" s="1"/>
      <c r="P98" s="4">
        <v>5.0</v>
      </c>
      <c r="Q98" s="1" t="s">
        <v>51</v>
      </c>
      <c r="R98" s="1" t="s">
        <v>1490</v>
      </c>
      <c r="S98" s="4">
        <v>6648.0</v>
      </c>
      <c r="T98" s="4">
        <v>7042.0</v>
      </c>
      <c r="U98" s="4">
        <v>8325.0</v>
      </c>
      <c r="V98" s="4">
        <v>10209.0</v>
      </c>
      <c r="W98" s="4">
        <v>250.0</v>
      </c>
      <c r="X98" s="4">
        <v>2491.0</v>
      </c>
      <c r="Y98" s="4">
        <v>5083.0</v>
      </c>
      <c r="AA98" s="4">
        <v>3670.0</v>
      </c>
      <c r="AB98" s="4">
        <v>42248.5</v>
      </c>
      <c r="AC98" s="4">
        <v>-36.5</v>
      </c>
      <c r="AD98" s="4">
        <v>0.2879202482088503</v>
      </c>
      <c r="AH98" s="4">
        <v>65.0</v>
      </c>
      <c r="AI98" s="4">
        <v>920.0</v>
      </c>
      <c r="AJ98" s="4">
        <v>0.0</v>
      </c>
      <c r="AK98" s="4">
        <v>0.0</v>
      </c>
      <c r="AL98" s="4">
        <v>3.0</v>
      </c>
      <c r="AM98" s="1" t="s">
        <v>1526</v>
      </c>
      <c r="AN98" s="4">
        <v>3.0</v>
      </c>
      <c r="AO98" s="4">
        <v>113.0</v>
      </c>
      <c r="AP98" s="4">
        <v>29.0</v>
      </c>
      <c r="AQ98" s="4">
        <v>3.0</v>
      </c>
      <c r="AR98" s="4">
        <v>1.0</v>
      </c>
      <c r="AS98" s="4">
        <v>0.10344827586206896</v>
      </c>
      <c r="AT98" s="4">
        <v>1.0</v>
      </c>
      <c r="AU98" s="4">
        <v>0.896551724137931</v>
      </c>
      <c r="AV98" s="4">
        <v>0.034482758620689655</v>
      </c>
    </row>
    <row r="99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4">
        <v>6.0</v>
      </c>
      <c r="N102" s="1" t="b">
        <v>1</v>
      </c>
      <c r="O102" s="4">
        <v>240.0</v>
      </c>
    </row>
    <row r="103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4">
        <v>10.0</v>
      </c>
      <c r="N104" s="1" t="b">
        <v>1</v>
      </c>
      <c r="O104" s="4">
        <v>400.0</v>
      </c>
    </row>
    <row r="105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4">
        <v>8.0</v>
      </c>
      <c r="N105" s="1" t="b">
        <v>1</v>
      </c>
      <c r="O105" s="4">
        <v>320.0</v>
      </c>
    </row>
    <row r="106">
      <c r="A106" s="2">
        <v>45520.0</v>
      </c>
      <c r="B106" s="1" t="s">
        <v>39</v>
      </c>
      <c r="C106" s="1"/>
      <c r="D106" s="1"/>
      <c r="E106" s="1"/>
      <c r="G106" s="1"/>
      <c r="P106" s="4">
        <v>4.0</v>
      </c>
      <c r="Q106" s="1" t="s">
        <v>51</v>
      </c>
      <c r="R106" s="1" t="s">
        <v>1479</v>
      </c>
      <c r="S106" s="4">
        <v>9383.0</v>
      </c>
      <c r="T106" s="4">
        <v>7604.0</v>
      </c>
      <c r="U106" s="4">
        <v>19797.0</v>
      </c>
      <c r="V106" s="4">
        <v>14012.0</v>
      </c>
      <c r="W106" s="4">
        <v>537.0</v>
      </c>
      <c r="X106" s="4">
        <v>3938.0</v>
      </c>
      <c r="Y106" s="4">
        <v>4545.0</v>
      </c>
      <c r="AA106" s="4">
        <v>5960.0</v>
      </c>
      <c r="AB106" s="4">
        <v>63334.0</v>
      </c>
      <c r="AC106" s="4">
        <v>-36.0</v>
      </c>
      <c r="AD106" s="4">
        <v>0.3012832116470081</v>
      </c>
      <c r="AE106" s="4">
        <v>500.0</v>
      </c>
      <c r="AI106" s="4">
        <v>960.0</v>
      </c>
      <c r="AJ106" s="4">
        <v>1.0</v>
      </c>
      <c r="AK106" s="4">
        <v>592.0</v>
      </c>
      <c r="AL106" s="4">
        <v>6.0</v>
      </c>
      <c r="AM106" s="1" t="s">
        <v>1529</v>
      </c>
      <c r="AN106" s="4">
        <v>3.0</v>
      </c>
      <c r="AO106" s="4">
        <v>162.0</v>
      </c>
      <c r="AP106" s="4">
        <v>28.0</v>
      </c>
      <c r="AQ106" s="4">
        <v>4.0</v>
      </c>
      <c r="AR106" s="4">
        <v>3.0</v>
      </c>
      <c r="AS106" s="4">
        <v>0.21428571428571427</v>
      </c>
      <c r="AT106" s="4">
        <v>3.0</v>
      </c>
      <c r="AU106" s="4">
        <v>0.7857142857142857</v>
      </c>
      <c r="AV106" s="4">
        <v>0.10714285714285714</v>
      </c>
    </row>
    <row r="107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4">
        <v>10.0</v>
      </c>
      <c r="N109" s="1" t="b">
        <v>1</v>
      </c>
      <c r="O109" s="4">
        <v>400.0</v>
      </c>
    </row>
    <row r="110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4">
        <v>7.0</v>
      </c>
      <c r="N110" s="1" t="b">
        <v>1</v>
      </c>
      <c r="O110" s="4">
        <v>280.0</v>
      </c>
    </row>
    <row r="11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4">
        <v>17.0</v>
      </c>
      <c r="N112" s="1" t="b">
        <v>1</v>
      </c>
      <c r="O112" s="4">
        <v>680.0</v>
      </c>
    </row>
    <row r="113">
      <c r="A113" s="2">
        <v>45521.0</v>
      </c>
      <c r="B113" s="1" t="s">
        <v>1500</v>
      </c>
      <c r="C113" s="1"/>
      <c r="D113" s="1"/>
      <c r="E113" s="1"/>
      <c r="G113" s="1"/>
      <c r="P113" s="4">
        <v>2.0</v>
      </c>
      <c r="Q113" s="1" t="s">
        <v>51</v>
      </c>
      <c r="R113" s="1" t="s">
        <v>51</v>
      </c>
      <c r="S113" s="4">
        <v>6781.0</v>
      </c>
      <c r="T113" s="4">
        <v>7204.0</v>
      </c>
      <c r="U113" s="4">
        <v>16349.0</v>
      </c>
      <c r="V113" s="4">
        <v>11762.0</v>
      </c>
      <c r="W113" s="4">
        <v>318.0</v>
      </c>
      <c r="X113" s="4">
        <v>1691.0</v>
      </c>
      <c r="Y113" s="4">
        <v>5302.0</v>
      </c>
      <c r="AA113" s="4">
        <v>6054.0</v>
      </c>
      <c r="AB113" s="4">
        <v>55170.0</v>
      </c>
      <c r="AC113" s="4">
        <v>-40.0</v>
      </c>
      <c r="AD113" s="4">
        <v>0.26971572460488696</v>
      </c>
      <c r="AI113" s="4">
        <v>1360.0</v>
      </c>
      <c r="AJ113" s="4">
        <v>0.0</v>
      </c>
      <c r="AK113" s="4">
        <v>0.0</v>
      </c>
      <c r="AL113" s="4">
        <v>2.0</v>
      </c>
      <c r="AM113" s="1" t="s">
        <v>1532</v>
      </c>
      <c r="AN113" s="4">
        <v>3.0</v>
      </c>
      <c r="AO113" s="4">
        <v>145.0</v>
      </c>
      <c r="AP113" s="4">
        <v>36.0</v>
      </c>
      <c r="AQ113" s="4">
        <v>1.0</v>
      </c>
      <c r="AR113" s="4">
        <v>1.0</v>
      </c>
      <c r="AS113" s="4">
        <v>0.05555555555555555</v>
      </c>
      <c r="AT113" s="4">
        <v>1.0</v>
      </c>
      <c r="AU113" s="4">
        <v>0.9444444444444444</v>
      </c>
      <c r="AV113" s="4">
        <v>0.027777777777777776</v>
      </c>
    </row>
    <row r="114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4">
        <v>11.0</v>
      </c>
      <c r="N116" s="1" t="b">
        <v>1</v>
      </c>
      <c r="O116" s="4">
        <v>440.0</v>
      </c>
    </row>
    <row r="117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4">
        <v>1.0</v>
      </c>
    </row>
    <row r="118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4">
        <v>8.0</v>
      </c>
      <c r="N118" s="1" t="b">
        <v>1</v>
      </c>
      <c r="O118" s="4">
        <v>320.0</v>
      </c>
    </row>
    <row r="119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4">
        <v>10.0</v>
      </c>
      <c r="N120" s="1" t="b">
        <v>1</v>
      </c>
      <c r="O120" s="4">
        <v>400.0</v>
      </c>
    </row>
    <row r="121">
      <c r="A121" s="2">
        <v>45522.0</v>
      </c>
      <c r="B121" s="1" t="s">
        <v>67</v>
      </c>
      <c r="C121" s="1"/>
      <c r="D121" s="1"/>
      <c r="E121" s="1"/>
      <c r="G121" s="1"/>
      <c r="P121" s="4">
        <v>12.0</v>
      </c>
      <c r="Q121" s="1" t="s">
        <v>51</v>
      </c>
      <c r="R121" s="1" t="s">
        <v>51</v>
      </c>
      <c r="S121" s="4">
        <v>19330.0</v>
      </c>
      <c r="T121" s="4">
        <v>2979.0</v>
      </c>
      <c r="U121" s="4">
        <v>14875.0</v>
      </c>
      <c r="V121" s="4">
        <v>14345.0</v>
      </c>
      <c r="W121" s="4">
        <v>1267.0</v>
      </c>
      <c r="X121" s="4">
        <v>4662.0</v>
      </c>
      <c r="Y121" s="4">
        <v>5217.0</v>
      </c>
      <c r="AA121" s="4">
        <v>8600.0</v>
      </c>
      <c r="AB121" s="4">
        <v>67962.0</v>
      </c>
      <c r="AC121" s="4">
        <v>1.0</v>
      </c>
      <c r="AD121" s="4">
        <v>0.24756689512450505</v>
      </c>
      <c r="AG121" s="4">
        <v>100.0</v>
      </c>
      <c r="AH121" s="4">
        <v>90.0</v>
      </c>
      <c r="AI121" s="4">
        <v>1160.0</v>
      </c>
      <c r="AJ121" s="4">
        <v>1.0</v>
      </c>
      <c r="AK121" s="4">
        <v>1605.0</v>
      </c>
      <c r="AL121" s="4">
        <v>23.0</v>
      </c>
      <c r="AM121" s="1" t="s">
        <v>1534</v>
      </c>
      <c r="AN121" s="4">
        <v>3.0</v>
      </c>
      <c r="AO121" s="4">
        <v>159.0</v>
      </c>
      <c r="AP121" s="4">
        <v>42.0</v>
      </c>
      <c r="AQ121" s="4">
        <v>10.0</v>
      </c>
      <c r="AR121" s="4">
        <v>6.0</v>
      </c>
      <c r="AS121" s="4">
        <v>0.5476190476190477</v>
      </c>
      <c r="AT121" s="4">
        <v>7.0</v>
      </c>
      <c r="AU121" s="4">
        <v>0.45238095238095233</v>
      </c>
      <c r="AV121" s="4">
        <v>0.16666666666666666</v>
      </c>
    </row>
    <row r="122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4">
        <v>7.0</v>
      </c>
      <c r="N125" s="1"/>
    </row>
    <row r="126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4">
        <v>15.0</v>
      </c>
      <c r="N128" s="1" t="b">
        <v>1</v>
      </c>
      <c r="O128" s="4">
        <v>600.0</v>
      </c>
    </row>
    <row r="129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4">
        <v>5.0</v>
      </c>
      <c r="Q129" s="1" t="s">
        <v>51</v>
      </c>
      <c r="R129" s="1" t="s">
        <v>51</v>
      </c>
      <c r="S129" s="4">
        <v>4820.0</v>
      </c>
      <c r="T129" s="4">
        <v>7382.0</v>
      </c>
      <c r="U129" s="4">
        <v>9284.0</v>
      </c>
      <c r="V129" s="4">
        <v>8871.0</v>
      </c>
      <c r="W129" s="4">
        <v>653.0</v>
      </c>
      <c r="X129" s="4">
        <v>2850.0</v>
      </c>
      <c r="Y129" s="4">
        <v>4080.0</v>
      </c>
      <c r="Z129" s="4">
        <v>290.0</v>
      </c>
      <c r="AA129" s="4">
        <v>979.0</v>
      </c>
      <c r="AB129" s="4">
        <v>43052.0</v>
      </c>
      <c r="AC129" s="4">
        <v>4.0</v>
      </c>
      <c r="AD129" s="4">
        <v>0.274225585023962</v>
      </c>
      <c r="AE129" s="4">
        <v>500.0</v>
      </c>
      <c r="AG129" s="4">
        <v>5597.0</v>
      </c>
      <c r="AI129" s="4">
        <v>600.0</v>
      </c>
      <c r="AJ129" s="4">
        <v>5.0</v>
      </c>
      <c r="AK129" s="4">
        <v>1437.0</v>
      </c>
      <c r="AL129" s="4">
        <v>8.0</v>
      </c>
      <c r="AM129" s="1" t="s">
        <v>1535</v>
      </c>
      <c r="AN129" s="4">
        <v>1.0</v>
      </c>
      <c r="AO129" s="4">
        <v>119.0</v>
      </c>
      <c r="AP129" s="4">
        <v>27.0</v>
      </c>
      <c r="AQ129" s="4">
        <v>5.0</v>
      </c>
      <c r="AR129" s="4">
        <v>3.0</v>
      </c>
      <c r="AS129" s="4">
        <v>0.2962962962962963</v>
      </c>
      <c r="AT129" s="4">
        <v>3.0</v>
      </c>
      <c r="AU129" s="4">
        <v>0.7037037037037037</v>
      </c>
      <c r="AV129" s="4">
        <v>0.1111111111111111</v>
      </c>
    </row>
    <row r="130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4">
        <v>9.0</v>
      </c>
      <c r="N132" s="1"/>
    </row>
    <row r="133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4">
        <v>13.0</v>
      </c>
      <c r="N134" s="1" t="b">
        <v>1</v>
      </c>
      <c r="O134" s="4">
        <v>520.0</v>
      </c>
    </row>
    <row r="135">
      <c r="A135" s="2">
        <v>45524.0</v>
      </c>
      <c r="B135" s="1" t="s">
        <v>61</v>
      </c>
      <c r="H135" s="1"/>
      <c r="I135" s="1"/>
      <c r="J135" s="1"/>
      <c r="L135" s="1"/>
      <c r="N135" s="1"/>
      <c r="P135" s="4">
        <v>7.0</v>
      </c>
      <c r="Q135" s="1" t="s">
        <v>438</v>
      </c>
      <c r="R135" s="1" t="s">
        <v>1479</v>
      </c>
      <c r="S135" s="4">
        <v>8461.0</v>
      </c>
      <c r="T135" s="4">
        <v>3807.0</v>
      </c>
      <c r="U135" s="4">
        <v>8309.0</v>
      </c>
      <c r="V135" s="4">
        <v>10131.0</v>
      </c>
      <c r="W135" s="4">
        <v>1300.0</v>
      </c>
      <c r="X135" s="4">
        <v>2815.0</v>
      </c>
      <c r="Y135" s="4">
        <v>3723.0</v>
      </c>
      <c r="AA135" s="4">
        <v>1160.0</v>
      </c>
      <c r="AB135" s="4">
        <v>42831.0</v>
      </c>
      <c r="AC135" s="4">
        <v>0.0</v>
      </c>
      <c r="AD135" s="4">
        <v>0.38519359264204933</v>
      </c>
      <c r="AE135" s="4">
        <v>2000.0</v>
      </c>
      <c r="AH135" s="4">
        <v>3420.0</v>
      </c>
      <c r="AI135" s="4">
        <v>520.0</v>
      </c>
      <c r="AJ135" s="4">
        <v>0.0</v>
      </c>
      <c r="AK135" s="4">
        <v>0.0</v>
      </c>
      <c r="AL135" s="4">
        <v>7.0</v>
      </c>
      <c r="AM135" s="1" t="s">
        <v>1536</v>
      </c>
      <c r="AN135" s="4">
        <v>1.0</v>
      </c>
      <c r="AO135" s="4">
        <v>107.0</v>
      </c>
      <c r="AP135" s="4">
        <v>29.0</v>
      </c>
      <c r="AQ135" s="4">
        <v>5.0</v>
      </c>
      <c r="AR135" s="4">
        <v>5.0</v>
      </c>
      <c r="AS135" s="4">
        <v>0.2413793103448276</v>
      </c>
      <c r="AT135" s="4">
        <v>5.0</v>
      </c>
      <c r="AU135" s="4">
        <v>0.7586206896551724</v>
      </c>
      <c r="AV135" s="4">
        <v>0.1724137931034483</v>
      </c>
    </row>
    <row r="136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4">
        <v>7.0</v>
      </c>
      <c r="N138" s="1" t="b">
        <v>1</v>
      </c>
      <c r="O138" s="4">
        <v>280.0</v>
      </c>
    </row>
    <row r="139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4">
        <v>6.0</v>
      </c>
    </row>
    <row r="140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4">
        <v>5.0</v>
      </c>
      <c r="N141" s="1" t="b">
        <v>1</v>
      </c>
      <c r="O141" s="4">
        <v>200.0</v>
      </c>
    </row>
    <row r="142">
      <c r="A142" s="2">
        <v>45525.0</v>
      </c>
      <c r="B142" s="1" t="s">
        <v>73</v>
      </c>
      <c r="C142" s="1"/>
      <c r="D142" s="1"/>
      <c r="E142" s="1"/>
      <c r="G142" s="1"/>
      <c r="P142" s="4">
        <v>8.0</v>
      </c>
      <c r="Q142" s="1" t="s">
        <v>438</v>
      </c>
      <c r="R142" s="1" t="s">
        <v>1479</v>
      </c>
      <c r="S142" s="4">
        <v>8244.0</v>
      </c>
      <c r="T142" s="4">
        <v>4997.0</v>
      </c>
      <c r="U142" s="4">
        <v>9936.0</v>
      </c>
      <c r="V142" s="4">
        <v>10468.0</v>
      </c>
      <c r="W142" s="4">
        <v>2150.0</v>
      </c>
      <c r="X142" s="4">
        <v>745.0</v>
      </c>
      <c r="Y142" s="4">
        <v>4351.0</v>
      </c>
      <c r="Z142" s="4">
        <v>300.0</v>
      </c>
      <c r="AA142" s="4">
        <v>2567.0</v>
      </c>
      <c r="AB142" s="4">
        <v>44117.5</v>
      </c>
      <c r="AC142" s="4">
        <v>5.5</v>
      </c>
      <c r="AD142" s="4">
        <v>0.3506154221443104</v>
      </c>
      <c r="AE142" s="4">
        <v>500.0</v>
      </c>
      <c r="AG142" s="4">
        <v>130.0</v>
      </c>
      <c r="AI142" s="4">
        <v>480.0</v>
      </c>
      <c r="AJ142" s="4">
        <v>0.0</v>
      </c>
      <c r="AK142" s="4">
        <v>0.0</v>
      </c>
      <c r="AL142" s="4">
        <v>7.0</v>
      </c>
      <c r="AM142" s="1" t="s">
        <v>1537</v>
      </c>
      <c r="AN142" s="4">
        <v>2.0</v>
      </c>
      <c r="AO142" s="4">
        <v>114.0</v>
      </c>
      <c r="AP142" s="4">
        <v>26.0</v>
      </c>
      <c r="AQ142" s="4">
        <v>7.0</v>
      </c>
      <c r="AR142" s="4">
        <v>4.0</v>
      </c>
      <c r="AS142" s="4">
        <v>0.2692307692307692</v>
      </c>
      <c r="AT142" s="4">
        <v>4.0</v>
      </c>
      <c r="AU142" s="4">
        <v>0.7307692307692308</v>
      </c>
      <c r="AV142" s="4">
        <v>0.15384615384615385</v>
      </c>
    </row>
    <row r="143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4">
        <v>11.0</v>
      </c>
    </row>
    <row r="147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4">
        <v>8.0</v>
      </c>
      <c r="N147" s="1" t="b">
        <v>1</v>
      </c>
      <c r="O147" s="4">
        <v>320.0</v>
      </c>
    </row>
    <row r="148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4">
        <v>8.0</v>
      </c>
      <c r="N148" s="1" t="b">
        <v>1</v>
      </c>
      <c r="O148" s="4">
        <v>320.0</v>
      </c>
    </row>
    <row r="149">
      <c r="A149" s="2">
        <v>45526.0</v>
      </c>
      <c r="B149" s="1" t="s">
        <v>1478</v>
      </c>
      <c r="C149" s="1"/>
      <c r="D149" s="1"/>
      <c r="E149" s="1"/>
      <c r="G149" s="1"/>
      <c r="P149" s="4">
        <v>0.0</v>
      </c>
      <c r="Q149" s="1" t="s">
        <v>1508</v>
      </c>
      <c r="R149" s="1" t="s">
        <v>1490</v>
      </c>
      <c r="S149" s="4">
        <v>7131.0</v>
      </c>
      <c r="T149" s="4">
        <v>4222.0</v>
      </c>
      <c r="U149" s="4">
        <v>10942.0</v>
      </c>
      <c r="V149" s="4">
        <v>10302.0</v>
      </c>
      <c r="W149" s="4">
        <v>0.0</v>
      </c>
      <c r="X149" s="4">
        <v>2669.0</v>
      </c>
      <c r="Y149" s="4">
        <v>2809.0</v>
      </c>
      <c r="Z149" s="4">
        <v>200.0</v>
      </c>
      <c r="AA149" s="4">
        <v>706.0</v>
      </c>
      <c r="AB149" s="4">
        <v>42449.0</v>
      </c>
      <c r="AC149" s="4">
        <v>0.0</v>
      </c>
      <c r="AD149" s="4">
        <v>0.35846806206157067</v>
      </c>
      <c r="AG149" s="4">
        <v>497.0</v>
      </c>
      <c r="AH149" s="4">
        <v>5000.0</v>
      </c>
      <c r="AI149" s="4">
        <v>640.0</v>
      </c>
      <c r="AJ149" s="4">
        <v>0.0</v>
      </c>
      <c r="AK149" s="4">
        <v>0.0</v>
      </c>
      <c r="AL149" s="4">
        <v>5.0</v>
      </c>
      <c r="AM149" s="1" t="s">
        <v>1538</v>
      </c>
      <c r="AN149" s="4">
        <v>2.0</v>
      </c>
      <c r="AO149" s="4">
        <v>104.0</v>
      </c>
      <c r="AP149" s="4">
        <v>27.0</v>
      </c>
      <c r="AQ149" s="4">
        <v>0.0</v>
      </c>
      <c r="AR149" s="4">
        <v>0.0</v>
      </c>
      <c r="AS149" s="4">
        <v>0.18518518518518517</v>
      </c>
      <c r="AT149" s="4">
        <v>0.0</v>
      </c>
      <c r="AU149" s="4">
        <v>0.8148148148148149</v>
      </c>
      <c r="AV149" s="4">
        <v>0.0</v>
      </c>
    </row>
    <row r="150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4">
        <v>11.0</v>
      </c>
      <c r="N153" s="1" t="b">
        <v>1</v>
      </c>
      <c r="O153" s="4">
        <v>440.0</v>
      </c>
    </row>
    <row r="154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4">
        <v>2.0</v>
      </c>
    </row>
    <row r="155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4">
        <v>15.0</v>
      </c>
      <c r="N155" s="1" t="b">
        <v>1</v>
      </c>
      <c r="O155" s="4">
        <v>600.0</v>
      </c>
    </row>
    <row r="156">
      <c r="A156" s="2">
        <v>45527.0</v>
      </c>
      <c r="B156" s="1" t="s">
        <v>39</v>
      </c>
      <c r="P156" s="4">
        <v>3.0</v>
      </c>
      <c r="Q156" s="1" t="s">
        <v>1490</v>
      </c>
      <c r="R156" s="1" t="s">
        <v>51</v>
      </c>
      <c r="S156" s="4">
        <v>9582.0</v>
      </c>
      <c r="T156" s="4">
        <v>5889.0</v>
      </c>
      <c r="U156" s="4">
        <v>13362.0</v>
      </c>
      <c r="V156" s="4">
        <v>11021.0</v>
      </c>
      <c r="W156" s="4">
        <v>518.0</v>
      </c>
      <c r="X156" s="4">
        <v>1868.0</v>
      </c>
      <c r="Y156" s="4">
        <v>4638.0</v>
      </c>
      <c r="AA156" s="4">
        <v>4253.0</v>
      </c>
      <c r="AB156" s="4">
        <v>51282.5</v>
      </c>
      <c r="AC156" s="4">
        <v>-39.5</v>
      </c>
      <c r="AD156" s="4">
        <v>0.29197884281093184</v>
      </c>
      <c r="AE156" s="4">
        <v>500.0</v>
      </c>
      <c r="AH156" s="4">
        <v>440.0</v>
      </c>
      <c r="AI156" s="4">
        <v>1040.0</v>
      </c>
      <c r="AJ156" s="4">
        <v>1.0</v>
      </c>
      <c r="AK156" s="4">
        <v>249.0</v>
      </c>
      <c r="AL156" s="4">
        <v>4.0</v>
      </c>
      <c r="AM156" s="1" t="s">
        <v>1539</v>
      </c>
      <c r="AN156" s="4">
        <v>2.0</v>
      </c>
      <c r="AO156" s="4">
        <v>142.0</v>
      </c>
      <c r="AP156" s="4">
        <v>29.0</v>
      </c>
      <c r="AQ156" s="4">
        <v>2.0</v>
      </c>
      <c r="AR156" s="4">
        <v>1.0</v>
      </c>
      <c r="AS156" s="4">
        <v>0.13793103448275862</v>
      </c>
      <c r="AT156" s="4">
        <v>1.0</v>
      </c>
      <c r="AU156" s="4">
        <v>0.8620689655172413</v>
      </c>
      <c r="AV156" s="4">
        <v>0.034482758620689655</v>
      </c>
    </row>
    <row r="157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4">
        <v>8.0</v>
      </c>
      <c r="N160" s="1" t="b">
        <v>1</v>
      </c>
      <c r="O160" s="4">
        <v>320.0</v>
      </c>
    </row>
    <row r="16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4">
        <v>13.0</v>
      </c>
      <c r="N161" s="1" t="b">
        <v>1</v>
      </c>
      <c r="O161" s="4">
        <v>520.0</v>
      </c>
    </row>
    <row r="162">
      <c r="A162" s="2">
        <v>45528.0</v>
      </c>
      <c r="B162" s="1" t="s">
        <v>1500</v>
      </c>
      <c r="P162" s="4">
        <v>6.0</v>
      </c>
      <c r="Q162" s="1" t="s">
        <v>1490</v>
      </c>
      <c r="R162" s="1" t="s">
        <v>51</v>
      </c>
      <c r="S162" s="4">
        <v>7332.0</v>
      </c>
      <c r="T162" s="4">
        <v>7817.0</v>
      </c>
      <c r="U162" s="4">
        <v>15916.0</v>
      </c>
      <c r="V162" s="4">
        <v>14980.0</v>
      </c>
      <c r="W162" s="4">
        <v>507.0</v>
      </c>
      <c r="X162" s="4">
        <v>2009.0</v>
      </c>
      <c r="Y162" s="4">
        <v>2795.0</v>
      </c>
      <c r="AA162" s="4">
        <v>490.0</v>
      </c>
      <c r="AB162" s="4">
        <v>55753.5</v>
      </c>
      <c r="AC162" s="4">
        <v>-76.5</v>
      </c>
      <c r="AD162" s="4">
        <v>0.2643635037522597</v>
      </c>
      <c r="AH162" s="4">
        <v>5000.0</v>
      </c>
      <c r="AI162" s="4">
        <v>840.0</v>
      </c>
      <c r="AJ162" s="4">
        <v>2.0</v>
      </c>
      <c r="AK162" s="4">
        <v>477.0</v>
      </c>
      <c r="AL162" s="4">
        <v>11.0</v>
      </c>
      <c r="AM162" s="1" t="s">
        <v>1540</v>
      </c>
      <c r="AN162" s="4">
        <v>2.0</v>
      </c>
      <c r="AO162" s="4">
        <v>131.0</v>
      </c>
      <c r="AP162" s="4">
        <v>28.0</v>
      </c>
      <c r="AQ162" s="4">
        <v>6.0</v>
      </c>
      <c r="AR162" s="4">
        <v>6.0</v>
      </c>
      <c r="AS162" s="4">
        <v>0.39285714285714285</v>
      </c>
      <c r="AT162" s="4">
        <v>6.0</v>
      </c>
      <c r="AU162" s="4">
        <v>0.6071428571428572</v>
      </c>
      <c r="AV162" s="4">
        <v>0.21428571428571427</v>
      </c>
    </row>
    <row r="163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4">
        <v>12.0</v>
      </c>
      <c r="N165" s="1" t="b">
        <v>1</v>
      </c>
      <c r="O165" s="4">
        <v>480.0</v>
      </c>
    </row>
    <row r="166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4">
        <v>20.0</v>
      </c>
      <c r="N167" s="1" t="b">
        <v>1</v>
      </c>
      <c r="O167" s="4">
        <v>800.0</v>
      </c>
    </row>
    <row r="168">
      <c r="A168" s="2">
        <v>45529.0</v>
      </c>
      <c r="B168" s="1" t="s">
        <v>67</v>
      </c>
      <c r="P168" s="4">
        <v>6.0</v>
      </c>
      <c r="Q168" s="1" t="s">
        <v>1490</v>
      </c>
      <c r="R168" s="1" t="s">
        <v>51</v>
      </c>
      <c r="S168" s="4">
        <v>6349.0</v>
      </c>
      <c r="T168" s="4">
        <v>7379.0</v>
      </c>
      <c r="U168" s="4">
        <v>8517.0</v>
      </c>
      <c r="V168" s="4">
        <v>14144.0</v>
      </c>
      <c r="W168" s="4">
        <v>1034.0</v>
      </c>
      <c r="X168" s="4">
        <v>1984.0</v>
      </c>
      <c r="Y168" s="4">
        <v>3382.0</v>
      </c>
      <c r="AA168" s="4">
        <v>1481.0</v>
      </c>
      <c r="AB168" s="4">
        <v>49162.5</v>
      </c>
      <c r="AC168" s="4">
        <v>0.5</v>
      </c>
      <c r="AD168" s="4">
        <v>0.2759609288879047</v>
      </c>
      <c r="AE168" s="4">
        <v>5597.0</v>
      </c>
      <c r="AI168" s="4">
        <v>1280.0</v>
      </c>
      <c r="AJ168" s="4">
        <v>1.0</v>
      </c>
      <c r="AK168" s="4">
        <v>299.0</v>
      </c>
      <c r="AL168" s="4">
        <v>9.0</v>
      </c>
      <c r="AM168" s="1" t="s">
        <v>1541</v>
      </c>
      <c r="AN168" s="4">
        <v>2.0</v>
      </c>
      <c r="AO168" s="4">
        <v>124.0</v>
      </c>
      <c r="AP168" s="4">
        <v>38.0</v>
      </c>
      <c r="AQ168" s="4">
        <v>5.0</v>
      </c>
      <c r="AR168" s="4">
        <v>3.0</v>
      </c>
      <c r="AS168" s="4">
        <v>0.23684210526315788</v>
      </c>
      <c r="AT168" s="4">
        <v>3.0</v>
      </c>
      <c r="AU168" s="4">
        <v>0.7631578947368421</v>
      </c>
      <c r="AV168" s="4">
        <v>0.07894736842105263</v>
      </c>
    </row>
    <row r="169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e">
        <v>#VALUE!</v>
      </c>
    </row>
    <row r="170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4">
        <v>7.0</v>
      </c>
      <c r="N171" s="1" t="b">
        <v>1</v>
      </c>
      <c r="O171" s="4">
        <v>280.0</v>
      </c>
    </row>
    <row r="172">
      <c r="A172" s="2">
        <v>45530.0</v>
      </c>
      <c r="B172" s="1" t="s">
        <v>69</v>
      </c>
      <c r="H172" s="1" t="s">
        <v>1486</v>
      </c>
      <c r="I172" s="3" t="s">
        <v>1542</v>
      </c>
      <c r="J172" s="3" t="s">
        <v>1487</v>
      </c>
      <c r="L172" s="3" t="s">
        <v>1498</v>
      </c>
      <c r="M172" s="4">
        <v>2.0</v>
      </c>
      <c r="N172" s="1" t="b">
        <v>1</v>
      </c>
      <c r="O172" s="4">
        <v>80.0</v>
      </c>
    </row>
    <row r="173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4">
        <v>6.0</v>
      </c>
      <c r="N173" s="1" t="b">
        <v>1</v>
      </c>
      <c r="O173" s="4">
        <v>240.0</v>
      </c>
    </row>
    <row r="174">
      <c r="A174" s="2">
        <v>45530.0</v>
      </c>
      <c r="B174" s="1" t="s">
        <v>69</v>
      </c>
      <c r="P174" s="4">
        <v>2.0</v>
      </c>
      <c r="Q174" s="1" t="s">
        <v>1490</v>
      </c>
      <c r="R174" s="1" t="s">
        <v>51</v>
      </c>
      <c r="S174" s="4">
        <v>5824.0</v>
      </c>
      <c r="T174" s="4">
        <v>3338.0</v>
      </c>
      <c r="U174" s="4">
        <v>10269.0</v>
      </c>
      <c r="V174" s="4">
        <v>7603.0</v>
      </c>
      <c r="W174" s="4">
        <v>0.0</v>
      </c>
      <c r="X174" s="4">
        <v>1384.0</v>
      </c>
      <c r="Y174" s="4">
        <v>2199.0</v>
      </c>
      <c r="AA174" s="4">
        <v>2145.0</v>
      </c>
      <c r="AB174" s="4">
        <v>34258.0</v>
      </c>
      <c r="AC174" s="4">
        <v>-280.0</v>
      </c>
      <c r="AD174" s="4">
        <v>0.38893108664988074</v>
      </c>
      <c r="AE174" s="4">
        <v>2000.0</v>
      </c>
      <c r="AI174" s="4">
        <v>600.0</v>
      </c>
      <c r="AJ174" s="4">
        <v>0.0</v>
      </c>
      <c r="AK174" s="4">
        <v>0.0</v>
      </c>
      <c r="AL174" s="4">
        <v>7.0</v>
      </c>
      <c r="AM174" s="1" t="s">
        <v>1543</v>
      </c>
      <c r="AN174" s="4">
        <v>3.0</v>
      </c>
      <c r="AO174" s="4">
        <v>94.0</v>
      </c>
      <c r="AP174" s="4">
        <v>22.0</v>
      </c>
      <c r="AQ174" s="4">
        <v>1.0</v>
      </c>
      <c r="AR174" s="4">
        <v>1.0</v>
      </c>
      <c r="AS174" s="4">
        <v>0.3181818181818182</v>
      </c>
      <c r="AT174" s="4">
        <v>2.0</v>
      </c>
      <c r="AU174" s="4">
        <v>0.6818181818181819</v>
      </c>
      <c r="AV174" s="4">
        <v>0.09090909090909091</v>
      </c>
    </row>
    <row r="175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4">
        <v>9.0</v>
      </c>
      <c r="N176" s="1" t="b">
        <v>1</v>
      </c>
      <c r="O176" s="4">
        <v>360.0</v>
      </c>
    </row>
    <row r="177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4">
        <v>6.0</v>
      </c>
      <c r="N178" s="1" t="b">
        <v>1</v>
      </c>
      <c r="O178" s="4">
        <v>240.0</v>
      </c>
    </row>
    <row r="179">
      <c r="A179" s="2">
        <v>45531.0</v>
      </c>
      <c r="B179" s="1" t="s">
        <v>61</v>
      </c>
      <c r="P179" s="4">
        <v>5.0</v>
      </c>
      <c r="Q179" s="1" t="s">
        <v>1490</v>
      </c>
      <c r="R179" s="1" t="s">
        <v>51</v>
      </c>
      <c r="S179" s="4">
        <v>6635.0</v>
      </c>
      <c r="T179" s="4">
        <v>2740.0</v>
      </c>
      <c r="U179" s="4">
        <v>11466.0</v>
      </c>
      <c r="V179" s="4">
        <v>9001.0</v>
      </c>
      <c r="W179" s="4">
        <v>398.0</v>
      </c>
      <c r="X179" s="4">
        <v>2021.0</v>
      </c>
      <c r="Y179" s="4">
        <v>3460.0</v>
      </c>
      <c r="AA179" s="4">
        <v>5025.0</v>
      </c>
      <c r="AB179" s="4">
        <v>39324.0</v>
      </c>
      <c r="AC179" s="4">
        <v>1.0</v>
      </c>
      <c r="AD179" s="4">
        <v>0.2734275222879568</v>
      </c>
      <c r="AI179" s="4">
        <v>600.0</v>
      </c>
      <c r="AJ179" s="4">
        <v>0.0</v>
      </c>
      <c r="AK179" s="4">
        <v>0.0</v>
      </c>
      <c r="AL179" s="4">
        <v>5.0</v>
      </c>
      <c r="AM179" s="1" t="s">
        <v>1544</v>
      </c>
      <c r="AN179" s="4">
        <v>2.0</v>
      </c>
      <c r="AO179" s="4">
        <v>102.0</v>
      </c>
      <c r="AP179" s="4">
        <v>20.0</v>
      </c>
      <c r="AQ179" s="4">
        <v>5.0</v>
      </c>
      <c r="AR179" s="4">
        <v>3.0</v>
      </c>
      <c r="AS179" s="4">
        <v>0.25</v>
      </c>
      <c r="AT179" s="4">
        <v>3.0</v>
      </c>
      <c r="AU179" s="4">
        <v>0.75</v>
      </c>
      <c r="AV179" s="4">
        <v>0.15</v>
      </c>
    </row>
    <row r="180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4">
        <v>6.0</v>
      </c>
      <c r="N181" s="1" t="b">
        <v>1</v>
      </c>
      <c r="O181" s="4">
        <v>240.0</v>
      </c>
    </row>
    <row r="182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4">
        <v>8.0</v>
      </c>
      <c r="N183" s="1" t="b">
        <v>1</v>
      </c>
      <c r="O183" s="4">
        <v>320.0</v>
      </c>
    </row>
    <row r="184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4">
        <v>7.0</v>
      </c>
      <c r="N184" s="1" t="b">
        <v>1</v>
      </c>
      <c r="O184" s="4">
        <v>280.0</v>
      </c>
    </row>
    <row r="185">
      <c r="A185" s="2">
        <v>45532.0</v>
      </c>
      <c r="B185" s="1" t="s">
        <v>73</v>
      </c>
      <c r="P185" s="4">
        <v>3.0</v>
      </c>
      <c r="Q185" s="1" t="s">
        <v>1490</v>
      </c>
      <c r="R185" s="1" t="s">
        <v>51</v>
      </c>
      <c r="S185" s="4">
        <v>5618.0</v>
      </c>
      <c r="T185" s="4">
        <v>3298.0</v>
      </c>
      <c r="U185" s="4">
        <v>10741.0</v>
      </c>
      <c r="V185" s="4">
        <v>9354.0</v>
      </c>
      <c r="W185" s="4">
        <v>0.0</v>
      </c>
      <c r="X185" s="4">
        <v>963.0</v>
      </c>
      <c r="Y185" s="4">
        <v>1615.0</v>
      </c>
      <c r="AA185" s="4">
        <v>2099.0</v>
      </c>
      <c r="AB185" s="4">
        <v>39161.5</v>
      </c>
      <c r="AC185" s="4">
        <v>0.5</v>
      </c>
      <c r="AD185" s="4">
        <v>0.29132142248002785</v>
      </c>
      <c r="AG185" s="4">
        <v>5597.0</v>
      </c>
      <c r="AI185" s="4">
        <v>840.0</v>
      </c>
      <c r="AJ185" s="4">
        <v>0.0</v>
      </c>
      <c r="AK185" s="4">
        <v>0.0</v>
      </c>
      <c r="AL185" s="4">
        <v>6.0</v>
      </c>
      <c r="AM185" s="1" t="s">
        <v>1545</v>
      </c>
      <c r="AN185" s="4">
        <v>3.0</v>
      </c>
      <c r="AO185" s="4">
        <v>94.0</v>
      </c>
      <c r="AP185" s="4">
        <v>24.0</v>
      </c>
      <c r="AQ185" s="4">
        <v>4.0</v>
      </c>
      <c r="AR185" s="4">
        <v>3.0</v>
      </c>
      <c r="AS185" s="4">
        <v>0.25</v>
      </c>
      <c r="AT185" s="4">
        <v>3.0</v>
      </c>
      <c r="AU185" s="4">
        <v>0.75</v>
      </c>
      <c r="AV185" s="4">
        <v>0.125</v>
      </c>
    </row>
    <row r="186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>
      <c r="A187" s="2">
        <v>45533.0</v>
      </c>
      <c r="B187" s="1" t="s">
        <v>1478</v>
      </c>
      <c r="C187" s="1" t="s">
        <v>1479</v>
      </c>
      <c r="D187" s="3" t="s">
        <v>1546</v>
      </c>
      <c r="E187" s="3" t="s">
        <v>1533</v>
      </c>
      <c r="G187" s="3" t="s">
        <v>43</v>
      </c>
    </row>
    <row r="188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4">
        <v>11.0</v>
      </c>
      <c r="N189" s="1" t="b">
        <v>1</v>
      </c>
      <c r="O189" s="4">
        <v>440.0</v>
      </c>
    </row>
    <row r="190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4">
        <v>5.0</v>
      </c>
    </row>
    <row r="19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4">
        <v>10.0</v>
      </c>
      <c r="N191" s="1" t="b">
        <v>1</v>
      </c>
      <c r="O191" s="4">
        <v>400.0</v>
      </c>
    </row>
    <row r="192">
      <c r="A192" s="2">
        <v>45533.0</v>
      </c>
      <c r="B192" s="1" t="s">
        <v>1478</v>
      </c>
      <c r="P192" s="4">
        <v>4.0</v>
      </c>
      <c r="Q192" s="1" t="s">
        <v>1479</v>
      </c>
      <c r="R192" s="1" t="s">
        <v>51</v>
      </c>
      <c r="S192" s="4">
        <v>5746.0</v>
      </c>
      <c r="T192" s="4">
        <v>6961.0</v>
      </c>
      <c r="U192" s="4">
        <v>10051.0</v>
      </c>
      <c r="V192" s="4">
        <v>9620.0</v>
      </c>
      <c r="W192" s="4">
        <v>299.0</v>
      </c>
      <c r="X192" s="4">
        <v>5046.0</v>
      </c>
      <c r="Y192" s="4">
        <v>2586.0</v>
      </c>
      <c r="AA192" s="4">
        <v>7551.0</v>
      </c>
      <c r="AB192" s="4">
        <v>44655.0</v>
      </c>
      <c r="AC192" s="4">
        <v>0.0</v>
      </c>
      <c r="AD192" s="4">
        <v>0.380573156118052</v>
      </c>
      <c r="AE192" s="4">
        <v>1001.0</v>
      </c>
      <c r="AI192" s="4">
        <v>840.0</v>
      </c>
      <c r="AJ192" s="4">
        <v>0.0</v>
      </c>
      <c r="AK192" s="4">
        <v>0.0</v>
      </c>
      <c r="AL192" s="4">
        <v>7.0</v>
      </c>
      <c r="AM192" s="1" t="s">
        <v>1547</v>
      </c>
      <c r="AN192" s="4">
        <v>2.0</v>
      </c>
      <c r="AO192" s="4">
        <v>114.0</v>
      </c>
      <c r="AP192" s="4">
        <v>30.0</v>
      </c>
      <c r="AQ192" s="4">
        <v>4.0</v>
      </c>
      <c r="AR192" s="4">
        <v>2.0</v>
      </c>
      <c r="AS192" s="4">
        <v>0.23333333333333334</v>
      </c>
      <c r="AT192" s="4">
        <v>2.0</v>
      </c>
      <c r="AU192" s="4">
        <v>0.7666666666666666</v>
      </c>
      <c r="AV192" s="4">
        <v>0.06666666666666667</v>
      </c>
    </row>
    <row r="193">
      <c r="A193" s="2"/>
    </row>
    <row r="194">
      <c r="A194" s="2"/>
    </row>
    <row r="195">
      <c r="A195" s="2"/>
    </row>
    <row r="196" ht="18.75" customHeight="1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8"/>
      <c r="B1" s="9" t="s">
        <v>1548</v>
      </c>
      <c r="C1" s="10" t="s">
        <v>0</v>
      </c>
      <c r="D1" s="11">
        <v>46130.0</v>
      </c>
      <c r="E1" s="12"/>
      <c r="F1" s="13" t="s">
        <v>28</v>
      </c>
      <c r="G1" s="14"/>
      <c r="H1" s="15"/>
      <c r="I1" s="13" t="s">
        <v>26</v>
      </c>
      <c r="J1" s="14"/>
      <c r="K1" s="15"/>
      <c r="L1" s="16" t="s">
        <v>1549</v>
      </c>
      <c r="M1" s="17"/>
    </row>
    <row r="2" ht="19.5" customHeight="1">
      <c r="A2" s="8"/>
      <c r="B2" s="18"/>
      <c r="C2" s="18"/>
      <c r="D2" s="19"/>
      <c r="E2" s="20"/>
      <c r="F2" s="21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2"/>
      <c r="I2" s="23">
        <f>SUM(RestiaCSV!C:C) - SUMIFS(RestiaCSV!C:C, RestiaCSV!B:B, "canceled")</f>
        <v>0</v>
      </c>
      <c r="K2" s="22"/>
      <c r="L2" s="24" t="s">
        <v>1550</v>
      </c>
      <c r="M2" s="25">
        <f>SUMIFS(RestiaCSV!C:C, RestiaCSV!A:A, Report!L2, RestiaCSV!B:B, "&lt;&gt;canceled")</f>
        <v>0</v>
      </c>
    </row>
    <row r="3">
      <c r="A3" s="26"/>
      <c r="B3" s="27" t="str">
        <f>CHOOSE(WEEKDAY(D1), "Neděle", "Pondělí", "Úterý", "Středa", "Čtvrtek", "Pátek", "Sobota")</f>
        <v>Sobota</v>
      </c>
      <c r="C3" s="28"/>
      <c r="D3" s="28"/>
      <c r="E3" s="12"/>
      <c r="H3" s="22"/>
      <c r="K3" s="22"/>
      <c r="L3" s="24" t="s">
        <v>1551</v>
      </c>
      <c r="M3" s="25">
        <f>SUMIFS(RestiaCSV!C:C, RestiaCSV!A:A, Report!L3, RestiaCSV!B:B, "&lt;&gt;canceled")</f>
        <v>0</v>
      </c>
    </row>
    <row r="4">
      <c r="A4" s="26"/>
      <c r="B4" s="19"/>
      <c r="C4" s="29"/>
      <c r="D4" s="29"/>
      <c r="E4" s="20"/>
      <c r="F4" s="29"/>
      <c r="G4" s="29"/>
      <c r="H4" s="20"/>
      <c r="I4" s="29"/>
      <c r="J4" s="29"/>
      <c r="K4" s="20"/>
      <c r="L4" s="24" t="s">
        <v>1552</v>
      </c>
      <c r="M4" s="25">
        <f>SUMIFS(RestiaCSV!C:C, RestiaCSV!A:A, "damejidlo", RestiaCSV!G:G, "online", RestiaCSV!B:B, "&lt;&gt;canceled")</f>
        <v>0</v>
      </c>
    </row>
    <row r="5">
      <c r="A5" s="26"/>
      <c r="B5" s="30" t="s">
        <v>1553</v>
      </c>
      <c r="C5" s="28"/>
      <c r="D5" s="28"/>
      <c r="E5" s="28"/>
      <c r="F5" s="28"/>
      <c r="G5" s="28"/>
      <c r="H5" s="28"/>
      <c r="I5" s="28"/>
      <c r="J5" s="28"/>
      <c r="K5" s="12"/>
      <c r="L5" s="31" t="s">
        <v>1554</v>
      </c>
      <c r="M5" s="25">
        <f>SUMIFS(RestiaCSV!C:C, RestiaCSV!A:A, "generic", RestiaCSV!G:G, "online", RestiaCSV!B:B, "&lt;&gt;canceled") </f>
        <v>0</v>
      </c>
    </row>
    <row r="6">
      <c r="A6" s="26"/>
      <c r="B6" s="19"/>
      <c r="C6" s="29"/>
      <c r="D6" s="29"/>
      <c r="E6" s="29"/>
      <c r="F6" s="29"/>
      <c r="G6" s="29"/>
      <c r="H6" s="29"/>
      <c r="I6" s="29"/>
      <c r="J6" s="29"/>
      <c r="K6" s="20"/>
      <c r="L6" s="31" t="s">
        <v>1555</v>
      </c>
      <c r="M6" s="25">
        <f>SUMIFS(RestiaCSV!C:C, RestiaCSV!E:E, "wolt kurýr", RestiaCSV!A:A, "&lt;&gt;wolt", RestiaCSV!G:G, "cash", RestiaCSV!B:B, "&lt;&gt;canceled")</f>
        <v>0</v>
      </c>
    </row>
    <row r="7">
      <c r="A7" s="26"/>
      <c r="B7" s="32"/>
      <c r="C7" s="28"/>
      <c r="D7" s="28"/>
      <c r="E7" s="12"/>
      <c r="F7" s="33"/>
      <c r="J7" s="34"/>
      <c r="K7" s="12"/>
      <c r="L7" s="35" t="s">
        <v>1556</v>
      </c>
      <c r="M7" s="36">
        <f>SUMIFS(RestiaCSV!C:C, RestiaCSV!A:A, "damejidlo", RestiaCSV!G:G, "cash", RestiaCSV!B:B, "&lt;&gt;canceled") </f>
        <v>0</v>
      </c>
    </row>
    <row r="8">
      <c r="A8" s="26"/>
      <c r="B8" s="37"/>
      <c r="E8" s="22"/>
      <c r="J8" s="37"/>
      <c r="K8" s="22"/>
      <c r="L8" s="38" t="s">
        <v>25</v>
      </c>
      <c r="M8" s="15"/>
    </row>
    <row r="9">
      <c r="A9" s="26"/>
      <c r="B9" s="19"/>
      <c r="C9" s="29"/>
      <c r="D9" s="29"/>
      <c r="E9" s="20"/>
      <c r="F9" s="29"/>
      <c r="G9" s="29"/>
      <c r="H9" s="29"/>
      <c r="I9" s="29"/>
      <c r="J9" s="19"/>
      <c r="K9" s="20"/>
      <c r="L9" s="24" t="s">
        <v>23</v>
      </c>
      <c r="M9" s="39"/>
    </row>
    <row r="10">
      <c r="A10" s="26"/>
      <c r="B10" s="40" t="s">
        <v>1557</v>
      </c>
      <c r="F10" s="22"/>
      <c r="G10" s="41" t="s">
        <v>15</v>
      </c>
      <c r="H10" s="29"/>
      <c r="I10" s="20"/>
      <c r="J10" s="42" t="s">
        <v>1558</v>
      </c>
      <c r="K10" s="20"/>
      <c r="L10" s="24" t="s">
        <v>24</v>
      </c>
      <c r="M10" s="39"/>
    </row>
    <row r="11">
      <c r="A11" s="43"/>
      <c r="B11" s="44" t="s">
        <v>1559</v>
      </c>
      <c r="C11" s="45" t="s">
        <v>1560</v>
      </c>
      <c r="D11" s="45" t="s">
        <v>1561</v>
      </c>
      <c r="E11" s="45" t="s">
        <v>1562</v>
      </c>
      <c r="F11" s="46" t="s">
        <v>1563</v>
      </c>
      <c r="G11" s="47"/>
      <c r="I11" s="48"/>
      <c r="J11" s="49">
        <f>M2+M3+M4+M5+M6+M13+M14+M15+M16+M17+M9+M11+M10-I2</f>
        <v>0</v>
      </c>
      <c r="K11" s="12"/>
      <c r="L11" s="50" t="s">
        <v>25</v>
      </c>
      <c r="M11" s="39"/>
    </row>
    <row r="12">
      <c r="A12" s="51">
        <f t="array" ref="A12">IF(ISBLANK(B12), 0, IF(ISNUMBER(MATCH(B12, HR!A:A, 0)), 0, IF(ISNUMBER(MATCH(B12, HR!B:B, 0)), INDEX(HR!V:V, MATCH(B12, HR!B:B, 0)) * (F12 * 24), 0)))</f>
        <v>0</v>
      </c>
      <c r="B12" s="52" t="s">
        <v>1490</v>
      </c>
      <c r="C12" s="53" t="s">
        <v>45</v>
      </c>
      <c r="D12" s="53" t="s">
        <v>1497</v>
      </c>
      <c r="E12" s="54"/>
      <c r="F12" s="55" t="str">
        <f t="shared" ref="F12:F14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10:00</v>
      </c>
      <c r="G12" s="37"/>
      <c r="I12" s="48"/>
      <c r="J12" s="37"/>
      <c r="K12" s="22"/>
      <c r="L12" s="56" t="s">
        <v>1564</v>
      </c>
      <c r="M12" s="20"/>
    </row>
    <row r="13">
      <c r="A13" s="51">
        <f t="array" ref="A13">IF(ISBLANK(B13), 0, IF(ISNUMBER(MATCH(B13, HR!A:A, 0)), 0, IF(ISNUMBER(MATCH(B13, HR!B:B, 0)), INDEX(HR!V:V, MATCH(B13, HR!B:B, 0)) * (F13 * 24), 0)))</f>
        <v>6484.617</v>
      </c>
      <c r="B13" s="52" t="s">
        <v>1479</v>
      </c>
      <c r="C13" s="53" t="s">
        <v>41</v>
      </c>
      <c r="D13" s="53" t="s">
        <v>46</v>
      </c>
      <c r="E13" s="54"/>
      <c r="F13" s="55" t="str">
        <f t="shared" si="1"/>
        <v>15:00</v>
      </c>
      <c r="G13" s="57"/>
      <c r="H13" s="58"/>
      <c r="I13" s="59"/>
      <c r="J13" s="37"/>
      <c r="K13" s="22"/>
      <c r="L13" s="24" t="s">
        <v>29</v>
      </c>
      <c r="M13" s="39"/>
    </row>
    <row r="14">
      <c r="A14" s="51">
        <f t="array" ref="A14">IF(ISBLANK(B14), 0, IF(ISNUMBER(MATCH(B14, HR!A:A, 0)), 0, IF(ISNUMBER(MATCH(B14, HR!B:B, 0)), INDEX(HR!V:V, MATCH(B14, HR!B:B, 0)) * (F14 * 24), 0)))</f>
        <v>0</v>
      </c>
      <c r="B14" s="52"/>
      <c r="C14" s="53"/>
      <c r="D14" s="53"/>
      <c r="E14" s="54"/>
      <c r="F14" s="55" t="str">
        <f t="shared" si="1"/>
        <v>0:00</v>
      </c>
      <c r="G14" s="60"/>
      <c r="I14" s="22"/>
      <c r="J14" s="37"/>
      <c r="K14" s="22"/>
      <c r="L14" s="61" t="s">
        <v>30</v>
      </c>
      <c r="M14" s="39"/>
    </row>
    <row r="15">
      <c r="A15" s="51">
        <f t="array" ref="A15">IF(ISBLANK(B15), 0, IF(ISNUMBER(MATCH(B15, HR!A:A, 0)), 0, IF(ISNUMBER(MATCH(B15, HR!B:B, 0)), INDEX(HR!V:V, MATCH(B15, HR!B:B, 0)) * (F15 * 24), 0)))</f>
        <v>0</v>
      </c>
      <c r="B15" s="52"/>
      <c r="C15" s="62"/>
      <c r="D15" s="53"/>
      <c r="E15" s="54"/>
      <c r="F15" s="55" t="str">
        <f>IF(OR(ISBLANK(B15), ISBLANK(D15), D15=0), "0:00", TEXT((IF(AND(TIMEVALUE(IF(ISBLANK(D15), "00:00", D15))&gt;=TIMEVALUE("00:00"), TIMEVALUE(IF(ISBLANK(D15), "00:00", D15))&lt;=TIMEVALUE("06:00")), TIMEVALUE(IF(ISBLANK(D15), "00:00", D15))+1, TIMEVALUE(IF(ISBLANK(D15), "00:00", D15))) - TIMEVALUE(IF(ISBLANK(C14), "00:00", C14)) - TIMEVALUE(IF(ISBLANK(E15), "00:00", E15))), "hh:mm"))
</f>
        <v>0:00</v>
      </c>
      <c r="I15" s="22"/>
      <c r="J15" s="37"/>
      <c r="K15" s="22"/>
      <c r="L15" s="61" t="s">
        <v>31</v>
      </c>
      <c r="M15" s="39"/>
    </row>
    <row r="16">
      <c r="A16" s="51">
        <f t="array" ref="A16">IF(ISBLANK(B16), 0, IF(ISNUMBER(MATCH(B16, HR!A:A, 0)), 0, IF(ISNUMBER(MATCH(B16, HR!B:B, 0)), INDEX(HR!V:V, MATCH(B16, HR!B:B, 0)) * (F16 * 24), 0)))</f>
        <v>0</v>
      </c>
      <c r="B16" s="52"/>
      <c r="C16" s="53"/>
      <c r="D16" s="53"/>
      <c r="E16" s="54"/>
      <c r="F16" s="55" t="str">
        <f t="shared" ref="F16:F21" si="2">IF(OR(ISBLANK(B16), ISBLANK(D16), D16=0), "0:00", TEXT((IF(AND(TIMEVALUE(IF(ISBLANK(D16), "00:00", D16))&gt;=TIMEVALUE("00:00"), TIMEVALUE(IF(ISBLANK(D16), "00:00", D16))&lt;=TIMEVALUE("06:00")), TIMEVALUE(IF(ISBLANK(D16), "00:00", D16))+1, TIMEVALUE(IF(ISBLANK(D16), "00:00", D16))) - TIMEVALUE(IF(ISBLANK(C16), "00:00", C16)) - TIMEVALUE(IF(ISBLANK(E16), "00:00", E16))), "hh:mm"))
</f>
        <v>0:00</v>
      </c>
      <c r="I16" s="22"/>
      <c r="J16" s="37"/>
      <c r="K16" s="22"/>
      <c r="L16" s="61" t="s">
        <v>32</v>
      </c>
      <c r="M16" s="39"/>
    </row>
    <row r="17">
      <c r="A17" s="51">
        <f t="array" ref="A17">IF(ISBLANK(B17), 0, IF(ISNUMBER(MATCH(B17, HR!A:A, 0)), 0, IF(ISNUMBER(MATCH(B17, HR!B:B, 0)), INDEX(HR!V:V, MATCH(B17, HR!B:B, 0)) * (F17 * 24), 0)))</f>
        <v>0</v>
      </c>
      <c r="B17" s="52"/>
      <c r="C17" s="53"/>
      <c r="D17" s="53"/>
      <c r="E17" s="54"/>
      <c r="F17" s="55" t="str">
        <f t="shared" si="2"/>
        <v>0:00</v>
      </c>
      <c r="G17" s="29"/>
      <c r="H17" s="29"/>
      <c r="I17" s="20"/>
      <c r="J17" s="19"/>
      <c r="K17" s="20"/>
      <c r="L17" s="63" t="s">
        <v>33</v>
      </c>
      <c r="M17" s="64">
        <f>sum(I25:I31)</f>
        <v>0</v>
      </c>
    </row>
    <row r="18" ht="21.75" customHeight="1">
      <c r="A18" s="51">
        <f t="array" ref="A18">IF(ISBLANK(B18), 0, IF(ISNUMBER(MATCH(B18, HR!A:A, 0)), 0, IF(ISNUMBER(MATCH(B18, HR!B:B, 0)), INDEX(HR!V:V, MATCH(B18, HR!B:B, 0)) * (F18 * 24), 0)))</f>
        <v>0</v>
      </c>
      <c r="B18" s="52"/>
      <c r="C18" s="53"/>
      <c r="D18" s="53"/>
      <c r="E18" s="54"/>
      <c r="F18" s="55" t="str">
        <f t="shared" si="2"/>
        <v>0:00</v>
      </c>
      <c r="G18" s="56" t="s">
        <v>16</v>
      </c>
      <c r="H18" s="29"/>
      <c r="I18" s="20"/>
      <c r="J18" s="65"/>
      <c r="M18" s="22"/>
    </row>
    <row r="19">
      <c r="A19" s="51">
        <f t="array" ref="A19">IF(ISBLANK(B19), 0, IF(ISNUMBER(MATCH(B19, HR!A:A, 0)), 0, IF(ISNUMBER(MATCH(B19, HR!B:B, 0)), INDEX(HR!V:V, MATCH(B19, HR!B:B, 0)) * (F19 * 24), 0)))</f>
        <v>0</v>
      </c>
      <c r="B19" s="52"/>
      <c r="C19" s="53"/>
      <c r="D19" s="53"/>
      <c r="E19" s="54"/>
      <c r="F19" s="55" t="str">
        <f t="shared" si="2"/>
        <v>0:00</v>
      </c>
      <c r="G19" s="66"/>
      <c r="I19" s="22"/>
      <c r="M19" s="22"/>
    </row>
    <row r="20">
      <c r="A20" s="51">
        <f t="array" ref="A20">IF(ISBLANK(B20), 0, IF(ISNUMBER(MATCH(B20, HR!A:A, 0)), 0, IF(ISNUMBER(MATCH(B20, HR!B:B, 0)), INDEX(HR!V:V, MATCH(B20, HR!B:B, 0)) * (F20 * 24), 0)))</f>
        <v>0</v>
      </c>
      <c r="B20" s="52"/>
      <c r="C20" s="53"/>
      <c r="D20" s="53"/>
      <c r="E20" s="54"/>
      <c r="F20" s="55" t="str">
        <f t="shared" si="2"/>
        <v>0:00</v>
      </c>
      <c r="I20" s="22"/>
      <c r="M20" s="22"/>
    </row>
    <row r="21" ht="23.25" customHeight="1">
      <c r="A21" s="51">
        <f t="array" ref="A21">IF(ISBLANK(B21), 0, IF(ISNUMBER(MATCH(B21, HR!A:A, 0)), 0, IF(ISNUMBER(MATCH(B21, HR!B:B, 0)), INDEX(HR!V:V, MATCH(B21, HR!B:B, 0)) * (F21 * 24), 0)))</f>
        <v>0</v>
      </c>
      <c r="B21" s="52"/>
      <c r="C21" s="53"/>
      <c r="D21" s="53"/>
      <c r="E21" s="54"/>
      <c r="F21" s="55" t="str">
        <f t="shared" si="2"/>
        <v>0:00</v>
      </c>
      <c r="G21" s="29"/>
      <c r="H21" s="29"/>
      <c r="I21" s="20"/>
      <c r="M21" s="22"/>
    </row>
    <row r="22">
      <c r="A22" s="67"/>
      <c r="B22" s="68"/>
      <c r="C22" s="29"/>
      <c r="D22" s="29"/>
      <c r="E22" s="29"/>
      <c r="F22" s="29"/>
      <c r="G22" s="29"/>
      <c r="H22" s="29"/>
      <c r="I22" s="20"/>
      <c r="J22" s="69" t="s">
        <v>34</v>
      </c>
      <c r="K22" s="69" t="s">
        <v>35</v>
      </c>
      <c r="L22" s="70" t="s">
        <v>1565</v>
      </c>
      <c r="M22" s="71" t="s">
        <v>37</v>
      </c>
    </row>
    <row r="23">
      <c r="A23" s="67"/>
      <c r="B23" s="40" t="s">
        <v>78</v>
      </c>
      <c r="I23" s="22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6"/>
      <c r="B24" s="44" t="s">
        <v>1559</v>
      </c>
      <c r="C24" s="45" t="s">
        <v>1560</v>
      </c>
      <c r="D24" s="45" t="s">
        <v>1561</v>
      </c>
      <c r="E24" s="45" t="s">
        <v>1562</v>
      </c>
      <c r="F24" s="77" t="s">
        <v>1563</v>
      </c>
      <c r="G24" s="77" t="s">
        <v>1566</v>
      </c>
      <c r="H24" s="77" t="s">
        <v>1567</v>
      </c>
      <c r="I24" s="46" t="s">
        <v>13</v>
      </c>
      <c r="J24" s="78" t="s">
        <v>1568</v>
      </c>
      <c r="K24" s="79" t="s">
        <v>1470</v>
      </c>
      <c r="L24" s="80" t="s">
        <v>1471</v>
      </c>
      <c r="M24" s="81" t="s">
        <v>1472</v>
      </c>
    </row>
    <row r="25">
      <c r="A25" s="51">
        <f t="array" ref="A25">IF(ISBLANK(B25), 0, IF(ISNUMBER(MATCH(B25, HR!A:A, 0)), 0, IF(ISNUMBER(MATCH(B25, HR!B:B, 0)), INDEX(HR!V:V, MATCH(B25, HR!B:B, 0)) * (F25 * 24), 0)))</f>
        <v>1157.37</v>
      </c>
      <c r="B25" s="52" t="s">
        <v>1569</v>
      </c>
      <c r="C25" s="82" t="s">
        <v>45</v>
      </c>
      <c r="D25" s="82" t="s">
        <v>42</v>
      </c>
      <c r="E25" s="82"/>
      <c r="F25" s="83" t="str">
        <f t="shared" ref="F25:F31" si="3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05:00</v>
      </c>
      <c r="G25" s="84">
        <f>COUNTIF(RestiaCSV!E:E, B25)</f>
        <v>0</v>
      </c>
      <c r="H25" s="85" t="b">
        <v>1</v>
      </c>
      <c r="I25" s="86">
        <f t="shared" ref="I25:I31" si="4">IF(H25,G25*45, 0)</f>
        <v>0</v>
      </c>
      <c r="J25" s="59"/>
      <c r="K25" s="87"/>
      <c r="L25" s="87"/>
      <c r="M25" s="88"/>
    </row>
    <row r="26">
      <c r="A26" s="51">
        <f t="array" ref="A26">IF(ISBLANK(B26), 0, IF(ISNUMBER(MATCH(B26, HR!A:A, 0)), 0, IF(ISNUMBER(MATCH(B26, HR!B:B, 0)), INDEX(HR!V:V, MATCH(B26, HR!B:B, 0)) * (F26 * 24), 0)))</f>
        <v>0</v>
      </c>
      <c r="B26" s="52"/>
      <c r="C26" s="82"/>
      <c r="D26" s="82"/>
      <c r="E26" s="82"/>
      <c r="F26" s="83" t="str">
        <f t="shared" si="3"/>
        <v>0:00</v>
      </c>
      <c r="G26" s="84">
        <f>COUNTIF(RestiaCSV!E:E, B26)</f>
        <v>0</v>
      </c>
      <c r="H26" s="85" t="b">
        <v>1</v>
      </c>
      <c r="I26" s="86">
        <f t="shared" si="4"/>
        <v>0</v>
      </c>
      <c r="J26" s="89">
        <f>COUNTIF(I25:I31, "&gt;0")</f>
        <v>0</v>
      </c>
      <c r="K26" s="74">
        <f>IFERROR(__xludf.DUMMYFUNCTION("COUNTA(FILTER(RestiaCSV!B2:B32, RestiaCSV!B2:B32 &lt;&gt; ""canceled""))"),0.0)</f>
        <v>0</v>
      </c>
      <c r="L26" s="74">
        <f>COUNTIF(RestiaCSV!F1:F32, "delivery")</f>
        <v>0</v>
      </c>
      <c r="M26" s="90">
        <f>COUNTIFS(RestiaCSV!M:M, "&gt;5",RestiaCSV!A:A, "&lt;&gt;wolt")</f>
        <v>0</v>
      </c>
    </row>
    <row r="27">
      <c r="A27" s="51">
        <f t="array" ref="A27">IF(ISBLANK(B27), 0, IF(ISNUMBER(MATCH(B27, HR!A:A, 0)), 0, IF(ISNUMBER(MATCH(B27, HR!B:B, 0)), INDEX(HR!V:V, MATCH(B27, HR!B:B, 0)) * (F27 * 24), 0)))</f>
        <v>0</v>
      </c>
      <c r="B27" s="52"/>
      <c r="C27" s="91"/>
      <c r="D27" s="91"/>
      <c r="E27" s="82"/>
      <c r="F27" s="83" t="str">
        <f t="shared" si="3"/>
        <v>0:00</v>
      </c>
      <c r="G27" s="84">
        <f>COUNTIF(RestiaCSV!E:E, B27)</f>
        <v>0</v>
      </c>
      <c r="H27" s="85" t="b">
        <v>1</v>
      </c>
      <c r="I27" s="86">
        <f t="shared" si="4"/>
        <v>0</v>
      </c>
      <c r="J27" s="92" t="s">
        <v>1570</v>
      </c>
      <c r="K27" s="93"/>
      <c r="L27" s="80" t="s">
        <v>1474</v>
      </c>
      <c r="M27" s="81" t="s">
        <v>1475</v>
      </c>
    </row>
    <row r="28" ht="24.0" customHeight="1">
      <c r="A28" s="51">
        <f t="array" ref="A28">IF(ISBLANK(B28), 0, IF(ISNUMBER(MATCH(B28, HR!A:A, 0)), 0, IF(ISNUMBER(MATCH(B28, HR!B:B, 0)), INDEX(HR!V:V, MATCH(B28, HR!B:B, 0)) * (F28 * 24), 0)))</f>
        <v>0</v>
      </c>
      <c r="B28" s="52"/>
      <c r="C28" s="82"/>
      <c r="D28" s="82"/>
      <c r="E28" s="82"/>
      <c r="F28" s="83" t="str">
        <f t="shared" si="3"/>
        <v>0:00</v>
      </c>
      <c r="G28" s="84">
        <f>COUNTIF(RestiaCSV!E:E, B28)</f>
        <v>0</v>
      </c>
      <c r="H28" s="85" t="b">
        <v>0</v>
      </c>
      <c r="I28" s="86">
        <f t="shared" si="4"/>
        <v>0</v>
      </c>
      <c r="J28" s="58"/>
      <c r="K28" s="59"/>
      <c r="L28" s="87"/>
      <c r="M28" s="88"/>
    </row>
    <row r="29">
      <c r="A29" s="51">
        <f t="array" ref="A29">IF(ISBLANK(B29), 0, IF(ISNUMBER(MATCH(B29, HR!A:A, 0)), 0, IF(ISNUMBER(MATCH(B29, HR!B:B, 0)), INDEX(HR!V:V, MATCH(B29, HR!B:B, 0)) * (F29 * 24), 0)))</f>
        <v>0</v>
      </c>
      <c r="B29" s="52"/>
      <c r="C29" s="82"/>
      <c r="D29" s="82"/>
      <c r="E29" s="82"/>
      <c r="F29" s="83" t="str">
        <f t="shared" si="3"/>
        <v>0:00</v>
      </c>
      <c r="G29" s="84">
        <f>COUNTIF(RestiaCSV!E:E, B29)</f>
        <v>0</v>
      </c>
      <c r="H29" s="85" t="b">
        <v>0</v>
      </c>
      <c r="I29" s="86">
        <f t="shared" si="4"/>
        <v>0</v>
      </c>
      <c r="J29" s="94">
        <f>COUNTIFS(RestiaCSV!M:M, "&gt;5", RestiaCSV!L:L, "&gt;5")</f>
        <v>0</v>
      </c>
      <c r="K29" s="95"/>
      <c r="L29" s="96" t="str">
        <f>L23/L26</f>
        <v>#DIV/0!</v>
      </c>
      <c r="M29" s="97">
        <f>COUNTIFS(RestiaCSV!L:L, "&gt;5", RestiaCSV!F:F, "delivery", RestiaCSV!E:E, "Wolt Kurýr")</f>
        <v>0</v>
      </c>
    </row>
    <row r="30">
      <c r="A30" s="51">
        <f t="array" ref="A30">IF(ISBLANK(B30), 0, IF(ISNUMBER(MATCH(B30, HR!A:A, 0)), 0, IF(ISNUMBER(MATCH(B30, HR!B:B, 0)), INDEX(HR!V:V, MATCH(B30, HR!B:B, 0)) * (F30 * 24), 0)))</f>
        <v>0</v>
      </c>
      <c r="B30" s="52"/>
      <c r="C30" s="82"/>
      <c r="D30" s="82"/>
      <c r="E30" s="82"/>
      <c r="F30" s="83" t="str">
        <f t="shared" si="3"/>
        <v>0:00</v>
      </c>
      <c r="G30" s="84">
        <f>COUNTIF(RestiaCSV!E:E, B30)</f>
        <v>0</v>
      </c>
      <c r="H30" s="85" t="b">
        <v>0</v>
      </c>
      <c r="I30" s="86">
        <f t="shared" si="4"/>
        <v>0</v>
      </c>
      <c r="J30" s="98"/>
      <c r="K30" s="98"/>
      <c r="L30" s="79" t="s">
        <v>1476</v>
      </c>
      <c r="M30" s="81" t="s">
        <v>1477</v>
      </c>
    </row>
    <row r="31">
      <c r="A31" s="51">
        <f t="array" ref="A31">IF(ISBLANK(B31), 0, IF(ISNUMBER(MATCH(B31, HR!A:A, 0)), 0, IF(ISNUMBER(MATCH(B31, HR!B:B, 0)), INDEX(HR!V:V, MATCH(B31, HR!B:B, 0)) * (F31 * 24), 0)))</f>
        <v>0</v>
      </c>
      <c r="B31" s="52"/>
      <c r="C31" s="82"/>
      <c r="D31" s="82"/>
      <c r="E31" s="82"/>
      <c r="F31" s="83" t="str">
        <f t="shared" si="3"/>
        <v>0:00</v>
      </c>
      <c r="G31" s="84">
        <f>COUNTIF(RestiaCSV!E:E, B31)</f>
        <v>0</v>
      </c>
      <c r="H31" s="85" t="b">
        <v>0</v>
      </c>
      <c r="I31" s="86">
        <f t="shared" si="4"/>
        <v>0</v>
      </c>
      <c r="J31" s="98"/>
      <c r="K31" s="98"/>
      <c r="L31" s="87"/>
      <c r="M31" s="88"/>
    </row>
    <row r="32">
      <c r="A32" s="99"/>
      <c r="B32" s="100" t="s">
        <v>90</v>
      </c>
      <c r="C32" s="101" t="s">
        <v>14</v>
      </c>
      <c r="D32" s="29"/>
      <c r="E32" s="29"/>
      <c r="F32" s="102"/>
      <c r="G32" s="103">
        <f>COUNTIFS(RestiaCSV!E:E, "wolt kurýr", RestiaCSV!A:A, "&lt;&gt;wolt")</f>
        <v>0</v>
      </c>
      <c r="H32" s="104" t="b">
        <v>1</v>
      </c>
      <c r="I32" s="105">
        <f>G32*127</f>
        <v>0</v>
      </c>
      <c r="J32" s="106"/>
      <c r="K32" s="106"/>
      <c r="L32" s="107" t="str">
        <f>100%-L29</f>
        <v>#DIV/0!</v>
      </c>
      <c r="M32" s="108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G11 G19">
      <formula1>"Hegedüs Erik,Ahurieva Viktoriia"</formula1>
    </dataValidation>
    <dataValidation type="list" allowBlank="1" sqref="B25:B31">
      <formula1>"Jurkovič Martin,Nekolný Vladimír,Hanibal Filip,Nedvěd Dominik,Lanský Zoltan,Lažek Jaroslav,Chlubna Tomáš,Hřebík Martin,Eszenyiová Patrícia,Reischl Jan,Kalina Filip,Dušek Sam,Fux Vojtěch,Serin David,Novák Dalibor"</formula1>
    </dataValidation>
    <dataValidation type="list" allowBlank="1" sqref="B12:B21">
      <formula1>"Sova Martin,Ahurieva Viktoriia,Šebesta Tomáš,Coufal Jakub,Hegedüs Erik,Bubník Martin,Berdar Vasyl,Gorol Patrik,Hegedüs Gergö,Barvínková Eliška,Kubík Martin,Kopic Jakub"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9"/>
      <c r="B1" s="110" t="str">
        <f>Report!B1</f>
        <v>Libuš</v>
      </c>
      <c r="C1" s="111">
        <v>46113.0</v>
      </c>
      <c r="D1" s="112" t="s">
        <v>1571</v>
      </c>
      <c r="E1" s="113">
        <v>46113.0</v>
      </c>
      <c r="F1" s="114" t="s">
        <v>28</v>
      </c>
      <c r="G1" s="14"/>
      <c r="H1" s="15"/>
      <c r="I1" s="114" t="s">
        <v>26</v>
      </c>
      <c r="J1" s="14"/>
      <c r="K1" s="15"/>
      <c r="L1" s="115" t="s">
        <v>1549</v>
      </c>
      <c r="M1" s="22"/>
      <c r="N1" s="115"/>
    </row>
    <row r="2" ht="19.5" customHeight="1">
      <c r="A2" s="109"/>
      <c r="B2" s="18"/>
      <c r="C2" s="19"/>
      <c r="D2" s="18"/>
      <c r="E2" s="20"/>
      <c r="F2" s="116">
        <v>0.24432487976539596</v>
      </c>
      <c r="H2" s="22"/>
      <c r="I2" s="117">
        <v>40920.0</v>
      </c>
      <c r="K2" s="22"/>
      <c r="L2" s="118" t="s">
        <v>1550</v>
      </c>
      <c r="M2" s="119">
        <v>10559.0</v>
      </c>
      <c r="N2" s="120"/>
    </row>
    <row r="3">
      <c r="A3" s="121"/>
      <c r="B3" s="122" t="str">
        <f>CHOOSE(WEEKDAY(C1), "Neděle", "Pondělí", "Úterý", "Středa", "Čtvrtek", "Pátek", "Sobota")</f>
        <v>Středa</v>
      </c>
      <c r="C3" s="28"/>
      <c r="D3" s="122" t="str">
        <f>CHOOSE(WEEKDAY(E1), "Neděle", "Pondělí", "Úterý", "Středa", "Čtvrtek", "Pátek", "Sobota")</f>
        <v>Středa</v>
      </c>
      <c r="E3" s="12"/>
      <c r="H3" s="22"/>
      <c r="K3" s="22"/>
      <c r="L3" s="123" t="s">
        <v>1551</v>
      </c>
      <c r="M3" s="124">
        <v>6782.0</v>
      </c>
      <c r="N3" s="120"/>
    </row>
    <row r="4">
      <c r="A4" s="121"/>
      <c r="B4" s="19"/>
      <c r="C4" s="29"/>
      <c r="D4" s="19"/>
      <c r="E4" s="20"/>
      <c r="F4" s="29"/>
      <c r="G4" s="29"/>
      <c r="H4" s="20"/>
      <c r="I4" s="29"/>
      <c r="J4" s="29"/>
      <c r="K4" s="20"/>
      <c r="L4" s="123" t="s">
        <v>1552</v>
      </c>
      <c r="M4" s="124">
        <v>11769.0</v>
      </c>
      <c r="N4" s="120"/>
    </row>
    <row r="5">
      <c r="A5" s="125"/>
      <c r="B5" s="126" t="s">
        <v>1572</v>
      </c>
      <c r="C5" s="28"/>
      <c r="D5" s="28"/>
      <c r="E5" s="12"/>
      <c r="F5" s="127" t="s">
        <v>1573</v>
      </c>
      <c r="G5" s="28"/>
      <c r="H5" s="28"/>
      <c r="I5" s="28"/>
      <c r="J5" s="28"/>
      <c r="K5" s="12"/>
      <c r="L5" s="128" t="s">
        <v>1554</v>
      </c>
      <c r="M5" s="124">
        <v>4421.0</v>
      </c>
      <c r="N5" s="120"/>
    </row>
    <row r="6">
      <c r="A6" s="125"/>
      <c r="B6" s="19"/>
      <c r="C6" s="29"/>
      <c r="D6" s="29"/>
      <c r="E6" s="20"/>
      <c r="F6" s="29"/>
      <c r="G6" s="29"/>
      <c r="H6" s="29"/>
      <c r="I6" s="29"/>
      <c r="J6" s="29"/>
      <c r="K6" s="20"/>
      <c r="L6" s="128" t="s">
        <v>1555</v>
      </c>
      <c r="M6" s="124">
        <v>0.0</v>
      </c>
      <c r="N6" s="120"/>
    </row>
    <row r="7">
      <c r="A7" s="129"/>
      <c r="B7" s="130">
        <f>TEXT(SUMPRODUCT((IFERROR(LEFT(D10:D30, FIND(":", D10:D30) - 1) * 60, 0) + IFERROR(MID(D10:D30, FIND(":", D10:D30) + 1, LEN(D10:D30) - FIND(":", D10:D30)), 0))), "[h]:mm")/60</f>
        <v>8</v>
      </c>
      <c r="C7" s="29"/>
      <c r="D7" s="29"/>
      <c r="E7" s="20"/>
      <c r="F7" s="131">
        <f>TEXT(SUMPRODUCT((IFERROR(LEFT(H10:H30, FIND(":", H10:H30) - 1) * 60, 0) + IFERROR(MID(H10:H30, FIND(":", H10:H30) + 1, LEN(H10:H30) - FIND(":", H10:H30)), 0))), "[h]:mm")/60</f>
        <v>14</v>
      </c>
      <c r="G7" s="14"/>
      <c r="H7" s="14"/>
      <c r="I7" s="14"/>
      <c r="J7" s="132"/>
      <c r="K7" s="132"/>
      <c r="L7" s="133" t="s">
        <v>1556</v>
      </c>
      <c r="M7" s="134">
        <v>3241.0</v>
      </c>
      <c r="N7" s="120"/>
    </row>
    <row r="8">
      <c r="A8" s="135"/>
      <c r="B8" s="136" t="s">
        <v>1557</v>
      </c>
      <c r="C8" s="14"/>
      <c r="D8" s="14"/>
      <c r="E8" s="15"/>
      <c r="F8" s="137" t="s">
        <v>78</v>
      </c>
      <c r="G8" s="14"/>
      <c r="H8" s="14"/>
      <c r="I8" s="15"/>
      <c r="J8" s="138" t="s">
        <v>1558</v>
      </c>
      <c r="K8" s="12"/>
      <c r="L8" s="139" t="s">
        <v>25</v>
      </c>
      <c r="M8" s="15"/>
      <c r="N8" s="115"/>
    </row>
    <row r="9">
      <c r="A9" s="140"/>
      <c r="B9" s="141" t="s">
        <v>1559</v>
      </c>
      <c r="C9" s="142" t="s">
        <v>1574</v>
      </c>
      <c r="D9" s="142" t="s">
        <v>1563</v>
      </c>
      <c r="E9" s="143"/>
      <c r="F9" s="141" t="s">
        <v>1559</v>
      </c>
      <c r="G9" s="142" t="s">
        <v>1574</v>
      </c>
      <c r="H9" s="142" t="s">
        <v>1563</v>
      </c>
      <c r="I9" s="144" t="s">
        <v>1566</v>
      </c>
      <c r="J9" s="145">
        <v>0.0</v>
      </c>
      <c r="K9" s="12"/>
      <c r="L9" s="146" t="s">
        <v>23</v>
      </c>
      <c r="M9" s="124">
        <v>2777.0</v>
      </c>
      <c r="N9" s="120"/>
    </row>
    <row r="10" ht="18.75" customHeight="1">
      <c r="A10" s="147"/>
      <c r="B10" s="148" t="s">
        <v>1575</v>
      </c>
      <c r="C10" s="149">
        <v>1.0</v>
      </c>
      <c r="D10" s="149" t="s">
        <v>1576</v>
      </c>
      <c r="E10" s="150" t="s">
        <v>1577</v>
      </c>
      <c r="F10" s="148" t="s">
        <v>1578</v>
      </c>
      <c r="G10" s="149">
        <v>1.0</v>
      </c>
      <c r="H10" s="149" t="s">
        <v>1484</v>
      </c>
      <c r="I10" s="151">
        <v>12.0</v>
      </c>
      <c r="J10" s="37"/>
      <c r="K10" s="22"/>
      <c r="L10" s="146" t="s">
        <v>24</v>
      </c>
      <c r="M10" s="124">
        <v>0.0</v>
      </c>
      <c r="N10" s="120"/>
    </row>
    <row r="11" ht="18.75" customHeight="1">
      <c r="A11" s="147"/>
      <c r="B11" s="148"/>
      <c r="C11" s="149"/>
      <c r="D11" s="149"/>
      <c r="E11" s="150" t="s">
        <v>49</v>
      </c>
      <c r="F11" s="148"/>
      <c r="G11" s="149"/>
      <c r="H11" s="149"/>
      <c r="I11" s="151"/>
      <c r="J11" s="37"/>
      <c r="K11" s="22"/>
      <c r="L11" s="152" t="s">
        <v>25</v>
      </c>
      <c r="M11" s="153">
        <v>4072.0</v>
      </c>
      <c r="N11" s="120"/>
    </row>
    <row r="12" ht="18.75" customHeight="1">
      <c r="A12" s="147"/>
      <c r="B12" s="148"/>
      <c r="C12" s="149"/>
      <c r="D12" s="149"/>
      <c r="E12" s="150" t="s">
        <v>50</v>
      </c>
      <c r="F12" s="148"/>
      <c r="G12" s="149"/>
      <c r="H12" s="149"/>
      <c r="I12" s="151"/>
      <c r="J12" s="37"/>
      <c r="K12" s="22"/>
      <c r="L12" s="154" t="s">
        <v>1564</v>
      </c>
      <c r="M12" s="20"/>
      <c r="N12" s="115"/>
    </row>
    <row r="13" ht="18.75" customHeight="1">
      <c r="A13" s="147"/>
      <c r="B13" s="148"/>
      <c r="C13" s="149"/>
      <c r="D13" s="149"/>
      <c r="E13" s="150" t="s">
        <v>50</v>
      </c>
      <c r="F13" s="148"/>
      <c r="G13" s="149"/>
      <c r="H13" s="149"/>
      <c r="I13" s="151"/>
      <c r="J13" s="37"/>
      <c r="K13" s="22"/>
      <c r="L13" s="146" t="s">
        <v>29</v>
      </c>
      <c r="M13" s="124">
        <v>0.0</v>
      </c>
      <c r="N13" s="120"/>
    </row>
    <row r="14" ht="18.75" customHeight="1">
      <c r="A14" s="147"/>
      <c r="B14" s="148"/>
      <c r="C14" s="149"/>
      <c r="D14" s="149"/>
      <c r="E14" s="150" t="s">
        <v>1579</v>
      </c>
      <c r="F14" s="148"/>
      <c r="G14" s="149"/>
      <c r="H14" s="149"/>
      <c r="I14" s="151"/>
      <c r="J14" s="37"/>
      <c r="K14" s="22"/>
      <c r="L14" s="155" t="s">
        <v>30</v>
      </c>
      <c r="M14" s="124">
        <v>0.0</v>
      </c>
      <c r="N14" s="120"/>
    </row>
    <row r="15" ht="18.75" customHeight="1">
      <c r="A15" s="147"/>
      <c r="B15" s="148"/>
      <c r="C15" s="149"/>
      <c r="D15" s="149"/>
      <c r="E15" s="150" t="s">
        <v>1579</v>
      </c>
      <c r="F15" s="148"/>
      <c r="G15" s="149"/>
      <c r="H15" s="149"/>
      <c r="I15" s="151"/>
      <c r="J15" s="37"/>
      <c r="K15" s="22"/>
      <c r="L15" s="155" t="s">
        <v>31</v>
      </c>
      <c r="M15" s="124">
        <v>0.0</v>
      </c>
      <c r="N15" s="120"/>
    </row>
    <row r="16" ht="18.75" customHeight="1">
      <c r="A16" s="147"/>
      <c r="B16" s="148"/>
      <c r="C16" s="149"/>
      <c r="D16" s="149"/>
      <c r="E16" s="156"/>
      <c r="F16" s="148"/>
      <c r="G16" s="149"/>
      <c r="H16" s="149"/>
      <c r="I16" s="151"/>
      <c r="J16" s="37"/>
      <c r="K16" s="22"/>
      <c r="L16" s="155" t="s">
        <v>32</v>
      </c>
      <c r="M16" s="124">
        <v>0.0</v>
      </c>
      <c r="N16" s="120"/>
    </row>
    <row r="17" ht="18.75" customHeight="1">
      <c r="A17" s="147"/>
      <c r="B17" s="148"/>
      <c r="C17" s="149"/>
      <c r="D17" s="149"/>
      <c r="E17" s="156"/>
      <c r="F17" s="148"/>
      <c r="G17" s="149"/>
      <c r="H17" s="149"/>
      <c r="I17" s="151"/>
      <c r="J17" s="19"/>
      <c r="K17" s="20"/>
      <c r="L17" s="157" t="s">
        <v>33</v>
      </c>
      <c r="M17" s="158">
        <v>540.0</v>
      </c>
      <c r="N17" s="120"/>
    </row>
    <row r="18" ht="18.75" customHeight="1">
      <c r="A18" s="147"/>
      <c r="B18" s="148"/>
      <c r="C18" s="149"/>
      <c r="D18" s="149"/>
      <c r="E18" s="156"/>
      <c r="F18" s="148"/>
      <c r="G18" s="149"/>
      <c r="H18" s="149"/>
      <c r="I18" s="151"/>
      <c r="J18" s="159"/>
      <c r="K18" s="14"/>
      <c r="L18" s="14"/>
      <c r="M18" s="15"/>
      <c r="N18" s="160"/>
    </row>
    <row r="19" ht="18.75" customHeight="1">
      <c r="A19" s="147"/>
      <c r="B19" s="148"/>
      <c r="C19" s="149"/>
      <c r="D19" s="149"/>
      <c r="E19" s="156"/>
      <c r="F19" s="148"/>
      <c r="G19" s="149"/>
      <c r="H19" s="149"/>
      <c r="I19" s="151"/>
      <c r="J19" s="161" t="s">
        <v>34</v>
      </c>
      <c r="K19" s="162" t="s">
        <v>35</v>
      </c>
      <c r="L19" s="163" t="s">
        <v>1565</v>
      </c>
      <c r="M19" s="164" t="s">
        <v>37</v>
      </c>
      <c r="N19" s="165"/>
    </row>
    <row r="20" ht="18.75" customHeight="1">
      <c r="A20" s="147"/>
      <c r="B20" s="148"/>
      <c r="C20" s="149"/>
      <c r="D20" s="149"/>
      <c r="E20" s="156"/>
      <c r="F20" s="148"/>
      <c r="G20" s="149"/>
      <c r="H20" s="149"/>
      <c r="I20" s="151"/>
      <c r="J20" s="166"/>
      <c r="K20" s="87"/>
      <c r="L20" s="87"/>
      <c r="M20" s="88"/>
      <c r="N20" s="165"/>
    </row>
    <row r="21" ht="18.75" customHeight="1">
      <c r="A21" s="147"/>
      <c r="B21" s="148"/>
      <c r="C21" s="149"/>
      <c r="D21" s="149"/>
      <c r="E21" s="156"/>
      <c r="F21" s="148"/>
      <c r="G21" s="149"/>
      <c r="H21" s="149"/>
      <c r="I21" s="151"/>
      <c r="J21" s="167">
        <v>1.0</v>
      </c>
      <c r="K21" s="168">
        <v>528.0</v>
      </c>
      <c r="L21" s="169">
        <v>1.0</v>
      </c>
      <c r="M21" s="170" t="s">
        <v>1580</v>
      </c>
      <c r="N21" s="160"/>
    </row>
    <row r="22" ht="18.75" customHeight="1">
      <c r="A22" s="147"/>
      <c r="B22" s="148"/>
      <c r="C22" s="149"/>
      <c r="D22" s="149"/>
      <c r="E22" s="156"/>
      <c r="F22" s="148"/>
      <c r="G22" s="149"/>
      <c r="H22" s="149"/>
      <c r="I22" s="151"/>
      <c r="J22" s="171" t="s">
        <v>1568</v>
      </c>
      <c r="K22" s="172" t="s">
        <v>1470</v>
      </c>
      <c r="L22" s="173" t="s">
        <v>1471</v>
      </c>
      <c r="M22" s="174" t="s">
        <v>1472</v>
      </c>
      <c r="N22" s="160"/>
    </row>
    <row r="23" ht="18.75" customHeight="1">
      <c r="A23" s="147"/>
      <c r="B23" s="148"/>
      <c r="C23" s="149"/>
      <c r="D23" s="149"/>
      <c r="E23" s="156"/>
      <c r="F23" s="148"/>
      <c r="G23" s="149"/>
      <c r="H23" s="149"/>
      <c r="I23" s="151"/>
      <c r="J23" s="166"/>
      <c r="K23" s="87"/>
      <c r="L23" s="87"/>
      <c r="M23" s="88"/>
      <c r="N23" s="160"/>
    </row>
    <row r="24" ht="18.75" customHeight="1">
      <c r="A24" s="147"/>
      <c r="B24" s="148"/>
      <c r="C24" s="149"/>
      <c r="D24" s="149"/>
      <c r="E24" s="156"/>
      <c r="F24" s="148"/>
      <c r="G24" s="149"/>
      <c r="H24" s="149"/>
      <c r="I24" s="151"/>
      <c r="J24" s="175">
        <v>1.0</v>
      </c>
      <c r="K24" s="169">
        <v>91.0</v>
      </c>
      <c r="L24" s="169">
        <v>12.0</v>
      </c>
      <c r="M24" s="176">
        <v>1.0</v>
      </c>
      <c r="N24" s="160"/>
    </row>
    <row r="25" ht="18.75" customHeight="1">
      <c r="A25" s="147"/>
      <c r="B25" s="148"/>
      <c r="C25" s="149"/>
      <c r="D25" s="149"/>
      <c r="E25" s="156"/>
      <c r="F25" s="148"/>
      <c r="G25" s="149"/>
      <c r="H25" s="149"/>
      <c r="I25" s="151"/>
      <c r="J25" s="177" t="s">
        <v>1570</v>
      </c>
      <c r="K25" s="93"/>
      <c r="L25" s="178" t="s">
        <v>1474</v>
      </c>
      <c r="M25" s="179" t="s">
        <v>1475</v>
      </c>
      <c r="N25" s="160"/>
    </row>
    <row r="26" ht="21.75" customHeight="1">
      <c r="A26" s="147"/>
      <c r="B26" s="148"/>
      <c r="C26" s="149"/>
      <c r="D26" s="149"/>
      <c r="E26" s="156"/>
      <c r="F26" s="148"/>
      <c r="G26" s="149"/>
      <c r="H26" s="149"/>
      <c r="I26" s="151"/>
      <c r="J26" s="57"/>
      <c r="K26" s="59"/>
      <c r="L26" s="87"/>
      <c r="M26" s="88"/>
      <c r="N26" s="160"/>
    </row>
    <row r="27" ht="18.75" customHeight="1">
      <c r="A27" s="147"/>
      <c r="B27" s="148"/>
      <c r="C27" s="149"/>
      <c r="D27" s="149"/>
      <c r="E27" s="156"/>
      <c r="F27" s="148"/>
      <c r="G27" s="149"/>
      <c r="H27" s="149"/>
      <c r="I27" s="151"/>
      <c r="J27" s="180">
        <v>0.0</v>
      </c>
      <c r="K27" s="95"/>
      <c r="L27" s="181">
        <v>0.08333333333333333</v>
      </c>
      <c r="M27" s="182">
        <v>0.0</v>
      </c>
      <c r="N27" s="160"/>
    </row>
    <row r="28" ht="18.75" customHeight="1">
      <c r="A28" s="147"/>
      <c r="B28" s="148"/>
      <c r="C28" s="149"/>
      <c r="D28" s="149"/>
      <c r="E28" s="156"/>
      <c r="F28" s="148"/>
      <c r="G28" s="149"/>
      <c r="H28" s="149"/>
      <c r="I28" s="151"/>
      <c r="J28" s="183"/>
      <c r="L28" s="184" t="s">
        <v>1476</v>
      </c>
      <c r="M28" s="179" t="s">
        <v>1477</v>
      </c>
      <c r="N28" s="160"/>
    </row>
    <row r="29" ht="18.75" customHeight="1">
      <c r="A29" s="147"/>
      <c r="B29" s="148"/>
      <c r="C29" s="149"/>
      <c r="D29" s="149"/>
      <c r="E29" s="156"/>
      <c r="F29" s="148"/>
      <c r="G29" s="149"/>
      <c r="H29" s="149"/>
      <c r="I29" s="151"/>
      <c r="J29" s="37"/>
      <c r="L29" s="87"/>
      <c r="M29" s="88"/>
      <c r="N29" s="160"/>
    </row>
    <row r="30" ht="18.75" customHeight="1">
      <c r="A30" s="147"/>
      <c r="B30" s="148"/>
      <c r="C30" s="149"/>
      <c r="D30" s="149"/>
      <c r="E30" s="156"/>
      <c r="F30" s="148"/>
      <c r="G30" s="149"/>
      <c r="H30" s="149"/>
      <c r="I30" s="151"/>
      <c r="J30" s="19"/>
      <c r="K30" s="29"/>
      <c r="L30" s="185">
        <v>0.9166666666666666</v>
      </c>
      <c r="M30" s="186">
        <v>0.0</v>
      </c>
      <c r="N30" s="160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  <col customWidth="1" min="13" max="13" width="1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</row>
    <row r="2">
      <c r="A2" s="1"/>
      <c r="B2" s="1"/>
      <c r="C2" s="188"/>
      <c r="D2" s="1"/>
      <c r="E2" s="187"/>
      <c r="F2" s="1"/>
      <c r="G2" s="1"/>
      <c r="H2" s="1"/>
      <c r="I2" s="1"/>
      <c r="J2" s="1"/>
      <c r="K2" s="187"/>
      <c r="L2" s="1"/>
      <c r="M2" s="1"/>
      <c r="N2" s="1"/>
      <c r="O2" s="1"/>
      <c r="P2" s="1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</row>
    <row r="3">
      <c r="A3" s="1"/>
      <c r="B3" s="1"/>
      <c r="C3" s="188"/>
      <c r="D3" s="1"/>
      <c r="E3" s="1"/>
      <c r="F3" s="1"/>
      <c r="G3" s="1"/>
      <c r="H3" s="1"/>
      <c r="I3" s="1"/>
      <c r="J3" s="1"/>
      <c r="K3" s="187"/>
      <c r="L3" s="1"/>
      <c r="M3" s="1"/>
      <c r="N3" s="1"/>
      <c r="O3" s="1"/>
      <c r="P3" s="1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</row>
    <row r="4">
      <c r="A4" s="1"/>
      <c r="B4" s="1"/>
      <c r="C4" s="188"/>
      <c r="D4" s="1"/>
      <c r="E4" s="187"/>
      <c r="F4" s="1"/>
      <c r="G4" s="1"/>
      <c r="H4" s="1"/>
      <c r="I4" s="1"/>
      <c r="J4" s="1"/>
      <c r="K4" s="187"/>
      <c r="L4" s="1"/>
      <c r="M4" s="1"/>
      <c r="N4" s="1"/>
      <c r="O4" s="1"/>
      <c r="P4" s="1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</row>
    <row r="5">
      <c r="A5" s="1"/>
      <c r="B5" s="1"/>
      <c r="C5" s="188"/>
      <c r="D5" s="1"/>
      <c r="E5" s="1"/>
      <c r="F5" s="1"/>
      <c r="G5" s="1"/>
      <c r="H5" s="1"/>
      <c r="I5" s="1"/>
      <c r="J5" s="1"/>
      <c r="K5" s="187"/>
      <c r="L5" s="1"/>
      <c r="M5" s="1"/>
      <c r="N5" s="1"/>
      <c r="O5" s="1"/>
      <c r="P5" s="1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</row>
    <row r="6">
      <c r="A6" s="1"/>
      <c r="B6" s="1"/>
      <c r="C6" s="188"/>
      <c r="D6" s="1"/>
      <c r="E6" s="1"/>
      <c r="F6" s="1"/>
      <c r="G6" s="1"/>
      <c r="H6" s="1"/>
      <c r="I6" s="1"/>
      <c r="J6" s="1"/>
      <c r="K6" s="187"/>
      <c r="L6" s="1"/>
      <c r="M6" s="1"/>
      <c r="N6" s="1"/>
      <c r="O6" s="1"/>
      <c r="P6" s="1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</row>
    <row r="7">
      <c r="A7" s="1"/>
      <c r="B7" s="1"/>
      <c r="C7" s="18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</row>
    <row r="8">
      <c r="A8" s="1"/>
      <c r="B8" s="1"/>
      <c r="C8" s="18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</row>
    <row r="9">
      <c r="A9" s="1"/>
      <c r="B9" s="1"/>
      <c r="C9" s="188"/>
      <c r="D9" s="1"/>
      <c r="E9" s="187"/>
      <c r="F9" s="1"/>
      <c r="G9" s="1"/>
      <c r="H9" s="1"/>
      <c r="I9" s="1"/>
      <c r="J9" s="1"/>
      <c r="K9" s="187"/>
      <c r="L9" s="1"/>
      <c r="M9" s="1"/>
      <c r="N9" s="1"/>
      <c r="O9" s="1"/>
      <c r="P9" s="1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</row>
    <row r="10">
      <c r="A10" s="1"/>
      <c r="B10" s="188"/>
      <c r="C10" s="188"/>
      <c r="D10" s="1"/>
      <c r="E10" s="1"/>
      <c r="F10" s="1"/>
      <c r="G10" s="1"/>
      <c r="H10" s="1"/>
      <c r="I10" s="1"/>
      <c r="J10" s="1"/>
      <c r="K10" s="187"/>
      <c r="L10" s="1"/>
      <c r="M10" s="1"/>
      <c r="N10" s="1"/>
      <c r="O10" s="1"/>
      <c r="P10" s="1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</row>
    <row r="11">
      <c r="A11" s="1"/>
      <c r="B11" s="1"/>
      <c r="C11" s="188"/>
      <c r="D11" s="1"/>
      <c r="E11" s="187"/>
      <c r="F11" s="1"/>
      <c r="G11" s="1"/>
      <c r="H11" s="1"/>
      <c r="I11" s="1"/>
      <c r="J11" s="1"/>
      <c r="K11" s="187"/>
      <c r="L11" s="1"/>
      <c r="M11" s="1"/>
      <c r="N11" s="1"/>
      <c r="O11" s="1"/>
      <c r="P11" s="1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</row>
    <row r="12">
      <c r="A12" s="1"/>
      <c r="B12" s="1"/>
      <c r="C12" s="188"/>
      <c r="D12" s="1"/>
      <c r="E12" s="1"/>
      <c r="F12" s="1"/>
      <c r="G12" s="1"/>
      <c r="H12" s="1"/>
      <c r="I12" s="1"/>
      <c r="J12" s="1"/>
      <c r="K12" s="187"/>
      <c r="L12" s="1"/>
      <c r="M12" s="1"/>
      <c r="N12" s="1"/>
      <c r="O12" s="1"/>
      <c r="P12" s="1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</row>
    <row r="13">
      <c r="A13" s="1"/>
      <c r="B13" s="1"/>
      <c r="C13" s="188"/>
      <c r="D13" s="1"/>
      <c r="E13" s="187"/>
      <c r="F13" s="1"/>
      <c r="G13" s="1"/>
      <c r="H13" s="1"/>
      <c r="I13" s="1"/>
      <c r="J13" s="1"/>
      <c r="K13" s="187"/>
      <c r="L13" s="1"/>
      <c r="M13" s="1"/>
      <c r="N13" s="1"/>
      <c r="O13" s="1"/>
      <c r="P13" s="1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</row>
    <row r="14">
      <c r="A14" s="1"/>
      <c r="B14" s="1"/>
      <c r="C14" s="188"/>
      <c r="D14" s="1"/>
      <c r="E14" s="1"/>
      <c r="F14" s="1"/>
      <c r="G14" s="1"/>
      <c r="H14" s="1"/>
      <c r="I14" s="1"/>
      <c r="J14" s="1"/>
      <c r="K14" s="187"/>
      <c r="L14" s="1"/>
      <c r="M14" s="1"/>
      <c r="N14" s="1"/>
      <c r="O14" s="1"/>
      <c r="P14" s="1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</row>
    <row r="15">
      <c r="A15" s="1"/>
      <c r="B15" s="1"/>
      <c r="C15" s="188"/>
      <c r="D15" s="1"/>
      <c r="E15" s="187"/>
      <c r="F15" s="1"/>
      <c r="G15" s="1"/>
      <c r="H15" s="1"/>
      <c r="I15" s="1"/>
      <c r="J15" s="1"/>
      <c r="K15" s="187"/>
      <c r="L15" s="1"/>
      <c r="M15" s="1"/>
      <c r="N15" s="1"/>
      <c r="O15" s="1"/>
      <c r="P15" s="1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87"/>
      <c r="L16" s="1"/>
      <c r="M16" s="1"/>
      <c r="N16" s="1"/>
      <c r="O16" s="1"/>
      <c r="P16" s="1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</row>
    <row r="17">
      <c r="A17" s="1"/>
      <c r="B17" s="1"/>
      <c r="C17" s="188"/>
      <c r="D17" s="1"/>
      <c r="E17" s="187"/>
      <c r="F17" s="1"/>
      <c r="G17" s="1"/>
      <c r="H17" s="1"/>
      <c r="I17" s="1"/>
      <c r="J17" s="1"/>
      <c r="K17" s="187"/>
      <c r="L17" s="1"/>
      <c r="M17" s="1"/>
      <c r="N17" s="1"/>
      <c r="O17" s="1"/>
      <c r="P17" s="1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</row>
    <row r="18">
      <c r="A18" s="1"/>
      <c r="B18" s="1"/>
      <c r="C18" s="188"/>
      <c r="D18" s="1"/>
      <c r="E18" s="187"/>
      <c r="F18" s="1"/>
      <c r="G18" s="1"/>
      <c r="H18" s="1"/>
      <c r="I18" s="1"/>
      <c r="J18" s="1"/>
      <c r="K18" s="187"/>
      <c r="L18" s="1"/>
      <c r="M18" s="1"/>
      <c r="N18" s="1"/>
      <c r="O18" s="1"/>
      <c r="P18" s="1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</row>
    <row r="19">
      <c r="A19" s="1"/>
      <c r="B19" s="1"/>
      <c r="C19" s="188"/>
      <c r="D19" s="1"/>
      <c r="E19" s="1"/>
      <c r="F19" s="1"/>
      <c r="G19" s="1"/>
      <c r="H19" s="1"/>
      <c r="I19" s="1"/>
      <c r="J19" s="1"/>
      <c r="K19" s="187"/>
      <c r="L19" s="1"/>
      <c r="M19" s="1"/>
      <c r="N19" s="1"/>
      <c r="O19" s="1"/>
      <c r="P19" s="1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</row>
    <row r="20">
      <c r="A20" s="1"/>
      <c r="B20" s="1"/>
      <c r="C20" s="188"/>
      <c r="D20" s="1"/>
      <c r="E20" s="1"/>
      <c r="F20" s="1"/>
      <c r="G20" s="1"/>
      <c r="H20" s="1"/>
      <c r="I20" s="1"/>
      <c r="J20" s="1"/>
      <c r="K20" s="187"/>
      <c r="L20" s="1"/>
      <c r="M20" s="1"/>
      <c r="N20" s="1"/>
      <c r="O20" s="1"/>
      <c r="P20" s="1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</row>
    <row r="21">
      <c r="A21" s="1"/>
      <c r="B21" s="1"/>
      <c r="C21" s="188"/>
      <c r="D21" s="1"/>
      <c r="E21" s="187"/>
      <c r="F21" s="1"/>
      <c r="G21" s="1"/>
      <c r="H21" s="1"/>
      <c r="I21" s="1"/>
      <c r="J21" s="1"/>
      <c r="K21" s="187"/>
      <c r="L21" s="1"/>
      <c r="M21" s="1"/>
      <c r="N21" s="1"/>
      <c r="O21" s="1"/>
      <c r="P21" s="1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</row>
    <row r="22">
      <c r="A22" s="1"/>
      <c r="B22" s="1"/>
      <c r="C22" s="188"/>
      <c r="D22" s="1"/>
      <c r="E22" s="187"/>
      <c r="F22" s="1"/>
      <c r="G22" s="1"/>
      <c r="H22" s="1"/>
      <c r="I22" s="1"/>
      <c r="J22" s="1"/>
      <c r="K22" s="187"/>
      <c r="L22" s="1"/>
      <c r="M22" s="1"/>
      <c r="N22" s="1"/>
      <c r="O22" s="1"/>
      <c r="P22" s="1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</row>
    <row r="23">
      <c r="A23" s="1"/>
      <c r="B23" s="1"/>
      <c r="C23" s="188"/>
      <c r="D23" s="1"/>
      <c r="E23" s="187"/>
      <c r="F23" s="1"/>
      <c r="G23" s="1"/>
      <c r="H23" s="1"/>
      <c r="I23" s="1"/>
      <c r="J23" s="1"/>
      <c r="K23" s="187"/>
      <c r="L23" s="1"/>
      <c r="M23" s="1"/>
      <c r="N23" s="1"/>
      <c r="O23" s="1"/>
      <c r="P23" s="1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</row>
    <row r="24">
      <c r="A24" s="1"/>
      <c r="B24" s="1"/>
      <c r="C24" s="188"/>
      <c r="D24" s="1"/>
      <c r="E24" s="187"/>
      <c r="F24" s="1"/>
      <c r="G24" s="1"/>
      <c r="H24" s="1"/>
      <c r="I24" s="1"/>
      <c r="J24" s="1"/>
      <c r="K24" s="187"/>
      <c r="L24" s="1"/>
      <c r="M24" s="1"/>
      <c r="N24" s="1"/>
      <c r="O24" s="1"/>
      <c r="P24" s="1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</row>
    <row r="25">
      <c r="A25" s="1"/>
      <c r="B25" s="1"/>
      <c r="C25" s="188"/>
      <c r="D25" s="1"/>
      <c r="E25" s="1"/>
      <c r="F25" s="1"/>
      <c r="G25" s="1"/>
      <c r="H25" s="1"/>
      <c r="I25" s="1"/>
      <c r="J25" s="1"/>
      <c r="K25" s="187"/>
      <c r="L25" s="1"/>
      <c r="M25" s="1"/>
      <c r="N25" s="1"/>
      <c r="O25" s="1"/>
      <c r="P25" s="1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>
      <c r="A26" s="1"/>
      <c r="B26" s="1"/>
      <c r="C26" s="188"/>
      <c r="D26" s="1"/>
      <c r="E26" s="187"/>
      <c r="F26" s="1"/>
      <c r="G26" s="1"/>
      <c r="H26" s="1"/>
      <c r="I26" s="1"/>
      <c r="J26" s="1"/>
      <c r="K26" s="187"/>
      <c r="L26" s="1"/>
      <c r="M26" s="1"/>
      <c r="N26" s="1"/>
      <c r="O26" s="1"/>
      <c r="P26" s="1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</row>
    <row r="27">
      <c r="A27" s="1"/>
      <c r="B27" s="1"/>
      <c r="C27" s="188"/>
      <c r="D27" s="1"/>
      <c r="E27" s="1"/>
      <c r="F27" s="1"/>
      <c r="G27" s="1"/>
      <c r="H27" s="1"/>
      <c r="I27" s="1"/>
      <c r="J27" s="1"/>
      <c r="K27" s="187"/>
      <c r="L27" s="1"/>
      <c r="M27" s="1"/>
      <c r="N27" s="1"/>
      <c r="O27" s="1"/>
      <c r="P27" s="1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</row>
    <row r="28">
      <c r="A28" s="1"/>
      <c r="B28" s="188"/>
      <c r="C28" s="188"/>
      <c r="D28" s="1"/>
      <c r="E28" s="187"/>
      <c r="F28" s="1"/>
      <c r="G28" s="1"/>
      <c r="H28" s="1"/>
      <c r="I28" s="1"/>
      <c r="J28" s="1"/>
      <c r="K28" s="187"/>
      <c r="L28" s="1"/>
      <c r="M28" s="1"/>
      <c r="N28" s="1"/>
      <c r="O28" s="1"/>
      <c r="P28" s="1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</row>
    <row r="29">
      <c r="A29" s="1"/>
      <c r="B29" s="1"/>
      <c r="C29" s="18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</row>
    <row r="30">
      <c r="A30" s="1"/>
      <c r="B30" s="188"/>
      <c r="C30" s="188"/>
      <c r="D30" s="1"/>
      <c r="E30" s="1"/>
      <c r="F30" s="1"/>
      <c r="G30" s="1"/>
      <c r="H30" s="1"/>
      <c r="I30" s="1"/>
      <c r="J30" s="1"/>
      <c r="K30" s="187"/>
      <c r="L30" s="1"/>
      <c r="M30" s="1"/>
      <c r="N30" s="1"/>
      <c r="O30" s="1"/>
      <c r="P30" s="1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</row>
    <row r="31">
      <c r="A31" s="1"/>
      <c r="B31" s="1"/>
      <c r="C31" s="188"/>
      <c r="D31" s="1"/>
      <c r="E31" s="1"/>
      <c r="F31" s="1"/>
      <c r="G31" s="1"/>
      <c r="H31" s="1"/>
      <c r="I31" s="1"/>
      <c r="J31" s="1"/>
      <c r="K31" s="187"/>
      <c r="L31" s="1"/>
      <c r="M31" s="1"/>
      <c r="N31" s="1"/>
      <c r="O31" s="1"/>
      <c r="P31" s="1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</row>
    <row r="32">
      <c r="A32" s="1"/>
      <c r="B32" s="188"/>
      <c r="C32" s="188"/>
      <c r="D32" s="1"/>
      <c r="E32" s="1"/>
      <c r="F32" s="1"/>
      <c r="G32" s="1"/>
      <c r="H32" s="1"/>
      <c r="I32" s="1"/>
      <c r="J32" s="1"/>
      <c r="K32" s="187"/>
      <c r="L32" s="1"/>
      <c r="M32" s="1"/>
      <c r="N32" s="1"/>
      <c r="O32" s="1"/>
      <c r="P32" s="1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</row>
    <row r="33">
      <c r="A33" s="1"/>
      <c r="B33" s="1"/>
      <c r="C33" s="18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</row>
    <row r="34">
      <c r="A34" s="1"/>
      <c r="B34" s="188"/>
      <c r="C34" s="188"/>
      <c r="D34" s="1"/>
      <c r="E34" s="187"/>
      <c r="F34" s="1"/>
      <c r="G34" s="1"/>
      <c r="H34" s="1"/>
      <c r="I34" s="1"/>
      <c r="J34" s="1"/>
      <c r="K34" s="187"/>
      <c r="L34" s="1"/>
      <c r="M34" s="1"/>
      <c r="N34" s="1"/>
      <c r="O34" s="1"/>
      <c r="P34" s="1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</row>
    <row r="35">
      <c r="A35" s="1"/>
      <c r="B35" s="1"/>
      <c r="C35" s="188"/>
      <c r="D35" s="1"/>
      <c r="E35" s="187"/>
      <c r="F35" s="1"/>
      <c r="G35" s="1"/>
      <c r="H35" s="1"/>
      <c r="I35" s="1"/>
      <c r="J35" s="1"/>
      <c r="K35" s="187"/>
      <c r="L35" s="1"/>
      <c r="M35" s="1"/>
      <c r="N35" s="1"/>
      <c r="O35" s="1"/>
      <c r="P35" s="1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</row>
    <row r="36">
      <c r="A36" s="1"/>
      <c r="B36" s="1"/>
      <c r="C36" s="188"/>
      <c r="D36" s="1"/>
      <c r="E36" s="187"/>
      <c r="F36" s="1"/>
      <c r="G36" s="1"/>
      <c r="H36" s="1"/>
      <c r="I36" s="1"/>
      <c r="J36" s="1"/>
      <c r="K36" s="187"/>
      <c r="L36" s="1"/>
      <c r="M36" s="1"/>
      <c r="N36" s="1"/>
      <c r="O36" s="1"/>
      <c r="P36" s="1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</row>
    <row r="37">
      <c r="A37" s="1"/>
      <c r="B37" s="188"/>
      <c r="C37" s="188"/>
      <c r="D37" s="1"/>
      <c r="E37" s="1"/>
      <c r="F37" s="1"/>
      <c r="G37" s="1"/>
      <c r="H37" s="1"/>
      <c r="I37" s="1"/>
      <c r="J37" s="1"/>
      <c r="K37" s="187"/>
      <c r="L37" s="1"/>
      <c r="M37" s="1"/>
      <c r="N37" s="1"/>
      <c r="O37" s="1"/>
      <c r="P37" s="1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</row>
    <row r="38">
      <c r="A38" s="1"/>
      <c r="B38" s="1"/>
      <c r="C38" s="188"/>
      <c r="D38" s="1"/>
      <c r="E38" s="1"/>
      <c r="F38" s="1"/>
      <c r="G38" s="1"/>
      <c r="H38" s="1"/>
      <c r="I38" s="1"/>
      <c r="J38" s="1"/>
      <c r="K38" s="187"/>
      <c r="L38" s="1"/>
      <c r="M38" s="1"/>
      <c r="N38" s="1"/>
      <c r="O38" s="1"/>
      <c r="P38" s="1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</row>
    <row r="39">
      <c r="A39" s="1"/>
      <c r="B39" s="1"/>
      <c r="C39" s="188"/>
      <c r="D39" s="1"/>
      <c r="E39" s="187"/>
      <c r="F39" s="1"/>
      <c r="G39" s="1"/>
      <c r="H39" s="1"/>
      <c r="I39" s="1"/>
      <c r="J39" s="1"/>
      <c r="K39" s="187"/>
      <c r="L39" s="1"/>
      <c r="M39" s="1"/>
      <c r="N39" s="1"/>
      <c r="O39" s="1"/>
      <c r="P39" s="1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</row>
    <row r="40">
      <c r="A40" s="1"/>
      <c r="B40" s="1"/>
      <c r="C40" s="1"/>
      <c r="D40" s="1"/>
      <c r="E40" s="187"/>
      <c r="F40" s="1"/>
      <c r="G40" s="1"/>
      <c r="H40" s="1"/>
      <c r="I40" s="1"/>
      <c r="J40" s="1"/>
      <c r="K40" s="187"/>
      <c r="L40" s="1"/>
      <c r="M40" s="1"/>
      <c r="N40" s="1"/>
      <c r="O40" s="1"/>
      <c r="P40" s="1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</row>
    <row r="41">
      <c r="A41" s="1"/>
      <c r="B41" s="1"/>
      <c r="C41" s="1"/>
      <c r="D41" s="1"/>
      <c r="E41" s="187"/>
      <c r="F41" s="1"/>
      <c r="G41" s="1"/>
      <c r="H41" s="1"/>
      <c r="I41" s="1"/>
      <c r="J41" s="1"/>
      <c r="K41" s="187"/>
      <c r="L41" s="1"/>
      <c r="M41" s="1"/>
      <c r="N41" s="1"/>
      <c r="O41" s="1"/>
      <c r="P41" s="1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</row>
    <row r="42">
      <c r="A42" s="1"/>
      <c r="B42" s="1"/>
      <c r="C42" s="18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</row>
    <row r="43">
      <c r="A43" s="1"/>
      <c r="B43" s="1"/>
      <c r="C43" s="188"/>
      <c r="D43" s="1"/>
      <c r="E43" s="1"/>
      <c r="F43" s="1"/>
      <c r="G43" s="1"/>
      <c r="H43" s="1"/>
      <c r="I43" s="1"/>
      <c r="J43" s="1"/>
      <c r="K43" s="187"/>
      <c r="L43" s="1"/>
      <c r="M43" s="1"/>
      <c r="N43" s="1"/>
      <c r="O43" s="1"/>
      <c r="P43" s="1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</row>
    <row r="44">
      <c r="A44" s="1"/>
      <c r="B44" s="1"/>
      <c r="C44" s="188"/>
      <c r="D44" s="1"/>
      <c r="E44" s="1"/>
      <c r="F44" s="1"/>
      <c r="G44" s="1"/>
      <c r="H44" s="1"/>
      <c r="I44" s="1"/>
      <c r="J44" s="1"/>
      <c r="K44" s="187"/>
      <c r="L44" s="1"/>
      <c r="M44" s="1"/>
      <c r="N44" s="1"/>
      <c r="O44" s="1"/>
      <c r="P44" s="1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</row>
    <row r="45">
      <c r="A45" s="1"/>
      <c r="B45" s="1"/>
      <c r="C45" s="188"/>
      <c r="D45" s="1"/>
      <c r="E45" s="187"/>
      <c r="F45" s="1"/>
      <c r="G45" s="1"/>
      <c r="H45" s="1"/>
      <c r="I45" s="1"/>
      <c r="J45" s="1"/>
      <c r="K45" s="187"/>
      <c r="L45" s="1"/>
      <c r="M45" s="1"/>
      <c r="N45" s="1"/>
      <c r="O45" s="1"/>
      <c r="P45" s="1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</row>
    <row r="46">
      <c r="A46" s="1"/>
      <c r="B46" s="1"/>
      <c r="C46" s="188"/>
      <c r="D46" s="1"/>
      <c r="E46" s="1"/>
      <c r="F46" s="1"/>
      <c r="G46" s="1"/>
      <c r="H46" s="1"/>
      <c r="I46" s="1"/>
      <c r="J46" s="1"/>
      <c r="K46" s="187"/>
      <c r="L46" s="1"/>
      <c r="M46" s="1"/>
      <c r="N46" s="1"/>
      <c r="O46" s="1"/>
      <c r="P46" s="1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</row>
    <row r="47">
      <c r="A47" s="1"/>
      <c r="B47" s="1"/>
      <c r="C47" s="188"/>
      <c r="D47" s="1"/>
      <c r="E47" s="1"/>
      <c r="F47" s="1"/>
      <c r="G47" s="1"/>
      <c r="H47" s="1"/>
      <c r="I47" s="1"/>
      <c r="J47" s="1"/>
      <c r="K47" s="187"/>
      <c r="L47" s="1"/>
      <c r="M47" s="1"/>
      <c r="N47" s="1"/>
      <c r="O47" s="1"/>
      <c r="P47" s="1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</row>
    <row r="48">
      <c r="A48" s="1"/>
      <c r="B48" s="1"/>
      <c r="C48" s="18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87"/>
      <c r="L49" s="1"/>
      <c r="M49" s="1"/>
      <c r="N49" s="1"/>
      <c r="O49" s="1"/>
      <c r="P49" s="1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</row>
    <row r="50">
      <c r="A50" s="1"/>
      <c r="B50" s="1"/>
      <c r="C50" s="188"/>
      <c r="D50" s="1"/>
      <c r="E50" s="1"/>
      <c r="F50" s="1"/>
      <c r="G50" s="1"/>
      <c r="H50" s="1"/>
      <c r="I50" s="1"/>
      <c r="J50" s="1"/>
      <c r="K50" s="187"/>
      <c r="L50" s="1"/>
      <c r="M50" s="1"/>
      <c r="N50" s="1"/>
      <c r="O50" s="1"/>
      <c r="P50" s="1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</row>
    <row r="51">
      <c r="A51" s="1"/>
      <c r="B51" s="1"/>
      <c r="C51" s="1"/>
      <c r="D51" s="1"/>
      <c r="E51" s="187"/>
      <c r="F51" s="1"/>
      <c r="G51" s="1"/>
      <c r="H51" s="1"/>
      <c r="I51" s="1"/>
      <c r="J51" s="1"/>
      <c r="K51" s="187"/>
      <c r="L51" s="1"/>
      <c r="M51" s="1"/>
      <c r="N51" s="1"/>
      <c r="O51" s="1"/>
      <c r="P51" s="1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</row>
    <row r="52">
      <c r="A52" s="1"/>
      <c r="B52" s="1"/>
      <c r="C52" s="188"/>
      <c r="D52" s="1"/>
      <c r="E52" s="187"/>
      <c r="F52" s="1"/>
      <c r="G52" s="1"/>
      <c r="H52" s="1"/>
      <c r="I52" s="1"/>
      <c r="J52" s="1"/>
      <c r="K52" s="187"/>
      <c r="L52" s="1"/>
      <c r="M52" s="1"/>
      <c r="N52" s="1"/>
      <c r="O52" s="1"/>
      <c r="P52" s="1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</row>
    <row r="53">
      <c r="A53" s="1"/>
      <c r="B53" s="1"/>
      <c r="C53" s="18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</row>
    <row r="54">
      <c r="A54" s="1"/>
      <c r="B54" s="188"/>
      <c r="C54" s="1"/>
      <c r="D54" s="1"/>
      <c r="E54" s="187"/>
      <c r="F54" s="1"/>
      <c r="G54" s="1"/>
      <c r="H54" s="1"/>
      <c r="I54" s="1"/>
      <c r="J54" s="1"/>
      <c r="K54" s="187"/>
      <c r="L54" s="1"/>
      <c r="M54" s="1"/>
      <c r="N54" s="1"/>
      <c r="O54" s="1"/>
      <c r="P54" s="1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</row>
    <row r="55">
      <c r="A55" s="1"/>
      <c r="B55" s="1"/>
      <c r="C55" s="188"/>
      <c r="D55" s="1"/>
      <c r="E55" s="1"/>
      <c r="F55" s="1"/>
      <c r="G55" s="1"/>
      <c r="H55" s="1"/>
      <c r="I55" s="1"/>
      <c r="J55" s="1"/>
      <c r="K55" s="187"/>
      <c r="L55" s="1"/>
      <c r="M55" s="1"/>
      <c r="N55" s="1"/>
      <c r="O55" s="1"/>
      <c r="P55" s="1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</row>
    <row r="56">
      <c r="A56" s="1"/>
      <c r="B56" s="1"/>
      <c r="C56" s="188"/>
      <c r="D56" s="1"/>
      <c r="E56" s="187"/>
      <c r="F56" s="1"/>
      <c r="G56" s="1"/>
      <c r="H56" s="1"/>
      <c r="I56" s="1"/>
      <c r="J56" s="1"/>
      <c r="K56" s="187"/>
      <c r="L56" s="1"/>
      <c r="M56" s="1"/>
      <c r="N56" s="1"/>
      <c r="O56" s="1"/>
      <c r="P56" s="1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</row>
    <row r="57">
      <c r="A57" s="1"/>
      <c r="B57" s="1"/>
      <c r="C57" s="188"/>
      <c r="D57" s="1"/>
      <c r="E57" s="1"/>
      <c r="F57" s="1"/>
      <c r="G57" s="1"/>
      <c r="H57" s="1"/>
      <c r="I57" s="1"/>
      <c r="J57" s="1"/>
      <c r="K57" s="187"/>
      <c r="L57" s="1"/>
      <c r="M57" s="1"/>
      <c r="N57" s="1"/>
      <c r="O57" s="1"/>
      <c r="P57" s="1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</row>
    <row r="58">
      <c r="A58" s="1"/>
      <c r="B58" s="1"/>
      <c r="C58" s="188"/>
      <c r="D58" s="1"/>
      <c r="E58" s="1"/>
      <c r="F58" s="1"/>
      <c r="G58" s="1"/>
      <c r="H58" s="1"/>
      <c r="I58" s="1"/>
      <c r="J58" s="1"/>
      <c r="K58" s="187"/>
      <c r="L58" s="1"/>
      <c r="M58" s="1"/>
      <c r="N58" s="1"/>
      <c r="O58" s="1"/>
      <c r="P58" s="1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</row>
    <row r="59">
      <c r="A59" s="1"/>
      <c r="B59" s="1"/>
      <c r="C59" s="18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</row>
    <row r="60">
      <c r="A60" s="1"/>
      <c r="B60" s="1"/>
      <c r="C60" s="1"/>
      <c r="D60" s="1"/>
      <c r="E60" s="187"/>
      <c r="F60" s="1"/>
      <c r="G60" s="1"/>
      <c r="H60" s="1"/>
      <c r="I60" s="1"/>
      <c r="J60" s="1"/>
      <c r="K60" s="187"/>
      <c r="L60" s="1"/>
      <c r="M60" s="1"/>
      <c r="N60" s="1"/>
      <c r="O60" s="1"/>
      <c r="P60" s="1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87"/>
      <c r="L61" s="1"/>
      <c r="M61" s="1"/>
      <c r="N61" s="1"/>
      <c r="O61" s="1"/>
      <c r="P61" s="1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</row>
    <row r="62">
      <c r="A62" s="1"/>
      <c r="B62" s="1"/>
      <c r="C62" s="188"/>
      <c r="D62" s="1"/>
      <c r="E62" s="1"/>
      <c r="F62" s="1"/>
      <c r="G62" s="1"/>
      <c r="H62" s="1"/>
      <c r="I62" s="1"/>
      <c r="J62" s="1"/>
      <c r="K62" s="187"/>
      <c r="L62" s="1"/>
      <c r="M62" s="1"/>
      <c r="N62" s="1"/>
      <c r="O62" s="1"/>
      <c r="P62" s="1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</row>
    <row r="63">
      <c r="A63" s="1"/>
      <c r="B63" s="1"/>
      <c r="C63" s="188"/>
      <c r="D63" s="1"/>
      <c r="E63" s="187"/>
      <c r="F63" s="1"/>
      <c r="G63" s="1"/>
      <c r="H63" s="1"/>
      <c r="I63" s="1"/>
      <c r="J63" s="1"/>
      <c r="K63" s="187"/>
      <c r="L63" s="1"/>
      <c r="M63" s="1"/>
      <c r="N63" s="1"/>
      <c r="O63" s="1"/>
      <c r="P63" s="1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</row>
    <row r="64">
      <c r="A64" s="1"/>
      <c r="B64" s="1"/>
      <c r="C64" s="188"/>
      <c r="D64" s="1"/>
      <c r="E64" s="187"/>
      <c r="F64" s="1"/>
      <c r="G64" s="1"/>
      <c r="H64" s="1"/>
      <c r="I64" s="1"/>
      <c r="J64" s="1"/>
      <c r="K64" s="187"/>
      <c r="L64" s="1"/>
      <c r="M64" s="1"/>
      <c r="N64" s="1"/>
      <c r="O64" s="1"/>
      <c r="P64" s="1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</row>
    <row r="65">
      <c r="A65" s="1"/>
      <c r="B65" s="1"/>
      <c r="C65" s="18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</row>
    <row r="66">
      <c r="A66" s="1"/>
      <c r="B66" s="1"/>
      <c r="C66" s="188"/>
      <c r="D66" s="1"/>
      <c r="E66" s="1"/>
      <c r="F66" s="1"/>
      <c r="G66" s="1"/>
      <c r="H66" s="1"/>
      <c r="I66" s="1"/>
      <c r="J66" s="1"/>
      <c r="K66" s="187"/>
      <c r="L66" s="1"/>
      <c r="M66" s="1"/>
      <c r="N66" s="1"/>
      <c r="O66" s="1"/>
      <c r="P66" s="1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</row>
    <row r="67">
      <c r="A67" s="1"/>
      <c r="B67" s="1"/>
      <c r="C67" s="188"/>
      <c r="D67" s="1"/>
      <c r="E67" s="187"/>
      <c r="F67" s="1"/>
      <c r="G67" s="1"/>
      <c r="H67" s="1"/>
      <c r="I67" s="1"/>
      <c r="J67" s="1"/>
      <c r="K67" s="187"/>
      <c r="L67" s="1"/>
      <c r="M67" s="1"/>
      <c r="N67" s="1"/>
      <c r="O67" s="1"/>
      <c r="P67" s="1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</row>
    <row r="68">
      <c r="A68" s="1"/>
      <c r="B68" s="188"/>
      <c r="C68" s="188"/>
      <c r="D68" s="1"/>
      <c r="E68" s="1"/>
      <c r="F68" s="1"/>
      <c r="G68" s="1"/>
      <c r="H68" s="1"/>
      <c r="I68" s="1"/>
      <c r="J68" s="1"/>
      <c r="K68" s="187"/>
      <c r="L68" s="1"/>
      <c r="M68" s="1"/>
      <c r="N68" s="1"/>
      <c r="O68" s="1"/>
      <c r="P68" s="1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</row>
    <row r="69">
      <c r="A69" s="1"/>
      <c r="B69" s="1"/>
      <c r="C69" s="188"/>
      <c r="D69" s="1"/>
      <c r="E69" s="1"/>
      <c r="F69" s="1"/>
      <c r="G69" s="1"/>
      <c r="H69" s="1"/>
      <c r="I69" s="1"/>
      <c r="J69" s="1"/>
      <c r="K69" s="187"/>
      <c r="L69" s="1"/>
      <c r="M69" s="1"/>
      <c r="N69" s="1"/>
      <c r="O69" s="1"/>
      <c r="P69" s="1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</row>
    <row r="70">
      <c r="A70" s="1"/>
      <c r="B70" s="1"/>
      <c r="C70" s="18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</row>
    <row r="71">
      <c r="A71" s="1"/>
      <c r="B71" s="1"/>
      <c r="C71" s="188"/>
      <c r="D71" s="1"/>
      <c r="E71" s="1"/>
      <c r="F71" s="1"/>
      <c r="G71" s="1"/>
      <c r="H71" s="1"/>
      <c r="I71" s="1"/>
      <c r="J71" s="1"/>
      <c r="K71" s="187"/>
      <c r="L71" s="1"/>
      <c r="M71" s="1"/>
      <c r="N71" s="1"/>
      <c r="O71" s="1"/>
      <c r="P71" s="1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</row>
    <row r="72">
      <c r="A72" s="1"/>
      <c r="B72" s="1"/>
      <c r="C72" s="188"/>
      <c r="D72" s="1"/>
      <c r="E72" s="1"/>
      <c r="F72" s="1"/>
      <c r="G72" s="1"/>
      <c r="H72" s="1"/>
      <c r="I72" s="1"/>
      <c r="J72" s="1"/>
      <c r="K72" s="187"/>
      <c r="L72" s="1"/>
      <c r="M72" s="1"/>
      <c r="N72" s="1"/>
      <c r="O72" s="1"/>
      <c r="P72" s="1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</row>
    <row r="73">
      <c r="A73" s="1"/>
      <c r="B73" s="1"/>
      <c r="C73" s="188"/>
      <c r="D73" s="1"/>
      <c r="E73" s="187"/>
      <c r="F73" s="1"/>
      <c r="G73" s="1"/>
      <c r="H73" s="1"/>
      <c r="I73" s="1"/>
      <c r="J73" s="1"/>
      <c r="K73" s="187"/>
      <c r="L73" s="1"/>
      <c r="M73" s="1"/>
      <c r="N73" s="1"/>
      <c r="O73" s="1"/>
      <c r="P73" s="1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</row>
    <row r="74">
      <c r="A74" s="1"/>
      <c r="B74" s="1"/>
      <c r="C74" s="188"/>
      <c r="D74" s="1"/>
      <c r="E74" s="1"/>
      <c r="F74" s="1"/>
      <c r="G74" s="1"/>
      <c r="H74" s="1"/>
      <c r="I74" s="1"/>
      <c r="J74" s="1"/>
      <c r="K74" s="187"/>
      <c r="L74" s="1"/>
      <c r="M74" s="1"/>
      <c r="N74" s="1"/>
      <c r="O74" s="1"/>
      <c r="P74" s="1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87"/>
      <c r="L75" s="1"/>
      <c r="M75" s="1"/>
      <c r="N75" s="1"/>
      <c r="O75" s="1"/>
      <c r="P75" s="1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</row>
    <row r="76">
      <c r="A76" s="1"/>
      <c r="B76" s="1"/>
      <c r="C76" s="18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</row>
    <row r="77">
      <c r="A77" s="1"/>
      <c r="B77" s="1"/>
      <c r="C77" s="188"/>
      <c r="D77" s="1"/>
      <c r="E77" s="187"/>
      <c r="F77" s="1"/>
      <c r="G77" s="1"/>
      <c r="H77" s="1"/>
      <c r="I77" s="1"/>
      <c r="J77" s="1"/>
      <c r="K77" s="187"/>
      <c r="L77" s="1"/>
      <c r="M77" s="1"/>
      <c r="N77" s="1"/>
      <c r="O77" s="1"/>
      <c r="P77" s="1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</row>
    <row r="78">
      <c r="A78" s="1"/>
      <c r="B78" s="1"/>
      <c r="C78" s="188"/>
      <c r="D78" s="1"/>
      <c r="E78" s="1"/>
      <c r="F78" s="1"/>
      <c r="G78" s="1"/>
      <c r="H78" s="1"/>
      <c r="I78" s="1"/>
      <c r="J78" s="1"/>
      <c r="K78" s="187"/>
      <c r="L78" s="1"/>
      <c r="M78" s="1"/>
      <c r="N78" s="1"/>
      <c r="O78" s="1"/>
      <c r="P78" s="1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</row>
    <row r="79">
      <c r="A79" s="1"/>
      <c r="B79" s="1"/>
      <c r="C79" s="1"/>
      <c r="D79" s="1"/>
      <c r="E79" s="187"/>
      <c r="F79" s="1"/>
      <c r="G79" s="1"/>
      <c r="H79" s="1"/>
      <c r="I79" s="1"/>
      <c r="J79" s="1"/>
      <c r="K79" s="187"/>
      <c r="L79" s="1"/>
      <c r="M79" s="1"/>
      <c r="N79" s="1"/>
      <c r="O79" s="1"/>
      <c r="P79" s="1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</row>
    <row r="81">
      <c r="A81" s="1"/>
      <c r="B81" s="1"/>
      <c r="C81" s="188"/>
      <c r="D81" s="1"/>
      <c r="E81" s="187"/>
      <c r="F81" s="1"/>
      <c r="G81" s="1"/>
      <c r="H81" s="1"/>
      <c r="I81" s="1"/>
      <c r="J81" s="1"/>
      <c r="K81" s="187"/>
      <c r="L81" s="1"/>
      <c r="M81" s="1"/>
      <c r="N81" s="1"/>
      <c r="O81" s="1"/>
      <c r="P81" s="1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</row>
    <row r="82">
      <c r="A82" s="1"/>
      <c r="B82" s="1"/>
      <c r="C82" s="188"/>
      <c r="D82" s="1"/>
      <c r="E82" s="1"/>
      <c r="F82" s="1"/>
      <c r="G82" s="1"/>
      <c r="H82" s="1"/>
      <c r="I82" s="1"/>
      <c r="J82" s="1"/>
      <c r="K82" s="187"/>
      <c r="L82" s="1"/>
      <c r="M82" s="1"/>
      <c r="N82" s="1"/>
      <c r="O82" s="1"/>
      <c r="P82" s="1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</row>
    <row r="83">
      <c r="A83" s="1"/>
      <c r="B83" s="1"/>
      <c r="C83" s="1"/>
      <c r="D83" s="1"/>
      <c r="E83" s="187"/>
      <c r="F83" s="1"/>
      <c r="G83" s="1"/>
      <c r="H83" s="1"/>
      <c r="I83" s="1"/>
      <c r="J83" s="1"/>
      <c r="K83" s="187"/>
      <c r="L83" s="1"/>
      <c r="M83" s="1"/>
      <c r="N83" s="1"/>
      <c r="O83" s="1"/>
      <c r="P83" s="1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</row>
    <row r="84">
      <c r="A84" s="1"/>
      <c r="B84" s="1"/>
      <c r="C84" s="188"/>
      <c r="D84" s="1"/>
      <c r="E84" s="1"/>
      <c r="F84" s="1"/>
      <c r="G84" s="1"/>
      <c r="H84" s="1"/>
      <c r="I84" s="1"/>
      <c r="J84" s="1"/>
      <c r="K84" s="187"/>
      <c r="L84" s="1"/>
      <c r="M84" s="1"/>
      <c r="N84" s="1"/>
      <c r="O84" s="1"/>
      <c r="P84" s="1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</row>
    <row r="85">
      <c r="A85" s="1"/>
      <c r="B85" s="1"/>
      <c r="C85" s="188"/>
      <c r="D85" s="1"/>
      <c r="E85" s="1"/>
      <c r="F85" s="1"/>
      <c r="G85" s="1"/>
      <c r="H85" s="1"/>
      <c r="I85" s="1"/>
      <c r="J85" s="1"/>
      <c r="K85" s="187"/>
      <c r="L85" s="1"/>
      <c r="M85" s="1"/>
      <c r="N85" s="1"/>
      <c r="O85" s="1"/>
      <c r="P85" s="1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</row>
    <row r="86">
      <c r="A86" s="1"/>
      <c r="B86" s="1"/>
      <c r="C86" s="188"/>
      <c r="D86" s="1"/>
      <c r="E86" s="1"/>
      <c r="F86" s="1"/>
      <c r="G86" s="1"/>
      <c r="H86" s="1"/>
      <c r="I86" s="1"/>
      <c r="J86" s="1"/>
      <c r="K86" s="187"/>
      <c r="L86" s="1"/>
      <c r="M86" s="1"/>
      <c r="N86" s="1"/>
      <c r="O86" s="1"/>
      <c r="P86" s="1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</row>
    <row r="87">
      <c r="A87" s="1"/>
      <c r="B87" s="1"/>
      <c r="C87" s="188"/>
      <c r="D87" s="1"/>
      <c r="E87" s="187"/>
      <c r="F87" s="1"/>
      <c r="G87" s="1"/>
      <c r="H87" s="1"/>
      <c r="I87" s="1"/>
      <c r="J87" s="1"/>
      <c r="K87" s="187"/>
      <c r="L87" s="1"/>
      <c r="M87" s="1"/>
      <c r="N87" s="1"/>
      <c r="O87" s="1"/>
      <c r="P87" s="1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</row>
    <row r="88">
      <c r="A88" s="1"/>
      <c r="B88" s="1"/>
      <c r="C88" s="188"/>
      <c r="D88" s="1"/>
      <c r="E88" s="187"/>
      <c r="F88" s="1"/>
      <c r="G88" s="1"/>
      <c r="H88" s="1"/>
      <c r="I88" s="1"/>
      <c r="J88" s="1"/>
      <c r="K88" s="187"/>
      <c r="L88" s="1"/>
      <c r="M88" s="1"/>
      <c r="N88" s="1"/>
      <c r="O88" s="1"/>
      <c r="P88" s="1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</row>
    <row r="89">
      <c r="A89" s="1"/>
      <c r="B89" s="1"/>
      <c r="C89" s="188"/>
      <c r="D89" s="1"/>
      <c r="E89" s="187"/>
      <c r="F89" s="1"/>
      <c r="G89" s="1"/>
      <c r="H89" s="1"/>
      <c r="I89" s="1"/>
      <c r="J89" s="1"/>
      <c r="K89" s="187"/>
      <c r="L89" s="1"/>
      <c r="M89" s="1"/>
      <c r="N89" s="1"/>
      <c r="O89" s="1"/>
      <c r="P89" s="1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</row>
    <row r="90">
      <c r="A90" s="1"/>
      <c r="B90" s="1"/>
      <c r="C90" s="188"/>
      <c r="D90" s="1"/>
      <c r="E90" s="187"/>
      <c r="F90" s="1"/>
      <c r="G90" s="1"/>
      <c r="H90" s="1"/>
      <c r="I90" s="1"/>
      <c r="J90" s="1"/>
      <c r="K90" s="187"/>
      <c r="L90" s="1"/>
      <c r="M90" s="1"/>
      <c r="N90" s="1"/>
      <c r="O90" s="1"/>
      <c r="P90" s="1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</row>
    <row r="91">
      <c r="A91" s="1"/>
      <c r="B91" s="1"/>
      <c r="C91" s="18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</row>
    <row r="92">
      <c r="A92" s="1"/>
      <c r="B92" s="1"/>
      <c r="C92" s="188"/>
      <c r="D92" s="1"/>
      <c r="E92" s="187"/>
      <c r="F92" s="1"/>
      <c r="G92" s="1"/>
      <c r="H92" s="1"/>
      <c r="I92" s="1"/>
      <c r="J92" s="1"/>
      <c r="K92" s="187"/>
      <c r="L92" s="1"/>
      <c r="M92" s="1"/>
      <c r="N92" s="1"/>
      <c r="O92" s="1"/>
      <c r="P92" s="1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</row>
    <row r="93">
      <c r="A93" s="1"/>
      <c r="B93" s="1"/>
      <c r="C93" s="188"/>
      <c r="D93" s="1"/>
      <c r="E93" s="1"/>
      <c r="F93" s="1"/>
      <c r="G93" s="1"/>
      <c r="H93" s="1"/>
      <c r="I93" s="1"/>
      <c r="J93" s="1"/>
      <c r="K93" s="187"/>
      <c r="L93" s="1"/>
      <c r="M93" s="1"/>
      <c r="N93" s="1"/>
      <c r="O93" s="1"/>
      <c r="P93" s="1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87"/>
      <c r="L94" s="1"/>
      <c r="M94" s="1"/>
      <c r="N94" s="1"/>
      <c r="O94" s="1"/>
      <c r="P94" s="1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</row>
    <row r="95">
      <c r="A95" s="1"/>
      <c r="B95" s="1"/>
      <c r="C95" s="188"/>
      <c r="D95" s="1"/>
      <c r="E95" s="187"/>
      <c r="F95" s="1"/>
      <c r="G95" s="1"/>
      <c r="H95" s="1"/>
      <c r="I95" s="1"/>
      <c r="J95" s="1"/>
      <c r="K95" s="187"/>
      <c r="L95" s="1"/>
      <c r="M95" s="1"/>
      <c r="N95" s="1"/>
      <c r="O95" s="1"/>
      <c r="P95" s="1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87"/>
      <c r="L96" s="1"/>
      <c r="M96" s="1"/>
      <c r="N96" s="1"/>
      <c r="O96" s="1"/>
      <c r="P96" s="1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87"/>
      <c r="L97" s="1"/>
      <c r="M97" s="1"/>
      <c r="N97" s="1"/>
      <c r="O97" s="1"/>
      <c r="P97" s="1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</row>
    <row r="98">
      <c r="A98" s="1"/>
      <c r="B98" s="1"/>
      <c r="C98" s="1"/>
      <c r="D98" s="1"/>
      <c r="E98" s="187"/>
      <c r="F98" s="1"/>
      <c r="G98" s="1"/>
      <c r="H98" s="1"/>
      <c r="I98" s="1"/>
      <c r="J98" s="1"/>
      <c r="K98" s="187"/>
      <c r="L98" s="1"/>
      <c r="M98" s="1"/>
      <c r="N98" s="1"/>
      <c r="O98" s="1"/>
      <c r="P98" s="1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</row>
    <row r="99">
      <c r="A99" s="1"/>
      <c r="B99" s="1"/>
      <c r="C99" s="188"/>
      <c r="D99" s="1"/>
      <c r="E99" s="187"/>
      <c r="F99" s="1"/>
      <c r="G99" s="1"/>
      <c r="H99" s="1"/>
      <c r="I99" s="1"/>
      <c r="J99" s="1"/>
      <c r="K99" s="187"/>
      <c r="L99" s="1"/>
      <c r="M99" s="1"/>
      <c r="N99" s="1"/>
      <c r="O99" s="1"/>
      <c r="P99" s="1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</row>
    <row r="100">
      <c r="A100" s="1"/>
      <c r="B100" s="1"/>
      <c r="C100" s="18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</row>
    <row r="101">
      <c r="A101" s="1"/>
      <c r="B101" s="1"/>
      <c r="C101" s="1"/>
      <c r="D101" s="1"/>
      <c r="E101" s="187"/>
      <c r="F101" s="1"/>
      <c r="G101" s="1"/>
      <c r="H101" s="1"/>
      <c r="I101" s="1"/>
      <c r="J101" s="1"/>
      <c r="K101" s="187"/>
      <c r="L101" s="1"/>
      <c r="M101" s="1"/>
      <c r="N101" s="1"/>
      <c r="O101" s="1"/>
      <c r="P101" s="1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</row>
    <row r="102">
      <c r="A102" s="1"/>
      <c r="B102" s="1"/>
      <c r="C102" s="1"/>
      <c r="D102" s="1"/>
      <c r="E102" s="187"/>
      <c r="F102" s="1"/>
      <c r="G102" s="1"/>
      <c r="H102" s="1"/>
      <c r="I102" s="1"/>
      <c r="J102" s="1"/>
      <c r="K102" s="187"/>
      <c r="L102" s="1"/>
      <c r="M102" s="1"/>
      <c r="N102" s="1"/>
      <c r="O102" s="1"/>
      <c r="P102" s="1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</row>
    <row r="104">
      <c r="A104" s="1"/>
      <c r="B104" s="1"/>
      <c r="C104" s="188"/>
      <c r="D104" s="1"/>
      <c r="E104" s="1"/>
      <c r="F104" s="1"/>
      <c r="G104" s="1"/>
      <c r="H104" s="1"/>
      <c r="I104" s="1"/>
      <c r="J104" s="1"/>
      <c r="K104" s="187"/>
      <c r="L104" s="1"/>
      <c r="M104" s="1"/>
      <c r="N104" s="1"/>
      <c r="O104" s="1"/>
      <c r="P104" s="1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</row>
    <row r="105">
      <c r="A105" s="1"/>
      <c r="B105" s="1"/>
      <c r="C105" s="188"/>
      <c r="D105" s="1"/>
      <c r="E105" s="1"/>
      <c r="F105" s="1"/>
      <c r="G105" s="1"/>
      <c r="H105" s="1"/>
      <c r="I105" s="1"/>
      <c r="J105" s="1"/>
      <c r="K105" s="187"/>
      <c r="L105" s="1"/>
      <c r="M105" s="1"/>
      <c r="N105" s="1"/>
      <c r="O105" s="1"/>
      <c r="P105" s="1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</row>
    <row r="106">
      <c r="A106" s="1"/>
      <c r="B106" s="1"/>
      <c r="C106" s="188"/>
      <c r="D106" s="1"/>
      <c r="E106" s="187"/>
      <c r="F106" s="1"/>
      <c r="G106" s="1"/>
      <c r="H106" s="1"/>
      <c r="I106" s="1"/>
      <c r="J106" s="1"/>
      <c r="K106" s="187"/>
      <c r="L106" s="1"/>
      <c r="M106" s="1"/>
      <c r="N106" s="1"/>
      <c r="O106" s="1"/>
      <c r="P106" s="1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</row>
    <row r="110">
      <c r="A110" s="187"/>
      <c r="B110" s="187"/>
      <c r="C110" s="189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</row>
    <row r="113">
      <c r="A113" s="187"/>
      <c r="B113" s="187"/>
      <c r="C113" s="189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</row>
    <row r="121">
      <c r="A121" s="187"/>
      <c r="B121" s="187"/>
      <c r="C121" s="189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</row>
    <row r="123">
      <c r="A123" s="187"/>
      <c r="B123" s="187"/>
      <c r="C123" s="189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</row>
    <row r="124">
      <c r="A124" s="187"/>
      <c r="B124" s="187"/>
      <c r="C124" s="189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</row>
    <row r="127">
      <c r="A127" s="187"/>
      <c r="B127" s="187"/>
      <c r="C127" s="189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</row>
    <row r="128">
      <c r="A128" s="187"/>
      <c r="B128" s="187"/>
      <c r="C128" s="189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</row>
    <row r="132">
      <c r="A132" s="187"/>
      <c r="B132" s="187"/>
      <c r="C132" s="189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</row>
    <row r="138">
      <c r="A138" s="187"/>
      <c r="B138" s="187"/>
      <c r="C138" s="189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</row>
    <row r="143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</row>
    <row r="144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</row>
    <row r="14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</row>
    <row r="146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</row>
    <row r="147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</row>
    <row r="148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</row>
    <row r="149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</row>
    <row r="150">
      <c r="A150" s="187"/>
      <c r="B150" s="187"/>
      <c r="C150" s="189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</row>
    <row r="15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</row>
    <row r="152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</row>
    <row r="153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</row>
    <row r="154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</row>
    <row r="15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</row>
    <row r="156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</row>
    <row r="157">
      <c r="A157" s="187"/>
      <c r="B157" s="187"/>
      <c r="C157" s="189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</row>
    <row r="158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</row>
    <row r="159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</row>
    <row r="160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</row>
    <row r="161">
      <c r="A161" s="187"/>
      <c r="B161" s="187"/>
      <c r="C161" s="189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</row>
    <row r="162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</row>
    <row r="163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</row>
    <row r="164">
      <c r="A164" s="187"/>
      <c r="B164" s="187"/>
      <c r="C164" s="189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</row>
    <row r="16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</row>
    <row r="166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</row>
    <row r="167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</row>
    <row r="168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</row>
    <row r="169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</row>
    <row r="170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</row>
    <row r="17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</row>
    <row r="172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</row>
    <row r="17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</row>
    <row r="174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</row>
    <row r="17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</row>
    <row r="176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</row>
    <row r="177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</row>
    <row r="178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</row>
    <row r="179">
      <c r="A179" s="187"/>
      <c r="B179" s="187"/>
      <c r="C179" s="189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</row>
    <row r="180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</row>
    <row r="18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</row>
    <row r="182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</row>
    <row r="18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</row>
    <row r="184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</row>
    <row r="18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</row>
    <row r="186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</row>
    <row r="187">
      <c r="A187" s="187"/>
      <c r="B187" s="187"/>
      <c r="C187" s="189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</row>
    <row r="188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</row>
    <row r="189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</row>
    <row r="190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</row>
    <row r="19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</row>
    <row r="192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</row>
    <row r="19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</row>
    <row r="194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</row>
    <row r="19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</row>
    <row r="196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</row>
    <row r="197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</row>
    <row r="198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</row>
    <row r="199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</row>
    <row r="200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</row>
    <row r="20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</row>
    <row r="202">
      <c r="A202" s="187"/>
      <c r="B202" s="187"/>
      <c r="C202" s="189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</row>
    <row r="203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</row>
    <row r="204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</row>
    <row r="20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</row>
    <row r="206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</row>
    <row r="207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</row>
    <row r="208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</row>
    <row r="209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</row>
    <row r="210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</row>
    <row r="21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</row>
    <row r="212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</row>
    <row r="213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</row>
    <row r="214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</row>
    <row r="21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</row>
    <row r="216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</row>
    <row r="217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</row>
    <row r="218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</row>
    <row r="219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</row>
    <row r="220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</row>
    <row r="22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</row>
    <row r="222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</row>
    <row r="223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</row>
    <row r="224">
      <c r="A224" s="187"/>
      <c r="B224" s="187"/>
      <c r="C224" s="189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</row>
    <row r="2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</row>
    <row r="226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</row>
    <row r="227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</row>
    <row r="228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</row>
    <row r="229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</row>
    <row r="230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</row>
    <row r="23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</row>
    <row r="232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</row>
    <row r="233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</row>
    <row r="234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</row>
    <row r="23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</row>
    <row r="236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</row>
    <row r="237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</row>
    <row r="238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</row>
    <row r="239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</row>
    <row r="240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</row>
    <row r="24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</row>
    <row r="242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</row>
    <row r="24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</row>
    <row r="244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</row>
    <row r="24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</row>
    <row r="246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</row>
    <row r="247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</row>
    <row r="248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</row>
    <row r="249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</row>
    <row r="250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</row>
    <row r="25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</row>
    <row r="252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</row>
    <row r="253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</row>
    <row r="254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</row>
    <row r="25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</row>
    <row r="256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</row>
    <row r="257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</row>
    <row r="258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</row>
    <row r="259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</row>
    <row r="260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</row>
    <row r="26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</row>
    <row r="262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</row>
    <row r="263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</row>
    <row r="264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</row>
    <row r="26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</row>
    <row r="266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</row>
    <row r="267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</row>
    <row r="268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</row>
    <row r="269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</row>
    <row r="270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</row>
    <row r="27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</row>
    <row r="272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</row>
    <row r="27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</row>
    <row r="274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</row>
    <row r="27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</row>
    <row r="276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</row>
    <row r="277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</row>
    <row r="278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</row>
    <row r="279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</row>
    <row r="280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</row>
    <row r="28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</row>
    <row r="282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</row>
    <row r="28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</row>
    <row r="284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</row>
    <row r="28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</row>
    <row r="286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</row>
    <row r="287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</row>
    <row r="288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</row>
    <row r="289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</row>
    <row r="290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</row>
    <row r="29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</row>
    <row r="292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</row>
    <row r="29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</row>
    <row r="294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</row>
    <row r="29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</row>
    <row r="296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</row>
    <row r="297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</row>
    <row r="298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</row>
    <row r="299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</row>
    <row r="300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</row>
    <row r="30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</row>
    <row r="302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</row>
    <row r="30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</row>
    <row r="304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</row>
    <row r="30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</row>
    <row r="306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</row>
    <row r="307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</row>
    <row r="308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</row>
    <row r="309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</row>
    <row r="310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</row>
    <row r="31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</row>
    <row r="312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</row>
    <row r="3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</row>
    <row r="314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</row>
    <row r="31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</row>
    <row r="316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</row>
    <row r="317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</row>
    <row r="318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</row>
    <row r="319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</row>
    <row r="320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</row>
    <row r="32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</row>
    <row r="322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</row>
    <row r="32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</row>
    <row r="324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</row>
    <row r="3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</row>
    <row r="326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</row>
    <row r="327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</row>
    <row r="328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</row>
    <row r="329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</row>
    <row r="330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</row>
    <row r="33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</row>
    <row r="332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</row>
    <row r="33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</row>
    <row r="334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</row>
    <row r="33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</row>
    <row r="336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</row>
    <row r="337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</row>
    <row r="338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</row>
    <row r="339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</row>
    <row r="340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</row>
    <row r="34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</row>
    <row r="342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</row>
    <row r="34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</row>
    <row r="344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</row>
    <row r="34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</row>
    <row r="346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</row>
    <row r="347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</row>
    <row r="348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</row>
    <row r="349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</row>
    <row r="350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</row>
    <row r="35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</row>
    <row r="352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</row>
    <row r="35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</row>
    <row r="354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</row>
    <row r="35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</row>
    <row r="356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</row>
    <row r="357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</row>
    <row r="358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</row>
    <row r="359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</row>
    <row r="360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</row>
    <row r="36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</row>
    <row r="362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</row>
    <row r="36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</row>
    <row r="364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</row>
    <row r="36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</row>
    <row r="366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</row>
    <row r="367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</row>
    <row r="368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</row>
    <row r="369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</row>
    <row r="370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</row>
    <row r="37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</row>
    <row r="372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</row>
    <row r="37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</row>
    <row r="374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</row>
    <row r="37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</row>
    <row r="376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</row>
    <row r="377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</row>
    <row r="378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</row>
    <row r="379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</row>
    <row r="380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</row>
    <row r="38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</row>
    <row r="382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</row>
    <row r="38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</row>
    <row r="384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</row>
    <row r="38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</row>
    <row r="386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</row>
    <row r="387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</row>
    <row r="388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</row>
    <row r="389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</row>
    <row r="390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</row>
    <row r="39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</row>
    <row r="392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</row>
    <row r="39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</row>
    <row r="394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</row>
    <row r="39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</row>
    <row r="396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</row>
    <row r="397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</row>
    <row r="398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</row>
    <row r="399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</row>
    <row r="400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</row>
    <row r="40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</row>
    <row r="402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</row>
    <row r="40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</row>
    <row r="404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</row>
    <row r="40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</row>
    <row r="406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</row>
    <row r="407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</row>
    <row r="408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</row>
    <row r="409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</row>
    <row r="410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</row>
    <row r="41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</row>
    <row r="41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O412" s="187"/>
      <c r="P412" s="187"/>
      <c r="Q412" s="187"/>
      <c r="S412" s="187"/>
      <c r="T412" s="187"/>
      <c r="U412" s="187"/>
      <c r="V412" s="187"/>
      <c r="W412" s="187"/>
      <c r="X412" s="187"/>
      <c r="Y412" s="187"/>
      <c r="Z412" s="187"/>
      <c r="AB412" s="187"/>
      <c r="AC412" s="187"/>
      <c r="AD412" s="187"/>
      <c r="AE412" s="187"/>
      <c r="AF412" s="187"/>
    </row>
    <row r="4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O413" s="187"/>
      <c r="P413" s="187"/>
      <c r="Q413" s="187"/>
      <c r="S413" s="187"/>
      <c r="T413" s="187"/>
      <c r="U413" s="187"/>
      <c r="V413" s="187"/>
      <c r="W413" s="187"/>
      <c r="X413" s="187"/>
      <c r="Y413" s="187"/>
      <c r="Z413" s="187"/>
      <c r="AB413" s="187"/>
      <c r="AC413" s="187"/>
      <c r="AD413" s="187"/>
      <c r="AE413" s="187"/>
      <c r="AF413" s="187"/>
    </row>
    <row r="414">
      <c r="A414" s="187"/>
      <c r="B414" s="187"/>
      <c r="C414" s="189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O414" s="187"/>
      <c r="P414" s="187"/>
      <c r="Q414" s="187"/>
      <c r="S414" s="187"/>
      <c r="T414" s="187"/>
      <c r="U414" s="187"/>
      <c r="V414" s="187"/>
      <c r="W414" s="187"/>
      <c r="X414" s="187"/>
      <c r="Y414" s="187"/>
      <c r="Z414" s="187"/>
      <c r="AB414" s="187"/>
      <c r="AC414" s="187"/>
      <c r="AD414" s="187"/>
      <c r="AE414" s="187"/>
      <c r="AF414" s="187"/>
    </row>
    <row r="41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O415" s="187"/>
      <c r="P415" s="187"/>
      <c r="Q415" s="187"/>
      <c r="S415" s="187"/>
      <c r="T415" s="187"/>
      <c r="U415" s="187"/>
      <c r="V415" s="187"/>
      <c r="W415" s="187"/>
      <c r="X415" s="187"/>
      <c r="Y415" s="187"/>
      <c r="Z415" s="187"/>
      <c r="AB415" s="187"/>
      <c r="AC415" s="187"/>
      <c r="AD415" s="187"/>
      <c r="AE415" s="187"/>
      <c r="AF415" s="187"/>
    </row>
    <row r="416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S416" s="187"/>
      <c r="T416" s="187"/>
      <c r="U416" s="187"/>
      <c r="V416" s="187"/>
      <c r="W416" s="187"/>
      <c r="X416" s="187"/>
      <c r="Y416" s="187"/>
      <c r="Z416" s="187"/>
      <c r="AB416" s="187"/>
      <c r="AC416" s="187"/>
      <c r="AD416" s="187"/>
      <c r="AE416" s="187"/>
      <c r="AF416" s="187"/>
    </row>
    <row r="417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O417" s="187"/>
      <c r="P417" s="187"/>
      <c r="Q417" s="187"/>
      <c r="S417" s="187"/>
      <c r="T417" s="187"/>
      <c r="U417" s="187"/>
      <c r="V417" s="187"/>
      <c r="W417" s="187"/>
      <c r="X417" s="187"/>
      <c r="Y417" s="187"/>
      <c r="Z417" s="187"/>
      <c r="AB417" s="187"/>
      <c r="AC417" s="187"/>
      <c r="AD417" s="187"/>
      <c r="AE417" s="187"/>
      <c r="AF417" s="187"/>
    </row>
    <row r="418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</row>
  </sheetData>
  <autoFilter ref="$A$1:$M$41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6"/>
      <c r="C1" s="190" t="str">
        <f>IFERROR(__xludf.DUMMYFUNCTION("IMPORTRANGE(""1TpIiNTfR1pnpn85VWQTTdvQ2Xcr0GStmWJ2UvfKxG_A"", ""Mzdy!A1:F200"")")," ")</f>
        <v> </v>
      </c>
      <c r="D1" s="6"/>
      <c r="E1" s="6"/>
      <c r="F1" s="6"/>
      <c r="G1" s="6"/>
      <c r="H1" s="6"/>
      <c r="I1" s="6"/>
      <c r="K1" s="6"/>
      <c r="L1" s="6"/>
      <c r="M1" s="6"/>
      <c r="N1" s="6"/>
      <c r="O1" s="6"/>
      <c r="P1" s="6"/>
      <c r="Q1" s="6"/>
      <c r="R1" s="6"/>
      <c r="T1" s="6"/>
      <c r="U1" s="6"/>
      <c r="V1" s="190">
        <f>IFERROR(__xludf.DUMMYFUNCTION("IMPORTRANGE(""1TpIiNTfR1pnpn85VWQTTdvQ2Xcr0GStmWJ2UvfKxG_A"", ""Mzdy!ac1:ad200"")"),30.0)</f>
        <v>30</v>
      </c>
      <c r="W1" s="191" t="str">
        <f>IFERROR(__xludf.DUMMYFUNCTION("""COMPUTED_VALUE"""),"dní")</f>
        <v>dní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>
      <c r="A2" s="6"/>
      <c r="B2" s="6" t="s">
        <v>1581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91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91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>
      <c r="A4" s="192" t="s">
        <v>1582</v>
      </c>
      <c r="B4" s="192" t="s">
        <v>1583</v>
      </c>
      <c r="C4" s="6" t="str">
        <f>IFERROR(__xludf.DUMMYFUNCTION("""COMPUTED_VALUE"""),"Manažer")</f>
        <v>Manažer</v>
      </c>
      <c r="D4" s="6" t="str">
        <f>IFERROR(__xludf.DUMMYFUNCTION("""COMPUTED_VALUE"""),"Instore")</f>
        <v>Instore</v>
      </c>
      <c r="E4" s="6" t="str">
        <f>IFERROR(__xludf.DUMMYFUNCTION("""COMPUTED_VALUE"""),"První domácí,          Pobočky max 4")</f>
        <v>První domácí,          Pobočky max 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 t="str">
        <f>IFERROR(__xludf.DUMMYFUNCTION("""COMPUTED_VALUE"""),"Sp.hr. / h")</f>
        <v>Sp.hr. / h</v>
      </c>
      <c r="W4" s="191" t="str">
        <f>IFERROR(__xludf.DUMMYFUNCTION("""COMPUTED_VALUE"""),"Sp.hr. / den")</f>
        <v>Sp.hr. / den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>
      <c r="A5" s="6" t="str">
        <f>IF(AND(B5&lt;&gt;"", C5=TRUE, E5=Report!$B$1), B5, "")</f>
        <v/>
      </c>
      <c r="B5" s="193" t="str">
        <f>IF(OR(E5=Report!$B$1, F5=Report!$B$1, G5=Report!$B$1, H5=Report!$B$1), D5, "")</f>
        <v/>
      </c>
      <c r="C5" s="6" t="b">
        <f>IFERROR(__xludf.DUMMYFUNCTION("""COMPUTED_VALUE"""),TRUE)</f>
        <v>1</v>
      </c>
      <c r="D5" s="6" t="str">
        <f>IFERROR(__xludf.DUMMYFUNCTION("""COMPUTED_VALUE"""),"Nedbal Michal")</f>
        <v>Nedbal Michal</v>
      </c>
      <c r="E5" s="6" t="str">
        <f>IFERROR(__xludf.DUMMYFUNCTION("""COMPUTED_VALUE"""),"Zličín")</f>
        <v>Zličín</v>
      </c>
      <c r="F5" s="6" t="str">
        <f>IFERROR(__xludf.DUMMYFUNCTION("""COMPUTED_VALUE"""),"Malešice")</f>
        <v>Malešice</v>
      </c>
      <c r="G5" s="6" t="str">
        <f>IFERROR(__xludf.DUMMYFUNCTION("""COMPUTED_VALUE"""),"Prosek")</f>
        <v>Prosek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91">
        <f>IFERROR(__xludf.DUMMYFUNCTION("""COMPUTED_VALUE"""),432.3078)</f>
        <v>432.3078</v>
      </c>
      <c r="W5" s="191">
        <f>IFERROR(__xludf.DUMMYFUNCTION("""COMPUTED_VALUE"""),2882.052)</f>
        <v>2882.052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>
      <c r="A6" s="6" t="str">
        <f>IF(AND(B6&lt;&gt;"", C6=TRUE, E6=Report!$B$1), B6, "")</f>
        <v/>
      </c>
      <c r="B6" s="193" t="str">
        <f>IF(OR(E6=Report!$B$1, F6=Report!$B$1, G6=Report!$B$1, H6=Report!$B$1), D6, "")</f>
        <v/>
      </c>
      <c r="C6" s="6" t="b">
        <f>IFERROR(__xludf.DUMMYFUNCTION("""COMPUTED_VALUE"""),FALSE)</f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91">
        <f>IFERROR(__xludf.DUMMYFUNCTION("""COMPUTED_VALUE"""),0.0)</f>
        <v>0</v>
      </c>
      <c r="W6" s="191">
        <f>IFERROR(__xludf.DUMMYFUNCTION("""COMPUTED_VALUE"""),0.0)</f>
        <v>0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>
      <c r="A7" s="6" t="str">
        <f>IF(AND(B7&lt;&gt;"", C7=TRUE, E7=Report!$B$1), B7, "")</f>
        <v/>
      </c>
      <c r="B7" s="193" t="str">
        <f>IF(OR(E7=Report!$B$1, F7=Report!$B$1, G7=Report!$B$1, H7=Report!$B$1), D7, "")</f>
        <v>Sova Martin</v>
      </c>
      <c r="C7" s="6" t="b">
        <f>IFERROR(__xludf.DUMMYFUNCTION("""COMPUTED_VALUE"""),TRUE)</f>
        <v>1</v>
      </c>
      <c r="D7" s="6" t="str">
        <f>IFERROR(__xludf.DUMMYFUNCTION("""COMPUTED_VALUE"""),"Sova Martin")</f>
        <v>Sova Martin</v>
      </c>
      <c r="E7" s="6" t="str">
        <f>IFERROR(__xludf.DUMMYFUNCTION("""COMPUTED_VALUE"""),"Chodov")</f>
        <v>Chodov</v>
      </c>
      <c r="F7" s="6" t="str">
        <f>IFERROR(__xludf.DUMMYFUNCTION("""COMPUTED_VALUE"""),"Libuš")</f>
        <v>Libuš</v>
      </c>
      <c r="G7" s="6" t="str">
        <f>IFERROR(__xludf.DUMMYFUNCTION("""COMPUTED_VALUE"""),"Výroba")</f>
        <v>Výroba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91">
        <f>IFERROR(__xludf.DUMMYFUNCTION("""COMPUTED_VALUE"""),432.3078)</f>
        <v>432.3078</v>
      </c>
      <c r="W7" s="191">
        <f>IFERROR(__xludf.DUMMYFUNCTION("""COMPUTED_VALUE"""),2882.052)</f>
        <v>2882.052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>
      <c r="A8" s="6" t="str">
        <f>IF(AND(B8&lt;&gt;"", C8=TRUE, E8=Report!$B$1), B8, "")</f>
        <v/>
      </c>
      <c r="B8" s="193" t="str">
        <f>IF(OR(E8=Report!$B$1, F8=Report!$B$1, G8=Report!$B$1, H8=Report!$B$1), D8, "")</f>
        <v/>
      </c>
      <c r="C8" s="6" t="b">
        <f>IFERROR(__xludf.DUMMYFUNCTION("""COMPUTED_VALUE"""),TRUE)</f>
        <v>1</v>
      </c>
      <c r="D8" s="6" t="str">
        <f>IFERROR(__xludf.DUMMYFUNCTION("""COMPUTED_VALUE"""),"Paziak Viktoriia")</f>
        <v>Paziak Viktoriia</v>
      </c>
      <c r="E8" s="6" t="str">
        <f>IFERROR(__xludf.DUMMYFUNCTION("""COMPUTED_VALUE"""),"Výroba")</f>
        <v>Výroba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91">
        <f>IFERROR(__xludf.DUMMYFUNCTION("""COMPUTED_VALUE"""),341.19)</f>
        <v>341.19</v>
      </c>
      <c r="W8" s="191">
        <f>IFERROR(__xludf.DUMMYFUNCTION("""COMPUTED_VALUE"""),2274.6)</f>
        <v>2274.6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>
      <c r="A9" s="6" t="str">
        <f>IF(AND(B9&lt;&gt;"", C9=TRUE, E9=Report!$B$1), B9, "")</f>
        <v/>
      </c>
      <c r="B9" s="193" t="str">
        <f>IF(OR(E9=Report!$B$1, F9=Report!$B$1, G9=Report!$B$1, H9=Report!$B$1), D9, "")</f>
        <v>Ahurieva Viktoriia</v>
      </c>
      <c r="C9" s="6" t="b">
        <f>IFERROR(__xludf.DUMMYFUNCTION("""COMPUTED_VALUE"""),FALSE)</f>
        <v>0</v>
      </c>
      <c r="D9" s="6" t="str">
        <f>IFERROR(__xludf.DUMMYFUNCTION("""COMPUTED_VALUE"""),"Ahurieva Viktoriia")</f>
        <v>Ahurieva Viktoriia</v>
      </c>
      <c r="E9" s="6" t="str">
        <f>IFERROR(__xludf.DUMMYFUNCTION("""COMPUTED_VALUE"""),"Libuš")</f>
        <v>Libuš</v>
      </c>
      <c r="F9" s="6" t="str">
        <f>IFERROR(__xludf.DUMMYFUNCTION("""COMPUTED_VALUE"""),"Malešice")</f>
        <v>Malešice</v>
      </c>
      <c r="G9" s="6" t="str">
        <f>IFERROR(__xludf.DUMMYFUNCTION("""COMPUTED_VALUE"""),"Chodov")</f>
        <v>Chodov</v>
      </c>
      <c r="H9" s="6" t="str">
        <f>IFERROR(__xludf.DUMMYFUNCTION("""COMPUTED_VALUE"""),"Prosek")</f>
        <v>Prosek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91">
        <f>IFERROR(__xludf.DUMMYFUNCTION("""COMPUTED_VALUE"""),432.3078)</f>
        <v>432.3078</v>
      </c>
      <c r="W9" s="191">
        <f>IFERROR(__xludf.DUMMYFUNCTION("""COMPUTED_VALUE"""),2882.052)</f>
        <v>2882.052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>
      <c r="A10" s="6" t="str">
        <f>IF(AND(B10&lt;&gt;"", C10=TRUE, E10=Report!$B$1), B10, "")</f>
        <v/>
      </c>
      <c r="B10" s="193" t="str">
        <f>IF(OR(E10=Report!$B$1, F10=Report!$B$1, G10=Report!$B$1, H10=Report!$B$1), D10, "")</f>
        <v/>
      </c>
      <c r="C10" s="6" t="b">
        <f>IFERROR(__xludf.DUMMYFUNCTION("""COMPUTED_VALUE"""),TRUE)</f>
        <v>1</v>
      </c>
      <c r="D10" s="6" t="str">
        <f>IFERROR(__xludf.DUMMYFUNCTION("""COMPUTED_VALUE"""),"Pešová Hana")</f>
        <v>Pešová Hana</v>
      </c>
      <c r="E10" s="6" t="str">
        <f>IFERROR(__xludf.DUMMYFUNCTION("""COMPUTED_VALUE"""),"Chodov")</f>
        <v>Chodov</v>
      </c>
      <c r="F10" s="6" t="str">
        <f>IFERROR(__xludf.DUMMYFUNCTION("""COMPUTED_VALUE"""),"Prosek")</f>
        <v>Prosek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91">
        <f>IFERROR(__xludf.DUMMYFUNCTION("""COMPUTED_VALUE"""),341.19)</f>
        <v>341.19</v>
      </c>
      <c r="W10" s="191">
        <f>IFERROR(__xludf.DUMMYFUNCTION("""COMPUTED_VALUE"""),2274.6)</f>
        <v>2274.6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>
      <c r="A11" s="6" t="str">
        <f>IF(AND(B11&lt;&gt;"", C11=TRUE, E11=Report!$B$1), B11, "")</f>
        <v/>
      </c>
      <c r="B11" s="193" t="str">
        <f>IF(OR(E11=Report!$B$1, F11=Report!$B$1, G11=Report!$B$1, H11=Report!$B$1), D11, "")</f>
        <v>Šebesta Tomáš</v>
      </c>
      <c r="C11" s="6" t="b">
        <f>IFERROR(__xludf.DUMMYFUNCTION("""COMPUTED_VALUE"""),TRUE)</f>
        <v>1</v>
      </c>
      <c r="D11" s="6" t="str">
        <f>IFERROR(__xludf.DUMMYFUNCTION("""COMPUTED_VALUE"""),"Šebesta Tomáš")</f>
        <v>Šebesta Tomáš</v>
      </c>
      <c r="E11" s="6" t="str">
        <f>IFERROR(__xludf.DUMMYFUNCTION("""COMPUTED_VALUE"""),"Prosek")</f>
        <v>Prosek</v>
      </c>
      <c r="F11" s="6" t="str">
        <f>IFERROR(__xludf.DUMMYFUNCTION("""COMPUTED_VALUE"""),"Libuš")</f>
        <v>Libuš</v>
      </c>
      <c r="G11" s="6" t="str">
        <f>IFERROR(__xludf.DUMMYFUNCTION("""COMPUTED_VALUE"""),"Malešice")</f>
        <v>Malešice</v>
      </c>
      <c r="H11" s="6" t="str">
        <f>IFERROR(__xludf.DUMMYFUNCTION("""COMPUTED_VALUE"""),"Chodov")</f>
        <v>Chodov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191">
        <f>IFERROR(__xludf.DUMMYFUNCTION("""COMPUTED_VALUE"""),432.3078)</f>
        <v>432.3078</v>
      </c>
      <c r="W11" s="191">
        <f>IFERROR(__xludf.DUMMYFUNCTION("""COMPUTED_VALUE"""),2882.052)</f>
        <v>2882.052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>
      <c r="A12" s="6" t="str">
        <f>IF(AND(B12&lt;&gt;"", C12=TRUE, E12=Report!$B$1), B12, "")</f>
        <v/>
      </c>
      <c r="B12" s="193" t="str">
        <f>IF(OR(E12=Report!$B$1, F12=Report!$B$1, G12=Report!$B$1, H12=Report!$B$1), D12, "")</f>
        <v/>
      </c>
      <c r="C12" s="6" t="b">
        <f>IFERROR(__xludf.DUMMYFUNCTION("""COMPUTED_VALUE"""),FALSE)</f>
        <v>0</v>
      </c>
      <c r="D12" s="6" t="str">
        <f>IFERROR(__xludf.DUMMYFUNCTION("""COMPUTED_VALUE"""),"Hanakova Ayuna")</f>
        <v>Hanakova Ayuna</v>
      </c>
      <c r="E12" s="6" t="str">
        <f>IFERROR(__xludf.DUMMYFUNCTION("""COMPUTED_VALUE"""),"Zličín")</f>
        <v>Zličín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91">
        <f>IFERROR(__xludf.DUMMYFUNCTION("""COMPUTED_VALUE"""),295.698)</f>
        <v>295.698</v>
      </c>
      <c r="W12" s="191">
        <f>IFERROR(__xludf.DUMMYFUNCTION("""COMPUTED_VALUE"""),0.0)</f>
        <v>0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>
      <c r="A13" s="6" t="str">
        <f>IF(AND(B13&lt;&gt;"", C13=TRUE, E13=Report!$B$1), B13, "")</f>
        <v/>
      </c>
      <c r="B13" s="193" t="str">
        <f>IF(OR(E13=Report!$B$1, F13=Report!$B$1, G13=Report!$B$1, H13=Report!$B$1), D13, "")</f>
        <v/>
      </c>
      <c r="C13" s="6" t="b">
        <f>IFERROR(__xludf.DUMMYFUNCTION("""COMPUTED_VALUE"""),FALSE)</f>
        <v>0</v>
      </c>
      <c r="D13" s="6" t="str">
        <f>IFERROR(__xludf.DUMMYFUNCTION("""COMPUTED_VALUE"""),"Vondráček Lukáš")</f>
        <v>Vondráček Lukáš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191">
        <f>IFERROR(__xludf.DUMMYFUNCTION("""COMPUTED_VALUE"""),0.0)</f>
        <v>0</v>
      </c>
      <c r="W13" s="191">
        <f>IFERROR(__xludf.DUMMYFUNCTION("""COMPUTED_VALUE"""),0.0)</f>
        <v>0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>
      <c r="A14" s="6" t="str">
        <f>IF(AND(B14&lt;&gt;"", C14=TRUE, E14=Report!$B$1), B14, "")</f>
        <v/>
      </c>
      <c r="B14" s="193" t="str">
        <f>IF(OR(E14=Report!$B$1, F14=Report!$B$1, G14=Report!$B$1, H14=Report!$B$1), D14, "")</f>
        <v/>
      </c>
      <c r="C14" s="6" t="b">
        <f>IFERROR(__xludf.DUMMYFUNCTION("""COMPUTED_VALUE"""),TRUE)</f>
        <v>1</v>
      </c>
      <c r="D14" s="6" t="str">
        <f>IFERROR(__xludf.DUMMYFUNCTION("""COMPUTED_VALUE"""),"Veselý Ondřej")</f>
        <v>Veselý Ondřej</v>
      </c>
      <c r="E14" s="6" t="str">
        <f>IFERROR(__xludf.DUMMYFUNCTION("""COMPUTED_VALUE"""),"Zličín")</f>
        <v>Zličín</v>
      </c>
      <c r="F14" s="6" t="str">
        <f>IFERROR(__xludf.DUMMYFUNCTION("""COMPUTED_VALUE"""),"Malešice")</f>
        <v>Malešice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191">
        <f>IFERROR(__xludf.DUMMYFUNCTION("""COMPUTED_VALUE"""),341.19)</f>
        <v>341.19</v>
      </c>
      <c r="W14" s="191">
        <f>IFERROR(__xludf.DUMMYFUNCTION("""COMPUTED_VALUE"""),2274.6)</f>
        <v>2274.6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>
      <c r="A15" s="6" t="str">
        <f>IF(AND(B15&lt;&gt;"", C15=TRUE, E15=Report!$B$1), B15, "")</f>
        <v/>
      </c>
      <c r="B15" s="193" t="str">
        <f>IF(OR(E15=Report!$B$1, F15=Report!$B$1, G15=Report!$B$1, H15=Report!$B$1), D15, "")</f>
        <v>Coufal Jakub</v>
      </c>
      <c r="C15" s="6" t="b">
        <f>IFERROR(__xludf.DUMMYFUNCTION("""COMPUTED_VALUE"""),FALSE)</f>
        <v>0</v>
      </c>
      <c r="D15" s="6" t="str">
        <f>IFERROR(__xludf.DUMMYFUNCTION("""COMPUTED_VALUE"""),"Coufal Jakub")</f>
        <v>Coufal Jakub</v>
      </c>
      <c r="E15" s="6" t="str">
        <f>IFERROR(__xludf.DUMMYFUNCTION("""COMPUTED_VALUE"""),"Libuš")</f>
        <v>Libuš</v>
      </c>
      <c r="F15" s="6" t="str">
        <f>IFERROR(__xludf.DUMMYFUNCTION("""COMPUTED_VALUE"""),"Malešice")</f>
        <v>Malešice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191">
        <f>IFERROR(__xludf.DUMMYFUNCTION("""COMPUTED_VALUE"""),250.20600000000002)</f>
        <v>250.206</v>
      </c>
      <c r="W15" s="191">
        <f>IFERROR(__xludf.DUMMYFUNCTION("""COMPUTED_VALUE"""),0.0)</f>
        <v>0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>
      <c r="A16" s="6" t="str">
        <f>IF(AND(B16&lt;&gt;"", C16=TRUE, E16=Report!$B$1), B16, "")</f>
        <v/>
      </c>
      <c r="B16" s="193" t="str">
        <f>IF(OR(E16=Report!$B$1, F16=Report!$B$1, G16=Report!$B$1, H16=Report!$B$1), D16, "")</f>
        <v/>
      </c>
      <c r="C16" s="6" t="b">
        <f>IFERROR(__xludf.DUMMYFUNCTION("""COMPUTED_VALUE"""),FALSE)</f>
        <v>0</v>
      </c>
      <c r="D16" s="6" t="str">
        <f>IFERROR(__xludf.DUMMYFUNCTION("""COMPUTED_VALUE"""),"Pekárková Milena")</f>
        <v>Pekárková Milena</v>
      </c>
      <c r="E16" s="6" t="str">
        <f>IFERROR(__xludf.DUMMYFUNCTION("""COMPUTED_VALUE"""),"Prosek")</f>
        <v>Prosek</v>
      </c>
      <c r="F16" s="6" t="str">
        <f>IFERROR(__xludf.DUMMYFUNCTION("""COMPUTED_VALUE"""),"Malešice")</f>
        <v>Malešice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91">
        <f>IFERROR(__xludf.DUMMYFUNCTION("""COMPUTED_VALUE"""),341.19)</f>
        <v>341.19</v>
      </c>
      <c r="W16" s="191">
        <f>IFERROR(__xludf.DUMMYFUNCTION("""COMPUTED_VALUE"""),0.0)</f>
        <v>0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>
      <c r="A17" s="6" t="str">
        <f>IF(AND(B17&lt;&gt;"", C17=TRUE, E17=Report!$B$1), B17, "")</f>
        <v/>
      </c>
      <c r="B17" s="193" t="str">
        <f>IF(OR(E17=Report!$B$1, F17=Report!$B$1, G17=Report!$B$1, H17=Report!$B$1), D17, "")</f>
        <v/>
      </c>
      <c r="C17" s="6" t="b">
        <f>IFERROR(__xludf.DUMMYFUNCTION("""COMPUTED_VALUE"""),TRUE)</f>
        <v>1</v>
      </c>
      <c r="D17" s="6" t="str">
        <f>IFERROR(__xludf.DUMMYFUNCTION("""COMPUTED_VALUE"""),"Kinkorová Petra")</f>
        <v>Kinkorová Petra</v>
      </c>
      <c r="E17" s="6" t="str">
        <f>IFERROR(__xludf.DUMMYFUNCTION("""COMPUTED_VALUE"""),"Malešice")</f>
        <v>Malešice</v>
      </c>
      <c r="F17" s="6" t="str">
        <f>IFERROR(__xludf.DUMMYFUNCTION("""COMPUTED_VALUE"""),"Zličín")</f>
        <v>Zličín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191">
        <f>IFERROR(__xludf.DUMMYFUNCTION("""COMPUTED_VALUE"""),341.19)</f>
        <v>341.19</v>
      </c>
      <c r="W17" s="191">
        <f>IFERROR(__xludf.DUMMYFUNCTION("""COMPUTED_VALUE"""),2274.6)</f>
        <v>2274.6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>
      <c r="A18" s="6" t="str">
        <f>IF(AND(B18&lt;&gt;"", C18=TRUE, E18=Report!$B$1), B18, "")</f>
        <v/>
      </c>
      <c r="B18" s="193" t="str">
        <f>IF(OR(E18=Report!$B$1, F18=Report!$B$1, G18=Report!$B$1, H18=Report!$B$1), D18, "")</f>
        <v/>
      </c>
      <c r="C18" s="6" t="b">
        <f>IFERROR(__xludf.DUMMYFUNCTION("""COMPUTED_VALUE"""),TRUE)</f>
        <v>1</v>
      </c>
      <c r="D18" s="6" t="str">
        <f>IFERROR(__xludf.DUMMYFUNCTION("""COMPUTED_VALUE"""),"Nováková Adéla")</f>
        <v>Nováková Adéla</v>
      </c>
      <c r="E18" s="6" t="str">
        <f>IFERROR(__xludf.DUMMYFUNCTION("""COMPUTED_VALUE"""),"Prosek")</f>
        <v>Prosek</v>
      </c>
      <c r="F18" s="6" t="str">
        <f>IFERROR(__xludf.DUMMYFUNCTION("""COMPUTED_VALUE"""),"Malešice")</f>
        <v>Malešice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91">
        <f>IFERROR(__xludf.DUMMYFUNCTION("""COMPUTED_VALUE"""),341.19)</f>
        <v>341.19</v>
      </c>
      <c r="W18" s="191">
        <f>IFERROR(__xludf.DUMMYFUNCTION("""COMPUTED_VALUE"""),2274.6)</f>
        <v>2274.6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>
      <c r="A19" s="6" t="str">
        <f>IF(AND(B19&lt;&gt;"", C19=TRUE, E19=Report!$B$1), B19, "")</f>
        <v/>
      </c>
      <c r="B19" s="193" t="str">
        <f>IF(OR(E19=Report!$B$1, F19=Report!$B$1, G19=Report!$B$1, H19=Report!$B$1), D19, "")</f>
        <v/>
      </c>
      <c r="C19" s="6" t="b">
        <f>IFERROR(__xludf.DUMMYFUNCTION("""COMPUTED_VALUE"""),FALSE)</f>
        <v>0</v>
      </c>
      <c r="D19" s="6" t="str">
        <f>IFERROR(__xludf.DUMMYFUNCTION("""COMPUTED_VALUE"""),"Pechová Barbora")</f>
        <v>Pechová Barbora</v>
      </c>
      <c r="E19" s="6" t="str">
        <f>IFERROR(__xludf.DUMMYFUNCTION("""COMPUTED_VALUE"""),"Zličín")</f>
        <v>Zličín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191">
        <f>IFERROR(__xludf.DUMMYFUNCTION("""COMPUTED_VALUE"""),267.6)</f>
        <v>267.6</v>
      </c>
      <c r="W19" s="191">
        <f>IFERROR(__xludf.DUMMYFUNCTION("""COMPUTED_VALUE"""),0.0)</f>
        <v>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>
      <c r="A20" s="6" t="str">
        <f>IF(AND(B20&lt;&gt;"", C20=TRUE, E20=Report!$B$1), B20, "")</f>
        <v/>
      </c>
      <c r="B20" s="193" t="str">
        <f>IF(OR(E20=Report!$B$1, F20=Report!$B$1, G20=Report!$B$1, H20=Report!$B$1), D20, "")</f>
        <v/>
      </c>
      <c r="C20" s="6" t="b">
        <f>IFERROR(__xludf.DUMMYFUNCTION("""COMPUTED_VALUE"""),FALSE)</f>
        <v>0</v>
      </c>
      <c r="D20" s="6" t="str">
        <f>IFERROR(__xludf.DUMMYFUNCTION("""COMPUTED_VALUE"""),"Stepanenko Solomiia")</f>
        <v>Stepanenko Solomiia</v>
      </c>
      <c r="E20" s="6" t="str">
        <f>IFERROR(__xludf.DUMMYFUNCTION("""COMPUTED_VALUE"""),"Výroba")</f>
        <v>Výroba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191">
        <f>IFERROR(__xludf.DUMMYFUNCTION("""COMPUTED_VALUE"""),286.332)</f>
        <v>286.332</v>
      </c>
      <c r="W20" s="191">
        <f>IFERROR(__xludf.DUMMYFUNCTION("""COMPUTED_VALUE"""),0.0)</f>
        <v>0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>
      <c r="A21" s="6" t="str">
        <f>IF(AND(B21&lt;&gt;"", C21=TRUE, E21=Report!$B$1), B21, "")</f>
        <v/>
      </c>
      <c r="B21" s="193" t="str">
        <f>IF(OR(E21=Report!$B$1, F21=Report!$B$1, G21=Report!$B$1, H21=Report!$B$1), D21, "")</f>
        <v/>
      </c>
      <c r="C21" s="6" t="b">
        <f>IFERROR(__xludf.DUMMYFUNCTION("""COMPUTED_VALUE"""),FALSE)</f>
        <v>0</v>
      </c>
      <c r="D21" s="6" t="str">
        <f>IFERROR(__xludf.DUMMYFUNCTION("""COMPUTED_VALUE"""),"Rothová Anastasia")</f>
        <v>Rothová Anastasia</v>
      </c>
      <c r="E21" s="6" t="str">
        <f>IFERROR(__xludf.DUMMYFUNCTION("""COMPUTED_VALUE"""),"Bolevec")</f>
        <v>Bolevec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191">
        <f>IFERROR(__xludf.DUMMYFUNCTION("""COMPUTED_VALUE"""),341.19)</f>
        <v>341.19</v>
      </c>
      <c r="W21" s="191">
        <f>IFERROR(__xludf.DUMMYFUNCTION("""COMPUTED_VALUE"""),0.0)</f>
        <v>0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>
      <c r="A22" s="6" t="str">
        <f>IF(AND(B22&lt;&gt;"", C22=TRUE, E22=Report!$B$1), B22, "")</f>
        <v/>
      </c>
      <c r="B22" s="193" t="str">
        <f>IF(OR(E22=Report!$B$1, F22=Report!$B$1, G22=Report!$B$1, H22=Report!$B$1), D22, "")</f>
        <v/>
      </c>
      <c r="C22" s="6" t="b">
        <f>IFERROR(__xludf.DUMMYFUNCTION("""COMPUTED_VALUE"""),FALSE)</f>
        <v>0</v>
      </c>
      <c r="D22" s="6" t="str">
        <f>IFERROR(__xludf.DUMMYFUNCTION("""COMPUTED_VALUE"""),"Pánková Vendula")</f>
        <v>Pánková Vendula</v>
      </c>
      <c r="E22" s="6" t="str">
        <f>IFERROR(__xludf.DUMMYFUNCTION("""COMPUTED_VALUE"""),"Zličín")</f>
        <v>Zličín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191">
        <f>IFERROR(__xludf.DUMMYFUNCTION("""COMPUTED_VALUE"""),267.6)</f>
        <v>267.6</v>
      </c>
      <c r="W22" s="191">
        <f>IFERROR(__xludf.DUMMYFUNCTION("""COMPUTED_VALUE"""),0.0)</f>
        <v>0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>
      <c r="A23" s="6" t="str">
        <f>IF(AND(B23&lt;&gt;"", C23=TRUE, E23=Report!$B$1), B23, "")</f>
        <v/>
      </c>
      <c r="B23" s="193" t="str">
        <f>IF(OR(E23=Report!$B$1, F23=Report!$B$1, G23=Report!$B$1, H23=Report!$B$1), D23, "")</f>
        <v/>
      </c>
      <c r="C23" s="6" t="b">
        <f>IFERROR(__xludf.DUMMYFUNCTION("""COMPUTED_VALUE"""),FALSE)</f>
        <v>0</v>
      </c>
      <c r="D23" s="6" t="str">
        <f>IFERROR(__xludf.DUMMYFUNCTION("""COMPUTED_VALUE"""),"Vostrý Daniel")</f>
        <v>Vostrý Daniel</v>
      </c>
      <c r="E23" s="6" t="str">
        <f>IFERROR(__xludf.DUMMYFUNCTION("""COMPUTED_VALUE"""),"Bolevec")</f>
        <v>Bolevec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191">
        <f>IFERROR(__xludf.DUMMYFUNCTION("""COMPUTED_VALUE"""),250.20600000000002)</f>
        <v>250.206</v>
      </c>
      <c r="W23" s="191">
        <f>IFERROR(__xludf.DUMMYFUNCTION("""COMPUTED_VALUE"""),0.0)</f>
        <v>0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>
      <c r="A24" s="6" t="str">
        <f>IF(AND(B24&lt;&gt;"", C24=TRUE, E24=Report!$B$1), B24, "")</f>
        <v>Hegedüs Erik</v>
      </c>
      <c r="B24" s="193" t="str">
        <f>IF(OR(E24=Report!$B$1, F24=Report!$B$1, G24=Report!$B$1, H24=Report!$B$1), D24, "")</f>
        <v>Hegedüs Erik</v>
      </c>
      <c r="C24" s="6" t="b">
        <f>IFERROR(__xludf.DUMMYFUNCTION("""COMPUTED_VALUE"""),TRUE)</f>
        <v>1</v>
      </c>
      <c r="D24" s="6" t="str">
        <f>IFERROR(__xludf.DUMMYFUNCTION("""COMPUTED_VALUE"""),"Hegedüs Erik")</f>
        <v>Hegedüs Erik</v>
      </c>
      <c r="E24" s="6" t="str">
        <f>IFERROR(__xludf.DUMMYFUNCTION("""COMPUTED_VALUE"""),"Libuš")</f>
        <v>Libuš</v>
      </c>
      <c r="F24" s="6" t="str">
        <f>IFERROR(__xludf.DUMMYFUNCTION("""COMPUTED_VALUE"""),"Chodov")</f>
        <v>Chodov</v>
      </c>
      <c r="G24" s="6" t="str">
        <f>IFERROR(__xludf.DUMMYFUNCTION("""COMPUTED_VALUE"""),"Malešice")</f>
        <v>Malešice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191">
        <f>IFERROR(__xludf.DUMMYFUNCTION("""COMPUTED_VALUE"""),432.3078)</f>
        <v>432.3078</v>
      </c>
      <c r="W24" s="191">
        <f>IFERROR(__xludf.DUMMYFUNCTION("""COMPUTED_VALUE"""),2882.052)</f>
        <v>2882.052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>
      <c r="A25" s="6" t="str">
        <f>IF(AND(B25&lt;&gt;"", C25=TRUE, E25=Report!$B$1), B25, "")</f>
        <v/>
      </c>
      <c r="B25" s="193" t="str">
        <f>IF(OR(E25=Report!$B$1, F25=Report!$B$1, G25=Report!$B$1, H25=Report!$B$1), D25, "")</f>
        <v/>
      </c>
      <c r="C25" s="6" t="b">
        <f>IFERROR(__xludf.DUMMYFUNCTION("""COMPUTED_VALUE"""),TRUE)</f>
        <v>1</v>
      </c>
      <c r="D25" s="6" t="str">
        <f>IFERROR(__xludf.DUMMYFUNCTION("""COMPUTED_VALUE"""),"Roth Stanislav ml.")</f>
        <v>Roth Stanislav ml.</v>
      </c>
      <c r="E25" s="6" t="str">
        <f>IFERROR(__xludf.DUMMYFUNCTION("""COMPUTED_VALUE"""),"Bolevec")</f>
        <v>Bolevec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191">
        <f>IFERROR(__xludf.DUMMYFUNCTION("""COMPUTED_VALUE"""),432.3078)</f>
        <v>432.3078</v>
      </c>
      <c r="W25" s="191">
        <f>IFERROR(__xludf.DUMMYFUNCTION("""COMPUTED_VALUE"""),2882.052)</f>
        <v>2882.052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>
      <c r="A26" s="6" t="str">
        <f>IF(AND(B26&lt;&gt;"", C26=TRUE, E26=Report!$B$1), B26, "")</f>
        <v/>
      </c>
      <c r="B26" s="193" t="str">
        <f>IF(OR(E26=Report!$B$1, F26=Report!$B$1, G26=Report!$B$1, H26=Report!$B$1), D26, "")</f>
        <v/>
      </c>
      <c r="C26" s="6" t="b">
        <f>IFERROR(__xludf.DUMMYFUNCTION("""COMPUTED_VALUE"""),FALSE)</f>
        <v>0</v>
      </c>
      <c r="D26" s="6" t="str">
        <f>IFERROR(__xludf.DUMMYFUNCTION("""COMPUTED_VALUE"""),"Strauss Daniel")</f>
        <v>Strauss Daniel</v>
      </c>
      <c r="E26" s="6" t="str">
        <f>IFERROR(__xludf.DUMMYFUNCTION("""COMPUTED_VALUE"""),"Malešice")</f>
        <v>Malešice</v>
      </c>
      <c r="F26" s="6" t="str">
        <f>IFERROR(__xludf.DUMMYFUNCTION("""COMPUTED_VALUE"""),"Zličín")</f>
        <v>Zličín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191">
        <f>IFERROR(__xludf.DUMMYFUNCTION("""COMPUTED_VALUE"""),250.20600000000002)</f>
        <v>250.206</v>
      </c>
      <c r="W26" s="191">
        <f>IFERROR(__xludf.DUMMYFUNCTION("""COMPUTED_VALUE"""),0.0)</f>
        <v>0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>
      <c r="A27" s="6" t="str">
        <f>IF(AND(B27&lt;&gt;"", C27=TRUE, E27=Report!$B$1), B27, "")</f>
        <v/>
      </c>
      <c r="B27" s="193" t="str">
        <f>IF(OR(E27=Report!$B$1, F27=Report!$B$1, G27=Report!$B$1, H27=Report!$B$1), D27, "")</f>
        <v/>
      </c>
      <c r="C27" s="6" t="b">
        <f>IFERROR(__xludf.DUMMYFUNCTION("""COMPUTED_VALUE"""),FALSE)</f>
        <v>0</v>
      </c>
      <c r="D27" s="6" t="str">
        <f>IFERROR(__xludf.DUMMYFUNCTION("""COMPUTED_VALUE"""),"Makula Radek")</f>
        <v>Makula Radek</v>
      </c>
      <c r="E27" s="6" t="str">
        <f>IFERROR(__xludf.DUMMYFUNCTION("""COMPUTED_VALUE"""),"Prosek")</f>
        <v>Prosek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191">
        <f>IFERROR(__xludf.DUMMYFUNCTION("""COMPUTED_VALUE"""),250.20600000000002)</f>
        <v>250.206</v>
      </c>
      <c r="W27" s="191">
        <f>IFERROR(__xludf.DUMMYFUNCTION("""COMPUTED_VALUE"""),0.0)</f>
        <v>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>
      <c r="A28" s="6" t="str">
        <f>IF(AND(B28&lt;&gt;"", C28=TRUE, E28=Report!$B$1), B28, "")</f>
        <v/>
      </c>
      <c r="B28" s="193" t="str">
        <f>IF(OR(E28=Report!$B$1, F28=Report!$B$1, G28=Report!$B$1, H28=Report!$B$1), D28, "")</f>
        <v/>
      </c>
      <c r="C28" s="6" t="b">
        <f>IFERROR(__xludf.DUMMYFUNCTION("""COMPUTED_VALUE"""),FALSE)</f>
        <v>0</v>
      </c>
      <c r="D28" s="6" t="str">
        <f>IFERROR(__xludf.DUMMYFUNCTION("""COMPUTED_VALUE"""),"Pelikán Jan")</f>
        <v>Pelikán Jan</v>
      </c>
      <c r="E28" s="6" t="str">
        <f>IFERROR(__xludf.DUMMYFUNCTION("""COMPUTED_VALUE"""),"Chodov")</f>
        <v>Chodov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191">
        <f>IFERROR(__xludf.DUMMYFUNCTION("""COMPUTED_VALUE"""),214.08)</f>
        <v>214.08</v>
      </c>
      <c r="W28" s="191">
        <f>IFERROR(__xludf.DUMMYFUNCTION("""COMPUTED_VALUE"""),0.0)</f>
        <v>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>
      <c r="A29" s="6" t="str">
        <f>IF(AND(B29&lt;&gt;"", C29=TRUE, E29=Report!$B$1), B29, "")</f>
        <v/>
      </c>
      <c r="B29" s="193" t="str">
        <f>IF(OR(E29=Report!$B$1, F29=Report!$B$1, G29=Report!$B$1, H29=Report!$B$1), D29, "")</f>
        <v/>
      </c>
      <c r="C29" s="6" t="b">
        <f>IFERROR(__xludf.DUMMYFUNCTION("""COMPUTED_VALUE"""),FALSE)</f>
        <v>0</v>
      </c>
      <c r="D29" s="6" t="str">
        <f>IFERROR(__xludf.DUMMYFUNCTION("""COMPUTED_VALUE"""),"Horváth Petr")</f>
        <v>Horváth Petr</v>
      </c>
      <c r="E29" s="6" t="str">
        <f>IFERROR(__xludf.DUMMYFUNCTION("""COMPUTED_VALUE"""),"Bolevec")</f>
        <v>Bolevec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191">
        <f>IFERROR(__xludf.DUMMYFUNCTION("""COMPUTED_VALUE"""),250.20600000000002)</f>
        <v>250.206</v>
      </c>
      <c r="W29" s="191">
        <f>IFERROR(__xludf.DUMMYFUNCTION("""COMPUTED_VALUE"""),0.0)</f>
        <v>0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>
      <c r="A30" s="6" t="str">
        <f>IF(AND(B30&lt;&gt;"", C30=TRUE, E30=Report!$B$1), B30, "")</f>
        <v/>
      </c>
      <c r="B30" s="193" t="str">
        <f>IF(OR(E30=Report!$B$1, F30=Report!$B$1, G30=Report!$B$1, H30=Report!$B$1), D30, "")</f>
        <v/>
      </c>
      <c r="C30" s="6" t="b">
        <f>IFERROR(__xludf.DUMMYFUNCTION("""COMPUTED_VALUE"""),FALSE)</f>
        <v>0</v>
      </c>
      <c r="D30" s="6" t="str">
        <f>IFERROR(__xludf.DUMMYFUNCTION("""COMPUTED_VALUE"""),"Klapperová Giulia Laura")</f>
        <v>Klapperová Giulia Laura</v>
      </c>
      <c r="E30" s="6" t="str">
        <f>IFERROR(__xludf.DUMMYFUNCTION("""COMPUTED_VALUE"""),"Bolevec")</f>
        <v>Bolevec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191">
        <f>IFERROR(__xludf.DUMMYFUNCTION("""COMPUTED_VALUE"""),250.20600000000002)</f>
        <v>250.206</v>
      </c>
      <c r="W30" s="191">
        <f>IFERROR(__xludf.DUMMYFUNCTION("""COMPUTED_VALUE"""),0.0)</f>
        <v>0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>
      <c r="A31" s="6" t="str">
        <f>IF(AND(B31&lt;&gt;"", C31=TRUE, E31=Report!$B$1), B31, "")</f>
        <v/>
      </c>
      <c r="B31" s="193" t="str">
        <f>IF(OR(E31=Report!$B$1, F31=Report!$B$1, G31=Report!$B$1, H31=Report!$B$1), D31, "")</f>
        <v>Bubník Martin</v>
      </c>
      <c r="C31" s="6" t="b">
        <f>IFERROR(__xludf.DUMMYFUNCTION("""COMPUTED_VALUE"""),FALSE)</f>
        <v>0</v>
      </c>
      <c r="D31" s="6" t="str">
        <f>IFERROR(__xludf.DUMMYFUNCTION("""COMPUTED_VALUE"""),"Bubník Martin")</f>
        <v>Bubník Martin</v>
      </c>
      <c r="E31" s="6" t="str">
        <f>IFERROR(__xludf.DUMMYFUNCTION("""COMPUTED_VALUE"""),"Libuš")</f>
        <v>Libuš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191">
        <f>IFERROR(__xludf.DUMMYFUNCTION("""COMPUTED_VALUE"""),267.6)</f>
        <v>267.6</v>
      </c>
      <c r="W31" s="191">
        <f>IFERROR(__xludf.DUMMYFUNCTION("""COMPUTED_VALUE"""),0.0)</f>
        <v>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>
      <c r="A32" s="6" t="str">
        <f>IF(AND(B32&lt;&gt;"", C32=TRUE, E32=Report!$B$1), B32, "")</f>
        <v/>
      </c>
      <c r="B32" s="193" t="str">
        <f>IF(OR(E32=Report!$B$1, F32=Report!$B$1, G32=Report!$B$1, H32=Report!$B$1), D32, "")</f>
        <v/>
      </c>
      <c r="C32" s="6" t="b">
        <f>IFERROR(__xludf.DUMMYFUNCTION("""COMPUTED_VALUE"""),FALSE)</f>
        <v>0</v>
      </c>
      <c r="D32" s="6" t="str">
        <f>IFERROR(__xludf.DUMMYFUNCTION("""COMPUTED_VALUE"""),"Mirga Simon")</f>
        <v>Mirga Simon</v>
      </c>
      <c r="E32" s="6" t="str">
        <f>IFERROR(__xludf.DUMMYFUNCTION("""COMPUTED_VALUE"""),"Malešice")</f>
        <v>Malešice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191">
        <f>IFERROR(__xludf.DUMMYFUNCTION("""COMPUTED_VALUE"""),231.474)</f>
        <v>231.474</v>
      </c>
      <c r="W32" s="191">
        <f>IFERROR(__xludf.DUMMYFUNCTION("""COMPUTED_VALUE"""),0.0)</f>
        <v>0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>
      <c r="A33" s="6" t="str">
        <f>IF(AND(B33&lt;&gt;"", C33=TRUE, E33=Report!$B$1), B33, "")</f>
        <v/>
      </c>
      <c r="B33" s="193" t="str">
        <f>IF(OR(E33=Report!$B$1, F33=Report!$B$1, G33=Report!$B$1, H33=Report!$B$1), D33, "")</f>
        <v/>
      </c>
      <c r="C33" s="6" t="b">
        <f>IFERROR(__xludf.DUMMYFUNCTION("""COMPUTED_VALUE"""),FALSE)</f>
        <v>0</v>
      </c>
      <c r="D33" s="6" t="str">
        <f>IFERROR(__xludf.DUMMYFUNCTION("""COMPUTED_VALUE"""),"Bušek Pavel")</f>
        <v>Bušek Pavel</v>
      </c>
      <c r="E33" s="6" t="str">
        <f>IFERROR(__xludf.DUMMYFUNCTION("""COMPUTED_VALUE"""),"Prosek")</f>
        <v>Prosek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191">
        <f>IFERROR(__xludf.DUMMYFUNCTION("""COMPUTED_VALUE"""),250.20600000000002)</f>
        <v>250.206</v>
      </c>
      <c r="W33" s="191">
        <f>IFERROR(__xludf.DUMMYFUNCTION("""COMPUTED_VALUE"""),0.0)</f>
        <v>0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>
      <c r="A34" s="6" t="str">
        <f>IF(AND(B34&lt;&gt;"", C34=TRUE, E34=Report!$B$1), B34, "")</f>
        <v/>
      </c>
      <c r="B34" s="193" t="str">
        <f>IF(OR(E34=Report!$B$1, F34=Report!$B$1, G34=Report!$B$1, H34=Report!$B$1), D34, "")</f>
        <v>Berdar Vasyl</v>
      </c>
      <c r="C34" s="6" t="b">
        <f>IFERROR(__xludf.DUMMYFUNCTION("""COMPUTED_VALUE"""),FALSE)</f>
        <v>0</v>
      </c>
      <c r="D34" s="6" t="str">
        <f>IFERROR(__xludf.DUMMYFUNCTION("""COMPUTED_VALUE"""),"Berdar Vasyl")</f>
        <v>Berdar Vasyl</v>
      </c>
      <c r="E34" s="6" t="str">
        <f>IFERROR(__xludf.DUMMYFUNCTION("""COMPUTED_VALUE"""),"Libuš")</f>
        <v>Libuš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191">
        <f>IFERROR(__xludf.DUMMYFUNCTION("""COMPUTED_VALUE"""),286.332)</f>
        <v>286.332</v>
      </c>
      <c r="W34" s="191">
        <f>IFERROR(__xludf.DUMMYFUNCTION("""COMPUTED_VALUE"""),0.0)</f>
        <v>0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>
      <c r="A35" s="6" t="str">
        <f>IF(AND(B35&lt;&gt;"", C35=TRUE, E35=Report!$B$1), B35, "")</f>
        <v/>
      </c>
      <c r="B35" s="193" t="str">
        <f>IF(OR(E35=Report!$B$1, F35=Report!$B$1, G35=Report!$B$1, H35=Report!$B$1), D35, "")</f>
        <v/>
      </c>
      <c r="C35" s="6" t="b">
        <f>IFERROR(__xludf.DUMMYFUNCTION("""COMPUTED_VALUE"""),FALSE)</f>
        <v>0</v>
      </c>
      <c r="D35" s="6" t="str">
        <f>IFERROR(__xludf.DUMMYFUNCTION("""COMPUTED_VALUE"""),"Yarushynskyi Vladyslav")</f>
        <v>Yarushynskyi Vladyslav</v>
      </c>
      <c r="E35" s="6" t="str">
        <f>IFERROR(__xludf.DUMMYFUNCTION("""COMPUTED_VALUE"""),"Chodov")</f>
        <v>Chodov</v>
      </c>
      <c r="F35" s="6" t="str">
        <f>IFERROR(__xludf.DUMMYFUNCTION("""COMPUTED_VALUE"""),"Malešice")</f>
        <v>Malešice</v>
      </c>
      <c r="G35" s="6" t="str">
        <f>IFERROR(__xludf.DUMMYFUNCTION("""COMPUTED_VALUE"""),"Zličín")</f>
        <v>Zličín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191">
        <f>IFERROR(__xludf.DUMMYFUNCTION("""COMPUTED_VALUE"""),267.6)</f>
        <v>267.6</v>
      </c>
      <c r="W35" s="191">
        <f>IFERROR(__xludf.DUMMYFUNCTION("""COMPUTED_VALUE"""),0.0)</f>
        <v>0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>
      <c r="A36" s="6" t="str">
        <f>IF(AND(B36&lt;&gt;"", C36=TRUE, E36=Report!$B$1), B36, "")</f>
        <v/>
      </c>
      <c r="B36" s="193" t="str">
        <f>IF(OR(E36=Report!$B$1, F36=Report!$B$1, G36=Report!$B$1, H36=Report!$B$1), D36, "")</f>
        <v/>
      </c>
      <c r="C36" s="6" t="b">
        <f>IFERROR(__xludf.DUMMYFUNCTION("""COMPUTED_VALUE"""),FALSE)</f>
        <v>0</v>
      </c>
      <c r="D36" s="6" t="str">
        <f>IFERROR(__xludf.DUMMYFUNCTION("""COMPUTED_VALUE"""),"Raboch Tomáš")</f>
        <v>Raboch Tomáš</v>
      </c>
      <c r="E36" s="6" t="str">
        <f>IFERROR(__xludf.DUMMYFUNCTION("""COMPUTED_VALUE"""),"Bolevec")</f>
        <v>Bolevec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191">
        <f>IFERROR(__xludf.DUMMYFUNCTION("""COMPUTED_VALUE"""),250.20600000000002)</f>
        <v>250.206</v>
      </c>
      <c r="W36" s="191">
        <f>IFERROR(__xludf.DUMMYFUNCTION("""COMPUTED_VALUE"""),0.0)</f>
        <v>0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>
      <c r="A37" s="6" t="str">
        <f>IF(AND(B37&lt;&gt;"", C37=TRUE, E37=Report!$B$1), B37, "")</f>
        <v/>
      </c>
      <c r="B37" s="193" t="str">
        <f>IF(OR(E37=Report!$B$1, F37=Report!$B$1, G37=Report!$B$1, H37=Report!$B$1), D37, "")</f>
        <v/>
      </c>
      <c r="C37" s="6" t="b">
        <f>IFERROR(__xludf.DUMMYFUNCTION("""COMPUTED_VALUE"""),FALSE)</f>
        <v>0</v>
      </c>
      <c r="D37" s="6" t="str">
        <f>IFERROR(__xludf.DUMMYFUNCTION("""COMPUTED_VALUE"""),"Židek Petr")</f>
        <v>Židek Petr</v>
      </c>
      <c r="E37" s="6" t="str">
        <f>IFERROR(__xludf.DUMMYFUNCTION("""COMPUTED_VALUE"""),"Chodov")</f>
        <v>Chodov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191">
        <f>IFERROR(__xludf.DUMMYFUNCTION("""COMPUTED_VALUE"""),250.20600000000002)</f>
        <v>250.206</v>
      </c>
      <c r="W37" s="191">
        <f>IFERROR(__xludf.DUMMYFUNCTION("""COMPUTED_VALUE"""),0.0)</f>
        <v>0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>
      <c r="A38" s="6" t="str">
        <f>IF(AND(B38&lt;&gt;"", C38=TRUE, E38=Report!$B$1), B38, "")</f>
        <v/>
      </c>
      <c r="B38" s="193" t="str">
        <f>IF(OR(E38=Report!$B$1, F38=Report!$B$1, G38=Report!$B$1, H38=Report!$B$1), D38, "")</f>
        <v>Gorol Patrik</v>
      </c>
      <c r="C38" s="6" t="b">
        <f>IFERROR(__xludf.DUMMYFUNCTION("""COMPUTED_VALUE"""),FALSE)</f>
        <v>0</v>
      </c>
      <c r="D38" s="6" t="str">
        <f>IFERROR(__xludf.DUMMYFUNCTION("""COMPUTED_VALUE"""),"Gorol Patrik")</f>
        <v>Gorol Patrik</v>
      </c>
      <c r="E38" s="6" t="str">
        <f>IFERROR(__xludf.DUMMYFUNCTION("""COMPUTED_VALUE"""),"Malešice")</f>
        <v>Malešice</v>
      </c>
      <c r="F38" s="6" t="str">
        <f>IFERROR(__xludf.DUMMYFUNCTION("""COMPUTED_VALUE"""),"Libuš")</f>
        <v>Libuš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191">
        <f>IFERROR(__xludf.DUMMYFUNCTION("""COMPUTED_VALUE"""),231.474)</f>
        <v>231.474</v>
      </c>
      <c r="W38" s="191">
        <f>IFERROR(__xludf.DUMMYFUNCTION("""COMPUTED_VALUE"""),0.0)</f>
        <v>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>
      <c r="A39" s="6" t="str">
        <f>IF(AND(B39&lt;&gt;"", C39=TRUE, E39=Report!$B$1), B39, "")</f>
        <v/>
      </c>
      <c r="B39" s="193" t="str">
        <f>IF(OR(E39=Report!$B$1, F39=Report!$B$1, G39=Report!$B$1, H39=Report!$B$1), D39, "")</f>
        <v/>
      </c>
      <c r="C39" s="6" t="b">
        <f>IFERROR(__xludf.DUMMYFUNCTION("""COMPUTED_VALUE"""),FALSE)</f>
        <v>0</v>
      </c>
      <c r="D39" s="6" t="str">
        <f>IFERROR(__xludf.DUMMYFUNCTION("""COMPUTED_VALUE"""),"Kratochvíl Kryštof")</f>
        <v>Kratochvíl Kryštof</v>
      </c>
      <c r="E39" s="6" t="str">
        <f>IFERROR(__xludf.DUMMYFUNCTION("""COMPUTED_VALUE"""),"Bolevec")</f>
        <v>Bolevec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191">
        <f>IFERROR(__xludf.DUMMYFUNCTION("""COMPUTED_VALUE"""),267.6)</f>
        <v>267.6</v>
      </c>
      <c r="W39" s="191">
        <f>IFERROR(__xludf.DUMMYFUNCTION("""COMPUTED_VALUE"""),0.0)</f>
        <v>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>
      <c r="A40" s="6" t="str">
        <f>IF(AND(B40&lt;&gt;"", C40=TRUE, E40=Report!$B$1), B40, "")</f>
        <v/>
      </c>
      <c r="B40" s="193" t="str">
        <f>IF(OR(E40=Report!$B$1, F40=Report!$B$1, G40=Report!$B$1, H40=Report!$B$1), D40, "")</f>
        <v>Hegedüs Gergö</v>
      </c>
      <c r="C40" s="6" t="b">
        <f>IFERROR(__xludf.DUMMYFUNCTION("""COMPUTED_VALUE"""),FALSE)</f>
        <v>0</v>
      </c>
      <c r="D40" s="6" t="str">
        <f>IFERROR(__xludf.DUMMYFUNCTION("""COMPUTED_VALUE"""),"Hegedüs Gergö")</f>
        <v>Hegedüs Gergö</v>
      </c>
      <c r="E40" s="6" t="str">
        <f>IFERROR(__xludf.DUMMYFUNCTION("""COMPUTED_VALUE"""),"Libuš")</f>
        <v>Libuš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191">
        <f>IFERROR(__xludf.DUMMYFUNCTION("""COMPUTED_VALUE"""),214.08)</f>
        <v>214.08</v>
      </c>
      <c r="W40" s="191">
        <f>IFERROR(__xludf.DUMMYFUNCTION("""COMPUTED_VALUE"""),0.0)</f>
        <v>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>
      <c r="A41" s="6" t="str">
        <f>IF(AND(B41&lt;&gt;"", C41=TRUE, E41=Report!$B$1), B41, "")</f>
        <v/>
      </c>
      <c r="B41" s="193" t="str">
        <f>IF(OR(E41=Report!$B$1, F41=Report!$B$1, G41=Report!$B$1, H41=Report!$B$1), D41, "")</f>
        <v>Barvínková Eliška</v>
      </c>
      <c r="C41" s="6" t="b">
        <f>IFERROR(__xludf.DUMMYFUNCTION("""COMPUTED_VALUE"""),FALSE)</f>
        <v>0</v>
      </c>
      <c r="D41" s="6" t="str">
        <f>IFERROR(__xludf.DUMMYFUNCTION("""COMPUTED_VALUE"""),"Barvínková Eliška")</f>
        <v>Barvínková Eliška</v>
      </c>
      <c r="E41" s="6" t="str">
        <f>IFERROR(__xludf.DUMMYFUNCTION("""COMPUTED_VALUE"""),"Libuš")</f>
        <v>Libuš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191">
        <f>IFERROR(__xludf.DUMMYFUNCTION("""COMPUTED_VALUE"""),231.474)</f>
        <v>231.474</v>
      </c>
      <c r="W41" s="191">
        <f>IFERROR(__xludf.DUMMYFUNCTION("""COMPUTED_VALUE"""),0.0)</f>
        <v>0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>
      <c r="A42" s="6" t="str">
        <f>IF(AND(B42&lt;&gt;"", C42=TRUE, E42=Report!$B$1), B42, "")</f>
        <v/>
      </c>
      <c r="B42" s="193" t="str">
        <f>IF(OR(E42=Report!$B$1, F42=Report!$B$1, G42=Report!$B$1, H42=Report!$B$1), D42, "")</f>
        <v/>
      </c>
      <c r="C42" s="6" t="b">
        <f>IFERROR(__xludf.DUMMYFUNCTION("""COMPUTED_VALUE"""),FALSE)</f>
        <v>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191">
        <f>IFERROR(__xludf.DUMMYFUNCTION("""COMPUTED_VALUE"""),0.0)</f>
        <v>0</v>
      </c>
      <c r="W42" s="191">
        <f>IFERROR(__xludf.DUMMYFUNCTION("""COMPUTED_VALUE"""),0.0)</f>
        <v>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>
      <c r="A43" s="6" t="str">
        <f>IF(AND(B43&lt;&gt;"", C43=TRUE, E43=Report!$B$1), B43, "")</f>
        <v/>
      </c>
      <c r="B43" s="193" t="str">
        <f>IF(OR(E43=Report!$B$1, F43=Report!$B$1, G43=Report!$B$1, H43=Report!$B$1), D43, "")</f>
        <v/>
      </c>
      <c r="C43" s="6" t="b">
        <f>IFERROR(__xludf.DUMMYFUNCTION("""COMPUTED_VALUE"""),FALSE)</f>
        <v>0</v>
      </c>
      <c r="D43" s="6" t="str">
        <f>IFERROR(__xludf.DUMMYFUNCTION("""COMPUTED_VALUE"""),"Kursheva Diana")</f>
        <v>Kursheva Diana</v>
      </c>
      <c r="E43" s="6" t="str">
        <f>IFERROR(__xludf.DUMMYFUNCTION("""COMPUTED_VALUE"""),"Výroba")</f>
        <v>Výroba</v>
      </c>
      <c r="F43" s="6" t="str">
        <f>IFERROR(__xludf.DUMMYFUNCTION("""COMPUTED_VALUE"""),"Chodov")</f>
        <v>Chodov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91">
        <f>IFERROR(__xludf.DUMMYFUNCTION("""COMPUTED_VALUE"""),250.20600000000002)</f>
        <v>250.206</v>
      </c>
      <c r="W43" s="191">
        <f>IFERROR(__xludf.DUMMYFUNCTION("""COMPUTED_VALUE"""),0.0)</f>
        <v>0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>
      <c r="A44" s="6"/>
      <c r="B44" s="194" t="str">
        <f>IF(OR(E44=Report!$B$1, F44=Report!$B$1, G44=Report!$B$1, H44=Report!$B$1), D44, "")</f>
        <v/>
      </c>
      <c r="C44" s="6" t="b">
        <f>IFERROR(__xludf.DUMMYFUNCTION("""COMPUTED_VALUE"""),FALSE)</f>
        <v>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191">
        <f>IFERROR(__xludf.DUMMYFUNCTION("""COMPUTED_VALUE"""),0.0)</f>
        <v>0</v>
      </c>
      <c r="W44" s="191">
        <f>IFERROR(__xludf.DUMMYFUNCTION("""COMPUTED_VALUE"""),0.0)</f>
        <v>0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>
      <c r="A45" s="6"/>
      <c r="B45" s="194" t="str">
        <f>IF(OR(E45=Report!$B$1, F45=Report!$B$1, G45=Report!$B$1, H45=Report!$B$1), D45, "")</f>
        <v/>
      </c>
      <c r="C45" s="6" t="b">
        <f>IFERROR(__xludf.DUMMYFUNCTION("""COMPUTED_VALUE"""),FALSE)</f>
        <v>0</v>
      </c>
      <c r="D45" s="6" t="str">
        <f>IFERROR(__xludf.DUMMYFUNCTION("""COMPUTED_VALUE"""),"Tůma Vladimír")</f>
        <v>Tůma Vladimír</v>
      </c>
      <c r="E45" s="6" t="str">
        <f>IFERROR(__xludf.DUMMYFUNCTION("""COMPUTED_VALUE"""),"Bolevec")</f>
        <v>Bolevec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191">
        <f>IFERROR(__xludf.DUMMYFUNCTION("""COMPUTED_VALUE"""),250.20600000000002)</f>
        <v>250.206</v>
      </c>
      <c r="W45" s="191">
        <f>IFERROR(__xludf.DUMMYFUNCTION("""COMPUTED_VALUE"""),0.0)</f>
        <v>0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>
      <c r="A46" s="6"/>
      <c r="B46" s="194" t="str">
        <f>IF(OR(E46=Report!$B$1, F46=Report!$B$1, G46=Report!$B$1, H46=Report!$B$1), D46, "")</f>
        <v/>
      </c>
      <c r="C46" s="6" t="b">
        <f>IFERROR(__xludf.DUMMYFUNCTION("""COMPUTED_VALUE"""),FALSE)</f>
        <v>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191">
        <f>IFERROR(__xludf.DUMMYFUNCTION("""COMPUTED_VALUE"""),0.0)</f>
        <v>0</v>
      </c>
      <c r="W46" s="191">
        <f>IFERROR(__xludf.DUMMYFUNCTION("""COMPUTED_VALUE"""),0.0)</f>
        <v>0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>
      <c r="A47" s="6"/>
      <c r="B47" s="194" t="str">
        <f>IF(OR(E47=Report!$B$1, F47=Report!$B$1, G47=Report!$B$1, H47=Report!$B$1), D47, "")</f>
        <v>Kubík Martin</v>
      </c>
      <c r="C47" s="6" t="b">
        <f>IFERROR(__xludf.DUMMYFUNCTION("""COMPUTED_VALUE"""),FALSE)</f>
        <v>0</v>
      </c>
      <c r="D47" s="6" t="str">
        <f>IFERROR(__xludf.DUMMYFUNCTION("""COMPUTED_VALUE"""),"Kubík Martin")</f>
        <v>Kubík Martin</v>
      </c>
      <c r="E47" s="6" t="str">
        <f>IFERROR(__xludf.DUMMYFUNCTION("""COMPUTED_VALUE"""),"Libuš")</f>
        <v>Libuš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191">
        <f>IFERROR(__xludf.DUMMYFUNCTION("""COMPUTED_VALUE"""),250.20600000000002)</f>
        <v>250.206</v>
      </c>
      <c r="W47" s="191">
        <f>IFERROR(__xludf.DUMMYFUNCTION("""COMPUTED_VALUE"""),0.0)</f>
        <v>0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>
      <c r="A48" s="6"/>
      <c r="B48" s="194" t="str">
        <f>IF(OR(E48=Report!$B$1, F48=Report!$B$1, G48=Report!$B$1, H48=Report!$B$1), D48, "")</f>
        <v/>
      </c>
      <c r="C48" s="6" t="b">
        <f>IFERROR(__xludf.DUMMYFUNCTION("""COMPUTED_VALUE"""),FALSE)</f>
        <v>0</v>
      </c>
      <c r="D48" s="6" t="str">
        <f>IFERROR(__xludf.DUMMYFUNCTION("""COMPUTED_VALUE"""),"Putna Jaroslav")</f>
        <v>Putna Jaroslav</v>
      </c>
      <c r="E48" s="6" t="str">
        <f>IFERROR(__xludf.DUMMYFUNCTION("""COMPUTED_VALUE"""),"Zličín")</f>
        <v>Zličín</v>
      </c>
      <c r="F48" s="6" t="str">
        <f>IFERROR(__xludf.DUMMYFUNCTION("""COMPUTED_VALUE"""),"Prosek")</f>
        <v>Prosek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191">
        <f>IFERROR(__xludf.DUMMYFUNCTION("""COMPUTED_VALUE"""),250.20600000000002)</f>
        <v>250.206</v>
      </c>
      <c r="W48" s="191">
        <f>IFERROR(__xludf.DUMMYFUNCTION("""COMPUTED_VALUE"""),0.0)</f>
        <v>0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>
      <c r="A49" s="6"/>
      <c r="B49" s="194" t="str">
        <f>IF(OR(E49=Report!$B$1, F49=Report!$B$1, G49=Report!$B$1, H49=Report!$B$1), D49, "")</f>
        <v/>
      </c>
      <c r="C49" s="6" t="b">
        <f>IFERROR(__xludf.DUMMYFUNCTION("""COMPUTED_VALUE"""),FALSE)</f>
        <v>0</v>
      </c>
      <c r="D49" s="6" t="str">
        <f>IFERROR(__xludf.DUMMYFUNCTION("""COMPUTED_VALUE"""),"Rataj Pavel")</f>
        <v>Rataj Pavel</v>
      </c>
      <c r="E49" s="6" t="str">
        <f>IFERROR(__xludf.DUMMYFUNCTION("""COMPUTED_VALUE"""),"Bolevec")</f>
        <v>Bolevec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191">
        <f>IFERROR(__xludf.DUMMYFUNCTION("""COMPUTED_VALUE"""),250.20600000000002)</f>
        <v>250.206</v>
      </c>
      <c r="W49" s="191">
        <f>IFERROR(__xludf.DUMMYFUNCTION("""COMPUTED_VALUE"""),0.0)</f>
        <v>0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>
      <c r="A50" s="6"/>
      <c r="B50" s="194" t="str">
        <f>IF(OR(E50=Report!$B$1, F50=Report!$B$1, G50=Report!$B$1, H50=Report!$B$1), D50, "")</f>
        <v/>
      </c>
      <c r="C50" s="6" t="b">
        <f>IFERROR(__xludf.DUMMYFUNCTION("""COMPUTED_VALUE"""),FALSE)</f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191">
        <f>IFERROR(__xludf.DUMMYFUNCTION("""COMPUTED_VALUE"""),0.0)</f>
        <v>0</v>
      </c>
      <c r="W50" s="191">
        <f>IFERROR(__xludf.DUMMYFUNCTION("""COMPUTED_VALUE"""),0.0)</f>
        <v>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>
      <c r="A51" s="6"/>
      <c r="B51" s="194" t="str">
        <f>IF(OR(E51=Report!$B$1, F51=Report!$B$1, G51=Report!$B$1, H51=Report!$B$1), D51, "")</f>
        <v/>
      </c>
      <c r="C51" s="6" t="b">
        <f>IFERROR(__xludf.DUMMYFUNCTION("""COMPUTED_VALUE"""),FALSE)</f>
        <v>0</v>
      </c>
      <c r="D51" s="6" t="str">
        <f>IFERROR(__xludf.DUMMYFUNCTION("""COMPUTED_VALUE"""),"Čermák Tomáš")</f>
        <v>Čermák Tomáš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191">
        <f>IFERROR(__xludf.DUMMYFUNCTION("""COMPUTED_VALUE"""),231.474)</f>
        <v>231.474</v>
      </c>
      <c r="W51" s="191">
        <f>IFERROR(__xludf.DUMMYFUNCTION("""COMPUTED_VALUE"""),0.0)</f>
        <v>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>
      <c r="A52" s="6"/>
      <c r="B52" s="194" t="str">
        <f>IF(OR(E52=Report!$B$1, F52=Report!$B$1, G52=Report!$B$1, H52=Report!$B$1), D52, "")</f>
        <v/>
      </c>
      <c r="C52" s="6" t="b">
        <f>IFERROR(__xludf.DUMMYFUNCTION("""COMPUTED_VALUE"""),FALSE)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191">
        <f>IFERROR(__xludf.DUMMYFUNCTION("""COMPUTED_VALUE"""),250.20600000000002)</f>
        <v>250.206</v>
      </c>
      <c r="W52" s="191">
        <f>IFERROR(__xludf.DUMMYFUNCTION("""COMPUTED_VALUE"""),0.0)</f>
        <v>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>
      <c r="A53" s="6"/>
      <c r="B53" s="194" t="str">
        <f>IF(OR(E53=Report!$B$1, F53=Report!$B$1, G53=Report!$B$1, H53=Report!$B$1), D53, "")</f>
        <v>Kopic Jakub</v>
      </c>
      <c r="C53" s="6" t="b">
        <f>IFERROR(__xludf.DUMMYFUNCTION("""COMPUTED_VALUE"""),FALSE)</f>
        <v>0</v>
      </c>
      <c r="D53" s="6" t="str">
        <f>IFERROR(__xludf.DUMMYFUNCTION("""COMPUTED_VALUE"""),"Kopic Jakub")</f>
        <v>Kopic Jakub</v>
      </c>
      <c r="E53" s="6" t="str">
        <f>IFERROR(__xludf.DUMMYFUNCTION("""COMPUTED_VALUE"""),"Malešice")</f>
        <v>Malešice</v>
      </c>
      <c r="F53" s="6" t="str">
        <f>IFERROR(__xludf.DUMMYFUNCTION("""COMPUTED_VALUE"""),"Prosek")</f>
        <v>Prosek</v>
      </c>
      <c r="G53" s="6" t="str">
        <f>IFERROR(__xludf.DUMMYFUNCTION("""COMPUTED_VALUE"""),"Libuš")</f>
        <v>Libuš</v>
      </c>
      <c r="H53" s="6" t="str">
        <f>IFERROR(__xludf.DUMMYFUNCTION("""COMPUTED_VALUE"""),"Prosek")</f>
        <v>Prosek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191">
        <f>IFERROR(__xludf.DUMMYFUNCTION("""COMPUTED_VALUE"""),250.20600000000002)</f>
        <v>250.206</v>
      </c>
      <c r="W53" s="191">
        <f>IFERROR(__xludf.DUMMYFUNCTION("""COMPUTED_VALUE"""),0.0)</f>
        <v>0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>
      <c r="A54" s="6"/>
      <c r="B54" s="194" t="str">
        <f>IF(OR(E54=Report!$B$1, F54=Report!$B$1, G54=Report!$B$1, H54=Report!$B$1), D54, "")</f>
        <v/>
      </c>
      <c r="C54" s="6" t="b">
        <f>IFERROR(__xludf.DUMMYFUNCTION("""COMPUTED_VALUE"""),FALSE)</f>
        <v>0</v>
      </c>
      <c r="D54" s="6" t="str">
        <f>IFERROR(__xludf.DUMMYFUNCTION("""COMPUTED_VALUE"""),"Fáberová Kateřina")</f>
        <v>Fáberová Kateřina</v>
      </c>
      <c r="E54" s="6" t="str">
        <f>IFERROR(__xludf.DUMMYFUNCTION("""COMPUTED_VALUE"""),"Prosek")</f>
        <v>Prosek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191">
        <f>IFERROR(__xludf.DUMMYFUNCTION("""COMPUTED_VALUE"""),250.20600000000002)</f>
        <v>250.206</v>
      </c>
      <c r="W54" s="191">
        <f>IFERROR(__xludf.DUMMYFUNCTION("""COMPUTED_VALUE"""),0.0)</f>
        <v>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>
      <c r="A55" s="6"/>
      <c r="B55" s="194" t="str">
        <f>IF(OR(E55=Report!$B$1, F55=Report!$B$1, G55=Report!$B$1, H55=Report!$B$1), D55, "")</f>
        <v/>
      </c>
      <c r="C55" s="6" t="b">
        <f>IFERROR(__xludf.DUMMYFUNCTION("""COMPUTED_VALUE"""),FALSE)</f>
        <v>0</v>
      </c>
      <c r="D55" s="6" t="str">
        <f>IFERROR(__xludf.DUMMYFUNCTION("""COMPUTED_VALUE"""),"Chlubnová Adéla")</f>
        <v>Chlubnová Adéla</v>
      </c>
      <c r="E55" s="6" t="str">
        <f>IFERROR(__xludf.DUMMYFUNCTION("""COMPUTED_VALUE"""),"Chodov")</f>
        <v>Chodov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191">
        <f>IFERROR(__xludf.DUMMYFUNCTION("""COMPUTED_VALUE"""),250.20600000000002)</f>
        <v>250.206</v>
      </c>
      <c r="W55" s="191">
        <f>IFERROR(__xludf.DUMMYFUNCTION("""COMPUTED_VALUE"""),0.0)</f>
        <v>0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>
      <c r="A56" s="6"/>
      <c r="B56" s="194" t="str">
        <f>IF(OR(E56=Report!$B$1, F56=Report!$B$1, G56=Report!$B$1, H56=Report!$B$1), D56, "")</f>
        <v/>
      </c>
      <c r="C56" s="6" t="b">
        <f>IFERROR(__xludf.DUMMYFUNCTION("""COMPUTED_VALUE"""),FALSE)</f>
        <v>0</v>
      </c>
      <c r="D56" s="6" t="str">
        <f>IFERROR(__xludf.DUMMYFUNCTION("""COMPUTED_VALUE"""),"Céspedes Miranda Sebastián")</f>
        <v>Céspedes Miranda Sebastián</v>
      </c>
      <c r="E56" s="6" t="str">
        <f>IFERROR(__xludf.DUMMYFUNCTION("""COMPUTED_VALUE"""),"Chodov")</f>
        <v>Chodov</v>
      </c>
      <c r="F56" s="6" t="str">
        <f>IFERROR(__xludf.DUMMYFUNCTION("""COMPUTED_VALUE"""),"Malešice")</f>
        <v>Malešice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191">
        <f>IFERROR(__xludf.DUMMYFUNCTION("""COMPUTED_VALUE"""),250.20600000000002)</f>
        <v>250.206</v>
      </c>
      <c r="W56" s="191">
        <f>IFERROR(__xludf.DUMMYFUNCTION("""COMPUTED_VALUE"""),0.0)</f>
        <v>0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>
      <c r="A57" s="6"/>
      <c r="B57" s="194" t="str">
        <f>IF(OR(E57=Report!$B$1, F57=Report!$B$1, G57=Report!$B$1, H57=Report!$B$1), D57, "")</f>
        <v/>
      </c>
      <c r="C57" s="6" t="b">
        <f>IFERROR(__xludf.DUMMYFUNCTION("""COMPUTED_VALUE"""),FALSE)</f>
        <v>0</v>
      </c>
      <c r="D57" s="6" t="str">
        <f>IFERROR(__xludf.DUMMYFUNCTION("""COMPUTED_VALUE"""),"Kuzníková Nicol")</f>
        <v>Kuzníková Nicol</v>
      </c>
      <c r="E57" s="6" t="str">
        <f>IFERROR(__xludf.DUMMYFUNCTION("""COMPUTED_VALUE"""),"Zličín")</f>
        <v>Zličín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91">
        <f>IFERROR(__xludf.DUMMYFUNCTION("""COMPUTED_VALUE"""),250.20600000000002)</f>
        <v>250.206</v>
      </c>
      <c r="W57" s="191">
        <f>IFERROR(__xludf.DUMMYFUNCTION("""COMPUTED_VALUE"""),0.0)</f>
        <v>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>
      <c r="A58" s="6"/>
      <c r="B58" s="194" t="str">
        <f>IF(OR(E58=Report!$B$1, F58=Report!$B$1, G58=Report!$B$1, H58=Report!$B$1), D58, "")</f>
        <v/>
      </c>
      <c r="C58" s="6"/>
      <c r="D58" s="6" t="str">
        <f>IFERROR(__xludf.DUMMYFUNCTION("""COMPUTED_VALUE"""),"End")</f>
        <v>End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91">
        <f>IFERROR(__xludf.DUMMYFUNCTION("""COMPUTED_VALUE"""),0.0)</f>
        <v>0</v>
      </c>
      <c r="W58" s="191">
        <f>IFERROR(__xludf.DUMMYFUNCTION("""COMPUTED_VALUE"""),0.0)</f>
        <v>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>
      <c r="A59" s="6"/>
      <c r="B59" s="194" t="str">
        <f>IF(OR(E59=Report!$B$1, F59=Report!$B$1, G59=Report!$B$1, H59=Report!$B$1), D59, "")</f>
        <v/>
      </c>
      <c r="C59" s="6"/>
      <c r="D59" s="6" t="str">
        <f>IFERROR(__xludf.DUMMYFUNCTION("""COMPUTED_VALUE"""),"Suma instor")</f>
        <v>Suma instor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191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>
      <c r="A60" s="6"/>
      <c r="B60" s="194" t="str">
        <f>IF(OR(E60=Report!$B$1, F60=Report!$B$1, G60=Report!$B$1, H60=Report!$B$1), D60, "")</f>
        <v/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191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>
      <c r="A61" s="6"/>
      <c r="B61" s="193" t="str">
        <f>IF(OR(E61=Report!$B$1, F61=Report!$B$1, G61=Report!$B$1, H61=Report!$B$1), D61, "")</f>
        <v/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191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>
      <c r="A62" s="6"/>
      <c r="B62" s="193" t="str">
        <f>IF(OR(E62=Report!$B$1, F62=Report!$B$1, G62=Report!$B$1, H62=Report!$B$1), D62, "")</f>
        <v/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191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>
      <c r="A63" s="6"/>
      <c r="B63" s="193" t="str">
        <f>IF(OR(E63=Report!$B$1, F63=Report!$B$1, G63=Report!$B$1, H63=Report!$B$1), D63, "")</f>
        <v/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191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>
      <c r="A64" s="6"/>
      <c r="B64" s="193" t="str">
        <f>IF(OR(E64=Report!$B$1, F64=Report!$B$1, G64=Report!$B$1, H64=Report!$B$1), D64, "")</f>
        <v/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191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>
      <c r="A65" s="6"/>
      <c r="B65" s="193" t="str">
        <f>IF(OR(E65=Report!$B$1, F65=Report!$B$1, G65=Report!$B$1, H65=Report!$B$1), D65, "")</f>
        <v/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191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>
      <c r="A66" s="6"/>
      <c r="B66" s="193" t="str">
        <f>IF(OR(E66=Report!$B$1, F66=Report!$B$1, G66=Report!$B$1, H66=Report!$B$1), D66, "")</f>
        <v/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191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>
      <c r="A67" s="6"/>
      <c r="B67" s="193" t="str">
        <f>IF(OR(E67=Report!$B$1, F67=Report!$B$1, G67=Report!$B$1, H67=Report!$B$1), D67, "")</f>
        <v/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191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>
      <c r="A68" s="6"/>
      <c r="B68" s="193" t="str">
        <f>IF(OR(E68=Report!$B$1, F68=Report!$B$1, G68=Report!$B$1, H68=Report!$B$1), D68, "")</f>
        <v/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191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>
      <c r="A69" s="6"/>
      <c r="B69" s="193" t="str">
        <f>IF(OR(E69=Report!$B$1, F69=Report!$B$1, G69=Report!$B$1, H69=Report!$B$1), D69, "")</f>
        <v/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191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>
      <c r="A70" s="6"/>
      <c r="B70" s="193" t="str">
        <f>IF(OR(E70=Report!$B$1, F70=Report!$B$1, G70=Report!$B$1, H70=Report!$B$1), D70, "")</f>
        <v/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191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>
      <c r="A71" s="6"/>
      <c r="B71" s="193" t="str">
        <f>IF(OR(E71=Report!$B$1, F71=Report!$B$1, G71=Report!$B$1, H71=Report!$B$1), D71, "")</f>
        <v/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191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>
      <c r="A72" s="6"/>
      <c r="B72" s="193" t="str">
        <f>IF(OR(E72=Report!$B$1, F72=Report!$B$1, G72=Report!$B$1, H72=Report!$B$1), D72, "")</f>
        <v/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191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>
      <c r="A73" s="6"/>
      <c r="B73" s="193" t="str">
        <f>IF(OR(E73=Report!$B$1, F73=Report!$B$1, G73=Report!$B$1, H73=Report!$B$1), D73, "")</f>
        <v/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191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>
      <c r="A74" s="6"/>
      <c r="B74" s="193" t="str">
        <f>IF(OR(E74=Report!$B$1, F74=Report!$B$1, G74=Report!$B$1, H74=Report!$B$1), D74, "")</f>
        <v/>
      </c>
      <c r="C74" s="6" t="str">
        <f>IFERROR(__xludf.DUMMYFUNCTION("""COMPUTED_VALUE"""),"Manažer")</f>
        <v>Manažer</v>
      </c>
      <c r="D74" s="6" t="str">
        <f>IFERROR(__xludf.DUMMYFUNCTION("""COMPUTED_VALUE"""),"Kurýr")</f>
        <v>Kurýr</v>
      </c>
      <c r="E74" s="6" t="str">
        <f>IFERROR(__xludf.DUMMYFUNCTION("""COMPUTED_VALUE"""),"První domácí,          Pobočky max 4    ")</f>
        <v>První domácí,          Pobočky max 4    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 t="str">
        <f>IFERROR(__xludf.DUMMYFUNCTION("""COMPUTED_VALUE"""),"Sp.hr. / h")</f>
        <v>Sp.hr. / h</v>
      </c>
      <c r="W74" s="191" t="str">
        <f>IFERROR(__xludf.DUMMYFUNCTION("""COMPUTED_VALUE"""),"Sp.hr. / den")</f>
        <v>Sp.hr. / den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>
      <c r="A75" s="6"/>
      <c r="B75" s="193" t="str">
        <f>IF(OR(E75=Report!$B$1, F75=Report!$B$1, G75=Report!$B$1, H75=Report!$B$1), D75, "")</f>
        <v>Jurkovič Martin</v>
      </c>
      <c r="C75" s="6" t="b">
        <f>IFERROR(__xludf.DUMMYFUNCTION("""COMPUTED_VALUE"""),FALSE)</f>
        <v>0</v>
      </c>
      <c r="D75" s="6" t="str">
        <f>IFERROR(__xludf.DUMMYFUNCTION("""COMPUTED_VALUE"""),"Jurkovič Martin")</f>
        <v>Jurkovič Martin</v>
      </c>
      <c r="E75" s="6" t="str">
        <f>IFERROR(__xludf.DUMMYFUNCTION("""COMPUTED_VALUE"""),"Libuš")</f>
        <v>Libuš</v>
      </c>
      <c r="F75" s="6" t="str">
        <f>IFERROR(__xludf.DUMMYFUNCTION("""COMPUTED_VALUE"""),"Chodov")</f>
        <v>Chodov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91">
        <f>IFERROR(__xludf.DUMMYFUNCTION("""COMPUTED_VALUE"""),150.0)</f>
        <v>150</v>
      </c>
      <c r="W75" s="191">
        <f>IFERROR(__xludf.DUMMYFUNCTION("""COMPUTED_VALUE"""),0.0)</f>
        <v>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>
      <c r="A76" s="6"/>
      <c r="B76" s="193" t="str">
        <f>IF(OR(E76=Report!$B$1, F76=Report!$B$1, G76=Report!$B$1, H76=Report!$B$1), D76, "")</f>
        <v/>
      </c>
      <c r="C76" s="6" t="b">
        <f>IFERROR(__xludf.DUMMYFUNCTION("""COMPUTED_VALUE"""),FALSE)</f>
        <v>0</v>
      </c>
      <c r="D76" s="6" t="str">
        <f>IFERROR(__xludf.DUMMYFUNCTION("""COMPUTED_VALUE"""),"Navrátil Ondřej")</f>
        <v>Navrátil Ondřej</v>
      </c>
      <c r="E76" s="6" t="str">
        <f>IFERROR(__xludf.DUMMYFUNCTION("""COMPUTED_VALUE"""),"Chodov")</f>
        <v>Chodov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91">
        <f>IFERROR(__xludf.DUMMYFUNCTION("""COMPUTED_VALUE"""),267.6)</f>
        <v>267.6</v>
      </c>
      <c r="W76" s="191">
        <f>IFERROR(__xludf.DUMMYFUNCTION("""COMPUTED_VALUE"""),0.0)</f>
        <v>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>
      <c r="A77" s="6"/>
      <c r="B77" s="193" t="str">
        <f>IF(OR(E77=Report!$B$1, F77=Report!$B$1, G77=Report!$B$1, H77=Report!$B$1), D77, "")</f>
        <v/>
      </c>
      <c r="C77" s="6" t="b">
        <f>IFERROR(__xludf.DUMMYFUNCTION("""COMPUTED_VALUE"""),FALSE)</f>
        <v>0</v>
      </c>
      <c r="D77" s="6" t="str">
        <f>IFERROR(__xludf.DUMMYFUNCTION("""COMPUTED_VALUE"""),"Němec Filip")</f>
        <v>Němec Filip</v>
      </c>
      <c r="E77" s="6" t="str">
        <f>IFERROR(__xludf.DUMMYFUNCTION("""COMPUTED_VALUE"""),"Zličín")</f>
        <v>Zličín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91">
        <f>IFERROR(__xludf.DUMMYFUNCTION("""COMPUTED_VALUE"""),231.474)</f>
        <v>231.474</v>
      </c>
      <c r="W77" s="191">
        <f>IFERROR(__xludf.DUMMYFUNCTION("""COMPUTED_VALUE"""),0.0)</f>
        <v>0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>
      <c r="A78" s="6"/>
      <c r="B78" s="193" t="str">
        <f>IF(OR(E78=Report!$B$1, F78=Report!$B$1, G78=Report!$B$1, H78=Report!$B$1), D78, "")</f>
        <v/>
      </c>
      <c r="C78" s="6" t="b">
        <f>IFERROR(__xludf.DUMMYFUNCTION("""COMPUTED_VALUE"""),FALSE)</f>
        <v>0</v>
      </c>
      <c r="D78" s="6" t="str">
        <f>IFERROR(__xludf.DUMMYFUNCTION("""COMPUTED_VALUE"""),"Zimmer Jakub")</f>
        <v>Zimmer Jakub</v>
      </c>
      <c r="E78" s="6" t="str">
        <f>IFERROR(__xludf.DUMMYFUNCTION("""COMPUTED_VALUE"""),"Zličín")</f>
        <v>Zličín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91">
        <f>IFERROR(__xludf.DUMMYFUNCTION("""COMPUTED_VALUE"""),267.6)</f>
        <v>267.6</v>
      </c>
      <c r="W78" s="191">
        <f>IFERROR(__xludf.DUMMYFUNCTION("""COMPUTED_VALUE"""),0.0)</f>
        <v>0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>
      <c r="A79" s="6"/>
      <c r="B79" s="193" t="str">
        <f>IF(OR(E79=Report!$B$1, F79=Report!$B$1, G79=Report!$B$1, H79=Report!$B$1), D79, "")</f>
        <v>Nekolný Vladimír</v>
      </c>
      <c r="C79" s="6" t="b">
        <f>IFERROR(__xludf.DUMMYFUNCTION("""COMPUTED_VALUE"""),FALSE)</f>
        <v>0</v>
      </c>
      <c r="D79" s="6" t="str">
        <f>IFERROR(__xludf.DUMMYFUNCTION("""COMPUTED_VALUE"""),"Nekolný Vladimír")</f>
        <v>Nekolný Vladimír</v>
      </c>
      <c r="E79" s="6" t="str">
        <f>IFERROR(__xludf.DUMMYFUNCTION("""COMPUTED_VALUE"""),"Chodov")</f>
        <v>Chodov</v>
      </c>
      <c r="F79" s="6" t="str">
        <f>IFERROR(__xludf.DUMMYFUNCTION("""COMPUTED_VALUE"""),"Libuš")</f>
        <v>Libuš</v>
      </c>
      <c r="G79" s="6" t="str">
        <f>IFERROR(__xludf.DUMMYFUNCTION("""COMPUTED_VALUE"""),"Zličín")</f>
        <v>Zličín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91">
        <f>IFERROR(__xludf.DUMMYFUNCTION("""COMPUTED_VALUE"""),231.474)</f>
        <v>231.474</v>
      </c>
      <c r="W79" s="191">
        <f>IFERROR(__xludf.DUMMYFUNCTION("""COMPUTED_VALUE"""),0.0)</f>
        <v>0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>
      <c r="A80" s="6"/>
      <c r="B80" s="193" t="str">
        <f>IF(OR(E80=Report!$B$1, F80=Report!$B$1, G80=Report!$B$1, H80=Report!$B$1), D80, "")</f>
        <v>Hanibal Filip</v>
      </c>
      <c r="C80" s="6" t="b">
        <f>IFERROR(__xludf.DUMMYFUNCTION("""COMPUTED_VALUE"""),FALSE)</f>
        <v>0</v>
      </c>
      <c r="D80" s="6" t="str">
        <f>IFERROR(__xludf.DUMMYFUNCTION("""COMPUTED_VALUE"""),"Hanibal Filip")</f>
        <v>Hanibal Filip</v>
      </c>
      <c r="E80" s="6" t="str">
        <f>IFERROR(__xludf.DUMMYFUNCTION("""COMPUTED_VALUE"""),"Malešice")</f>
        <v>Malešice</v>
      </c>
      <c r="F80" s="6" t="str">
        <f>IFERROR(__xludf.DUMMYFUNCTION("""COMPUTED_VALUE"""),"Libuš")</f>
        <v>Libuš</v>
      </c>
      <c r="G80" s="6" t="str">
        <f>IFERROR(__xludf.DUMMYFUNCTION("""COMPUTED_VALUE"""),"Prosek")</f>
        <v>Prosek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91">
        <f>IFERROR(__xludf.DUMMYFUNCTION("""COMPUTED_VALUE"""),250.20600000000002)</f>
        <v>250.206</v>
      </c>
      <c r="W80" s="191">
        <f>IFERROR(__xludf.DUMMYFUNCTION("""COMPUTED_VALUE"""),0.0)</f>
        <v>0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>
      <c r="A81" s="6"/>
      <c r="B81" s="193" t="str">
        <f>IF(OR(E81=Report!$B$1, F81=Report!$B$1, G81=Report!$B$1, H81=Report!$B$1), D81, "")</f>
        <v/>
      </c>
      <c r="C81" s="6" t="b">
        <f>IFERROR(__xludf.DUMMYFUNCTION("""COMPUTED_VALUE"""),FALSE)</f>
        <v>0</v>
      </c>
      <c r="D81" s="6" t="str">
        <f>IFERROR(__xludf.DUMMYFUNCTION("""COMPUTED_VALUE"""),"Novák Jakub")</f>
        <v>Novák Jakub</v>
      </c>
      <c r="E81" s="6" t="str">
        <f>IFERROR(__xludf.DUMMYFUNCTION("""COMPUTED_VALUE"""),"Zličín")</f>
        <v>Zličín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91">
        <f>IFERROR(__xludf.DUMMYFUNCTION("""COMPUTED_VALUE"""),214.08)</f>
        <v>214.08</v>
      </c>
      <c r="W81" s="191">
        <f>IFERROR(__xludf.DUMMYFUNCTION("""COMPUTED_VALUE"""),0.0)</f>
        <v>0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>
      <c r="A82" s="6"/>
      <c r="B82" s="193" t="str">
        <f>IF(OR(E82=Report!$B$1, F82=Report!$B$1, G82=Report!$B$1, H82=Report!$B$1), D82, "")</f>
        <v/>
      </c>
      <c r="C82" s="6" t="b">
        <f>IFERROR(__xludf.DUMMYFUNCTION("""COMPUTED_VALUE"""),FALSE)</f>
        <v>0</v>
      </c>
      <c r="D82" s="6" t="str">
        <f>IFERROR(__xludf.DUMMYFUNCTION("""COMPUTED_VALUE"""),"Černohorský Otakar")</f>
        <v>Černohorský Otakar</v>
      </c>
      <c r="E82" s="6" t="str">
        <f>IFERROR(__xludf.DUMMYFUNCTION("""COMPUTED_VALUE"""),"Zličín")</f>
        <v>Zličín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91">
        <f>IFERROR(__xludf.DUMMYFUNCTION("""COMPUTED_VALUE"""),231.474)</f>
        <v>231.474</v>
      </c>
      <c r="W82" s="191">
        <f>IFERROR(__xludf.DUMMYFUNCTION("""COMPUTED_VALUE"""),0.0)</f>
        <v>0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>
      <c r="A83" s="6"/>
      <c r="B83" s="193" t="str">
        <f>IF(OR(E83=Report!$B$1, F83=Report!$B$1, G83=Report!$B$1, H83=Report!$B$1), D83, "")</f>
        <v>Nedvěd Dominik</v>
      </c>
      <c r="C83" s="6" t="b">
        <f>IFERROR(__xludf.DUMMYFUNCTION("""COMPUTED_VALUE"""),FALSE)</f>
        <v>0</v>
      </c>
      <c r="D83" s="6" t="str">
        <f>IFERROR(__xludf.DUMMYFUNCTION("""COMPUTED_VALUE"""),"Nedvěd Dominik")</f>
        <v>Nedvěd Dominik</v>
      </c>
      <c r="E83" s="6" t="str">
        <f>IFERROR(__xludf.DUMMYFUNCTION("""COMPUTED_VALUE"""),"Libuš")</f>
        <v>Libuš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91">
        <f>IFERROR(__xludf.DUMMYFUNCTION("""COMPUTED_VALUE"""),231.474)</f>
        <v>231.474</v>
      </c>
      <c r="W83" s="191">
        <f>IFERROR(__xludf.DUMMYFUNCTION("""COMPUTED_VALUE"""),0.0)</f>
        <v>0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>
      <c r="A84" s="6"/>
      <c r="B84" s="193" t="str">
        <f>IF(OR(E84=Report!$B$1, F84=Report!$B$1, G84=Report!$B$1, H84=Report!$B$1), D84, "")</f>
        <v>Lanský Zoltan</v>
      </c>
      <c r="C84" s="6" t="b">
        <f>IFERROR(__xludf.DUMMYFUNCTION("""COMPUTED_VALUE"""),FALSE)</f>
        <v>0</v>
      </c>
      <c r="D84" s="6" t="str">
        <f>IFERROR(__xludf.DUMMYFUNCTION("""COMPUTED_VALUE"""),"Lanský Zoltan")</f>
        <v>Lanský Zoltan</v>
      </c>
      <c r="E84" s="6" t="str">
        <f>IFERROR(__xludf.DUMMYFUNCTION("""COMPUTED_VALUE"""),"Chodov")</f>
        <v>Chodov</v>
      </c>
      <c r="F84" s="6" t="str">
        <f>IFERROR(__xludf.DUMMYFUNCTION("""COMPUTED_VALUE"""),"Libuš")</f>
        <v>Libuš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91">
        <f>IFERROR(__xludf.DUMMYFUNCTION("""COMPUTED_VALUE"""),250.20600000000002)</f>
        <v>250.206</v>
      </c>
      <c r="W84" s="191">
        <f>IFERROR(__xludf.DUMMYFUNCTION("""COMPUTED_VALUE"""),0.0)</f>
        <v>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>
      <c r="A85" s="6"/>
      <c r="B85" s="193" t="str">
        <f>IF(OR(E85=Report!$B$1, F85=Report!$B$1, G85=Report!$B$1, H85=Report!$B$1), D85, "")</f>
        <v/>
      </c>
      <c r="C85" s="6" t="b">
        <f>IFERROR(__xludf.DUMMYFUNCTION("""COMPUTED_VALUE"""),FALSE)</f>
        <v>0</v>
      </c>
      <c r="D85" s="6" t="str">
        <f>IFERROR(__xludf.DUMMYFUNCTION("""COMPUTED_VALUE"""),"Čerešňák Michal")</f>
        <v>Čerešňák Michal</v>
      </c>
      <c r="E85" s="6" t="str">
        <f>IFERROR(__xludf.DUMMYFUNCTION("""COMPUTED_VALUE"""),"Zličín")</f>
        <v>Zličín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91">
        <f>IFERROR(__xludf.DUMMYFUNCTION("""COMPUTED_VALUE"""),170.0)</f>
        <v>170</v>
      </c>
      <c r="W85" s="191">
        <f>IFERROR(__xludf.DUMMYFUNCTION("""COMPUTED_VALUE"""),0.0)</f>
        <v>0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>
      <c r="A86" s="6"/>
      <c r="B86" s="193" t="str">
        <f>IF(OR(E86=Report!$B$1, F86=Report!$B$1, G86=Report!$B$1, H86=Report!$B$1), D86, "")</f>
        <v/>
      </c>
      <c r="C86" s="6" t="b">
        <f>IFERROR(__xludf.DUMMYFUNCTION("""COMPUTED_VALUE"""),FALSE)</f>
        <v>0</v>
      </c>
      <c r="D86" s="6" t="str">
        <f>IFERROR(__xludf.DUMMYFUNCTION("""COMPUTED_VALUE"""),"Lowe Jana")</f>
        <v>Lowe Jana</v>
      </c>
      <c r="E86" s="6" t="str">
        <f>IFERROR(__xludf.DUMMYFUNCTION("""COMPUTED_VALUE"""),"Zličín")</f>
        <v>Zličín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91">
        <f>IFERROR(__xludf.DUMMYFUNCTION("""COMPUTED_VALUE"""),150.0)</f>
        <v>150</v>
      </c>
      <c r="W86" s="191">
        <f>IFERROR(__xludf.DUMMYFUNCTION("""COMPUTED_VALUE"""),0.0)</f>
        <v>0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>
      <c r="A87" s="6"/>
      <c r="B87" s="193" t="str">
        <f>IF(OR(E87=Report!$B$1, F87=Report!$B$1, G87=Report!$B$1, H87=Report!$B$1), D87, "")</f>
        <v/>
      </c>
      <c r="C87" s="6" t="b">
        <f>IFERROR(__xludf.DUMMYFUNCTION("""COMPUTED_VALUE"""),FALSE)</f>
        <v>0</v>
      </c>
      <c r="D87" s="6" t="str">
        <f>IFERROR(__xludf.DUMMYFUNCTION("""COMPUTED_VALUE"""),"Mikuš Pavel")</f>
        <v>Mikuš Pavel</v>
      </c>
      <c r="E87" s="6" t="str">
        <f>IFERROR(__xludf.DUMMYFUNCTION("""COMPUTED_VALUE"""),"Prosek")</f>
        <v>Prosek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91">
        <f>IFERROR(__xludf.DUMMYFUNCTION("""COMPUTED_VALUE"""),250.20600000000002)</f>
        <v>250.206</v>
      </c>
      <c r="W87" s="191">
        <f>IFERROR(__xludf.DUMMYFUNCTION("""COMPUTED_VALUE"""),0.0)</f>
        <v>0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>
      <c r="A88" s="6"/>
      <c r="B88" s="193" t="str">
        <f>IF(OR(E88=Report!$B$1, F88=Report!$B$1, G88=Report!$B$1, H88=Report!$B$1), D88, "")</f>
        <v/>
      </c>
      <c r="C88" s="6" t="b">
        <f>IFERROR(__xludf.DUMMYFUNCTION("""COMPUTED_VALUE"""),FALSE)</f>
        <v>0</v>
      </c>
      <c r="D88" s="6" t="str">
        <f>IFERROR(__xludf.DUMMYFUNCTION("""COMPUTED_VALUE"""),"Hyský Aleš")</f>
        <v>Hyský Aleš</v>
      </c>
      <c r="E88" s="6" t="str">
        <f>IFERROR(__xludf.DUMMYFUNCTION("""COMPUTED_VALUE"""),"Chodov")</f>
        <v>Chodov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191">
        <f>IFERROR(__xludf.DUMMYFUNCTION("""COMPUTED_VALUE"""),231.474)</f>
        <v>231.474</v>
      </c>
      <c r="W88" s="191">
        <f>IFERROR(__xludf.DUMMYFUNCTION("""COMPUTED_VALUE"""),0.0)</f>
        <v>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>
      <c r="A89" s="6"/>
      <c r="B89" s="193" t="str">
        <f>IF(OR(E89=Report!$B$1, F89=Report!$B$1, G89=Report!$B$1, H89=Report!$B$1), D89, "")</f>
        <v/>
      </c>
      <c r="C89" s="6" t="b">
        <f>IFERROR(__xludf.DUMMYFUNCTION("""COMPUTED_VALUE"""),FALSE)</f>
        <v>0</v>
      </c>
      <c r="D89" s="6" t="str">
        <f>IFERROR(__xludf.DUMMYFUNCTION("""COMPUTED_VALUE"""),"Vokrojová Eliška")</f>
        <v>Vokrojová Eliška</v>
      </c>
      <c r="E89" s="6" t="str">
        <f>IFERROR(__xludf.DUMMYFUNCTION("""COMPUTED_VALUE"""),"Bolevec")</f>
        <v>Bolevec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191">
        <f>IFERROR(__xludf.DUMMYFUNCTION("""COMPUTED_VALUE"""),214.08)</f>
        <v>214.08</v>
      </c>
      <c r="W89" s="191">
        <f>IFERROR(__xludf.DUMMYFUNCTION("""COMPUTED_VALUE"""),0.0)</f>
        <v>0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>
      <c r="A90" s="6"/>
      <c r="B90" s="193" t="str">
        <f>IF(OR(E90=Report!$B$1, F90=Report!$B$1, G90=Report!$B$1, H90=Report!$B$1), D90, "")</f>
        <v/>
      </c>
      <c r="C90" s="6" t="b">
        <f>IFERROR(__xludf.DUMMYFUNCTION("""COMPUTED_VALUE"""),FALSE)</f>
        <v>0</v>
      </c>
      <c r="D90" s="6" t="str">
        <f>IFERROR(__xludf.DUMMYFUNCTION("""COMPUTED_VALUE"""),"Šmídová Sabina")</f>
        <v>Šmídová Sabina</v>
      </c>
      <c r="E90" s="6" t="str">
        <f>IFERROR(__xludf.DUMMYFUNCTION("""COMPUTED_VALUE"""),"Chodov")</f>
        <v>Chodov</v>
      </c>
      <c r="F90" s="6" t="str">
        <f>IFERROR(__xludf.DUMMYFUNCTION("""COMPUTED_VALUE"""),"Prosek")</f>
        <v>Prosek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191">
        <f>IFERROR(__xludf.DUMMYFUNCTION("""COMPUTED_VALUE"""),250.20600000000002)</f>
        <v>250.206</v>
      </c>
      <c r="W90" s="191">
        <f>IFERROR(__xludf.DUMMYFUNCTION("""COMPUTED_VALUE"""),0.0)</f>
        <v>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>
      <c r="A91" s="6"/>
      <c r="B91" s="193" t="str">
        <f>IF(OR(E91=Report!$B$1, F91=Report!$B$1, G91=Report!$B$1, H91=Report!$B$1), D91, "")</f>
        <v>Lažek Jaroslav</v>
      </c>
      <c r="C91" s="6" t="b">
        <f>IFERROR(__xludf.DUMMYFUNCTION("""COMPUTED_VALUE"""),FALSE)</f>
        <v>0</v>
      </c>
      <c r="D91" s="6" t="str">
        <f>IFERROR(__xludf.DUMMYFUNCTION("""COMPUTED_VALUE"""),"Lažek Jaroslav")</f>
        <v>Lažek Jaroslav</v>
      </c>
      <c r="E91" s="6" t="str">
        <f>IFERROR(__xludf.DUMMYFUNCTION("""COMPUTED_VALUE"""),"Libuš")</f>
        <v>Libuš</v>
      </c>
      <c r="F91" s="6" t="str">
        <f>IFERROR(__xludf.DUMMYFUNCTION("""COMPUTED_VALUE"""),"Chodov")</f>
        <v>Chodov</v>
      </c>
      <c r="G91" s="6" t="str">
        <f>IFERROR(__xludf.DUMMYFUNCTION("""COMPUTED_VALUE"""),"Malešice")</f>
        <v>Malešice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191">
        <f>IFERROR(__xludf.DUMMYFUNCTION("""COMPUTED_VALUE"""),170.0)</f>
        <v>170</v>
      </c>
      <c r="W91" s="191">
        <f>IFERROR(__xludf.DUMMYFUNCTION("""COMPUTED_VALUE"""),0.0)</f>
        <v>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>
      <c r="A92" s="6"/>
      <c r="B92" s="193" t="str">
        <f>IF(OR(E92=Report!$B$1, F92=Report!$B$1, G92=Report!$B$1, H92=Report!$B$1), D92, "")</f>
        <v/>
      </c>
      <c r="C92" s="6" t="b">
        <f>IFERROR(__xludf.DUMMYFUNCTION("""COMPUTED_VALUE"""),FALSE)</f>
        <v>0</v>
      </c>
      <c r="D92" s="6" t="str">
        <f>IFERROR(__xludf.DUMMYFUNCTION("""COMPUTED_VALUE"""),"Kormash Liubov")</f>
        <v>Kormash Liubov</v>
      </c>
      <c r="E92" s="6" t="str">
        <f>IFERROR(__xludf.DUMMYFUNCTION("""COMPUTED_VALUE"""),"Zličín")</f>
        <v>Zličín</v>
      </c>
      <c r="F92" s="6" t="str">
        <f>IFERROR(__xludf.DUMMYFUNCTION("""COMPUTED_VALUE"""),"Prosek")</f>
        <v>Prosek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191">
        <f>IFERROR(__xludf.DUMMYFUNCTION("""COMPUTED_VALUE"""),160.0)</f>
        <v>160</v>
      </c>
      <c r="W92" s="191">
        <f>IFERROR(__xludf.DUMMYFUNCTION("""COMPUTED_VALUE"""),0.0)</f>
        <v>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>
      <c r="A93" s="6"/>
      <c r="B93" s="193" t="str">
        <f>IF(OR(E93=Report!$B$1, F93=Report!$B$1, G93=Report!$B$1, H93=Report!$B$1), D93, "")</f>
        <v/>
      </c>
      <c r="C93" s="6" t="b">
        <f>IFERROR(__xludf.DUMMYFUNCTION("""COMPUTED_VALUE"""),FALSE)</f>
        <v>0</v>
      </c>
      <c r="D93" s="6" t="str">
        <f>IFERROR(__xludf.DUMMYFUNCTION("""COMPUTED_VALUE"""),"Čermák Jakub")</f>
        <v>Čermák Jakub</v>
      </c>
      <c r="E93" s="6" t="str">
        <f>IFERROR(__xludf.DUMMYFUNCTION("""COMPUTED_VALUE"""),"Chodov")</f>
        <v>Chodov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91">
        <f>IFERROR(__xludf.DUMMYFUNCTION("""COMPUTED_VALUE"""),231.474)</f>
        <v>231.474</v>
      </c>
      <c r="W93" s="191">
        <f>IFERROR(__xludf.DUMMYFUNCTION("""COMPUTED_VALUE"""),0.0)</f>
        <v>0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>
      <c r="A94" s="6"/>
      <c r="B94" s="193" t="str">
        <f>IF(OR(E94=Report!$B$1, F94=Report!$B$1, G94=Report!$B$1, H94=Report!$B$1), D94, "")</f>
        <v/>
      </c>
      <c r="C94" s="6" t="b">
        <f>IFERROR(__xludf.DUMMYFUNCTION("""COMPUTED_VALUE"""),FALSE)</f>
        <v>0</v>
      </c>
      <c r="D94" s="6" t="str">
        <f>IFERROR(__xludf.DUMMYFUNCTION("""COMPUTED_VALUE"""),"Killiakov Andrei")</f>
        <v>Killiakov Andrei</v>
      </c>
      <c r="E94" s="6" t="str">
        <f>IFERROR(__xludf.DUMMYFUNCTION("""COMPUTED_VALUE"""),"Zličín")</f>
        <v>Zličín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91">
        <f>IFERROR(__xludf.DUMMYFUNCTION("""COMPUTED_VALUE"""),231.474)</f>
        <v>231.474</v>
      </c>
      <c r="W94" s="191">
        <f>IFERROR(__xludf.DUMMYFUNCTION("""COMPUTED_VALUE"""),0.0)</f>
        <v>0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>
      <c r="A95" s="6"/>
      <c r="B95" s="193" t="str">
        <f>IF(OR(E95=Report!$B$1, F95=Report!$B$1, G95=Report!$B$1, H95=Report!$B$1), D95, "")</f>
        <v>Chlubna Tomáš</v>
      </c>
      <c r="C95" s="6" t="b">
        <f>IFERROR(__xludf.DUMMYFUNCTION("""COMPUTED_VALUE"""),FALSE)</f>
        <v>0</v>
      </c>
      <c r="D95" s="6" t="str">
        <f>IFERROR(__xludf.DUMMYFUNCTION("""COMPUTED_VALUE"""),"Chlubna Tomáš")</f>
        <v>Chlubna Tomáš</v>
      </c>
      <c r="E95" s="6" t="str">
        <f>IFERROR(__xludf.DUMMYFUNCTION("""COMPUTED_VALUE"""),"Chodov")</f>
        <v>Chodov</v>
      </c>
      <c r="F95" s="6" t="str">
        <f>IFERROR(__xludf.DUMMYFUNCTION("""COMPUTED_VALUE"""),"Libuš")</f>
        <v>Libuš</v>
      </c>
      <c r="G95" s="6" t="str">
        <f>IFERROR(__xludf.DUMMYFUNCTION("""COMPUTED_VALUE"""),"Výroba")</f>
        <v>Výroba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91">
        <f>IFERROR(__xludf.DUMMYFUNCTION("""COMPUTED_VALUE"""),250.20600000000002)</f>
        <v>250.206</v>
      </c>
      <c r="W95" s="191">
        <f>IFERROR(__xludf.DUMMYFUNCTION("""COMPUTED_VALUE"""),0.0)</f>
        <v>0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>
      <c r="A96" s="6"/>
      <c r="B96" s="193" t="str">
        <f>IF(OR(E96=Report!$B$1, F96=Report!$B$1, G96=Report!$B$1, H96=Report!$B$1), D96, "")</f>
        <v/>
      </c>
      <c r="C96" s="6" t="b">
        <f>IFERROR(__xludf.DUMMYFUNCTION("""COMPUTED_VALUE"""),FALSE)</f>
        <v>0</v>
      </c>
      <c r="D96" s="6" t="str">
        <f>IFERROR(__xludf.DUMMYFUNCTION("""COMPUTED_VALUE"""),"Vychivskyi Volodymyr")</f>
        <v>Vychivskyi Volodymyr</v>
      </c>
      <c r="E96" s="6" t="str">
        <f>IFERROR(__xludf.DUMMYFUNCTION("""COMPUTED_VALUE"""),"Malešice")</f>
        <v>Malešice</v>
      </c>
      <c r="F96" s="6" t="str">
        <f>IFERROR(__xludf.DUMMYFUNCTION("""COMPUTED_VALUE"""),"Prosek")</f>
        <v>Prosek</v>
      </c>
      <c r="G96" s="6" t="str">
        <f>IFERROR(__xludf.DUMMYFUNCTION("""COMPUTED_VALUE"""),"Zličín")</f>
        <v>Zličín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91">
        <f>IFERROR(__xludf.DUMMYFUNCTION("""COMPUTED_VALUE"""),250.20600000000002)</f>
        <v>250.206</v>
      </c>
      <c r="W96" s="191">
        <f>IFERROR(__xludf.DUMMYFUNCTION("""COMPUTED_VALUE"""),0.0)</f>
        <v>0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>
      <c r="A97" s="6"/>
      <c r="B97" s="193" t="str">
        <f>IF(OR(E97=Report!$B$1, F97=Report!$B$1, G97=Report!$B$1, H97=Report!$B$1), D97, "")</f>
        <v/>
      </c>
      <c r="C97" s="6" t="b">
        <f>IFERROR(__xludf.DUMMYFUNCTION("""COMPUTED_VALUE"""),FALSE)</f>
        <v>0</v>
      </c>
      <c r="D97" s="6" t="str">
        <f>IFERROR(__xludf.DUMMYFUNCTION("""COMPUTED_VALUE"""),"Petržilka Lukáš")</f>
        <v>Petržilka Lukáš</v>
      </c>
      <c r="E97" s="6" t="str">
        <f>IFERROR(__xludf.DUMMYFUNCTION("""COMPUTED_VALUE"""),"Prosek")</f>
        <v>Prosek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91">
        <f>IFERROR(__xludf.DUMMYFUNCTION("""COMPUTED_VALUE"""),250.20600000000002)</f>
        <v>250.206</v>
      </c>
      <c r="W97" s="191">
        <f>IFERROR(__xludf.DUMMYFUNCTION("""COMPUTED_VALUE"""),0.0)</f>
        <v>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>
      <c r="A98" s="6"/>
      <c r="B98" s="193" t="str">
        <f>IF(OR(E98=Report!$B$1, F98=Report!$B$1, G98=Report!$B$1, H98=Report!$B$1), D98, "")</f>
        <v/>
      </c>
      <c r="C98" s="6" t="b">
        <f>IFERROR(__xludf.DUMMYFUNCTION("""COMPUTED_VALUE"""),FALSE)</f>
        <v>0</v>
      </c>
      <c r="D98" s="6" t="str">
        <f>IFERROR(__xludf.DUMMYFUNCTION("""COMPUTED_VALUE"""),"Dvořák Radim")</f>
        <v>Dvořák Radim</v>
      </c>
      <c r="E98" s="6" t="str">
        <f>IFERROR(__xludf.DUMMYFUNCTION("""COMPUTED_VALUE"""),"Prosek")</f>
        <v>Prosek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191">
        <f>IFERROR(__xludf.DUMMYFUNCTION("""COMPUTED_VALUE"""),250.20600000000002)</f>
        <v>250.206</v>
      </c>
      <c r="W98" s="191">
        <f>IFERROR(__xludf.DUMMYFUNCTION("""COMPUTED_VALUE"""),0.0)</f>
        <v>0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>
      <c r="A99" s="6"/>
      <c r="B99" s="193" t="str">
        <f>IF(OR(E99=Report!$B$1, F99=Report!$B$1, G99=Report!$B$1, H99=Report!$B$1), D99, "")</f>
        <v>Hřebík Martin</v>
      </c>
      <c r="C99" s="6" t="b">
        <f>IFERROR(__xludf.DUMMYFUNCTION("""COMPUTED_VALUE"""),FALSE)</f>
        <v>0</v>
      </c>
      <c r="D99" s="6" t="str">
        <f>IFERROR(__xludf.DUMMYFUNCTION("""COMPUTED_VALUE"""),"Hřebík Martin")</f>
        <v>Hřebík Martin</v>
      </c>
      <c r="E99" s="6" t="str">
        <f>IFERROR(__xludf.DUMMYFUNCTION("""COMPUTED_VALUE"""),"Výroba")</f>
        <v>Výroba</v>
      </c>
      <c r="F99" s="6" t="str">
        <f>IFERROR(__xludf.DUMMYFUNCTION("""COMPUTED_VALUE"""),"Chodov")</f>
        <v>Chodov</v>
      </c>
      <c r="G99" s="6" t="str">
        <f>IFERROR(__xludf.DUMMYFUNCTION("""COMPUTED_VALUE"""),"Prosek")</f>
        <v>Prosek</v>
      </c>
      <c r="H99" s="6" t="str">
        <f>IFERROR(__xludf.DUMMYFUNCTION("""COMPUTED_VALUE"""),"Libuš")</f>
        <v>Libuš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91">
        <f>IFERROR(__xludf.DUMMYFUNCTION("""COMPUTED_VALUE"""),389.6925)</f>
        <v>389.6925</v>
      </c>
      <c r="W99" s="191">
        <f>IFERROR(__xludf.DUMMYFUNCTION("""COMPUTED_VALUE"""),2597.95)</f>
        <v>2597.95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>
      <c r="A100" s="6"/>
      <c r="B100" s="193" t="str">
        <f>IF(OR(E100=Report!$B$1, F100=Report!$B$1, G100=Report!$B$1, H100=Report!$B$1), D100, "")</f>
        <v>Eszenyiová Patrícia</v>
      </c>
      <c r="C100" s="6" t="b">
        <f>IFERROR(__xludf.DUMMYFUNCTION("""COMPUTED_VALUE"""),FALSE)</f>
        <v>0</v>
      </c>
      <c r="D100" s="6" t="str">
        <f>IFERROR(__xludf.DUMMYFUNCTION("""COMPUTED_VALUE"""),"Eszenyiová Patrícia")</f>
        <v>Eszenyiová Patrícia</v>
      </c>
      <c r="E100" s="6" t="str">
        <f>IFERROR(__xludf.DUMMYFUNCTION("""COMPUTED_VALUE"""),"Libuš")</f>
        <v>Libuš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91">
        <f>IFERROR(__xludf.DUMMYFUNCTION("""COMPUTED_VALUE"""),250.20600000000002)</f>
        <v>250.206</v>
      </c>
      <c r="W100" s="191">
        <f>IFERROR(__xludf.DUMMYFUNCTION("""COMPUTED_VALUE"""),0.0)</f>
        <v>0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>
      <c r="A101" s="6"/>
      <c r="B101" s="193" t="str">
        <f>IF(OR(E101=Report!$B$1, F101=Report!$B$1, G101=Report!$B$1, H101=Report!$B$1), D101, "")</f>
        <v>Reischl Jan</v>
      </c>
      <c r="C101" s="6" t="b">
        <f>IFERROR(__xludf.DUMMYFUNCTION("""COMPUTED_VALUE"""),FALSE)</f>
        <v>0</v>
      </c>
      <c r="D101" s="6" t="str">
        <f>IFERROR(__xludf.DUMMYFUNCTION("""COMPUTED_VALUE"""),"Reischl Jan")</f>
        <v>Reischl Jan</v>
      </c>
      <c r="E101" s="6" t="str">
        <f>IFERROR(__xludf.DUMMYFUNCTION("""COMPUTED_VALUE"""),"Malešice")</f>
        <v>Malešice</v>
      </c>
      <c r="F101" s="6" t="str">
        <f>IFERROR(__xludf.DUMMYFUNCTION("""COMPUTED_VALUE"""),"Chodov")</f>
        <v>Chodov</v>
      </c>
      <c r="G101" s="6" t="str">
        <f>IFERROR(__xludf.DUMMYFUNCTION("""COMPUTED_VALUE"""),"Libuš")</f>
        <v>Libuš</v>
      </c>
      <c r="H101" s="6" t="str">
        <f>IFERROR(__xludf.DUMMYFUNCTION("""COMPUTED_VALUE"""),"Prosek")</f>
        <v>Prosek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91">
        <f>IFERROR(__xludf.DUMMYFUNCTION("""COMPUTED_VALUE"""),214.08)</f>
        <v>214.08</v>
      </c>
      <c r="W101" s="191">
        <f>IFERROR(__xludf.DUMMYFUNCTION("""COMPUTED_VALUE"""),0.0)</f>
        <v>0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>
      <c r="A102" s="6"/>
      <c r="B102" s="193" t="str">
        <f>IF(OR(E102=Report!$B$1, F102=Report!$B$1, G102=Report!$B$1, H102=Report!$B$1), D102, "")</f>
        <v/>
      </c>
      <c r="C102" s="6" t="b">
        <f>IFERROR(__xludf.DUMMYFUNCTION("""COMPUTED_VALUE"""),FALSE)</f>
        <v>0</v>
      </c>
      <c r="D102" s="6" t="str">
        <f>IFERROR(__xludf.DUMMYFUNCTION("""COMPUTED_VALUE"""),"Mikešová Adéla")</f>
        <v>Mikešová Adéla</v>
      </c>
      <c r="E102" s="6" t="str">
        <f>IFERROR(__xludf.DUMMYFUNCTION("""COMPUTED_VALUE"""),"Bolevec")</f>
        <v>Bolevec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91">
        <f>IFERROR(__xludf.DUMMYFUNCTION("""COMPUTED_VALUE"""),214.08)</f>
        <v>214.08</v>
      </c>
      <c r="W102" s="191">
        <f>IFERROR(__xludf.DUMMYFUNCTION("""COMPUTED_VALUE"""),0.0)</f>
        <v>0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>
      <c r="A103" s="6"/>
      <c r="B103" s="193" t="str">
        <f>IF(OR(E103=Report!$B$1, F103=Report!$B$1, G103=Report!$B$1, H103=Report!$B$1), D103, "")</f>
        <v/>
      </c>
      <c r="C103" s="6" t="b">
        <f>IFERROR(__xludf.DUMMYFUNCTION("""COMPUTED_VALUE"""),FALSE)</f>
        <v>0</v>
      </c>
      <c r="D103" s="6" t="str">
        <f>IFERROR(__xludf.DUMMYFUNCTION("""COMPUTED_VALUE"""),"Kavalír Milan")</f>
        <v>Kavalír Milan</v>
      </c>
      <c r="E103" s="6" t="str">
        <f>IFERROR(__xludf.DUMMYFUNCTION("""COMPUTED_VALUE"""),"Bolevec")</f>
        <v>Bolevec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91">
        <f>IFERROR(__xludf.DUMMYFUNCTION("""COMPUTED_VALUE"""),223.446)</f>
        <v>223.446</v>
      </c>
      <c r="W103" s="191">
        <f>IFERROR(__xludf.DUMMYFUNCTION("""COMPUTED_VALUE"""),0.0)</f>
        <v>0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>
      <c r="A104" s="6"/>
      <c r="B104" s="193" t="str">
        <f>IF(OR(E104=Report!$B$1, F104=Report!$B$1, G104=Report!$B$1, H104=Report!$B$1), D104, "")</f>
        <v/>
      </c>
      <c r="C104" s="6" t="b">
        <f>IFERROR(__xludf.DUMMYFUNCTION("""COMPUTED_VALUE"""),FALSE)</f>
        <v>0</v>
      </c>
      <c r="D104" s="6" t="str">
        <f>IFERROR(__xludf.DUMMYFUNCTION("""COMPUTED_VALUE"""),"Pražák Aleš")</f>
        <v>Pražák Aleš</v>
      </c>
      <c r="E104" s="6" t="str">
        <f>IFERROR(__xludf.DUMMYFUNCTION("""COMPUTED_VALUE"""),"Chodov")</f>
        <v>Chodov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91">
        <f>IFERROR(__xludf.DUMMYFUNCTION("""COMPUTED_VALUE"""),231.474)</f>
        <v>231.474</v>
      </c>
      <c r="W104" s="191">
        <f>IFERROR(__xludf.DUMMYFUNCTION("""COMPUTED_VALUE"""),0.0)</f>
        <v>0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>
      <c r="A105" s="6"/>
      <c r="B105" s="193" t="str">
        <f>IF(OR(E105=Report!$B$1, F105=Report!$B$1, G105=Report!$B$1, H105=Report!$B$1), D105, "")</f>
        <v/>
      </c>
      <c r="C105" s="6" t="b">
        <f>IFERROR(__xludf.DUMMYFUNCTION("""COMPUTED_VALUE"""),FALSE)</f>
        <v>0</v>
      </c>
      <c r="D105" s="6" t="str">
        <f>IFERROR(__xludf.DUMMYFUNCTION("""COMPUTED_VALUE"""),"Chyský David")</f>
        <v>Chyský David</v>
      </c>
      <c r="E105" s="6" t="str">
        <f>IFERROR(__xludf.DUMMYFUNCTION("""COMPUTED_VALUE"""),"Chodov")</f>
        <v>Chodov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91">
        <f>IFERROR(__xludf.DUMMYFUNCTION("""COMPUTED_VALUE"""),231.474)</f>
        <v>231.474</v>
      </c>
      <c r="W105" s="191">
        <f>IFERROR(__xludf.DUMMYFUNCTION("""COMPUTED_VALUE"""),0.0)</f>
        <v>0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>
      <c r="A106" s="6"/>
      <c r="B106" s="193" t="str">
        <f>IF(OR(E106=Report!$B$1, F106=Report!$B$1, G106=Report!$B$1, H106=Report!$B$1), D106, "")</f>
        <v/>
      </c>
      <c r="C106" s="6" t="b">
        <f>IFERROR(__xludf.DUMMYFUNCTION("""COMPUTED_VALUE"""),FALSE)</f>
        <v>0</v>
      </c>
      <c r="D106" s="6" t="str">
        <f>IFERROR(__xludf.DUMMYFUNCTION("""COMPUTED_VALUE"""),"Kináč Jozef")</f>
        <v>Kináč Jozef</v>
      </c>
      <c r="E106" s="6" t="str">
        <f>IFERROR(__xludf.DUMMYFUNCTION("""COMPUTED_VALUE"""),"Prosek")</f>
        <v>Prosek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91">
        <f>IFERROR(__xludf.DUMMYFUNCTION("""COMPUTED_VALUE"""),231.474)</f>
        <v>231.474</v>
      </c>
      <c r="W106" s="191">
        <f>IFERROR(__xludf.DUMMYFUNCTION("""COMPUTED_VALUE"""),0.0)</f>
        <v>0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>
      <c r="A107" s="6"/>
      <c r="B107" s="193" t="str">
        <f>IF(OR(E107=Report!$B$1, F107=Report!$B$1, G107=Report!$B$1, H107=Report!$B$1), D107, "")</f>
        <v/>
      </c>
      <c r="C107" s="6" t="b">
        <f>IFERROR(__xludf.DUMMYFUNCTION("""COMPUTED_VALUE"""),FALSE)</f>
        <v>0</v>
      </c>
      <c r="D107" s="6" t="str">
        <f>IFERROR(__xludf.DUMMYFUNCTION("""COMPUTED_VALUE"""),"Bednařík Peter")</f>
        <v>Bednařík Peter</v>
      </c>
      <c r="E107" s="6" t="str">
        <f>IFERROR(__xludf.DUMMYFUNCTION("""COMPUTED_VALUE"""),"Prosek")</f>
        <v>Prosek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91">
        <f>IFERROR(__xludf.DUMMYFUNCTION("""COMPUTED_VALUE"""),231.474)</f>
        <v>231.474</v>
      </c>
      <c r="W107" s="191">
        <f>IFERROR(__xludf.DUMMYFUNCTION("""COMPUTED_VALUE"""),0.0)</f>
        <v>0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>
      <c r="A108" s="6"/>
      <c r="B108" s="193" t="str">
        <f>IF(OR(E108=Report!$B$1, F108=Report!$B$1, G108=Report!$B$1, H108=Report!$B$1), D108, "")</f>
        <v/>
      </c>
      <c r="C108" s="6" t="b">
        <f>IFERROR(__xludf.DUMMYFUNCTION("""COMPUTED_VALUE"""),FALSE)</f>
        <v>0</v>
      </c>
      <c r="D108" s="6" t="str">
        <f>IFERROR(__xludf.DUMMYFUNCTION("""COMPUTED_VALUE"""),"Kulinič Michail")</f>
        <v>Kulinič Michail</v>
      </c>
      <c r="E108" s="6" t="str">
        <f>IFERROR(__xludf.DUMMYFUNCTION("""COMPUTED_VALUE"""),"Prosek")</f>
        <v>Prosek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91">
        <f>IFERROR(__xludf.DUMMYFUNCTION("""COMPUTED_VALUE"""),231.474)</f>
        <v>231.474</v>
      </c>
      <c r="W108" s="191">
        <f>IFERROR(__xludf.DUMMYFUNCTION("""COMPUTED_VALUE"""),0.0)</f>
        <v>0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>
      <c r="A109" s="6"/>
      <c r="B109" s="193" t="str">
        <f>IF(OR(E109=Report!$B$1, F109=Report!$B$1, G109=Report!$B$1, H109=Report!$B$1), D109, "")</f>
        <v>Kalina Filip</v>
      </c>
      <c r="C109" s="6" t="b">
        <f>IFERROR(__xludf.DUMMYFUNCTION("""COMPUTED_VALUE"""),FALSE)</f>
        <v>0</v>
      </c>
      <c r="D109" s="6" t="str">
        <f>IFERROR(__xludf.DUMMYFUNCTION("""COMPUTED_VALUE"""),"Kalina Filip")</f>
        <v>Kalina Filip</v>
      </c>
      <c r="E109" s="6" t="str">
        <f>IFERROR(__xludf.DUMMYFUNCTION("""COMPUTED_VALUE"""),"Malešice")</f>
        <v>Malešice</v>
      </c>
      <c r="F109" s="6" t="str">
        <f>IFERROR(__xludf.DUMMYFUNCTION("""COMPUTED_VALUE"""),"Libuš")</f>
        <v>Libuš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191">
        <f>IFERROR(__xludf.DUMMYFUNCTION("""COMPUTED_VALUE"""),231.474)</f>
        <v>231.474</v>
      </c>
      <c r="W109" s="191">
        <f>IFERROR(__xludf.DUMMYFUNCTION("""COMPUTED_VALUE"""),0.0)</f>
        <v>0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>
      <c r="A110" s="6"/>
      <c r="B110" s="193" t="str">
        <f>IF(OR(E110=Report!$B$1, F110=Report!$B$1, G110=Report!$B$1, H110=Report!$B$1), D110, "")</f>
        <v/>
      </c>
      <c r="C110" s="6" t="b">
        <f>IFERROR(__xludf.DUMMYFUNCTION("""COMPUTED_VALUE"""),FALSE)</f>
        <v>0</v>
      </c>
      <c r="D110" s="6" t="str">
        <f>IFERROR(__xludf.DUMMYFUNCTION("""COMPUTED_VALUE"""),"Čonka Ludovít")</f>
        <v>Čonka Ludovít</v>
      </c>
      <c r="E110" s="6" t="str">
        <f>IFERROR(__xludf.DUMMYFUNCTION("""COMPUTED_VALUE"""),"Prosek")</f>
        <v>Prosek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91">
        <f>IFERROR(__xludf.DUMMYFUNCTION("""COMPUTED_VALUE"""),231.474)</f>
        <v>231.474</v>
      </c>
      <c r="W110" s="191">
        <f>IFERROR(__xludf.DUMMYFUNCTION("""COMPUTED_VALUE"""),0.0)</f>
        <v>0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>
      <c r="A111" s="6"/>
      <c r="B111" s="193" t="str">
        <f>IF(OR(E111=Report!$B$1, F111=Report!$B$1, G111=Report!$B$1, H111=Report!$B$1), D111, "")</f>
        <v/>
      </c>
      <c r="C111" s="6" t="b">
        <f>IFERROR(__xludf.DUMMYFUNCTION("""COMPUTED_VALUE"""),FALSE)</f>
        <v>0</v>
      </c>
      <c r="D111" s="6" t="str">
        <f>IFERROR(__xludf.DUMMYFUNCTION("""COMPUTED_VALUE"""),"Kaločai Rudolf")</f>
        <v>Kaločai Rudolf</v>
      </c>
      <c r="E111" s="6" t="str">
        <f>IFERROR(__xludf.DUMMYFUNCTION("""COMPUTED_VALUE"""),"Bolevec")</f>
        <v>Bolevec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191">
        <f>IFERROR(__xludf.DUMMYFUNCTION("""COMPUTED_VALUE"""),140.0)</f>
        <v>140</v>
      </c>
      <c r="W111" s="191">
        <f>IFERROR(__xludf.DUMMYFUNCTION("""COMPUTED_VALUE"""),0.0)</f>
        <v>0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>
      <c r="A112" s="6"/>
      <c r="B112" s="193" t="str">
        <f>IF(OR(E112=Report!$B$1, F112=Report!$B$1, G112=Report!$B$1, H112=Report!$B$1), D112, "")</f>
        <v>Dušek Sam</v>
      </c>
      <c r="C112" s="6" t="b">
        <f>IFERROR(__xludf.DUMMYFUNCTION("""COMPUTED_VALUE"""),FALSE)</f>
        <v>0</v>
      </c>
      <c r="D112" s="6" t="str">
        <f>IFERROR(__xludf.DUMMYFUNCTION("""COMPUTED_VALUE"""),"Dušek Sam")</f>
        <v>Dušek Sam</v>
      </c>
      <c r="E112" s="6" t="str">
        <f>IFERROR(__xludf.DUMMYFUNCTION("""COMPUTED_VALUE"""),"Libuš")</f>
        <v>Libuš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191">
        <f>IFERROR(__xludf.DUMMYFUNCTION("""COMPUTED_VALUE"""),250.20600000000002)</f>
        <v>250.206</v>
      </c>
      <c r="W112" s="191">
        <f>IFERROR(__xludf.DUMMYFUNCTION("""COMPUTED_VALUE"""),0.0)</f>
        <v>0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>
      <c r="A113" s="6"/>
      <c r="B113" s="193" t="str">
        <f>IF(OR(E113=Report!$B$1, F113=Report!$B$1, G113=Report!$B$1, H113=Report!$B$1), D113, "")</f>
        <v/>
      </c>
      <c r="C113" s="6" t="b">
        <f>IFERROR(__xludf.DUMMYFUNCTION("""COMPUTED_VALUE"""),FALSE)</f>
        <v>0</v>
      </c>
      <c r="D113" s="6" t="str">
        <f>IFERROR(__xludf.DUMMYFUNCTION("""COMPUTED_VALUE"""),"Kačena Stanislav")</f>
        <v>Kačena Stanislav</v>
      </c>
      <c r="E113" s="6" t="str">
        <f>IFERROR(__xludf.DUMMYFUNCTION("""COMPUTED_VALUE"""),"Prosek")</f>
        <v>Prosek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91">
        <f>IFERROR(__xludf.DUMMYFUNCTION("""COMPUTED_VALUE"""),231.474)</f>
        <v>231.474</v>
      </c>
      <c r="W113" s="191">
        <f>IFERROR(__xludf.DUMMYFUNCTION("""COMPUTED_VALUE"""),0.0)</f>
        <v>0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>
      <c r="A114" s="6"/>
      <c r="B114" s="193" t="str">
        <f>IF(OR(E114=Report!$B$1, F114=Report!$B$1, G114=Report!$B$1, H114=Report!$B$1), D114, "")</f>
        <v/>
      </c>
      <c r="C114" s="6" t="b">
        <f>IFERROR(__xludf.DUMMYFUNCTION("""COMPUTED_VALUE"""),FALSE)</f>
        <v>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91">
        <f>IFERROR(__xludf.DUMMYFUNCTION("""COMPUTED_VALUE"""),0.0)</f>
        <v>0</v>
      </c>
      <c r="W114" s="191">
        <f>IFERROR(__xludf.DUMMYFUNCTION("""COMPUTED_VALUE"""),0.0)</f>
        <v>0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>
      <c r="A115" s="6"/>
      <c r="B115" s="193" t="str">
        <f>IF(OR(E115=Report!$B$1, F115=Report!$B$1, G115=Report!$B$1, H115=Report!$B$1), D115, "")</f>
        <v/>
      </c>
      <c r="C115" s="6" t="b">
        <f>IFERROR(__xludf.DUMMYFUNCTION("""COMPUTED_VALUE"""),FALSE)</f>
        <v>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91">
        <f>IFERROR(__xludf.DUMMYFUNCTION("""COMPUTED_VALUE"""),0.0)</f>
        <v>0</v>
      </c>
      <c r="W115" s="191">
        <f>IFERROR(__xludf.DUMMYFUNCTION("""COMPUTED_VALUE"""),0.0)</f>
        <v>0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>
      <c r="A116" s="6"/>
      <c r="B116" s="193" t="str">
        <f>IF(OR(E116=Report!$B$1, F116=Report!$B$1, G116=Report!$B$1, H116=Report!$B$1), D116, "")</f>
        <v/>
      </c>
      <c r="C116" s="6" t="b">
        <f>IFERROR(__xludf.DUMMYFUNCTION("""COMPUTED_VALUE"""),FALSE)</f>
        <v>0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91">
        <f>IFERROR(__xludf.DUMMYFUNCTION("""COMPUTED_VALUE"""),0.0)</f>
        <v>0</v>
      </c>
      <c r="W116" s="191">
        <f>IFERROR(__xludf.DUMMYFUNCTION("""COMPUTED_VALUE"""),0.0)</f>
        <v>0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>
      <c r="A117" s="6"/>
      <c r="B117" s="193" t="str">
        <f>IF(OR(E117=Report!$B$1, F117=Report!$B$1, G117=Report!$B$1, H117=Report!$B$1), D117, "")</f>
        <v>Fux Vojtěch</v>
      </c>
      <c r="C117" s="6" t="b">
        <f>IFERROR(__xludf.DUMMYFUNCTION("""COMPUTED_VALUE"""),FALSE)</f>
        <v>0</v>
      </c>
      <c r="D117" s="6" t="str">
        <f>IFERROR(__xludf.DUMMYFUNCTION("""COMPUTED_VALUE"""),"Fux Vojtěch")</f>
        <v>Fux Vojtěch</v>
      </c>
      <c r="E117" s="6" t="str">
        <f>IFERROR(__xludf.DUMMYFUNCTION("""COMPUTED_VALUE"""),"Malešice")</f>
        <v>Malešice</v>
      </c>
      <c r="F117" s="6" t="str">
        <f>IFERROR(__xludf.DUMMYFUNCTION("""COMPUTED_VALUE"""),"Libuš")</f>
        <v>Libuš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191">
        <f>IFERROR(__xludf.DUMMYFUNCTION("""COMPUTED_VALUE"""),250.0)</f>
        <v>250</v>
      </c>
      <c r="W117" s="191">
        <f>IFERROR(__xludf.DUMMYFUNCTION("""COMPUTED_VALUE"""),0.0)</f>
        <v>0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>
      <c r="A118" s="6"/>
      <c r="B118" s="193" t="str">
        <f>IF(OR(E118=Report!$B$1, F118=Report!$B$1, G118=Report!$B$1, H118=Report!$B$1), D118, "")</f>
        <v/>
      </c>
      <c r="C118" s="6" t="b">
        <f>IFERROR(__xludf.DUMMYFUNCTION("""COMPUTED_VALUE"""),FALSE)</f>
        <v>0</v>
      </c>
      <c r="D118" s="6" t="str">
        <f>IFERROR(__xludf.DUMMYFUNCTION("""COMPUTED_VALUE"""),"Pergl Jan")</f>
        <v>Pergl Jan</v>
      </c>
      <c r="E118" s="6" t="str">
        <f>IFERROR(__xludf.DUMMYFUNCTION("""COMPUTED_VALUE"""),"Malešice")</f>
        <v>Malešice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191">
        <f>IFERROR(__xludf.DUMMYFUNCTION("""COMPUTED_VALUE"""),231.474)</f>
        <v>231.474</v>
      </c>
      <c r="W118" s="191">
        <f>IFERROR(__xludf.DUMMYFUNCTION("""COMPUTED_VALUE"""),0.0)</f>
        <v>0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>
      <c r="A119" s="6"/>
      <c r="B119" s="193" t="str">
        <f>IF(OR(E119=Report!$B$1, F119=Report!$B$1, G119=Report!$B$1, H119=Report!$B$1), D119, "")</f>
        <v/>
      </c>
      <c r="C119" s="6" t="b">
        <f>IFERROR(__xludf.DUMMYFUNCTION("""COMPUTED_VALUE"""),FALSE)</f>
        <v>0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191">
        <f>IFERROR(__xludf.DUMMYFUNCTION("""COMPUTED_VALUE"""),0.0)</f>
        <v>0</v>
      </c>
      <c r="W119" s="191">
        <f>IFERROR(__xludf.DUMMYFUNCTION("""COMPUTED_VALUE"""),0.0)</f>
        <v>0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>
      <c r="A120" s="6"/>
      <c r="B120" s="193" t="str">
        <f>IF(OR(E120=Report!$B$1, F120=Report!$B$1, G120=Report!$B$1, H120=Report!$B$1), D120, "")</f>
        <v/>
      </c>
      <c r="C120" s="6" t="b">
        <f>IFERROR(__xludf.DUMMYFUNCTION("""COMPUTED_VALUE"""),FALSE)</f>
        <v>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191">
        <f>IFERROR(__xludf.DUMMYFUNCTION("""COMPUTED_VALUE"""),0.0)</f>
        <v>0</v>
      </c>
      <c r="W120" s="191">
        <f>IFERROR(__xludf.DUMMYFUNCTION("""COMPUTED_VALUE"""),0.0)</f>
        <v>0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>
      <c r="A121" s="6"/>
      <c r="B121" s="193" t="str">
        <f>IF(OR(E121=Report!$B$1, F121=Report!$B$1, G121=Report!$B$1, H121=Report!$B$1), D121, "")</f>
        <v/>
      </c>
      <c r="C121" s="6" t="b">
        <f>IFERROR(__xludf.DUMMYFUNCTION("""COMPUTED_VALUE"""),FALSE)</f>
        <v>0</v>
      </c>
      <c r="D121" s="6" t="str">
        <f>IFERROR(__xludf.DUMMYFUNCTION("""COMPUTED_VALUE"""),"Vopatová Anna")</f>
        <v>Vopatová Anna</v>
      </c>
      <c r="E121" s="6" t="str">
        <f>IFERROR(__xludf.DUMMYFUNCTION("""COMPUTED_VALUE"""),"Bolevec")</f>
        <v>Bolevec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91">
        <f>IFERROR(__xludf.DUMMYFUNCTION("""COMPUTED_VALUE"""),214.08)</f>
        <v>214.08</v>
      </c>
      <c r="W121" s="191">
        <f>IFERROR(__xludf.DUMMYFUNCTION("""COMPUTED_VALUE"""),0.0)</f>
        <v>0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>
      <c r="A122" s="6"/>
      <c r="B122" s="193" t="str">
        <f>IF(OR(E122=Report!$B$1, F122=Report!$B$1, G122=Report!$B$1, H122=Report!$B$1), D122, "")</f>
        <v/>
      </c>
      <c r="C122" s="6" t="b">
        <f>IFERROR(__xludf.DUMMYFUNCTION("""COMPUTED_VALUE"""),FALSE)</f>
        <v>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91">
        <f>IFERROR(__xludf.DUMMYFUNCTION("""COMPUTED_VALUE"""),0.0)</f>
        <v>0</v>
      </c>
      <c r="W122" s="191">
        <f>IFERROR(__xludf.DUMMYFUNCTION("""COMPUTED_VALUE"""),0.0)</f>
        <v>0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>
      <c r="A123" s="6"/>
      <c r="B123" s="193" t="str">
        <f>IF(OR(E123=Report!$B$1, F123=Report!$B$1, G123=Report!$B$1, H123=Report!$B$1), D123, "")</f>
        <v/>
      </c>
      <c r="C123" s="6" t="b">
        <f>IFERROR(__xludf.DUMMYFUNCTION("""COMPUTED_VALUE"""),FALSE)</f>
        <v>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91">
        <f>IFERROR(__xludf.DUMMYFUNCTION("""COMPUTED_VALUE"""),0.0)</f>
        <v>0</v>
      </c>
      <c r="W123" s="191">
        <f>IFERROR(__xludf.DUMMYFUNCTION("""COMPUTED_VALUE"""),0.0)</f>
        <v>0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>
      <c r="A124" s="6"/>
      <c r="B124" s="193" t="str">
        <f>IF(OR(E124=Report!$B$1, F124=Report!$B$1, G124=Report!$B$1, H124=Report!$B$1), D124, "")</f>
        <v/>
      </c>
      <c r="C124" s="6" t="b">
        <f>IFERROR(__xludf.DUMMYFUNCTION("""COMPUTED_VALUE"""),FALSE)</f>
        <v>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91">
        <f>IFERROR(__xludf.DUMMYFUNCTION("""COMPUTED_VALUE"""),0.0)</f>
        <v>0</v>
      </c>
      <c r="W124" s="191">
        <f>IFERROR(__xludf.DUMMYFUNCTION("""COMPUTED_VALUE"""),0.0)</f>
        <v>0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>
      <c r="A125" s="6"/>
      <c r="B125" s="193" t="str">
        <f>IF(OR(E125=Report!$B$1, F125=Report!$B$1, G125=Report!$B$1, H125=Report!$B$1), D125, "")</f>
        <v/>
      </c>
      <c r="C125" s="6" t="b">
        <f>IFERROR(__xludf.DUMMYFUNCTION("""COMPUTED_VALUE"""),FALSE)</f>
        <v>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191">
        <f>IFERROR(__xludf.DUMMYFUNCTION("""COMPUTED_VALUE"""),0.0)</f>
        <v>0</v>
      </c>
      <c r="W125" s="191">
        <f>IFERROR(__xludf.DUMMYFUNCTION("""COMPUTED_VALUE"""),0.0)</f>
        <v>0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>
      <c r="A126" s="6"/>
      <c r="B126" s="193" t="str">
        <f>IF(OR(E126=Report!$B$1, F126=Report!$B$1, G126=Report!$B$1, H126=Report!$B$1), D126, "")</f>
        <v/>
      </c>
      <c r="C126" s="6" t="b">
        <f>IFERROR(__xludf.DUMMYFUNCTION("""COMPUTED_VALUE"""),FALSE)</f>
        <v>0</v>
      </c>
      <c r="D126" s="6" t="str">
        <f>IFERROR(__xludf.DUMMYFUNCTION("""COMPUTED_VALUE"""),"Vopatová Šárka")</f>
        <v>Vopatová Šárka</v>
      </c>
      <c r="E126" s="6" t="str">
        <f>IFERROR(__xludf.DUMMYFUNCTION("""COMPUTED_VALUE"""),"Bolevec")</f>
        <v>Bolevec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191">
        <f>IFERROR(__xludf.DUMMYFUNCTION("""COMPUTED_VALUE"""),214.08)</f>
        <v>214.08</v>
      </c>
      <c r="W126" s="191">
        <f>IFERROR(__xludf.DUMMYFUNCTION("""COMPUTED_VALUE"""),0.0)</f>
        <v>0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>
      <c r="A127" s="6"/>
      <c r="B127" s="193" t="str">
        <f>IF(OR(E127=Report!$B$1, F127=Report!$B$1, G127=Report!$B$1, H127=Report!$B$1), D127, "")</f>
        <v/>
      </c>
      <c r="C127" s="6" t="b">
        <f>IFERROR(__xludf.DUMMYFUNCTION("""COMPUTED_VALUE"""),FALSE)</f>
        <v>0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91">
        <f>IFERROR(__xludf.DUMMYFUNCTION("""COMPUTED_VALUE"""),0.0)</f>
        <v>0</v>
      </c>
      <c r="W127" s="191">
        <f>IFERROR(__xludf.DUMMYFUNCTION("""COMPUTED_VALUE"""),0.0)</f>
        <v>0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>
      <c r="A128" s="6"/>
      <c r="B128" s="193" t="str">
        <f>IF(OR(E128=Report!$B$1, F128=Report!$B$1, G128=Report!$B$1, H128=Report!$B$1), D128, "")</f>
        <v/>
      </c>
      <c r="C128" s="6" t="b">
        <f>IFERROR(__xludf.DUMMYFUNCTION("""COMPUTED_VALUE"""),FALSE)</f>
        <v>0</v>
      </c>
      <c r="D128" s="6" t="str">
        <f>IFERROR(__xludf.DUMMYFUNCTION("""COMPUTED_VALUE"""),"Richterová Monika")</f>
        <v>Richterová Monika</v>
      </c>
      <c r="E128" s="6" t="str">
        <f>IFERROR(__xludf.DUMMYFUNCTION("""COMPUTED_VALUE"""),"Malešice")</f>
        <v>Malešice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91">
        <f>IFERROR(__xludf.DUMMYFUNCTION("""COMPUTED_VALUE"""),214.08)</f>
        <v>214.08</v>
      </c>
      <c r="W128" s="191">
        <f>IFERROR(__xludf.DUMMYFUNCTION("""COMPUTED_VALUE"""),0.0)</f>
        <v>0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>
      <c r="A129" s="6"/>
      <c r="B129" s="193" t="str">
        <f>IF(OR(E129=Report!$B$1, F129=Report!$B$1, G129=Report!$B$1, H129=Report!$B$1), D129, "")</f>
        <v/>
      </c>
      <c r="C129" s="6" t="b">
        <f>IFERROR(__xludf.DUMMYFUNCTION("""COMPUTED_VALUE"""),FALSE)</f>
        <v>0</v>
      </c>
      <c r="D129" s="6" t="str">
        <f>IFERROR(__xludf.DUMMYFUNCTION("""COMPUTED_VALUE"""),"Tušlová Mariana")</f>
        <v>Tušlová Mariana</v>
      </c>
      <c r="E129" s="6" t="str">
        <f>IFERROR(__xludf.DUMMYFUNCTION("""COMPUTED_VALUE"""),"Bolevec")</f>
        <v>Bolevec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91">
        <f>IFERROR(__xludf.DUMMYFUNCTION("""COMPUTED_VALUE"""),231.474)</f>
        <v>231.474</v>
      </c>
      <c r="W129" s="191">
        <f>IFERROR(__xludf.DUMMYFUNCTION("""COMPUTED_VALUE"""),0.0)</f>
        <v>0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>
      <c r="A130" s="6"/>
      <c r="B130" s="193" t="str">
        <f>IF(OR(E130=Report!$B$1, F130=Report!$B$1, G130=Report!$B$1, H130=Report!$B$1), D130, "")</f>
        <v/>
      </c>
      <c r="C130" s="6" t="b">
        <f>IFERROR(__xludf.DUMMYFUNCTION("""COMPUTED_VALUE"""),FALSE)</f>
        <v>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191">
        <f>IFERROR(__xludf.DUMMYFUNCTION("""COMPUTED_VALUE"""),0.0)</f>
        <v>0</v>
      </c>
      <c r="W130" s="191">
        <f>IFERROR(__xludf.DUMMYFUNCTION("""COMPUTED_VALUE"""),0.0)</f>
        <v>0</v>
      </c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>
      <c r="A131" s="6"/>
      <c r="B131" s="193" t="str">
        <f>IF(OR(E131=Report!$B$1, F131=Report!$B$1, G131=Report!$B$1, H131=Report!$B$1), D131, "")</f>
        <v>Serin David</v>
      </c>
      <c r="C131" s="6" t="b">
        <f>IFERROR(__xludf.DUMMYFUNCTION("""COMPUTED_VALUE"""),FALSE)</f>
        <v>0</v>
      </c>
      <c r="D131" s="6" t="str">
        <f>IFERROR(__xludf.DUMMYFUNCTION("""COMPUTED_VALUE"""),"Serin David")</f>
        <v>Serin David</v>
      </c>
      <c r="E131" s="6" t="str">
        <f>IFERROR(__xludf.DUMMYFUNCTION("""COMPUTED_VALUE"""),"Libuš")</f>
        <v>Libuš</v>
      </c>
      <c r="F131" s="6" t="str">
        <f>IFERROR(__xludf.DUMMYFUNCTION("""COMPUTED_VALUE"""),"Malešice")</f>
        <v>Malešice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191">
        <f>IFERROR(__xludf.DUMMYFUNCTION("""COMPUTED_VALUE"""),231.474)</f>
        <v>231.474</v>
      </c>
      <c r="W131" s="191">
        <f>IFERROR(__xludf.DUMMYFUNCTION("""COMPUTED_VALUE"""),0.0)</f>
        <v>0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>
      <c r="A132" s="6"/>
      <c r="B132" s="193" t="str">
        <f>IF(OR(E132=Report!$B$1, F132=Report!$B$1, G132=Report!$B$1, H132=Report!$B$1), D132, "")</f>
        <v/>
      </c>
      <c r="C132" s="6" t="b">
        <f>IFERROR(__xludf.DUMMYFUNCTION("""COMPUTED_VALUE"""),FALSE)</f>
        <v>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91">
        <f>IFERROR(__xludf.DUMMYFUNCTION("""COMPUTED_VALUE"""),0.0)</f>
        <v>0</v>
      </c>
      <c r="W132" s="191">
        <f>IFERROR(__xludf.DUMMYFUNCTION("""COMPUTED_VALUE"""),0.0)</f>
        <v>0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>
      <c r="A133" s="6"/>
      <c r="B133" s="193" t="str">
        <f>IF(OR(E133=Report!$B$1, F133=Report!$B$1, G133=Report!$B$1, H133=Report!$B$1), D133, "")</f>
        <v/>
      </c>
      <c r="C133" s="6" t="b">
        <f>IFERROR(__xludf.DUMMYFUNCTION("""COMPUTED_VALUE"""),FALSE)</f>
        <v>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91">
        <f>IFERROR(__xludf.DUMMYFUNCTION("""COMPUTED_VALUE"""),0.0)</f>
        <v>0</v>
      </c>
      <c r="W133" s="191">
        <f>IFERROR(__xludf.DUMMYFUNCTION("""COMPUTED_VALUE"""),0.0)</f>
        <v>0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>
      <c r="A134" s="6"/>
      <c r="B134" s="193" t="str">
        <f>IF(OR(E134=Report!$B$1, F134=Report!$B$1, G134=Report!$B$1, H134=Report!$B$1), D134, "")</f>
        <v/>
      </c>
      <c r="C134" s="6" t="b">
        <f>IFERROR(__xludf.DUMMYFUNCTION("""COMPUTED_VALUE"""),FALSE)</f>
        <v>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191">
        <f>IFERROR(__xludf.DUMMYFUNCTION("""COMPUTED_VALUE"""),0.0)</f>
        <v>0</v>
      </c>
      <c r="W134" s="191">
        <f>IFERROR(__xludf.DUMMYFUNCTION("""COMPUTED_VALUE"""),0.0)</f>
        <v>0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>
      <c r="A135" s="6"/>
      <c r="B135" s="193" t="str">
        <f>IF(OR(E135=Report!$B$1, F135=Report!$B$1, G135=Report!$B$1, H135=Report!$B$1), D135, "")</f>
        <v/>
      </c>
      <c r="C135" s="6" t="b">
        <f>IFERROR(__xludf.DUMMYFUNCTION("""COMPUTED_VALUE"""),FALSE)</f>
        <v>0</v>
      </c>
      <c r="D135" s="6" t="str">
        <f>IFERROR(__xludf.DUMMYFUNCTION("""COMPUTED_VALUE"""),"Fabera Tomáš")</f>
        <v>Fabera Tomáš</v>
      </c>
      <c r="E135" s="6" t="str">
        <f>IFERROR(__xludf.DUMMYFUNCTION("""COMPUTED_VALUE"""),"Chodov")</f>
        <v>Chodov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91">
        <f>IFERROR(__xludf.DUMMYFUNCTION("""COMPUTED_VALUE"""),231.474)</f>
        <v>231.474</v>
      </c>
      <c r="W135" s="191">
        <f>IFERROR(__xludf.DUMMYFUNCTION("""COMPUTED_VALUE"""),0.0)</f>
        <v>0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>
      <c r="A136" s="6"/>
      <c r="B136" s="193" t="str">
        <f>IF(OR(E136=Report!$B$1, F136=Report!$B$1, G136=Report!$B$1, H136=Report!$B$1), D136, "")</f>
        <v/>
      </c>
      <c r="C136" s="6" t="b">
        <f>IFERROR(__xludf.DUMMYFUNCTION("""COMPUTED_VALUE"""),FALSE)</f>
        <v>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91">
        <f>IFERROR(__xludf.DUMMYFUNCTION("""COMPUTED_VALUE"""),0.0)</f>
        <v>0</v>
      </c>
      <c r="W136" s="191">
        <f>IFERROR(__xludf.DUMMYFUNCTION("""COMPUTED_VALUE"""),0.0)</f>
        <v>0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>
      <c r="A137" s="6"/>
      <c r="B137" s="193" t="str">
        <f>IF(OR(E137=Report!$B$1, F137=Report!$B$1, G137=Report!$B$1, H137=Report!$B$1), D137, "")</f>
        <v/>
      </c>
      <c r="C137" s="6" t="b">
        <f>IFERROR(__xludf.DUMMYFUNCTION("""COMPUTED_VALUE"""),FALSE)</f>
        <v>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191">
        <f>IFERROR(__xludf.DUMMYFUNCTION("""COMPUTED_VALUE"""),0.0)</f>
        <v>0</v>
      </c>
      <c r="W137" s="191">
        <f>IFERROR(__xludf.DUMMYFUNCTION("""COMPUTED_VALUE"""),0.0)</f>
        <v>0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>
      <c r="A138" s="6"/>
      <c r="B138" s="193" t="str">
        <f>IF(OR(E138=Report!$B$1, F138=Report!$B$1, G138=Report!$B$1, H138=Report!$B$1), D138, "")</f>
        <v/>
      </c>
      <c r="C138" s="6" t="b">
        <f>IFERROR(__xludf.DUMMYFUNCTION("""COMPUTED_VALUE"""),FALSE)</f>
        <v>0</v>
      </c>
      <c r="D138" s="6" t="str">
        <f>IFERROR(__xludf.DUMMYFUNCTION("""COMPUTED_VALUE"""),"Hendrych Rostislav")</f>
        <v>Hendrych Rostislav</v>
      </c>
      <c r="E138" s="6" t="str">
        <f>IFERROR(__xludf.DUMMYFUNCTION("""COMPUTED_VALUE"""),"Malešice")</f>
        <v>Malešice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91">
        <f>IFERROR(__xludf.DUMMYFUNCTION("""COMPUTED_VALUE"""),250.20600000000002)</f>
        <v>250.206</v>
      </c>
      <c r="W138" s="191">
        <f>IFERROR(__xludf.DUMMYFUNCTION("""COMPUTED_VALUE"""),0.0)</f>
        <v>0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>
      <c r="A139" s="6"/>
      <c r="B139" s="193" t="str">
        <f>IF(OR(E139=Report!$B$1, F139=Report!$B$1, G139=Report!$B$1, H139=Report!$B$1), D139, "")</f>
        <v>Novák Dalibor</v>
      </c>
      <c r="C139" s="6" t="b">
        <f>IFERROR(__xludf.DUMMYFUNCTION("""COMPUTED_VALUE"""),FALSE)</f>
        <v>0</v>
      </c>
      <c r="D139" s="6" t="str">
        <f>IFERROR(__xludf.DUMMYFUNCTION("""COMPUTED_VALUE"""),"Novák Dalibor")</f>
        <v>Novák Dalibor</v>
      </c>
      <c r="E139" s="6" t="str">
        <f>IFERROR(__xludf.DUMMYFUNCTION("""COMPUTED_VALUE"""),"Libuš")</f>
        <v>Libuš</v>
      </c>
      <c r="F139" s="6" t="str">
        <f>IFERROR(__xludf.DUMMYFUNCTION("""COMPUTED_VALUE"""),"Prosek")</f>
        <v>Prosek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91">
        <f>IFERROR(__xludf.DUMMYFUNCTION("""COMPUTED_VALUE"""),250.20600000000002)</f>
        <v>250.206</v>
      </c>
      <c r="W139" s="191">
        <f>IFERROR(__xludf.DUMMYFUNCTION("""COMPUTED_VALUE"""),0.0)</f>
        <v>0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>
      <c r="A140" s="6"/>
      <c r="B140" s="193" t="str">
        <f>IF(OR(E140=Report!$B$1, F140=Report!$B$1, G140=Report!$B$1, H140=Report!$B$1), D140, "")</f>
        <v/>
      </c>
      <c r="C140" s="6" t="b">
        <f>IFERROR(__xludf.DUMMYFUNCTION("""COMPUTED_VALUE"""),FALSE)</f>
        <v>0</v>
      </c>
      <c r="D140" s="6" t="str">
        <f>IFERROR(__xludf.DUMMYFUNCTION("""COMPUTED_VALUE"""),"Světlík František")</f>
        <v>Světlík František</v>
      </c>
      <c r="E140" s="6" t="str">
        <f>IFERROR(__xludf.DUMMYFUNCTION("""COMPUTED_VALUE"""),"Bolevec")</f>
        <v>Bolevec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191">
        <f>IFERROR(__xludf.DUMMYFUNCTION("""COMPUTED_VALUE"""),214.08)</f>
        <v>214.08</v>
      </c>
      <c r="W140" s="191">
        <f>IFERROR(__xludf.DUMMYFUNCTION("""COMPUTED_VALUE"""),0.0)</f>
        <v>0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>
      <c r="A141" s="6"/>
      <c r="B141" s="193" t="str">
        <f>IF(OR(E141=Report!$B$1, F141=Report!$B$1, G141=Report!$B$1, H141=Report!$B$1), D141, "")</f>
        <v/>
      </c>
      <c r="C141" s="6" t="b">
        <f>IFERROR(__xludf.DUMMYFUNCTION("""COMPUTED_VALUE"""),FALSE)</f>
        <v>0</v>
      </c>
      <c r="D141" s="6" t="str">
        <f>IFERROR(__xludf.DUMMYFUNCTION("""COMPUTED_VALUE"""),"Hubr Samuel")</f>
        <v>Hubr Samuel</v>
      </c>
      <c r="E141" s="6" t="str">
        <f>IFERROR(__xludf.DUMMYFUNCTION("""COMPUTED_VALUE"""),"Chodov")</f>
        <v>Chodov</v>
      </c>
      <c r="F141" s="6" t="str">
        <f>IFERROR(__xludf.DUMMYFUNCTION("""COMPUTED_VALUE"""),"Malešice")</f>
        <v>Malešice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91">
        <f>IFERROR(__xludf.DUMMYFUNCTION("""COMPUTED_VALUE"""),231.474)</f>
        <v>231.474</v>
      </c>
      <c r="W141" s="191">
        <f>IFERROR(__xludf.DUMMYFUNCTION("""COMPUTED_VALUE"""),0.0)</f>
        <v>0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>
      <c r="A142" s="6"/>
      <c r="B142" s="193" t="str">
        <f>IF(OR(E142=Report!$B$1, F142=Report!$B$1, G142=Report!$B$1, H142=Report!$B$1), D142, "")</f>
        <v/>
      </c>
      <c r="C142" s="6" t="b">
        <f>IFERROR(__xludf.DUMMYFUNCTION("""COMPUTED_VALUE"""),FALSE)</f>
        <v>0</v>
      </c>
      <c r="D142" s="6" t="str">
        <f>IFERROR(__xludf.DUMMYFUNCTION("""COMPUTED_VALUE"""),"Ženíšek Lukáš")</f>
        <v>Ženíšek Lukáš</v>
      </c>
      <c r="E142" s="6" t="str">
        <f>IFERROR(__xludf.DUMMYFUNCTION("""COMPUTED_VALUE"""),"Bolevec")</f>
        <v>Bolevec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91">
        <f>IFERROR(__xludf.DUMMYFUNCTION("""COMPUTED_VALUE"""),214.08)</f>
        <v>214.08</v>
      </c>
      <c r="W142" s="191">
        <f>IFERROR(__xludf.DUMMYFUNCTION("""COMPUTED_VALUE"""),0.0)</f>
        <v>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>
      <c r="A143" s="6"/>
      <c r="B143" s="193" t="str">
        <f>IF(OR(E143=Report!$B$1, F143=Report!$B$1, G143=Report!$B$1, H143=Report!$B$1), D143, "")</f>
        <v/>
      </c>
      <c r="C143" s="6" t="b">
        <f>IFERROR(__xludf.DUMMYFUNCTION("""COMPUTED_VALUE"""),FALSE)</f>
        <v>0</v>
      </c>
      <c r="D143" s="6" t="str">
        <f>IFERROR(__xludf.DUMMYFUNCTION("""COMPUTED_VALUE"""),"Kneblová Anna")</f>
        <v>Kneblová Anna</v>
      </c>
      <c r="E143" s="6" t="str">
        <f>IFERROR(__xludf.DUMMYFUNCTION("""COMPUTED_VALUE"""),"Bolevec")</f>
        <v>Bolevec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91">
        <f>IFERROR(__xludf.DUMMYFUNCTION("""COMPUTED_VALUE"""),214.08)</f>
        <v>214.08</v>
      </c>
      <c r="W143" s="191">
        <f>IFERROR(__xludf.DUMMYFUNCTION("""COMPUTED_VALUE"""),0.0)</f>
        <v>0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>
      <c r="A144" s="6"/>
      <c r="B144" s="193" t="str">
        <f>IF(OR(E144=Report!$B$1, F144=Report!$B$1, G144=Report!$B$1, H144=Report!$B$1), D144, "")</f>
        <v/>
      </c>
      <c r="C144" s="6" t="b">
        <f>IFERROR(__xludf.DUMMYFUNCTION("""COMPUTED_VALUE"""),FALSE)</f>
        <v>0</v>
      </c>
      <c r="D144" s="6" t="str">
        <f>IFERROR(__xludf.DUMMYFUNCTION("""COMPUTED_VALUE"""),"Přibyl Jan")</f>
        <v>Přibyl Jan</v>
      </c>
      <c r="E144" s="6" t="str">
        <f>IFERROR(__xludf.DUMMYFUNCTION("""COMPUTED_VALUE"""),"Chodov")</f>
        <v>Chodov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191">
        <f>IFERROR(__xludf.DUMMYFUNCTION("""COMPUTED_VALUE"""),231.474)</f>
        <v>231.474</v>
      </c>
      <c r="W144" s="191">
        <f>IFERROR(__xludf.DUMMYFUNCTION("""COMPUTED_VALUE"""),0.0)</f>
        <v>0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>
      <c r="A145" s="6"/>
      <c r="B145" s="193" t="str">
        <f>IF(OR(E145=Report!$B$1, F145=Report!$B$1, G145=Report!$B$1, H145=Report!$B$1), D145, "")</f>
        <v/>
      </c>
      <c r="C145" s="6" t="b">
        <f>IFERROR(__xludf.DUMMYFUNCTION("""COMPUTED_VALUE"""),FALSE)</f>
        <v>0</v>
      </c>
      <c r="D145" s="6" t="str">
        <f>IFERROR(__xludf.DUMMYFUNCTION("""COMPUTED_VALUE"""),"Novák Matěj")</f>
        <v>Novák Matěj</v>
      </c>
      <c r="E145" s="6" t="str">
        <f>IFERROR(__xludf.DUMMYFUNCTION("""COMPUTED_VALUE"""),"Prosek")</f>
        <v>Prosek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91">
        <f>IFERROR(__xludf.DUMMYFUNCTION("""COMPUTED_VALUE"""),250.20600000000002)</f>
        <v>250.206</v>
      </c>
      <c r="W145" s="191">
        <f>IFERROR(__xludf.DUMMYFUNCTION("""COMPUTED_VALUE"""),0.0)</f>
        <v>0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>
      <c r="A146" s="6"/>
      <c r="B146" s="193" t="str">
        <f>IF(OR(E146=Report!$B$1, F146=Report!$B$1, G146=Report!$B$1, H146=Report!$B$1), D146, "")</f>
        <v/>
      </c>
      <c r="C146" s="6" t="b">
        <f>IFERROR(__xludf.DUMMYFUNCTION("""COMPUTED_VALUE"""),FALSE)</f>
        <v>0</v>
      </c>
      <c r="D146" s="6" t="str">
        <f>IFERROR(__xludf.DUMMYFUNCTION("""COMPUTED_VALUE"""),"Roth Stanislav st.")</f>
        <v>Roth Stanislav st.</v>
      </c>
      <c r="E146" s="6" t="str">
        <f>IFERROR(__xludf.DUMMYFUNCTION("""COMPUTED_VALUE"""),"Bolevec")</f>
        <v>Bolevec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91">
        <f>IFERROR(__xludf.DUMMYFUNCTION("""COMPUTED_VALUE"""),49506.0)</f>
        <v>49506</v>
      </c>
      <c r="W146" s="191">
        <f>IFERROR(__xludf.DUMMYFUNCTION("""COMPUTED_VALUE"""),1650.2)</f>
        <v>1650.2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>
      <c r="A147" s="6"/>
      <c r="B147" s="193" t="str">
        <f>IF(OR(E147=Report!$B$1, F147=Report!$B$1, G147=Report!$B$1, H147=Report!$B$1), D147, "")</f>
        <v/>
      </c>
      <c r="C147" s="6" t="b">
        <f>IFERROR(__xludf.DUMMYFUNCTION("""COMPUTED_VALUE"""),FALSE)</f>
        <v>0</v>
      </c>
      <c r="D147" s="6" t="str">
        <f>IFERROR(__xludf.DUMMYFUNCTION("""COMPUTED_VALUE"""),"Hrach Michal")</f>
        <v>Hrach Michal</v>
      </c>
      <c r="E147" s="6" t="str">
        <f>IFERROR(__xludf.DUMMYFUNCTION("""COMPUTED_VALUE"""),"Chodov")</f>
        <v>Chodov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191">
        <f>IFERROR(__xludf.DUMMYFUNCTION("""COMPUTED_VALUE"""),231.474)</f>
        <v>231.474</v>
      </c>
      <c r="W147" s="191">
        <f>IFERROR(__xludf.DUMMYFUNCTION("""COMPUTED_VALUE"""),0.0)</f>
        <v>0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>
      <c r="A148" s="6"/>
      <c r="B148" s="193" t="str">
        <f>IF(OR(E148=Report!$B$1, F148=Report!$B$1, G148=Report!$B$1, H148=Report!$B$1), D148, "")</f>
        <v/>
      </c>
      <c r="C148" s="6" t="b">
        <f>IFERROR(__xludf.DUMMYFUNCTION("""COMPUTED_VALUE"""),FALSE)</f>
        <v>0</v>
      </c>
      <c r="D148" s="6" t="str">
        <f>IFERROR(__xludf.DUMMYFUNCTION("""COMPUTED_VALUE"""),"Kvapil Filip Leon")</f>
        <v>Kvapil Filip Leon</v>
      </c>
      <c r="E148" s="6" t="str">
        <f>IFERROR(__xludf.DUMMYFUNCTION("""COMPUTED_VALUE"""),"Zličín")</f>
        <v>Zličín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191">
        <f>IFERROR(__xludf.DUMMYFUNCTION("""COMPUTED_VALUE"""),231.474)</f>
        <v>231.474</v>
      </c>
      <c r="W148" s="191">
        <f>IFERROR(__xludf.DUMMYFUNCTION("""COMPUTED_VALUE"""),0.0)</f>
        <v>0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>
      <c r="A149" s="6"/>
      <c r="B149" s="193" t="str">
        <f>IF(OR(E149=Report!$B$1, F149=Report!$B$1, G149=Report!$B$1, H149=Report!$B$1), D149, "")</f>
        <v/>
      </c>
      <c r="C149" s="6" t="b">
        <f>IFERROR(__xludf.DUMMYFUNCTION("""COMPUTED_VALUE"""),FALSE)</f>
        <v>0</v>
      </c>
      <c r="D149" s="6" t="str">
        <f>IFERROR(__xludf.DUMMYFUNCTION("""COMPUTED_VALUE"""),"Vaníková Anna")</f>
        <v>Vaníková Anna</v>
      </c>
      <c r="E149" s="6" t="str">
        <f>IFERROR(__xludf.DUMMYFUNCTION("""COMPUTED_VALUE"""),"Zličín")</f>
        <v>Zličín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91">
        <f>IFERROR(__xludf.DUMMYFUNCTION("""COMPUTED_VALUE"""),231.474)</f>
        <v>231.474</v>
      </c>
      <c r="W149" s="191">
        <f>IFERROR(__xludf.DUMMYFUNCTION("""COMPUTED_VALUE"""),0.0)</f>
        <v>0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>
      <c r="A150" s="6"/>
      <c r="B150" s="193" t="str">
        <f>IF(OR(E150=Report!$B$1, F150=Report!$B$1, G150=Report!$B$1, H150=Report!$B$1), D150, "")</f>
        <v/>
      </c>
      <c r="C150" s="6" t="b">
        <f>IFERROR(__xludf.DUMMYFUNCTION("""COMPUTED_VALUE"""),FALSE)</f>
        <v>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91">
        <f>IFERROR(__xludf.DUMMYFUNCTION("""COMPUTED_VALUE"""),0.0)</f>
        <v>0</v>
      </c>
      <c r="W150" s="191">
        <f>IFERROR(__xludf.DUMMYFUNCTION("""COMPUTED_VALUE"""),0.0)</f>
        <v>0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>
      <c r="A151" s="6"/>
      <c r="B151" s="193" t="str">
        <f>IF(OR(E151=Report!$B$1, F151=Report!$B$1, G151=Report!$B$1, H151=Report!$B$1), D151, "")</f>
        <v/>
      </c>
      <c r="C151" s="6" t="b">
        <f>IFERROR(__xludf.DUMMYFUNCTION("""COMPUTED_VALUE"""),FALSE)</f>
        <v>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91">
        <f>IFERROR(__xludf.DUMMYFUNCTION("""COMPUTED_VALUE"""),100.0)</f>
        <v>100</v>
      </c>
      <c r="W151" s="191">
        <f>IFERROR(__xludf.DUMMYFUNCTION("""COMPUTED_VALUE"""),0.0)</f>
        <v>0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>
      <c r="A152" s="6"/>
      <c r="B152" s="193" t="str">
        <f>IF(OR(E152=Report!$B$1, F152=Report!$B$1, G152=Report!$B$1, H152=Report!$B$1), D152, "")</f>
        <v/>
      </c>
      <c r="C152" s="6" t="b">
        <f>IFERROR(__xludf.DUMMYFUNCTION("""COMPUTED_VALUE"""),FALSE)</f>
        <v>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191">
        <f>IFERROR(__xludf.DUMMYFUNCTION("""COMPUTED_VALUE"""),100.0)</f>
        <v>100</v>
      </c>
      <c r="W152" s="191">
        <f>IFERROR(__xludf.DUMMYFUNCTION("""COMPUTED_VALUE"""),0.0)</f>
        <v>0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>
      <c r="A153" s="6"/>
      <c r="B153" s="193" t="str">
        <f>IF(OR(E153=Report!$B$1, F153=Report!$B$1, G153=Report!$B$1, H153=Report!$B$1), D153, "")</f>
        <v/>
      </c>
      <c r="C153" s="6" t="b">
        <f>IFERROR(__xludf.DUMMYFUNCTION("""COMPUTED_VALUE"""),FALSE)</f>
        <v>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191">
        <f>IFERROR(__xludf.DUMMYFUNCTION("""COMPUTED_VALUE"""),100.0)</f>
        <v>100</v>
      </c>
      <c r="W153" s="191">
        <f>IFERROR(__xludf.DUMMYFUNCTION("""COMPUTED_VALUE"""),0.0)</f>
        <v>0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>
      <c r="A154" s="6"/>
      <c r="B154" s="193" t="str">
        <f>IF(OR(E154=Report!$B$1, F154=Report!$B$1, G154=Report!$B$1, H154=Report!$B$1), D154, "")</f>
        <v/>
      </c>
      <c r="C154" s="6" t="b">
        <f>IFERROR(__xludf.DUMMYFUNCTION("""COMPUTED_VALUE"""),FALSE)</f>
        <v>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191">
        <f>IFERROR(__xludf.DUMMYFUNCTION("""COMPUTED_VALUE"""),100.0)</f>
        <v>100</v>
      </c>
      <c r="W154" s="191">
        <f>IFERROR(__xludf.DUMMYFUNCTION("""COMPUTED_VALUE"""),0.0)</f>
        <v>0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>
      <c r="A155" s="6"/>
      <c r="B155" s="193" t="str">
        <f>IF(OR(E155=Report!$B$1, F155=Report!$B$1, G155=Report!$B$1, H155=Report!$B$1), D155, "")</f>
        <v/>
      </c>
      <c r="C155" s="6" t="b">
        <f>IFERROR(__xludf.DUMMYFUNCTION("""COMPUTED_VALUE"""),FALSE)</f>
        <v>0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191">
        <f>IFERROR(__xludf.DUMMYFUNCTION("""COMPUTED_VALUE"""),100.0)</f>
        <v>100</v>
      </c>
      <c r="W155" s="191">
        <f>IFERROR(__xludf.DUMMYFUNCTION("""COMPUTED_VALUE"""),0.0)</f>
        <v>0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>
      <c r="A156" s="6"/>
      <c r="B156" s="193" t="str">
        <f>IF(OR(E156=Report!$B$1, F156=Report!$B$1, G156=Report!$B$1, H156=Report!$B$1), D156, "")</f>
        <v/>
      </c>
      <c r="C156" s="6" t="b">
        <f>IFERROR(__xludf.DUMMYFUNCTION("""COMPUTED_VALUE"""),FALSE)</f>
        <v>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91">
        <f>IFERROR(__xludf.DUMMYFUNCTION("""COMPUTED_VALUE"""),100.0)</f>
        <v>100</v>
      </c>
      <c r="W156" s="191">
        <f>IFERROR(__xludf.DUMMYFUNCTION("""COMPUTED_VALUE"""),0.0)</f>
        <v>0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>
      <c r="A157" s="6"/>
      <c r="B157" s="193" t="str">
        <f>IF(OR(E157=Report!$B$1, F157=Report!$B$1, G157=Report!$B$1, H157=Report!$B$1), D157, "")</f>
        <v/>
      </c>
      <c r="C157" s="6" t="b">
        <f>IFERROR(__xludf.DUMMYFUNCTION("""COMPUTED_VALUE"""),FALSE)</f>
        <v>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91">
        <f>IFERROR(__xludf.DUMMYFUNCTION("""COMPUTED_VALUE"""),100.0)</f>
        <v>100</v>
      </c>
      <c r="W157" s="191">
        <f>IFERROR(__xludf.DUMMYFUNCTION("""COMPUTED_VALUE"""),0.0)</f>
        <v>0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>
      <c r="A158" s="6"/>
      <c r="B158" s="193" t="str">
        <f>IF(OR(E158=Report!$B$1, F158=Report!$B$1, G158=Report!$B$1, H158=Report!$B$1), D158, "")</f>
        <v/>
      </c>
      <c r="C158" s="6" t="b">
        <f>IFERROR(__xludf.DUMMYFUNCTION("""COMPUTED_VALUE"""),FALSE)</f>
        <v>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191">
        <f>IFERROR(__xludf.DUMMYFUNCTION("""COMPUTED_VALUE"""),100.0)</f>
        <v>100</v>
      </c>
      <c r="W158" s="191">
        <f>IFERROR(__xludf.DUMMYFUNCTION("""COMPUTED_VALUE"""),0.0)</f>
        <v>0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>
      <c r="A159" s="6"/>
      <c r="B159" s="193" t="str">
        <f>IF(OR(E159=Report!$B$1, F159=Report!$B$1, G159=Report!$B$1, H159=Report!$B$1), D159, "")</f>
        <v/>
      </c>
      <c r="C159" s="6" t="b">
        <f>IFERROR(__xludf.DUMMYFUNCTION("""COMPUTED_VALUE"""),FALSE)</f>
        <v>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191">
        <f>IFERROR(__xludf.DUMMYFUNCTION("""COMPUTED_VALUE"""),100.0)</f>
        <v>100</v>
      </c>
      <c r="W159" s="191">
        <f>IFERROR(__xludf.DUMMYFUNCTION("""COMPUTED_VALUE"""),0.0)</f>
        <v>0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>
      <c r="A160" s="6"/>
      <c r="B160" s="193" t="str">
        <f>IF(OR(E160=Report!$B$1, F160=Report!$B$1, G160=Report!$B$1, H160=Report!$B$1), D160, "")</f>
        <v/>
      </c>
      <c r="C160" s="6" t="b">
        <f>IFERROR(__xludf.DUMMYFUNCTION("""COMPUTED_VALUE"""),FALSE)</f>
        <v>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191">
        <f>IFERROR(__xludf.DUMMYFUNCTION("""COMPUTED_VALUE"""),100.0)</f>
        <v>100</v>
      </c>
      <c r="W160" s="191">
        <f>IFERROR(__xludf.DUMMYFUNCTION("""COMPUTED_VALUE"""),0.0)</f>
        <v>0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>
      <c r="A161" s="6"/>
      <c r="B161" s="193" t="str">
        <f>IF(OR(E161=Report!$B$1, F161=Report!$B$1, G161=Report!$B$1, H161=Report!$B$1), D161, "")</f>
        <v/>
      </c>
      <c r="C161" s="6" t="b">
        <f>IFERROR(__xludf.DUMMYFUNCTION("""COMPUTED_VALUE"""),FALSE)</f>
        <v>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191">
        <f>IFERROR(__xludf.DUMMYFUNCTION("""COMPUTED_VALUE"""),100.0)</f>
        <v>100</v>
      </c>
      <c r="W161" s="191">
        <f>IFERROR(__xludf.DUMMYFUNCTION("""COMPUTED_VALUE"""),0.0)</f>
        <v>0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>
      <c r="A162" s="6"/>
      <c r="B162" s="193" t="str">
        <f>IF(OR(E162=Report!$B$1, F162=Report!$B$1, G162=Report!$B$1, H162=Report!$B$1), D162, "")</f>
        <v/>
      </c>
      <c r="C162" s="6" t="b">
        <f>IFERROR(__xludf.DUMMYFUNCTION("""COMPUTED_VALUE"""),FALSE)</f>
        <v>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191">
        <f>IFERROR(__xludf.DUMMYFUNCTION("""COMPUTED_VALUE"""),100.0)</f>
        <v>100</v>
      </c>
      <c r="W162" s="191">
        <f>IFERROR(__xludf.DUMMYFUNCTION("""COMPUTED_VALUE"""),0.0)</f>
        <v>0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>
      <c r="A163" s="6"/>
      <c r="B163" s="193" t="str">
        <f>IF(OR(E163=Report!$B$1, F163=Report!$B$1, G163=Report!$B$1, H163=Report!$B$1), D163, "")</f>
        <v/>
      </c>
      <c r="C163" s="6" t="b">
        <f>IFERROR(__xludf.DUMMYFUNCTION("""COMPUTED_VALUE"""),FALSE)</f>
        <v>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91">
        <f>IFERROR(__xludf.DUMMYFUNCTION("""COMPUTED_VALUE"""),100.0)</f>
        <v>100</v>
      </c>
      <c r="W163" s="191">
        <f>IFERROR(__xludf.DUMMYFUNCTION("""COMPUTED_VALUE"""),0.0)</f>
        <v>0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>
      <c r="A164" s="6"/>
      <c r="B164" s="193" t="str">
        <f>IF(OR(E164=Report!$B$1, F164=Report!$B$1, G164=Report!$B$1, H164=Report!$B$1), D164, "")</f>
        <v/>
      </c>
      <c r="C164" s="6" t="b">
        <f>IFERROR(__xludf.DUMMYFUNCTION("""COMPUTED_VALUE"""),FALSE)</f>
        <v>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91">
        <f>IFERROR(__xludf.DUMMYFUNCTION("""COMPUTED_VALUE"""),100.0)</f>
        <v>100</v>
      </c>
      <c r="W164" s="191">
        <f>IFERROR(__xludf.DUMMYFUNCTION("""COMPUTED_VALUE"""),0.0)</f>
        <v>0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>
      <c r="A165" s="6"/>
      <c r="B165" s="193" t="str">
        <f>IF(OR(E165=Report!$B$1, F165=Report!$B$1, G165=Report!$B$1, H165=Report!$B$1), D165, "")</f>
        <v/>
      </c>
      <c r="C165" s="6" t="b">
        <f>IFERROR(__xludf.DUMMYFUNCTION("""COMPUTED_VALUE"""),FALSE)</f>
        <v>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191">
        <f>IFERROR(__xludf.DUMMYFUNCTION("""COMPUTED_VALUE"""),100.0)</f>
        <v>100</v>
      </c>
      <c r="W165" s="191">
        <f>IFERROR(__xludf.DUMMYFUNCTION("""COMPUTED_VALUE"""),0.0)</f>
        <v>0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>
      <c r="A166" s="6"/>
      <c r="B166" s="193" t="str">
        <f>IF(OR(E166=Report!$B$1, F166=Report!$B$1, G166=Report!$B$1, H166=Report!$B$1), D166, "")</f>
        <v/>
      </c>
      <c r="C166" s="6" t="b">
        <f>IFERROR(__xludf.DUMMYFUNCTION("""COMPUTED_VALUE"""),FALSE)</f>
        <v>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191">
        <f>IFERROR(__xludf.DUMMYFUNCTION("""COMPUTED_VALUE"""),100.0)</f>
        <v>100</v>
      </c>
      <c r="W166" s="191">
        <f>IFERROR(__xludf.DUMMYFUNCTION("""COMPUTED_VALUE"""),0.0)</f>
        <v>0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>
      <c r="A167" s="6"/>
      <c r="B167" s="193" t="str">
        <f>IF(OR(E167=Report!$B$1, F167=Report!$B$1, G167=Report!$B$1, H167=Report!$B$1), D167, "")</f>
        <v/>
      </c>
      <c r="C167" s="6" t="b">
        <f>IFERROR(__xludf.DUMMYFUNCTION("""COMPUTED_VALUE"""),FALSE)</f>
        <v>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91">
        <f>IFERROR(__xludf.DUMMYFUNCTION("""COMPUTED_VALUE"""),100.0)</f>
        <v>100</v>
      </c>
      <c r="W167" s="191">
        <f>IFERROR(__xludf.DUMMYFUNCTION("""COMPUTED_VALUE"""),0.0)</f>
        <v>0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>
      <c r="A168" s="6"/>
      <c r="B168" s="193" t="str">
        <f>IF(OR(E168=Report!$B$1, F168=Report!$B$1, G168=Report!$B$1, H168=Report!$B$1), D168, "")</f>
        <v/>
      </c>
      <c r="C168" s="6" t="b">
        <f>IFERROR(__xludf.DUMMYFUNCTION("""COMPUTED_VALUE"""),FALSE)</f>
        <v>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91">
        <f>IFERROR(__xludf.DUMMYFUNCTION("""COMPUTED_VALUE"""),100.0)</f>
        <v>100</v>
      </c>
      <c r="W168" s="191">
        <f>IFERROR(__xludf.DUMMYFUNCTION("""COMPUTED_VALUE"""),0.0)</f>
        <v>0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>
      <c r="A169" s="6"/>
      <c r="B169" s="193" t="str">
        <f>IF(OR(E169=Report!$B$1, F169=Report!$B$1, G169=Report!$B$1, H169=Report!$B$1), D169, "")</f>
        <v/>
      </c>
      <c r="C169" s="6" t="b">
        <f>IFERROR(__xludf.DUMMYFUNCTION("""COMPUTED_VALUE"""),FALSE)</f>
        <v>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91">
        <f>IFERROR(__xludf.DUMMYFUNCTION("""COMPUTED_VALUE"""),100.0)</f>
        <v>100</v>
      </c>
      <c r="W169" s="191">
        <f>IFERROR(__xludf.DUMMYFUNCTION("""COMPUTED_VALUE"""),0.0)</f>
        <v>0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>
      <c r="A170" s="6"/>
      <c r="B170" s="193" t="str">
        <f>IF(OR(E170=Report!$B$1, F170=Report!$B$1, G170=Report!$B$1, H170=Report!$B$1), D170, "")</f>
        <v/>
      </c>
      <c r="C170" s="6" t="b">
        <f>IFERROR(__xludf.DUMMYFUNCTION("""COMPUTED_VALUE"""),FALSE)</f>
        <v>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91">
        <f>IFERROR(__xludf.DUMMYFUNCTION("""COMPUTED_VALUE"""),100.0)</f>
        <v>100</v>
      </c>
      <c r="W170" s="191">
        <f>IFERROR(__xludf.DUMMYFUNCTION("""COMPUTED_VALUE"""),0.0)</f>
        <v>0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>
      <c r="A171" s="6"/>
      <c r="B171" s="193" t="str">
        <f>IF(OR(E171=Report!$B$1, F171=Report!$B$1, G171=Report!$B$1, H171=Report!$B$1), D171, "")</f>
        <v/>
      </c>
      <c r="C171" s="6" t="b">
        <f>IFERROR(__xludf.DUMMYFUNCTION("""COMPUTED_VALUE"""),FALSE)</f>
        <v>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91">
        <f>IFERROR(__xludf.DUMMYFUNCTION("""COMPUTED_VALUE"""),100.0)</f>
        <v>100</v>
      </c>
      <c r="W171" s="191">
        <f>IFERROR(__xludf.DUMMYFUNCTION("""COMPUTED_VALUE"""),0.0)</f>
        <v>0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>
      <c r="A172" s="6"/>
      <c r="B172" s="193" t="str">
        <f>IF(OR(E172=Report!$B$1, F172=Report!$B$1, G172=Report!$B$1, H172=Report!$B$1), D172, "")</f>
        <v/>
      </c>
      <c r="C172" s="6" t="b">
        <f>IFERROR(__xludf.DUMMYFUNCTION("""COMPUTED_VALUE"""),FALSE)</f>
        <v>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91">
        <f>IFERROR(__xludf.DUMMYFUNCTION("""COMPUTED_VALUE"""),100.0)</f>
        <v>100</v>
      </c>
      <c r="W172" s="191">
        <f>IFERROR(__xludf.DUMMYFUNCTION("""COMPUTED_VALUE"""),0.0)</f>
        <v>0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>
      <c r="A173" s="6"/>
      <c r="B173" s="193" t="str">
        <f>IF(OR(E173=Report!$B$1, F173=Report!$B$1, G173=Report!$B$1, H173=Report!$B$1), D173, "")</f>
        <v/>
      </c>
      <c r="C173" s="6" t="b">
        <f>IFERROR(__xludf.DUMMYFUNCTION("""COMPUTED_VALUE"""),FALSE)</f>
        <v>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91">
        <f>IFERROR(__xludf.DUMMYFUNCTION("""COMPUTED_VALUE"""),100.0)</f>
        <v>100</v>
      </c>
      <c r="W173" s="191">
        <f>IFERROR(__xludf.DUMMYFUNCTION("""COMPUTED_VALUE"""),0.0)</f>
        <v>0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>
      <c r="A174" s="6"/>
      <c r="B174" s="193" t="str">
        <f>IF(OR(E174=Report!$B$1, F174=Report!$B$1, G174=Report!$B$1, H174=Report!$B$1), D174, "")</f>
        <v/>
      </c>
      <c r="C174" s="6" t="b">
        <f>IFERROR(__xludf.DUMMYFUNCTION("""COMPUTED_VALUE"""),FALSE)</f>
        <v>0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91">
        <f>IFERROR(__xludf.DUMMYFUNCTION("""COMPUTED_VALUE"""),100.0)</f>
        <v>100</v>
      </c>
      <c r="W174" s="191">
        <f>IFERROR(__xludf.DUMMYFUNCTION("""COMPUTED_VALUE"""),0.0)</f>
        <v>0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>
      <c r="A175" s="6"/>
      <c r="B175" s="193" t="str">
        <f>IF(OR(E175=Report!$B$1, F175=Report!$B$1, G175=Report!$B$1, H175=Report!$B$1), D175, "")</f>
        <v/>
      </c>
      <c r="C175" s="6" t="b">
        <f>IFERROR(__xludf.DUMMYFUNCTION("""COMPUTED_VALUE"""),FALSE)</f>
        <v>0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91">
        <f>IFERROR(__xludf.DUMMYFUNCTION("""COMPUTED_VALUE"""),100.0)</f>
        <v>100</v>
      </c>
      <c r="W175" s="191">
        <f>IFERROR(__xludf.DUMMYFUNCTION("""COMPUTED_VALUE"""),0.0)</f>
        <v>0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>
      <c r="A176" s="6"/>
      <c r="B176" s="193" t="str">
        <f>IF(OR(E176=Report!$B$1, F176=Report!$B$1, G176=Report!$B$1, H176=Report!$B$1), D176, "")</f>
        <v/>
      </c>
      <c r="C176" s="6" t="b">
        <f>IFERROR(__xludf.DUMMYFUNCTION("""COMPUTED_VALUE"""),FALSE)</f>
        <v>0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91">
        <f>IFERROR(__xludf.DUMMYFUNCTION("""COMPUTED_VALUE"""),100.0)</f>
        <v>100</v>
      </c>
      <c r="W176" s="191">
        <f>IFERROR(__xludf.DUMMYFUNCTION("""COMPUTED_VALUE"""),0.0)</f>
        <v>0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>
      <c r="A177" s="6"/>
      <c r="B177" s="193" t="str">
        <f>IF(OR(E177=Report!$B$1, F177=Report!$B$1, G177=Report!$B$1, H177=Report!$B$1), D177, "")</f>
        <v/>
      </c>
      <c r="C177" s="6" t="b">
        <f>IFERROR(__xludf.DUMMYFUNCTION("""COMPUTED_VALUE"""),FALSE)</f>
        <v>0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91">
        <f>IFERROR(__xludf.DUMMYFUNCTION("""COMPUTED_VALUE"""),100.0)</f>
        <v>100</v>
      </c>
      <c r="W177" s="191">
        <f>IFERROR(__xludf.DUMMYFUNCTION("""COMPUTED_VALUE"""),0.0)</f>
        <v>0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>
      <c r="A178" s="6"/>
      <c r="B178" s="193" t="str">
        <f>IF(OR(E178=Report!$B$1, F178=Report!$B$1, G178=Report!$B$1, H178=Report!$B$1), D178, "")</f>
        <v/>
      </c>
      <c r="C178" s="6" t="b">
        <f>IFERROR(__xludf.DUMMYFUNCTION("""COMPUTED_VALUE"""),FALSE)</f>
        <v>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91">
        <f>IFERROR(__xludf.DUMMYFUNCTION("""COMPUTED_VALUE"""),100.0)</f>
        <v>100</v>
      </c>
      <c r="W178" s="191">
        <f>IFERROR(__xludf.DUMMYFUNCTION("""COMPUTED_VALUE"""),0.0)</f>
        <v>0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>
      <c r="A179" s="6"/>
      <c r="B179" s="193" t="str">
        <f>IF(OR(E179=Report!$B$1, F179=Report!$B$1, G179=Report!$B$1, H179=Report!$B$1), D179, "")</f>
        <v/>
      </c>
      <c r="C179" s="6" t="b">
        <f>IFERROR(__xludf.DUMMYFUNCTION("""COMPUTED_VALUE"""),FALSE)</f>
        <v>0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91">
        <f>IFERROR(__xludf.DUMMYFUNCTION("""COMPUTED_VALUE"""),100.0)</f>
        <v>100</v>
      </c>
      <c r="W179" s="191">
        <f>IFERROR(__xludf.DUMMYFUNCTION("""COMPUTED_VALUE"""),0.0)</f>
        <v>0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>
      <c r="A180" s="6"/>
      <c r="B180" s="6"/>
      <c r="C180" s="6" t="b">
        <f>IFERROR(__xludf.DUMMYFUNCTION("""COMPUTED_VALUE"""),FALSE)</f>
        <v>0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91">
        <f>IFERROR(__xludf.DUMMYFUNCTION("""COMPUTED_VALUE"""),100.0)</f>
        <v>100</v>
      </c>
      <c r="W180" s="191">
        <f>IFERROR(__xludf.DUMMYFUNCTION("""COMPUTED_VALUE"""),0.0)</f>
        <v>0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>
      <c r="A181" s="6"/>
      <c r="B181" s="6"/>
      <c r="C181" s="6" t="b">
        <f>IFERROR(__xludf.DUMMYFUNCTION("""COMPUTED_VALUE"""),FALSE)</f>
        <v>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91">
        <f>IFERROR(__xludf.DUMMYFUNCTION("""COMPUTED_VALUE"""),100.0)</f>
        <v>100</v>
      </c>
      <c r="W181" s="191">
        <f>IFERROR(__xludf.DUMMYFUNCTION("""COMPUTED_VALUE"""),0.0)</f>
        <v>0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>
      <c r="A182" s="6"/>
      <c r="B182" s="6"/>
      <c r="C182" s="6" t="b">
        <f>IFERROR(__xludf.DUMMYFUNCTION("""COMPUTED_VALUE"""),FALSE)</f>
        <v>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91">
        <f>IFERROR(__xludf.DUMMYFUNCTION("""COMPUTED_VALUE"""),100.0)</f>
        <v>100</v>
      </c>
      <c r="W182" s="191">
        <f>IFERROR(__xludf.DUMMYFUNCTION("""COMPUTED_VALUE"""),0.0)</f>
        <v>0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>
      <c r="A183" s="6"/>
      <c r="B183" s="6"/>
      <c r="C183" s="6" t="b">
        <f>IFERROR(__xludf.DUMMYFUNCTION("""COMPUTED_VALUE"""),FALSE)</f>
        <v>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91">
        <f>IFERROR(__xludf.DUMMYFUNCTION("""COMPUTED_VALUE"""),100.0)</f>
        <v>100</v>
      </c>
      <c r="W183" s="191">
        <f>IFERROR(__xludf.DUMMYFUNCTION("""COMPUTED_VALUE"""),0.0)</f>
        <v>0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>
      <c r="A184" s="6"/>
      <c r="B184" s="6"/>
      <c r="C184" s="6" t="b">
        <f>IFERROR(__xludf.DUMMYFUNCTION("""COMPUTED_VALUE"""),FALSE)</f>
        <v>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91">
        <f>IFERROR(__xludf.DUMMYFUNCTION("""COMPUTED_VALUE"""),100.0)</f>
        <v>100</v>
      </c>
      <c r="W184" s="191">
        <f>IFERROR(__xludf.DUMMYFUNCTION("""COMPUTED_VALUE"""),0.0)</f>
        <v>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>
      <c r="A185" s="6"/>
      <c r="B185" s="6"/>
      <c r="C185" s="6" t="b">
        <f>IFERROR(__xludf.DUMMYFUNCTION("""COMPUTED_VALUE"""),FALSE)</f>
        <v>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91">
        <f>IFERROR(__xludf.DUMMYFUNCTION("""COMPUTED_VALUE"""),100.0)</f>
        <v>100</v>
      </c>
      <c r="W185" s="191">
        <f>IFERROR(__xludf.DUMMYFUNCTION("""COMPUTED_VALUE"""),0.0)</f>
        <v>0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>
      <c r="A186" s="6"/>
      <c r="B186" s="6"/>
      <c r="C186" s="6" t="b">
        <f>IFERROR(__xludf.DUMMYFUNCTION("""COMPUTED_VALUE"""),FALSE)</f>
        <v>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91">
        <f>IFERROR(__xludf.DUMMYFUNCTION("""COMPUTED_VALUE"""),100.0)</f>
        <v>100</v>
      </c>
      <c r="W186" s="191">
        <f>IFERROR(__xludf.DUMMYFUNCTION("""COMPUTED_VALUE"""),0.0)</f>
        <v>0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>
      <c r="A187" s="6"/>
      <c r="B187" s="6"/>
      <c r="C187" s="6" t="b">
        <f>IFERROR(__xludf.DUMMYFUNCTION("""COMPUTED_VALUE"""),FALSE)</f>
        <v>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91">
        <f>IFERROR(__xludf.DUMMYFUNCTION("""COMPUTED_VALUE"""),100.0)</f>
        <v>100</v>
      </c>
      <c r="W187" s="191">
        <f>IFERROR(__xludf.DUMMYFUNCTION("""COMPUTED_VALUE"""),0.0)</f>
        <v>0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>
      <c r="A188" s="6"/>
      <c r="B188" s="6"/>
      <c r="C188" s="6" t="b">
        <f>IFERROR(__xludf.DUMMYFUNCTION("""COMPUTED_VALUE"""),FALSE)</f>
        <v>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91">
        <f>IFERROR(__xludf.DUMMYFUNCTION("""COMPUTED_VALUE"""),100.0)</f>
        <v>100</v>
      </c>
      <c r="W188" s="191">
        <f>IFERROR(__xludf.DUMMYFUNCTION("""COMPUTED_VALUE"""),0.0)</f>
        <v>0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>
      <c r="A189" s="6"/>
      <c r="B189" s="6"/>
      <c r="C189" s="6" t="b">
        <f>IFERROR(__xludf.DUMMYFUNCTION("""COMPUTED_VALUE"""),FALSE)</f>
        <v>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91">
        <f>IFERROR(__xludf.DUMMYFUNCTION("""COMPUTED_VALUE"""),100.0)</f>
        <v>100</v>
      </c>
      <c r="W189" s="191">
        <f>IFERROR(__xludf.DUMMYFUNCTION("""COMPUTED_VALUE"""),0.0)</f>
        <v>0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>
      <c r="A190" s="6"/>
      <c r="B190" s="6"/>
      <c r="C190" s="6" t="b">
        <f>IFERROR(__xludf.DUMMYFUNCTION("""COMPUTED_VALUE"""),FALSE)</f>
        <v>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91">
        <f>IFERROR(__xludf.DUMMYFUNCTION("""COMPUTED_VALUE"""),100.0)</f>
        <v>100</v>
      </c>
      <c r="W190" s="191">
        <f>IFERROR(__xludf.DUMMYFUNCTION("""COMPUTED_VALUE"""),0.0)</f>
        <v>0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>
      <c r="A191" s="6"/>
      <c r="B191" s="6"/>
      <c r="C191" s="6" t="b">
        <f>IFERROR(__xludf.DUMMYFUNCTION("""COMPUTED_VALUE"""),FALSE)</f>
        <v>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91">
        <f>IFERROR(__xludf.DUMMYFUNCTION("""COMPUTED_VALUE"""),100.0)</f>
        <v>100</v>
      </c>
      <c r="W191" s="191">
        <f>IFERROR(__xludf.DUMMYFUNCTION("""COMPUTED_VALUE"""),0.0)</f>
        <v>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>
      <c r="A192" s="6"/>
      <c r="B192" s="6"/>
      <c r="C192" s="6" t="b">
        <f>IFERROR(__xludf.DUMMYFUNCTION("""COMPUTED_VALUE"""),FALSE)</f>
        <v>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191">
        <f>IFERROR(__xludf.DUMMYFUNCTION("""COMPUTED_VALUE"""),0.0)</f>
        <v>0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>
      <c r="A193" s="6"/>
      <c r="B193" s="6"/>
      <c r="C193" s="6" t="b">
        <f>IFERROR(__xludf.DUMMYFUNCTION("""COMPUTED_VALUE"""),FALSE)</f>
        <v>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91">
        <f>IFERROR(__xludf.DUMMYFUNCTION("""COMPUTED_VALUE"""),0.0)</f>
        <v>0</v>
      </c>
      <c r="W193" s="191">
        <f>IFERROR(__xludf.DUMMYFUNCTION("""COMPUTED_VALUE"""),0.0)</f>
        <v>0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>
      <c r="A194" s="6"/>
      <c r="B194" s="6"/>
      <c r="C194" s="6"/>
      <c r="D194" s="6" t="str">
        <f>IFERROR(__xludf.DUMMYFUNCTION("""COMPUTED_VALUE"""),"End")</f>
        <v>End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91">
        <f>IFERROR(__xludf.DUMMYFUNCTION("""COMPUTED_VALUE"""),0.0)</f>
        <v>0</v>
      </c>
      <c r="W194" s="191">
        <f>IFERROR(__xludf.DUMMYFUNCTION("""COMPUTED_VALUE"""),0.0)</f>
        <v>0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>
      <c r="A195" s="6"/>
      <c r="B195" s="6"/>
      <c r="C195" s="6"/>
      <c r="D195" s="6" t="str">
        <f>IFERROR(__xludf.DUMMYFUNCTION("""COMPUTED_VALUE"""),"Celkem kurýr")</f>
        <v>Celkem kurýr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91">
        <f>IFERROR(__xludf.DUMMYFUNCTION("""COMPUTED_VALUE"""),0.0)</f>
        <v>0</v>
      </c>
      <c r="W195" s="191">
        <f>IFERROR(__xludf.DUMMYFUNCTION("""COMPUTED_VALUE"""),0.0)</f>
        <v>0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>
      <c r="A196" s="6"/>
      <c r="B196" s="6"/>
      <c r="C196" s="6"/>
      <c r="D196" s="6" t="str">
        <f>IFERROR(__xludf.DUMMYFUNCTION("""COMPUTED_VALUE"""),"Celkem inst + kurýr")</f>
        <v>Celkem inst + kurýr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191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191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191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191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191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191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191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191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191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191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191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191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191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191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191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191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191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191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191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191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191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191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191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191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191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191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191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191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191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191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191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191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191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191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191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191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191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191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191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191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19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191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191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191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191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191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191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191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191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191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191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191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191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191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191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191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191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191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191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191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191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191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191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191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191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191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191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191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191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191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191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191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191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191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191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191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191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191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191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191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191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191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191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191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191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191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191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191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191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191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191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191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191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191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191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191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191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191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191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191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191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191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191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191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191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191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191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191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191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191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191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191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191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191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191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191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191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191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191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191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191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191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191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191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191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191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191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191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191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191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191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191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191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191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191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191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191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191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191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191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191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191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191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191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191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191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191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191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191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191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191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191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191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191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191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191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191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191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191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191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191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191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191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191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191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191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191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191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191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191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191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191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191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191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191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191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191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191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191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191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191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191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191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191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191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191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191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191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191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191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191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191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191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191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191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191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191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191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191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191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191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191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191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191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191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191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191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191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191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191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191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191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191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191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191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191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191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191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191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191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191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191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191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191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191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191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191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191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191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191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191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191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191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191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191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191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191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191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191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191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191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191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191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191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191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191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191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191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191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191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191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191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191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191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191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191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191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191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191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191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191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191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191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191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191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191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191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191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191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191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191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191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191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191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191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191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191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191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191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191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191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191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191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191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191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191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191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191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191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191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191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191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191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191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191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191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191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191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191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191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191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191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191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191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191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191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191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191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191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191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191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191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191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191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191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191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191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191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191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191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191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191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191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191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191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191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191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191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191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191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191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191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191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191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191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191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191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191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191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191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191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191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191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191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191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191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191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191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191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191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191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191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191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191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191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191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191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191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191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191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191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191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191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191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191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191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191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191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191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191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191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191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191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191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191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191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191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191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191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191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191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191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191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191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191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191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191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191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191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191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191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191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191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191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191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191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191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191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191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191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191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191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191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191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191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191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191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191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191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191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191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191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191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191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191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191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191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191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191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191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191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191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191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191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191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191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191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191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191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191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191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191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191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191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191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191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191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191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191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191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191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191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191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191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191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191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191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191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191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191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191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191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191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191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191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191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191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191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191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191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191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191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191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191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191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191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191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191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191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191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191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191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191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191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191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191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191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191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191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191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191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191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191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191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191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191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191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191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191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191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191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191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191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191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191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191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191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191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191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191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191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191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191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191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191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191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191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191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191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191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191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191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191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191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191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191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191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191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191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191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191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191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191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191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191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191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191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191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191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191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191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191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191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191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191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191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191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191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191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191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191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191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191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191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191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191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191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191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191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191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191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191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191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191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191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191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191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191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191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191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191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191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191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191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191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191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191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191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191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191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191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191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191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191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191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191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191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191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191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191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191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191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191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191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191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191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191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191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191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191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191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191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191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191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191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191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191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191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191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191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191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191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191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191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191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191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191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191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191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191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191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191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191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191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191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191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191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191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191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191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191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191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191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191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191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191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191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191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191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191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191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191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191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191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191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191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191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191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191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191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191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191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191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191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191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191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191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191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191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191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191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191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191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191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191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191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191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191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191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191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191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191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191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191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191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191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191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191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191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191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191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191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191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191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191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191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191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191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191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191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191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191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191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191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191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191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191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191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191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191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191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191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191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191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191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191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191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191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191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191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191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191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191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191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191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191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191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191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191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191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191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191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191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191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191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191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191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191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191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191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191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191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191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191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191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191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191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191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191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191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191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191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191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191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191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191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191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191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191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191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191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191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191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191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191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191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191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191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191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191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191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191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191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191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191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191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191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191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191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191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191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191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191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191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191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191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191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191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191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191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191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191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191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191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191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191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191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191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191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191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191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191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191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191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191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191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191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191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191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191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191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191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191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191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191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191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191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191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191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191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191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191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191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191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191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5"/>
    <col customWidth="1" min="3" max="6" width="18.13"/>
    <col customWidth="1" min="7" max="7" width="17.75"/>
    <col customWidth="1" min="8" max="28" width="18.13"/>
  </cols>
  <sheetData>
    <row r="1">
      <c r="A1" s="195" t="s">
        <v>1584</v>
      </c>
      <c r="B1" s="14"/>
      <c r="C1" s="14"/>
      <c r="D1" s="14"/>
      <c r="E1" s="14"/>
      <c r="F1" s="14"/>
      <c r="G1" s="14"/>
      <c r="H1" s="15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</row>
    <row r="2">
      <c r="A2" s="1" t="s">
        <v>1585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</row>
    <row r="3">
      <c r="A3" s="1" t="s">
        <v>1586</v>
      </c>
      <c r="B3" s="1" t="s">
        <v>1587</v>
      </c>
      <c r="C3" s="1" t="s">
        <v>1587</v>
      </c>
      <c r="D3" s="187"/>
      <c r="E3" s="1" t="s">
        <v>1587</v>
      </c>
      <c r="F3" s="1" t="s">
        <v>1588</v>
      </c>
      <c r="G3" s="187"/>
      <c r="H3" s="1" t="s">
        <v>1589</v>
      </c>
    </row>
    <row r="4">
      <c r="A4" s="1" t="s">
        <v>1490</v>
      </c>
      <c r="B4" s="1" t="s">
        <v>1590</v>
      </c>
      <c r="C4" s="187"/>
      <c r="D4" s="1" t="s">
        <v>1590</v>
      </c>
      <c r="E4" s="1" t="s">
        <v>1590</v>
      </c>
      <c r="F4" s="1" t="s">
        <v>1587</v>
      </c>
      <c r="G4" s="1" t="s">
        <v>1591</v>
      </c>
      <c r="H4" s="1" t="s">
        <v>1589</v>
      </c>
      <c r="K4" s="187"/>
      <c r="L4" s="187"/>
      <c r="M4" s="187"/>
      <c r="O4" s="187"/>
      <c r="P4" s="187"/>
      <c r="Q4" s="187"/>
      <c r="S4" s="187"/>
      <c r="T4" s="187"/>
      <c r="U4" s="187"/>
      <c r="V4" s="187"/>
      <c r="Y4" s="187"/>
      <c r="Z4" s="187"/>
      <c r="AB4" s="1"/>
    </row>
    <row r="5">
      <c r="A5" s="1" t="s">
        <v>1578</v>
      </c>
      <c r="B5" s="1" t="s">
        <v>1592</v>
      </c>
      <c r="C5" s="187"/>
      <c r="D5" s="1" t="s">
        <v>1592</v>
      </c>
      <c r="E5" s="187"/>
      <c r="F5" s="187"/>
      <c r="G5" s="187"/>
      <c r="H5" s="187"/>
      <c r="K5" s="187"/>
      <c r="L5" s="187"/>
      <c r="M5" s="187"/>
      <c r="N5" s="187"/>
      <c r="O5" s="187"/>
      <c r="P5" s="187"/>
      <c r="Q5" s="187"/>
      <c r="S5" s="187"/>
      <c r="T5" s="187"/>
      <c r="U5" s="187"/>
      <c r="V5" s="187"/>
      <c r="W5" s="187"/>
      <c r="X5" s="187"/>
      <c r="Y5" s="187"/>
      <c r="Z5" s="187"/>
      <c r="AB5" s="1"/>
    </row>
    <row r="6">
      <c r="A6" s="1" t="s">
        <v>1531</v>
      </c>
      <c r="B6" s="1" t="s">
        <v>1593</v>
      </c>
      <c r="C6" s="187"/>
      <c r="D6" s="187"/>
      <c r="E6" s="187"/>
      <c r="F6" s="1" t="s">
        <v>1593</v>
      </c>
      <c r="G6" s="187"/>
      <c r="H6" s="187"/>
      <c r="K6" s="187"/>
      <c r="L6" s="187"/>
      <c r="M6" s="187"/>
      <c r="N6" s="187"/>
      <c r="O6" s="187"/>
      <c r="P6" s="187"/>
      <c r="Q6" s="187"/>
      <c r="S6" s="187"/>
      <c r="T6" s="187"/>
      <c r="U6" s="187"/>
      <c r="V6" s="187"/>
      <c r="W6" s="187"/>
      <c r="X6" s="187"/>
      <c r="Y6" s="187"/>
      <c r="Z6" s="187"/>
      <c r="AB6" s="1"/>
    </row>
    <row r="7">
      <c r="A7" s="1" t="s">
        <v>1575</v>
      </c>
      <c r="B7" s="187"/>
      <c r="C7" s="1" t="s">
        <v>1590</v>
      </c>
      <c r="D7" s="1" t="s">
        <v>1587</v>
      </c>
      <c r="E7" s="187"/>
      <c r="F7" s="1" t="s">
        <v>1591</v>
      </c>
      <c r="G7" s="187"/>
      <c r="H7" s="1" t="s">
        <v>1587</v>
      </c>
      <c r="I7" s="187"/>
      <c r="K7" s="187"/>
      <c r="L7" s="187"/>
      <c r="M7" s="187"/>
      <c r="O7" s="187"/>
      <c r="P7" s="187"/>
      <c r="Q7" s="187"/>
      <c r="T7" s="187"/>
      <c r="U7" s="187"/>
      <c r="V7" s="187"/>
      <c r="W7" s="187"/>
      <c r="X7" s="187"/>
      <c r="Y7" s="187"/>
      <c r="Z7" s="187"/>
      <c r="AB7" s="1"/>
    </row>
    <row r="8">
      <c r="A8" s="1" t="s">
        <v>1594</v>
      </c>
      <c r="B8" s="187"/>
      <c r="C8" s="1" t="s">
        <v>1595</v>
      </c>
      <c r="D8" s="187"/>
      <c r="E8" s="187"/>
      <c r="F8" s="187"/>
      <c r="G8" s="1" t="s">
        <v>1596</v>
      </c>
      <c r="H8" s="187"/>
      <c r="K8" s="187"/>
      <c r="L8" s="187"/>
      <c r="M8" s="187"/>
      <c r="N8" s="187"/>
      <c r="O8" s="187"/>
      <c r="P8" s="187"/>
      <c r="Q8" s="187"/>
      <c r="S8" s="187"/>
      <c r="T8" s="187"/>
      <c r="U8" s="187"/>
      <c r="V8" s="187"/>
      <c r="W8" s="187"/>
      <c r="X8" s="187"/>
      <c r="Y8" s="187"/>
      <c r="Z8" s="187"/>
      <c r="AB8" s="1"/>
    </row>
    <row r="9">
      <c r="A9" s="1" t="s">
        <v>1597</v>
      </c>
      <c r="B9" s="187"/>
      <c r="C9" s="1" t="s">
        <v>1598</v>
      </c>
      <c r="D9" s="187"/>
      <c r="E9" s="187"/>
      <c r="F9" s="187"/>
      <c r="G9" s="187"/>
      <c r="H9" s="187"/>
      <c r="K9" s="187"/>
      <c r="L9" s="187"/>
      <c r="M9" s="187"/>
      <c r="O9" s="187"/>
      <c r="P9" s="187"/>
      <c r="Q9" s="187"/>
      <c r="S9" s="187"/>
      <c r="T9" s="187"/>
      <c r="U9" s="187"/>
      <c r="V9" s="187"/>
      <c r="W9" s="187"/>
      <c r="X9" s="187"/>
      <c r="Y9" s="187"/>
      <c r="Z9" s="187"/>
      <c r="AB9" s="1"/>
    </row>
    <row r="10">
      <c r="A10" s="1" t="s">
        <v>1599</v>
      </c>
      <c r="B10" s="187"/>
      <c r="C10" s="187"/>
      <c r="D10" s="187"/>
      <c r="E10" s="1" t="s">
        <v>1600</v>
      </c>
      <c r="F10" s="1" t="s">
        <v>1596</v>
      </c>
      <c r="G10" s="187"/>
      <c r="H10" s="1" t="s">
        <v>1595</v>
      </c>
      <c r="I10" s="187"/>
      <c r="K10" s="187"/>
      <c r="L10" s="187"/>
      <c r="M10" s="187"/>
      <c r="N10" s="187"/>
      <c r="O10" s="187"/>
      <c r="P10" s="187"/>
      <c r="Q10" s="187"/>
      <c r="S10" s="187"/>
      <c r="T10" s="187"/>
      <c r="U10" s="187"/>
      <c r="V10" s="187"/>
      <c r="W10" s="187"/>
      <c r="X10" s="187"/>
      <c r="Y10" s="187"/>
      <c r="Z10" s="187"/>
      <c r="AB10" s="1"/>
    </row>
    <row r="11">
      <c r="A11" s="1" t="s">
        <v>1601</v>
      </c>
      <c r="B11" s="187"/>
      <c r="C11" s="187"/>
      <c r="D11" s="187"/>
      <c r="E11" s="1" t="s">
        <v>1602</v>
      </c>
      <c r="F11" s="187"/>
      <c r="G11" s="187"/>
      <c r="H11" s="1" t="s">
        <v>1596</v>
      </c>
      <c r="K11" s="187"/>
      <c r="L11" s="187"/>
      <c r="M11" s="187"/>
      <c r="O11" s="187"/>
      <c r="P11" s="187"/>
      <c r="Q11" s="187"/>
      <c r="S11" s="187"/>
      <c r="T11" s="187"/>
      <c r="U11" s="187"/>
      <c r="V11" s="187"/>
      <c r="W11" s="187"/>
      <c r="X11" s="187"/>
      <c r="Y11" s="187"/>
      <c r="Z11" s="187"/>
      <c r="AB11" s="1"/>
    </row>
    <row r="12">
      <c r="A12" s="1" t="s">
        <v>1569</v>
      </c>
      <c r="B12" s="187"/>
      <c r="D12" s="187"/>
      <c r="E12" s="187"/>
      <c r="F12" s="1" t="s">
        <v>1595</v>
      </c>
      <c r="G12" s="1" t="s">
        <v>1603</v>
      </c>
      <c r="H12" s="187"/>
      <c r="K12" s="187"/>
      <c r="L12" s="187"/>
      <c r="M12" s="187"/>
      <c r="N12" s="187"/>
      <c r="O12" s="187"/>
      <c r="P12" s="187"/>
      <c r="Q12" s="187"/>
      <c r="S12" s="187"/>
      <c r="T12" s="187"/>
      <c r="U12" s="187"/>
      <c r="V12" s="187"/>
      <c r="W12" s="187"/>
      <c r="X12" s="187"/>
      <c r="Y12" s="187"/>
      <c r="Z12" s="187"/>
      <c r="AB12" s="1"/>
    </row>
    <row r="13">
      <c r="A13" s="1" t="s">
        <v>1479</v>
      </c>
      <c r="B13" s="187"/>
      <c r="E13" s="187"/>
      <c r="F13" s="187"/>
      <c r="G13" s="1" t="s">
        <v>1604</v>
      </c>
      <c r="H13" s="187"/>
      <c r="K13" s="187"/>
      <c r="L13" s="187"/>
      <c r="M13" s="187"/>
      <c r="N13" s="187"/>
      <c r="O13" s="187"/>
      <c r="P13" s="187"/>
      <c r="Q13" s="187"/>
      <c r="S13" s="187"/>
      <c r="T13" s="187"/>
      <c r="U13" s="187"/>
      <c r="V13" s="187"/>
      <c r="W13" s="187"/>
      <c r="X13" s="187"/>
      <c r="Y13" s="187"/>
      <c r="Z13" s="187"/>
      <c r="AB13" s="1"/>
    </row>
    <row r="14">
      <c r="A14" s="187"/>
      <c r="F14" s="187"/>
      <c r="G14" s="187"/>
      <c r="H14" s="187"/>
      <c r="K14" s="187"/>
      <c r="L14" s="187"/>
      <c r="M14" s="187"/>
      <c r="O14" s="187"/>
      <c r="P14" s="187"/>
      <c r="Q14" s="187"/>
      <c r="S14" s="187"/>
      <c r="T14" s="187"/>
      <c r="U14" s="187"/>
      <c r="V14" s="187"/>
      <c r="W14" s="187"/>
      <c r="X14" s="187"/>
      <c r="Y14" s="187"/>
      <c r="Z14" s="187"/>
      <c r="AB14" s="1"/>
    </row>
    <row r="15">
      <c r="A15" s="187"/>
      <c r="F15" s="187"/>
      <c r="G15" s="187"/>
      <c r="H15" s="187"/>
      <c r="K15" s="187"/>
      <c r="L15" s="187"/>
      <c r="M15" s="187"/>
      <c r="O15" s="187"/>
      <c r="P15" s="187"/>
      <c r="Q15" s="187"/>
      <c r="S15" s="187"/>
      <c r="T15" s="187"/>
      <c r="U15" s="187"/>
      <c r="V15" s="187"/>
      <c r="W15" s="187"/>
      <c r="X15" s="187"/>
      <c r="Y15" s="187"/>
      <c r="Z15" s="187"/>
      <c r="AB15" s="1"/>
    </row>
    <row r="16">
      <c r="A16" s="187"/>
      <c r="F16" s="187"/>
      <c r="G16" s="187"/>
      <c r="H16" s="187"/>
      <c r="K16" s="187"/>
      <c r="L16" s="187"/>
      <c r="M16" s="187"/>
      <c r="N16" s="187"/>
      <c r="O16" s="187"/>
      <c r="P16" s="187"/>
      <c r="Q16" s="187"/>
      <c r="T16" s="187"/>
      <c r="U16" s="187"/>
      <c r="V16" s="187"/>
      <c r="W16" s="187"/>
      <c r="X16" s="187"/>
      <c r="Y16" s="187"/>
      <c r="Z16" s="187"/>
      <c r="AB16" s="1"/>
    </row>
    <row r="17">
      <c r="A17" s="187"/>
      <c r="H17" s="187"/>
      <c r="K17" s="187"/>
      <c r="L17" s="187"/>
      <c r="M17" s="187"/>
      <c r="N17" s="187"/>
      <c r="O17" s="187"/>
      <c r="P17" s="187"/>
      <c r="Q17" s="187"/>
      <c r="T17" s="187"/>
      <c r="U17" s="187"/>
      <c r="V17" s="187"/>
      <c r="W17" s="187"/>
      <c r="X17" s="187"/>
      <c r="Y17" s="187"/>
      <c r="Z17" s="187"/>
      <c r="AB17" s="1"/>
    </row>
    <row r="18">
      <c r="K18" s="187"/>
      <c r="L18" s="187"/>
      <c r="M18" s="187"/>
      <c r="N18" s="187"/>
      <c r="O18" s="187"/>
      <c r="P18" s="187"/>
      <c r="Q18" s="187"/>
      <c r="S18" s="187"/>
      <c r="T18" s="187"/>
      <c r="U18" s="187"/>
      <c r="V18" s="187"/>
      <c r="W18" s="187"/>
      <c r="X18" s="187"/>
      <c r="Y18" s="187"/>
      <c r="Z18" s="187"/>
      <c r="AB18" s="1"/>
    </row>
    <row r="19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O19" s="187"/>
      <c r="P19" s="187"/>
      <c r="Q19" s="187"/>
      <c r="S19" s="187"/>
      <c r="T19" s="187"/>
      <c r="U19" s="187"/>
      <c r="V19" s="187"/>
      <c r="W19" s="187"/>
      <c r="X19" s="187"/>
      <c r="Y19" s="187"/>
      <c r="Z19" s="187"/>
      <c r="AB19" s="1"/>
    </row>
    <row r="20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"/>
      <c r="AB20" s="1"/>
    </row>
    <row r="21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O21" s="187"/>
      <c r="P21" s="187"/>
      <c r="Q21" s="187"/>
      <c r="S21" s="187"/>
      <c r="T21" s="187"/>
      <c r="U21" s="187"/>
      <c r="V21" s="187"/>
      <c r="W21" s="187"/>
      <c r="X21" s="187"/>
      <c r="Y21" s="187"/>
      <c r="Z21" s="187"/>
      <c r="AB21" s="1">
        <v>0.0</v>
      </c>
    </row>
    <row r="22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O22" s="187"/>
      <c r="P22" s="187"/>
      <c r="Q22" s="187"/>
      <c r="S22" s="187"/>
      <c r="T22" s="187"/>
      <c r="U22" s="187"/>
      <c r="V22" s="187"/>
      <c r="W22" s="187"/>
      <c r="X22" s="187"/>
      <c r="Y22" s="187"/>
      <c r="Z22" s="187"/>
      <c r="AB22" s="1"/>
    </row>
    <row r="23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T23" s="187"/>
      <c r="U23" s="187"/>
      <c r="V23" s="187"/>
      <c r="W23" s="187"/>
      <c r="X23" s="187"/>
      <c r="Y23" s="187"/>
      <c r="Z23" s="187"/>
      <c r="AB23" s="1"/>
    </row>
    <row r="24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O24" s="187"/>
      <c r="P24" s="187"/>
      <c r="Q24" s="187"/>
      <c r="S24" s="187"/>
      <c r="T24" s="187"/>
      <c r="U24" s="187"/>
      <c r="V24" s="187"/>
      <c r="W24" s="187"/>
      <c r="X24" s="187"/>
      <c r="Y24" s="187"/>
      <c r="Z24" s="187"/>
      <c r="AB24" s="1"/>
    </row>
    <row r="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O25" s="187"/>
      <c r="P25" s="187"/>
      <c r="Q25" s="187"/>
      <c r="S25" s="187"/>
      <c r="T25" s="187"/>
      <c r="U25" s="187"/>
      <c r="V25" s="187"/>
      <c r="W25" s="187"/>
      <c r="X25" s="187"/>
      <c r="Y25" s="187"/>
      <c r="Z25" s="187"/>
      <c r="AB25" s="1"/>
    </row>
    <row r="26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O26" s="187"/>
      <c r="P26" s="187"/>
      <c r="Q26" s="187"/>
      <c r="S26" s="187"/>
      <c r="T26" s="187"/>
      <c r="U26" s="187"/>
      <c r="V26" s="187"/>
      <c r="W26" s="187"/>
      <c r="X26" s="187"/>
      <c r="Y26" s="187"/>
      <c r="Z26" s="187"/>
      <c r="AB26" s="1"/>
    </row>
    <row r="27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O27" s="187"/>
      <c r="P27" s="187"/>
      <c r="Q27" s="187"/>
      <c r="S27" s="187"/>
      <c r="T27" s="187"/>
      <c r="U27" s="187"/>
      <c r="V27" s="187"/>
      <c r="W27" s="187"/>
      <c r="X27" s="187"/>
      <c r="Y27" s="187"/>
      <c r="Z27" s="187"/>
      <c r="AB27" s="1">
        <v>0.0</v>
      </c>
    </row>
    <row r="28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S28" s="187"/>
      <c r="T28" s="187"/>
      <c r="U28" s="187"/>
      <c r="V28" s="187"/>
      <c r="W28" s="187"/>
      <c r="X28" s="187"/>
      <c r="Y28" s="187"/>
      <c r="Z28" s="187"/>
      <c r="AB28" s="1"/>
    </row>
    <row r="29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O29" s="187"/>
      <c r="P29" s="187"/>
      <c r="Q29" s="187"/>
      <c r="S29" s="187"/>
      <c r="T29" s="187"/>
      <c r="U29" s="187"/>
      <c r="V29" s="187"/>
      <c r="W29" s="187"/>
      <c r="X29" s="187"/>
      <c r="Y29" s="187"/>
      <c r="Z29" s="187"/>
      <c r="AB29" s="1"/>
    </row>
    <row r="30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O30" s="187"/>
      <c r="P30" s="187"/>
      <c r="Q30" s="187"/>
      <c r="S30" s="187"/>
      <c r="T30" s="187"/>
      <c r="U30" s="187"/>
      <c r="V30" s="187"/>
      <c r="W30" s="187"/>
      <c r="X30" s="187"/>
      <c r="Y30" s="187"/>
      <c r="Z30" s="187"/>
      <c r="AB30" s="1">
        <v>0.0</v>
      </c>
    </row>
    <row r="31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"/>
      <c r="AB31" s="1"/>
    </row>
    <row r="32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T32" s="187"/>
      <c r="U32" s="187"/>
      <c r="V32" s="187"/>
      <c r="W32" s="187"/>
      <c r="X32" s="187"/>
      <c r="Y32" s="187"/>
      <c r="Z32" s="187"/>
      <c r="AB32" s="1"/>
    </row>
    <row r="3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O33" s="187"/>
      <c r="P33" s="187"/>
      <c r="Q33" s="187"/>
      <c r="S33" s="187"/>
      <c r="T33" s="187"/>
      <c r="U33" s="187"/>
      <c r="V33" s="187"/>
      <c r="W33" s="187"/>
      <c r="X33" s="187"/>
      <c r="Y33" s="187"/>
      <c r="Z33" s="187"/>
      <c r="AB33" s="1"/>
    </row>
    <row r="34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T34" s="187"/>
      <c r="U34" s="187"/>
      <c r="V34" s="187"/>
      <c r="W34" s="187"/>
      <c r="X34" s="187"/>
      <c r="Y34" s="187"/>
      <c r="Z34" s="187"/>
      <c r="AB34" s="1"/>
    </row>
    <row r="3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"/>
      <c r="AB35" s="1"/>
    </row>
    <row r="36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O36" s="187"/>
      <c r="P36" s="187"/>
      <c r="Q36" s="187"/>
      <c r="S36" s="187"/>
      <c r="T36" s="187"/>
      <c r="U36" s="187"/>
      <c r="V36" s="187"/>
      <c r="W36" s="187"/>
      <c r="X36" s="187"/>
      <c r="Y36" s="187"/>
      <c r="Z36" s="187"/>
      <c r="AB36" s="1"/>
    </row>
    <row r="37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O37" s="187"/>
      <c r="P37" s="187"/>
      <c r="Q37" s="187"/>
      <c r="S37" s="187"/>
      <c r="T37" s="187"/>
      <c r="U37" s="187"/>
      <c r="V37" s="187"/>
      <c r="Y37" s="187"/>
      <c r="Z37" s="187"/>
      <c r="AB37" s="1">
        <v>0.0</v>
      </c>
    </row>
    <row r="38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O38" s="187"/>
      <c r="P38" s="187"/>
      <c r="Q38" s="187"/>
      <c r="S38" s="187"/>
      <c r="T38" s="187"/>
      <c r="U38" s="187"/>
      <c r="V38" s="187"/>
      <c r="W38" s="187"/>
      <c r="X38" s="187"/>
      <c r="Y38" s="187"/>
      <c r="Z38" s="187"/>
      <c r="AB38" s="1"/>
    </row>
    <row r="39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"/>
      <c r="AB39" s="1"/>
    </row>
    <row r="40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"/>
      <c r="AB40" s="1"/>
    </row>
    <row r="4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O41" s="187"/>
      <c r="P41" s="187"/>
      <c r="Q41" s="187"/>
      <c r="S41" s="187"/>
      <c r="T41" s="187"/>
      <c r="U41" s="187"/>
      <c r="V41" s="187"/>
      <c r="W41" s="187"/>
      <c r="X41" s="187"/>
      <c r="Y41" s="187"/>
      <c r="Z41" s="187"/>
      <c r="AB41" s="1"/>
    </row>
    <row r="42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O42" s="187"/>
      <c r="P42" s="187"/>
      <c r="Q42" s="187"/>
      <c r="S42" s="187"/>
      <c r="T42" s="187"/>
      <c r="U42" s="187"/>
      <c r="V42" s="187"/>
      <c r="W42" s="187"/>
      <c r="X42" s="187"/>
      <c r="Y42" s="187"/>
      <c r="Z42" s="187"/>
      <c r="AB42" s="1"/>
    </row>
    <row r="43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"/>
      <c r="AB43" s="1"/>
    </row>
    <row r="44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T44" s="187"/>
      <c r="U44" s="187"/>
      <c r="V44" s="187"/>
      <c r="W44" s="187"/>
      <c r="X44" s="187"/>
      <c r="Y44" s="187"/>
      <c r="Z44" s="187"/>
      <c r="AB44" s="1"/>
    </row>
    <row r="4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O45" s="187"/>
      <c r="P45" s="187"/>
      <c r="Q45" s="187"/>
      <c r="S45" s="187"/>
      <c r="T45" s="187"/>
      <c r="U45" s="187"/>
      <c r="V45" s="187"/>
      <c r="W45" s="187"/>
      <c r="X45" s="187"/>
      <c r="Y45" s="187"/>
      <c r="Z45" s="187"/>
      <c r="AB45" s="1"/>
    </row>
    <row r="46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O46" s="187"/>
      <c r="P46" s="187"/>
      <c r="Q46" s="187"/>
      <c r="S46" s="187"/>
      <c r="T46" s="187"/>
      <c r="U46" s="187"/>
      <c r="V46" s="187"/>
      <c r="W46" s="187"/>
      <c r="X46" s="187"/>
      <c r="Y46" s="187"/>
      <c r="Z46" s="187"/>
      <c r="AB46" s="1">
        <v>0.0</v>
      </c>
    </row>
    <row r="47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T47" s="187"/>
      <c r="U47" s="187"/>
      <c r="V47" s="187"/>
      <c r="W47" s="187"/>
      <c r="X47" s="187"/>
      <c r="Y47" s="187"/>
      <c r="Z47" s="187"/>
      <c r="AB47" s="1"/>
    </row>
    <row r="48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O48" s="187"/>
      <c r="P48" s="187"/>
      <c r="Q48" s="187"/>
      <c r="S48" s="187"/>
      <c r="T48" s="187"/>
      <c r="U48" s="187"/>
      <c r="V48" s="187"/>
      <c r="W48" s="187"/>
      <c r="X48" s="187"/>
      <c r="Y48" s="187"/>
      <c r="Z48" s="187"/>
      <c r="AB48" s="1">
        <v>0.0</v>
      </c>
    </row>
    <row r="49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"/>
      <c r="AB49" s="1"/>
    </row>
    <row r="50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T50" s="187"/>
      <c r="U50" s="187"/>
      <c r="V50" s="187"/>
      <c r="W50" s="187"/>
      <c r="X50" s="187"/>
      <c r="Y50" s="187"/>
      <c r="Z50" s="187"/>
      <c r="AB50" s="1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O51" s="187"/>
      <c r="P51" s="187"/>
      <c r="Q51" s="187"/>
      <c r="S51" s="187"/>
      <c r="T51" s="187"/>
      <c r="U51" s="187"/>
      <c r="V51" s="187"/>
      <c r="W51" s="187"/>
      <c r="X51" s="187"/>
      <c r="Y51" s="187"/>
      <c r="Z51" s="187"/>
      <c r="AB51" s="1">
        <v>0.0</v>
      </c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O52" s="187"/>
      <c r="P52" s="187"/>
      <c r="Q52" s="187"/>
      <c r="S52" s="187"/>
      <c r="T52" s="187"/>
      <c r="U52" s="187"/>
      <c r="V52" s="187"/>
      <c r="W52" s="187"/>
      <c r="X52" s="187"/>
      <c r="Y52" s="187"/>
      <c r="Z52" s="187"/>
      <c r="AB52" s="1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"/>
      <c r="AB53" s="1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O54" s="187"/>
      <c r="P54" s="187"/>
      <c r="Q54" s="187"/>
      <c r="S54" s="187"/>
      <c r="T54" s="187"/>
      <c r="U54" s="187"/>
      <c r="V54" s="187"/>
      <c r="W54" s="187"/>
      <c r="X54" s="187"/>
      <c r="Y54" s="187"/>
      <c r="Z54" s="187"/>
      <c r="AB54" s="1">
        <v>0.0</v>
      </c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O55" s="187"/>
      <c r="P55" s="187"/>
      <c r="Q55" s="187"/>
      <c r="S55" s="187"/>
      <c r="T55" s="187"/>
      <c r="U55" s="187"/>
      <c r="V55" s="187"/>
      <c r="W55" s="187"/>
      <c r="X55" s="187"/>
      <c r="Y55" s="187"/>
      <c r="Z55" s="187"/>
      <c r="AB55" s="1">
        <v>0.0</v>
      </c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T56" s="187"/>
      <c r="U56" s="187"/>
      <c r="V56" s="187"/>
      <c r="W56" s="187"/>
      <c r="X56" s="187"/>
      <c r="Y56" s="187"/>
      <c r="Z56" s="187"/>
      <c r="AB56" s="1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T57" s="187"/>
      <c r="U57" s="187"/>
      <c r="V57" s="187"/>
      <c r="W57" s="187"/>
      <c r="X57" s="187"/>
      <c r="Y57" s="187"/>
      <c r="Z57" s="187"/>
      <c r="AB57" s="1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T58" s="187"/>
      <c r="U58" s="187"/>
      <c r="V58" s="187"/>
      <c r="W58" s="187"/>
      <c r="X58" s="187"/>
      <c r="Y58" s="187"/>
      <c r="Z58" s="187"/>
      <c r="AB58" s="1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O59" s="187"/>
      <c r="P59" s="187"/>
      <c r="Q59" s="187"/>
      <c r="S59" s="187"/>
      <c r="T59" s="187"/>
      <c r="U59" s="187"/>
      <c r="V59" s="187"/>
      <c r="W59" s="187"/>
      <c r="X59" s="187"/>
      <c r="Y59" s="187"/>
      <c r="Z59" s="187"/>
      <c r="AB59" s="1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"/>
      <c r="AB60" s="1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T61" s="187"/>
      <c r="U61" s="187"/>
      <c r="V61" s="187"/>
      <c r="W61" s="187"/>
      <c r="X61" s="187"/>
      <c r="Y61" s="187"/>
      <c r="Z61" s="187"/>
      <c r="AB61" s="1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O62" s="187"/>
      <c r="P62" s="187"/>
      <c r="Q62" s="187"/>
      <c r="S62" s="187"/>
      <c r="T62" s="187"/>
      <c r="U62" s="187"/>
      <c r="V62" s="187"/>
      <c r="W62" s="187"/>
      <c r="X62" s="187"/>
      <c r="Y62" s="187"/>
      <c r="Z62" s="187"/>
      <c r="AB62" s="1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T63" s="187"/>
      <c r="U63" s="187"/>
      <c r="V63" s="187"/>
      <c r="W63" s="187"/>
      <c r="X63" s="187"/>
      <c r="Y63" s="187"/>
      <c r="Z63" s="187"/>
      <c r="AB63" s="1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"/>
      <c r="AB64" s="1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O65" s="187"/>
      <c r="P65" s="187"/>
      <c r="Q65" s="187"/>
      <c r="S65" s="187"/>
      <c r="T65" s="187"/>
      <c r="U65" s="187"/>
      <c r="V65" s="187"/>
      <c r="W65" s="187"/>
      <c r="X65" s="187"/>
      <c r="Y65" s="187"/>
      <c r="Z65" s="187"/>
      <c r="AB65" s="1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T66" s="187"/>
      <c r="U66" s="187"/>
      <c r="V66" s="187"/>
      <c r="W66" s="187"/>
      <c r="X66" s="187"/>
      <c r="Y66" s="187"/>
      <c r="Z66" s="187"/>
      <c r="AB66" s="1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T67" s="187"/>
      <c r="U67" s="187"/>
      <c r="V67" s="187"/>
      <c r="W67" s="187"/>
      <c r="X67" s="187"/>
      <c r="Y67" s="187"/>
      <c r="Z67" s="187"/>
      <c r="AB67" s="1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O68" s="187"/>
      <c r="P68" s="187"/>
      <c r="Q68" s="187"/>
      <c r="S68" s="187"/>
      <c r="T68" s="187"/>
      <c r="U68" s="187"/>
      <c r="V68" s="187"/>
      <c r="W68" s="187"/>
      <c r="X68" s="187"/>
      <c r="Y68" s="187"/>
      <c r="Z68" s="187"/>
      <c r="AB68" s="1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O69" s="187"/>
      <c r="P69" s="187"/>
      <c r="Q69" s="187"/>
      <c r="S69" s="187"/>
      <c r="T69" s="187"/>
      <c r="U69" s="187"/>
      <c r="V69" s="187"/>
      <c r="W69" s="187"/>
      <c r="X69" s="187"/>
      <c r="Y69" s="187"/>
      <c r="Z69" s="187"/>
      <c r="AB69" s="1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O70" s="187"/>
      <c r="P70" s="187"/>
      <c r="Q70" s="187"/>
      <c r="S70" s="187"/>
      <c r="T70" s="187"/>
      <c r="U70" s="187"/>
      <c r="V70" s="187"/>
      <c r="W70" s="187"/>
      <c r="X70" s="187"/>
      <c r="Y70" s="187"/>
      <c r="Z70" s="187"/>
      <c r="AB70" s="1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"/>
      <c r="AB71" s="1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O72" s="187"/>
      <c r="P72" s="187"/>
      <c r="Q72" s="187"/>
      <c r="S72" s="187"/>
      <c r="T72" s="187"/>
      <c r="U72" s="187"/>
      <c r="V72" s="187"/>
      <c r="W72" s="187"/>
      <c r="X72" s="187"/>
      <c r="Y72" s="187"/>
      <c r="Z72" s="187"/>
      <c r="AB72" s="1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O73" s="187"/>
      <c r="P73" s="187"/>
      <c r="Q73" s="187"/>
      <c r="S73" s="187"/>
      <c r="T73" s="187"/>
      <c r="U73" s="187"/>
      <c r="V73" s="187"/>
      <c r="W73" s="187"/>
      <c r="X73" s="187"/>
      <c r="Y73" s="187"/>
      <c r="Z73" s="187"/>
      <c r="AB73" s="1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O74" s="187"/>
      <c r="P74" s="187"/>
      <c r="Q74" s="187"/>
      <c r="S74" s="187"/>
      <c r="T74" s="187"/>
      <c r="U74" s="187"/>
      <c r="V74" s="187"/>
      <c r="W74" s="187"/>
      <c r="X74" s="187"/>
      <c r="Y74" s="187"/>
      <c r="Z74" s="187"/>
      <c r="AB74" s="1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O75" s="187"/>
      <c r="P75" s="187"/>
      <c r="Q75" s="187"/>
      <c r="S75" s="187"/>
      <c r="T75" s="187"/>
      <c r="U75" s="187"/>
      <c r="V75" s="187"/>
      <c r="W75" s="187"/>
      <c r="X75" s="187"/>
      <c r="Y75" s="187"/>
      <c r="Z75" s="187"/>
      <c r="AB75" s="1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T76" s="187"/>
      <c r="U76" s="187"/>
      <c r="V76" s="187"/>
      <c r="W76" s="187"/>
      <c r="X76" s="187"/>
      <c r="Y76" s="187"/>
      <c r="Z76" s="187"/>
      <c r="AB76" s="1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O77" s="187"/>
      <c r="P77" s="187"/>
      <c r="Q77" s="187"/>
      <c r="S77" s="187"/>
      <c r="T77" s="187"/>
      <c r="U77" s="187"/>
      <c r="V77" s="187"/>
      <c r="W77" s="187"/>
      <c r="X77" s="187"/>
      <c r="Y77" s="187"/>
      <c r="Z77" s="187"/>
      <c r="AB77" s="1">
        <v>0.0</v>
      </c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T78" s="187"/>
      <c r="U78" s="187"/>
      <c r="V78" s="187"/>
      <c r="W78" s="187"/>
      <c r="X78" s="187"/>
      <c r="Y78" s="187"/>
      <c r="Z78" s="187"/>
      <c r="AB78" s="1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O79" s="187"/>
      <c r="P79" s="187"/>
      <c r="Q79" s="187"/>
      <c r="S79" s="187"/>
      <c r="T79" s="187"/>
      <c r="U79" s="187"/>
      <c r="V79" s="187"/>
      <c r="W79" s="187"/>
      <c r="X79" s="187"/>
      <c r="Y79" s="187"/>
      <c r="Z79" s="187"/>
      <c r="AB79" s="1">
        <v>0.0</v>
      </c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T80" s="187"/>
      <c r="U80" s="187"/>
      <c r="V80" s="187"/>
      <c r="W80" s="187"/>
      <c r="X80" s="187"/>
      <c r="Y80" s="187"/>
      <c r="Z80" s="187"/>
      <c r="AB80" s="1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O81" s="187"/>
      <c r="P81" s="187"/>
      <c r="Q81" s="187"/>
      <c r="S81" s="187"/>
      <c r="T81" s="187"/>
      <c r="U81" s="187"/>
      <c r="V81" s="187"/>
      <c r="W81" s="187"/>
      <c r="X81" s="187"/>
      <c r="Y81" s="187"/>
      <c r="Z81" s="187"/>
      <c r="AB81" s="1">
        <v>0.0</v>
      </c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O82" s="187"/>
      <c r="P82" s="187"/>
      <c r="Q82" s="187"/>
      <c r="S82" s="187"/>
      <c r="T82" s="187"/>
      <c r="U82" s="187"/>
      <c r="V82" s="187"/>
      <c r="W82" s="187"/>
      <c r="X82" s="187"/>
      <c r="Y82" s="187"/>
      <c r="Z82" s="187"/>
      <c r="AB82" s="1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T83" s="187"/>
      <c r="U83" s="187"/>
      <c r="V83" s="187"/>
      <c r="W83" s="187"/>
      <c r="X83" s="187"/>
      <c r="Y83" s="187"/>
      <c r="Z83" s="187"/>
      <c r="AB83" s="1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O84" s="187"/>
      <c r="P84" s="187"/>
      <c r="Q84" s="187"/>
      <c r="S84" s="187"/>
      <c r="T84" s="187"/>
      <c r="U84" s="187"/>
      <c r="V84" s="187"/>
      <c r="W84" s="187"/>
      <c r="X84" s="187"/>
      <c r="Y84" s="187"/>
      <c r="Z84" s="187"/>
      <c r="AB84" s="1">
        <v>0.0</v>
      </c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O85" s="187"/>
      <c r="P85" s="187"/>
      <c r="Q85" s="187"/>
      <c r="S85" s="187"/>
      <c r="T85" s="187"/>
      <c r="U85" s="187"/>
      <c r="V85" s="187"/>
      <c r="W85" s="187"/>
      <c r="X85" s="187"/>
      <c r="Y85" s="187"/>
      <c r="Z85" s="187"/>
      <c r="AB85" s="1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O86" s="187"/>
      <c r="P86" s="187"/>
      <c r="Q86" s="187"/>
      <c r="S86" s="187"/>
      <c r="T86" s="187"/>
      <c r="U86" s="187"/>
      <c r="V86" s="187"/>
      <c r="W86" s="187"/>
      <c r="X86" s="187"/>
      <c r="Y86" s="187"/>
      <c r="Z86" s="187"/>
      <c r="AB86" s="1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"/>
      <c r="AB87" s="1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"/>
      <c r="AB88" s="1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"/>
      <c r="AB89" s="1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"/>
      <c r="AB90" s="1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S91" s="187"/>
      <c r="T91" s="187"/>
      <c r="U91" s="187"/>
      <c r="V91" s="187"/>
      <c r="W91" s="187"/>
      <c r="X91" s="187"/>
      <c r="Y91" s="187"/>
      <c r="Z91" s="187"/>
      <c r="AB91" s="1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O92" s="187"/>
      <c r="P92" s="187"/>
      <c r="Q92" s="187"/>
      <c r="S92" s="187"/>
      <c r="T92" s="187"/>
      <c r="U92" s="187"/>
      <c r="V92" s="187"/>
      <c r="W92" s="187"/>
      <c r="X92" s="187"/>
      <c r="Y92" s="187"/>
      <c r="Z92" s="187"/>
      <c r="AB92" s="1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"/>
      <c r="AB93" s="1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O94" s="187"/>
      <c r="P94" s="187"/>
      <c r="Q94" s="187"/>
      <c r="S94" s="187"/>
      <c r="T94" s="187"/>
      <c r="U94" s="187"/>
      <c r="V94" s="187"/>
      <c r="W94" s="187"/>
      <c r="X94" s="187"/>
      <c r="Y94" s="187"/>
      <c r="Z94" s="187"/>
      <c r="AB94" s="1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T95" s="187"/>
      <c r="U95" s="187"/>
      <c r="V95" s="187"/>
      <c r="W95" s="187"/>
      <c r="X95" s="187"/>
      <c r="Y95" s="187"/>
      <c r="Z95" s="187"/>
      <c r="AB95" s="1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T96" s="187"/>
      <c r="U96" s="187"/>
      <c r="V96" s="187"/>
      <c r="W96" s="187"/>
      <c r="X96" s="187"/>
      <c r="Y96" s="187"/>
      <c r="Z96" s="187"/>
      <c r="AB96" s="1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O97" s="187"/>
      <c r="P97" s="187"/>
      <c r="Q97" s="187"/>
      <c r="S97" s="187"/>
      <c r="T97" s="187"/>
      <c r="U97" s="187"/>
      <c r="V97" s="187"/>
      <c r="W97" s="187"/>
      <c r="X97" s="187"/>
      <c r="Y97" s="187"/>
      <c r="Z97" s="187"/>
      <c r="AB97" s="1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O98" s="187"/>
      <c r="P98" s="187"/>
      <c r="Q98" s="187"/>
      <c r="S98" s="187"/>
      <c r="T98" s="187"/>
      <c r="U98" s="187"/>
      <c r="V98" s="187"/>
      <c r="W98" s="187"/>
      <c r="X98" s="187"/>
      <c r="Y98" s="187"/>
      <c r="Z98" s="187"/>
      <c r="AB98" s="1">
        <v>0.0</v>
      </c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T99" s="187"/>
      <c r="U99" s="187"/>
      <c r="V99" s="187"/>
      <c r="W99" s="187"/>
      <c r="X99" s="187"/>
      <c r="Y99" s="187"/>
      <c r="Z99" s="187"/>
      <c r="AB99" s="1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O100" s="187"/>
      <c r="P100" s="187"/>
      <c r="Q100" s="187"/>
      <c r="S100" s="187"/>
      <c r="T100" s="187"/>
      <c r="U100" s="187"/>
      <c r="V100" s="187"/>
      <c r="W100" s="187"/>
      <c r="X100" s="187"/>
      <c r="Y100" s="187"/>
      <c r="Z100" s="187"/>
      <c r="AB100" s="1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T101" s="187"/>
      <c r="U101" s="187"/>
      <c r="V101" s="187"/>
      <c r="W101" s="187"/>
      <c r="X101" s="187"/>
      <c r="Y101" s="187"/>
      <c r="Z101" s="187"/>
      <c r="AB101" s="1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"/>
      <c r="AB102" s="1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"/>
      <c r="AB103" s="1"/>
    </row>
    <row r="104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O104" s="187"/>
      <c r="P104" s="187"/>
      <c r="Q104" s="187"/>
      <c r="S104" s="187"/>
      <c r="T104" s="187"/>
      <c r="U104" s="187"/>
      <c r="V104" s="187"/>
      <c r="W104" s="187"/>
      <c r="X104" s="187"/>
      <c r="Y104" s="187"/>
      <c r="Z104" s="187"/>
      <c r="AB104" s="1"/>
    </row>
    <row r="10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T105" s="187"/>
      <c r="U105" s="187"/>
      <c r="V105" s="187"/>
      <c r="W105" s="187"/>
      <c r="X105" s="187"/>
      <c r="Y105" s="187"/>
      <c r="Z105" s="187"/>
      <c r="AB105" s="1"/>
    </row>
    <row r="106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"/>
      <c r="AB106" s="1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O107" s="187"/>
      <c r="P107" s="187"/>
      <c r="Q107" s="187"/>
      <c r="S107" s="187"/>
      <c r="T107" s="187"/>
      <c r="U107" s="187"/>
      <c r="V107" s="187"/>
      <c r="W107" s="187"/>
      <c r="X107" s="187"/>
      <c r="Y107" s="187"/>
      <c r="Z107" s="187"/>
      <c r="AB107" s="1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"/>
      <c r="AB108" s="1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O109" s="187"/>
      <c r="P109" s="187"/>
      <c r="Q109" s="187"/>
      <c r="S109" s="187"/>
      <c r="T109" s="187"/>
      <c r="U109" s="187"/>
      <c r="V109" s="187"/>
      <c r="W109" s="187"/>
      <c r="X109" s="187"/>
      <c r="Y109" s="187"/>
      <c r="Z109" s="187"/>
      <c r="AB109" s="1">
        <v>0.0</v>
      </c>
    </row>
    <row r="110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O110" s="187"/>
      <c r="P110" s="187"/>
      <c r="Q110" s="187"/>
      <c r="S110" s="187"/>
      <c r="T110" s="187"/>
      <c r="U110" s="187"/>
      <c r="V110" s="187"/>
      <c r="W110" s="187"/>
      <c r="X110" s="187"/>
      <c r="Y110" s="187"/>
      <c r="Z110" s="187"/>
      <c r="AB110" s="1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"/>
      <c r="AB111" s="1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"/>
      <c r="AB112" s="1"/>
    </row>
    <row r="11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"/>
      <c r="AB113" s="1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T114" s="187"/>
      <c r="U114" s="187"/>
      <c r="V114" s="187"/>
      <c r="W114" s="187"/>
      <c r="X114" s="187"/>
      <c r="Y114" s="187"/>
      <c r="Z114" s="187"/>
      <c r="AB114" s="1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"/>
      <c r="AB115" s="1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O116" s="187"/>
      <c r="P116" s="187"/>
      <c r="Q116" s="187"/>
      <c r="S116" s="187"/>
      <c r="T116" s="187"/>
      <c r="U116" s="187"/>
      <c r="V116" s="187"/>
      <c r="W116" s="187"/>
      <c r="X116" s="187"/>
      <c r="Y116" s="187"/>
      <c r="Z116" s="187"/>
      <c r="AB116" s="1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O117" s="187"/>
      <c r="P117" s="187"/>
      <c r="Q117" s="187"/>
      <c r="S117" s="187"/>
      <c r="T117" s="187"/>
      <c r="U117" s="187"/>
      <c r="V117" s="187"/>
      <c r="W117" s="187"/>
      <c r="X117" s="187"/>
      <c r="Y117" s="187"/>
      <c r="Z117" s="187"/>
      <c r="AB117" s="1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"/>
      <c r="AB118" s="1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O119" s="187"/>
      <c r="P119" s="187"/>
      <c r="Q119" s="187"/>
      <c r="S119" s="187"/>
      <c r="T119" s="187"/>
      <c r="U119" s="187"/>
      <c r="V119" s="187"/>
      <c r="W119" s="187"/>
      <c r="X119" s="187"/>
      <c r="Y119" s="187"/>
      <c r="Z119" s="187"/>
      <c r="AB119" s="1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"/>
      <c r="AB120" s="1"/>
    </row>
    <row r="12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T121" s="187"/>
      <c r="U121" s="187"/>
      <c r="V121" s="187"/>
      <c r="W121" s="187"/>
      <c r="X121" s="187"/>
      <c r="Y121" s="187"/>
      <c r="Z121" s="187"/>
      <c r="AB121" s="1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T122" s="187"/>
      <c r="U122" s="187"/>
      <c r="V122" s="187"/>
      <c r="W122" s="187"/>
      <c r="X122" s="187"/>
      <c r="Y122" s="187"/>
      <c r="Z122" s="187"/>
      <c r="AB122" s="1"/>
    </row>
    <row r="123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T123" s="187"/>
      <c r="U123" s="187"/>
      <c r="V123" s="187"/>
      <c r="W123" s="187"/>
      <c r="X123" s="187"/>
      <c r="Y123" s="187"/>
      <c r="Z123" s="187"/>
      <c r="AB123" s="1"/>
    </row>
    <row r="124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"/>
      <c r="AB124" s="1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S125" s="187"/>
      <c r="T125" s="187"/>
      <c r="U125" s="187"/>
      <c r="V125" s="187"/>
      <c r="W125" s="187"/>
      <c r="X125" s="187"/>
      <c r="Y125" s="187"/>
      <c r="Z125" s="187"/>
      <c r="AB125" s="1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O126" s="187"/>
      <c r="P126" s="187"/>
      <c r="Q126" s="187"/>
      <c r="S126" s="187"/>
      <c r="T126" s="187"/>
      <c r="U126" s="187"/>
      <c r="V126" s="187"/>
      <c r="W126" s="187"/>
      <c r="X126" s="187"/>
      <c r="Y126" s="187"/>
      <c r="Z126" s="187"/>
      <c r="AB126" s="1">
        <v>0.0</v>
      </c>
    </row>
    <row r="127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O127" s="187"/>
      <c r="P127" s="187"/>
      <c r="Q127" s="187"/>
      <c r="S127" s="187"/>
      <c r="T127" s="187"/>
      <c r="U127" s="187"/>
      <c r="V127" s="187"/>
      <c r="W127" s="187"/>
      <c r="X127" s="187"/>
      <c r="Y127" s="187"/>
      <c r="Z127" s="187"/>
      <c r="AB127" s="1"/>
    </row>
    <row r="128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O128" s="187"/>
      <c r="P128" s="187"/>
      <c r="Q128" s="187"/>
      <c r="S128" s="187"/>
      <c r="T128" s="187"/>
      <c r="U128" s="187"/>
      <c r="V128" s="187"/>
      <c r="W128" s="187"/>
      <c r="X128" s="187"/>
      <c r="Y128" s="187"/>
      <c r="Z128" s="187"/>
      <c r="AB128" s="1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"/>
      <c r="AB129" s="1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T130" s="187"/>
      <c r="U130" s="187"/>
      <c r="V130" s="187"/>
      <c r="W130" s="187"/>
      <c r="X130" s="187"/>
      <c r="Y130" s="187"/>
      <c r="Z130" s="187"/>
      <c r="AB130" s="1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T131" s="187"/>
      <c r="U131" s="187"/>
      <c r="V131" s="187"/>
      <c r="W131" s="187"/>
      <c r="X131" s="187"/>
      <c r="Y131" s="187"/>
      <c r="Z131" s="187"/>
      <c r="AB131" s="1"/>
    </row>
    <row r="132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O132" s="187"/>
      <c r="P132" s="187"/>
      <c r="Q132" s="187"/>
      <c r="S132" s="187"/>
      <c r="T132" s="187"/>
      <c r="U132" s="187"/>
      <c r="V132" s="187"/>
      <c r="W132" s="187"/>
      <c r="X132" s="187"/>
      <c r="Y132" s="187"/>
      <c r="Z132" s="187"/>
      <c r="AB132" s="1">
        <v>0.0</v>
      </c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O133" s="187"/>
      <c r="P133" s="187"/>
      <c r="Q133" s="187"/>
      <c r="S133" s="187"/>
      <c r="T133" s="187"/>
      <c r="U133" s="187"/>
      <c r="V133" s="187"/>
      <c r="W133" s="187"/>
      <c r="X133" s="187"/>
      <c r="Y133" s="187"/>
      <c r="Z133" s="187"/>
      <c r="AB133" s="1">
        <v>0.0</v>
      </c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O134" s="187"/>
      <c r="P134" s="187"/>
      <c r="Q134" s="187"/>
      <c r="S134" s="187"/>
      <c r="T134" s="187"/>
      <c r="U134" s="187"/>
      <c r="V134" s="187"/>
      <c r="W134" s="187"/>
      <c r="X134" s="187"/>
      <c r="Y134" s="187"/>
      <c r="Z134" s="187"/>
      <c r="AB134" s="1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S135" s="187"/>
      <c r="T135" s="187"/>
      <c r="U135" s="187"/>
      <c r="V135" s="187"/>
      <c r="W135" s="187"/>
      <c r="X135" s="187"/>
      <c r="Y135" s="187"/>
      <c r="Z135" s="187"/>
      <c r="AB135" s="1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S136" s="187"/>
      <c r="T136" s="187"/>
      <c r="U136" s="187"/>
      <c r="V136" s="187"/>
      <c r="W136" s="187"/>
      <c r="X136" s="187"/>
      <c r="Y136" s="187"/>
      <c r="Z136" s="187"/>
      <c r="AB136" s="1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O137" s="187"/>
      <c r="P137" s="187"/>
      <c r="Q137" s="187"/>
      <c r="S137" s="187"/>
      <c r="T137" s="187"/>
      <c r="U137" s="187"/>
      <c r="V137" s="187"/>
      <c r="W137" s="187"/>
      <c r="X137" s="187"/>
      <c r="Y137" s="187"/>
      <c r="Z137" s="187"/>
      <c r="AB137" s="1">
        <v>0.0</v>
      </c>
    </row>
    <row r="138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T138" s="187"/>
      <c r="U138" s="187"/>
      <c r="V138" s="187"/>
      <c r="W138" s="187"/>
      <c r="X138" s="187"/>
      <c r="Y138" s="187"/>
      <c r="Z138" s="187"/>
      <c r="AB138" s="1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O139" s="187"/>
      <c r="P139" s="187"/>
      <c r="Q139" s="187"/>
      <c r="S139" s="187"/>
      <c r="T139" s="187"/>
      <c r="U139" s="187"/>
      <c r="V139" s="187"/>
      <c r="W139" s="187"/>
      <c r="X139" s="187"/>
      <c r="Y139" s="187"/>
      <c r="Z139" s="187"/>
      <c r="AB139" s="1">
        <v>0.0</v>
      </c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S140" s="187"/>
      <c r="T140" s="187"/>
      <c r="U140" s="187"/>
      <c r="V140" s="187"/>
      <c r="W140" s="187"/>
      <c r="X140" s="187"/>
      <c r="Y140" s="187"/>
      <c r="Z140" s="187"/>
      <c r="AB140" s="1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O141" s="187"/>
      <c r="P141" s="187"/>
      <c r="Q141" s="187"/>
      <c r="S141" s="187"/>
      <c r="T141" s="187"/>
      <c r="U141" s="187"/>
      <c r="V141" s="187"/>
      <c r="W141" s="187"/>
      <c r="X141" s="187"/>
      <c r="Y141" s="187"/>
      <c r="Z141" s="187"/>
      <c r="AB141" s="1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"/>
      <c r="AB142" s="1"/>
    </row>
  </sheetData>
  <mergeCells count="1">
    <mergeCell ref="A1:H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