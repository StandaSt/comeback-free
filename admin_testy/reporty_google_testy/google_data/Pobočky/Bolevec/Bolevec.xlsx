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RestiaCSV" sheetId="6" state="visible" r:id="rId8"/>
    <sheet name="HR" sheetId="7" state="visible" r:id="rId9"/>
    <sheet name="Denik" sheetId="8" state="visible" r:id="rId10"/>
    <sheet name="Směny" sheetId="9" state="visible" r:id="rId11"/>
  </sheets>
  <definedNames>
    <definedName function="false" hidden="true" localSheetId="1" name="_xlnm._FilterDatabase" vbProcedure="false">DatabaseRestia!$A$1:$O$1012</definedName>
    <definedName function="false" hidden="true" localSheetId="5" name="_xlnm._FilterDatabase" vbProcedure="false">RestiaCSV!$A$1:$M$1615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<sst xmlns="http://schemas.openxmlformats.org/spreadsheetml/2006/main" count="8981" uniqueCount="2659">
  <si>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</si>
  <si>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</si>
  <si>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</si>
  <si>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</si>
  <si>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</si>
  <si>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</si>
  <si>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</si>
  <si>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</si>
  <si>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</si>
  <si>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</si>
  <si>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</si>
  <si>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</si>
  <si>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</si>
  <si>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</si>
  <si>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</si>
  <si>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</si>
  <si>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</si>
  <si>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</si>
  <si>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</si>
  <si>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</si>
  <si>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</si>
  <si>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</si>
  <si>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</si>
  <si>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</si>
  <si>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</si>
  <si>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</si>
  <si>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</si>
  <si>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</si>
  <si>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</si>
  <si>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</si>
  <si>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</si>
  <si>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</si>
  <si>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</si>
  <si>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</si>
  <si>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</si>
  <si>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</si>
  <si>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</si>
  <si>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</si>
  <si>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</si>
  <si>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</si>
  <si>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</si>
  <si>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</si>
  <si>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</si>
  <si>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</si>
  <si>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</si>
  <si>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</si>
  <si>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</si>
  <si>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</si>
  <si>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</si>
  <si>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</si>
  <si>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</si>
  <si>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</si>
  <si>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</si>
  <si>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</si>
  <si>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</si>
  <si>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</si>
  <si>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</si>
  <si>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</si>
  <si>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</si>
  <si>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</si>
  <si>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</si>
  <si>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</si>
  <si>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</si>
  <si>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</si>
  <si>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</si>
  <si>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</si>
  <si>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</si>
  <si>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</si>
  <si>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</si>
  <si>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</si>
  <si>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</si>
  <si>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</si>
  <si>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</si>
  <si>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</si>
  <si>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</si>
  <si>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</si>
  <si>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</si>
  <si>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</si>
  <si>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</si>
  <si>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</si>
  <si>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</si>
  <si>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</si>
  <si>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</si>
  <si>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</si>
  <si>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</si>
  <si>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</si>
  <si>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</si>
  <si>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</si>
  <si>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</si>
  <si>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</si>
  <si>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</si>
  <si>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</si>
  <si>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</si>
  <si>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2024-08-24T00:17:38.587+02:00</t>
  </si>
  <si>
    <t xml:space="preserve">2024-08-24T00:23:36.582+02:00</t>
  </si>
  <si>
    <t xml:space="preserve">generic</t>
  </si>
  <si>
    <t xml:space="preserve">Čerešňák Michal</t>
  </si>
  <si>
    <t xml:space="preserve">delivery</t>
  </si>
  <si>
    <t xml:space="preserve">cash</t>
  </si>
  <si>
    <t xml:space="preserve">2024-08-24T00:12:02.323+02:00</t>
  </si>
  <si>
    <t xml:space="preserve">2024-08-24T00:18:35.025+02:00</t>
  </si>
  <si>
    <t xml:space="preserve">2024-08-24T00:33:47.305+02:00</t>
  </si>
  <si>
    <t xml:space="preserve">2024-08-24T00:12:03.165+02:00</t>
  </si>
  <si>
    <t xml:space="preserve">damejidlo</t>
  </si>
  <si>
    <t xml:space="preserve">ready_pickup</t>
  </si>
  <si>
    <t xml:space="preserve">2024-08-24T00:03:45.643+02:00</t>
  </si>
  <si>
    <t xml:space="preserve">2024-08-24T00:11:09.248+02:00</t>
  </si>
  <si>
    <t xml:space="preserve">bolt</t>
  </si>
  <si>
    <t xml:space="preserve">Daniil</t>
  </si>
  <si>
    <t xml:space="preserve">2024-08-23T23:53:41.282+02:00</t>
  </si>
  <si>
    <t xml:space="preserve">2024-08-24T00:00:49.237+02:00</t>
  </si>
  <si>
    <t xml:space="preserve">2024-08-23T23:49:52.305+02:00</t>
  </si>
  <si>
    <t xml:space="preserve">2024-08-23T23:55:58.105+02:00</t>
  </si>
  <si>
    <t xml:space="preserve">2024-08-23T23:44:27.224+02:00</t>
  </si>
  <si>
    <t xml:space="preserve">2024-08-23T23:48:53.249+02:00</t>
  </si>
  <si>
    <t xml:space="preserve">2024-08-23T23:32:45.232+02:00</t>
  </si>
  <si>
    <t xml:space="preserve">2024-08-23T23:38:55.364+02:00</t>
  </si>
  <si>
    <t xml:space="preserve">2024-08-23T23:24:17.939+02:00</t>
  </si>
  <si>
    <t xml:space="preserve">2024-08-23T23:29:38.478+02:00</t>
  </si>
  <si>
    <t xml:space="preserve">pickup</t>
  </si>
  <si>
    <t xml:space="preserve">2024-08-23T23:24:03.465+02:00</t>
  </si>
  <si>
    <t xml:space="preserve">2024-08-23T23:30:18.992+02:00</t>
  </si>
  <si>
    <t xml:space="preserve">2024-08-23T23:15:44.159+02:00</t>
  </si>
  <si>
    <t xml:space="preserve">2024-08-23T23:21:41.344+02:00</t>
  </si>
  <si>
    <t xml:space="preserve">2024-08-23T23:15:12.877+02:00</t>
  </si>
  <si>
    <t xml:space="preserve">2024-08-23T23:21:02.582+02:00</t>
  </si>
  <si>
    <t xml:space="preserve">2024-08-23T23:09:01.378+02:00</t>
  </si>
  <si>
    <t xml:space="preserve">2024-08-23T23:16:32.019+02:00</t>
  </si>
  <si>
    <t xml:space="preserve">2024-08-23T23:36:15.354+02:00</t>
  </si>
  <si>
    <t xml:space="preserve">2024-08-23T23:09:02.133+02:00</t>
  </si>
  <si>
    <t xml:space="preserve">2024-08-23T22:58:44.512+02:00</t>
  </si>
  <si>
    <t xml:space="preserve">2024-08-23T23:04:40.407+02:00</t>
  </si>
  <si>
    <t xml:space="preserve">2024-08-23T22:57:44.525+02:00</t>
  </si>
  <si>
    <t xml:space="preserve">2024-08-23T23:03:05.326+02:00</t>
  </si>
  <si>
    <t xml:space="preserve">2024-08-23T22:54:44.690+02:00</t>
  </si>
  <si>
    <t xml:space="preserve">2024-08-23T23:01:38.275+02:00</t>
  </si>
  <si>
    <t xml:space="preserve">2024-08-23T22:30:29.545+02:00</t>
  </si>
  <si>
    <t xml:space="preserve">2024-08-23T22:36:48.180+02:00</t>
  </si>
  <si>
    <t xml:space="preserve">2024-08-23T22:26:43.460+02:00</t>
  </si>
  <si>
    <t xml:space="preserve">2024-08-23T22:33:00.403+02:00</t>
  </si>
  <si>
    <t xml:space="preserve">2024-08-23T22:23:01.605+02:00</t>
  </si>
  <si>
    <t xml:space="preserve">2024-08-23T22:29:29.981+02:00</t>
  </si>
  <si>
    <t xml:space="preserve">2024-08-23T22:14:54.205+02:00</t>
  </si>
  <si>
    <t xml:space="preserve">2024-08-23T22:19:29.476+02:00</t>
  </si>
  <si>
    <t xml:space="preserve">2024-08-23T21:57:43.519+02:00</t>
  </si>
  <si>
    <t xml:space="preserve">2024-08-23T22:03:36.346+02:00</t>
  </si>
  <si>
    <t xml:space="preserve">2024-08-23T21:35:08.328+02:00</t>
  </si>
  <si>
    <t xml:space="preserve">2024-08-23T21:44:25.233+02:00</t>
  </si>
  <si>
    <t xml:space="preserve">2024-08-23T21:30:40.018+02:00</t>
  </si>
  <si>
    <t xml:space="preserve">2024-08-23T21:37:22.255+02:00</t>
  </si>
  <si>
    <t xml:space="preserve">2024-08-23T21:22:44.178+02:00</t>
  </si>
  <si>
    <t xml:space="preserve">2024-08-23T21:31:32.312+02:00</t>
  </si>
  <si>
    <t xml:space="preserve">2024-08-23T21:14:44.626+02:00</t>
  </si>
  <si>
    <t xml:space="preserve">2024-08-23T21:24:46.267+02:00</t>
  </si>
  <si>
    <t xml:space="preserve">2024-08-23T21:11:01.623+02:00</t>
  </si>
  <si>
    <t xml:space="preserve">2024-08-23T21:20:38.155+02:00</t>
  </si>
  <si>
    <t xml:space="preserve">2024-08-23T21:42:15.426+02:00</t>
  </si>
  <si>
    <t xml:space="preserve">2024-08-23T21:15:23.862+02:00</t>
  </si>
  <si>
    <t xml:space="preserve">2024-08-23T21:10:00.474+02:00</t>
  </si>
  <si>
    <t xml:space="preserve">2024-08-23T21:16:22.265+02:00</t>
  </si>
  <si>
    <t xml:space="preserve">2024-08-23T21:08:44.645+02:00</t>
  </si>
  <si>
    <t xml:space="preserve">2024-08-23T21:14:02.511+02:00</t>
  </si>
  <si>
    <t xml:space="preserve">Petr</t>
  </si>
  <si>
    <t xml:space="preserve">2024-08-23T21:02:58.668+02:00</t>
  </si>
  <si>
    <t xml:space="preserve">2024-08-23T21:10:07.507+02:00</t>
  </si>
  <si>
    <t xml:space="preserve">2024-08-23T21:02:01.356+02:00</t>
  </si>
  <si>
    <t xml:space="preserve">2024-08-23T21:08:07.021+02:00</t>
  </si>
  <si>
    <t xml:space="preserve">2024-08-23T21:32:43.488+02:00</t>
  </si>
  <si>
    <t xml:space="preserve">2024-08-23T21:02:01.984+02:00</t>
  </si>
  <si>
    <t xml:space="preserve">2024-08-23T21:00:02.896+02:00</t>
  </si>
  <si>
    <t xml:space="preserve">2024-08-23T21:05:37.301+02:00</t>
  </si>
  <si>
    <t xml:space="preserve">2024-08-23T20:51:26.998+02:00</t>
  </si>
  <si>
    <t xml:space="preserve">2024-08-23T20:59:19.185+02:00</t>
  </si>
  <si>
    <t xml:space="preserve">Roman</t>
  </si>
  <si>
    <t xml:space="preserve">2024-08-23T20:45:51.474+02:00</t>
  </si>
  <si>
    <t xml:space="preserve">2024-08-23T20:52:46.169+02:00</t>
  </si>
  <si>
    <t xml:space="preserve">2024-08-23T20:44:53.746+02:00</t>
  </si>
  <si>
    <t xml:space="preserve">2024-08-23T20:52:57.180+02:00</t>
  </si>
  <si>
    <t xml:space="preserve">2024-08-23T20:36:51.238+02:00</t>
  </si>
  <si>
    <t xml:space="preserve">2024-08-23T20:49:19.224+02:00</t>
  </si>
  <si>
    <t xml:space="preserve">2024-08-23T20:33:43.896+02:00</t>
  </si>
  <si>
    <t xml:space="preserve">2024-08-23T20:43:20.314+02:00</t>
  </si>
  <si>
    <t xml:space="preserve">2024-08-23T20:33:01.811+02:00</t>
  </si>
  <si>
    <t xml:space="preserve">2024-08-23T20:40:19.164+02:00</t>
  </si>
  <si>
    <t xml:space="preserve">2024-08-23T20:50:27.761+02:00</t>
  </si>
  <si>
    <t xml:space="preserve">2024-08-23T20:35:07.952+02:00</t>
  </si>
  <si>
    <t xml:space="preserve">2024-08-23T20:28:01.471+02:00</t>
  </si>
  <si>
    <t xml:space="preserve">2024-08-23T20:45:12.971+02:00</t>
  </si>
  <si>
    <t xml:space="preserve">2024-08-23T20:26:01.979+02:00</t>
  </si>
  <si>
    <t xml:space="preserve">2024-08-23T20:30:25.004+02:00</t>
  </si>
  <si>
    <t xml:space="preserve">2024-08-23T20:57:34.627+02:00</t>
  </si>
  <si>
    <t xml:space="preserve">2024-08-23T20:26:02.500+02:00</t>
  </si>
  <si>
    <t xml:space="preserve">2024-08-23T20:21:01.522+02:00</t>
  </si>
  <si>
    <t xml:space="preserve">2024-08-23T20:28:46.998+02:00</t>
  </si>
  <si>
    <t xml:space="preserve">2024-08-23T20:38:35.431+02:00</t>
  </si>
  <si>
    <t xml:space="preserve">2024-08-23T20:21:02.078+02:00</t>
  </si>
  <si>
    <t xml:space="preserve">2024-08-23T20:19:01.870+02:00</t>
  </si>
  <si>
    <t xml:space="preserve">2024-08-23T20:27:26.014+02:00</t>
  </si>
  <si>
    <t xml:space="preserve">2024-08-23T21:07:40.137+02:00</t>
  </si>
  <si>
    <t xml:space="preserve">2024-08-23T20:19:02.358+02:00</t>
  </si>
  <si>
    <t xml:space="preserve">2024-08-23T20:16:42.868+02:00</t>
  </si>
  <si>
    <t xml:space="preserve">2024-08-23T20:26:11.311+02:00</t>
  </si>
  <si>
    <t xml:space="preserve">Petro</t>
  </si>
  <si>
    <t xml:space="preserve">2024-08-23T20:12:54.567+02:00</t>
  </si>
  <si>
    <t xml:space="preserve">2024-08-23T20:22:06.159+02:00</t>
  </si>
  <si>
    <t xml:space="preserve">2024-08-23T20:10:02.324+02:00</t>
  </si>
  <si>
    <t xml:space="preserve">2024-08-23T20:19:31.050+02:00</t>
  </si>
  <si>
    <t xml:space="preserve">2024-08-23T20:53:44.837+02:00</t>
  </si>
  <si>
    <t xml:space="preserve">2024-08-23T20:10:03.058+02:00</t>
  </si>
  <si>
    <t xml:space="preserve">2024-08-23T20:09:35.657+02:00</t>
  </si>
  <si>
    <t xml:space="preserve">2024-08-23T20:16:12.104+02:00</t>
  </si>
  <si>
    <t xml:space="preserve">2024-08-23T20:08:01.496+02:00</t>
  </si>
  <si>
    <t xml:space="preserve">2024-08-23T20:15:57.021+02:00</t>
  </si>
  <si>
    <t xml:space="preserve">card</t>
  </si>
  <si>
    <t xml:space="preserve">2024-08-23T20:08:01.484+02:00</t>
  </si>
  <si>
    <t xml:space="preserve">2024-08-23T20:49:04.967+02:00</t>
  </si>
  <si>
    <t xml:space="preserve">2024-08-23T20:01:01.758+02:00</t>
  </si>
  <si>
    <t xml:space="preserve">2024-08-23T20:09:03.291+02:00</t>
  </si>
  <si>
    <t xml:space="preserve">2024-08-23T19:55:02.186+02:00</t>
  </si>
  <si>
    <t xml:space="preserve">2024-08-23T20:03:27.005+02:00</t>
  </si>
  <si>
    <t xml:space="preserve">2024-08-23T20:13:43.739+02:00</t>
  </si>
  <si>
    <t xml:space="preserve">2024-08-23T19:55:03.092+02:00</t>
  </si>
  <si>
    <t xml:space="preserve">2024-08-23T19:54:45.137+02:00</t>
  </si>
  <si>
    <t xml:space="preserve">2024-08-23T20:02:33.384+02:00</t>
  </si>
  <si>
    <t xml:space="preserve">2024-08-23T19:52:42.001+02:00</t>
  </si>
  <si>
    <t xml:space="preserve">2024-08-23T19:58:12.157+02:00</t>
  </si>
  <si>
    <t xml:space="preserve">2024-08-23T19:51:23.172+02:00</t>
  </si>
  <si>
    <t xml:space="preserve">2024-08-23T19:56:10.136+02:00</t>
  </si>
  <si>
    <t xml:space="preserve">manual</t>
  </si>
  <si>
    <t xml:space="preserve">2024-08-23T19:49:30.026+02:00</t>
  </si>
  <si>
    <t xml:space="preserve">2024-08-23T19:56:07.983+02:00</t>
  </si>
  <si>
    <t xml:space="preserve">2024-08-23T19:43:44.774+02:00</t>
  </si>
  <si>
    <t xml:space="preserve">2024-08-23T19:52:12.336+02:00</t>
  </si>
  <si>
    <t xml:space="preserve">2024-08-23T19:38:02.061+02:00</t>
  </si>
  <si>
    <t xml:space="preserve">2024-08-23T19:48:14.995+02:00</t>
  </si>
  <si>
    <t xml:space="preserve">2024-08-23T19:35:44.366+02:00</t>
  </si>
  <si>
    <t xml:space="preserve">2024-08-23T19:47:48.229+02:00</t>
  </si>
  <si>
    <t xml:space="preserve">2024-08-23T19:31:44.270+02:00</t>
  </si>
  <si>
    <t xml:space="preserve">2024-08-23T19:39:35.683+02:00</t>
  </si>
  <si>
    <t xml:space="preserve">2024-08-23T19:28:44.081+02:00</t>
  </si>
  <si>
    <t xml:space="preserve">2024-08-23T19:33:34.278+02:00</t>
  </si>
  <si>
    <t xml:space="preserve">2024-08-23T19:28:01.792+02:00</t>
  </si>
  <si>
    <t xml:space="preserve">2024-08-23T19:37:43.997+02:00</t>
  </si>
  <si>
    <t xml:space="preserve">2024-08-23T19:24:01.653+02:00</t>
  </si>
  <si>
    <t xml:space="preserve">2024-08-23T19:46:43.104+02:00</t>
  </si>
  <si>
    <t xml:space="preserve">2024-08-23T20:00:35.469+02:00</t>
  </si>
  <si>
    <t xml:space="preserve">2024-08-23T19:26:40.934+02:00</t>
  </si>
  <si>
    <t xml:space="preserve">2024-08-23T19:23:44.893+02:00</t>
  </si>
  <si>
    <t xml:space="preserve">2024-08-23T19:32:12.329+02:00</t>
  </si>
  <si>
    <t xml:space="preserve">2024-08-23T19:13:01.670+02:00</t>
  </si>
  <si>
    <t xml:space="preserve">2024-08-23T19:21:28.063+02:00</t>
  </si>
  <si>
    <t xml:space="preserve">2024-08-23T19:43:32.054+02:00</t>
  </si>
  <si>
    <t xml:space="preserve">2024-08-23T19:13:02.293+02:00</t>
  </si>
  <si>
    <t xml:space="preserve">2024-08-23T19:10:02.134+02:00</t>
  </si>
  <si>
    <t xml:space="preserve">2024-08-23T19:19:46.982+02:00</t>
  </si>
  <si>
    <t xml:space="preserve">2024-08-23T19:47:13.789+02:00</t>
  </si>
  <si>
    <t xml:space="preserve">2024-08-23T19:10:02.706+02:00</t>
  </si>
  <si>
    <t xml:space="preserve">2024-08-23T19:09:03.136+02:00</t>
  </si>
  <si>
    <t xml:space="preserve">2024-08-23T19:16:43.981+02:00</t>
  </si>
  <si>
    <t xml:space="preserve">2024-08-23T19:04:42.927+02:00</t>
  </si>
  <si>
    <t xml:space="preserve">2024-08-23T19:11:33.473+02:00</t>
  </si>
  <si>
    <t xml:space="preserve">2024-08-23T19:04:01.798+02:00</t>
  </si>
  <si>
    <t xml:space="preserve">2024-08-23T19:10:08.987+02:00</t>
  </si>
  <si>
    <t xml:space="preserve">2024-08-23T19:37:41.253+02:00</t>
  </si>
  <si>
    <t xml:space="preserve">2024-08-23T19:04:02.394+02:00</t>
  </si>
  <si>
    <t xml:space="preserve">2024-08-23T19:02:11.292+02:00</t>
  </si>
  <si>
    <t xml:space="preserve">2024-08-23T19:08:45.663+02:00</t>
  </si>
  <si>
    <t xml:space="preserve">Alexander</t>
  </si>
  <si>
    <t xml:space="preserve">2024-08-23T18:58:55.159+02:00</t>
  </si>
  <si>
    <t xml:space="preserve">2024-08-23T19:03:40.123+02:00</t>
  </si>
  <si>
    <t xml:space="preserve">2024-08-23T18:57:26.488+02:00</t>
  </si>
  <si>
    <t xml:space="preserve">2024-08-23T19:08:13.488+02:00</t>
  </si>
  <si>
    <t xml:space="preserve">2024-08-23T18:50:26.589+02:00</t>
  </si>
  <si>
    <t xml:space="preserve">2024-08-23T18:57:54.971+02:00</t>
  </si>
  <si>
    <t xml:space="preserve">2024-08-23T18:45:41.348+02:00</t>
  </si>
  <si>
    <t xml:space="preserve">2024-08-23T18:50:54.299+02:00</t>
  </si>
  <si>
    <t xml:space="preserve">2024-08-23T18:37:15.602+02:00</t>
  </si>
  <si>
    <t xml:space="preserve">2024-08-23T18:50:07.354+02:00</t>
  </si>
  <si>
    <t xml:space="preserve">2024-08-23T18:36:01.943+02:00</t>
  </si>
  <si>
    <t xml:space="preserve">2024-08-23T18:46:22.005+02:00</t>
  </si>
  <si>
    <t xml:space="preserve">2024-08-23T18:52:26.212+02:00</t>
  </si>
  <si>
    <t xml:space="preserve">2024-08-23T18:36:02.598+02:00</t>
  </si>
  <si>
    <t xml:space="preserve">Valentyn</t>
  </si>
  <si>
    <t xml:space="preserve">2024-08-23T18:34:59.908+02:00</t>
  </si>
  <si>
    <t xml:space="preserve">2024-08-23T18:48:56.147+02:00</t>
  </si>
  <si>
    <t xml:space="preserve">2024-08-23T18:34:01.818+02:00</t>
  </si>
  <si>
    <t xml:space="preserve">2024-08-23T18:42:01.014+02:00</t>
  </si>
  <si>
    <t xml:space="preserve">Bakhtiyar</t>
  </si>
  <si>
    <t xml:space="preserve">2024-08-23T18:33:48.828+02:00</t>
  </si>
  <si>
    <t xml:space="preserve">2024-08-23T18:45:14.200+02:00</t>
  </si>
  <si>
    <t xml:space="preserve">2024-08-23T18:31:16.155+02:00</t>
  </si>
  <si>
    <t xml:space="preserve">2024-08-23T18:39:46.147+02:00</t>
  </si>
  <si>
    <t xml:space="preserve">2024-08-23T18:29:41.296+02:00</t>
  </si>
  <si>
    <t xml:space="preserve">2024-08-23T18:35:26.412+02:00</t>
  </si>
  <si>
    <t xml:space="preserve">2024-08-23T18:28:17.385+02:00</t>
  </si>
  <si>
    <t xml:space="preserve">2024-08-23T18:33:46.234+02:00</t>
  </si>
  <si>
    <t xml:space="preserve">2024-08-23T18:26:39.269+02:00</t>
  </si>
  <si>
    <t xml:space="preserve">2024-08-23T18:32:07.362+02:00</t>
  </si>
  <si>
    <t xml:space="preserve">2024-08-23T18:24:01.776+02:00</t>
  </si>
  <si>
    <t xml:space="preserve">2024-08-23T18:34:58.977+02:00</t>
  </si>
  <si>
    <t xml:space="preserve">2024-08-23T18:18:42.930+02:00</t>
  </si>
  <si>
    <t xml:space="preserve">2024-08-23T18:27:47.260+02:00</t>
  </si>
  <si>
    <t xml:space="preserve">2024-08-23T18:17:22.682+02:00</t>
  </si>
  <si>
    <t xml:space="preserve">2024-08-23T18:25:13.134+02:00</t>
  </si>
  <si>
    <t xml:space="preserve">2024-08-23T18:14:01.882+02:00</t>
  </si>
  <si>
    <t xml:space="preserve">2024-08-23T18:38:21.980+02:00</t>
  </si>
  <si>
    <t xml:space="preserve">2024-08-23T18:09:06.262+02:00</t>
  </si>
  <si>
    <t xml:space="preserve">2024-08-23T18:14:24.304+02:00</t>
  </si>
  <si>
    <t xml:space="preserve">2024-08-23T18:05:40.619+02:00</t>
  </si>
  <si>
    <t xml:space="preserve">2024-08-23T18:13:06.275+02:00</t>
  </si>
  <si>
    <t xml:space="preserve">2024-08-23T18:02:01.989+02:00</t>
  </si>
  <si>
    <t xml:space="preserve">2024-08-23T18:09:11.997+02:00</t>
  </si>
  <si>
    <t xml:space="preserve">2024-08-23T18:26:45.709+02:00</t>
  </si>
  <si>
    <t xml:space="preserve">2024-08-23T18:02:02.810+02:00</t>
  </si>
  <si>
    <t xml:space="preserve">2024-08-23T17:51:01.842+02:00</t>
  </si>
  <si>
    <t xml:space="preserve">2024-08-23T18:05:33.287+02:00</t>
  </si>
  <si>
    <t xml:space="preserve">2024-08-23T17:49:43.097+02:00</t>
  </si>
  <si>
    <t xml:space="preserve">2024-08-23T17:56:56.452+02:00</t>
  </si>
  <si>
    <t xml:space="preserve">2024-08-23T17:46:00.165+02:00</t>
  </si>
  <si>
    <t xml:space="preserve">2024-08-23T17:51:11.283+02:00</t>
  </si>
  <si>
    <t xml:space="preserve">2024-08-23T17:40:02.344+02:00</t>
  </si>
  <si>
    <t xml:space="preserve">2024-08-23T17:46:55.984+02:00</t>
  </si>
  <si>
    <t xml:space="preserve">2024-08-23T17:37:41.457+02:00</t>
  </si>
  <si>
    <t xml:space="preserve">2024-08-23T17:45:31.366+02:00</t>
  </si>
  <si>
    <t xml:space="preserve">2024-08-23T17:27:39.901+02:00</t>
  </si>
  <si>
    <t xml:space="preserve">2024-08-23T17:34:14.299+02:00</t>
  </si>
  <si>
    <t xml:space="preserve">2024-08-23T17:19:50.482+02:00</t>
  </si>
  <si>
    <t xml:space="preserve">2024-08-23T17:26:38.236+02:00</t>
  </si>
  <si>
    <t xml:space="preserve">2024-08-23T17:10:02.476+02:00</t>
  </si>
  <si>
    <t xml:space="preserve">2024-08-23T17:18:01.023+02:00</t>
  </si>
  <si>
    <t xml:space="preserve">2024-08-23T17:32:09.350+02:00</t>
  </si>
  <si>
    <t xml:space="preserve">2024-08-23T17:10:03.465+02:00</t>
  </si>
  <si>
    <t xml:space="preserve">2024-08-23T17:10:02.466+02:00</t>
  </si>
  <si>
    <t xml:space="preserve">2024-08-23T17:30:04.956+02:00</t>
  </si>
  <si>
    <t xml:space="preserve">Alexandr</t>
  </si>
  <si>
    <t xml:space="preserve">2024-08-23T17:07:44.486+02:00</t>
  </si>
  <si>
    <t xml:space="preserve">2024-08-23T17:17:28.105+02:00</t>
  </si>
  <si>
    <t xml:space="preserve">2024-08-23T17:06:17.661+02:00</t>
  </si>
  <si>
    <t xml:space="preserve">2024-08-23T17:14:45.306+02:00</t>
  </si>
  <si>
    <t xml:space="preserve">2024-08-23T16:56:44.740+02:00</t>
  </si>
  <si>
    <t xml:space="preserve">2024-08-23T17:03:23.528+02:00</t>
  </si>
  <si>
    <t xml:space="preserve">Dušan</t>
  </si>
  <si>
    <t xml:space="preserve">2024-08-23T16:22:46.990+02:00</t>
  </si>
  <si>
    <t xml:space="preserve">2024-08-23T16:31:39.138+02:00</t>
  </si>
  <si>
    <t xml:space="preserve">2024-08-23T16:22:38.183+02:00</t>
  </si>
  <si>
    <t xml:space="preserve">2024-08-23T16:29:15.238+02:00</t>
  </si>
  <si>
    <t xml:space="preserve">2024-08-23T16:05:50.367+02:00</t>
  </si>
  <si>
    <t xml:space="preserve">2024-08-23T16:13:49.232+02:00</t>
  </si>
  <si>
    <t xml:space="preserve">Volodymyr</t>
  </si>
  <si>
    <t xml:space="preserve">2024-08-23T16:05:01.206+02:00</t>
  </si>
  <si>
    <t xml:space="preserve">2024-08-23T16:12:58.109+02:00</t>
  </si>
  <si>
    <t xml:space="preserve">2024-08-23T16:01:38.555+02:00</t>
  </si>
  <si>
    <t xml:space="preserve">2024-08-23T16:09:57.284+02:00</t>
  </si>
  <si>
    <t xml:space="preserve">2024-08-23T15:50:59.843+02:00</t>
  </si>
  <si>
    <t xml:space="preserve">2024-08-23T16:01:41.137+02:00</t>
  </si>
  <si>
    <t xml:space="preserve">2024-08-23T15:48:46.031+02:00</t>
  </si>
  <si>
    <t xml:space="preserve">2024-08-23T16:01:13.225+02:00</t>
  </si>
  <si>
    <t xml:space="preserve">2024-08-23T15:46:16.474+02:00</t>
  </si>
  <si>
    <t xml:space="preserve">2024-08-23T15:59:44.245+02:00</t>
  </si>
  <si>
    <t xml:space="preserve">2024-08-23T15:43:47.596+02:00</t>
  </si>
  <si>
    <t xml:space="preserve">2024-08-23T15:53:14.400+02:00</t>
  </si>
  <si>
    <t xml:space="preserve">2024-08-23T15:35:37.622+02:00</t>
  </si>
  <si>
    <t xml:space="preserve">2024-08-23T15:44:58.221+02:00</t>
  </si>
  <si>
    <t xml:space="preserve">2024-08-23T15:33:37.587+02:00</t>
  </si>
  <si>
    <t xml:space="preserve">2024-08-23T15:43:52.531+02:00</t>
  </si>
  <si>
    <t xml:space="preserve">2024-08-23T15:04:35.325+02:00</t>
  </si>
  <si>
    <t xml:space="preserve">2024-08-23T15:12:26.282+02:00</t>
  </si>
  <si>
    <t xml:space="preserve">2024-08-23T14:59:32.642+02:00</t>
  </si>
  <si>
    <t xml:space="preserve">2024-08-23T15:06:27.149+02:00</t>
  </si>
  <si>
    <t xml:space="preserve">2024-08-23T14:44:36.934+02:00</t>
  </si>
  <si>
    <t xml:space="preserve">2024-08-23T14:52:32.339+02:00</t>
  </si>
  <si>
    <t xml:space="preserve">2024-08-23T14:44:26.266+02:00</t>
  </si>
  <si>
    <t xml:space="preserve">2024-08-23T14:54:54.127+02:00</t>
  </si>
  <si>
    <t xml:space="preserve">Kormash Liubov</t>
  </si>
  <si>
    <t xml:space="preserve">2024-08-23T14:43:01.530+02:00</t>
  </si>
  <si>
    <t xml:space="preserve">2024-08-23T14:52:08.071+02:00</t>
  </si>
  <si>
    <t xml:space="preserve">2024-08-23T15:14:29.583+02:00</t>
  </si>
  <si>
    <t xml:space="preserve">2024-08-23T14:43:02.395+02:00</t>
  </si>
  <si>
    <t xml:space="preserve">2024-08-23T14:34:01.747+02:00</t>
  </si>
  <si>
    <t xml:space="preserve">2024-08-23T14:46:12.946+02:00</t>
  </si>
  <si>
    <t xml:space="preserve">2024-08-23T15:02:10.031+02:00</t>
  </si>
  <si>
    <t xml:space="preserve">2024-08-23T14:34:02.394+02:00</t>
  </si>
  <si>
    <t xml:space="preserve">Jan</t>
  </si>
  <si>
    <t xml:space="preserve">2024-08-23T14:11:09.224+02:00</t>
  </si>
  <si>
    <t xml:space="preserve">2024-08-23T14:19:47.155+02:00</t>
  </si>
  <si>
    <t xml:space="preserve">2024-08-23T13:38:37.502+02:00</t>
  </si>
  <si>
    <t xml:space="preserve">2024-08-23T13:44:30.030+02:00</t>
  </si>
  <si>
    <t xml:space="preserve">2024-08-23T13:35:35.359+02:00</t>
  </si>
  <si>
    <t xml:space="preserve">2024-08-23T13:43:11.184+02:00</t>
  </si>
  <si>
    <t xml:space="preserve">2024-08-23T13:31:01.846+02:00</t>
  </si>
  <si>
    <t xml:space="preserve">2024-08-23T13:40:32.907+02:00</t>
  </si>
  <si>
    <t xml:space="preserve">2024-08-23T13:50:34.611+02:00</t>
  </si>
  <si>
    <t xml:space="preserve">2024-08-23T13:31:02.663+02:00</t>
  </si>
  <si>
    <t xml:space="preserve">2024-08-23T13:27:36.365+02:00</t>
  </si>
  <si>
    <t xml:space="preserve">2024-08-23T13:37:57.229+02:00</t>
  </si>
  <si>
    <t xml:space="preserve">2024-08-23T13:17:30.157+02:00</t>
  </si>
  <si>
    <t xml:space="preserve">2024-08-23T13:24:44.297+02:00</t>
  </si>
  <si>
    <t xml:space="preserve">2024-08-23T13:15:01.586+02:00</t>
  </si>
  <si>
    <t xml:space="preserve">2024-08-23T13:25:59.873+02:00</t>
  </si>
  <si>
    <t xml:space="preserve">2024-08-23T13:31:00.970+02:00</t>
  </si>
  <si>
    <t xml:space="preserve">2024-08-23T13:15:02.169+02:00</t>
  </si>
  <si>
    <t xml:space="preserve">2024-08-23T13:14:01.834+02:00</t>
  </si>
  <si>
    <t xml:space="preserve">2024-08-23T13:25:58.891+02:00</t>
  </si>
  <si>
    <t xml:space="preserve">2024-08-23T12:54:27.052+02:00</t>
  </si>
  <si>
    <t xml:space="preserve">2024-08-23T13:01:20.100+02:00</t>
  </si>
  <si>
    <t xml:space="preserve">2024-08-23T12:52:56.168+02:00</t>
  </si>
  <si>
    <t xml:space="preserve">2024-08-23T12:59:17.923+02:00</t>
  </si>
  <si>
    <t xml:space="preserve">2024-08-23T12:44:53.715+02:00</t>
  </si>
  <si>
    <t xml:space="preserve">2024-08-23T12:51:57.907+02:00</t>
  </si>
  <si>
    <t xml:space="preserve">2024-08-23T12:41:02.270+02:00</t>
  </si>
  <si>
    <t xml:space="preserve">2024-08-23T12:52:31.811+02:00</t>
  </si>
  <si>
    <t xml:space="preserve">2024-08-23T12:32:45.379+02:00</t>
  </si>
  <si>
    <t xml:space="preserve">2024-08-23T12:41:25.363+02:00</t>
  </si>
  <si>
    <t xml:space="preserve">2024-08-23T12:31:13.881+02:00</t>
  </si>
  <si>
    <t xml:space="preserve">2024-08-23T12:39:55.261+02:00</t>
  </si>
  <si>
    <t xml:space="preserve">2024-08-23T12:30:18.052+02:00</t>
  </si>
  <si>
    <t xml:space="preserve">2024-08-23T12:39:57.865+02:00</t>
  </si>
  <si>
    <t xml:space="preserve">2024-08-23T12:30:15.272+02:00</t>
  </si>
  <si>
    <t xml:space="preserve">2024-08-23T12:39:14.084+02:00</t>
  </si>
  <si>
    <t xml:space="preserve">2024-08-23T12:30:01.423+02:00</t>
  </si>
  <si>
    <t xml:space="preserve">2024-08-23T12:45:35.894+02:00</t>
  </si>
  <si>
    <t xml:space="preserve">2024-08-23T12:53:16.433+02:00</t>
  </si>
  <si>
    <t xml:space="preserve">2024-08-23T12:30:02.516+02:00</t>
  </si>
  <si>
    <t xml:space="preserve">2024-08-23T12:30:01.398+02:00</t>
  </si>
  <si>
    <t xml:space="preserve">2024-08-23T12:48:11.806+02:00</t>
  </si>
  <si>
    <t xml:space="preserve">2024-08-23T12:29:26.777+02:00</t>
  </si>
  <si>
    <t xml:space="preserve">2024-08-23T12:38:59.824+02:00</t>
  </si>
  <si>
    <t xml:space="preserve">2024-08-23T12:06:15.218+02:00</t>
  </si>
  <si>
    <t xml:space="preserve">2024-08-23T12:14:43.968+02:00</t>
  </si>
  <si>
    <t xml:space="preserve">2024-08-23T12:02:43.080+02:00</t>
  </si>
  <si>
    <t xml:space="preserve">2024-08-23T12:08:44.979+02:00</t>
  </si>
  <si>
    <t xml:space="preserve">2024-08-23T12:00:48.378+02:00</t>
  </si>
  <si>
    <t xml:space="preserve">2024-08-23T12:07:23.072+02:00</t>
  </si>
  <si>
    <t xml:space="preserve">2024-08-23T11:57:52.988+02:00</t>
  </si>
  <si>
    <t xml:space="preserve">2024-08-23T12:05:40.037+02:00</t>
  </si>
  <si>
    <t xml:space="preserve">2024-08-23T11:55:01.776+02:00</t>
  </si>
  <si>
    <t xml:space="preserve">2024-08-23T12:19:33.618+02:00</t>
  </si>
  <si>
    <t xml:space="preserve">2024-08-23T11:55:02.383+02:00</t>
  </si>
  <si>
    <t xml:space="preserve">2024-08-23T11:50:36.207+02:00</t>
  </si>
  <si>
    <t xml:space="preserve">2024-08-23T11:58:14.474+02:00</t>
  </si>
  <si>
    <t xml:space="preserve">2024-08-23T11:49:01.994+02:00</t>
  </si>
  <si>
    <t xml:space="preserve">2024-08-23T11:56:48.867+02:00</t>
  </si>
  <si>
    <t xml:space="preserve">2024-08-23T12:04:25.781+02:00</t>
  </si>
  <si>
    <t xml:space="preserve">2024-08-23T11:49:02.447+02:00</t>
  </si>
  <si>
    <t xml:space="preserve">2024-08-23T11:37:24.887+02:00</t>
  </si>
  <si>
    <t xml:space="preserve">2024-08-23T11:45:34.018+02:00</t>
  </si>
  <si>
    <t xml:space="preserve">2024-08-23T11:34:46.899+02:00</t>
  </si>
  <si>
    <t xml:space="preserve">2024-08-23T11:44:05.085+02:00</t>
  </si>
  <si>
    <t xml:space="preserve">2024-08-23T11:28:41.711+02:00</t>
  </si>
  <si>
    <t xml:space="preserve">2024-08-23T11:42:59.111+02:00</t>
  </si>
  <si>
    <t xml:space="preserve">2024-08-23T11:24:46.507+02:00</t>
  </si>
  <si>
    <t xml:space="preserve">2024-08-23T11:32:28.112+02:00</t>
  </si>
  <si>
    <t xml:space="preserve">2024-08-23T11:23:57.600+02:00</t>
  </si>
  <si>
    <t xml:space="preserve">2024-08-23T11:33:56.055+02:00</t>
  </si>
  <si>
    <t xml:space="preserve">2024-08-23T11:23:00.274+02:00</t>
  </si>
  <si>
    <t xml:space="preserve">2024-08-23T11:31:51.218+02:00</t>
  </si>
  <si>
    <t xml:space="preserve">Serhii</t>
  </si>
  <si>
    <t xml:space="preserve">2024-08-23T11:17:43.700+02:00</t>
  </si>
  <si>
    <t xml:space="preserve">2024-08-23T11:23:30.230+02:00</t>
  </si>
  <si>
    <t xml:space="preserve">canceled</t>
  </si>
  <si>
    <t xml:space="preserve">2024-08-23T10:56:10.650+02:00</t>
  </si>
  <si>
    <t xml:space="preserve">2024-08-23T10:50:02.092+02:00</t>
  </si>
  <si>
    <t xml:space="preserve">2024-08-23T11:09:04.784+02:00</t>
  </si>
  <si>
    <t xml:space="preserve">2024-08-23T11:23:34.347+02:00</t>
  </si>
  <si>
    <t xml:space="preserve">2024-08-23T10:50:03.091+02:00</t>
  </si>
  <si>
    <t xml:space="preserve">2024-08-23T10:15:02.286+02:00</t>
  </si>
  <si>
    <t xml:space="preserve">2024-08-23T11:06:16.824+02:00</t>
  </si>
  <si>
    <t xml:space="preserve">2024-08-23T11:15:15.366+02:00</t>
  </si>
  <si>
    <t xml:space="preserve">2024-08-23T10:15:03.423+02:00</t>
  </si>
  <si>
    <t xml:space="preserve">2024-08-23T10:09:02.019+02:00</t>
  </si>
  <si>
    <t xml:space="preserve">2024-08-23T11:04:55.767+02:00</t>
  </si>
  <si>
    <t xml:space="preserve">2024-08-25T00:18:14.599+02:00</t>
  </si>
  <si>
    <t xml:space="preserve">2024-08-25T00:37:52.663+02:00</t>
  </si>
  <si>
    <t xml:space="preserve">2024-08-25T00:07:13.804+02:00</t>
  </si>
  <si>
    <t xml:space="preserve">2024-08-25T00:33:16.536+02:00</t>
  </si>
  <si>
    <t xml:space="preserve">2024-08-25T00:03:14.145+02:00</t>
  </si>
  <si>
    <t xml:space="preserve">2024-08-25T00:15:40.880+02:00</t>
  </si>
  <si>
    <t xml:space="preserve">2024-08-24T23:53:13.894+02:00</t>
  </si>
  <si>
    <t xml:space="preserve">2024-08-25T00:01:45.578+02:00</t>
  </si>
  <si>
    <t xml:space="preserve">Lukaš</t>
  </si>
  <si>
    <t xml:space="preserve">2024-08-24T23:30:17.250+02:00</t>
  </si>
  <si>
    <t xml:space="preserve">2024-08-24T23:38:11.562+02:00</t>
  </si>
  <si>
    <t xml:space="preserve">2024-08-24T23:18:06.521+02:00</t>
  </si>
  <si>
    <t xml:space="preserve">2024-08-24T23:23:55.632+02:00</t>
  </si>
  <si>
    <t xml:space="preserve">Marat</t>
  </si>
  <si>
    <t xml:space="preserve">2024-08-24T23:05:20.296+02:00</t>
  </si>
  <si>
    <t xml:space="preserve">2024-08-24T23:12:30.491+02:00</t>
  </si>
  <si>
    <t xml:space="preserve">2024-08-24T22:52:10.394+02:00</t>
  </si>
  <si>
    <t xml:space="preserve">2024-08-24T23:07:53.865+02:00</t>
  </si>
  <si>
    <t xml:space="preserve">2024-08-24T22:47:02.260+02:00</t>
  </si>
  <si>
    <t xml:space="preserve">2024-08-24T22:54:44.315+02:00</t>
  </si>
  <si>
    <t xml:space="preserve">2024-08-24T22:36:57.413+02:00</t>
  </si>
  <si>
    <t xml:space="preserve">2024-08-24T22:44:23.560+02:00</t>
  </si>
  <si>
    <t xml:space="preserve">2024-08-24T22:32:01.551+02:00</t>
  </si>
  <si>
    <t xml:space="preserve">2024-08-24T22:46:59.281+02:00</t>
  </si>
  <si>
    <t xml:space="preserve">2024-08-24T22:31:12.600+02:00</t>
  </si>
  <si>
    <t xml:space="preserve">2024-08-24T22:41:10.668+02:00</t>
  </si>
  <si>
    <t xml:space="preserve">2024-08-24T22:27:13.141+02:00</t>
  </si>
  <si>
    <t xml:space="preserve">2024-08-24T22:34:38.576+02:00</t>
  </si>
  <si>
    <t xml:space="preserve">2024-08-24T22:21:02.128+02:00</t>
  </si>
  <si>
    <t xml:space="preserve">2024-08-24T22:30:08.329+02:00</t>
  </si>
  <si>
    <t xml:space="preserve">2024-08-24T22:47:19.871+02:00</t>
  </si>
  <si>
    <t xml:space="preserve">2024-08-24T22:28:15.134+02:00</t>
  </si>
  <si>
    <t xml:space="preserve">2024-08-24T22:12:14.282+02:00</t>
  </si>
  <si>
    <t xml:space="preserve">2024-08-24T22:21:00.587+02:00</t>
  </si>
  <si>
    <t xml:space="preserve">2024-08-24T22:10:13.509+02:00</t>
  </si>
  <si>
    <t xml:space="preserve">2024-08-24T22:19:14.655+02:00</t>
  </si>
  <si>
    <t xml:space="preserve">2024-08-24T22:00:14.810+02:00</t>
  </si>
  <si>
    <t xml:space="preserve">2024-08-24T22:15:48.656+02:00</t>
  </si>
  <si>
    <t xml:space="preserve">2024-08-24T21:58:12.955+02:00</t>
  </si>
  <si>
    <t xml:space="preserve">2024-08-24T22:14:34.562+02:00</t>
  </si>
  <si>
    <t xml:space="preserve">2024-08-24T21:57:46.615+02:00</t>
  </si>
  <si>
    <t xml:space="preserve">2024-08-24T22:05:41.765+02:00</t>
  </si>
  <si>
    <t xml:space="preserve">2024-08-24T21:35:41.332+02:00</t>
  </si>
  <si>
    <t xml:space="preserve">2024-08-24T21:47:43.539+02:00</t>
  </si>
  <si>
    <t xml:space="preserve">2024-08-24T21:26:13.753+02:00</t>
  </si>
  <si>
    <t xml:space="preserve">2024-08-24T21:33:19.597+02:00</t>
  </si>
  <si>
    <t xml:space="preserve">2024-08-24T21:10:15.699+02:00</t>
  </si>
  <si>
    <t xml:space="preserve">2024-08-24T21:19:04.630+02:00</t>
  </si>
  <si>
    <t xml:space="preserve">2024-08-24T21:05:13.814+02:00</t>
  </si>
  <si>
    <t xml:space="preserve">2024-08-24T21:16:55.634+02:00</t>
  </si>
  <si>
    <t xml:space="preserve">2024-08-24T21:05:13.792+02:00</t>
  </si>
  <si>
    <t xml:space="preserve">2024-08-24T21:12:25.581+02:00</t>
  </si>
  <si>
    <t xml:space="preserve">2024-08-24T20:55:15.525+02:00</t>
  </si>
  <si>
    <t xml:space="preserve">2024-08-24T21:05:23.566+02:00</t>
  </si>
  <si>
    <t xml:space="preserve">2024-08-24T20:47:53.008+02:00</t>
  </si>
  <si>
    <t xml:space="preserve">2024-08-24T20:50:47.263+02:00</t>
  </si>
  <si>
    <t xml:space="preserve">2024-08-24T20:37:02.269+02:00</t>
  </si>
  <si>
    <t xml:space="preserve">2024-08-24T20:42:34.348+02:00</t>
  </si>
  <si>
    <t xml:space="preserve">2024-08-24T21:01:29.233+02:00</t>
  </si>
  <si>
    <t xml:space="preserve">2024-08-24T20:37:02.942+02:00</t>
  </si>
  <si>
    <t xml:space="preserve">2024-08-24T20:29:02.308+02:00</t>
  </si>
  <si>
    <t xml:space="preserve">2024-08-24T20:39:42.285+02:00</t>
  </si>
  <si>
    <t xml:space="preserve">2024-08-24T20:50:01.921+02:00</t>
  </si>
  <si>
    <t xml:space="preserve">2024-08-24T20:29:02.820+02:00</t>
  </si>
  <si>
    <t xml:space="preserve">2024-08-24T20:23:51.941+02:00</t>
  </si>
  <si>
    <t xml:space="preserve">2024-08-24T20:30:02.465+02:00</t>
  </si>
  <si>
    <t xml:space="preserve">2024-08-24T20:23:02.130+02:00</t>
  </si>
  <si>
    <t xml:space="preserve">2024-08-24T20:42:00.281+02:00</t>
  </si>
  <si>
    <t xml:space="preserve">2024-08-24T20:19:02.278+02:00</t>
  </si>
  <si>
    <t xml:space="preserve">2024-08-24T20:24:13.340+02:00</t>
  </si>
  <si>
    <t xml:space="preserve">2024-08-24T20:17:01.625+02:00</t>
  </si>
  <si>
    <t xml:space="preserve">2024-08-24T20:23:25.234+02:00</t>
  </si>
  <si>
    <t xml:space="preserve">2024-08-24T20:14:16.421+02:00</t>
  </si>
  <si>
    <t xml:space="preserve">2024-08-24T20:21:02.680+02:00</t>
  </si>
  <si>
    <t xml:space="preserve">2024-08-24T20:11:18.479+02:00</t>
  </si>
  <si>
    <t xml:space="preserve">2024-08-24T20:20:09.526+02:00</t>
  </si>
  <si>
    <t xml:space="preserve">2024-08-24T20:07:32.945+02:00</t>
  </si>
  <si>
    <t xml:space="preserve">2024-08-24T20:16:52.415+02:00</t>
  </si>
  <si>
    <t xml:space="preserve">2024-08-24T20:07:28.837+02:00</t>
  </si>
  <si>
    <t xml:space="preserve">2024-08-24T20:15:16.429+02:00</t>
  </si>
  <si>
    <t xml:space="preserve">2024-08-24T20:06:01.630+02:00</t>
  </si>
  <si>
    <t xml:space="preserve">2024-08-24T20:20:30.281+02:00</t>
  </si>
  <si>
    <t xml:space="preserve">2024-08-24T20:30:32.449+02:00</t>
  </si>
  <si>
    <t xml:space="preserve">2024-08-24T20:06:02.106+02:00</t>
  </si>
  <si>
    <t xml:space="preserve">2024-08-24T20:05:15.019+02:00</t>
  </si>
  <si>
    <t xml:space="preserve">2024-08-24T20:14:24.541+02:00</t>
  </si>
  <si>
    <t xml:space="preserve">2024-08-24T20:05:14.640+02:00</t>
  </si>
  <si>
    <t xml:space="preserve">2024-08-24T20:11:27.494+02:00</t>
  </si>
  <si>
    <t xml:space="preserve">2024-08-24T20:02:30.292+02:00</t>
  </si>
  <si>
    <t xml:space="preserve">2024-08-24T20:11:06.497+02:00</t>
  </si>
  <si>
    <t xml:space="preserve">2024-08-24T20:01:02.678+02:00</t>
  </si>
  <si>
    <t xml:space="preserve">2024-08-24T20:06:54.238+02:00</t>
  </si>
  <si>
    <t xml:space="preserve">2024-08-24T19:57:15.822+02:00</t>
  </si>
  <si>
    <t xml:space="preserve">2024-08-24T20:03:32.516+02:00</t>
  </si>
  <si>
    <t xml:space="preserve">KHAYDAROV</t>
  </si>
  <si>
    <t xml:space="preserve">2024-08-24T19:54:57.293+02:00</t>
  </si>
  <si>
    <t xml:space="preserve">2024-08-24T20:04:22.410+02:00</t>
  </si>
  <si>
    <t xml:space="preserve">2024-08-24T19:53:01.709+02:00</t>
  </si>
  <si>
    <t xml:space="preserve">2024-08-24T20:01:36.276+02:00</t>
  </si>
  <si>
    <t xml:space="preserve">2024-08-24T20:23:21.226+02:00</t>
  </si>
  <si>
    <t xml:space="preserve">2024-08-24T19:53:02.295+02:00</t>
  </si>
  <si>
    <t xml:space="preserve">2024-08-24T19:48:13.226+02:00</t>
  </si>
  <si>
    <t xml:space="preserve">2024-08-24T19:57:12.463+02:00</t>
  </si>
  <si>
    <t xml:space="preserve">2024-08-24T19:46:38.169+02:00</t>
  </si>
  <si>
    <t xml:space="preserve">2024-08-24T19:59:15.232+02:00</t>
  </si>
  <si>
    <t xml:space="preserve">2024-08-24T19:46:17.408+02:00</t>
  </si>
  <si>
    <t xml:space="preserve">2024-08-24T19:56:37.630+02:00</t>
  </si>
  <si>
    <t xml:space="preserve">2024-08-24T19:43:15.397+02:00</t>
  </si>
  <si>
    <t xml:space="preserve">2024-08-24T19:55:09.526+02:00</t>
  </si>
  <si>
    <t xml:space="preserve">2024-08-24T19:40:13.727+02:00</t>
  </si>
  <si>
    <t xml:space="preserve">2024-08-24T19:52:55.489+02:00</t>
  </si>
  <si>
    <t xml:space="preserve">2024-08-24T19:36:02.317+02:00</t>
  </si>
  <si>
    <t xml:space="preserve">2024-08-24T20:13:01.240+02:00</t>
  </si>
  <si>
    <t xml:space="preserve">2024-08-24T19:28:01.991+02:00</t>
  </si>
  <si>
    <t xml:space="preserve">2024-08-24T19:36:57.230+02:00</t>
  </si>
  <si>
    <t xml:space="preserve">2024-08-24T19:59:29.031+02:00</t>
  </si>
  <si>
    <t xml:space="preserve">2024-08-24T19:28:02.611+02:00</t>
  </si>
  <si>
    <t xml:space="preserve">2024-08-24T19:27:02.194+02:00</t>
  </si>
  <si>
    <t xml:space="preserve">2024-08-24T19:36:56.230+02:00</t>
  </si>
  <si>
    <t xml:space="preserve">2024-08-24T19:48:48.957+02:00</t>
  </si>
  <si>
    <t xml:space="preserve">2024-08-24T19:27:02.764+02:00</t>
  </si>
  <si>
    <t xml:space="preserve">2024-08-24T19:23:17.606+02:00</t>
  </si>
  <si>
    <t xml:space="preserve">2024-08-24T19:31:02.405+02:00</t>
  </si>
  <si>
    <t xml:space="preserve">2024-08-24T19:21:46.672+02:00</t>
  </si>
  <si>
    <t xml:space="preserve">2024-08-24T19:30:12.507+02:00</t>
  </si>
  <si>
    <t xml:space="preserve">2024-08-24T19:18:01.677+02:00</t>
  </si>
  <si>
    <t xml:space="preserve">2024-08-24T19:26:12.300+02:00</t>
  </si>
  <si>
    <t xml:space="preserve">2024-08-24T19:45:23.190+02:00</t>
  </si>
  <si>
    <t xml:space="preserve">2024-08-24T19:18:02.250+02:00</t>
  </si>
  <si>
    <t xml:space="preserve">2024-08-24T19:12:11.122+02:00</t>
  </si>
  <si>
    <t xml:space="preserve">2024-08-24T19:18:34.524+02:00</t>
  </si>
  <si>
    <t xml:space="preserve">2024-08-24T19:05:01.556+02:00</t>
  </si>
  <si>
    <t xml:space="preserve">2024-08-24T19:12:59.272+02:00</t>
  </si>
  <si>
    <t xml:space="preserve">2024-08-24T19:17:25.658+02:00</t>
  </si>
  <si>
    <t xml:space="preserve">2024-08-24T19:05:02.272+02:00</t>
  </si>
  <si>
    <t xml:space="preserve">2024-08-24T19:02:39.365+02:00</t>
  </si>
  <si>
    <t xml:space="preserve">2024-08-24T19:09:39.331+02:00</t>
  </si>
  <si>
    <t xml:space="preserve">2024-08-24T18:59:11.873+02:00</t>
  </si>
  <si>
    <t xml:space="preserve">2024-08-24T19:10:17.471+02:00</t>
  </si>
  <si>
    <t xml:space="preserve">2024-08-24T18:51:38.331+02:00</t>
  </si>
  <si>
    <t xml:space="preserve">2024-08-24T18:58:14.487+02:00</t>
  </si>
  <si>
    <t xml:space="preserve">2024-08-24T18:51:02.005+02:00</t>
  </si>
  <si>
    <t xml:space="preserve">2024-08-24T18:56:23.295+02:00</t>
  </si>
  <si>
    <t xml:space="preserve">2024-08-24T18:46:09.116+02:00</t>
  </si>
  <si>
    <t xml:space="preserve">2024-08-24T18:53:45.417+02:00</t>
  </si>
  <si>
    <t xml:space="preserve">2024-08-24T18:41:02.263+02:00</t>
  </si>
  <si>
    <t xml:space="preserve">2024-08-24T18:47:49.278+02:00</t>
  </si>
  <si>
    <t xml:space="preserve">2024-08-24T18:36:01.365+02:00</t>
  </si>
  <si>
    <t xml:space="preserve">2024-08-24T18:42:42.267+02:00</t>
  </si>
  <si>
    <t xml:space="preserve">2024-08-24T18:54:14.808+02:00</t>
  </si>
  <si>
    <t xml:space="preserve">2024-08-24T18:36:02.128+02:00</t>
  </si>
  <si>
    <t xml:space="preserve">2024-08-24T18:30:26.042+02:00</t>
  </si>
  <si>
    <t xml:space="preserve">2024-08-24T18:38:52.677+02:00</t>
  </si>
  <si>
    <t xml:space="preserve">2024-08-24T18:25:58.831+02:00</t>
  </si>
  <si>
    <t xml:space="preserve">2024-08-24T18:32:13.455+02:00</t>
  </si>
  <si>
    <t xml:space="preserve">Amr</t>
  </si>
  <si>
    <t xml:space="preserve">2024-08-24T18:22:17.782+02:00</t>
  </si>
  <si>
    <t xml:space="preserve">2024-08-24T18:29:30.340+02:00</t>
  </si>
  <si>
    <t xml:space="preserve">2024-08-24T18:12:19.036+02:00</t>
  </si>
  <si>
    <t xml:space="preserve">2024-08-24T18:17:12.667+02:00</t>
  </si>
  <si>
    <t xml:space="preserve">2024-08-24T18:09:27.480+02:00</t>
  </si>
  <si>
    <t xml:space="preserve">2024-08-24T18:13:12.472+02:00</t>
  </si>
  <si>
    <t xml:space="preserve">2024-08-24T18:09:27.452+02:00</t>
  </si>
  <si>
    <t xml:space="preserve">2024-08-24T18:15:14.452+02:00</t>
  </si>
  <si>
    <t xml:space="preserve">2024-08-24T17:48:02.692+02:00</t>
  </si>
  <si>
    <t xml:space="preserve">2024-08-24T17:55:22.247+02:00</t>
  </si>
  <si>
    <t xml:space="preserve">2024-08-24T17:43:10.241+02:00</t>
  </si>
  <si>
    <t xml:space="preserve">2024-08-24T17:49:58.525+02:00</t>
  </si>
  <si>
    <t xml:space="preserve">2024-08-24T17:40:08.506+02:00</t>
  </si>
  <si>
    <t xml:space="preserve">2024-08-24T17:47:34.511+02:00</t>
  </si>
  <si>
    <t xml:space="preserve">2024-08-24T17:40:02.131+02:00</t>
  </si>
  <si>
    <t xml:space="preserve">2024-08-24T17:46:52.257+02:00</t>
  </si>
  <si>
    <t xml:space="preserve">2024-08-24T17:58:03.917+02:00</t>
  </si>
  <si>
    <t xml:space="preserve">2024-08-24T17:40:02.742+02:00</t>
  </si>
  <si>
    <t xml:space="preserve">2024-08-24T17:30:01.429+02:00</t>
  </si>
  <si>
    <t xml:space="preserve">2024-08-24T17:37:06.523+02:00</t>
  </si>
  <si>
    <t xml:space="preserve">2024-08-24T17:18:01.585+02:00</t>
  </si>
  <si>
    <t xml:space="preserve">2024-08-24T17:24:55.300+02:00</t>
  </si>
  <si>
    <t xml:space="preserve">2024-08-24T17:33:04.792+02:00</t>
  </si>
  <si>
    <t xml:space="preserve">2024-08-24T17:18:02.272+02:00</t>
  </si>
  <si>
    <t xml:space="preserve">2024-08-24T16:55:04.064+02:00</t>
  </si>
  <si>
    <t xml:space="preserve">2024-08-24T17:02:30.502+02:00</t>
  </si>
  <si>
    <t xml:space="preserve">2024-08-24T16:51:01.554+02:00</t>
  </si>
  <si>
    <t xml:space="preserve">2024-08-24T17:03:35.270+02:00</t>
  </si>
  <si>
    <t xml:space="preserve">2024-08-24T17:09:51.396+02:00</t>
  </si>
  <si>
    <t xml:space="preserve">2024-08-24T16:51:02.024+02:00</t>
  </si>
  <si>
    <t xml:space="preserve">2024-08-24T16:47:56.522+02:00</t>
  </si>
  <si>
    <t xml:space="preserve">2024-08-24T17:02:49.477+02:00</t>
  </si>
  <si>
    <t xml:space="preserve">2024-08-24T16:36:01.977+02:00</t>
  </si>
  <si>
    <t xml:space="preserve">2024-08-24T16:41:55.255+02:00</t>
  </si>
  <si>
    <t xml:space="preserve">2024-08-24T16:52:27.357+02:00</t>
  </si>
  <si>
    <t xml:space="preserve">2024-08-24T16:36:02.822+02:00</t>
  </si>
  <si>
    <t xml:space="preserve">2024-08-24T16:35:57.889+02:00</t>
  </si>
  <si>
    <t xml:space="preserve">2024-08-24T16:40:46.410+02:00</t>
  </si>
  <si>
    <t xml:space="preserve">2024-08-24T16:09:02.507+02:00</t>
  </si>
  <si>
    <t xml:space="preserve">2024-08-24T16:18:44.432+02:00</t>
  </si>
  <si>
    <t xml:space="preserve">2024-08-24T15:58:01.353+02:00</t>
  </si>
  <si>
    <t xml:space="preserve">2024-08-24T16:04:51.231+02:00</t>
  </si>
  <si>
    <t xml:space="preserve">2024-08-24T15:34:06.980+02:00</t>
  </si>
  <si>
    <t xml:space="preserve">2024-08-24T15:41:25.513+02:00</t>
  </si>
  <si>
    <t xml:space="preserve">2024-08-24T15:32:15.471+02:00</t>
  </si>
  <si>
    <t xml:space="preserve">2024-08-24T15:39:29.388+02:00</t>
  </si>
  <si>
    <t xml:space="preserve">2024-08-24T15:31:37.945+02:00</t>
  </si>
  <si>
    <t xml:space="preserve">2024-08-24T15:43:57.130+02:00</t>
  </si>
  <si>
    <t xml:space="preserve">2024-08-24T15:31:01.946+02:00</t>
  </si>
  <si>
    <t xml:space="preserve">2024-08-24T15:46:27.208+02:00</t>
  </si>
  <si>
    <t xml:space="preserve">2024-08-24T15:30:01.598+02:00</t>
  </si>
  <si>
    <t xml:space="preserve">2024-08-24T15:37:48.288+02:00</t>
  </si>
  <si>
    <t xml:space="preserve">2024-08-24T15:52:31.598+02:00</t>
  </si>
  <si>
    <t xml:space="preserve">2024-08-24T15:30:02.518+02:00</t>
  </si>
  <si>
    <t xml:space="preserve">Zilolahon</t>
  </si>
  <si>
    <t xml:space="preserve">2024-08-24T15:26:14.824+02:00</t>
  </si>
  <si>
    <t xml:space="preserve">2024-08-24T15:36:40.408+02:00</t>
  </si>
  <si>
    <t xml:space="preserve">2024-08-24T15:10:33.027+02:00</t>
  </si>
  <si>
    <t xml:space="preserve">2024-08-24T15:16:47.415+02:00</t>
  </si>
  <si>
    <t xml:space="preserve">2024-08-24T14:49:02.049+02:00</t>
  </si>
  <si>
    <t xml:space="preserve">2024-08-24T15:00:21.253+02:00</t>
  </si>
  <si>
    <t xml:space="preserve">2024-08-24T15:07:29.881+02:00</t>
  </si>
  <si>
    <t xml:space="preserve">2024-08-24T14:49:02.482+02:00</t>
  </si>
  <si>
    <t xml:space="preserve">2024-08-24T14:47:05.196+02:00</t>
  </si>
  <si>
    <t xml:space="preserve">2024-08-24T14:59:28.606+02:00</t>
  </si>
  <si>
    <t xml:space="preserve">2024-08-24T14:46:03.760+02:00</t>
  </si>
  <si>
    <t xml:space="preserve">2024-08-24T14:59:47.818+02:00</t>
  </si>
  <si>
    <t xml:space="preserve">2024-08-24T14:33:05.599+02:00</t>
  </si>
  <si>
    <t xml:space="preserve">2024-08-24T14:40:25.615+02:00</t>
  </si>
  <si>
    <t xml:space="preserve">2024-08-24T14:26:06.612+02:00</t>
  </si>
  <si>
    <t xml:space="preserve">2024-08-24T14:34:02.576+02:00</t>
  </si>
  <si>
    <t xml:space="preserve">2024-08-24T14:20:04.948+02:00</t>
  </si>
  <si>
    <t xml:space="preserve">2024-08-24T14:28:46.645+02:00</t>
  </si>
  <si>
    <t xml:space="preserve">2024-08-24T14:17:04.027+02:00</t>
  </si>
  <si>
    <t xml:space="preserve">2024-08-24T14:25:16.785+02:00</t>
  </si>
  <si>
    <t xml:space="preserve">Vitalii</t>
  </si>
  <si>
    <t xml:space="preserve">2024-08-24T14:01:53.715+02:00</t>
  </si>
  <si>
    <t xml:space="preserve">2024-08-24T14:11:34.415+02:00</t>
  </si>
  <si>
    <t xml:space="preserve">2024-08-24T14:01:07.666+02:00</t>
  </si>
  <si>
    <t xml:space="preserve">2024-08-24T14:07:11.527+02:00</t>
  </si>
  <si>
    <t xml:space="preserve">2024-08-24T13:51:04.840+02:00</t>
  </si>
  <si>
    <t xml:space="preserve">2024-08-24T14:00:14.626+02:00</t>
  </si>
  <si>
    <t xml:space="preserve">2024-08-24T13:50:53.579+02:00</t>
  </si>
  <si>
    <t xml:space="preserve">2024-08-24T13:57:53.486+02:00</t>
  </si>
  <si>
    <t xml:space="preserve">2024-08-24T13:38:01.839+02:00</t>
  </si>
  <si>
    <t xml:space="preserve">2024-08-24T13:48:23.241+02:00</t>
  </si>
  <si>
    <t xml:space="preserve">2024-08-24T14:04:37.047+02:00</t>
  </si>
  <si>
    <t xml:space="preserve">2024-08-24T13:38:02.506+02:00</t>
  </si>
  <si>
    <t xml:space="preserve">2024-08-24T13:34:03.357+02:00</t>
  </si>
  <si>
    <t xml:space="preserve">2024-08-24T13:41:20.486+02:00</t>
  </si>
  <si>
    <t xml:space="preserve">2024-08-24T13:31:04.955+02:00</t>
  </si>
  <si>
    <t xml:space="preserve">2024-08-24T13:44:40.384+02:00</t>
  </si>
  <si>
    <t xml:space="preserve">2024-08-24T13:20:01.314+02:00</t>
  </si>
  <si>
    <t xml:space="preserve">2024-08-24T13:28:25.190+02:00</t>
  </si>
  <si>
    <t xml:space="preserve">2024-08-24T13:16:01.523+02:00</t>
  </si>
  <si>
    <t xml:space="preserve">2024-08-24T13:23:13.294+02:00</t>
  </si>
  <si>
    <t xml:space="preserve">2024-08-24T13:34:04.268+02:00</t>
  </si>
  <si>
    <t xml:space="preserve">2024-08-24T13:16:02.189+02:00</t>
  </si>
  <si>
    <t xml:space="preserve">2024-08-24T13:13:02.194+02:00</t>
  </si>
  <si>
    <t xml:space="preserve">2024-08-24T13:20:25.204+02:00</t>
  </si>
  <si>
    <t xml:space="preserve">2024-08-24T13:10:02.133+02:00</t>
  </si>
  <si>
    <t xml:space="preserve">2024-08-24T13:16:55.382+02:00</t>
  </si>
  <si>
    <t xml:space="preserve">2024-08-24T13:47:17.402+02:00</t>
  </si>
  <si>
    <t xml:space="preserve">2024-08-24T13:15:44.125+02:00</t>
  </si>
  <si>
    <t xml:space="preserve">2024-08-24T13:06:57.956+02:00</t>
  </si>
  <si>
    <t xml:space="preserve">2024-08-24T13:13:35.218+02:00</t>
  </si>
  <si>
    <t xml:space="preserve">2024-08-24T12:58:02.930+02:00</t>
  </si>
  <si>
    <t xml:space="preserve">2024-08-24T13:08:08.614+02:00</t>
  </si>
  <si>
    <t xml:space="preserve">2024-08-24T12:57:12.440+02:00</t>
  </si>
  <si>
    <t xml:space="preserve">2024-08-24T13:06:02.535+02:00</t>
  </si>
  <si>
    <t xml:space="preserve">2024-08-24T12:57:03.265+02:00</t>
  </si>
  <si>
    <t xml:space="preserve">2024-08-24T13:05:09.501+02:00</t>
  </si>
  <si>
    <t xml:space="preserve">2024-08-24T12:45:47.275+02:00</t>
  </si>
  <si>
    <t xml:space="preserve">2024-08-24T12:52:56.465+02:00</t>
  </si>
  <si>
    <t xml:space="preserve">2024-08-24T12:35:03.729+02:00</t>
  </si>
  <si>
    <t xml:space="preserve">2024-08-24T12:43:15.484+02:00</t>
  </si>
  <si>
    <t xml:space="preserve">2024-08-24T12:35:02.463+02:00</t>
  </si>
  <si>
    <t xml:space="preserve">2024-08-24T12:42:12.536+02:00</t>
  </si>
  <si>
    <t xml:space="preserve">2024-08-24T12:30:04.815+02:00</t>
  </si>
  <si>
    <t xml:space="preserve">2024-08-24T12:37:46.456+02:00</t>
  </si>
  <si>
    <t xml:space="preserve">2024-08-24T12:23:01.486+02:00</t>
  </si>
  <si>
    <t xml:space="preserve">2024-08-24T12:33:31.194+02:00</t>
  </si>
  <si>
    <t xml:space="preserve">2024-08-24T12:21:01.735+02:00</t>
  </si>
  <si>
    <t xml:space="preserve">2024-08-24T12:28:52.327+02:00</t>
  </si>
  <si>
    <t xml:space="preserve">2024-08-24T12:48:53.457+02:00</t>
  </si>
  <si>
    <t xml:space="preserve">2024-08-24T12:21:02.413+02:00</t>
  </si>
  <si>
    <t xml:space="preserve">2024-08-24T12:09:08.713+02:00</t>
  </si>
  <si>
    <t xml:space="preserve">2024-08-24T12:14:48.673+02:00</t>
  </si>
  <si>
    <t xml:space="preserve">2024-08-24T12:00:04.078+02:00</t>
  </si>
  <si>
    <t xml:space="preserve">2024-08-24T12:08:17.568+02:00</t>
  </si>
  <si>
    <t xml:space="preserve">2024-08-24T11:56:02.497+02:00</t>
  </si>
  <si>
    <t xml:space="preserve">2024-08-24T12:02:56.336+02:00</t>
  </si>
  <si>
    <t xml:space="preserve">2024-08-24T12:07:04.763+02:00</t>
  </si>
  <si>
    <t xml:space="preserve">2024-08-24T11:56:03.211+02:00</t>
  </si>
  <si>
    <t xml:space="preserve">2024-08-24T11:51:01.480+02:00</t>
  </si>
  <si>
    <t xml:space="preserve">2024-08-24T12:01:44.258+02:00</t>
  </si>
  <si>
    <t xml:space="preserve">2024-08-24T12:22:06.010+02:00</t>
  </si>
  <si>
    <t xml:space="preserve">2024-08-24T11:51:02.282+02:00</t>
  </si>
  <si>
    <t xml:space="preserve">2024-08-24T11:48:01.596+02:00</t>
  </si>
  <si>
    <t xml:space="preserve">2024-08-24T11:59:53.244+02:00</t>
  </si>
  <si>
    <t xml:space="preserve">2024-08-24T12:19:35.261+02:00</t>
  </si>
  <si>
    <t xml:space="preserve">2024-08-24T11:53:42.916+02:00</t>
  </si>
  <si>
    <t xml:space="preserve">2024-08-24T11:28:01.033+02:00</t>
  </si>
  <si>
    <t xml:space="preserve">2024-08-24T11:35:26.464+02:00</t>
  </si>
  <si>
    <t xml:space="preserve">2024-08-24T11:26:57.826+02:00</t>
  </si>
  <si>
    <t xml:space="preserve">2024-08-24T11:34:03.400+02:00</t>
  </si>
  <si>
    <t xml:space="preserve">2024-08-24T11:19:00.736+02:00</t>
  </si>
  <si>
    <t xml:space="preserve">2024-08-24T11:25:10.879+02:00</t>
  </si>
  <si>
    <t xml:space="preserve">Pavel</t>
  </si>
  <si>
    <t xml:space="preserve">2024-08-24T11:16:28.959+02:00</t>
  </si>
  <si>
    <t xml:space="preserve">2024-08-24T11:25:09.425+02:00</t>
  </si>
  <si>
    <t xml:space="preserve">2024-08-24T11:12:00.350+02:00</t>
  </si>
  <si>
    <t xml:space="preserve">2024-08-24T11:20:37.444+02:00</t>
  </si>
  <si>
    <t xml:space="preserve">2024-08-24T11:10:01.768+02:00</t>
  </si>
  <si>
    <t xml:space="preserve">2024-08-24T11:21:40.225+02:00</t>
  </si>
  <si>
    <t xml:space="preserve">2024-08-24T11:37:55.551+02:00</t>
  </si>
  <si>
    <t xml:space="preserve">2024-08-24T11:10:02.448+02:00</t>
  </si>
  <si>
    <t xml:space="preserve">2024-08-24T11:06:01.853+02:00</t>
  </si>
  <si>
    <t xml:space="preserve">2024-08-24T11:17:47.602+02:00</t>
  </si>
  <si>
    <t xml:space="preserve">2024-08-24T11:05:59.142+02:00</t>
  </si>
  <si>
    <t xml:space="preserve">2024-08-24T11:14:47.508+02:00</t>
  </si>
  <si>
    <t xml:space="preserve">2024-08-24T11:02:48.840+02:00</t>
  </si>
  <si>
    <t xml:space="preserve">2024-08-24T11:09:56.627+02:00</t>
  </si>
  <si>
    <t xml:space="preserve">2024-08-24T10:14:01.603+02:00</t>
  </si>
  <si>
    <t xml:space="preserve">2024-08-24T11:08:16.634+02:00</t>
  </si>
  <si>
    <t xml:space="preserve">2024-08-24T11:17:13.229+02:00</t>
  </si>
  <si>
    <t xml:space="preserve">2024-08-24T10:14:02.259+02:00</t>
  </si>
  <si>
    <t xml:space="preserve">2024-08-26T23:32:01.836+02:00</t>
  </si>
  <si>
    <t xml:space="preserve">2024-08-26T23:42:59.032+02:00</t>
  </si>
  <si>
    <t xml:space="preserve">2024-08-27T00:02:40.908+02:00</t>
  </si>
  <si>
    <t xml:space="preserve">2024-08-26T23:33:00.577+02:00</t>
  </si>
  <si>
    <t xml:space="preserve">2024-08-26T23:24:55.727+02:00</t>
  </si>
  <si>
    <t xml:space="preserve">2024-08-26T23:32:56.083+02:00</t>
  </si>
  <si>
    <t xml:space="preserve">2024-08-26T23:05:08.228+02:00</t>
  </si>
  <si>
    <t xml:space="preserve">2024-08-26T23:15:26.458+02:00</t>
  </si>
  <si>
    <t xml:space="preserve">2024-08-26T22:52:38.307+02:00</t>
  </si>
  <si>
    <t xml:space="preserve">2024-08-26T23:06:19.169+02:00</t>
  </si>
  <si>
    <t xml:space="preserve">2024-08-26T22:51:11.791+02:00</t>
  </si>
  <si>
    <t xml:space="preserve">2024-08-26T22:51:57.287+02:00</t>
  </si>
  <si>
    <t xml:space="preserve">2024-08-26T22:44:01.902+02:00</t>
  </si>
  <si>
    <t xml:space="preserve">2024-08-26T22:54:08.986+02:00</t>
  </si>
  <si>
    <t xml:space="preserve">2024-08-26T22:57:28.176+02:00</t>
  </si>
  <si>
    <t xml:space="preserve">2024-08-26T22:44:02.506+02:00</t>
  </si>
  <si>
    <t xml:space="preserve">2024-08-26T22:40:11.026+02:00</t>
  </si>
  <si>
    <t xml:space="preserve">2024-08-26T22:40:37.298+02:00</t>
  </si>
  <si>
    <t xml:space="preserve">2024-08-26T22:39:48.319+02:00</t>
  </si>
  <si>
    <t xml:space="preserve">2024-08-26T22:40:10.928+02:00</t>
  </si>
  <si>
    <t xml:space="preserve">Daviti</t>
  </si>
  <si>
    <t xml:space="preserve">2024-08-26T22:19:09.590+02:00</t>
  </si>
  <si>
    <t xml:space="preserve">2024-08-26T22:27:37.036+02:00</t>
  </si>
  <si>
    <t xml:space="preserve">Kamran</t>
  </si>
  <si>
    <t xml:space="preserve">2024-08-26T22:13:33.922+02:00</t>
  </si>
  <si>
    <t xml:space="preserve">2024-08-26T22:24:32.007+02:00</t>
  </si>
  <si>
    <t xml:space="preserve">2024-08-26T22:10:01.873+02:00</t>
  </si>
  <si>
    <t xml:space="preserve">2024-08-26T22:18:44.864+02:00</t>
  </si>
  <si>
    <t xml:space="preserve">2024-08-26T22:03:01.472+02:00</t>
  </si>
  <si>
    <t xml:space="preserve">2024-08-26T22:12:28.165+02:00</t>
  </si>
  <si>
    <t xml:space="preserve">2024-08-26T22:49:53.049+02:00</t>
  </si>
  <si>
    <t xml:space="preserve">2024-08-26T22:13:45.240+02:00</t>
  </si>
  <si>
    <t xml:space="preserve">2024-08-26T21:57:10.929+02:00</t>
  </si>
  <si>
    <t xml:space="preserve">2024-08-26T22:04:45.258+02:00</t>
  </si>
  <si>
    <t xml:space="preserve">2024-08-26T21:53:50.152+02:00</t>
  </si>
  <si>
    <t xml:space="preserve">2024-08-26T22:00:27.134+02:00</t>
  </si>
  <si>
    <t xml:space="preserve">2024-08-26T21:25:11.120+02:00</t>
  </si>
  <si>
    <t xml:space="preserve">2024-08-26T21:31:51.105+02:00</t>
  </si>
  <si>
    <t xml:space="preserve">2024-08-26T21:25:01.365+02:00</t>
  </si>
  <si>
    <t xml:space="preserve">2024-08-26T21:36:43.828+02:00</t>
  </si>
  <si>
    <t xml:space="preserve">2024-08-26T21:13:11.757+02:00</t>
  </si>
  <si>
    <t xml:space="preserve">2024-08-26T21:22:48.194+02:00</t>
  </si>
  <si>
    <t xml:space="preserve">2024-08-26T21:09:59.997+02:00</t>
  </si>
  <si>
    <t xml:space="preserve">2024-08-26T21:16:31.991+02:00</t>
  </si>
  <si>
    <t xml:space="preserve">2024-08-26T21:02:55.239+02:00</t>
  </si>
  <si>
    <t xml:space="preserve">2024-08-26T21:09:18.270+02:00</t>
  </si>
  <si>
    <t xml:space="preserve">2024-08-26T20:59:22.266+02:00</t>
  </si>
  <si>
    <t xml:space="preserve">2024-08-26T21:04:43.996+02:00</t>
  </si>
  <si>
    <t xml:space="preserve">2024-08-26T20:56:02.347+02:00</t>
  </si>
  <si>
    <t xml:space="preserve">2024-08-26T21:03:00.843+02:00</t>
  </si>
  <si>
    <t xml:space="preserve">2024-08-26T21:12:49.473+02:00</t>
  </si>
  <si>
    <t xml:space="preserve">2024-08-26T20:56:02.888+02:00</t>
  </si>
  <si>
    <t xml:space="preserve">2024-08-26T20:55:01.634+02:00</t>
  </si>
  <si>
    <t xml:space="preserve">2024-08-26T21:06:02.948+02:00</t>
  </si>
  <si>
    <t xml:space="preserve">2024-08-26T21:36:32.582+02:00</t>
  </si>
  <si>
    <t xml:space="preserve">2024-08-26T21:03:40.703+02:00</t>
  </si>
  <si>
    <t xml:space="preserve">2024-08-26T20:43:12.733+02:00</t>
  </si>
  <si>
    <t xml:space="preserve">2024-08-26T20:54:39.192+02:00</t>
  </si>
  <si>
    <t xml:space="preserve">2024-08-26T20:39:13.937+02:00</t>
  </si>
  <si>
    <t xml:space="preserve">2024-08-26T20:49:03.094+02:00</t>
  </si>
  <si>
    <t xml:space="preserve">2024-08-26T20:38:11.043+02:00</t>
  </si>
  <si>
    <t xml:space="preserve">2024-08-26T20:45:08.086+02:00</t>
  </si>
  <si>
    <t xml:space="preserve">2024-08-26T20:31:40.780+02:00</t>
  </si>
  <si>
    <t xml:space="preserve">2024-08-26T20:38:50.802+02:00</t>
  </si>
  <si>
    <t xml:space="preserve">2024-08-26T20:23:01.531+02:00</t>
  </si>
  <si>
    <t xml:space="preserve">2024-08-26T20:32:59.856+02:00</t>
  </si>
  <si>
    <t xml:space="preserve">2024-08-26T20:45:46.697+02:00</t>
  </si>
  <si>
    <t xml:space="preserve">2024-08-26T20:23:02.128+02:00</t>
  </si>
  <si>
    <t xml:space="preserve">2024-08-26T20:21:16.898+02:00</t>
  </si>
  <si>
    <t xml:space="preserve">2024-08-26T20:31:12.146+02:00</t>
  </si>
  <si>
    <t xml:space="preserve">2024-08-26T20:14:02.194+02:00</t>
  </si>
  <si>
    <t xml:space="preserve">2024-08-26T20:37:43.895+02:00</t>
  </si>
  <si>
    <t xml:space="preserve">2024-08-26T20:53:12.840+02:00</t>
  </si>
  <si>
    <t xml:space="preserve">2024-08-26T20:14:02.848+02:00</t>
  </si>
  <si>
    <t xml:space="preserve">2024-08-26T20:10:01.746+02:00</t>
  </si>
  <si>
    <t xml:space="preserve">2024-08-26T20:19:10.819+02:00</t>
  </si>
  <si>
    <t xml:space="preserve">2024-08-26T20:10:01.734+02:00</t>
  </si>
  <si>
    <t xml:space="preserve">2024-08-26T20:20:55.777+02:00</t>
  </si>
  <si>
    <t xml:space="preserve">2024-08-26T20:00:01.667+02:00</t>
  </si>
  <si>
    <t xml:space="preserve">2024-08-26T20:05:07.845+02:00</t>
  </si>
  <si>
    <t xml:space="preserve">2024-08-26T20:09:57.172+02:00</t>
  </si>
  <si>
    <t xml:space="preserve">2024-08-26T20:00:02.202+02:00</t>
  </si>
  <si>
    <t xml:space="preserve">2024-08-26T19:52:15.532+02:00</t>
  </si>
  <si>
    <t xml:space="preserve">2024-08-26T20:03:04.024+02:00</t>
  </si>
  <si>
    <t xml:space="preserve">Oleksii</t>
  </si>
  <si>
    <t xml:space="preserve">2024-08-26T19:37:51.810+02:00</t>
  </si>
  <si>
    <t xml:space="preserve">2024-08-26T19:47:18.974+02:00</t>
  </si>
  <si>
    <t xml:space="preserve">2024-08-26T19:34:01.589+02:00</t>
  </si>
  <si>
    <t xml:space="preserve">2024-08-26T19:45:34.849+02:00</t>
  </si>
  <si>
    <t xml:space="preserve">2024-08-26T19:31:17.047+02:00</t>
  </si>
  <si>
    <t xml:space="preserve">2024-08-26T19:38:12.053+02:00</t>
  </si>
  <si>
    <t xml:space="preserve">2024-08-26T19:29:01.978+02:00</t>
  </si>
  <si>
    <t xml:space="preserve">2024-08-26T19:39:13.801+02:00</t>
  </si>
  <si>
    <t xml:space="preserve">2024-08-26T19:25:29.965+02:00</t>
  </si>
  <si>
    <t xml:space="preserve">2024-08-26T19:36:06.999+02:00</t>
  </si>
  <si>
    <t xml:space="preserve">2024-08-26T19:22:58.592+02:00</t>
  </si>
  <si>
    <t xml:space="preserve">2024-08-26T19:31:59.007+02:00</t>
  </si>
  <si>
    <t xml:space="preserve">2024-08-26T19:13:31.838+02:00</t>
  </si>
  <si>
    <t xml:space="preserve">2024-08-26T19:21:58.938+02:00</t>
  </si>
  <si>
    <t xml:space="preserve">2024-08-26T19:12:01.865+02:00</t>
  </si>
  <si>
    <t xml:space="preserve">2024-08-26T19:23:16.810+02:00</t>
  </si>
  <si>
    <t xml:space="preserve">2024-08-26T19:35:24.145+02:00</t>
  </si>
  <si>
    <t xml:space="preserve">2024-08-26T19:12:02.407+02:00</t>
  </si>
  <si>
    <t xml:space="preserve">Beka</t>
  </si>
  <si>
    <t xml:space="preserve">2024-08-26T19:11:18.055+02:00</t>
  </si>
  <si>
    <t xml:space="preserve">2024-08-26T19:20:34.999+02:00</t>
  </si>
  <si>
    <t xml:space="preserve">2024-08-26T19:10:35.334+02:00</t>
  </si>
  <si>
    <t xml:space="preserve">2024-08-26T19:19:06.812+02:00</t>
  </si>
  <si>
    <t xml:space="preserve">2024-08-26T19:06:01.822+02:00</t>
  </si>
  <si>
    <t xml:space="preserve">2024-08-26T19:15:04.844+02:00</t>
  </si>
  <si>
    <t xml:space="preserve">2024-08-26T19:46:29.642+02:00</t>
  </si>
  <si>
    <t xml:space="preserve">2024-08-26T19:06:02.623+02:00</t>
  </si>
  <si>
    <t xml:space="preserve">2024-08-26T19:01:01.751+02:00</t>
  </si>
  <si>
    <t xml:space="preserve">2024-08-26T19:13:44.920+02:00</t>
  </si>
  <si>
    <t xml:space="preserve">2024-08-26T19:34:03.362+02:00</t>
  </si>
  <si>
    <t xml:space="preserve">2024-08-26T19:12:48.855+02:00</t>
  </si>
  <si>
    <t xml:space="preserve">2024-08-26T18:43:18.104+02:00</t>
  </si>
  <si>
    <t xml:space="preserve">2024-08-26T18:51:12.096+02:00</t>
  </si>
  <si>
    <t xml:space="preserve">2024-08-26T18:28:12.708+02:00</t>
  </si>
  <si>
    <t xml:space="preserve">2024-08-26T18:33:47.812+02:00</t>
  </si>
  <si>
    <t xml:space="preserve">2024-08-26T18:18:01.570+02:00</t>
  </si>
  <si>
    <t xml:space="preserve">2024-08-26T18:28:38.786+02:00</t>
  </si>
  <si>
    <t xml:space="preserve">2024-08-26T18:14:16.442+02:00</t>
  </si>
  <si>
    <t xml:space="preserve">2024-08-26T18:20:37.073+02:00</t>
  </si>
  <si>
    <t xml:space="preserve">2024-08-26T18:11:07.363+02:00</t>
  </si>
  <si>
    <t xml:space="preserve">2024-08-26T18:19:41.996+02:00</t>
  </si>
  <si>
    <t xml:space="preserve">2024-08-26T18:07:16.917+02:00</t>
  </si>
  <si>
    <t xml:space="preserve">2024-08-26T18:15:02.193+02:00</t>
  </si>
  <si>
    <t xml:space="preserve">2024-08-26T18:01:16.853+02:00</t>
  </si>
  <si>
    <t xml:space="preserve">2024-08-26T18:09:30.217+02:00</t>
  </si>
  <si>
    <t xml:space="preserve">2024-08-26T17:56:02.082+02:00</t>
  </si>
  <si>
    <t xml:space="preserve">2024-08-26T18:02:33.084+02:00</t>
  </si>
  <si>
    <t xml:space="preserve">2024-08-26T17:52:31.191+02:00</t>
  </si>
  <si>
    <t xml:space="preserve">2024-08-26T17:59:07.695+02:00</t>
  </si>
  <si>
    <t xml:space="preserve">2024-08-26T17:40:22.603+02:00</t>
  </si>
  <si>
    <t xml:space="preserve">2024-08-26T17:50:02.113+02:00</t>
  </si>
  <si>
    <t xml:space="preserve">2024-08-26T17:28:07.257+02:00</t>
  </si>
  <si>
    <t xml:space="preserve">2024-08-26T17:37:08.048+02:00</t>
  </si>
  <si>
    <t xml:space="preserve">2024-08-26T17:26:07.457+02:00</t>
  </si>
  <si>
    <t xml:space="preserve">2024-08-26T17:33:50.028+02:00</t>
  </si>
  <si>
    <t xml:space="preserve">2024-08-26T17:22:01.722+02:00</t>
  </si>
  <si>
    <t xml:space="preserve">2024-08-26T17:29:06.822+02:00</t>
  </si>
  <si>
    <t xml:space="preserve">2024-08-26T17:49:12.187+02:00</t>
  </si>
  <si>
    <t xml:space="preserve">2024-08-26T17:22:02.302+02:00</t>
  </si>
  <si>
    <t xml:space="preserve">2024-08-26T17:21:46.870+02:00</t>
  </si>
  <si>
    <t xml:space="preserve">2024-08-26T17:28:43.262+02:00</t>
  </si>
  <si>
    <t xml:space="preserve">2024-08-26T17:28:43.261+02:00</t>
  </si>
  <si>
    <t xml:space="preserve">2024-08-26T17:16:01.392+02:00</t>
  </si>
  <si>
    <t xml:space="preserve">2024-08-26T17:26:52.822+02:00</t>
  </si>
  <si>
    <t xml:space="preserve">2024-08-26T17:36:48.756+02:00</t>
  </si>
  <si>
    <t xml:space="preserve">2024-08-26T17:16:01.911+02:00</t>
  </si>
  <si>
    <t xml:space="preserve">2024-08-26T17:13:06.097+02:00</t>
  </si>
  <si>
    <t xml:space="preserve">2024-08-26T17:23:57.161+02:00</t>
  </si>
  <si>
    <t xml:space="preserve">2024-08-26T17:10:05.578+02:00</t>
  </si>
  <si>
    <t xml:space="preserve">2024-08-26T17:21:09.255+02:00</t>
  </si>
  <si>
    <t xml:space="preserve">2024-08-26T17:04:11.553+02:00</t>
  </si>
  <si>
    <t xml:space="preserve">2024-08-26T17:09:53.038+02:00</t>
  </si>
  <si>
    <t xml:space="preserve">2024-08-26T16:57:29.075+02:00</t>
  </si>
  <si>
    <t xml:space="preserve">2024-08-26T17:05:00.082+02:00</t>
  </si>
  <si>
    <t xml:space="preserve">2024-08-26T16:54:01.831+02:00</t>
  </si>
  <si>
    <t xml:space="preserve">2024-08-26T17:50:36.791+02:00</t>
  </si>
  <si>
    <t xml:space="preserve">2024-08-26T16:51:02.167+02:00</t>
  </si>
  <si>
    <t xml:space="preserve">2024-08-26T17:37:32.762+02:00</t>
  </si>
  <si>
    <t xml:space="preserve">2024-08-26T16:48:02.098+02:00</t>
  </si>
  <si>
    <t xml:space="preserve">2024-08-26T16:59:31.062+02:00</t>
  </si>
  <si>
    <t xml:space="preserve">2024-08-26T16:40:04.368+02:00</t>
  </si>
  <si>
    <t xml:space="preserve">2024-08-26T16:57:07.092+02:00</t>
  </si>
  <si>
    <t xml:space="preserve">2024-08-26T16:18:03.362+02:00</t>
  </si>
  <si>
    <t xml:space="preserve">2024-08-26T16:26:49.108+02:00</t>
  </si>
  <si>
    <t xml:space="preserve">2024-08-26T16:14:37.694+02:00</t>
  </si>
  <si>
    <t xml:space="preserve">2024-08-26T16:21:18.974+02:00</t>
  </si>
  <si>
    <t xml:space="preserve">2024-08-26T15:46:01.721+02:00</t>
  </si>
  <si>
    <t xml:space="preserve">2024-08-26T15:52:51.765+02:00</t>
  </si>
  <si>
    <t xml:space="preserve">2024-08-26T15:43:04.563+02:00</t>
  </si>
  <si>
    <t xml:space="preserve">2024-08-26T15:51:27.148+02:00</t>
  </si>
  <si>
    <t xml:space="preserve">2024-08-26T15:29:43.349+02:00</t>
  </si>
  <si>
    <t xml:space="preserve">2024-08-26T15:36:39.979+02:00</t>
  </si>
  <si>
    <t xml:space="preserve">2024-08-26T14:55:01.722+02:00</t>
  </si>
  <si>
    <t xml:space="preserve">2024-08-26T15:06:20.755+02:00</t>
  </si>
  <si>
    <t xml:space="preserve">2024-08-26T14:45:02.017+02:00</t>
  </si>
  <si>
    <t xml:space="preserve">2024-08-26T14:56:19.097+02:00</t>
  </si>
  <si>
    <t xml:space="preserve">2024-08-26T14:44:03.813+02:00</t>
  </si>
  <si>
    <t xml:space="preserve">2024-08-26T14:54:06.285+02:00</t>
  </si>
  <si>
    <t xml:space="preserve">2024-08-26T14:20:11.259+02:00</t>
  </si>
  <si>
    <t xml:space="preserve">2024-08-26T14:27:14.848+02:00</t>
  </si>
  <si>
    <t xml:space="preserve">2024-08-26T14:13:52.463+02:00</t>
  </si>
  <si>
    <t xml:space="preserve">2024-08-26T14:20:33.929+02:00</t>
  </si>
  <si>
    <t xml:space="preserve">2024-08-26T14:00:03.154+02:00</t>
  </si>
  <si>
    <t xml:space="preserve">2024-08-26T14:08:01.284+02:00</t>
  </si>
  <si>
    <t xml:space="preserve">2024-08-26T13:53:17.920+02:00</t>
  </si>
  <si>
    <t xml:space="preserve">2024-08-26T13:59:30.996+02:00</t>
  </si>
  <si>
    <t xml:space="preserve">2024-08-26T13:45:45.484+02:00</t>
  </si>
  <si>
    <t xml:space="preserve">2024-08-26T13:53:58.240+02:00</t>
  </si>
  <si>
    <t xml:space="preserve">2024-08-26T13:28:49.710+02:00</t>
  </si>
  <si>
    <t xml:space="preserve">2024-08-26T13:34:29.809+02:00</t>
  </si>
  <si>
    <t xml:space="preserve">2024-08-26T13:14:02.973+02:00</t>
  </si>
  <si>
    <t xml:space="preserve">2024-08-26T13:22:20.941+02:00</t>
  </si>
  <si>
    <t xml:space="preserve">2024-08-26T13:10:01.996+02:00</t>
  </si>
  <si>
    <t xml:space="preserve">2024-08-26T13:18:18.760+02:00</t>
  </si>
  <si>
    <t xml:space="preserve">2024-08-26T13:51:39.923+02:00</t>
  </si>
  <si>
    <t xml:space="preserve">2024-08-26T13:27:21.285+02:00</t>
  </si>
  <si>
    <t xml:space="preserve">2024-08-26T12:53:01.806+02:00</t>
  </si>
  <si>
    <t xml:space="preserve">2024-08-26T13:01:19.878+02:00</t>
  </si>
  <si>
    <t xml:space="preserve">2024-08-26T13:16:06.044+02:00</t>
  </si>
  <si>
    <t xml:space="preserve">2024-08-26T12:53:02.302+02:00</t>
  </si>
  <si>
    <t xml:space="preserve">2024-08-26T12:42:01.076+02:00</t>
  </si>
  <si>
    <t xml:space="preserve">2024-08-26T12:51:08.075+02:00</t>
  </si>
  <si>
    <t xml:space="preserve">Tereza</t>
  </si>
  <si>
    <t xml:space="preserve">2024-08-26T12:41:05.097+02:00</t>
  </si>
  <si>
    <t xml:space="preserve">2024-08-26T12:47:40.243+02:00</t>
  </si>
  <si>
    <t xml:space="preserve">Ladislav</t>
  </si>
  <si>
    <t xml:space="preserve">2024-08-26T12:26:52.892+02:00</t>
  </si>
  <si>
    <t xml:space="preserve">2024-08-26T12:41:25.896+02:00</t>
  </si>
  <si>
    <t xml:space="preserve">2024-08-26T12:22:58.143+02:00</t>
  </si>
  <si>
    <t xml:space="preserve">2024-08-26T12:36:15.948+02:00</t>
  </si>
  <si>
    <t xml:space="preserve">2024-08-26T12:22:01.971+02:00</t>
  </si>
  <si>
    <t xml:space="preserve">2024-08-26T12:35:38.739+02:00</t>
  </si>
  <si>
    <t xml:space="preserve">2024-08-26T12:16:28.722+02:00</t>
  </si>
  <si>
    <t xml:space="preserve">2024-08-26T12:25:29.005+02:00</t>
  </si>
  <si>
    <t xml:space="preserve">Sekhesh</t>
  </si>
  <si>
    <t xml:space="preserve">2024-08-26T12:15:41.834+02:00</t>
  </si>
  <si>
    <t xml:space="preserve">2024-08-26T12:26:24.952+02:00</t>
  </si>
  <si>
    <t xml:space="preserve">2024-08-26T12:05:28.157+02:00</t>
  </si>
  <si>
    <t xml:space="preserve">2024-08-26T12:16:05.912+02:00</t>
  </si>
  <si>
    <t xml:space="preserve">2024-08-26T12:05:02.052+02:00</t>
  </si>
  <si>
    <t xml:space="preserve">2024-08-26T12:22:32.781+02:00</t>
  </si>
  <si>
    <t xml:space="preserve">2024-08-26T11:52:13.637+02:00</t>
  </si>
  <si>
    <t xml:space="preserve">2024-08-26T12:04:52.017+02:00</t>
  </si>
  <si>
    <t xml:space="preserve">2024-08-26T11:50:04.990+02:00</t>
  </si>
  <si>
    <t xml:space="preserve">2024-08-26T11:53:48.725+02:00</t>
  </si>
  <si>
    <t xml:space="preserve">2024-08-26T11:46:01.343+02:00</t>
  </si>
  <si>
    <t xml:space="preserve">2024-08-26T12:14:48.718+02:00</t>
  </si>
  <si>
    <t xml:space="preserve">2024-08-26T11:42:49.931+02:00</t>
  </si>
  <si>
    <t xml:space="preserve">2024-08-26T11:52:53.910+02:00</t>
  </si>
  <si>
    <t xml:space="preserve">Alexandra</t>
  </si>
  <si>
    <t xml:space="preserve">2024-08-26T11:35:44.529+02:00</t>
  </si>
  <si>
    <t xml:space="preserve">2024-08-26T11:51:50.890+02:00</t>
  </si>
  <si>
    <t xml:space="preserve">2024-08-26T11:34:02.264+02:00</t>
  </si>
  <si>
    <t xml:space="preserve">2024-08-26T11:56:42.799+02:00</t>
  </si>
  <si>
    <t xml:space="preserve">2024-08-26T12:03:07.898+02:00</t>
  </si>
  <si>
    <t xml:space="preserve">2024-08-26T11:34:02.911+02:00</t>
  </si>
  <si>
    <t xml:space="preserve">2024-08-26T11:31:02.091+02:00</t>
  </si>
  <si>
    <t xml:space="preserve">2024-08-26T11:49:04.787+02:00</t>
  </si>
  <si>
    <t xml:space="preserve">2024-08-26T12:03:24.072+02:00</t>
  </si>
  <si>
    <t xml:space="preserve">2024-08-26T11:44:06.350+02:00</t>
  </si>
  <si>
    <t xml:space="preserve">2024-08-26T11:30:07.723+02:00</t>
  </si>
  <si>
    <t xml:space="preserve">2024-08-26T11:38:21.940+02:00</t>
  </si>
  <si>
    <t xml:space="preserve">2024-08-26T11:01:26.277+02:00</t>
  </si>
  <si>
    <t xml:space="preserve">2024-08-26T11:06:55.897+02:00</t>
  </si>
  <si>
    <t xml:space="preserve">2024-08-26T10:42:02.263+02:00</t>
  </si>
  <si>
    <t xml:space="preserve">2024-08-26T11:05:17.922+02:00</t>
  </si>
  <si>
    <t xml:space="preserve">2024-08-26T11:20:52.806+02:00</t>
  </si>
  <si>
    <t xml:space="preserve">2024-08-26T11:01:59.974+02:00</t>
  </si>
  <si>
    <t xml:space="preserve">2024-08-26T10:14:01.470+02:00</t>
  </si>
  <si>
    <t xml:space="preserve">2024-08-26T12:05:56.702+02:00</t>
  </si>
  <si>
    <t xml:space="preserve">2024-08-26T09:35:01.322+02:00</t>
  </si>
  <si>
    <t xml:space="preserve">2024-08-26T11:09:05.801+02:00</t>
  </si>
  <si>
    <t xml:space="preserve">2024-08-26T11:26:01.592+02:00</t>
  </si>
  <si>
    <t xml:space="preserve">2024-08-26T09:35:02.258+02:00</t>
  </si>
  <si>
    <t xml:space="preserve">2024-08-27T23:21:13.032+02:00</t>
  </si>
  <si>
    <t xml:space="preserve">2024-08-27T23:27:39.762+02:00</t>
  </si>
  <si>
    <t xml:space="preserve">2024-08-27T23:11:22.346+02:00</t>
  </si>
  <si>
    <t xml:space="preserve">2024-08-27T23:30:08.781+02:00</t>
  </si>
  <si>
    <t xml:space="preserve">2024-08-27T23:06:19.252+02:00</t>
  </si>
  <si>
    <t xml:space="preserve">2024-08-27T23:11:26.759+02:00</t>
  </si>
  <si>
    <t xml:space="preserve">2024-08-27T22:56:42.142+02:00</t>
  </si>
  <si>
    <t xml:space="preserve">2024-08-27T23:09:25.979+02:00</t>
  </si>
  <si>
    <t xml:space="preserve">2024-08-27T22:56:41.702+02:00</t>
  </si>
  <si>
    <t xml:space="preserve">2024-08-27T23:05:06.951+02:00</t>
  </si>
  <si>
    <t xml:space="preserve">2024-08-27T22:54:40.904+02:00</t>
  </si>
  <si>
    <t xml:space="preserve">2024-08-27T23:02:31.189+02:00</t>
  </si>
  <si>
    <t xml:space="preserve">2024-08-27T22:23:07.099+02:00</t>
  </si>
  <si>
    <t xml:space="preserve">2024-08-27T22:30:49.831+02:00</t>
  </si>
  <si>
    <t xml:space="preserve">2024-08-27T22:14:29.213+02:00</t>
  </si>
  <si>
    <t xml:space="preserve">2024-08-27T22:28:07.564+02:00</t>
  </si>
  <si>
    <t xml:space="preserve">2024-08-27T22:05:41.533+02:00</t>
  </si>
  <si>
    <t xml:space="preserve">2024-08-27T22:12:08.785+02:00</t>
  </si>
  <si>
    <t xml:space="preserve">2024-08-27T21:59:07.885+02:00</t>
  </si>
  <si>
    <t xml:space="preserve">2024-08-27T22:07:36.134+02:00</t>
  </si>
  <si>
    <t xml:space="preserve">Lažek Jaroslav</t>
  </si>
  <si>
    <t xml:space="preserve">2024-08-27T21:58:01.652+02:00</t>
  </si>
  <si>
    <t xml:space="preserve">2024-08-27T22:06:15.540+02:00</t>
  </si>
  <si>
    <t xml:space="preserve">2024-08-27T22:16:01.870+02:00</t>
  </si>
  <si>
    <t xml:space="preserve">2024-08-27T21:58:02.225+02:00</t>
  </si>
  <si>
    <t xml:space="preserve">2024-08-27T21:54:41.014+02:00</t>
  </si>
  <si>
    <t xml:space="preserve">2024-08-27T22:06:12.819+02:00</t>
  </si>
  <si>
    <t xml:space="preserve">2024-08-27T21:54:28.038+02:00</t>
  </si>
  <si>
    <t xml:space="preserve">2024-08-27T22:02:27.725+02:00</t>
  </si>
  <si>
    <t xml:space="preserve">2024-08-27T21:41:40.487+02:00</t>
  </si>
  <si>
    <t xml:space="preserve">2024-08-27T21:57:18.093+02:00</t>
  </si>
  <si>
    <t xml:space="preserve">2024-08-27T21:37:21.929+02:00</t>
  </si>
  <si>
    <t xml:space="preserve">2024-08-27T21:48:44.710+02:00</t>
  </si>
  <si>
    <t xml:space="preserve">2024-08-27T21:36:23.101+02:00</t>
  </si>
  <si>
    <t xml:space="preserve">2024-08-27T21:43:13.712+02:00</t>
  </si>
  <si>
    <t xml:space="preserve">2024-08-27T21:30:03.148+02:00</t>
  </si>
  <si>
    <t xml:space="preserve">2024-08-27T21:38:07.561+02:00</t>
  </si>
  <si>
    <t xml:space="preserve">2024-08-27T21:47:36.571+02:00</t>
  </si>
  <si>
    <t xml:space="preserve">2024-08-27T21:30:03.946+02:00</t>
  </si>
  <si>
    <t xml:space="preserve">2024-08-27T21:10:02.277+02:00</t>
  </si>
  <si>
    <t xml:space="preserve">2024-08-27T21:29:42.526+02:00</t>
  </si>
  <si>
    <t xml:space="preserve">2024-08-27T21:05:01.533+02:00</t>
  </si>
  <si>
    <t xml:space="preserve">2024-08-27T21:20:45.489+02:00</t>
  </si>
  <si>
    <t xml:space="preserve">2024-08-27T20:48:40.313+02:00</t>
  </si>
  <si>
    <t xml:space="preserve">2024-08-27T20:58:56.804+02:00</t>
  </si>
  <si>
    <t xml:space="preserve">2024-08-27T20:43:01.645+02:00</t>
  </si>
  <si>
    <t xml:space="preserve">2024-08-27T20:54:02.854+02:00</t>
  </si>
  <si>
    <t xml:space="preserve">2024-08-27T21:08:54.377+02:00</t>
  </si>
  <si>
    <t xml:space="preserve">2024-08-27T20:43:02.263+02:00</t>
  </si>
  <si>
    <t xml:space="preserve">2024-08-27T20:33:23.321+02:00</t>
  </si>
  <si>
    <t xml:space="preserve">2024-08-27T20:40:30.507+02:00</t>
  </si>
  <si>
    <t xml:space="preserve">2024-08-27T20:32:43.584+02:00</t>
  </si>
  <si>
    <t xml:space="preserve">2024-08-27T20:49:13.763+02:00</t>
  </si>
  <si>
    <t xml:space="preserve">2024-08-27T20:29:42.134+02:00</t>
  </si>
  <si>
    <t xml:space="preserve">2024-08-27T20:47:26.029+02:00</t>
  </si>
  <si>
    <t xml:space="preserve">2024-08-27T20:19:12.492+02:00</t>
  </si>
  <si>
    <t xml:space="preserve">2024-08-27T20:35:35.660+02:00</t>
  </si>
  <si>
    <t xml:space="preserve">2024-08-27T20:17:29.230+02:00</t>
  </si>
  <si>
    <t xml:space="preserve">2024-08-27T20:38:35.762+02:00</t>
  </si>
  <si>
    <t xml:space="preserve">2024-08-27T20:14:54.469+02:00</t>
  </si>
  <si>
    <t xml:space="preserve">2024-08-27T20:26:20.531+02:00</t>
  </si>
  <si>
    <t xml:space="preserve">2024-08-27T20:08:07.651+02:00</t>
  </si>
  <si>
    <t xml:space="preserve">2024-08-27T20:32:48.640+02:00</t>
  </si>
  <si>
    <t xml:space="preserve">2024-08-27T20:07:46.536+02:00</t>
  </si>
  <si>
    <t xml:space="preserve">2024-08-27T20:16:14.736+02:00</t>
  </si>
  <si>
    <t xml:space="preserve">2024-08-27T20:06:41.769+02:00</t>
  </si>
  <si>
    <t xml:space="preserve">2024-08-27T20:16:18.723+02:00</t>
  </si>
  <si>
    <t xml:space="preserve">2024-08-27T20:03:37.281+02:00</t>
  </si>
  <si>
    <t xml:space="preserve">2024-08-27T20:10:17.938+02:00</t>
  </si>
  <si>
    <t xml:space="preserve">2024-08-27T20:02:01.800+02:00</t>
  </si>
  <si>
    <t xml:space="preserve">2024-08-27T20:22:39.497+02:00</t>
  </si>
  <si>
    <t xml:space="preserve">2024-08-27T20:34:18.798+02:00</t>
  </si>
  <si>
    <t xml:space="preserve">2024-08-27T20:02:02.790+02:00</t>
  </si>
  <si>
    <t xml:space="preserve">2024-08-27T20:02:01.789+02:00</t>
  </si>
  <si>
    <t xml:space="preserve">2024-08-27T20:13:41.488+02:00</t>
  </si>
  <si>
    <t xml:space="preserve">2024-08-27T20:00:29.714+02:00</t>
  </si>
  <si>
    <t xml:space="preserve">2024-08-27T20:11:16.771+02:00</t>
  </si>
  <si>
    <t xml:space="preserve">2024-08-27T20:00:01.283+02:00</t>
  </si>
  <si>
    <t xml:space="preserve">2024-08-27T20:26:03.607+02:00</t>
  </si>
  <si>
    <t xml:space="preserve">2024-08-27T20:39:43.029+02:00</t>
  </si>
  <si>
    <t xml:space="preserve">2024-08-27T20:00:01.948+02:00</t>
  </si>
  <si>
    <t xml:space="preserve">2024-08-27T19:54:02.304+02:00</t>
  </si>
  <si>
    <t xml:space="preserve">2024-08-27T20:03:33.503+02:00</t>
  </si>
  <si>
    <t xml:space="preserve">2024-08-27T19:50:02.358+02:00</t>
  </si>
  <si>
    <t xml:space="preserve">2024-08-27T20:23:04.585+02:00</t>
  </si>
  <si>
    <t xml:space="preserve">2024-08-27T19:49:51.941+02:00</t>
  </si>
  <si>
    <t xml:space="preserve">2024-08-27T19:58:47.870+02:00</t>
  </si>
  <si>
    <t xml:space="preserve">2024-08-27T19:44:01.807+02:00</t>
  </si>
  <si>
    <t xml:space="preserve">2024-08-27T19:52:08.736+02:00</t>
  </si>
  <si>
    <t xml:space="preserve">2024-08-27T19:38:42.927+02:00</t>
  </si>
  <si>
    <t xml:space="preserve">2024-08-27T19:47:38.056+02:00</t>
  </si>
  <si>
    <t xml:space="preserve">2024-08-27T19:33:43.030+02:00</t>
  </si>
  <si>
    <t xml:space="preserve">2024-08-27T19:46:19.740+02:00</t>
  </si>
  <si>
    <t xml:space="preserve">2024-08-27T19:32:41.102+02:00</t>
  </si>
  <si>
    <t xml:space="preserve">2024-08-27T19:40:33.873+02:00</t>
  </si>
  <si>
    <t xml:space="preserve">2024-08-27T19:26:01.805+02:00</t>
  </si>
  <si>
    <t xml:space="preserve">2024-08-27T19:35:50.424+02:00</t>
  </si>
  <si>
    <t xml:space="preserve">2024-08-27T19:24:42.604+02:00</t>
  </si>
  <si>
    <t xml:space="preserve">2024-08-27T19:32:23.768+02:00</t>
  </si>
  <si>
    <t xml:space="preserve">2024-08-27T19:16:45.424+02:00</t>
  </si>
  <si>
    <t xml:space="preserve">2024-08-27T19:23:05.805+02:00</t>
  </si>
  <si>
    <t xml:space="preserve">2024-08-27T19:11:40.667+02:00</t>
  </si>
  <si>
    <t xml:space="preserve">2024-08-27T19:19:14.811+02:00</t>
  </si>
  <si>
    <t xml:space="preserve">2024-08-27T18:59:42.476+02:00</t>
  </si>
  <si>
    <t xml:space="preserve">2024-08-27T19:07:57.769+02:00</t>
  </si>
  <si>
    <t xml:space="preserve">2024-08-27T18:58:29.545+02:00</t>
  </si>
  <si>
    <t xml:space="preserve">2024-08-27T19:05:11.720+02:00</t>
  </si>
  <si>
    <t xml:space="preserve">2024-08-27T18:52:02.345+02:00</t>
  </si>
  <si>
    <t xml:space="preserve">2024-08-27T19:03:10.426+02:00</t>
  </si>
  <si>
    <t xml:space="preserve">Eliška</t>
  </si>
  <si>
    <t xml:space="preserve">2024-08-27T18:49:33.093+02:00</t>
  </si>
  <si>
    <t xml:space="preserve">2024-08-27T18:59:57.623+02:00</t>
  </si>
  <si>
    <t xml:space="preserve">2024-08-27T18:45:40.101+02:00</t>
  </si>
  <si>
    <t xml:space="preserve">2024-08-27T18:55:29.733+02:00</t>
  </si>
  <si>
    <t xml:space="preserve">2024-08-27T18:44:55.337+02:00</t>
  </si>
  <si>
    <t xml:space="preserve">2024-08-27T18:51:22.912+02:00</t>
  </si>
  <si>
    <t xml:space="preserve">2024-08-27T18:26:49.426+02:00</t>
  </si>
  <si>
    <t xml:space="preserve">2024-08-27T18:33:33.703+02:00</t>
  </si>
  <si>
    <t xml:space="preserve">2024-08-27T18:22:43.087+02:00</t>
  </si>
  <si>
    <t xml:space="preserve">2024-08-27T18:30:45.630+02:00</t>
  </si>
  <si>
    <t xml:space="preserve">2024-08-27T18:18:43.391+02:00</t>
  </si>
  <si>
    <t xml:space="preserve">2024-08-27T18:26:48.675+02:00</t>
  </si>
  <si>
    <t xml:space="preserve">2024-08-27T18:03:36.847+02:00</t>
  </si>
  <si>
    <t xml:space="preserve">2024-08-27T18:11:09.616+02:00</t>
  </si>
  <si>
    <t xml:space="preserve">2024-08-27T17:53:40.111+02:00</t>
  </si>
  <si>
    <t xml:space="preserve">2024-08-27T18:03:05.644+02:00</t>
  </si>
  <si>
    <t xml:space="preserve">2024-08-27T17:51:33.872+02:00</t>
  </si>
  <si>
    <t xml:space="preserve">2024-08-27T18:01:11.582+02:00</t>
  </si>
  <si>
    <t xml:space="preserve">2024-08-27T17:47:34.453+02:00</t>
  </si>
  <si>
    <t xml:space="preserve">2024-08-27T17:55:41.628+02:00</t>
  </si>
  <si>
    <t xml:space="preserve">2024-08-27T17:34:01.368+02:00</t>
  </si>
  <si>
    <t xml:space="preserve">2024-08-27T17:42:10.322+02:00</t>
  </si>
  <si>
    <t xml:space="preserve">2024-08-27T17:32:01.671+02:00</t>
  </si>
  <si>
    <t xml:space="preserve">2024-08-27T17:40:51.408+02:00</t>
  </si>
  <si>
    <t xml:space="preserve">2024-08-27T17:57:05.919+02:00</t>
  </si>
  <si>
    <t xml:space="preserve">2024-08-27T17:32:02.277+02:00</t>
  </si>
  <si>
    <t xml:space="preserve">Azar</t>
  </si>
  <si>
    <t xml:space="preserve">2024-08-27T17:27:15.507+02:00</t>
  </si>
  <si>
    <t xml:space="preserve">2024-08-27T17:37:44.757+02:00</t>
  </si>
  <si>
    <t xml:space="preserve">2024-08-27T17:24:02.937+02:00</t>
  </si>
  <si>
    <t xml:space="preserve">2024-08-27T17:58:33.405+02:00</t>
  </si>
  <si>
    <t xml:space="preserve">2024-08-27T17:19:02.214+02:00</t>
  </si>
  <si>
    <t xml:space="preserve">2024-08-27T17:34:14.323+02:00</t>
  </si>
  <si>
    <t xml:space="preserve">2024-08-27T17:49:25.998+02:00</t>
  </si>
  <si>
    <t xml:space="preserve">2024-08-27T17:19:02.967+02:00</t>
  </si>
  <si>
    <t xml:space="preserve">2024-08-27T17:14:54.808+02:00</t>
  </si>
  <si>
    <t xml:space="preserve">2024-08-27T17:33:39.663+02:00</t>
  </si>
  <si>
    <t xml:space="preserve">2024-08-27T17:13:01.430+02:00</t>
  </si>
  <si>
    <t xml:space="preserve">2024-08-27T17:29:37.321+02:00</t>
  </si>
  <si>
    <t xml:space="preserve">2024-08-27T17:06:35.805+02:00</t>
  </si>
  <si>
    <t xml:space="preserve">2024-08-27T17:21:32.003+02:00</t>
  </si>
  <si>
    <t xml:space="preserve">2024-08-27T16:59:03.264+02:00</t>
  </si>
  <si>
    <t xml:space="preserve">2024-08-27T17:10:15.398+02:00</t>
  </si>
  <si>
    <t xml:space="preserve">2024-08-27T17:18:21.918+02:00</t>
  </si>
  <si>
    <t xml:space="preserve">2024-08-27T16:59:03.886+02:00</t>
  </si>
  <si>
    <t xml:space="preserve">2024-08-27T16:55:35.994+02:00</t>
  </si>
  <si>
    <t xml:space="preserve">2024-08-27T17:08:58.639+02:00</t>
  </si>
  <si>
    <t xml:space="preserve">2024-08-27T16:53:48.376+02:00</t>
  </si>
  <si>
    <t xml:space="preserve">2024-08-27T17:01:44.592+02:00</t>
  </si>
  <si>
    <t xml:space="preserve">2024-08-27T16:47:35.074+02:00</t>
  </si>
  <si>
    <t xml:space="preserve">2024-08-27T16:57:40.627+02:00</t>
  </si>
  <si>
    <t xml:space="preserve">2024-08-27T16:24:01.903+02:00</t>
  </si>
  <si>
    <t xml:space="preserve">2024-08-27T16:36:54.594+02:00</t>
  </si>
  <si>
    <t xml:space="preserve">2024-08-27T15:15:35.229+02:00</t>
  </si>
  <si>
    <t xml:space="preserve">2024-08-27T15:26:51.690+02:00</t>
  </si>
  <si>
    <t xml:space="preserve">2024-08-27T15:13:33.516+02:00</t>
  </si>
  <si>
    <t xml:space="preserve">2024-08-27T15:23:22.532+02:00</t>
  </si>
  <si>
    <t xml:space="preserve">2024-08-27T15:03:33.668+02:00</t>
  </si>
  <si>
    <t xml:space="preserve">2024-08-27T15:14:13.810+02:00</t>
  </si>
  <si>
    <t xml:space="preserve">2024-08-27T14:49:31.566+02:00</t>
  </si>
  <si>
    <t xml:space="preserve">2024-08-27T14:55:27.546+02:00</t>
  </si>
  <si>
    <t xml:space="preserve">2024-08-27T14:40:32.381+02:00</t>
  </si>
  <si>
    <t xml:space="preserve">2024-08-27T14:51:49.764+02:00</t>
  </si>
  <si>
    <t xml:space="preserve">2024-08-27T14:21:34.195+02:00</t>
  </si>
  <si>
    <t xml:space="preserve">2024-08-27T14:29:48.862+02:00</t>
  </si>
  <si>
    <t xml:space="preserve">2024-08-27T13:47:02.102+02:00</t>
  </si>
  <si>
    <t xml:space="preserve">2024-08-27T13:58:35.334+02:00</t>
  </si>
  <si>
    <t xml:space="preserve">2024-08-27T14:04:53.755+02:00</t>
  </si>
  <si>
    <t xml:space="preserve">2024-08-27T13:47:02.668+02:00</t>
  </si>
  <si>
    <t xml:space="preserve">2024-08-27T13:24:30.949+02:00</t>
  </si>
  <si>
    <t xml:space="preserve">2024-08-27T13:37:11.516+02:00</t>
  </si>
  <si>
    <t xml:space="preserve">2024-08-27T13:16:01.496+02:00</t>
  </si>
  <si>
    <t xml:space="preserve">2024-08-27T13:31:29.336+02:00</t>
  </si>
  <si>
    <t xml:space="preserve">2024-08-27T12:51:05.135+02:00</t>
  </si>
  <si>
    <t xml:space="preserve">2024-08-27T12:58:40.558+02:00</t>
  </si>
  <si>
    <t xml:space="preserve">2024-08-27T12:32:02.028+02:00</t>
  </si>
  <si>
    <t xml:space="preserve">2024-08-27T12:47:06.300+02:00</t>
  </si>
  <si>
    <t xml:space="preserve">2024-08-27T12:25:46.590+02:00</t>
  </si>
  <si>
    <t xml:space="preserve">2024-08-27T12:36:19.636+02:00</t>
  </si>
  <si>
    <t xml:space="preserve">2024-08-27T12:22:40.014+02:00</t>
  </si>
  <si>
    <t xml:space="preserve">2024-08-27T12:34:08.471+02:00</t>
  </si>
  <si>
    <t xml:space="preserve">2024-08-27T11:59:44.009+02:00</t>
  </si>
  <si>
    <t xml:space="preserve">2024-08-27T12:12:04.584+02:00</t>
  </si>
  <si>
    <t xml:space="preserve">2024-08-27T11:55:42.071+02:00</t>
  </si>
  <si>
    <t xml:space="preserve">2024-08-27T12:13:19.246+02:00</t>
  </si>
  <si>
    <t xml:space="preserve">2024-08-27T11:52:19.087+02:00</t>
  </si>
  <si>
    <t xml:space="preserve">2024-08-27T12:10:27.423+02:00</t>
  </si>
  <si>
    <t xml:space="preserve">Zdenek</t>
  </si>
  <si>
    <t xml:space="preserve">2024-08-27T11:51:53.045+02:00</t>
  </si>
  <si>
    <t xml:space="preserve">2024-08-27T12:09:35.432+02:00</t>
  </si>
  <si>
    <t xml:space="preserve">2024-08-27T11:49:46.436+02:00</t>
  </si>
  <si>
    <t xml:space="preserve">2024-08-27T12:10:08.571+02:00</t>
  </si>
  <si>
    <t xml:space="preserve">2024-08-27T11:38:09.913+02:00</t>
  </si>
  <si>
    <t xml:space="preserve">2024-08-27T12:00:50.441+02:00</t>
  </si>
  <si>
    <t xml:space="preserve">2024-08-27T11:37:44.043+02:00</t>
  </si>
  <si>
    <t xml:space="preserve">2024-08-27T11:53:10.499+02:00</t>
  </si>
  <si>
    <t xml:space="preserve">2024-08-27T11:37:43.756+02:00</t>
  </si>
  <si>
    <t xml:space="preserve">2024-08-27T11:50:33.475+02:00</t>
  </si>
  <si>
    <t xml:space="preserve">2024-08-27T11:37:09.113+02:00</t>
  </si>
  <si>
    <t xml:space="preserve">2024-08-27T11:59:00.591+02:00</t>
  </si>
  <si>
    <t xml:space="preserve">2024-08-27T11:29:04.260+02:00</t>
  </si>
  <si>
    <t xml:space="preserve">2024-08-27T11:34:34.458+02:00</t>
  </si>
  <si>
    <t xml:space="preserve">2024-08-27T11:21:02.160+02:00</t>
  </si>
  <si>
    <t xml:space="preserve">2024-08-27T11:33:18.215+02:00</t>
  </si>
  <si>
    <t xml:space="preserve">2024-08-27T11:17:38.483+02:00</t>
  </si>
  <si>
    <t xml:space="preserve">2024-08-27T11:31:44.490+02:00</t>
  </si>
  <si>
    <t xml:space="preserve">2024-08-27T11:04:01.318+02:00</t>
  </si>
  <si>
    <t xml:space="preserve">2024-08-27T11:36:42.220+02:00</t>
  </si>
  <si>
    <t xml:space="preserve">2024-08-27T11:02:29.151+02:00</t>
  </si>
  <si>
    <t xml:space="preserve">2024-08-27T11:12:28.492+02:00</t>
  </si>
  <si>
    <t xml:space="preserve">2024-08-27T10:52:28.745+02:00</t>
  </si>
  <si>
    <t xml:space="preserve">2024-08-27T11:06:19.863+02:00</t>
  </si>
  <si>
    <t xml:space="preserve">2024-08-28T23:19:01.500+02:00</t>
  </si>
  <si>
    <t xml:space="preserve">2024-08-28T23:51:40.194+02:00</t>
  </si>
  <si>
    <t xml:space="preserve">2024-08-28T23:10:01.666+02:00</t>
  </si>
  <si>
    <t xml:space="preserve">2024-08-28T23:17:33.412+02:00</t>
  </si>
  <si>
    <t xml:space="preserve">2024-08-28T23:01:06.420+02:00</t>
  </si>
  <si>
    <t xml:space="preserve">2024-08-28T23:23:24.340+02:00</t>
  </si>
  <si>
    <t xml:space="preserve">2024-08-28T23:00:01.637+02:00</t>
  </si>
  <si>
    <t xml:space="preserve">2024-08-28T23:12:54.354+02:00</t>
  </si>
  <si>
    <t xml:space="preserve">2024-08-28T22:48:59.073+02:00</t>
  </si>
  <si>
    <t xml:space="preserve">2024-08-28T22:59:21.169+02:00</t>
  </si>
  <si>
    <t xml:space="preserve">2024-08-28T22:30:27.725+02:00</t>
  </si>
  <si>
    <t xml:space="preserve">2024-08-28T22:34:57.803+02:00</t>
  </si>
  <si>
    <t xml:space="preserve">2024-08-28T22:05:11.562+02:00</t>
  </si>
  <si>
    <t xml:space="preserve">2024-08-28T22:06:12.370+02:00</t>
  </si>
  <si>
    <t xml:space="preserve">2024-08-28T21:42:07.349+02:00</t>
  </si>
  <si>
    <t xml:space="preserve">2024-08-28T21:49:30.604+02:00</t>
  </si>
  <si>
    <t xml:space="preserve">2024-08-28T21:39:04.897+02:00</t>
  </si>
  <si>
    <t xml:space="preserve">2024-08-28T21:47:02.371+02:00</t>
  </si>
  <si>
    <t xml:space="preserve">2024-08-28T21:16:00.772+02:00</t>
  </si>
  <si>
    <t xml:space="preserve">2024-08-28T21:27:03.506+02:00</t>
  </si>
  <si>
    <t xml:space="preserve">2024-08-28T21:13:01.831+02:00</t>
  </si>
  <si>
    <t xml:space="preserve">2024-08-28T21:37:11.191+02:00</t>
  </si>
  <si>
    <t xml:space="preserve">2024-08-28T21:12:01.785+02:00</t>
  </si>
  <si>
    <t xml:space="preserve">2024-08-28T21:19:12.498+02:00</t>
  </si>
  <si>
    <t xml:space="preserve">2024-08-28T21:08:24.483+02:00</t>
  </si>
  <si>
    <t xml:space="preserve">2024-08-28T21:17:59.321+02:00</t>
  </si>
  <si>
    <t xml:space="preserve">2024-08-28T20:56:02.086+02:00</t>
  </si>
  <si>
    <t xml:space="preserve">2024-08-28T21:11:06.222+02:00</t>
  </si>
  <si>
    <t xml:space="preserve">2024-08-28T21:33:14.554+02:00</t>
  </si>
  <si>
    <t xml:space="preserve">2024-08-28T20:56:02.643+02:00</t>
  </si>
  <si>
    <t xml:space="preserve">2024-08-28T20:53:05.562+02:00</t>
  </si>
  <si>
    <t xml:space="preserve">2024-08-28T21:01:22.503+02:00</t>
  </si>
  <si>
    <t xml:space="preserve">2024-08-28T20:49:01.810+02:00</t>
  </si>
  <si>
    <t xml:space="preserve">2024-08-28T21:01:24.092+02:00</t>
  </si>
  <si>
    <t xml:space="preserve">2024-08-28T20:47:18.635+02:00</t>
  </si>
  <si>
    <t xml:space="preserve">2024-08-28T20:53:51.317+02:00</t>
  </si>
  <si>
    <t xml:space="preserve">2024-08-28T20:47:01.892+02:00</t>
  </si>
  <si>
    <t xml:space="preserve">2024-08-28T20:52:46.325+02:00</t>
  </si>
  <si>
    <t xml:space="preserve">2024-08-28T20:55:17.259+02:00</t>
  </si>
  <si>
    <t xml:space="preserve">2024-08-28T20:47:02.440+02:00</t>
  </si>
  <si>
    <t xml:space="preserve">2024-08-28T20:41:04.251+02:00</t>
  </si>
  <si>
    <t xml:space="preserve">2024-08-28T20:51:13.753+02:00</t>
  </si>
  <si>
    <t xml:space="preserve">2024-08-28T20:39:02.108+02:00</t>
  </si>
  <si>
    <t xml:space="preserve">2024-08-28T20:51:20.125+02:00</t>
  </si>
  <si>
    <t xml:space="preserve">2024-08-28T20:38:01.356+02:00</t>
  </si>
  <si>
    <t xml:space="preserve">2024-08-28T20:45:15.270+02:00</t>
  </si>
  <si>
    <t xml:space="preserve">2024-08-28T21:01:21.884+02:00</t>
  </si>
  <si>
    <t xml:space="preserve">2024-08-28T20:38:02.097+02:00</t>
  </si>
  <si>
    <t xml:space="preserve">2024-08-28T20:37:44.976+02:00</t>
  </si>
  <si>
    <t xml:space="preserve">2024-08-28T20:49:40.305+02:00</t>
  </si>
  <si>
    <t xml:space="preserve">2024-08-28T20:36:03.326+02:00</t>
  </si>
  <si>
    <t xml:space="preserve">2024-08-28T20:48:34.193+02:00</t>
  </si>
  <si>
    <t xml:space="preserve">2024-08-28T21:08:56.338+02:00</t>
  </si>
  <si>
    <t xml:space="preserve">2024-08-28T20:36:04.318+02:00</t>
  </si>
  <si>
    <t xml:space="preserve">2024-08-28T20:34:02.058+02:00</t>
  </si>
  <si>
    <t xml:space="preserve">2024-08-28T20:42:05.249+02:00</t>
  </si>
  <si>
    <t xml:space="preserve">2024-08-28T20:58:26.993+02:00</t>
  </si>
  <si>
    <t xml:space="preserve">2024-08-28T20:36:27.079+02:00</t>
  </si>
  <si>
    <t xml:space="preserve">2024-08-28T20:32:03.973+02:00</t>
  </si>
  <si>
    <t xml:space="preserve">2024-08-28T20:43:35.585+02:00</t>
  </si>
  <si>
    <t xml:space="preserve">2024-08-28T20:30:33.870+02:00</t>
  </si>
  <si>
    <t xml:space="preserve">2024-08-28T20:39:14.242+02:00</t>
  </si>
  <si>
    <t xml:space="preserve">2024-08-28T20:29:42.424+02:00</t>
  </si>
  <si>
    <t xml:space="preserve">2024-08-28T20:35:57.288+02:00</t>
  </si>
  <si>
    <t xml:space="preserve">2024-08-28T20:27:12.634+02:00</t>
  </si>
  <si>
    <t xml:space="preserve">2024-08-28T20:35:41.404+02:00</t>
  </si>
  <si>
    <t xml:space="preserve">2024-08-28T20:22:01.654+02:00</t>
  </si>
  <si>
    <t xml:space="preserve">2024-08-28T20:33:18.261+02:00</t>
  </si>
  <si>
    <t xml:space="preserve">2024-08-28T21:02:00.120+02:00</t>
  </si>
  <si>
    <t xml:space="preserve">2024-08-28T20:25:40.253+02:00</t>
  </si>
  <si>
    <t xml:space="preserve">Adam</t>
  </si>
  <si>
    <t xml:space="preserve">2024-08-28T20:21:09.115+02:00</t>
  </si>
  <si>
    <t xml:space="preserve">2024-08-28T20:30:31.231+02:00</t>
  </si>
  <si>
    <t xml:space="preserve">2024-08-28T20:16:40.545+02:00</t>
  </si>
  <si>
    <t xml:space="preserve">2024-08-28T20:25:37.325+02:00</t>
  </si>
  <si>
    <t xml:space="preserve">2024-08-28T20:13:02.136+02:00</t>
  </si>
  <si>
    <t xml:space="preserve">2024-08-28T20:20:29.251+02:00</t>
  </si>
  <si>
    <t xml:space="preserve">2024-08-28T20:46:29.899+02:00</t>
  </si>
  <si>
    <t xml:space="preserve">2024-08-28T20:14:17.647+02:00</t>
  </si>
  <si>
    <t xml:space="preserve">2024-08-28T20:00:39.377+02:00</t>
  </si>
  <si>
    <t xml:space="preserve">2024-08-28T20:12:41.266+02:00</t>
  </si>
  <si>
    <t xml:space="preserve">2024-08-28T19:50:29.350+02:00</t>
  </si>
  <si>
    <t xml:space="preserve">2024-08-28T20:00:01.277+02:00</t>
  </si>
  <si>
    <t xml:space="preserve">2024-08-28T19:50:04.161+02:00</t>
  </si>
  <si>
    <t xml:space="preserve">2024-08-28T19:56:57.388+02:00</t>
  </si>
  <si>
    <t xml:space="preserve">2024-08-28T19:46:04.693+02:00</t>
  </si>
  <si>
    <t xml:space="preserve">2024-08-28T19:55:16.369+02:00</t>
  </si>
  <si>
    <t xml:space="preserve">2024-08-28T19:45:06.717+02:00</t>
  </si>
  <si>
    <t xml:space="preserve">2024-08-28T19:52:12.441+02:00</t>
  </si>
  <si>
    <t xml:space="preserve">2024-08-28T19:44:02.178+02:00</t>
  </si>
  <si>
    <t xml:space="preserve">2024-08-28T19:59:59.127+02:00</t>
  </si>
  <si>
    <t xml:space="preserve">2024-08-28T19:43:29.947+02:00</t>
  </si>
  <si>
    <t xml:space="preserve">2024-08-28T19:51:34.102+02:00</t>
  </si>
  <si>
    <t xml:space="preserve">2024-08-28T19:43:01.841+02:00</t>
  </si>
  <si>
    <t xml:space="preserve">2024-08-28T19:49:58.414+02:00</t>
  </si>
  <si>
    <t xml:space="preserve">2024-08-28T20:08:31.425+02:00</t>
  </si>
  <si>
    <t xml:space="preserve">2024-08-28T19:43:13.488+02:00</t>
  </si>
  <si>
    <t xml:space="preserve">2024-08-28T19:37:01.711+02:00</t>
  </si>
  <si>
    <t xml:space="preserve">2024-08-28T19:45:12.174+02:00</t>
  </si>
  <si>
    <t xml:space="preserve">2024-08-28T19:59:48.235+02:00</t>
  </si>
  <si>
    <t xml:space="preserve">2024-08-28T19:37:02.184+02:00</t>
  </si>
  <si>
    <t xml:space="preserve">2024-08-28T19:35:32.289+02:00</t>
  </si>
  <si>
    <t xml:space="preserve">2024-08-28T19:44:08.534+02:00</t>
  </si>
  <si>
    <t xml:space="preserve">2024-08-28T19:33:02.445+02:00</t>
  </si>
  <si>
    <t xml:space="preserve">2024-08-28T19:40:08.354+02:00</t>
  </si>
  <si>
    <t xml:space="preserve">2024-08-28T19:11:06.258+02:00</t>
  </si>
  <si>
    <t xml:space="preserve">2024-08-28T19:15:29.328+02:00</t>
  </si>
  <si>
    <t xml:space="preserve">2024-08-28T19:08:49.127+02:00</t>
  </si>
  <si>
    <t xml:space="preserve">2024-08-28T19:15:28.425+02:00</t>
  </si>
  <si>
    <t xml:space="preserve">2024-08-28T19:07:18.187+02:00</t>
  </si>
  <si>
    <t xml:space="preserve">2024-08-28T19:12:59.360+02:00</t>
  </si>
  <si>
    <t xml:space="preserve">2024-08-28T19:06:06.548+02:00</t>
  </si>
  <si>
    <t xml:space="preserve">2024-08-28T19:11:47.357+02:00</t>
  </si>
  <si>
    <t xml:space="preserve">2024-08-28T18:56:11.776+02:00</t>
  </si>
  <si>
    <t xml:space="preserve">2024-08-28T19:05:47.339+02:00</t>
  </si>
  <si>
    <t xml:space="preserve">2024-08-28T18:50:02.025+02:00</t>
  </si>
  <si>
    <t xml:space="preserve">2024-08-28T18:59:19.116+02:00</t>
  </si>
  <si>
    <t xml:space="preserve">2024-08-28T19:07:10.160+02:00</t>
  </si>
  <si>
    <t xml:space="preserve">2024-08-28T18:50:02.582+02:00</t>
  </si>
  <si>
    <t xml:space="preserve">2024-08-28T18:48:01.106+02:00</t>
  </si>
  <si>
    <t xml:space="preserve">2024-08-28T18:56:54.421+02:00</t>
  </si>
  <si>
    <t xml:space="preserve">2024-08-28T18:46:02.108+02:00</t>
  </si>
  <si>
    <t xml:space="preserve">2024-08-28T18:54:28.421+02:00</t>
  </si>
  <si>
    <t xml:space="preserve">2024-08-28T18:41:22.226+02:00</t>
  </si>
  <si>
    <t xml:space="preserve">2024-08-28T18:47:24.568+02:00</t>
  </si>
  <si>
    <t xml:space="preserve">2024-08-28T18:39:01.591+02:00</t>
  </si>
  <si>
    <t xml:space="preserve">2024-08-28T18:45:56.255+02:00</t>
  </si>
  <si>
    <t xml:space="preserve">2024-08-28T18:58:57.354+02:00</t>
  </si>
  <si>
    <t xml:space="preserve">2024-08-28T18:40:49.288+02:00</t>
  </si>
  <si>
    <t xml:space="preserve">2024-08-28T18:33:01.915+02:00</t>
  </si>
  <si>
    <t xml:space="preserve">2024-08-28T18:45:02.192+02:00</t>
  </si>
  <si>
    <t xml:space="preserve">2024-08-28T18:33:02.543+02:00</t>
  </si>
  <si>
    <t xml:space="preserve">2024-08-28T18:29:02.996+02:00</t>
  </si>
  <si>
    <t xml:space="preserve">2024-08-28T18:35:30.348+02:00</t>
  </si>
  <si>
    <t xml:space="preserve">2024-08-28T18:28:35.843+02:00</t>
  </si>
  <si>
    <t xml:space="preserve">2024-08-28T18:37:45.415+02:00</t>
  </si>
  <si>
    <t xml:space="preserve">2024-08-28T18:18:02.031+02:00</t>
  </si>
  <si>
    <t xml:space="preserve">2024-08-28T18:31:01.083+02:00</t>
  </si>
  <si>
    <t xml:space="preserve">2024-08-28T19:00:53.883+02:00</t>
  </si>
  <si>
    <t xml:space="preserve">2024-08-28T18:21:09.438+02:00</t>
  </si>
  <si>
    <t xml:space="preserve">2024-08-28T18:17:24.628+02:00</t>
  </si>
  <si>
    <t xml:space="preserve">2024-08-28T18:27:03.314+02:00</t>
  </si>
  <si>
    <t xml:space="preserve">2024-08-28T18:13:03.238+02:00</t>
  </si>
  <si>
    <t xml:space="preserve">2024-08-28T18:23:32.437+02:00</t>
  </si>
  <si>
    <t xml:space="preserve">2024-08-28T18:13:02.946+02:00</t>
  </si>
  <si>
    <t xml:space="preserve">2024-08-28T18:19:59.263+02:00</t>
  </si>
  <si>
    <t xml:space="preserve">2024-08-28T18:12:29.426+02:00</t>
  </si>
  <si>
    <t xml:space="preserve">2024-08-28T18:24:44.441+02:00</t>
  </si>
  <si>
    <t xml:space="preserve">2024-08-28T18:08:00.490+02:00</t>
  </si>
  <si>
    <t xml:space="preserve">2024-08-28T18:17:38.282+02:00</t>
  </si>
  <si>
    <t xml:space="preserve">2024-08-28T18:02:59.867+02:00</t>
  </si>
  <si>
    <t xml:space="preserve">2024-08-28T18:09:04.214+02:00</t>
  </si>
  <si>
    <t xml:space="preserve">2024-08-28T17:55:53.835+02:00</t>
  </si>
  <si>
    <t xml:space="preserve">2024-08-28T18:03:24.312+02:00</t>
  </si>
  <si>
    <t xml:space="preserve">2024-08-28T17:55:03.985+02:00</t>
  </si>
  <si>
    <t xml:space="preserve">2024-08-28T18:02:12.204+02:00</t>
  </si>
  <si>
    <t xml:space="preserve">2024-08-28T17:45:57.209+02:00</t>
  </si>
  <si>
    <t xml:space="preserve">2024-08-28T17:54:45.243+02:00</t>
  </si>
  <si>
    <t xml:space="preserve">2024-08-28T17:42:53.678+02:00</t>
  </si>
  <si>
    <t xml:space="preserve">2024-08-28T17:54:47.174+02:00</t>
  </si>
  <si>
    <t xml:space="preserve">2024-08-28T17:41:21.153+02:00</t>
  </si>
  <si>
    <t xml:space="preserve">2024-08-28T17:46:48.399+02:00</t>
  </si>
  <si>
    <t xml:space="preserve">2024-08-28T17:27:16.805+02:00</t>
  </si>
  <si>
    <t xml:space="preserve">2024-08-28T17:33:12.083+02:00</t>
  </si>
  <si>
    <t xml:space="preserve">2024-08-28T17:21:44.325+02:00</t>
  </si>
  <si>
    <t xml:space="preserve">2024-08-28T17:30:09.146+02:00</t>
  </si>
  <si>
    <t xml:space="preserve">2024-08-28T17:10:01.474+02:00</t>
  </si>
  <si>
    <t xml:space="preserve">2024-08-28T17:18:43.173+02:00</t>
  </si>
  <si>
    <t xml:space="preserve">2024-08-28T17:32:34.933+02:00</t>
  </si>
  <si>
    <t xml:space="preserve">2024-08-28T17:12:49.176+02:00</t>
  </si>
  <si>
    <t xml:space="preserve">2024-08-28T17:09:05.757+02:00</t>
  </si>
  <si>
    <t xml:space="preserve">2024-08-28T17:16:53.081+02:00</t>
  </si>
  <si>
    <t xml:space="preserve">2024-08-28T17:02:03.666+02:00</t>
  </si>
  <si>
    <t xml:space="preserve">2024-08-28T17:09:32.196+02:00</t>
  </si>
  <si>
    <t xml:space="preserve">2024-08-28T16:57:06.375+02:00</t>
  </si>
  <si>
    <t xml:space="preserve">2024-08-28T17:04:02.098+02:00</t>
  </si>
  <si>
    <t xml:space="preserve">2024-08-28T16:50:02.975+02:00</t>
  </si>
  <si>
    <t xml:space="preserve">2024-08-28T17:00:45.140+02:00</t>
  </si>
  <si>
    <t xml:space="preserve">2024-08-28T16:49:01.362+02:00</t>
  </si>
  <si>
    <t xml:space="preserve">2024-08-28T17:07:32.929+02:00</t>
  </si>
  <si>
    <t xml:space="preserve">2024-08-28T17:20:20.155+02:00</t>
  </si>
  <si>
    <t xml:space="preserve">2024-08-28T16:49:02.043+02:00</t>
  </si>
  <si>
    <t xml:space="preserve">2024-08-28T16:36:05.469+02:00</t>
  </si>
  <si>
    <t xml:space="preserve">2024-08-28T16:42:55.487+02:00</t>
  </si>
  <si>
    <t xml:space="preserve">2024-08-28T16:09:57.240+02:00</t>
  </si>
  <si>
    <t xml:space="preserve">2024-08-28T16:20:28.185+02:00</t>
  </si>
  <si>
    <t xml:space="preserve">2024-08-28T16:08:01.475+02:00</t>
  </si>
  <si>
    <t xml:space="preserve">2024-08-28T16:21:39.838+02:00</t>
  </si>
  <si>
    <t xml:space="preserve">2024-08-28T15:54:01.789+02:00</t>
  </si>
  <si>
    <t xml:space="preserve">2024-08-28T16:00:25.911+02:00</t>
  </si>
  <si>
    <t xml:space="preserve">2024-08-28T16:11:39.626+02:00</t>
  </si>
  <si>
    <t xml:space="preserve">2024-08-28T15:54:02.255+02:00</t>
  </si>
  <si>
    <t xml:space="preserve">2024-08-28T15:42:05.893+02:00</t>
  </si>
  <si>
    <t xml:space="preserve">2024-08-28T15:49:23.247+02:00</t>
  </si>
  <si>
    <t xml:space="preserve">2024-08-28T15:36:01.637+02:00</t>
  </si>
  <si>
    <t xml:space="preserve">2024-08-28T15:46:01.831+02:00</t>
  </si>
  <si>
    <t xml:space="preserve">2024-08-28T15:25:01.827+02:00</t>
  </si>
  <si>
    <t xml:space="preserve">2024-08-28T15:32:49.114+02:00</t>
  </si>
  <si>
    <t xml:space="preserve">Bohdan</t>
  </si>
  <si>
    <t xml:space="preserve">2024-08-28T15:10:40.044+02:00</t>
  </si>
  <si>
    <t xml:space="preserve">2024-08-28T15:18:21.972+02:00</t>
  </si>
  <si>
    <t xml:space="preserve">2024-08-28T14:58:02.122+02:00</t>
  </si>
  <si>
    <t xml:space="preserve">2024-08-28T15:06:36.103+02:00</t>
  </si>
  <si>
    <t xml:space="preserve">2024-08-28T14:41:54.045+02:00</t>
  </si>
  <si>
    <t xml:space="preserve">2024-08-28T14:51:03.006+02:00</t>
  </si>
  <si>
    <t xml:space="preserve">2024-08-28T14:20:03.176+02:00</t>
  </si>
  <si>
    <t xml:space="preserve">2024-08-28T14:26:21.418+02:00</t>
  </si>
  <si>
    <t xml:space="preserve">2024-08-28T14:13:48.962+02:00</t>
  </si>
  <si>
    <t xml:space="preserve">2024-08-28T14:22:51.000+02:00</t>
  </si>
  <si>
    <t xml:space="preserve">2024-08-28T14:01:01.491+02:00</t>
  </si>
  <si>
    <t xml:space="preserve">2024-08-28T14:06:41.845+02:00</t>
  </si>
  <si>
    <t xml:space="preserve">2024-08-28T13:59:41.469+02:00</t>
  </si>
  <si>
    <t xml:space="preserve">2024-08-28T14:06:48.971+02:00</t>
  </si>
  <si>
    <t xml:space="preserve">2024-08-28T13:55:05.393+02:00</t>
  </si>
  <si>
    <t xml:space="preserve">2024-08-28T14:03:58.213+02:00</t>
  </si>
  <si>
    <t xml:space="preserve">2024-08-28T13:52:03.216+02:00</t>
  </si>
  <si>
    <t xml:space="preserve">2024-08-28T14:01:12.098+02:00</t>
  </si>
  <si>
    <t xml:space="preserve">2024-08-28T13:44:35.477+02:00</t>
  </si>
  <si>
    <t xml:space="preserve">2024-08-28T13:51:17.962+02:00</t>
  </si>
  <si>
    <t xml:space="preserve">2024-08-28T13:42:04.226+02:00</t>
  </si>
  <si>
    <t xml:space="preserve">2024-08-28T13:48:08.092+02:00</t>
  </si>
  <si>
    <t xml:space="preserve">2024-08-28T13:38:03.779+02:00</t>
  </si>
  <si>
    <t xml:space="preserve">2024-08-28T13:44:27.964+02:00</t>
  </si>
  <si>
    <t xml:space="preserve">2024-08-28T13:21:02.728+02:00</t>
  </si>
  <si>
    <t xml:space="preserve">2024-08-28T13:31:25.751+02:00</t>
  </si>
  <si>
    <t xml:space="preserve">2024-08-28T13:21:02.090+02:00</t>
  </si>
  <si>
    <t xml:space="preserve">2024-08-28T13:33:44.780+02:00</t>
  </si>
  <si>
    <t xml:space="preserve">2024-08-28T13:17:05.450+02:00</t>
  </si>
  <si>
    <t xml:space="preserve">2024-08-28T13:25:33.152+02:00</t>
  </si>
  <si>
    <t xml:space="preserve">2024-08-28T13:08:02.082+02:00</t>
  </si>
  <si>
    <t xml:space="preserve">2024-08-28T13:24:18.149+02:00</t>
  </si>
  <si>
    <t xml:space="preserve">2024-08-28T13:37:36.670+02:00</t>
  </si>
  <si>
    <t xml:space="preserve">2024-08-28T13:08:03.016+02:00</t>
  </si>
  <si>
    <t xml:space="preserve">2024-08-28T12:46:29.679+02:00</t>
  </si>
  <si>
    <t xml:space="preserve">2024-08-28T12:52:35.033+02:00</t>
  </si>
  <si>
    <t xml:space="preserve">2024-08-28T12:34:45.140+02:00</t>
  </si>
  <si>
    <t xml:space="preserve">2024-08-28T12:45:00.946+02:00</t>
  </si>
  <si>
    <t xml:space="preserve">2024-08-28T12:29:44.106+02:00</t>
  </si>
  <si>
    <t xml:space="preserve">2024-08-28T12:42:02.016+02:00</t>
  </si>
  <si>
    <t xml:space="preserve">2024-08-28T12:27:11.214+02:00</t>
  </si>
  <si>
    <t xml:space="preserve">2024-08-28T12:35:53.224+02:00</t>
  </si>
  <si>
    <t xml:space="preserve">2024-08-28T12:15:43.978+02:00</t>
  </si>
  <si>
    <t xml:space="preserve">2024-08-28T12:24:38.980+02:00</t>
  </si>
  <si>
    <t xml:space="preserve">2024-08-28T12:12:02.317+02:00</t>
  </si>
  <si>
    <t xml:space="preserve">2024-08-28T12:23:18.841+02:00</t>
  </si>
  <si>
    <t xml:space="preserve">2024-08-28T12:41:10.628+02:00</t>
  </si>
  <si>
    <t xml:space="preserve">2024-08-28T12:12:03.447+02:00</t>
  </si>
  <si>
    <t xml:space="preserve">2024-08-28T12:11:01.778+02:00</t>
  </si>
  <si>
    <t xml:space="preserve">2024-08-28T12:17:51.065+02:00</t>
  </si>
  <si>
    <t xml:space="preserve">2024-08-28T12:01:37.048+02:00</t>
  </si>
  <si>
    <t xml:space="preserve">2024-08-28T12:08:25.103+02:00</t>
  </si>
  <si>
    <t xml:space="preserve">2024-08-28T12:00:02.269+02:00</t>
  </si>
  <si>
    <t xml:space="preserve">2024-08-28T12:11:20.785+02:00</t>
  </si>
  <si>
    <t xml:space="preserve">2024-08-28T11:51:01.642+02:00</t>
  </si>
  <si>
    <t xml:space="preserve">2024-08-28T12:03:10.803+02:00</t>
  </si>
  <si>
    <t xml:space="preserve">2024-08-28T12:15:05.012+02:00</t>
  </si>
  <si>
    <t xml:space="preserve">2024-08-28T11:51:02.320+02:00</t>
  </si>
  <si>
    <t xml:space="preserve">2024-08-28T11:45:12.984+02:00</t>
  </si>
  <si>
    <t xml:space="preserve">2024-08-28T11:52:05.023+02:00</t>
  </si>
  <si>
    <t xml:space="preserve">2024-08-28T11:40:15.440+02:00</t>
  </si>
  <si>
    <t xml:space="preserve">2024-08-28T11:45:01.739+02:00</t>
  </si>
  <si>
    <t xml:space="preserve">2024-08-28T11:40:08.101+02:00</t>
  </si>
  <si>
    <t xml:space="preserve">2024-08-28T11:51:43.007+02:00</t>
  </si>
  <si>
    <t xml:space="preserve">2024-08-28T11:33:59.203+02:00</t>
  </si>
  <si>
    <t xml:space="preserve">2024-08-28T11:45:00.945+02:00</t>
  </si>
  <si>
    <t xml:space="preserve">2024-08-28T11:30:02.446+02:00</t>
  </si>
  <si>
    <t xml:space="preserve">2024-08-28T11:55:28.744+02:00</t>
  </si>
  <si>
    <t xml:space="preserve">2024-08-28T11:29:01.843+02:00</t>
  </si>
  <si>
    <t xml:space="preserve">2024-08-28T11:38:31.702+02:00</t>
  </si>
  <si>
    <t xml:space="preserve">2024-08-28T11:28:09.258+02:00</t>
  </si>
  <si>
    <t xml:space="preserve">2024-08-28T11:36:32.202+02:00</t>
  </si>
  <si>
    <t xml:space="preserve">2024-08-28T11:19:01.344+02:00</t>
  </si>
  <si>
    <t xml:space="preserve">2024-08-28T11:35:03.815+02:00</t>
  </si>
  <si>
    <t xml:space="preserve">2024-08-28T11:15:22.302+02:00</t>
  </si>
  <si>
    <t xml:space="preserve">2024-08-28T11:29:36.907+02:00</t>
  </si>
  <si>
    <t xml:space="preserve">2024-08-28T11:12:01.376+02:00</t>
  </si>
  <si>
    <t xml:space="preserve">2024-08-28T11:25:50.062+02:00</t>
  </si>
  <si>
    <t xml:space="preserve">Prasanth</t>
  </si>
  <si>
    <t xml:space="preserve">2024-08-28T11:06:44.529+02:00</t>
  </si>
  <si>
    <t xml:space="preserve">2024-08-28T11:22:04.854+02:00</t>
  </si>
  <si>
    <t xml:space="preserve">2024-08-28T11:04:59.868+02:00</t>
  </si>
  <si>
    <t xml:space="preserve">2024-08-28T11:19:16.106+02:00</t>
  </si>
  <si>
    <t xml:space="preserve">2024-08-28T09:42:01.285+02:00</t>
  </si>
  <si>
    <t xml:space="preserve">2024-08-28T11:12:18.065+02:00</t>
  </si>
  <si>
    <t xml:space="preserve">2024-08-28T11:32:28.837+02:00</t>
  </si>
  <si>
    <t xml:space="preserve">2024-08-28T09:42:02.134+02:00</t>
  </si>
  <si>
    <t xml:space="preserve">2024-08-28T09:03:23.657+02:00</t>
  </si>
  <si>
    <t xml:space="preserve">2024-08-28T14:20:22.003+02:00</t>
  </si>
  <si>
    <t xml:space="preserve">Nazar</t>
  </si>
  <si>
    <t xml:space="preserve">2024-08-29T23:05:09.497+02:00</t>
  </si>
  <si>
    <t xml:space="preserve">2024-08-29T23:13:59.270+02:00</t>
  </si>
  <si>
    <t xml:space="preserve">2024-08-29T22:57:11.599+02:00</t>
  </si>
  <si>
    <t xml:space="preserve">2024-08-29T23:08:14.267+02:00</t>
  </si>
  <si>
    <t xml:space="preserve">2024-08-29T22:56:40.661+02:00</t>
  </si>
  <si>
    <t xml:space="preserve">2024-08-29T23:03:54.279+02:00</t>
  </si>
  <si>
    <t xml:space="preserve">2024-08-29T22:55:40.023+02:00</t>
  </si>
  <si>
    <t xml:space="preserve">2024-08-29T23:02:49.262+02:00</t>
  </si>
  <si>
    <t xml:space="preserve">2024-08-29T22:43:03.236+02:00</t>
  </si>
  <si>
    <t xml:space="preserve">2024-08-29T22:50:52.392+02:00</t>
  </si>
  <si>
    <t xml:space="preserve">2024-08-29T22:42:04.629+02:00</t>
  </si>
  <si>
    <t xml:space="preserve">2024-08-29T22:51:10.072+02:00</t>
  </si>
  <si>
    <t xml:space="preserve">2024-08-29T22:19:56.677+02:00</t>
  </si>
  <si>
    <t xml:space="preserve">2024-08-29T22:28:25.289+02:00</t>
  </si>
  <si>
    <t xml:space="preserve">2024-08-29T22:19:30.982+02:00</t>
  </si>
  <si>
    <t xml:space="preserve">2024-08-29T22:28:03.359+02:00</t>
  </si>
  <si>
    <t xml:space="preserve">2024-08-29T22:09:30.105+02:00</t>
  </si>
  <si>
    <t xml:space="preserve">2024-08-29T22:19:43.297+02:00</t>
  </si>
  <si>
    <t xml:space="preserve">2024-08-29T22:09:30.086+02:00</t>
  </si>
  <si>
    <t xml:space="preserve">2024-08-29T22:20:36.438+02:00</t>
  </si>
  <si>
    <t xml:space="preserve">2024-08-29T22:05:49.370+02:00</t>
  </si>
  <si>
    <t xml:space="preserve">2024-08-29T22:12:57.396+02:00</t>
  </si>
  <si>
    <t xml:space="preserve">2024-08-29T21:49:01.883+02:00</t>
  </si>
  <si>
    <t xml:space="preserve">2024-08-29T22:09:42.665+02:00</t>
  </si>
  <si>
    <t xml:space="preserve">2024-08-29T21:49:02.698+02:00</t>
  </si>
  <si>
    <t xml:space="preserve">Anton</t>
  </si>
  <si>
    <t xml:space="preserve">2024-08-29T21:11:57.145+02:00</t>
  </si>
  <si>
    <t xml:space="preserve">2024-08-29T21:21:04.380+02:00</t>
  </si>
  <si>
    <t xml:space="preserve">2024-08-29T21:02:04.723+02:00</t>
  </si>
  <si>
    <t xml:space="preserve">2024-08-29T21:11:44.626+02:00</t>
  </si>
  <si>
    <t xml:space="preserve">2024-08-29T20:50:02.246+02:00</t>
  </si>
  <si>
    <t xml:space="preserve">2024-08-29T20:59:47.038+02:00</t>
  </si>
  <si>
    <t xml:space="preserve">2024-08-29T20:47:30.951+02:00</t>
  </si>
  <si>
    <t xml:space="preserve">2024-08-29T20:55:20.484+02:00</t>
  </si>
  <si>
    <t xml:space="preserve">2024-08-29T20:46:53.000+02:00</t>
  </si>
  <si>
    <t xml:space="preserve">2024-08-29T20:53:07.255+02:00</t>
  </si>
  <si>
    <t xml:space="preserve">2024-08-29T20:36:52.069+02:00</t>
  </si>
  <si>
    <t xml:space="preserve">2024-08-29T20:50:56.230+02:00</t>
  </si>
  <si>
    <t xml:space="preserve">2024-08-29T20:31:18.876+02:00</t>
  </si>
  <si>
    <t xml:space="preserve">2024-08-29T20:39:24.335+02:00</t>
  </si>
  <si>
    <t xml:space="preserve">2024-08-29T20:30:31.449+02:00</t>
  </si>
  <si>
    <t xml:space="preserve">2024-08-29T20:37:29.808+02:00</t>
  </si>
  <si>
    <t xml:space="preserve">2024-08-29T20:30:02.234+02:00</t>
  </si>
  <si>
    <t xml:space="preserve">2024-08-29T20:39:52.049+02:00</t>
  </si>
  <si>
    <t xml:space="preserve">2024-08-29T20:26:33.495+02:00</t>
  </si>
  <si>
    <t xml:space="preserve">2024-08-29T20:38:23.340+02:00</t>
  </si>
  <si>
    <t xml:space="preserve">2024-08-29T20:23:02.238+02:00</t>
  </si>
  <si>
    <t xml:space="preserve">2024-08-29T20:30:25.076+02:00</t>
  </si>
  <si>
    <t xml:space="preserve">2024-08-29T20:17:30.804+02:00</t>
  </si>
  <si>
    <t xml:space="preserve">2024-08-29T20:26:40.330+02:00</t>
  </si>
  <si>
    <t xml:space="preserve">2024-08-29T20:07:45.389+02:00</t>
  </si>
  <si>
    <t xml:space="preserve">2024-08-29T20:16:06.099+02:00</t>
  </si>
  <si>
    <t xml:space="preserve">2024-08-29T20:06:02.276+02:00</t>
  </si>
  <si>
    <t xml:space="preserve">2024-08-29T20:26:11.069+02:00</t>
  </si>
  <si>
    <t xml:space="preserve">2024-08-29T20:05:12.967+02:00</t>
  </si>
  <si>
    <t xml:space="preserve">2024-08-29T20:12:24.321+02:00</t>
  </si>
  <si>
    <t xml:space="preserve">2024-08-29T20:04:02.580+02:00</t>
  </si>
  <si>
    <t xml:space="preserve">2024-08-29T20:14:40.039+02:00</t>
  </si>
  <si>
    <t xml:space="preserve">Fatehdeep Singh</t>
  </si>
  <si>
    <t xml:space="preserve">2024-08-29T19:59:52.864+02:00</t>
  </si>
  <si>
    <t xml:space="preserve">2024-08-29T20:08:08.246+02:00</t>
  </si>
  <si>
    <t xml:space="preserve">2024-08-29T19:52:01.700+02:00</t>
  </si>
  <si>
    <t xml:space="preserve">2024-08-29T20:02:38.036+02:00</t>
  </si>
  <si>
    <t xml:space="preserve">2024-08-29T20:13:32.055+02:00</t>
  </si>
  <si>
    <t xml:space="preserve">2024-08-29T19:52:02.331+02:00</t>
  </si>
  <si>
    <t xml:space="preserve">2024-08-29T19:49:02.031+02:00</t>
  </si>
  <si>
    <t xml:space="preserve">2024-08-29T20:02:34.106+02:00</t>
  </si>
  <si>
    <t xml:space="preserve">2024-08-29T20:25:26.782+02:00</t>
  </si>
  <si>
    <t xml:space="preserve">2024-08-29T19:49:02.842+02:00</t>
  </si>
  <si>
    <t xml:space="preserve">2024-08-29T19:47:02.130+02:00</t>
  </si>
  <si>
    <t xml:space="preserve">2024-08-29T20:02:30.106+02:00</t>
  </si>
  <si>
    <t xml:space="preserve">2024-08-29T20:33:23.173+02:00</t>
  </si>
  <si>
    <t xml:space="preserve">2024-08-29T19:47:02.747+02:00</t>
  </si>
  <si>
    <t xml:space="preserve">2024-08-29T19:44:09.341+02:00</t>
  </si>
  <si>
    <t xml:space="preserve">2024-08-29T19:54:52.262+02:00</t>
  </si>
  <si>
    <t xml:space="preserve">2024-08-29T19:43:06.975+02:00</t>
  </si>
  <si>
    <t xml:space="preserve">2024-08-29T19:52:31.344+02:00</t>
  </si>
  <si>
    <t xml:space="preserve">2024-08-29T19:42:02.155+02:00</t>
  </si>
  <si>
    <t xml:space="preserve">2024-08-29T19:49:11.078+02:00</t>
  </si>
  <si>
    <t xml:space="preserve">2024-08-29T19:59:47.403+02:00</t>
  </si>
  <si>
    <t xml:space="preserve">2024-08-29T19:42:02.793+02:00</t>
  </si>
  <si>
    <t xml:space="preserve">2024-08-29T19:29:01.667+02:00</t>
  </si>
  <si>
    <t xml:space="preserve">2024-08-29T19:41:52.046+02:00</t>
  </si>
  <si>
    <t xml:space="preserve">2024-08-29T19:28:36.875+02:00</t>
  </si>
  <si>
    <t xml:space="preserve">2024-08-29T19:36:04.372+02:00</t>
  </si>
  <si>
    <t xml:space="preserve">2024-08-29T19:28:35.734+02:00</t>
  </si>
  <si>
    <t xml:space="preserve">2024-08-29T19:34:53.361+02:00</t>
  </si>
  <si>
    <t xml:space="preserve">2024-08-29T19:28:01.383+02:00</t>
  </si>
  <si>
    <t xml:space="preserve">2024-08-29T19:34:41.337+02:00</t>
  </si>
  <si>
    <t xml:space="preserve">2024-08-29T19:15:02.219+02:00</t>
  </si>
  <si>
    <t xml:space="preserve">2024-08-29T19:27:36.080+02:00</t>
  </si>
  <si>
    <t xml:space="preserve">2024-08-29T19:48:54.616+02:00</t>
  </si>
  <si>
    <t xml:space="preserve">2024-08-29T19:15:02.984+02:00</t>
  </si>
  <si>
    <t xml:space="preserve">2024-08-29T19:10:32.550+02:00</t>
  </si>
  <si>
    <t xml:space="preserve">2024-08-29T19:21:11.429+02:00</t>
  </si>
  <si>
    <t xml:space="preserve">2024-08-29T19:07:31.797+02:00</t>
  </si>
  <si>
    <t xml:space="preserve">2024-08-29T19:12:34.768+02:00</t>
  </si>
  <si>
    <t xml:space="preserve">2024-08-29T19:05:02.143+02:00</t>
  </si>
  <si>
    <t xml:space="preserve">2024-08-29T19:22:54.089+02:00</t>
  </si>
  <si>
    <t xml:space="preserve">2024-08-29T20:03:38.213+02:00</t>
  </si>
  <si>
    <t xml:space="preserve">2024-08-29T19:24:11.349+02:00</t>
  </si>
  <si>
    <t xml:space="preserve">2024-08-29T19:03:01.596+02:00</t>
  </si>
  <si>
    <t xml:space="preserve">2024-08-29T19:16:26.646+02:00</t>
  </si>
  <si>
    <t xml:space="preserve">2024-08-29T19:35:45.381+02:00</t>
  </si>
  <si>
    <t xml:space="preserve">2024-08-29T19:07:56.848+02:00</t>
  </si>
  <si>
    <t xml:space="preserve">2024-08-29T18:59:02.132+02:00</t>
  </si>
  <si>
    <t xml:space="preserve">2024-08-29T19:25:52.113+02:00</t>
  </si>
  <si>
    <t xml:space="preserve">2024-08-29T19:35:59.820+02:00</t>
  </si>
  <si>
    <t xml:space="preserve">2024-08-29T18:59:02.948+02:00</t>
  </si>
  <si>
    <t xml:space="preserve">2024-08-29T18:59:02.117+02:00</t>
  </si>
  <si>
    <t xml:space="preserve">2024-08-29T19:11:25.651+02:00</t>
  </si>
  <si>
    <t xml:space="preserve">2024-08-29T19:27:55.281+02:00</t>
  </si>
  <si>
    <t xml:space="preserve">2024-08-29T18:59:03.201+02:00</t>
  </si>
  <si>
    <t xml:space="preserve">2024-08-29T18:58:25.571+02:00</t>
  </si>
  <si>
    <t xml:space="preserve">2024-08-29T19:04:39.967+02:00</t>
  </si>
  <si>
    <t xml:space="preserve">2024-08-29T18:58:01.877+02:00</t>
  </si>
  <si>
    <t xml:space="preserve">2024-08-29T19:08:24.597+02:00</t>
  </si>
  <si>
    <t xml:space="preserve">2024-08-29T19:37:25.815+02:00</t>
  </si>
  <si>
    <t xml:space="preserve">2024-08-29T18:58:02.464+02:00</t>
  </si>
  <si>
    <t xml:space="preserve">2024-08-29T18:56:53.867+02:00</t>
  </si>
  <si>
    <t xml:space="preserve">2024-08-29T19:03:30.792+02:00</t>
  </si>
  <si>
    <t xml:space="preserve">2024-08-29T18:51:33.361+02:00</t>
  </si>
  <si>
    <t xml:space="preserve">2024-08-29T18:57:55.798+02:00</t>
  </si>
  <si>
    <t xml:space="preserve">2024-08-29T18:51:21.251+02:00</t>
  </si>
  <si>
    <t xml:space="preserve">2024-08-29T18:57:52.337+02:00</t>
  </si>
  <si>
    <t xml:space="preserve">2024-08-29T18:34:32.192+02:00</t>
  </si>
  <si>
    <t xml:space="preserve">2024-08-29T18:41:35.873+02:00</t>
  </si>
  <si>
    <t xml:space="preserve">2024-08-29T18:27:01.914+02:00</t>
  </si>
  <si>
    <t xml:space="preserve">2024-08-29T18:36:20.568+02:00</t>
  </si>
  <si>
    <t xml:space="preserve">2024-08-29T18:24:32.967+02:00</t>
  </si>
  <si>
    <t xml:space="preserve">2024-08-29T18:33:01.094+02:00</t>
  </si>
  <si>
    <t xml:space="preserve">2024-08-29T18:17:46.217+02:00</t>
  </si>
  <si>
    <t xml:space="preserve">2024-08-29T18:30:40.815+02:00</t>
  </si>
  <si>
    <t xml:space="preserve">2024-08-29T18:16:19.591+02:00</t>
  </si>
  <si>
    <t xml:space="preserve">2024-08-29T18:26:33.869+02:00</t>
  </si>
  <si>
    <t xml:space="preserve">2024-08-29T18:15:01.885+02:00</t>
  </si>
  <si>
    <t xml:space="preserve">2024-08-29T18:29:34.597+02:00</t>
  </si>
  <si>
    <t xml:space="preserve">2024-08-29T18:13:31.571+02:00</t>
  </si>
  <si>
    <t xml:space="preserve">2024-08-29T18:26:26.816+02:00</t>
  </si>
  <si>
    <t xml:space="preserve">2024-08-29T18:07:30.015+02:00</t>
  </si>
  <si>
    <t xml:space="preserve">2024-08-29T18:12:35.820+02:00</t>
  </si>
  <si>
    <t xml:space="preserve">2024-08-29T18:05:01.385+02:00</t>
  </si>
  <si>
    <t xml:space="preserve">2024-08-29T18:17:31.604+02:00</t>
  </si>
  <si>
    <t xml:space="preserve">2024-08-29T18:21:24.363+02:00</t>
  </si>
  <si>
    <t xml:space="preserve">2024-08-29T18:05:02.023+02:00</t>
  </si>
  <si>
    <t xml:space="preserve">2024-08-29T18:02:30.351+02:00</t>
  </si>
  <si>
    <t xml:space="preserve">2024-08-29T18:10:29.778+02:00</t>
  </si>
  <si>
    <t xml:space="preserve">2024-08-29T18:02:08.586+02:00</t>
  </si>
  <si>
    <t xml:space="preserve">2024-08-29T18:12:12.745+02:00</t>
  </si>
  <si>
    <t xml:space="preserve">2024-08-29T18:01:30.851+02:00</t>
  </si>
  <si>
    <t xml:space="preserve">2024-08-29T18:07:22.788+02:00</t>
  </si>
  <si>
    <t xml:space="preserve">2024-08-29T18:01:10.458+02:00</t>
  </si>
  <si>
    <t xml:space="preserve">2024-08-29T18:06:45.810+02:00</t>
  </si>
  <si>
    <t xml:space="preserve">2024-08-29T17:40:28.107+02:00</t>
  </si>
  <si>
    <t xml:space="preserve">2024-08-29T17:45:08.218+02:00</t>
  </si>
  <si>
    <t xml:space="preserve">2024-08-29T17:36:11.938+02:00</t>
  </si>
  <si>
    <t xml:space="preserve">2024-08-29T17:43:40.812+02:00</t>
  </si>
  <si>
    <t xml:space="preserve">2024-08-29T17:25:25.442+02:00</t>
  </si>
  <si>
    <t xml:space="preserve">2024-08-29T17:31:14.766+02:00</t>
  </si>
  <si>
    <t xml:space="preserve">2024-08-29T17:22:52.727+02:00</t>
  </si>
  <si>
    <t xml:space="preserve">2024-08-29T17:30:59.009+02:00</t>
  </si>
  <si>
    <t xml:space="preserve">2024-08-29T17:12:02.438+02:00</t>
  </si>
  <si>
    <t xml:space="preserve">2024-08-29T17:19:28.496+02:00</t>
  </si>
  <si>
    <t xml:space="preserve">2024-08-29T17:06:02.502+02:00</t>
  </si>
  <si>
    <t xml:space="preserve">2024-08-29T17:17:12.519+02:00</t>
  </si>
  <si>
    <t xml:space="preserve">2024-08-29T16:53:27.310+02:00</t>
  </si>
  <si>
    <t xml:space="preserve">2024-08-29T17:04:01.801+02:00</t>
  </si>
  <si>
    <t xml:space="preserve">2024-08-29T16:45:01.956+02:00</t>
  </si>
  <si>
    <t xml:space="preserve">2024-08-29T16:57:42.467+02:00</t>
  </si>
  <si>
    <t xml:space="preserve">2024-08-29T16:43:01.551+02:00</t>
  </si>
  <si>
    <t xml:space="preserve">2024-08-29T16:50:44.522+02:00</t>
  </si>
  <si>
    <t xml:space="preserve">2024-08-29T16:59:44.803+02:00</t>
  </si>
  <si>
    <t xml:space="preserve">2024-08-29T16:43:02.046+02:00</t>
  </si>
  <si>
    <t xml:space="preserve">2024-08-29T16:28:23.565+02:00</t>
  </si>
  <si>
    <t xml:space="preserve">2024-08-29T16:35:20.734+02:00</t>
  </si>
  <si>
    <t xml:space="preserve">2024-08-29T16:13:58.955+02:00</t>
  </si>
  <si>
    <t xml:space="preserve">2024-08-29T16:20:23.008+02:00</t>
  </si>
  <si>
    <t xml:space="preserve">2024-08-29T15:50:22.855+02:00</t>
  </si>
  <si>
    <t xml:space="preserve">2024-08-29T15:58:06.741+02:00</t>
  </si>
  <si>
    <t xml:space="preserve">2024-08-29T15:11:20.523+02:00</t>
  </si>
  <si>
    <t xml:space="preserve">2024-08-29T15:20:22.349+02:00</t>
  </si>
  <si>
    <t xml:space="preserve">2024-08-29T15:06:23.230+02:00</t>
  </si>
  <si>
    <t xml:space="preserve">2024-08-29T15:17:24.581+02:00</t>
  </si>
  <si>
    <t xml:space="preserve">2024-08-29T14:51:01.849+02:00</t>
  </si>
  <si>
    <t xml:space="preserve">2024-08-29T14:59:27.311+02:00</t>
  </si>
  <si>
    <t xml:space="preserve">2024-08-29T14:46:02.524+02:00</t>
  </si>
  <si>
    <t xml:space="preserve">2024-08-29T14:53:34.399+02:00</t>
  </si>
  <si>
    <t xml:space="preserve">2024-08-29T15:11:51.804+02:00</t>
  </si>
  <si>
    <t xml:space="preserve">2024-08-29T14:46:03.109+02:00</t>
  </si>
  <si>
    <t xml:space="preserve">2024-08-29T14:29:21.511+02:00</t>
  </si>
  <si>
    <t xml:space="preserve">2024-08-29T14:40:15.666+02:00</t>
  </si>
  <si>
    <t xml:space="preserve">2024-08-29T14:27:31.235+02:00</t>
  </si>
  <si>
    <t xml:space="preserve">2024-08-29T14:36:58.603+02:00</t>
  </si>
  <si>
    <t xml:space="preserve">2024-08-29T13:59:22.441+02:00</t>
  </si>
  <si>
    <t xml:space="preserve">2024-08-29T14:11:47.466+02:00</t>
  </si>
  <si>
    <t xml:space="preserve">2024-08-29T13:57:45.696+02:00</t>
  </si>
  <si>
    <t xml:space="preserve">2024-08-29T14:10:23.707+02:00</t>
  </si>
  <si>
    <t xml:space="preserve">2024-08-29T13:47:24.060+02:00</t>
  </si>
  <si>
    <t xml:space="preserve">2024-08-29T13:58:56.540+02:00</t>
  </si>
  <si>
    <t xml:space="preserve">2024-08-29T13:42:27.664+02:00</t>
  </si>
  <si>
    <t xml:space="preserve">2024-08-29T13:49:42.494+02:00</t>
  </si>
  <si>
    <t xml:space="preserve">2024-08-29T13:26:02.691+02:00</t>
  </si>
  <si>
    <t xml:space="preserve">2024-08-29T13:42:54.217+02:00</t>
  </si>
  <si>
    <t xml:space="preserve">2024-08-29T13:06:02.108+02:00</t>
  </si>
  <si>
    <t xml:space="preserve">2024-08-29T13:17:25.257+02:00</t>
  </si>
  <si>
    <t xml:space="preserve">2024-08-29T13:35:40.848+02:00</t>
  </si>
  <si>
    <t xml:space="preserve">2024-08-29T13:06:02.907+02:00</t>
  </si>
  <si>
    <t xml:space="preserve">2024-08-29T13:06:02.093+02:00</t>
  </si>
  <si>
    <t xml:space="preserve">2024-08-29T13:38:39.288+02:00</t>
  </si>
  <si>
    <t xml:space="preserve">2024-08-29T13:59:42.929+02:00</t>
  </si>
  <si>
    <t xml:space="preserve">2024-08-29T13:06:02.888+02:00</t>
  </si>
  <si>
    <t xml:space="preserve">2024-08-29T12:59:59.128+02:00</t>
  </si>
  <si>
    <t xml:space="preserve">2024-08-29T13:07:48.446+02:00</t>
  </si>
  <si>
    <t xml:space="preserve">2024-08-29T12:47:01.350+02:00</t>
  </si>
  <si>
    <t xml:space="preserve">2024-08-29T13:03:15.238+02:00</t>
  </si>
  <si>
    <t xml:space="preserve">2024-08-29T13:16:23.659+02:00</t>
  </si>
  <si>
    <t xml:space="preserve">2024-08-29T12:47:01.537+02:00</t>
  </si>
  <si>
    <t xml:space="preserve">2024-08-29T12:41:58.353+02:00</t>
  </si>
  <si>
    <t xml:space="preserve">2024-08-29T12:48:22.439+02:00</t>
  </si>
  <si>
    <t xml:space="preserve">2024-08-29T12:28:22.229+02:00</t>
  </si>
  <si>
    <t xml:space="preserve">2024-08-29T12:34:25.498+02:00</t>
  </si>
  <si>
    <t xml:space="preserve">2024-08-29T12:26:42.334+02:00</t>
  </si>
  <si>
    <t xml:space="preserve">2024-08-29T12:33:10.333+02:00</t>
  </si>
  <si>
    <t xml:space="preserve">2024-08-29T12:25:53.082+02:00</t>
  </si>
  <si>
    <t xml:space="preserve">2024-08-29T12:31:30.489+02:00</t>
  </si>
  <si>
    <t xml:space="preserve">2024-08-29T12:19:30.878+02:00</t>
  </si>
  <si>
    <t xml:space="preserve">2024-08-29T12:26:47.346+02:00</t>
  </si>
  <si>
    <t xml:space="preserve">2024-08-29T12:19:23.884+02:00</t>
  </si>
  <si>
    <t xml:space="preserve">2024-08-29T12:27:36.477+02:00</t>
  </si>
  <si>
    <t xml:space="preserve">2024-08-29T12:17:02.263+02:00</t>
  </si>
  <si>
    <t xml:space="preserve">2024-08-29T12:38:22.239+02:00</t>
  </si>
  <si>
    <t xml:space="preserve">2024-08-29T12:06:02.209+02:00</t>
  </si>
  <si>
    <t xml:space="preserve">2024-08-29T12:18:26.190+02:00</t>
  </si>
  <si>
    <t xml:space="preserve">2024-08-29T12:04:47.889+02:00</t>
  </si>
  <si>
    <t xml:space="preserve">2024-08-29T12:16:17.514+02:00</t>
  </si>
  <si>
    <t xml:space="preserve">2024-08-29T11:59:33.371+02:00</t>
  </si>
  <si>
    <t xml:space="preserve">2024-08-29T12:13:57.559+02:00</t>
  </si>
  <si>
    <t xml:space="preserve">2024-08-29T11:36:04.988+02:00</t>
  </si>
  <si>
    <t xml:space="preserve">2024-08-29T12:10:13.187+02:00</t>
  </si>
  <si>
    <t xml:space="preserve">2024-08-29T11:35:01.470+02:00</t>
  </si>
  <si>
    <t xml:space="preserve">2024-08-29T11:56:01.198+02:00</t>
  </si>
  <si>
    <t xml:space="preserve">2024-08-29T11:34:03.714+02:00</t>
  </si>
  <si>
    <t xml:space="preserve">2024-08-29T11:44:36.378+02:00</t>
  </si>
  <si>
    <t xml:space="preserve">2024-08-29T11:33:02.451+02:00</t>
  </si>
  <si>
    <t xml:space="preserve">2024-08-29T12:12:34.242+02:00</t>
  </si>
  <si>
    <t xml:space="preserve">2024-08-29T12:20:30.950+02:00</t>
  </si>
  <si>
    <t xml:space="preserve">2024-08-29T11:46:38.478+02:00</t>
  </si>
  <si>
    <t xml:space="preserve">2024-08-29T11:33:02.437+02:00</t>
  </si>
  <si>
    <t xml:space="preserve">2024-08-29T11:54:55.203+02:00</t>
  </si>
  <si>
    <t xml:space="preserve">2024-08-29T11:21:02.890+02:00</t>
  </si>
  <si>
    <t xml:space="preserve">2024-08-29T12:00:06.255+02:00</t>
  </si>
  <si>
    <t xml:space="preserve">2024-08-29T12:33:15.701+02:00</t>
  </si>
  <si>
    <t xml:space="preserve">2024-08-29T11:46:45.450+02:00</t>
  </si>
  <si>
    <t xml:space="preserve">2024-08-29T11:18:01.731+02:00</t>
  </si>
  <si>
    <t xml:space="preserve">2024-08-29T11:28:22.315+02:00</t>
  </si>
  <si>
    <t xml:space="preserve">2024-08-29T11:39:28.080+02:00</t>
  </si>
  <si>
    <t xml:space="preserve">2024-08-29T11:18:02.014+02:00</t>
  </si>
  <si>
    <t xml:space="preserve">2024-08-29T11:16:02.047+02:00</t>
  </si>
  <si>
    <t xml:space="preserve">2024-08-29T11:49:49.306+02:00</t>
  </si>
  <si>
    <t xml:space="preserve">2024-08-29T12:15:33.480+02:00</t>
  </si>
  <si>
    <t xml:space="preserve">2024-08-29T11:46:51.782+02:00</t>
  </si>
  <si>
    <t xml:space="preserve">2024-08-29T11:15:34.601+02:00</t>
  </si>
  <si>
    <t xml:space="preserve">2024-08-29T12:05:54.741+02:00</t>
  </si>
  <si>
    <t xml:space="preserve">2024-08-29T11:13:30.344+02:00</t>
  </si>
  <si>
    <t xml:space="preserve">2024-08-29T11:25:59.221+02:00</t>
  </si>
  <si>
    <t xml:space="preserve">2024-08-29T11:09:33.260+02:00</t>
  </si>
  <si>
    <t xml:space="preserve">2024-08-29T11:24:35.433+02:00</t>
  </si>
  <si>
    <t xml:space="preserve">2024-08-29T10:52:01.713+02:00</t>
  </si>
  <si>
    <t xml:space="preserve">2024-08-29T12:16:05.287+02:00</t>
  </si>
  <si>
    <t xml:space="preserve">2024-08-29T07:37:01.502+02:00</t>
  </si>
  <si>
    <t xml:space="preserve">2024-08-29T12:15:14.186+02:00</t>
  </si>
  <si>
    <t xml:space="preserve">2024-08-30T23:54:55.406+02:00</t>
  </si>
  <si>
    <t xml:space="preserve">2024-08-31T00:03:39.708+02:00</t>
  </si>
  <si>
    <t xml:space="preserve">2024-08-30T23:54:02.883+02:00</t>
  </si>
  <si>
    <t xml:space="preserve">2024-08-31T00:02:26.518+02:00</t>
  </si>
  <si>
    <t xml:space="preserve">2024-08-31T00:44:48.471+02:00</t>
  </si>
  <si>
    <t xml:space="preserve">2024-08-31T00:08:14.581+02:00</t>
  </si>
  <si>
    <t xml:space="preserve">2024-08-30T23:51:01.295+02:00</t>
  </si>
  <si>
    <t xml:space="preserve">2024-08-31T00:20:42.405+02:00</t>
  </si>
  <si>
    <t xml:space="preserve">2024-08-30T23:42:01.028+02:00</t>
  </si>
  <si>
    <t xml:space="preserve">2024-08-30T23:49:39.691+02:00</t>
  </si>
  <si>
    <t xml:space="preserve">2024-08-30T23:41:01.555+02:00</t>
  </si>
  <si>
    <t xml:space="preserve">2024-08-30T23:50:55.433+02:00</t>
  </si>
  <si>
    <t xml:space="preserve">2024-08-30T23:30:02.210+02:00</t>
  </si>
  <si>
    <t xml:space="preserve">2024-08-30T23:39:55.444+02:00</t>
  </si>
  <si>
    <t xml:space="preserve">2024-08-30T23:52:26.596+02:00</t>
  </si>
  <si>
    <t xml:space="preserve">2024-08-30T23:30:02.972+02:00</t>
  </si>
  <si>
    <t xml:space="preserve">2024-08-30T23:24:11.175+02:00</t>
  </si>
  <si>
    <t xml:space="preserve">2024-08-30T23:35:37.529+02:00</t>
  </si>
  <si>
    <t xml:space="preserve">2024-08-30T23:17:02.047+02:00</t>
  </si>
  <si>
    <t xml:space="preserve">2024-08-30T23:59:32.461+02:00</t>
  </si>
  <si>
    <t xml:space="preserve">2024-08-30T23:14:00.247+02:00</t>
  </si>
  <si>
    <t xml:space="preserve">2024-08-30T23:22:29.656+02:00</t>
  </si>
  <si>
    <t xml:space="preserve">2024-08-30T23:11:57.332+02:00</t>
  </si>
  <si>
    <t xml:space="preserve">2024-08-30T23:21:26.133+02:00</t>
  </si>
  <si>
    <t xml:space="preserve">2024-08-30T23:08:59.569+02:00</t>
  </si>
  <si>
    <t xml:space="preserve">2024-08-30T23:23:24.787+02:00</t>
  </si>
  <si>
    <t xml:space="preserve">Ivan</t>
  </si>
  <si>
    <t xml:space="preserve">2024-08-30T22:59:59.064+02:00</t>
  </si>
  <si>
    <t xml:space="preserve">2024-08-30T23:06:47.573+02:00</t>
  </si>
  <si>
    <t xml:space="preserve">2024-08-30T22:56:00.313+02:00</t>
  </si>
  <si>
    <t xml:space="preserve">2024-08-30T23:01:35.700+02:00</t>
  </si>
  <si>
    <t xml:space="preserve">2024-08-30T22:50:50.335+02:00</t>
  </si>
  <si>
    <t xml:space="preserve">2024-08-30T23:05:37.584+02:00</t>
  </si>
  <si>
    <t xml:space="preserve">2024-08-30T22:47:00.816+02:00</t>
  </si>
  <si>
    <t xml:space="preserve">2024-08-30T22:53:14.703+02:00</t>
  </si>
  <si>
    <t xml:space="preserve">2024-08-30T22:45:59.567+02:00</t>
  </si>
  <si>
    <t xml:space="preserve">2024-08-30T22:51:57.689+02:00</t>
  </si>
  <si>
    <t xml:space="preserve">2024-08-30T22:45:45.291+02:00</t>
  </si>
  <si>
    <t xml:space="preserve">2024-08-30T23:03:40.724+02:00</t>
  </si>
  <si>
    <t xml:space="preserve">2024-08-30T22:44:14.128+02:00</t>
  </si>
  <si>
    <t xml:space="preserve">2024-08-30T22:50:01.635+02:00</t>
  </si>
  <si>
    <t xml:space="preserve">2024-08-30T22:41:45.759+02:00</t>
  </si>
  <si>
    <t xml:space="preserve">2024-08-30T22:50:24.122+02:00</t>
  </si>
  <si>
    <t xml:space="preserve">2024-08-30T22:34:00.371+02:00</t>
  </si>
  <si>
    <t xml:space="preserve">2024-08-30T22:45:16.653+02:00</t>
  </si>
  <si>
    <t xml:space="preserve">2024-08-30T22:32:08.887+02:00</t>
  </si>
  <si>
    <t xml:space="preserve">2024-08-30T22:44:06.652+02:00</t>
  </si>
  <si>
    <t xml:space="preserve">2024-08-30T22:30:01.703+02:00</t>
  </si>
  <si>
    <t xml:space="preserve">2024-08-30T22:37:50.444+02:00</t>
  </si>
  <si>
    <t xml:space="preserve">2024-08-30T22:54:59.742+02:00</t>
  </si>
  <si>
    <t xml:space="preserve">2024-08-30T22:30:02.513+02:00</t>
  </si>
  <si>
    <t xml:space="preserve">2024-08-30T22:26:00.114+02:00</t>
  </si>
  <si>
    <t xml:space="preserve">2024-08-30T22:36:05.787+02:00</t>
  </si>
  <si>
    <t xml:space="preserve">2024-08-30T22:21:35.923+02:00</t>
  </si>
  <si>
    <t xml:space="preserve">2024-08-30T22:29:54.682+02:00</t>
  </si>
  <si>
    <t xml:space="preserve">Sterling</t>
  </si>
  <si>
    <t xml:space="preserve">2024-08-30T22:20:39.197+02:00</t>
  </si>
  <si>
    <t xml:space="preserve">2024-08-30T22:29:02.529+02:00</t>
  </si>
  <si>
    <t xml:space="preserve">2024-08-30T22:00:59.157+02:00</t>
  </si>
  <si>
    <t xml:space="preserve">2024-08-30T22:19:48.870+02:00</t>
  </si>
  <si>
    <t xml:space="preserve">2024-08-30T22:00:14.871+02:00</t>
  </si>
  <si>
    <t xml:space="preserve">2024-08-30T22:07:40.563+02:00</t>
  </si>
  <si>
    <t xml:space="preserve">2024-08-30T21:39:07.285+02:00</t>
  </si>
  <si>
    <t xml:space="preserve">2024-08-30T21:46:23.379+02:00</t>
  </si>
  <si>
    <t xml:space="preserve">2024-08-30T21:25:02.081+02:00</t>
  </si>
  <si>
    <t xml:space="preserve">2024-08-30T23:10:07.426+02:00</t>
  </si>
  <si>
    <t xml:space="preserve">2024-08-30T21:21:02.106+02:00</t>
  </si>
  <si>
    <t xml:space="preserve">2024-08-30T21:28:09.356+02:00</t>
  </si>
  <si>
    <t xml:space="preserve">2024-08-30T21:04:31.419+02:00</t>
  </si>
  <si>
    <t xml:space="preserve">2024-08-30T21:12:45.899+02:00</t>
  </si>
  <si>
    <t xml:space="preserve">2024-08-30T21:01:03.320+02:00</t>
  </si>
  <si>
    <t xml:space="preserve">2024-08-30T21:06:41.631+02:00</t>
  </si>
  <si>
    <t xml:space="preserve">2024-08-30T20:51:59.768+02:00</t>
  </si>
  <si>
    <t xml:space="preserve">2024-08-30T20:57:49.660+02:00</t>
  </si>
  <si>
    <t xml:space="preserve">2024-08-30T20:45:59.571+02:00</t>
  </si>
  <si>
    <t xml:space="preserve">2024-08-30T20:53:23.672+02:00</t>
  </si>
  <si>
    <t xml:space="preserve">2024-08-30T20:44:01.396+02:00</t>
  </si>
  <si>
    <t xml:space="preserve">2024-08-30T20:49:49.624+02:00</t>
  </si>
  <si>
    <t xml:space="preserve">2024-08-30T20:35:03.472+02:00</t>
  </si>
  <si>
    <t xml:space="preserve">2024-08-30T20:47:26.558+02:00</t>
  </si>
  <si>
    <t xml:space="preserve">2024-08-30T20:32:37.148+02:00</t>
  </si>
  <si>
    <t xml:space="preserve">2024-08-30T20:39:00.564+02:00</t>
  </si>
  <si>
    <t xml:space="preserve">2024-08-30T20:24:03.180+02:00</t>
  </si>
  <si>
    <t xml:space="preserve">2024-08-30T20:31:27.578+02:00</t>
  </si>
  <si>
    <t xml:space="preserve">2024-08-30T20:09:39.289+02:00</t>
  </si>
  <si>
    <t xml:space="preserve">2024-08-30T20:20:12.536+02:00</t>
  </si>
  <si>
    <t xml:space="preserve">2024-08-30T20:05:01.381+02:00</t>
  </si>
  <si>
    <t xml:space="preserve">2024-08-30T20:19:04.349+02:00</t>
  </si>
  <si>
    <t xml:space="preserve">2024-08-30T20:03:02.019+02:00</t>
  </si>
  <si>
    <t xml:space="preserve">2024-08-30T20:21:25.395+02:00</t>
  </si>
  <si>
    <t xml:space="preserve">2024-08-30T20:31:20.282+02:00</t>
  </si>
  <si>
    <t xml:space="preserve">2024-08-30T20:03:02.687+02:00</t>
  </si>
  <si>
    <t xml:space="preserve">2024-08-30T20:01:02.074+02:00</t>
  </si>
  <si>
    <t xml:space="preserve">2024-08-30T20:10:45.688+02:00</t>
  </si>
  <si>
    <t xml:space="preserve">2024-08-30T20:00:31.734+02:00</t>
  </si>
  <si>
    <t xml:space="preserve">2024-08-30T20:07:53.323+02:00</t>
  </si>
  <si>
    <t xml:space="preserve">2024-08-30T20:00:24.465+02:00</t>
  </si>
  <si>
    <t xml:space="preserve">2024-08-30T20:12:41.791+02:00</t>
  </si>
  <si>
    <t xml:space="preserve">2024-08-30T20:00:01.909+02:00</t>
  </si>
  <si>
    <t xml:space="preserve">2024-08-30T20:16:35.340+02:00</t>
  </si>
  <si>
    <t xml:space="preserve">2024-08-30T19:57:02.286+02:00</t>
  </si>
  <si>
    <t xml:space="preserve">2024-08-30T20:04:02.668+02:00</t>
  </si>
  <si>
    <t xml:space="preserve">2024-08-30T19:46:51.848+02:00</t>
  </si>
  <si>
    <t xml:space="preserve">2024-08-30T19:54:07.317+02:00</t>
  </si>
  <si>
    <t xml:space="preserve">2024-08-30T19:45:44.284+02:00</t>
  </si>
  <si>
    <t xml:space="preserve">2024-08-30T19:58:03.557+02:00</t>
  </si>
  <si>
    <t xml:space="preserve">2024-08-30T19:44:15.915+02:00</t>
  </si>
  <si>
    <t xml:space="preserve">2024-08-30T19:55:34.508+02:00</t>
  </si>
  <si>
    <t xml:space="preserve">2024-08-30T19:44:02.275+02:00</t>
  </si>
  <si>
    <t xml:space="preserve">2024-08-30T19:52:10.315+02:00</t>
  </si>
  <si>
    <t xml:space="preserve">2024-08-30T19:42:02.074+02:00</t>
  </si>
  <si>
    <t xml:space="preserve">2024-08-30T19:49:08.349+02:00</t>
  </si>
  <si>
    <t xml:space="preserve">2024-08-30T19:39:01.849+02:00</t>
  </si>
  <si>
    <t xml:space="preserve">2024-08-30T19:47:02.353+02:00</t>
  </si>
  <si>
    <t xml:space="preserve">2024-08-30T20:06:24.302+02:00</t>
  </si>
  <si>
    <t xml:space="preserve">2024-08-30T19:39:02.432+02:00</t>
  </si>
  <si>
    <t xml:space="preserve">2024-08-30T19:14:09.979+02:00</t>
  </si>
  <si>
    <t xml:space="preserve">2024-08-30T19:22:54.507+02:00</t>
  </si>
  <si>
    <t xml:space="preserve">2024-08-30T19:13:59.755+02:00</t>
  </si>
  <si>
    <t xml:space="preserve">2024-08-30T19:20:35.622+02:00</t>
  </si>
  <si>
    <t xml:space="preserve">2024-08-30T19:09:14.806+02:00</t>
  </si>
  <si>
    <t xml:space="preserve">2024-08-30T19:16:13.521+02:00</t>
  </si>
  <si>
    <t xml:space="preserve">2024-08-30T18:59:01.987+02:00</t>
  </si>
  <si>
    <t xml:space="preserve">2024-08-30T19:06:13.299+02:00</t>
  </si>
  <si>
    <t xml:space="preserve">2024-08-30T18:52:02.094+02:00</t>
  </si>
  <si>
    <t xml:space="preserve">2024-08-30T19:01:29.298+02:00</t>
  </si>
  <si>
    <t xml:space="preserve">2024-08-30T19:28:28.989+02:00</t>
  </si>
  <si>
    <t xml:space="preserve">2024-08-30T18:52:02.732+02:00</t>
  </si>
  <si>
    <t xml:space="preserve">2024-08-30T18:51:01.870+02:00</t>
  </si>
  <si>
    <t xml:space="preserve">2024-08-30T18:59:04.377+02:00</t>
  </si>
  <si>
    <t xml:space="preserve">2024-08-30T19:35:36.398+02:00</t>
  </si>
  <si>
    <t xml:space="preserve">2024-08-30T18:51:02.372+02:00</t>
  </si>
  <si>
    <t xml:space="preserve">2024-08-30T18:50:01.471+02:00</t>
  </si>
  <si>
    <t xml:space="preserve">2024-08-30T19:00:29.328+02:00</t>
  </si>
  <si>
    <t xml:space="preserve">2024-08-30T18:48:02.414+02:00</t>
  </si>
  <si>
    <t xml:space="preserve">2024-08-30T18:56:16.365+02:00</t>
  </si>
  <si>
    <t xml:space="preserve">2024-08-30T19:04:02.696+02:00</t>
  </si>
  <si>
    <t xml:space="preserve">2024-08-30T18:48:03.187+02:00</t>
  </si>
  <si>
    <t xml:space="preserve">2024-08-30T18:47:31.957+02:00</t>
  </si>
  <si>
    <t xml:space="preserve">2024-08-30T18:55:12.561+02:00</t>
  </si>
  <si>
    <t xml:space="preserve">2024-08-30T18:44:47.895+02:00</t>
  </si>
  <si>
    <t xml:space="preserve">2024-08-30T18:52:30.400+02:00</t>
  </si>
  <si>
    <t xml:space="preserve">2024-08-30T18:34:01.547+02:00</t>
  </si>
  <si>
    <t xml:space="preserve">2024-08-30T18:40:36.668+02:00</t>
  </si>
  <si>
    <t xml:space="preserve">2024-08-30T18:33:25.948+02:00</t>
  </si>
  <si>
    <t xml:space="preserve">2024-08-30T18:38:55.775+02:00</t>
  </si>
  <si>
    <t xml:space="preserve">2024-08-30T18:32:57.275+02:00</t>
  </si>
  <si>
    <t xml:space="preserve">2024-08-30T18:42:54.520+02:00</t>
  </si>
  <si>
    <t xml:space="preserve">2024-08-30T18:32:51.921+02:00</t>
  </si>
  <si>
    <t xml:space="preserve">2024-08-30T18:40:58.449+02:00</t>
  </si>
  <si>
    <t xml:space="preserve">2024-08-30T18:29:59.555+02:00</t>
  </si>
  <si>
    <t xml:space="preserve">2024-08-30T18:37:17.549+02:00</t>
  </si>
  <si>
    <t xml:space="preserve">2024-08-30T18:26:32.727+02:00</t>
  </si>
  <si>
    <t xml:space="preserve">2024-08-30T18:33:11.448+02:00</t>
  </si>
  <si>
    <t xml:space="preserve">2024-08-30T18:25:02.158+02:00</t>
  </si>
  <si>
    <t xml:space="preserve">2024-08-30T18:36:30.401+02:00</t>
  </si>
  <si>
    <t xml:space="preserve">2024-08-30T18:59:16.034+02:00</t>
  </si>
  <si>
    <t xml:space="preserve">2024-08-30T18:25:02.770+02:00</t>
  </si>
  <si>
    <t xml:space="preserve">2024-08-30T18:25:01.294+02:00</t>
  </si>
  <si>
    <t xml:space="preserve">2024-08-30T18:32:06.528+02:00</t>
  </si>
  <si>
    <t xml:space="preserve">2024-08-30T18:18:01.598+02:00</t>
  </si>
  <si>
    <t xml:space="preserve">2024-08-30T18:25:26.533+02:00</t>
  </si>
  <si>
    <t xml:space="preserve">2024-08-30T18:17:56.103+02:00</t>
  </si>
  <si>
    <t xml:space="preserve">2024-08-30T18:25:22.602+02:00</t>
  </si>
  <si>
    <t xml:space="preserve">2024-08-30T18:06:59.008+02:00</t>
  </si>
  <si>
    <t xml:space="preserve">2024-08-30T18:14:41.623+02:00</t>
  </si>
  <si>
    <t xml:space="preserve">2024-08-30T18:06:01.334+02:00</t>
  </si>
  <si>
    <t xml:space="preserve">2024-08-30T18:18:24.301+02:00</t>
  </si>
  <si>
    <t xml:space="preserve">2024-08-30T18:05:03.746+02:00</t>
  </si>
  <si>
    <t xml:space="preserve">2024-08-30T18:15:38.447+02:00</t>
  </si>
  <si>
    <t xml:space="preserve">2024-08-30T18:05:01.533+02:00</t>
  </si>
  <si>
    <t xml:space="preserve">2024-08-30T18:21:03.342+02:00</t>
  </si>
  <si>
    <t xml:space="preserve">2024-08-30T18:31:44.253+02:00</t>
  </si>
  <si>
    <t xml:space="preserve">2024-08-30T18:05:02.225+02:00</t>
  </si>
  <si>
    <t xml:space="preserve">2024-08-30T18:04:39.793+02:00</t>
  </si>
  <si>
    <t xml:space="preserve">2024-08-30T18:13:27.411+02:00</t>
  </si>
  <si>
    <t xml:space="preserve">2024-08-30T18:04:02.378+02:00</t>
  </si>
  <si>
    <t xml:space="preserve">2024-08-30T18:20:57.290+02:00</t>
  </si>
  <si>
    <t xml:space="preserve">2024-08-30T18:01:56.926+02:00</t>
  </si>
  <si>
    <t xml:space="preserve">2024-08-30T18:15:45.664+02:00</t>
  </si>
  <si>
    <t xml:space="preserve">2024-08-30T17:59:45.010+02:00</t>
  </si>
  <si>
    <t xml:space="preserve">2024-08-30T18:08:17.595+02:00</t>
  </si>
  <si>
    <t xml:space="preserve">2024-08-30T17:58:02.379+02:00</t>
  </si>
  <si>
    <t xml:space="preserve">2024-08-30T18:25:29.268+02:00</t>
  </si>
  <si>
    <t xml:space="preserve">2024-08-30T17:54:58.659+02:00</t>
  </si>
  <si>
    <t xml:space="preserve">2024-08-30T18:09:55.828+02:00</t>
  </si>
  <si>
    <t xml:space="preserve">2024-08-30T17:53:58.750+02:00</t>
  </si>
  <si>
    <t xml:space="preserve">2024-08-30T18:03:36.676+02:00</t>
  </si>
  <si>
    <t xml:space="preserve">2024-08-30T17:42:02.068+02:00</t>
  </si>
  <si>
    <t xml:space="preserve">2024-08-30T17:57:40.268+02:00</t>
  </si>
  <si>
    <t xml:space="preserve">2024-08-30T17:39:01.851+02:00</t>
  </si>
  <si>
    <t xml:space="preserve">2024-08-30T17:53:36.293+02:00</t>
  </si>
  <si>
    <t xml:space="preserve">2024-08-30T17:37:55.211+02:00</t>
  </si>
  <si>
    <t xml:space="preserve">2024-08-30T17:46:55.539+02:00</t>
  </si>
  <si>
    <t xml:space="preserve">2024-08-30T17:36:56.433+02:00</t>
  </si>
  <si>
    <t xml:space="preserve">2024-08-30T17:47:42.547+02:00</t>
  </si>
  <si>
    <t xml:space="preserve">2024-08-30T17:34:55.627+02:00</t>
  </si>
  <si>
    <t xml:space="preserve">2024-08-30T17:53:59.567+02:00</t>
  </si>
  <si>
    <t xml:space="preserve">2024-08-30T17:29:55.185+02:00</t>
  </si>
  <si>
    <t xml:space="preserve">2024-08-30T17:38:58.553+02:00</t>
  </si>
  <si>
    <t xml:space="preserve">2024-08-30T17:21:01.337+02:00</t>
  </si>
  <si>
    <t xml:space="preserve">2024-08-30T17:30:28.352+02:00</t>
  </si>
  <si>
    <t xml:space="preserve">2024-08-30T17:44:53.896+02:00</t>
  </si>
  <si>
    <t xml:space="preserve">2024-08-30T17:21:01.936+02:00</t>
  </si>
  <si>
    <t xml:space="preserve">2024-08-30T17:13:53.773+02:00</t>
  </si>
  <si>
    <t xml:space="preserve">2024-08-30T17:23:38.679+02:00</t>
  </si>
  <si>
    <t xml:space="preserve">2024-08-30T17:10:53.429+02:00</t>
  </si>
  <si>
    <t xml:space="preserve">2024-08-30T17:18:04.679+02:00</t>
  </si>
  <si>
    <t xml:space="preserve">2024-08-30T17:10:11.569+02:00</t>
  </si>
  <si>
    <t xml:space="preserve">2024-08-30T17:21:21.580+02:00</t>
  </si>
  <si>
    <t xml:space="preserve">2024-08-30T17:08:02.215+02:00</t>
  </si>
  <si>
    <t xml:space="preserve">2024-08-30T17:25:35.438+02:00</t>
  </si>
  <si>
    <t xml:space="preserve">2024-08-30T17:47:25.041+02:00</t>
  </si>
  <si>
    <t xml:space="preserve">2024-08-30T17:18:48.134+02:00</t>
  </si>
  <si>
    <t xml:space="preserve">2024-08-30T17:05:31.527+02:00</t>
  </si>
  <si>
    <t xml:space="preserve">2024-08-30T17:14:20.427+02:00</t>
  </si>
  <si>
    <t xml:space="preserve">2024-08-30T17:03:05.478+02:00</t>
  </si>
  <si>
    <t xml:space="preserve">2024-08-30T17:11:02.421+02:00</t>
  </si>
  <si>
    <t xml:space="preserve">2024-08-30T16:52:54.029+02:00</t>
  </si>
  <si>
    <t xml:space="preserve">2024-08-30T17:08:54.854+02:00</t>
  </si>
  <si>
    <t xml:space="preserve">2024-08-30T16:50:55.455+02:00</t>
  </si>
  <si>
    <t xml:space="preserve">2024-08-30T17:00:43.684+02:00</t>
  </si>
  <si>
    <t xml:space="preserve">2024-08-30T16:46:53.937+02:00</t>
  </si>
  <si>
    <t xml:space="preserve">2024-08-30T16:57:26.589+02:00</t>
  </si>
  <si>
    <t xml:space="preserve">2024-08-30T16:42:53.859+02:00</t>
  </si>
  <si>
    <t xml:space="preserve">2024-08-30T16:57:20.539+02:00</t>
  </si>
  <si>
    <t xml:space="preserve">2024-08-30T16:13:54.227+02:00</t>
  </si>
  <si>
    <t xml:space="preserve">2024-08-30T16:23:34.629+02:00</t>
  </si>
  <si>
    <t xml:space="preserve">2024-08-30T15:59:01.398+02:00</t>
  </si>
  <si>
    <t xml:space="preserve">2024-08-30T16:08:42.572+02:00</t>
  </si>
  <si>
    <t xml:space="preserve">2024-08-30T16:41:19.454+02:00</t>
  </si>
  <si>
    <t xml:space="preserve">2024-08-30T16:09:50.873+02:00</t>
  </si>
  <si>
    <t xml:space="preserve">2024-08-30T15:52:52.075+02:00</t>
  </si>
  <si>
    <t xml:space="preserve">2024-08-30T16:01:54.576+02:00</t>
  </si>
  <si>
    <t xml:space="preserve">2024-08-30T15:45:53.941+02:00</t>
  </si>
  <si>
    <t xml:space="preserve">2024-08-30T15:58:59.661+02:00</t>
  </si>
  <si>
    <t xml:space="preserve">2024-08-30T15:25:53.627+02:00</t>
  </si>
  <si>
    <t xml:space="preserve">2024-08-30T15:36:41.510+02:00</t>
  </si>
  <si>
    <t xml:space="preserve">2024-08-30T15:18:02.215+02:00</t>
  </si>
  <si>
    <t xml:space="preserve">2024-08-30T15:27:55.240+02:00</t>
  </si>
  <si>
    <t xml:space="preserve">2024-08-30T15:44:06.433+02:00</t>
  </si>
  <si>
    <t xml:space="preserve">2024-08-30T15:18:02.720+02:00</t>
  </si>
  <si>
    <t xml:space="preserve">2024-08-30T15:04:02.238+02:00</t>
  </si>
  <si>
    <t xml:space="preserve">2024-08-30T15:27:53.230+02:00</t>
  </si>
  <si>
    <t xml:space="preserve">2024-08-30T15:02:01.973+02:00</t>
  </si>
  <si>
    <t xml:space="preserve">2024-08-30T15:12:56.271+02:00</t>
  </si>
  <si>
    <t xml:space="preserve">2024-08-30T15:22:32.737+02:00</t>
  </si>
  <si>
    <t xml:space="preserve">2024-08-30T15:02:02.850+02:00</t>
  </si>
  <si>
    <t xml:space="preserve">2024-08-30T14:36:12.180+02:00</t>
  </si>
  <si>
    <t xml:space="preserve">2024-08-30T14:49:14.533+02:00</t>
  </si>
  <si>
    <t xml:space="preserve">2024-08-30T14:18:52.990+02:00</t>
  </si>
  <si>
    <t xml:space="preserve">2024-08-30T14:28:53.475+02:00</t>
  </si>
  <si>
    <t xml:space="preserve">2024-08-30T13:54:01.866+02:00</t>
  </si>
  <si>
    <t xml:space="preserve">2024-08-30T14:03:10.311+02:00</t>
  </si>
  <si>
    <t xml:space="preserve">2024-08-30T14:10:22.646+02:00</t>
  </si>
  <si>
    <t xml:space="preserve">2024-08-30T13:54:02.808+02:00</t>
  </si>
  <si>
    <t xml:space="preserve">2024-08-30T13:50:01.828+02:00</t>
  </si>
  <si>
    <t xml:space="preserve">2024-08-30T13:58:54.241+02:00</t>
  </si>
  <si>
    <t xml:space="preserve">2024-08-30T14:06:38.568+02:00</t>
  </si>
  <si>
    <t xml:space="preserve">2024-08-30T13:50:02.320+02:00</t>
  </si>
  <si>
    <t xml:space="preserve">2024-08-30T13:42:56.096+02:00</t>
  </si>
  <si>
    <t xml:space="preserve">2024-08-30T13:50:29.483+02:00</t>
  </si>
  <si>
    <t xml:space="preserve">2024-08-30T13:38:56.127+02:00</t>
  </si>
  <si>
    <t xml:space="preserve">2024-08-30T13:47:44.624+02:00</t>
  </si>
  <si>
    <t xml:space="preserve">2024-08-30T13:34:10.786+02:00</t>
  </si>
  <si>
    <t xml:space="preserve">2024-08-30T13:43:19.545+02:00</t>
  </si>
  <si>
    <t xml:space="preserve">2024-08-30T13:33:25.813+02:00</t>
  </si>
  <si>
    <t xml:space="preserve">2024-08-30T13:40:47.539+02:00</t>
  </si>
  <si>
    <t xml:space="preserve">2024-08-30T13:30:04.450+02:00</t>
  </si>
  <si>
    <t xml:space="preserve">2024-08-30T13:37:15.388+02:00</t>
  </si>
  <si>
    <t xml:space="preserve">2024-08-30T13:27:22.631+02:00</t>
  </si>
  <si>
    <t xml:space="preserve">2024-08-30T13:35:29.404+02:00</t>
  </si>
  <si>
    <t xml:space="preserve">2024-08-30T13:08:46.566+02:00</t>
  </si>
  <si>
    <t xml:space="preserve">2024-08-30T13:16:29.393+02:00</t>
  </si>
  <si>
    <t xml:space="preserve">2024-08-30T12:41:01.600+02:00</t>
  </si>
  <si>
    <t xml:space="preserve">2024-08-30T12:50:40.507+02:00</t>
  </si>
  <si>
    <t xml:space="preserve">2024-08-30T12:35:01.538+02:00</t>
  </si>
  <si>
    <t xml:space="preserve">2024-08-30T12:46:09.203+02:00</t>
  </si>
  <si>
    <t xml:space="preserve">2024-08-30T12:34:58.058+02:00</t>
  </si>
  <si>
    <t xml:space="preserve">2024-08-30T12:46:43.550+02:00</t>
  </si>
  <si>
    <t xml:space="preserve">2024-08-30T12:26:56.321+02:00</t>
  </si>
  <si>
    <t xml:space="preserve">2024-08-30T12:43:28.545+02:00</t>
  </si>
  <si>
    <t xml:space="preserve">2024-08-30T12:24:07.788+02:00</t>
  </si>
  <si>
    <t xml:space="preserve">2024-08-30T12:39:52.442+02:00</t>
  </si>
  <si>
    <t xml:space="preserve">2024-08-30T12:16:58.750+02:00</t>
  </si>
  <si>
    <t xml:space="preserve">2024-08-30T12:32:38.595+02:00</t>
  </si>
  <si>
    <t xml:space="preserve">2024-08-30T12:16:33.816+02:00</t>
  </si>
  <si>
    <t xml:space="preserve">2024-08-30T12:35:57.504+02:00</t>
  </si>
  <si>
    <t xml:space="preserve">2024-08-30T12:13:01.433+02:00</t>
  </si>
  <si>
    <t xml:space="preserve">2024-08-30T12:26:32.241+02:00</t>
  </si>
  <si>
    <t xml:space="preserve">2024-08-30T12:56:46.184+02:00</t>
  </si>
  <si>
    <t xml:space="preserve">2024-08-30T12:17:11.993+02:00</t>
  </si>
  <si>
    <t xml:space="preserve">2024-08-30T12:11:54.998+02:00</t>
  </si>
  <si>
    <t xml:space="preserve">2024-08-30T12:24:33.615+02:00</t>
  </si>
  <si>
    <t xml:space="preserve">2024-08-30T12:11:19.125+02:00</t>
  </si>
  <si>
    <t xml:space="preserve">2024-08-30T12:25:00.570+02:00</t>
  </si>
  <si>
    <t xml:space="preserve">2024-08-30T12:02:31.764+02:00</t>
  </si>
  <si>
    <t xml:space="preserve">2024-08-30T12:19:35.368+02:00</t>
  </si>
  <si>
    <t xml:space="preserve">2024-08-30T11:53:01.912+02:00</t>
  </si>
  <si>
    <t xml:space="preserve">2024-08-30T12:16:13.238+02:00</t>
  </si>
  <si>
    <t xml:space="preserve">2024-08-30T12:22:43.459+02:00</t>
  </si>
  <si>
    <t xml:space="preserve">2024-08-30T11:53:02.537+02:00</t>
  </si>
  <si>
    <t xml:space="preserve">2024-08-30T11:52:57.857+02:00</t>
  </si>
  <si>
    <t xml:space="preserve">2024-08-30T12:05:24.406+02:00</t>
  </si>
  <si>
    <t xml:space="preserve">2024-08-30T11:49:46.029+02:00</t>
  </si>
  <si>
    <t xml:space="preserve">2024-08-30T11:56:36.514+02:00</t>
  </si>
  <si>
    <t xml:space="preserve">2024-08-30T11:47:45.122+02:00</t>
  </si>
  <si>
    <t xml:space="preserve">2024-08-30T12:02:49.632+02:00</t>
  </si>
  <si>
    <t xml:space="preserve">2024-08-30T11:44:19.050+02:00</t>
  </si>
  <si>
    <t xml:space="preserve">2024-08-30T11:58:06.459+02:00</t>
  </si>
  <si>
    <t xml:space="preserve">2024-08-30T11:38:01.966+02:00</t>
  </si>
  <si>
    <t xml:space="preserve">2024-08-30T11:53:58.206+02:00</t>
  </si>
  <si>
    <t xml:space="preserve">2024-08-30T12:01:05.124+02:00</t>
  </si>
  <si>
    <t xml:space="preserve">2024-08-30T11:38:02.618+02:00</t>
  </si>
  <si>
    <t xml:space="preserve">2024-08-30T11:36:28.261+02:00</t>
  </si>
  <si>
    <t xml:space="preserve">2024-08-30T11:47:58.836+02:00</t>
  </si>
  <si>
    <t xml:space="preserve">2024-08-30T11:16:02.196+02:00</t>
  </si>
  <si>
    <t xml:space="preserve">2024-08-30T11:33:56.337+02:00</t>
  </si>
  <si>
    <t xml:space="preserve">2024-08-30T11:52:06.157+02:00</t>
  </si>
  <si>
    <t xml:space="preserve">2024-08-30T11:25:04.526+02:00</t>
  </si>
  <si>
    <t xml:space="preserve">2024-08-30T11:10:15.488+02:00</t>
  </si>
  <si>
    <t xml:space="preserve">2024-08-30T11:26:57.542+02:00</t>
  </si>
  <si>
    <t xml:space="preserve">2024-08-30T11:02:02.244+02:00</t>
  </si>
  <si>
    <t xml:space="preserve">2024-08-30T11:33:19.657+02:00</t>
  </si>
  <si>
    <t xml:space="preserve">2024-08-30T11:02:02.811+02:00</t>
  </si>
  <si>
    <t xml:space="preserve">2024-08-30T08:38:02.051+02:00</t>
  </si>
  <si>
    <t xml:space="preserve">2024-08-30T11:29:37.186+02:00</t>
  </si>
  <si>
    <t xml:space="preserve">2024-09-01T00:40:02.265+02:00</t>
  </si>
  <si>
    <t xml:space="preserve">2024-09-01T00:51:34.160+02:00</t>
  </si>
  <si>
    <t xml:space="preserve">2024-09-01T01:20:50.362+02:00</t>
  </si>
  <si>
    <t xml:space="preserve">2024-09-01T00:49:03.434+02:00</t>
  </si>
  <si>
    <t xml:space="preserve">2024-09-01T00:19:20.896+02:00</t>
  </si>
  <si>
    <t xml:space="preserve">2024-09-01T00:26:26.040+02:00</t>
  </si>
  <si>
    <t xml:space="preserve">2024-08-31T23:43:29.479+02:00</t>
  </si>
  <si>
    <t xml:space="preserve">2024-08-31T23:56:17.342+02:00</t>
  </si>
  <si>
    <t xml:space="preserve">2024-08-31T23:42:33.391+02:00</t>
  </si>
  <si>
    <t xml:space="preserve">2024-08-31T23:56:48.333+02:00</t>
  </si>
  <si>
    <t xml:space="preserve">2024-08-31T23:41:02.079+02:00</t>
  </si>
  <si>
    <t xml:space="preserve">2024-08-31T23:54:06.059+02:00</t>
  </si>
  <si>
    <t xml:space="preserve">2024-09-01T00:26:26.626+02:00</t>
  </si>
  <si>
    <t xml:space="preserve">2024-08-31T23:55:36.474+02:00</t>
  </si>
  <si>
    <t xml:space="preserve">2024-08-31T23:36:39.756+02:00</t>
  </si>
  <si>
    <t xml:space="preserve">2024-08-31T23:41:03.216+02:00</t>
  </si>
  <si>
    <t xml:space="preserve">2024-08-31T23:32:37.850+02:00</t>
  </si>
  <si>
    <t xml:space="preserve">2024-08-31T23:40:31.223+02:00</t>
  </si>
  <si>
    <t xml:space="preserve">Mykola</t>
  </si>
  <si>
    <t xml:space="preserve">2024-08-31T23:31:18.284+02:00</t>
  </si>
  <si>
    <t xml:space="preserve">2024-08-31T23:39:51.192+02:00</t>
  </si>
  <si>
    <t xml:space="preserve">2024-08-31T23:27:50.269+02:00</t>
  </si>
  <si>
    <t xml:space="preserve">2024-08-31T23:38:20.146+02:00</t>
  </si>
  <si>
    <t xml:space="preserve">2024-08-31T23:19:02.329+02:00</t>
  </si>
  <si>
    <t xml:space="preserve">2024-08-31T23:30:49.272+02:00</t>
  </si>
  <si>
    <t xml:space="preserve">2024-08-31T23:17:02.164+02:00</t>
  </si>
  <si>
    <t xml:space="preserve">2024-08-31T23:27:36.279+02:00</t>
  </si>
  <si>
    <t xml:space="preserve">2024-08-31T23:10:04.776+02:00</t>
  </si>
  <si>
    <t xml:space="preserve">2024-08-31T23:18:23.306+02:00</t>
  </si>
  <si>
    <t xml:space="preserve">2024-08-31T23:01:28.521+02:00</t>
  </si>
  <si>
    <t xml:space="preserve">2024-08-31T23:07:56.388+02:00</t>
  </si>
  <si>
    <t xml:space="preserve">2024-08-31T22:53:52.575+02:00</t>
  </si>
  <si>
    <t xml:space="preserve">2024-08-31T23:06:15.543+02:00</t>
  </si>
  <si>
    <t xml:space="preserve">2024-08-31T22:52:23.901+02:00</t>
  </si>
  <si>
    <t xml:space="preserve">2024-08-31T23:08:04.229+02:00</t>
  </si>
  <si>
    <t xml:space="preserve">2024-08-31T22:27:01.938+02:00</t>
  </si>
  <si>
    <t xml:space="preserve">2024-08-31T22:37:06.017+02:00</t>
  </si>
  <si>
    <t xml:space="preserve">Vakhtang</t>
  </si>
  <si>
    <t xml:space="preserve">2024-08-31T22:09:10.204+02:00</t>
  </si>
  <si>
    <t xml:space="preserve">2024-08-31T22:15:55.159+02:00</t>
  </si>
  <si>
    <t xml:space="preserve">2024-08-31T21:58:27.871+02:00</t>
  </si>
  <si>
    <t xml:space="preserve">2024-08-31T22:05:38.711+02:00</t>
  </si>
  <si>
    <t xml:space="preserve">2024-08-31T21:57:01.480+02:00</t>
  </si>
  <si>
    <t xml:space="preserve">2024-08-31T22:06:33.007+02:00</t>
  </si>
  <si>
    <t xml:space="preserve">2024-08-31T21:36:30.221+02:00</t>
  </si>
  <si>
    <t xml:space="preserve">2024-08-31T21:46:09.411+02:00</t>
  </si>
  <si>
    <t xml:space="preserve">2024-08-31T21:36:02.030+02:00</t>
  </si>
  <si>
    <t xml:space="preserve">2024-08-31T21:46:51.998+02:00</t>
  </si>
  <si>
    <t xml:space="preserve">2024-08-31T21:29:31.528+02:00</t>
  </si>
  <si>
    <t xml:space="preserve">2024-08-31T21:37:21.288+02:00</t>
  </si>
  <si>
    <t xml:space="preserve">2024-08-31T21:21:01.634+02:00</t>
  </si>
  <si>
    <t xml:space="preserve">2024-08-31T21:29:13.131+02:00</t>
  </si>
  <si>
    <t xml:space="preserve">2024-08-31T21:51:15.060+02:00</t>
  </si>
  <si>
    <t xml:space="preserve">2024-08-31T21:27:14.529+02:00</t>
  </si>
  <si>
    <t xml:space="preserve">2024-08-31T21:18:02.093+02:00</t>
  </si>
  <si>
    <t xml:space="preserve">2024-08-31T21:26:31.008+02:00</t>
  </si>
  <si>
    <t xml:space="preserve">2024-08-31T21:44:04.880+02:00</t>
  </si>
  <si>
    <t xml:space="preserve">2024-08-31T21:18:02.699+02:00</t>
  </si>
  <si>
    <t xml:space="preserve">2024-08-31T21:11:55.940+02:00</t>
  </si>
  <si>
    <t xml:space="preserve">2024-08-31T21:20:01.257+02:00</t>
  </si>
  <si>
    <t xml:space="preserve">2024-08-31T21:10:54.124+02:00</t>
  </si>
  <si>
    <t xml:space="preserve">2024-08-31T21:17:53.177+02:00</t>
  </si>
  <si>
    <t xml:space="preserve">Kavin</t>
  </si>
  <si>
    <t xml:space="preserve">2024-08-31T21:08:41.844+02:00</t>
  </si>
  <si>
    <t xml:space="preserve">2024-08-31T21:17:03.268+02:00</t>
  </si>
  <si>
    <t xml:space="preserve">2024-08-31T21:07:23.790+02:00</t>
  </si>
  <si>
    <t xml:space="preserve">2024-08-31T21:14:45.260+02:00</t>
  </si>
  <si>
    <t xml:space="preserve">2024-08-31T21:04:20.709+02:00</t>
  </si>
  <si>
    <t xml:space="preserve">2024-08-31T21:14:04.289+02:00</t>
  </si>
  <si>
    <t xml:space="preserve">2024-08-31T21:01:48.535+02:00</t>
  </si>
  <si>
    <t xml:space="preserve">2024-08-31T21:13:10.153+02:00</t>
  </si>
  <si>
    <t xml:space="preserve">2024-08-31T20:59:01.837+02:00</t>
  </si>
  <si>
    <t xml:space="preserve">2024-08-31T21:04:58.992+02:00</t>
  </si>
  <si>
    <t xml:space="preserve">2024-08-31T20:56:34.179+02:00</t>
  </si>
  <si>
    <t xml:space="preserve">2024-08-31T21:02:58.752+02:00</t>
  </si>
  <si>
    <t xml:space="preserve">2024-08-31T20:52:01.776+02:00</t>
  </si>
  <si>
    <t xml:space="preserve">2024-08-31T21:00:00.043+02:00</t>
  </si>
  <si>
    <t xml:space="preserve">2024-08-31T20:49:12.409+02:00</t>
  </si>
  <si>
    <t xml:space="preserve">2024-08-31T20:57:43.500+02:00</t>
  </si>
  <si>
    <t xml:space="preserve">2024-08-31T20:43:36.152+02:00</t>
  </si>
  <si>
    <t xml:space="preserve">2024-08-31T20:50:34.332+02:00</t>
  </si>
  <si>
    <t xml:space="preserve">2024-08-31T20:41:01.902+02:00</t>
  </si>
  <si>
    <t xml:space="preserve">2024-08-31T20:50:18.987+02:00</t>
  </si>
  <si>
    <t xml:space="preserve">2024-08-31T20:39:10.672+02:00</t>
  </si>
  <si>
    <t xml:space="preserve">2024-08-31T20:47:10.181+02:00</t>
  </si>
  <si>
    <t xml:space="preserve">2024-08-31T20:36:31.355+02:00</t>
  </si>
  <si>
    <t xml:space="preserve">2024-08-31T20:47:39.301+02:00</t>
  </si>
  <si>
    <t xml:space="preserve">2024-08-31T20:35:41.869+02:00</t>
  </si>
  <si>
    <t xml:space="preserve">2024-08-31T20:49:13.321+02:00</t>
  </si>
  <si>
    <t xml:space="preserve">2024-08-31T20:34:01.666+02:00</t>
  </si>
  <si>
    <t xml:space="preserve">2024-08-31T20:43:26.973+02:00</t>
  </si>
  <si>
    <t xml:space="preserve">2024-08-31T20:26:16.266+02:00</t>
  </si>
  <si>
    <t xml:space="preserve">2024-08-31T20:33:39.044+02:00</t>
  </si>
  <si>
    <t xml:space="preserve">2024-08-31T20:19:02.152+02:00</t>
  </si>
  <si>
    <t xml:space="preserve">2024-08-31T20:26:08.026+02:00</t>
  </si>
  <si>
    <t xml:space="preserve">2024-08-31T20:43:17.269+02:00</t>
  </si>
  <si>
    <t xml:space="preserve">2024-08-31T20:19:02.889+02:00</t>
  </si>
  <si>
    <t xml:space="preserve">2024-08-31T20:17:38.696+02:00</t>
  </si>
  <si>
    <t xml:space="preserve">2024-08-31T20:26:28.243+02:00</t>
  </si>
  <si>
    <t xml:space="preserve">2024-08-31T20:15:01.332+02:00</t>
  </si>
  <si>
    <t xml:space="preserve">2024-08-31T20:25:01.090+02:00</t>
  </si>
  <si>
    <t xml:space="preserve">2024-08-31T20:27:56.409+02:00</t>
  </si>
  <si>
    <t xml:space="preserve">2024-08-31T20:15:01.904+02:00</t>
  </si>
  <si>
    <t xml:space="preserve">2024-08-31T20:13:02.159+02:00</t>
  </si>
  <si>
    <t xml:space="preserve">2024-08-31T20:22:00.995+02:00</t>
  </si>
  <si>
    <t xml:space="preserve">2024-08-31T20:11:02.210+02:00</t>
  </si>
  <si>
    <t xml:space="preserve">2024-08-31T20:20:44.984+02:00</t>
  </si>
  <si>
    <t xml:space="preserve">2024-08-31T20:10:03.569+02:00</t>
  </si>
  <si>
    <t xml:space="preserve">2024-08-31T20:19:00.170+02:00</t>
  </si>
  <si>
    <t xml:space="preserve">2024-08-31T20:10:02.250+02:00</t>
  </si>
  <si>
    <t xml:space="preserve">2024-08-31T20:25:10.017+02:00</t>
  </si>
  <si>
    <t xml:space="preserve">2024-08-31T20:33:47.647+02:00</t>
  </si>
  <si>
    <t xml:space="preserve">2024-08-31T20:10:02.837+02:00</t>
  </si>
  <si>
    <t xml:space="preserve">2024-08-31T20:09:32.633+02:00</t>
  </si>
  <si>
    <t xml:space="preserve">2024-08-31T20:16:25.152+02:00</t>
  </si>
  <si>
    <t xml:space="preserve">2024-08-31T20:01:10.131+02:00</t>
  </si>
  <si>
    <t xml:space="preserve">2024-08-31T20:07:29.169+02:00</t>
  </si>
  <si>
    <t xml:space="preserve">2024-08-31T19:59:29.980+02:00</t>
  </si>
  <si>
    <t xml:space="preserve">2024-08-31T20:07:26.139+02:00</t>
  </si>
  <si>
    <t xml:space="preserve">2024-08-31T19:56:28.229+02:00</t>
  </si>
  <si>
    <t xml:space="preserve">2024-08-31T20:04:52.157+02:00</t>
  </si>
  <si>
    <t xml:space="preserve">2024-08-31T19:54:26.238+02:00</t>
  </si>
  <si>
    <t xml:space="preserve">2024-08-31T20:03:59.145+02:00</t>
  </si>
  <si>
    <t xml:space="preserve">2024-08-31T19:46:57.979+02:00</t>
  </si>
  <si>
    <t xml:space="preserve">2024-08-31T19:57:18.518+02:00</t>
  </si>
  <si>
    <t xml:space="preserve">2024-08-31T19:44:02.413+02:00</t>
  </si>
  <si>
    <t xml:space="preserve">2024-08-31T19:50:33.970+02:00</t>
  </si>
  <si>
    <t xml:space="preserve">2024-08-31T19:43:01.529+02:00</t>
  </si>
  <si>
    <t xml:space="preserve">2024-08-31T19:53:11.031+02:00</t>
  </si>
  <si>
    <t xml:space="preserve">2024-08-31T20:27:38.498+02:00</t>
  </si>
  <si>
    <t xml:space="preserve">2024-08-31T19:59:20.123+02:00</t>
  </si>
  <si>
    <t xml:space="preserve">2024-08-31T19:35:02.149+02:00</t>
  </si>
  <si>
    <t xml:space="preserve">2024-08-31T19:40:33.028+02:00</t>
  </si>
  <si>
    <t xml:space="preserve">2024-08-31T20:07:58.740+02:00</t>
  </si>
  <si>
    <t xml:space="preserve">2024-08-31T19:35:02.585+02:00</t>
  </si>
  <si>
    <t xml:space="preserve">2024-08-31T19:31:01.921+02:00</t>
  </si>
  <si>
    <t xml:space="preserve">2024-08-31T19:41:01.039+02:00</t>
  </si>
  <si>
    <t xml:space="preserve">2024-08-31T20:04:36.143+02:00</t>
  </si>
  <si>
    <t xml:space="preserve">2024-08-31T19:31:02.459+02:00</t>
  </si>
  <si>
    <t xml:space="preserve">2024-08-31T19:30:02.741+02:00</t>
  </si>
  <si>
    <t xml:space="preserve">2024-08-31T19:34:50.942+02:00</t>
  </si>
  <si>
    <t xml:space="preserve">2024-08-31T19:25:02.279+02:00</t>
  </si>
  <si>
    <t xml:space="preserve">2024-08-31T19:34:03.946+02:00</t>
  </si>
  <si>
    <t xml:space="preserve">2024-08-31T19:24:01.700+02:00</t>
  </si>
  <si>
    <t xml:space="preserve">2024-08-31T19:31:45.944+02:00</t>
  </si>
  <si>
    <t xml:space="preserve">2024-08-31T19:23:48.805+02:00</t>
  </si>
  <si>
    <t xml:space="preserve">2024-08-31T19:30:18.179+02:00</t>
  </si>
  <si>
    <t xml:space="preserve">2024-08-31T19:20:01.594+02:00</t>
  </si>
  <si>
    <t xml:space="preserve">2024-08-31T19:25:46.976+02:00</t>
  </si>
  <si>
    <t xml:space="preserve">2024-08-31T19:41:58.290+02:00</t>
  </si>
  <si>
    <t xml:space="preserve">2024-08-31T19:20:02.155+02:00</t>
  </si>
  <si>
    <t xml:space="preserve">2024-08-31T19:17:47.958+02:00</t>
  </si>
  <si>
    <t xml:space="preserve">2024-08-31T19:24:23.222+02:00</t>
  </si>
  <si>
    <t xml:space="preserve">2024-08-31T19:17:29.902+02:00</t>
  </si>
  <si>
    <t xml:space="preserve">2024-08-31T19:23:53.284+02:00</t>
  </si>
  <si>
    <t xml:space="preserve">2024-08-31T19:11:29.139+02:00</t>
  </si>
  <si>
    <t xml:space="preserve">2024-08-31T19:22:35.394+02:00</t>
  </si>
  <si>
    <t xml:space="preserve">2024-08-31T19:05:15.505+02:00</t>
  </si>
  <si>
    <t xml:space="preserve">2024-08-31T19:14:06.018+02:00</t>
  </si>
  <si>
    <t xml:space="preserve">2024-08-31T19:03:39.682+02:00</t>
  </si>
  <si>
    <t xml:space="preserve">2024-08-31T19:11:07.964+02:00</t>
  </si>
  <si>
    <t xml:space="preserve">2024-08-31T18:49:01.607+02:00</t>
  </si>
  <si>
    <t xml:space="preserve">2024-08-31T18:55:43.078+02:00</t>
  </si>
  <si>
    <t xml:space="preserve">2024-08-31T19:19:05.760+02:00</t>
  </si>
  <si>
    <t xml:space="preserve">2024-08-31T18:49:02.349+02:00</t>
  </si>
  <si>
    <t xml:space="preserve">2024-08-31T18:45:31.008+02:00</t>
  </si>
  <si>
    <t xml:space="preserve">2024-08-31T18:52:56.747+02:00</t>
  </si>
  <si>
    <t xml:space="preserve">2024-08-31T18:28:27.259+02:00</t>
  </si>
  <si>
    <t xml:space="preserve">2024-08-31T18:35:33.020+02:00</t>
  </si>
  <si>
    <t xml:space="preserve">2024-08-31T18:26:02.611+02:00</t>
  </si>
  <si>
    <t xml:space="preserve">2024-08-31T18:48:53.761+02:00</t>
  </si>
  <si>
    <t xml:space="preserve">2024-08-31T18:23:27.679+02:00</t>
  </si>
  <si>
    <t xml:space="preserve">2024-08-31T18:32:16.003+02:00</t>
  </si>
  <si>
    <t xml:space="preserve">2024-08-31T18:17:01.935+02:00</t>
  </si>
  <si>
    <t xml:space="preserve">2024-08-31T18:34:43.841+02:00</t>
  </si>
  <si>
    <t xml:space="preserve">2024-08-31T18:52:38.719+02:00</t>
  </si>
  <si>
    <t xml:space="preserve">2024-08-31T18:17:02.548+02:00</t>
  </si>
  <si>
    <t xml:space="preserve">2024-08-31T18:13:01.394+02:00</t>
  </si>
  <si>
    <t xml:space="preserve">2024-08-31T18:28:13.804+02:00</t>
  </si>
  <si>
    <t xml:space="preserve">2024-08-31T19:01:51.295+02:00</t>
  </si>
  <si>
    <t xml:space="preserve">2024-08-31T18:13:01.949+02:00</t>
  </si>
  <si>
    <t xml:space="preserve">2024-08-31T18:08:50.068+02:00</t>
  </si>
  <si>
    <t xml:space="preserve">2024-08-31T18:13:49.911+02:00</t>
  </si>
  <si>
    <t xml:space="preserve">2024-08-31T18:07:01.789+02:00</t>
  </si>
  <si>
    <t xml:space="preserve">2024-08-31T18:15:16.755+02:00</t>
  </si>
  <si>
    <t xml:space="preserve">2024-08-31T18:06:01.451+02:00</t>
  </si>
  <si>
    <t xml:space="preserve">2024-08-31T18:12:51.773+02:00</t>
  </si>
  <si>
    <t xml:space="preserve">2024-08-31T18:02:30.492+02:00</t>
  </si>
  <si>
    <t xml:space="preserve">2024-08-31T18:12:38.223+02:00</t>
  </si>
  <si>
    <t xml:space="preserve">2024-08-31T17:57:29.743+02:00</t>
  </si>
  <si>
    <t xml:space="preserve">2024-08-31T18:08:22.184+02:00</t>
  </si>
  <si>
    <t xml:space="preserve">2024-08-31T17:56:02.008+02:00</t>
  </si>
  <si>
    <t xml:space="preserve">2024-08-31T18:09:35.823+02:00</t>
  </si>
  <si>
    <t xml:space="preserve">2024-08-31T18:23:12.601+02:00</t>
  </si>
  <si>
    <t xml:space="preserve">2024-08-31T17:56:02.793+02:00</t>
  </si>
  <si>
    <t xml:space="preserve">2024-08-31T17:47:27.666+02:00</t>
  </si>
  <si>
    <t xml:space="preserve">2024-08-31T17:55:43.078+02:00</t>
  </si>
  <si>
    <t xml:space="preserve">2024-08-31T17:47:27.652+02:00</t>
  </si>
  <si>
    <t xml:space="preserve">2024-08-31T17:54:20.101+02:00</t>
  </si>
  <si>
    <t xml:space="preserve">2024-08-31T17:45:01.675+02:00</t>
  </si>
  <si>
    <t xml:space="preserve">2024-08-31T17:53:19.089+02:00</t>
  </si>
  <si>
    <t xml:space="preserve">2024-08-31T17:30:01.777+02:00</t>
  </si>
  <si>
    <t xml:space="preserve">2024-08-31T17:40:59.761+02:00</t>
  </si>
  <si>
    <t xml:space="preserve">2024-08-31T17:27:24.675+02:00</t>
  </si>
  <si>
    <t xml:space="preserve">2024-08-31T17:37:51.054+02:00</t>
  </si>
  <si>
    <t xml:space="preserve">2024-08-31T17:26:32.285+02:00</t>
  </si>
  <si>
    <t xml:space="preserve">2024-08-31T17:33:47.003+02:00</t>
  </si>
  <si>
    <t xml:space="preserve">2024-08-31T17:23:24.081+02:00</t>
  </si>
  <si>
    <t xml:space="preserve">2024-08-31T17:31:13.152+02:00</t>
  </si>
  <si>
    <t xml:space="preserve">2024-08-31T17:20:02.583+02:00</t>
  </si>
  <si>
    <t xml:space="preserve">2024-08-31T17:29:14.952+02:00</t>
  </si>
  <si>
    <t xml:space="preserve">2024-08-31T17:09:26.972+02:00</t>
  </si>
  <si>
    <t xml:space="preserve">2024-08-31T17:17:37.929+02:00</t>
  </si>
  <si>
    <t xml:space="preserve">2024-08-31T16:57:02.206+02:00</t>
  </si>
  <si>
    <t xml:space="preserve">2024-08-31T17:23:52.762+02:00</t>
  </si>
  <si>
    <t xml:space="preserve">2024-08-31T16:54:02.600+02:00</t>
  </si>
  <si>
    <t xml:space="preserve">2024-08-31T17:30:52.758+02:00</t>
  </si>
  <si>
    <t xml:space="preserve">2024-08-31T17:42:31.102+02:00</t>
  </si>
  <si>
    <t xml:space="preserve">2024-08-31T16:54:03.150+02:00</t>
  </si>
  <si>
    <t xml:space="preserve">2024-08-31T16:49:22.151+02:00</t>
  </si>
  <si>
    <t xml:space="preserve">2024-08-31T16:56:56.063+02:00</t>
  </si>
  <si>
    <t xml:space="preserve">2024-08-31T16:39:16.197+02:00</t>
  </si>
  <si>
    <t xml:space="preserve">2024-08-31T16:52:19.974+02:00</t>
  </si>
  <si>
    <t xml:space="preserve">2024-08-31T16:38:22.443+02:00</t>
  </si>
  <si>
    <t xml:space="preserve">2024-08-31T16:50:20.026+02:00</t>
  </si>
  <si>
    <t xml:space="preserve">2024-08-31T16:38:01.890+02:00</t>
  </si>
  <si>
    <t xml:space="preserve">2024-08-31T16:51:24.057+02:00</t>
  </si>
  <si>
    <t xml:space="preserve">2024-08-31T17:04:25.167+02:00</t>
  </si>
  <si>
    <t xml:space="preserve">2024-08-31T16:38:02.653+02:00</t>
  </si>
  <si>
    <t xml:space="preserve">2024-08-31T16:37:14.004+02:00</t>
  </si>
  <si>
    <t xml:space="preserve">2024-08-31T16:54:50.962+02:00</t>
  </si>
  <si>
    <t xml:space="preserve">2024-08-31T16:02:57.017+02:00</t>
  </si>
  <si>
    <t xml:space="preserve">2024-08-31T16:08:55.748+02:00</t>
  </si>
  <si>
    <t xml:space="preserve">2024-08-31T16:00:01.694+02:00</t>
  </si>
  <si>
    <t xml:space="preserve">2024-08-31T16:11:12.790+02:00</t>
  </si>
  <si>
    <t xml:space="preserve">2024-08-31T15:52:22.122+02:00</t>
  </si>
  <si>
    <t xml:space="preserve">2024-08-31T15:59:19.991+02:00</t>
  </si>
  <si>
    <t xml:space="preserve">2024-08-31T15:50:40.774+02:00</t>
  </si>
  <si>
    <t xml:space="preserve">2024-08-31T15:59:22.719+02:00</t>
  </si>
  <si>
    <t xml:space="preserve">2024-08-31T15:47:55.940+02:00</t>
  </si>
  <si>
    <t xml:space="preserve">2024-08-31T15:56:22.100+02:00</t>
  </si>
  <si>
    <t xml:space="preserve">2024-08-31T15:44:24.484+02:00</t>
  </si>
  <si>
    <t xml:space="preserve">2024-08-31T15:55:50.995+02:00</t>
  </si>
  <si>
    <t xml:space="preserve">2024-08-31T15:30:19.417+02:00</t>
  </si>
  <si>
    <t xml:space="preserve">2024-08-31T15:36:26.020+02:00</t>
  </si>
  <si>
    <t xml:space="preserve">2024-08-31T15:24:21.779+02:00</t>
  </si>
  <si>
    <t xml:space="preserve">2024-08-31T15:31:24.023+02:00</t>
  </si>
  <si>
    <t xml:space="preserve">2024-08-31T15:23:37.198+02:00</t>
  </si>
  <si>
    <t xml:space="preserve">2024-08-31T15:31:38.101+02:00</t>
  </si>
  <si>
    <t xml:space="preserve">2024-08-31T15:09:23.354+02:00</t>
  </si>
  <si>
    <t xml:space="preserve">2024-08-31T15:14:21.033+02:00</t>
  </si>
  <si>
    <t xml:space="preserve">2024-08-31T15:05:22.192+02:00</t>
  </si>
  <si>
    <t xml:space="preserve">2024-08-31T15:12:06.081+02:00</t>
  </si>
  <si>
    <t xml:space="preserve">2024-08-31T14:51:01.723+02:00</t>
  </si>
  <si>
    <t xml:space="preserve">2024-08-31T14:59:47.755+02:00</t>
  </si>
  <si>
    <t xml:space="preserve">2024-08-31T14:49:21.291+02:00</t>
  </si>
  <si>
    <t xml:space="preserve">2024-08-31T14:59:30.092+02:00</t>
  </si>
  <si>
    <t xml:space="preserve">2024-08-31T14:32:21.091+02:00</t>
  </si>
  <si>
    <t xml:space="preserve">2024-08-31T14:42:27.965+02:00</t>
  </si>
  <si>
    <t xml:space="preserve">2024-08-31T14:30:03.898+02:00</t>
  </si>
  <si>
    <t xml:space="preserve">2024-08-31T14:42:25.349+02:00</t>
  </si>
  <si>
    <t xml:space="preserve">2024-08-31T14:15:36.234+02:00</t>
  </si>
  <si>
    <t xml:space="preserve">2024-08-31T14:20:27.274+02:00</t>
  </si>
  <si>
    <t xml:space="preserve">2024-08-31T14:01:01.666+02:00</t>
  </si>
  <si>
    <t xml:space="preserve">2024-08-31T14:08:40.781+02:00</t>
  </si>
  <si>
    <t xml:space="preserve">2024-08-31T14:33:05.850+02:00</t>
  </si>
  <si>
    <t xml:space="preserve">2024-08-31T14:01:02.150+02:00</t>
  </si>
  <si>
    <t xml:space="preserve">2024-08-31T13:54:02.525+02:00</t>
  </si>
  <si>
    <t xml:space="preserve">2024-08-31T14:04:21.813+02:00</t>
  </si>
  <si>
    <t xml:space="preserve">2024-08-31T14:19:43.238+02:00</t>
  </si>
  <si>
    <t xml:space="preserve">2024-08-31T13:54:03.103+02:00</t>
  </si>
  <si>
    <t xml:space="preserve">2024-08-31T13:48:19.120+02:00</t>
  </si>
  <si>
    <t xml:space="preserve">2024-08-31T13:57:02.109+02:00</t>
  </si>
  <si>
    <t xml:space="preserve">2024-08-31T13:46:49.104+02:00</t>
  </si>
  <si>
    <t xml:space="preserve">2024-08-31T13:56:25.920+02:00</t>
  </si>
  <si>
    <t xml:space="preserve">2024-08-31T13:43:01.811+02:00</t>
  </si>
  <si>
    <t xml:space="preserve">2024-08-31T13:53:19.714+02:00</t>
  </si>
  <si>
    <t xml:space="preserve">2024-08-31T13:39:23.743+02:00</t>
  </si>
  <si>
    <t xml:space="preserve">2024-08-31T13:46:04.992+02:00</t>
  </si>
  <si>
    <t xml:space="preserve">2024-08-31T13:30:02.346+02:00</t>
  </si>
  <si>
    <t xml:space="preserve">2024-08-31T13:41:04.830+02:00</t>
  </si>
  <si>
    <t xml:space="preserve">2024-08-31T13:48:00.613+02:00</t>
  </si>
  <si>
    <t xml:space="preserve">2024-08-31T13:30:02.911+02:00</t>
  </si>
  <si>
    <t xml:space="preserve">2024-08-31T13:25:16.093+02:00</t>
  </si>
  <si>
    <t xml:space="preserve">2024-08-31T13:34:58.007+02:00</t>
  </si>
  <si>
    <t xml:space="preserve">2024-08-31T13:19:22.891+02:00</t>
  </si>
  <si>
    <t xml:space="preserve">2024-08-31T13:26:45.122+02:00</t>
  </si>
  <si>
    <t xml:space="preserve">2024-08-31T12:58:20.086+02:00</t>
  </si>
  <si>
    <t xml:space="preserve">2024-08-31T13:04:31.995+02:00</t>
  </si>
  <si>
    <t xml:space="preserve">2024-08-31T12:57:20.112+02:00</t>
  </si>
  <si>
    <t xml:space="preserve">2024-08-31T13:03:55.117+02:00</t>
  </si>
  <si>
    <t xml:space="preserve">2024-08-31T12:51:05.779+02:00</t>
  </si>
  <si>
    <t xml:space="preserve">2024-08-31T13:01:54.983+02:00</t>
  </si>
  <si>
    <t xml:space="preserve">Ruslan</t>
  </si>
  <si>
    <t xml:space="preserve">2024-08-31T12:51:01.825+02:00</t>
  </si>
  <si>
    <t xml:space="preserve">2024-08-31T12:58:07.835+02:00</t>
  </si>
  <si>
    <t xml:space="preserve">2024-08-31T12:44:37.762+02:00</t>
  </si>
  <si>
    <t xml:space="preserve">2024-08-31T12:50:58.914+02:00</t>
  </si>
  <si>
    <t xml:space="preserve">2024-08-31T12:44:04.316+02:00</t>
  </si>
  <si>
    <t xml:space="preserve">2024-08-31T12:53:08.820+02:00</t>
  </si>
  <si>
    <t xml:space="preserve">2024-08-31T12:26:00.446+02:00</t>
  </si>
  <si>
    <t xml:space="preserve">2024-08-31T12:30:59.134+02:00</t>
  </si>
  <si>
    <t xml:space="preserve">2024-08-31T12:16:30.164+02:00</t>
  </si>
  <si>
    <t xml:space="preserve">2024-08-31T12:23:08.960+02:00</t>
  </si>
  <si>
    <t xml:space="preserve">2024-08-31T12:14:39.698+02:00</t>
  </si>
  <si>
    <t xml:space="preserve">2024-08-31T12:19:34.177+02:00</t>
  </si>
  <si>
    <t xml:space="preserve">2024-08-31T12:09:19.984+02:00</t>
  </si>
  <si>
    <t xml:space="preserve">2024-08-31T12:20:00.121+02:00</t>
  </si>
  <si>
    <t xml:space="preserve">2024-08-31T12:02:02.440+02:00</t>
  </si>
  <si>
    <t xml:space="preserve">2024-08-31T12:12:55.737+02:00</t>
  </si>
  <si>
    <t xml:space="preserve">2024-08-31T12:21:24.271+02:00</t>
  </si>
  <si>
    <t xml:space="preserve">2024-08-31T12:02:03.306+02:00</t>
  </si>
  <si>
    <t xml:space="preserve">2024-08-31T12:02:02.415+02:00</t>
  </si>
  <si>
    <t xml:space="preserve">2024-08-31T12:12:35.736+02:00</t>
  </si>
  <si>
    <t xml:space="preserve">2024-08-31T12:30:24.281+02:00</t>
  </si>
  <si>
    <t xml:space="preserve">2024-08-31T12:02:03.466+02:00</t>
  </si>
  <si>
    <t xml:space="preserve">2024-08-31T11:59:20.254+02:00</t>
  </si>
  <si>
    <t xml:space="preserve">2024-08-31T12:07:52.022+02:00</t>
  </si>
  <si>
    <t xml:space="preserve">2024-08-31T11:45:19.061+02:00</t>
  </si>
  <si>
    <t xml:space="preserve">2024-08-31T11:53:24.850+02:00</t>
  </si>
  <si>
    <t xml:space="preserve">2024-08-31T11:28:02.303+02:00</t>
  </si>
  <si>
    <t xml:space="preserve">2024-08-31T11:47:30.651+02:00</t>
  </si>
  <si>
    <t xml:space="preserve">František</t>
  </si>
  <si>
    <t xml:space="preserve">2024-08-31T11:25:45.538+02:00</t>
  </si>
  <si>
    <t xml:space="preserve">2024-08-31T11:32:20.784+02:00</t>
  </si>
  <si>
    <t xml:space="preserve">2024-08-31T11:18:22.043+02:00</t>
  </si>
  <si>
    <t xml:space="preserve">2024-08-31T11:25:01.001+02:00</t>
  </si>
  <si>
    <t xml:space="preserve">2024-08-31T11:16:16.980+02:00</t>
  </si>
  <si>
    <t xml:space="preserve">2024-08-31T11:26:40.092+02:00</t>
  </si>
  <si>
    <t xml:space="preserve">2024-08-31T11:15:01.386+02:00</t>
  </si>
  <si>
    <t xml:space="preserve">2024-08-31T11:51:56.723+02:00</t>
  </si>
  <si>
    <t xml:space="preserve">2024-08-31T12:05:41.474+02:00</t>
  </si>
  <si>
    <t xml:space="preserve">2024-08-31T11:15:02.262+02:00</t>
  </si>
  <si>
    <t xml:space="preserve">2024-08-31T11:14:19.025+02:00</t>
  </si>
  <si>
    <t xml:space="preserve">2024-08-31T11:23:57.921+02:00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</si>
  <si>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</si>
  <si>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</si>
  <si>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</si>
  <si>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</si>
  <si>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</si>
  <si>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</si>
  <si>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</si>
  <si>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</si>
  <si>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</si>
  <si>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</si>
  <si>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12 min 15 s</t>
  </si>
  <si>
    <t xml:space="preserve">01:00</t>
  </si>
  <si>
    <t xml:space="preserve">Gomez Antonio</t>
  </si>
  <si>
    <t xml:space="preserve">15:00</t>
  </si>
  <si>
    <t xml:space="preserve">11 min 50 s</t>
  </si>
  <si>
    <t xml:space="preserve">Sobota</t>
  </si>
  <si>
    <t xml:space="preserve">14:00</t>
  </si>
  <si>
    <t xml:space="preserve">9 min 59 s</t>
  </si>
  <si>
    <t xml:space="preserve">07:30</t>
  </si>
  <si>
    <t xml:space="preserve">Pechová Barbora </t>
  </si>
  <si>
    <t xml:space="preserve">11 min 28 s</t>
  </si>
  <si>
    <t xml:space="preserve">14:30</t>
  </si>
  <si>
    <t xml:space="preserve">16 min 33 s</t>
  </si>
  <si>
    <t xml:space="preserve">24:30</t>
  </si>
  <si>
    <t xml:space="preserve">12 min 16 s</t>
  </si>
  <si>
    <t xml:space="preserve">11 min 13 s</t>
  </si>
  <si>
    <t xml:space="preserve">11 min 59 s</t>
  </si>
  <si>
    <t xml:space="preserve">9 min 13 s</t>
  </si>
  <si>
    <t xml:space="preserve">19:00</t>
  </si>
  <si>
    <t xml:space="preserve">01:30</t>
  </si>
  <si>
    <t xml:space="preserve">08:30</t>
  </si>
  <si>
    <t xml:space="preserve">9 min 24 s</t>
  </si>
  <si>
    <t xml:space="preserve">16:00</t>
  </si>
  <si>
    <t xml:space="preserve">9 min 15 s</t>
  </si>
  <si>
    <t xml:space="preserve">17:30</t>
  </si>
  <si>
    <t xml:space="preserve">11 min 22 s</t>
  </si>
  <si>
    <t xml:space="preserve">15 min 28 s</t>
  </si>
  <si>
    <t xml:space="preserve">05:00</t>
  </si>
  <si>
    <t xml:space="preserve">10 min 52 s</t>
  </si>
  <si>
    <t xml:space="preserve">18:30</t>
  </si>
  <si>
    <t xml:space="preserve">9 min 36 s</t>
  </si>
  <si>
    <t xml:space="preserve">12 min 21 s</t>
  </si>
  <si>
    <t xml:space="preserve">21:00</t>
  </si>
  <si>
    <t xml:space="preserve">02:00</t>
  </si>
  <si>
    <t xml:space="preserve">9 min 42 s</t>
  </si>
  <si>
    <t xml:space="preserve">12 min 06 s</t>
  </si>
  <si>
    <t xml:space="preserve">10 min 43 s</t>
  </si>
  <si>
    <t xml:space="preserve">09:00</t>
  </si>
  <si>
    <t xml:space="preserve">04:00</t>
  </si>
  <si>
    <t xml:space="preserve">03:00</t>
  </si>
  <si>
    <t xml:space="preserve">9 min 29 s</t>
  </si>
  <si>
    <t xml:space="preserve">12 min 08 s</t>
  </si>
  <si>
    <t xml:space="preserve">12 min 20 s</t>
  </si>
  <si>
    <t xml:space="preserve">12 min 50 s</t>
  </si>
  <si>
    <t xml:space="preserve">20:30</t>
  </si>
  <si>
    <t xml:space="preserve">09:30</t>
  </si>
  <si>
    <t xml:space="preserve">14 min 36 s</t>
  </si>
  <si>
    <t xml:space="preserve">Bolevec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</si>
  <si>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</si>
  <si>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</si>
  <si>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</si>
  <si>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</si>
  <si>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</si>
  <si>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</si>
  <si>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</si>
  <si>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</si>
  <si>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</si>
  <si>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</si>
  <si>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</si>
  <si>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</si>
  <si>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</si>
  <si>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</si>
  <si>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</si>
  <si>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Rothová Anastasia</t>
  </si>
  <si>
    <t xml:space="preserve">Výdaje</t>
  </si>
  <si>
    <t xml:space="preserve">Tůma Vladimír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</si>
  <si>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</si>
  <si>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</si>
  <si>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</si>
  <si>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</si>
  <si>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Kaločai Rudolf</t>
  </si>
  <si>
    <t xml:space="preserve">Světlík František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</si>
  <si>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</si>
  <si>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</si>
  <si>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</si>
  <si>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</si>
  <si>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</si>
  <si>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Roth Stanislav ml.</t>
  </si>
  <si>
    <t xml:space="preserve">151:00</t>
  </si>
  <si>
    <t xml:space="preserve">29:00</t>
  </si>
  <si>
    <t xml:space="preserve">Vopatová Anna</t>
  </si>
  <si>
    <t xml:space="preserve">32:30</t>
  </si>
  <si>
    <t xml:space="preserve">162:30</t>
  </si>
  <si>
    <t xml:space="preserve">73:30</t>
  </si>
  <si>
    <t xml:space="preserve">Vostrý Daniel</t>
  </si>
  <si>
    <t xml:space="preserve">57:00</t>
  </si>
  <si>
    <t xml:space="preserve">Mikešová Adéla</t>
  </si>
  <si>
    <t xml:space="preserve">69:30</t>
  </si>
  <si>
    <t xml:space="preserve">Horváth Petr</t>
  </si>
  <si>
    <t xml:space="preserve">6:00</t>
  </si>
  <si>
    <t xml:space="preserve">Ženíšek Lukáš</t>
  </si>
  <si>
    <t xml:space="preserve">9:00</t>
  </si>
  <si>
    <t xml:space="preserve">131:30</t>
  </si>
  <si>
    <t xml:space="preserve">7:00</t>
  </si>
  <si>
    <t xml:space="preserve">Vopatová Šárka</t>
  </si>
  <si>
    <t xml:space="preserve">138:30</t>
  </si>
  <si>
    <t xml:space="preserve">11 min 37 s</t>
  </si>
  <si>
    <t xml:space="preserve">Počet Wolt drive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</si>
  <si>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</si>
  <si>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</si>
  <si>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</si>
  <si>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</si>
  <si>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Stanislav Nekvinda</t>
  </si>
  <si>
    <t xml:space="preserve">10:00 - 17:00 (Instor)</t>
  </si>
  <si>
    <t xml:space="preserve">9:00 - 17:00 (Instor)</t>
  </si>
  <si>
    <t xml:space="preserve">9:00 - 1:00 (Instor)</t>
  </si>
  <si>
    <t xml:space="preserve">17:00 - 1:00 (Instor)</t>
  </si>
  <si>
    <t xml:space="preserve">Anastasiia Rothova</t>
  </si>
  <si>
    <t xml:space="preserve">19:00 - 1:00 (Instor)</t>
  </si>
  <si>
    <t xml:space="preserve">9:00 - 0:00 (Instor)</t>
  </si>
  <si>
    <t xml:space="preserve">Giulia Laura Klapperová</t>
  </si>
  <si>
    <t xml:space="preserve">11:00 - 17:00 (Lobby)</t>
  </si>
  <si>
    <t xml:space="preserve">Stanislav Roth</t>
  </si>
  <si>
    <t xml:space="preserve">12:00 - 1:00 (Instor)</t>
  </si>
  <si>
    <t xml:space="preserve">17:00 - 19:00 (Instor)</t>
  </si>
  <si>
    <t xml:space="preserve">17:00 - 3:00 (Instor)</t>
  </si>
  <si>
    <t xml:space="preserve">Vladimír Tůma</t>
  </si>
  <si>
    <t xml:space="preserve">Pavlína Kynclová</t>
  </si>
  <si>
    <t xml:space="preserve">11:00 - 17:00 (Kurýr)</t>
  </si>
  <si>
    <t xml:space="preserve">11:00 - 3:00 (Kurýr)</t>
  </si>
  <si>
    <t xml:space="preserve">17:00 - 3:00 (Kurýr)</t>
  </si>
  <si>
    <t xml:space="preserve">Anna Vopatová</t>
  </si>
  <si>
    <t xml:space="preserve">11:00 - 22:00 (Kurýr)</t>
  </si>
  <si>
    <t xml:space="preserve">2024-08-09T22:19:02.895+02:00</t>
  </si>
  <si>
    <t xml:space="preserve">2024-08-09T20:59:02.480+02:00</t>
  </si>
  <si>
    <t xml:space="preserve">2024-08-09T20:46:02.837+02:00</t>
  </si>
  <si>
    <t xml:space="preserve">2024-08-09T20:34:02.891+02:00</t>
  </si>
  <si>
    <t xml:space="preserve">2024-08-09T20:47:12.087+02:00</t>
  </si>
  <si>
    <t xml:space="preserve">2024-08-09T20:23:02.590+02:00</t>
  </si>
  <si>
    <t xml:space="preserve">2024-08-09T20:03:02.507+02:00</t>
  </si>
  <si>
    <t xml:space="preserve">2024-08-09T19:56:02.899+02:00</t>
  </si>
  <si>
    <t xml:space="preserve">2024-08-09T19:38:02.296+02:00</t>
  </si>
  <si>
    <t xml:space="preserve">2024-08-09T19:24:02.984+02:00</t>
  </si>
  <si>
    <t xml:space="preserve">2024-08-09T19:01:02.783+02:00</t>
  </si>
  <si>
    <t xml:space="preserve">2024-08-09T17:51:02.506+02:00</t>
  </si>
  <si>
    <t xml:space="preserve">2024-08-09T17:46:03.097+02:00</t>
  </si>
  <si>
    <t xml:space="preserve">2024-08-09T17:39:01.978+02:00</t>
  </si>
  <si>
    <t xml:space="preserve">2024-08-09T17:17:02.097+02:00</t>
  </si>
  <si>
    <t xml:space="preserve">2024-08-09T17:00:02.267+02:00</t>
  </si>
  <si>
    <t xml:space="preserve">2024-08-09T15:56:10.646+02:00</t>
  </si>
  <si>
    <t xml:space="preserve">2024-08-09T15:42:02.038+02:00</t>
  </si>
  <si>
    <t xml:space="preserve">2024-08-09T15:26:53.898+02:00</t>
  </si>
  <si>
    <t xml:space="preserve">2024-08-09T14:45:02.906+02:00</t>
  </si>
  <si>
    <t xml:space="preserve">2024-08-09T14:28:20.232+02:00</t>
  </si>
  <si>
    <t xml:space="preserve">2024-08-09T14:10:02.851+02:00</t>
  </si>
  <si>
    <t xml:space="preserve">2024-08-09T14:08:02.430+02:00</t>
  </si>
  <si>
    <t xml:space="preserve">2024-08-09T14:12:06.958+02:00</t>
  </si>
  <si>
    <t xml:space="preserve">2024-08-09T13:44:03.241+02:00</t>
  </si>
  <si>
    <t xml:space="preserve">2024-08-09T13:36:02.419+02:00</t>
  </si>
  <si>
    <t xml:space="preserve">2024-08-09T13:20:03.247+02:00</t>
  </si>
  <si>
    <t xml:space="preserve">2024-08-09T12:25:02.690+02:00</t>
  </si>
  <si>
    <t xml:space="preserve">2024-08-09T09:59:03.260+02:00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</si>
</sst>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d/m/"/>
    <numFmt numFmtId="175" formatCode="h:mm:ss"/>
    <numFmt numFmtId="176" formatCode="#,##0.00"/>
    <numFmt numFmtId="177" formatCode="0.00E+00"/>
  </numFmts>
  <fonts count="28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theme="1"/>
      <name val="Google Sans Mon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theme="1"/>
      <name val="Google Sans Mono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3"/>
      <color theme="1"/>
      <name val="&quot;Google Sans Mono&quot;"/>
      <family val="0"/>
      <charset val="1"/>
    </font>
    <font>
      <b val="true"/>
      <sz val="25"/>
      <color rgb="FF000000"/>
      <name val="&quot;Google Sans Mono&quot;"/>
      <family val="0"/>
      <charset val="1"/>
    </font>
    <font>
      <sz val="24"/>
      <name val="Times New Roman"/>
      <family val="1"/>
      <charset val="238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theme="9"/>
        <bgColor rgb="FF339966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CFE2F3"/>
      </patternFill>
    </fill>
    <fill>
      <patternFill patternType="solid">
        <fgColor rgb="FFB7E1CD"/>
        <bgColor rgb="FFC9DAF8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00FFFF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FE6DD"/>
      </patternFill>
    </fill>
  </fills>
  <borders count="42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ck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ck"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5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9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4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5" fontId="4" fillId="9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16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5" fontId="4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4" fillId="1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CFE2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9999FF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46BDC6"/>
      <rgbColor rgb="FF99CC00"/>
      <rgbColor rgb="FFFCE5CD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O10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9" style="0" width="30.25"/>
  </cols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customFormat="false" ht="15.75" hidden="true" customHeight="false" outlineLevel="0" collapsed="false">
      <c r="A2" s="4" t="n">
        <v>45527</v>
      </c>
      <c r="B2" s="1" t="s">
        <v>88</v>
      </c>
      <c r="C2" s="1" t="s">
        <v>89</v>
      </c>
      <c r="D2" s="1" t="n">
        <v>364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-9</v>
      </c>
      <c r="O2" s="1" t="n">
        <v>5.96658333333333</v>
      </c>
    </row>
    <row r="3" customFormat="false" ht="15.75" hidden="true" customHeight="false" outlineLevel="0" collapsed="false">
      <c r="A3" s="4" t="n">
        <v>45527</v>
      </c>
      <c r="B3" s="1" t="s">
        <v>95</v>
      </c>
      <c r="C3" s="1" t="s">
        <v>89</v>
      </c>
      <c r="D3" s="1" t="n">
        <v>355</v>
      </c>
      <c r="E3" s="1" t="n">
        <v>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1" t="n">
        <v>-12</v>
      </c>
      <c r="N3" s="1" t="n">
        <v>0.0140333333333333</v>
      </c>
      <c r="O3" s="1" t="n">
        <v>6.54503333333333</v>
      </c>
    </row>
    <row r="4" customFormat="false" ht="15.75" hidden="true" customHeight="false" outlineLevel="0" collapsed="false">
      <c r="A4" s="4" t="n">
        <v>45527</v>
      </c>
      <c r="B4" s="1" t="s">
        <v>103</v>
      </c>
      <c r="C4" s="1" t="s">
        <v>104</v>
      </c>
      <c r="D4" s="1" t="n">
        <v>329</v>
      </c>
      <c r="E4" s="1" t="n">
        <v>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1" t="n">
        <v>0</v>
      </c>
      <c r="O4" s="1" t="n">
        <v>7.39341666666667</v>
      </c>
    </row>
    <row r="5" customFormat="false" ht="15.75" hidden="true" customHeight="false" outlineLevel="0" collapsed="false">
      <c r="A5" s="4" t="n">
        <v>45527</v>
      </c>
      <c r="B5" s="1" t="s">
        <v>107</v>
      </c>
      <c r="C5" s="1" t="s">
        <v>104</v>
      </c>
      <c r="D5" s="1" t="n">
        <v>513</v>
      </c>
      <c r="E5" s="1" t="n">
        <v>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1" t="n">
        <v>-12</v>
      </c>
      <c r="O5" s="1" t="n">
        <v>7.13258333333333</v>
      </c>
    </row>
    <row r="6" customFormat="false" ht="15.75" hidden="true" customHeight="false" outlineLevel="0" collapsed="false">
      <c r="A6" s="4" t="n">
        <v>45527</v>
      </c>
      <c r="B6" s="1" t="s">
        <v>107</v>
      </c>
      <c r="C6" s="1" t="s">
        <v>104</v>
      </c>
      <c r="D6" s="1" t="n">
        <v>404</v>
      </c>
      <c r="E6" s="1" t="n">
        <v>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1" t="n">
        <v>-8</v>
      </c>
      <c r="O6" s="1" t="n">
        <v>6.09666666666667</v>
      </c>
    </row>
    <row r="7" customFormat="false" ht="15.75" hidden="true" customHeight="false" outlineLevel="0" collapsed="false">
      <c r="A7" s="4" t="n">
        <v>45527</v>
      </c>
      <c r="B7" s="1" t="s">
        <v>88</v>
      </c>
      <c r="C7" s="1" t="s">
        <v>89</v>
      </c>
      <c r="D7" s="1" t="n">
        <v>129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1" t="n">
        <v>-12</v>
      </c>
      <c r="O7" s="1" t="n">
        <v>4.43375</v>
      </c>
    </row>
    <row r="8" customFormat="false" ht="15.75" hidden="true" customHeight="false" outlineLevel="0" collapsed="false">
      <c r="A8" s="4" t="n">
        <v>45527</v>
      </c>
      <c r="B8" s="1" t="s">
        <v>103</v>
      </c>
      <c r="C8" s="1" t="s">
        <v>104</v>
      </c>
      <c r="D8" s="1" t="n">
        <v>621</v>
      </c>
      <c r="E8" s="1" t="n">
        <v>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1" t="n">
        <v>-2</v>
      </c>
      <c r="O8" s="1" t="n">
        <v>6.16886666666667</v>
      </c>
    </row>
    <row r="9" customFormat="false" ht="15.75" hidden="true" customHeight="false" outlineLevel="0" collapsed="false">
      <c r="A9" s="4" t="n">
        <v>45527</v>
      </c>
      <c r="B9" s="1" t="s">
        <v>88</v>
      </c>
      <c r="C9" s="1" t="s">
        <v>89</v>
      </c>
      <c r="D9" s="1" t="n">
        <v>294</v>
      </c>
      <c r="E9" s="1" t="n">
        <v>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1" t="n">
        <v>-9</v>
      </c>
      <c r="O9" s="1" t="n">
        <v>5.34231666666667</v>
      </c>
    </row>
    <row r="10" customFormat="false" ht="15.75" hidden="true" customHeight="false" outlineLevel="0" collapsed="false">
      <c r="A10" s="4" t="n">
        <v>45527</v>
      </c>
      <c r="B10" s="1" t="s">
        <v>95</v>
      </c>
      <c r="C10" s="1" t="s">
        <v>104</v>
      </c>
      <c r="D10" s="1" t="n">
        <v>159</v>
      </c>
      <c r="E10" s="1" t="n">
        <v>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1" t="n">
        <v>-13</v>
      </c>
      <c r="O10" s="1" t="n">
        <v>6.25878333333333</v>
      </c>
    </row>
    <row r="11" customFormat="false" ht="15.75" hidden="true" customHeight="false" outlineLevel="0" collapsed="false">
      <c r="A11" s="4" t="n">
        <v>45527</v>
      </c>
      <c r="B11" s="1" t="s">
        <v>103</v>
      </c>
      <c r="C11" s="1" t="s">
        <v>104</v>
      </c>
      <c r="D11" s="1" t="n">
        <v>336</v>
      </c>
      <c r="E11" s="1" t="n">
        <v>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1" t="n">
        <v>-1</v>
      </c>
      <c r="O11" s="1" t="n">
        <v>5.95308333333333</v>
      </c>
    </row>
    <row r="12" customFormat="false" ht="15.75" hidden="true" customHeight="false" outlineLevel="0" collapsed="false">
      <c r="A12" s="4" t="n">
        <v>45527</v>
      </c>
      <c r="B12" s="1" t="s">
        <v>88</v>
      </c>
      <c r="C12" s="1" t="s">
        <v>89</v>
      </c>
      <c r="D12" s="1" t="n">
        <v>329</v>
      </c>
      <c r="E12" s="1" t="n">
        <v>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1" t="n">
        <v>-9</v>
      </c>
      <c r="O12" s="1" t="n">
        <v>5.82841666666667</v>
      </c>
    </row>
    <row r="13" customFormat="false" ht="15.75" hidden="true" customHeight="false" outlineLevel="0" collapsed="false">
      <c r="A13" s="4" t="n">
        <v>45527</v>
      </c>
      <c r="B13" s="1" t="s">
        <v>95</v>
      </c>
      <c r="C13" s="1" t="s">
        <v>89</v>
      </c>
      <c r="D13" s="1" t="n">
        <v>652</v>
      </c>
      <c r="E13" s="1" t="n">
        <v>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1" t="n">
        <v>-12</v>
      </c>
      <c r="N13" s="1" t="n">
        <v>0.0125833333333333</v>
      </c>
      <c r="O13" s="1" t="n">
        <v>7.51068333333333</v>
      </c>
    </row>
    <row r="14" customFormat="false" ht="15.75" hidden="true" customHeight="false" outlineLevel="0" collapsed="false">
      <c r="A14" s="4" t="n">
        <v>45527</v>
      </c>
      <c r="B14" s="1" t="s">
        <v>103</v>
      </c>
      <c r="C14" s="1" t="s">
        <v>104</v>
      </c>
      <c r="D14" s="1" t="n">
        <v>174</v>
      </c>
      <c r="E14" s="1" t="n">
        <v>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1" t="n">
        <v>0</v>
      </c>
      <c r="O14" s="1" t="n">
        <v>5.93158333333333</v>
      </c>
    </row>
    <row r="15" customFormat="false" ht="15.75" hidden="true" customHeight="false" outlineLevel="0" collapsed="false">
      <c r="A15" s="4" t="n">
        <v>45527</v>
      </c>
      <c r="B15" s="1" t="s">
        <v>103</v>
      </c>
      <c r="C15" s="1" t="s">
        <v>104</v>
      </c>
      <c r="D15" s="1" t="n">
        <v>264</v>
      </c>
      <c r="E15" s="1" t="n">
        <v>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1" t="n">
        <v>-1</v>
      </c>
      <c r="O15" s="1" t="n">
        <v>5.34668333333333</v>
      </c>
    </row>
    <row r="16" customFormat="false" ht="15.75" hidden="true" customHeight="false" outlineLevel="0" collapsed="false">
      <c r="A16" s="4" t="n">
        <v>45527</v>
      </c>
      <c r="B16" s="1" t="s">
        <v>103</v>
      </c>
      <c r="C16" s="1" t="s">
        <v>104</v>
      </c>
      <c r="D16" s="1" t="n">
        <v>364</v>
      </c>
      <c r="E16" s="1" t="n">
        <v>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1" t="n">
        <v>0</v>
      </c>
      <c r="O16" s="1" t="n">
        <v>6.89308333333333</v>
      </c>
    </row>
    <row r="17" customFormat="false" ht="15.75" hidden="true" customHeight="false" outlineLevel="0" collapsed="false">
      <c r="A17" s="4" t="n">
        <v>45527</v>
      </c>
      <c r="B17" s="1" t="s">
        <v>88</v>
      </c>
      <c r="C17" s="1" t="s">
        <v>89</v>
      </c>
      <c r="D17" s="1" t="n">
        <v>343</v>
      </c>
      <c r="E17" s="1" t="n">
        <v>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1" t="n">
        <v>-8</v>
      </c>
      <c r="O17" s="1" t="n">
        <v>6.31058333333333</v>
      </c>
    </row>
    <row r="18" customFormat="false" ht="15.75" hidden="true" customHeight="false" outlineLevel="0" collapsed="false">
      <c r="A18" s="4" t="n">
        <v>45527</v>
      </c>
      <c r="B18" s="1" t="s">
        <v>103</v>
      </c>
      <c r="C18" s="1" t="s">
        <v>104</v>
      </c>
      <c r="D18" s="1" t="n">
        <v>578</v>
      </c>
      <c r="E18" s="1" t="n">
        <v>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1" t="n">
        <v>-2</v>
      </c>
      <c r="O18" s="1" t="n">
        <v>6.28238333333333</v>
      </c>
    </row>
    <row r="19" customFormat="false" ht="15.75" hidden="true" customHeight="false" outlineLevel="0" collapsed="false">
      <c r="A19" s="4" t="n">
        <v>45527</v>
      </c>
      <c r="B19" s="1" t="s">
        <v>95</v>
      </c>
      <c r="C19" s="1" t="s">
        <v>104</v>
      </c>
      <c r="D19" s="1" t="n">
        <v>199</v>
      </c>
      <c r="E19" s="1" t="n">
        <v>50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1" t="n">
        <v>-12</v>
      </c>
      <c r="O19" s="1" t="n">
        <v>6.47293333333333</v>
      </c>
    </row>
    <row r="20" customFormat="false" ht="15.75" hidden="true" customHeight="false" outlineLevel="0" collapsed="false">
      <c r="A20" s="4" t="n">
        <v>45527</v>
      </c>
      <c r="B20" s="1" t="s">
        <v>88</v>
      </c>
      <c r="C20" s="1" t="s">
        <v>89</v>
      </c>
      <c r="D20" s="1" t="n">
        <v>264</v>
      </c>
      <c r="E20" s="1" t="n">
        <v>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1" t="n">
        <v>-10</v>
      </c>
      <c r="O20" s="1" t="n">
        <v>4.58785</v>
      </c>
    </row>
    <row r="21" customFormat="false" ht="15.75" hidden="true" customHeight="false" outlineLevel="0" collapsed="false">
      <c r="A21" s="4" t="n">
        <v>45527</v>
      </c>
      <c r="B21" s="1" t="s">
        <v>103</v>
      </c>
      <c r="C21" s="1" t="s">
        <v>104</v>
      </c>
      <c r="D21" s="1" t="n">
        <v>346</v>
      </c>
      <c r="E21" s="1" t="n">
        <v>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1" t="n">
        <v>-1</v>
      </c>
      <c r="O21" s="1" t="n">
        <v>5.88045</v>
      </c>
    </row>
    <row r="22" customFormat="false" ht="15.75" hidden="true" customHeight="false" outlineLevel="0" collapsed="false">
      <c r="A22" s="4" t="n">
        <v>45527</v>
      </c>
      <c r="B22" s="1" t="s">
        <v>88</v>
      </c>
      <c r="C22" s="1" t="s">
        <v>89</v>
      </c>
      <c r="D22" s="1" t="n">
        <v>329</v>
      </c>
      <c r="E22" s="1" t="n">
        <v>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1" t="n">
        <v>-5</v>
      </c>
      <c r="O22" s="1" t="n">
        <v>9.28175</v>
      </c>
    </row>
    <row r="23" customFormat="false" ht="15.75" hidden="true" customHeight="false" outlineLevel="0" collapsed="false">
      <c r="A23" s="4" t="n">
        <v>45527</v>
      </c>
      <c r="B23" s="1" t="s">
        <v>88</v>
      </c>
      <c r="C23" s="1" t="s">
        <v>89</v>
      </c>
      <c r="D23" s="1" t="n">
        <v>313</v>
      </c>
      <c r="E23" s="1" t="n">
        <v>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1" t="n">
        <v>-8</v>
      </c>
      <c r="O23" s="1" t="n">
        <v>6.70395</v>
      </c>
    </row>
    <row r="24" customFormat="false" ht="15.75" hidden="true" customHeight="false" outlineLevel="0" collapsed="false">
      <c r="A24" s="4" t="n">
        <v>45527</v>
      </c>
      <c r="B24" s="1" t="s">
        <v>103</v>
      </c>
      <c r="C24" s="1" t="s">
        <v>104</v>
      </c>
      <c r="D24" s="1" t="n">
        <v>394</v>
      </c>
      <c r="E24" s="1" t="n">
        <v>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1" t="n">
        <v>0</v>
      </c>
      <c r="O24" s="1" t="n">
        <v>8.80223333333333</v>
      </c>
    </row>
    <row r="25" customFormat="false" ht="15.75" hidden="true" customHeight="false" outlineLevel="0" collapsed="false">
      <c r="A25" s="4" t="n">
        <v>45527</v>
      </c>
      <c r="B25" s="1" t="s">
        <v>103</v>
      </c>
      <c r="C25" s="1" t="s">
        <v>104</v>
      </c>
      <c r="D25" s="1" t="n">
        <v>816</v>
      </c>
      <c r="E25" s="1" t="n">
        <v>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1" t="n">
        <v>0</v>
      </c>
      <c r="O25" s="1" t="n">
        <v>10.02735</v>
      </c>
    </row>
    <row r="26" customFormat="false" ht="15.75" hidden="true" customHeight="false" outlineLevel="0" collapsed="false">
      <c r="A26" s="4" t="n">
        <v>45527</v>
      </c>
      <c r="B26" s="1" t="s">
        <v>95</v>
      </c>
      <c r="C26" s="1" t="s">
        <v>89</v>
      </c>
      <c r="D26" s="1" t="n">
        <v>597</v>
      </c>
      <c r="E26" s="1" t="n">
        <v>35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1" t="n">
        <v>-6</v>
      </c>
      <c r="N26" s="1" t="n">
        <v>4.37065</v>
      </c>
      <c r="O26" s="1" t="n">
        <v>9.60886666666667</v>
      </c>
    </row>
    <row r="27" customFormat="false" ht="15.75" hidden="true" customHeight="false" outlineLevel="0" collapsed="false">
      <c r="A27" s="4" t="n">
        <v>45527</v>
      </c>
      <c r="B27" s="1" t="s">
        <v>88</v>
      </c>
      <c r="C27" s="1" t="s">
        <v>89</v>
      </c>
      <c r="D27" s="1" t="n">
        <v>413</v>
      </c>
      <c r="E27" s="1" t="n">
        <v>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1" t="n">
        <v>-10</v>
      </c>
      <c r="O27" s="1" t="n">
        <v>6.36318333333333</v>
      </c>
    </row>
    <row r="28" customFormat="false" ht="15.75" hidden="true" customHeight="false" outlineLevel="0" collapsed="false">
      <c r="A28" s="4" t="n">
        <v>45527</v>
      </c>
      <c r="B28" s="1" t="s">
        <v>103</v>
      </c>
      <c r="C28" s="1" t="s">
        <v>104</v>
      </c>
      <c r="D28" s="1" t="n">
        <v>264</v>
      </c>
      <c r="E28" s="1" t="n">
        <v>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1" t="n">
        <v>0</v>
      </c>
      <c r="O28" s="1" t="n">
        <v>5.29776666666667</v>
      </c>
    </row>
    <row r="29" customFormat="false" ht="15.75" hidden="true" customHeight="false" outlineLevel="0" collapsed="false">
      <c r="A29" s="4" t="n">
        <v>45527</v>
      </c>
      <c r="B29" s="1" t="s">
        <v>107</v>
      </c>
      <c r="C29" s="1" t="s">
        <v>104</v>
      </c>
      <c r="D29" s="1" t="n">
        <v>319</v>
      </c>
      <c r="E29" s="1" t="n">
        <v>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1" t="n">
        <v>-7</v>
      </c>
      <c r="O29" s="1" t="n">
        <v>7.14731666666667</v>
      </c>
    </row>
    <row r="30" customFormat="false" ht="15.75" hidden="true" customHeight="false" outlineLevel="0" collapsed="false">
      <c r="A30" s="4" t="n">
        <v>45527</v>
      </c>
      <c r="B30" s="1" t="s">
        <v>95</v>
      </c>
      <c r="C30" s="1" t="s">
        <v>89</v>
      </c>
      <c r="D30" s="1" t="n">
        <v>475</v>
      </c>
      <c r="E30" s="1" t="n">
        <v>23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1" t="n">
        <v>1</v>
      </c>
      <c r="N30" s="1" t="n">
        <v>0.0104666666666667</v>
      </c>
      <c r="O30" s="1" t="n">
        <v>6.09441666666667</v>
      </c>
    </row>
    <row r="31" customFormat="false" ht="15.75" hidden="true" customHeight="false" outlineLevel="0" collapsed="false">
      <c r="A31" s="4" t="n">
        <v>45527</v>
      </c>
      <c r="B31" s="1" t="s">
        <v>88</v>
      </c>
      <c r="C31" s="1" t="s">
        <v>89</v>
      </c>
      <c r="D31" s="1" t="n">
        <v>224</v>
      </c>
      <c r="E31" s="1" t="n">
        <v>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1" t="n">
        <v>-10</v>
      </c>
      <c r="O31" s="1" t="n">
        <v>5.57341666666667</v>
      </c>
    </row>
    <row r="32" customFormat="false" ht="15.75" hidden="true" customHeight="false" outlineLevel="0" collapsed="false">
      <c r="A32" s="4" t="n">
        <v>45527</v>
      </c>
      <c r="B32" s="1" t="s">
        <v>88</v>
      </c>
      <c r="C32" s="1" t="s">
        <v>89</v>
      </c>
      <c r="D32" s="1" t="n">
        <v>394</v>
      </c>
      <c r="E32" s="1" t="n">
        <v>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1" t="n">
        <v>-7</v>
      </c>
      <c r="O32" s="1" t="n">
        <v>7.86978333333333</v>
      </c>
    </row>
    <row r="33" customFormat="false" ht="15.75" hidden="true" customHeight="false" outlineLevel="0" collapsed="false">
      <c r="A33" s="4" t="n">
        <v>45527</v>
      </c>
      <c r="B33" s="1" t="s">
        <v>107</v>
      </c>
      <c r="C33" s="1" t="s">
        <v>104</v>
      </c>
      <c r="D33" s="1" t="n">
        <v>264</v>
      </c>
      <c r="E33" s="1" t="n">
        <v>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1" t="n">
        <v>-8</v>
      </c>
      <c r="O33" s="1" t="n">
        <v>6.91158333333333</v>
      </c>
    </row>
    <row r="34" customFormat="false" ht="15.75" hidden="true" customHeight="false" outlineLevel="0" collapsed="false">
      <c r="A34" s="4" t="n">
        <v>45527</v>
      </c>
      <c r="B34" s="1" t="s">
        <v>88</v>
      </c>
      <c r="C34" s="1" t="s">
        <v>89</v>
      </c>
      <c r="D34" s="1" t="n">
        <v>882</v>
      </c>
      <c r="E34" s="1" t="n">
        <v>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1" t="n">
        <v>-11</v>
      </c>
      <c r="O34" s="1" t="n">
        <v>8.05723333333333</v>
      </c>
    </row>
    <row r="35" customFormat="false" ht="15.75" hidden="true" customHeight="false" outlineLevel="0" collapsed="false">
      <c r="A35" s="4" t="n">
        <v>45527</v>
      </c>
      <c r="B35" s="1" t="s">
        <v>88</v>
      </c>
      <c r="C35" s="1" t="s">
        <v>89</v>
      </c>
      <c r="D35" s="1" t="n">
        <v>715</v>
      </c>
      <c r="E35" s="1" t="n">
        <v>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1" t="n">
        <v>-7</v>
      </c>
      <c r="O35" s="1" t="n">
        <v>12.4664333333333</v>
      </c>
    </row>
    <row r="36" customFormat="false" ht="15.75" hidden="true" customHeight="false" outlineLevel="0" collapsed="false">
      <c r="A36" s="4" t="n">
        <v>45527</v>
      </c>
      <c r="B36" s="1" t="s">
        <v>103</v>
      </c>
      <c r="C36" s="1" t="s">
        <v>104</v>
      </c>
      <c r="D36" s="1" t="n">
        <v>1006</v>
      </c>
      <c r="E36" s="1" t="n">
        <v>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1" t="n">
        <v>-1</v>
      </c>
      <c r="O36" s="1" t="n">
        <v>9.60696666666667</v>
      </c>
    </row>
    <row r="37" customFormat="false" ht="15.75" hidden="true" customHeight="false" outlineLevel="0" collapsed="false">
      <c r="A37" s="4" t="n">
        <v>45527</v>
      </c>
      <c r="B37" s="1" t="s">
        <v>95</v>
      </c>
      <c r="C37" s="1" t="s">
        <v>89</v>
      </c>
      <c r="D37" s="1" t="n">
        <v>309</v>
      </c>
      <c r="E37" s="1" t="n">
        <v>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1" t="n">
        <v>-10</v>
      </c>
      <c r="N37" s="1" t="n">
        <v>2.10235</v>
      </c>
      <c r="O37" s="1" t="n">
        <v>7.28921666666667</v>
      </c>
    </row>
    <row r="38" customFormat="false" ht="15.75" hidden="true" customHeight="false" outlineLevel="0" collapsed="false">
      <c r="A38" s="4" t="n">
        <v>45527</v>
      </c>
      <c r="B38" s="1" t="s">
        <v>95</v>
      </c>
      <c r="C38" s="1" t="s">
        <v>104</v>
      </c>
      <c r="D38" s="1" t="n">
        <v>520</v>
      </c>
      <c r="E38" s="1" t="n">
        <v>124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1" t="n">
        <v>-6</v>
      </c>
      <c r="O38" s="1" t="n">
        <v>17.1916666666667</v>
      </c>
    </row>
    <row r="39" customFormat="false" ht="15.75" hidden="true" customHeight="false" outlineLevel="0" collapsed="false">
      <c r="A39" s="4" t="n">
        <v>45527</v>
      </c>
      <c r="B39" s="1" t="s">
        <v>95</v>
      </c>
      <c r="C39" s="1" t="s">
        <v>89</v>
      </c>
      <c r="D39" s="1" t="n">
        <v>358</v>
      </c>
      <c r="E39" s="1" t="n">
        <v>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1" t="n">
        <v>-2</v>
      </c>
      <c r="N39" s="1" t="n">
        <v>0.00868333333333333</v>
      </c>
      <c r="O39" s="1" t="n">
        <v>4.38375</v>
      </c>
    </row>
    <row r="40" customFormat="false" ht="15.75" hidden="true" customHeight="false" outlineLevel="0" collapsed="false">
      <c r="A40" s="4" t="n">
        <v>45527</v>
      </c>
      <c r="B40" s="1" t="s">
        <v>95</v>
      </c>
      <c r="C40" s="1" t="s">
        <v>89</v>
      </c>
      <c r="D40" s="1" t="n">
        <v>338</v>
      </c>
      <c r="E40" s="1" t="n">
        <v>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1" t="n">
        <v>-10</v>
      </c>
      <c r="N40" s="1" t="n">
        <v>0.00926666666666667</v>
      </c>
      <c r="O40" s="1" t="n">
        <v>7.75793333333333</v>
      </c>
    </row>
    <row r="41" customFormat="false" ht="15.75" hidden="true" customHeight="false" outlineLevel="0" collapsed="false">
      <c r="A41" s="4" t="n">
        <v>45527</v>
      </c>
      <c r="B41" s="1" t="s">
        <v>95</v>
      </c>
      <c r="C41" s="1" t="s">
        <v>89</v>
      </c>
      <c r="D41" s="1" t="n">
        <v>558</v>
      </c>
      <c r="E41" s="1" t="n">
        <v>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1" t="n">
        <v>9</v>
      </c>
      <c r="N41" s="1" t="n">
        <v>0.00813333333333333</v>
      </c>
      <c r="O41" s="1" t="n">
        <v>8.4024</v>
      </c>
    </row>
    <row r="42" customFormat="false" ht="15.75" hidden="true" customHeight="false" outlineLevel="0" collapsed="false">
      <c r="A42" s="4" t="n">
        <v>45527</v>
      </c>
      <c r="B42" s="1" t="s">
        <v>103</v>
      </c>
      <c r="C42" s="1" t="s">
        <v>104</v>
      </c>
      <c r="D42" s="1" t="n">
        <v>667</v>
      </c>
      <c r="E42" s="1" t="n">
        <v>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1" t="n">
        <v>0</v>
      </c>
      <c r="O42" s="1" t="n">
        <v>9.47405</v>
      </c>
    </row>
    <row r="43" customFormat="false" ht="15.75" hidden="true" customHeight="false" outlineLevel="0" collapsed="false">
      <c r="A43" s="4" t="n">
        <v>45527</v>
      </c>
      <c r="B43" s="1" t="s">
        <v>107</v>
      </c>
      <c r="C43" s="1" t="s">
        <v>104</v>
      </c>
      <c r="D43" s="1" t="n">
        <v>394</v>
      </c>
      <c r="E43" s="1" t="n">
        <v>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1" t="n">
        <v>-5</v>
      </c>
      <c r="O43" s="1" t="n">
        <v>9.1932</v>
      </c>
    </row>
    <row r="44" customFormat="false" ht="15.75" hidden="true" customHeight="false" outlineLevel="0" collapsed="false">
      <c r="A44" s="4" t="n">
        <v>45527</v>
      </c>
      <c r="B44" s="1" t="s">
        <v>95</v>
      </c>
      <c r="C44" s="1" t="s">
        <v>89</v>
      </c>
      <c r="D44" s="1" t="n">
        <v>887</v>
      </c>
      <c r="E44" s="1" t="n">
        <v>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1" t="n">
        <v>5</v>
      </c>
      <c r="N44" s="1" t="n">
        <v>0.0122333333333333</v>
      </c>
      <c r="O44" s="1" t="n">
        <v>9.47876666666667</v>
      </c>
    </row>
    <row r="45" customFormat="false" ht="15.75" hidden="true" customHeight="false" outlineLevel="0" collapsed="false">
      <c r="A45" s="4" t="n">
        <v>45527</v>
      </c>
      <c r="B45" s="1" t="s">
        <v>107</v>
      </c>
      <c r="C45" s="1" t="s">
        <v>104</v>
      </c>
      <c r="D45" s="1" t="n">
        <v>293</v>
      </c>
      <c r="E45" s="1" t="n">
        <v>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1" t="n">
        <v>-8</v>
      </c>
      <c r="O45" s="1" t="n">
        <v>6.60745</v>
      </c>
    </row>
    <row r="46" customFormat="false" ht="15.75" hidden="true" customHeight="false" outlineLevel="0" collapsed="false">
      <c r="A46" s="4" t="n">
        <v>45527</v>
      </c>
      <c r="B46" s="1" t="s">
        <v>95</v>
      </c>
      <c r="C46" s="1" t="s">
        <v>104</v>
      </c>
      <c r="D46" s="1" t="n">
        <v>494</v>
      </c>
      <c r="E46" s="1" t="n">
        <v>124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1" t="n">
        <v>-11</v>
      </c>
      <c r="O46" s="1" t="n">
        <v>7.92541666666667</v>
      </c>
    </row>
    <row r="47" customFormat="false" ht="15.75" hidden="true" customHeight="false" outlineLevel="0" collapsed="false">
      <c r="A47" s="4" t="n">
        <v>45527</v>
      </c>
      <c r="B47" s="1" t="s">
        <v>95</v>
      </c>
      <c r="C47" s="1" t="s">
        <v>104</v>
      </c>
      <c r="D47" s="1" t="n">
        <v>199</v>
      </c>
      <c r="E47" s="1" t="n">
        <v>50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1" t="n">
        <v>-10</v>
      </c>
      <c r="O47" s="1" t="n">
        <v>41.05805</v>
      </c>
    </row>
    <row r="48" customFormat="false" ht="15.75" hidden="true" customHeight="false" outlineLevel="0" collapsed="false">
      <c r="A48" s="4" t="n">
        <v>45527</v>
      </c>
      <c r="B48" s="1" t="s">
        <v>95</v>
      </c>
      <c r="C48" s="1" t="s">
        <v>104</v>
      </c>
      <c r="D48" s="1" t="n">
        <v>339</v>
      </c>
      <c r="E48" s="1" t="n">
        <v>75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1" t="n">
        <v>-10</v>
      </c>
      <c r="O48" s="1" t="n">
        <v>8.02555</v>
      </c>
    </row>
    <row r="49" customFormat="false" ht="15.75" hidden="true" customHeight="false" outlineLevel="0" collapsed="false">
      <c r="A49" s="4" t="n">
        <v>45527</v>
      </c>
      <c r="B49" s="1" t="s">
        <v>95</v>
      </c>
      <c r="C49" s="1" t="s">
        <v>89</v>
      </c>
      <c r="D49" s="1" t="n">
        <v>309</v>
      </c>
      <c r="E49" s="1" t="n">
        <v>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1" t="n">
        <v>-15</v>
      </c>
      <c r="N49" s="1" t="n">
        <v>0.0151</v>
      </c>
      <c r="O49" s="1" t="n">
        <v>8.41365</v>
      </c>
    </row>
    <row r="50" customFormat="false" ht="15.75" hidden="true" customHeight="false" outlineLevel="0" collapsed="false">
      <c r="A50" s="4" t="n">
        <v>45527</v>
      </c>
      <c r="B50" s="1" t="s">
        <v>103</v>
      </c>
      <c r="C50" s="1" t="s">
        <v>104</v>
      </c>
      <c r="D50" s="1" t="n">
        <v>394</v>
      </c>
      <c r="E50" s="1" t="n">
        <v>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1" t="n">
        <v>0</v>
      </c>
      <c r="O50" s="1" t="n">
        <v>7.80411666666667</v>
      </c>
    </row>
    <row r="51" customFormat="false" ht="15.75" hidden="true" customHeight="false" outlineLevel="0" collapsed="false">
      <c r="A51" s="4" t="n">
        <v>45527</v>
      </c>
      <c r="B51" s="1" t="s">
        <v>88</v>
      </c>
      <c r="C51" s="1" t="s">
        <v>89</v>
      </c>
      <c r="D51" s="1" t="n">
        <v>441</v>
      </c>
      <c r="E51" s="1" t="n">
        <v>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1" t="n">
        <v>-9</v>
      </c>
      <c r="O51" s="1" t="n">
        <v>5.5026</v>
      </c>
    </row>
    <row r="52" customFormat="false" ht="15.75" hidden="true" customHeight="false" outlineLevel="0" collapsed="false">
      <c r="A52" s="4" t="n">
        <v>45527</v>
      </c>
      <c r="B52" s="1" t="s">
        <v>88</v>
      </c>
      <c r="C52" s="1" t="s">
        <v>89</v>
      </c>
      <c r="D52" s="1" t="n">
        <v>264</v>
      </c>
      <c r="E52" s="1" t="n">
        <v>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1" t="n">
        <v>-10</v>
      </c>
      <c r="O52" s="1" t="n">
        <v>4.78273333333333</v>
      </c>
    </row>
    <row r="53" customFormat="false" ht="15.75" hidden="true" customHeight="false" outlineLevel="0" collapsed="false">
      <c r="A53" s="4" t="n">
        <v>45527</v>
      </c>
      <c r="B53" s="1" t="s">
        <v>228</v>
      </c>
      <c r="C53" s="1" t="s">
        <v>104</v>
      </c>
      <c r="D53" s="1" t="n">
        <v>238</v>
      </c>
      <c r="E53" s="1" t="n">
        <v>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1" t="n">
        <v>1</v>
      </c>
      <c r="O53" s="1" t="n">
        <v>6.63261666666667</v>
      </c>
    </row>
    <row r="54" customFormat="false" ht="15.75" hidden="true" customHeight="false" outlineLevel="0" collapsed="false">
      <c r="A54" s="4" t="n">
        <v>45527</v>
      </c>
      <c r="B54" s="1" t="s">
        <v>103</v>
      </c>
      <c r="C54" s="1" t="s">
        <v>104</v>
      </c>
      <c r="D54" s="1" t="n">
        <v>987</v>
      </c>
      <c r="E54" s="1" t="n">
        <v>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1" t="n">
        <v>-3</v>
      </c>
      <c r="O54" s="1" t="n">
        <v>8.45936666666667</v>
      </c>
    </row>
    <row r="55" customFormat="false" ht="15.75" hidden="true" customHeight="false" outlineLevel="0" collapsed="false">
      <c r="A55" s="4" t="n">
        <v>45527</v>
      </c>
      <c r="B55" s="1" t="s">
        <v>95</v>
      </c>
      <c r="C55" s="1" t="s">
        <v>104</v>
      </c>
      <c r="D55" s="1" t="n">
        <v>326</v>
      </c>
      <c r="E55" s="1" t="n">
        <v>62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1" t="n">
        <v>-9</v>
      </c>
      <c r="O55" s="1" t="n">
        <v>10.2155666666667</v>
      </c>
    </row>
    <row r="56" customFormat="false" ht="15.75" hidden="true" customHeight="false" outlineLevel="0" collapsed="false">
      <c r="A56" s="4" t="n">
        <v>45527</v>
      </c>
      <c r="B56" s="1" t="s">
        <v>103</v>
      </c>
      <c r="C56" s="1" t="s">
        <v>104</v>
      </c>
      <c r="D56" s="1" t="n">
        <v>394</v>
      </c>
      <c r="E56" s="1" t="n">
        <v>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1" t="n">
        <v>4</v>
      </c>
      <c r="O56" s="1" t="n">
        <v>12.0643833333333</v>
      </c>
    </row>
    <row r="57" customFormat="false" ht="15.75" hidden="true" customHeight="false" outlineLevel="0" collapsed="false">
      <c r="A57" s="4" t="n">
        <v>45527</v>
      </c>
      <c r="B57" s="1" t="s">
        <v>103</v>
      </c>
      <c r="C57" s="1" t="s">
        <v>104</v>
      </c>
      <c r="D57" s="1" t="n">
        <v>404</v>
      </c>
      <c r="E57" s="1" t="n">
        <v>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1" t="n">
        <v>0</v>
      </c>
      <c r="O57" s="1" t="n">
        <v>7.85688333333333</v>
      </c>
    </row>
    <row r="58" customFormat="false" ht="15.75" hidden="true" customHeight="false" outlineLevel="0" collapsed="false">
      <c r="A58" s="4" t="n">
        <v>45527</v>
      </c>
      <c r="B58" s="1" t="s">
        <v>103</v>
      </c>
      <c r="C58" s="1" t="s">
        <v>104</v>
      </c>
      <c r="D58" s="1" t="n">
        <v>394</v>
      </c>
      <c r="E58" s="1" t="n">
        <v>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1" t="n">
        <v>-3</v>
      </c>
      <c r="O58" s="1" t="n">
        <v>4.83661666666667</v>
      </c>
    </row>
    <row r="59" customFormat="false" ht="15.75" hidden="true" customHeight="false" outlineLevel="0" collapsed="false">
      <c r="A59" s="4" t="n">
        <v>45527</v>
      </c>
      <c r="B59" s="1" t="s">
        <v>95</v>
      </c>
      <c r="C59" s="1" t="s">
        <v>104</v>
      </c>
      <c r="D59" s="1" t="n">
        <v>424</v>
      </c>
      <c r="E59" s="1" t="n">
        <v>104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1" t="n">
        <v>-8</v>
      </c>
      <c r="O59" s="1" t="n">
        <v>9.70341666666667</v>
      </c>
    </row>
    <row r="60" customFormat="false" ht="15.75" hidden="true" customHeight="false" outlineLevel="0" collapsed="false">
      <c r="A60" s="4" t="n">
        <v>45527</v>
      </c>
      <c r="B60" s="1" t="s">
        <v>95</v>
      </c>
      <c r="C60" s="1" t="s">
        <v>89</v>
      </c>
      <c r="D60" s="1" t="n">
        <v>531</v>
      </c>
      <c r="E60" s="1" t="n">
        <v>24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1" t="n">
        <v>0</v>
      </c>
      <c r="N60" s="1" t="n">
        <v>2.65468333333333</v>
      </c>
      <c r="O60" s="1" t="n">
        <v>22.69085</v>
      </c>
    </row>
    <row r="61" customFormat="false" ht="15.75" hidden="true" customHeight="false" outlineLevel="0" collapsed="false">
      <c r="A61" s="4" t="n">
        <v>45527</v>
      </c>
      <c r="B61" s="1" t="s">
        <v>103</v>
      </c>
      <c r="C61" s="1" t="s">
        <v>104</v>
      </c>
      <c r="D61" s="1" t="n">
        <v>264</v>
      </c>
      <c r="E61" s="1" t="n">
        <v>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1" t="n">
        <v>1</v>
      </c>
      <c r="O61" s="1" t="n">
        <v>8.45726666666667</v>
      </c>
    </row>
    <row r="62" customFormat="false" ht="15.75" hidden="true" customHeight="false" outlineLevel="0" collapsed="false">
      <c r="A62" s="4" t="n">
        <v>45527</v>
      </c>
      <c r="B62" s="1" t="s">
        <v>95</v>
      </c>
      <c r="C62" s="1" t="s">
        <v>89</v>
      </c>
      <c r="D62" s="1" t="n">
        <v>358</v>
      </c>
      <c r="E62" s="1" t="n">
        <v>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1" t="n">
        <v>-3</v>
      </c>
      <c r="N62" s="1" t="n">
        <v>0.0103833333333333</v>
      </c>
      <c r="O62" s="1" t="n">
        <v>8.43988333333333</v>
      </c>
    </row>
    <row r="63" customFormat="false" ht="15.75" hidden="true" customHeight="false" outlineLevel="0" collapsed="false">
      <c r="A63" s="4" t="n">
        <v>45527</v>
      </c>
      <c r="B63" s="1" t="s">
        <v>95</v>
      </c>
      <c r="C63" s="1" t="s">
        <v>89</v>
      </c>
      <c r="D63" s="1" t="n">
        <v>967</v>
      </c>
      <c r="E63" s="1" t="n">
        <v>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1" t="n">
        <v>-2</v>
      </c>
      <c r="N63" s="1" t="n">
        <v>0.00953333333333333</v>
      </c>
      <c r="O63" s="1" t="n">
        <v>9.74746666666667</v>
      </c>
    </row>
    <row r="64" customFormat="false" ht="15.75" hidden="true" customHeight="false" outlineLevel="0" collapsed="false">
      <c r="A64" s="4" t="n">
        <v>45527</v>
      </c>
      <c r="B64" s="1" t="s">
        <v>95</v>
      </c>
      <c r="C64" s="1" t="s">
        <v>104</v>
      </c>
      <c r="D64" s="1" t="n">
        <v>372</v>
      </c>
      <c r="E64" s="1" t="n">
        <v>116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1" t="n">
        <v>-11</v>
      </c>
      <c r="O64" s="1" t="n">
        <v>7.68075</v>
      </c>
    </row>
    <row r="65" customFormat="false" ht="15.75" hidden="true" customHeight="false" outlineLevel="0" collapsed="false">
      <c r="A65" s="4" t="n">
        <v>45527</v>
      </c>
      <c r="B65" s="1" t="s">
        <v>103</v>
      </c>
      <c r="C65" s="1" t="s">
        <v>104</v>
      </c>
      <c r="D65" s="1" t="n">
        <v>378</v>
      </c>
      <c r="E65" s="1" t="n">
        <v>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1" t="n">
        <v>0</v>
      </c>
      <c r="O65" s="1" t="n">
        <v>6.84243333333333</v>
      </c>
    </row>
    <row r="66" customFormat="false" ht="15.75" hidden="true" customHeight="false" outlineLevel="0" collapsed="false">
      <c r="A66" s="4" t="n">
        <v>45527</v>
      </c>
      <c r="B66" s="1" t="s">
        <v>95</v>
      </c>
      <c r="C66" s="1" t="s">
        <v>89</v>
      </c>
      <c r="D66" s="1" t="n">
        <v>456</v>
      </c>
      <c r="E66" s="1" t="n">
        <v>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1" t="n">
        <v>0</v>
      </c>
      <c r="N66" s="1" t="n">
        <v>0.00993333333333333</v>
      </c>
      <c r="O66" s="1" t="n">
        <v>6.11981666666667</v>
      </c>
    </row>
    <row r="67" customFormat="false" ht="15.75" hidden="true" customHeight="false" outlineLevel="0" collapsed="false">
      <c r="A67" s="4" t="n">
        <v>45527</v>
      </c>
      <c r="B67" s="1" t="s">
        <v>228</v>
      </c>
      <c r="C67" s="1" t="s">
        <v>104</v>
      </c>
      <c r="D67" s="1" t="n">
        <v>309</v>
      </c>
      <c r="E67" s="1" t="n">
        <v>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1" t="n">
        <v>1</v>
      </c>
      <c r="O67" s="1" t="n">
        <v>6.57285</v>
      </c>
    </row>
    <row r="68" customFormat="false" ht="15.75" hidden="true" customHeight="false" outlineLevel="0" collapsed="false">
      <c r="A68" s="4" t="n">
        <v>45527</v>
      </c>
      <c r="B68" s="1" t="s">
        <v>107</v>
      </c>
      <c r="C68" s="1" t="s">
        <v>104</v>
      </c>
      <c r="D68" s="1" t="n">
        <v>329</v>
      </c>
      <c r="E68" s="1" t="n">
        <v>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1" t="n">
        <v>-10</v>
      </c>
      <c r="O68" s="1" t="n">
        <v>4.7494</v>
      </c>
    </row>
    <row r="69" customFormat="false" ht="15.75" hidden="true" customHeight="false" outlineLevel="0" collapsed="false">
      <c r="A69" s="4" t="n">
        <v>45527</v>
      </c>
      <c r="B69" s="1" t="s">
        <v>88</v>
      </c>
      <c r="C69" s="1" t="s">
        <v>89</v>
      </c>
      <c r="D69" s="1" t="n">
        <v>658</v>
      </c>
      <c r="E69" s="1" t="n">
        <v>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1" t="n">
        <v>-9</v>
      </c>
      <c r="O69" s="1" t="n">
        <v>10.7833333333333</v>
      </c>
    </row>
    <row r="70" customFormat="false" ht="15.75" hidden="true" customHeight="false" outlineLevel="0" collapsed="false">
      <c r="A70" s="4" t="n">
        <v>45527</v>
      </c>
      <c r="B70" s="1" t="s">
        <v>228</v>
      </c>
      <c r="C70" s="1" t="s">
        <v>104</v>
      </c>
      <c r="D70" s="1" t="n">
        <v>617</v>
      </c>
      <c r="E70" s="1" t="n">
        <v>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1" t="n">
        <v>-2</v>
      </c>
      <c r="O70" s="1" t="n">
        <v>7.47303333333333</v>
      </c>
    </row>
    <row r="71" customFormat="false" ht="15.75" hidden="true" customHeight="false" outlineLevel="0" collapsed="false">
      <c r="A71" s="4" t="n">
        <v>45527</v>
      </c>
      <c r="B71" s="1" t="s">
        <v>103</v>
      </c>
      <c r="C71" s="1" t="s">
        <v>104</v>
      </c>
      <c r="D71" s="1" t="n">
        <v>348</v>
      </c>
      <c r="E71" s="1" t="n">
        <v>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1" t="n">
        <v>-1</v>
      </c>
      <c r="O71" s="1" t="n">
        <v>5.21585</v>
      </c>
    </row>
    <row r="72" customFormat="false" ht="15.75" hidden="true" customHeight="false" outlineLevel="0" collapsed="false">
      <c r="A72" s="4" t="n">
        <v>45527</v>
      </c>
      <c r="B72" s="1" t="s">
        <v>88</v>
      </c>
      <c r="C72" s="1" t="s">
        <v>89</v>
      </c>
      <c r="D72" s="1" t="n">
        <v>528</v>
      </c>
      <c r="E72" s="1" t="n">
        <v>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1" t="n">
        <v>-7</v>
      </c>
      <c r="O72" s="1" t="n">
        <v>12.8625333333333</v>
      </c>
    </row>
    <row r="73" customFormat="false" ht="15.75" hidden="true" customHeight="false" outlineLevel="0" collapsed="false">
      <c r="A73" s="4" t="n">
        <v>45527</v>
      </c>
      <c r="B73" s="1" t="s">
        <v>95</v>
      </c>
      <c r="C73" s="1" t="s">
        <v>89</v>
      </c>
      <c r="D73" s="1" t="n">
        <v>498</v>
      </c>
      <c r="E73" s="1" t="n">
        <v>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1" t="n">
        <v>-12</v>
      </c>
      <c r="N73" s="1" t="n">
        <v>0.0109166666666667</v>
      </c>
      <c r="O73" s="1" t="n">
        <v>10.3343666666667</v>
      </c>
    </row>
    <row r="74" customFormat="false" ht="15.75" hidden="true" customHeight="false" outlineLevel="0" collapsed="false">
      <c r="A74" s="4" t="n">
        <v>45527</v>
      </c>
      <c r="B74" s="1" t="s">
        <v>107</v>
      </c>
      <c r="C74" s="1" t="s">
        <v>104</v>
      </c>
      <c r="D74" s="1" t="n">
        <v>657</v>
      </c>
      <c r="E74" s="1" t="n">
        <v>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1" t="n">
        <v>-6</v>
      </c>
      <c r="O74" s="1" t="n">
        <v>13.9373166666667</v>
      </c>
    </row>
    <row r="75" customFormat="false" ht="15.75" hidden="true" customHeight="false" outlineLevel="0" collapsed="false">
      <c r="A75" s="4" t="n">
        <v>45527</v>
      </c>
      <c r="B75" s="1" t="s">
        <v>95</v>
      </c>
      <c r="C75" s="1" t="s">
        <v>104</v>
      </c>
      <c r="D75" s="1" t="n">
        <v>247</v>
      </c>
      <c r="E75" s="1" t="n">
        <v>62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1" t="n">
        <v>-11</v>
      </c>
      <c r="O75" s="1" t="n">
        <v>7.9866</v>
      </c>
    </row>
    <row r="76" customFormat="false" ht="15.75" hidden="true" customHeight="false" outlineLevel="0" collapsed="false">
      <c r="A76" s="4" t="n">
        <v>45527</v>
      </c>
      <c r="B76" s="1" t="s">
        <v>107</v>
      </c>
      <c r="C76" s="1" t="s">
        <v>104</v>
      </c>
      <c r="D76" s="1" t="n">
        <v>788</v>
      </c>
      <c r="E76" s="1" t="n">
        <v>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1" t="n">
        <v>-8</v>
      </c>
      <c r="O76" s="1" t="n">
        <v>11.4228666666667</v>
      </c>
    </row>
    <row r="77" customFormat="false" ht="15.75" hidden="true" customHeight="false" outlineLevel="0" collapsed="false">
      <c r="A77" s="4" t="n">
        <v>45527</v>
      </c>
      <c r="B77" s="1" t="s">
        <v>88</v>
      </c>
      <c r="C77" s="1" t="s">
        <v>89</v>
      </c>
      <c r="D77" s="1" t="n">
        <v>289</v>
      </c>
      <c r="E77" s="1" t="n">
        <v>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1" t="n">
        <v>-6</v>
      </c>
      <c r="O77" s="1" t="n">
        <v>8.49986666666667</v>
      </c>
    </row>
    <row r="78" customFormat="false" ht="15.75" hidden="true" customHeight="false" outlineLevel="0" collapsed="false">
      <c r="A78" s="4" t="n">
        <v>45527</v>
      </c>
      <c r="B78" s="1" t="s">
        <v>103</v>
      </c>
      <c r="C78" s="1" t="s">
        <v>104</v>
      </c>
      <c r="D78" s="1" t="n">
        <v>311</v>
      </c>
      <c r="E78" s="1" t="n">
        <v>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1" t="n">
        <v>-2</v>
      </c>
      <c r="O78" s="1" t="n">
        <v>5.75193333333333</v>
      </c>
    </row>
    <row r="79" customFormat="false" ht="15.75" hidden="true" customHeight="false" outlineLevel="0" collapsed="false">
      <c r="A79" s="4" t="n">
        <v>45527</v>
      </c>
      <c r="B79" s="1" t="s">
        <v>103</v>
      </c>
      <c r="C79" s="1" t="s">
        <v>104</v>
      </c>
      <c r="D79" s="1" t="n">
        <v>342</v>
      </c>
      <c r="E79" s="1" t="n">
        <v>100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1" t="n">
        <v>-3</v>
      </c>
      <c r="O79" s="1" t="n">
        <v>5.48081666666667</v>
      </c>
    </row>
    <row r="80" customFormat="false" ht="15.75" hidden="true" customHeight="false" outlineLevel="0" collapsed="false">
      <c r="A80" s="4" t="n">
        <v>45527</v>
      </c>
      <c r="B80" s="1" t="s">
        <v>103</v>
      </c>
      <c r="C80" s="1" t="s">
        <v>104</v>
      </c>
      <c r="D80" s="1" t="n">
        <v>239</v>
      </c>
      <c r="E80" s="1" t="n">
        <v>50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1" t="n">
        <v>-1</v>
      </c>
      <c r="O80" s="1" t="n">
        <v>5.46821666666667</v>
      </c>
    </row>
    <row r="81" customFormat="false" ht="15.75" hidden="true" customHeight="false" outlineLevel="0" collapsed="false">
      <c r="A81" s="4" t="n">
        <v>45527</v>
      </c>
      <c r="B81" s="1" t="s">
        <v>95</v>
      </c>
      <c r="C81" s="1" t="s">
        <v>104</v>
      </c>
      <c r="D81" s="1" t="n">
        <v>298</v>
      </c>
      <c r="E81" s="1" t="n">
        <v>50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1" t="n">
        <v>-8</v>
      </c>
      <c r="O81" s="1" t="n">
        <v>10.95335</v>
      </c>
    </row>
    <row r="82" customFormat="false" ht="15.75" hidden="true" customHeight="false" outlineLevel="0" collapsed="false">
      <c r="A82" s="4" t="n">
        <v>45527</v>
      </c>
      <c r="B82" s="1" t="s">
        <v>103</v>
      </c>
      <c r="C82" s="1" t="s">
        <v>104</v>
      </c>
      <c r="D82" s="1" t="n">
        <v>394</v>
      </c>
      <c r="E82" s="1" t="n">
        <v>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1" t="n">
        <v>2</v>
      </c>
      <c r="O82" s="1" t="n">
        <v>9.07216666666667</v>
      </c>
    </row>
    <row r="83" customFormat="false" ht="15.75" hidden="true" customHeight="false" outlineLevel="0" collapsed="false">
      <c r="A83" s="4" t="n">
        <v>45527</v>
      </c>
      <c r="B83" s="1" t="s">
        <v>107</v>
      </c>
      <c r="C83" s="1" t="s">
        <v>104</v>
      </c>
      <c r="D83" s="1" t="n">
        <v>548</v>
      </c>
      <c r="E83" s="1" t="n">
        <v>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1" t="n">
        <v>-12</v>
      </c>
      <c r="O83" s="1" t="n">
        <v>7.84086666666667</v>
      </c>
    </row>
    <row r="84" customFormat="false" ht="15.75" hidden="true" customHeight="false" outlineLevel="0" collapsed="false">
      <c r="A84" s="4" t="n">
        <v>45527</v>
      </c>
      <c r="B84" s="1" t="s">
        <v>95</v>
      </c>
      <c r="C84" s="1" t="s">
        <v>104</v>
      </c>
      <c r="D84" s="1" t="n">
        <v>554</v>
      </c>
      <c r="E84" s="1" t="n">
        <v>124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1" t="n">
        <v>-6</v>
      </c>
      <c r="O84" s="1" t="n">
        <v>24.3349666666667</v>
      </c>
    </row>
    <row r="85" customFormat="false" ht="15.75" hidden="true" customHeight="false" outlineLevel="0" collapsed="false">
      <c r="A85" s="4" t="n">
        <v>45527</v>
      </c>
      <c r="B85" s="1" t="s">
        <v>88</v>
      </c>
      <c r="C85" s="1" t="s">
        <v>89</v>
      </c>
      <c r="D85" s="1" t="n">
        <v>169</v>
      </c>
      <c r="E85" s="1" t="n">
        <v>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1" t="n">
        <v>-9</v>
      </c>
      <c r="O85" s="1" t="n">
        <v>5.3007</v>
      </c>
    </row>
    <row r="86" customFormat="false" ht="15.75" hidden="true" customHeight="false" outlineLevel="0" collapsed="false">
      <c r="A86" s="4" t="n">
        <v>45527</v>
      </c>
      <c r="B86" s="1" t="s">
        <v>103</v>
      </c>
      <c r="C86" s="1" t="s">
        <v>104</v>
      </c>
      <c r="D86" s="1" t="n">
        <v>602</v>
      </c>
      <c r="E86" s="1" t="n">
        <v>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1" t="n">
        <v>-1</v>
      </c>
      <c r="O86" s="1" t="n">
        <v>7.4276</v>
      </c>
    </row>
    <row r="87" customFormat="false" ht="15.75" hidden="true" customHeight="false" outlineLevel="0" collapsed="false">
      <c r="A87" s="4" t="n">
        <v>45527</v>
      </c>
      <c r="B87" s="1" t="s">
        <v>95</v>
      </c>
      <c r="C87" s="1" t="s">
        <v>89</v>
      </c>
      <c r="D87" s="1" t="n">
        <v>620</v>
      </c>
      <c r="E87" s="1" t="n">
        <v>92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1" t="n">
        <v>-19</v>
      </c>
      <c r="N87" s="1" t="n">
        <v>0.0136833333333333</v>
      </c>
      <c r="O87" s="1" t="n">
        <v>7.1668</v>
      </c>
    </row>
    <row r="88" customFormat="false" ht="15.75" hidden="true" customHeight="false" outlineLevel="0" collapsed="false">
      <c r="A88" s="4" t="n">
        <v>45527</v>
      </c>
      <c r="B88" s="1" t="s">
        <v>95</v>
      </c>
      <c r="C88" s="1" t="s">
        <v>104</v>
      </c>
      <c r="D88" s="1" t="n">
        <v>563</v>
      </c>
      <c r="E88" s="1" t="n">
        <v>111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1" t="n">
        <v>-9</v>
      </c>
      <c r="O88" s="1" t="n">
        <v>14.5240833333333</v>
      </c>
    </row>
    <row r="89" customFormat="false" ht="15.75" hidden="true" customHeight="false" outlineLevel="0" collapsed="false">
      <c r="A89" s="4" t="n">
        <v>45527</v>
      </c>
      <c r="B89" s="1" t="s">
        <v>103</v>
      </c>
      <c r="C89" s="1" t="s">
        <v>104</v>
      </c>
      <c r="D89" s="1" t="n">
        <v>264</v>
      </c>
      <c r="E89" s="1" t="n">
        <v>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1" t="n">
        <v>1</v>
      </c>
      <c r="O89" s="1" t="n">
        <v>7.22258333333333</v>
      </c>
    </row>
    <row r="90" customFormat="false" ht="15.75" hidden="true" customHeight="false" outlineLevel="0" collapsed="false">
      <c r="A90" s="4" t="n">
        <v>45527</v>
      </c>
      <c r="B90" s="1" t="s">
        <v>88</v>
      </c>
      <c r="C90" s="1" t="s">
        <v>89</v>
      </c>
      <c r="D90" s="1" t="n">
        <v>264</v>
      </c>
      <c r="E90" s="1" t="n">
        <v>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1" t="n">
        <v>-9</v>
      </c>
      <c r="O90" s="1" t="n">
        <v>5.1853</v>
      </c>
    </row>
    <row r="91" customFormat="false" ht="15.75" hidden="true" customHeight="false" outlineLevel="0" collapsed="false">
      <c r="A91" s="4" t="n">
        <v>45527</v>
      </c>
      <c r="B91" s="1" t="s">
        <v>95</v>
      </c>
      <c r="C91" s="1" t="s">
        <v>104</v>
      </c>
      <c r="D91" s="1" t="n">
        <v>333</v>
      </c>
      <c r="E91" s="1" t="n">
        <v>50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1" t="n">
        <v>-12</v>
      </c>
      <c r="O91" s="1" t="n">
        <v>6.894</v>
      </c>
    </row>
    <row r="92" customFormat="false" ht="15.75" hidden="true" customHeight="false" outlineLevel="0" collapsed="false">
      <c r="A92" s="4" t="n">
        <v>45527</v>
      </c>
      <c r="B92" s="1" t="s">
        <v>103</v>
      </c>
      <c r="C92" s="1" t="s">
        <v>104</v>
      </c>
      <c r="D92" s="1" t="n">
        <v>449</v>
      </c>
      <c r="E92" s="1" t="n">
        <v>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1" t="n">
        <v>0</v>
      </c>
      <c r="O92" s="1" t="n">
        <v>7.83181666666667</v>
      </c>
    </row>
    <row r="93" customFormat="false" ht="15.75" hidden="true" customHeight="false" outlineLevel="0" collapsed="false">
      <c r="A93" s="4" t="n">
        <v>45527</v>
      </c>
      <c r="B93" s="1" t="s">
        <v>103</v>
      </c>
      <c r="C93" s="1" t="s">
        <v>104</v>
      </c>
      <c r="D93" s="1" t="n">
        <v>258</v>
      </c>
      <c r="E93" s="1" t="n">
        <v>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1" t="n">
        <v>0</v>
      </c>
      <c r="O93" s="1" t="n">
        <v>6.5733</v>
      </c>
    </row>
    <row r="94" customFormat="false" ht="15.75" hidden="true" customHeight="false" outlineLevel="0" collapsed="false">
      <c r="A94" s="4" t="n">
        <v>45527</v>
      </c>
      <c r="B94" s="1" t="s">
        <v>88</v>
      </c>
      <c r="C94" s="1" t="s">
        <v>89</v>
      </c>
      <c r="D94" s="1" t="n">
        <v>522</v>
      </c>
      <c r="E94" s="1" t="n">
        <v>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1" t="n">
        <v>-13</v>
      </c>
      <c r="O94" s="1" t="n">
        <v>6.7959</v>
      </c>
    </row>
    <row r="95" customFormat="false" ht="15.75" hidden="true" customHeight="false" outlineLevel="0" collapsed="false">
      <c r="A95" s="4" t="n">
        <v>45527</v>
      </c>
      <c r="B95" s="1" t="s">
        <v>95</v>
      </c>
      <c r="C95" s="1" t="s">
        <v>89</v>
      </c>
      <c r="D95" s="1" t="n">
        <v>318</v>
      </c>
      <c r="E95" s="1" t="n">
        <v>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1" t="n">
        <v>-11</v>
      </c>
      <c r="N95" s="1" t="n">
        <v>0.0164833333333333</v>
      </c>
      <c r="O95" s="1" t="n">
        <v>7.97578333333333</v>
      </c>
    </row>
    <row r="96" customFormat="false" ht="15.75" hidden="true" customHeight="false" outlineLevel="0" collapsed="false">
      <c r="A96" s="4" t="n">
        <v>45527</v>
      </c>
      <c r="B96" s="1" t="s">
        <v>95</v>
      </c>
      <c r="C96" s="1" t="s">
        <v>104</v>
      </c>
      <c r="D96" s="1" t="n">
        <v>494</v>
      </c>
      <c r="E96" s="1" t="n">
        <v>124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1" t="n">
        <v>-14</v>
      </c>
      <c r="O96" s="1" t="n">
        <v>20.0415</v>
      </c>
    </row>
    <row r="97" customFormat="false" ht="15.75" hidden="true" customHeight="false" outlineLevel="0" collapsed="false">
      <c r="A97" s="4" t="n">
        <v>45527</v>
      </c>
      <c r="B97" s="1" t="s">
        <v>107</v>
      </c>
      <c r="C97" s="1" t="s">
        <v>104</v>
      </c>
      <c r="D97" s="1" t="n">
        <v>723</v>
      </c>
      <c r="E97" s="1" t="n">
        <v>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1" t="n">
        <v>-10</v>
      </c>
      <c r="O97" s="1" t="n">
        <v>9.72698333333333</v>
      </c>
    </row>
    <row r="98" customFormat="false" ht="15.75" hidden="true" customHeight="false" outlineLevel="0" collapsed="false">
      <c r="A98" s="4" t="n">
        <v>45527</v>
      </c>
      <c r="B98" s="1" t="s">
        <v>88</v>
      </c>
      <c r="C98" s="1" t="s">
        <v>89</v>
      </c>
      <c r="D98" s="1" t="n">
        <v>602</v>
      </c>
      <c r="E98" s="1" t="n">
        <v>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1" t="n">
        <v>-11</v>
      </c>
      <c r="O98" s="1" t="n">
        <v>8.46075</v>
      </c>
    </row>
    <row r="99" customFormat="false" ht="15.75" hidden="true" customHeight="false" outlineLevel="0" collapsed="false">
      <c r="A99" s="4" t="n">
        <v>45527</v>
      </c>
      <c r="B99" s="1" t="s">
        <v>88</v>
      </c>
      <c r="C99" s="1" t="s">
        <v>89</v>
      </c>
      <c r="D99" s="1" t="n">
        <v>474</v>
      </c>
      <c r="E99" s="1" t="n">
        <v>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1" t="n">
        <v>-8</v>
      </c>
      <c r="O99" s="1" t="n">
        <v>6.64646666666667</v>
      </c>
    </row>
    <row r="100" customFormat="false" ht="15.75" hidden="true" customHeight="false" outlineLevel="0" collapsed="false">
      <c r="A100" s="4" t="n">
        <v>45527</v>
      </c>
      <c r="B100" s="1" t="s">
        <v>107</v>
      </c>
      <c r="C100" s="1" t="s">
        <v>104</v>
      </c>
      <c r="D100" s="1" t="n">
        <v>329</v>
      </c>
      <c r="E100" s="1" t="n">
        <v>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1" t="n">
        <v>-6</v>
      </c>
      <c r="O100" s="1" t="n">
        <v>8.86913333333333</v>
      </c>
    </row>
    <row r="101" customFormat="false" ht="15.75" hidden="true" customHeight="false" outlineLevel="0" collapsed="false">
      <c r="A101" s="4" t="n">
        <v>45527</v>
      </c>
      <c r="B101" s="1" t="s">
        <v>103</v>
      </c>
      <c r="C101" s="1" t="s">
        <v>104</v>
      </c>
      <c r="D101" s="1" t="n">
        <v>487</v>
      </c>
      <c r="E101" s="1" t="n">
        <v>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1" t="n">
        <v>-1</v>
      </c>
      <c r="O101" s="1" t="n">
        <v>6.61758333333333</v>
      </c>
    </row>
    <row r="102" customFormat="false" ht="15.75" hidden="true" customHeight="false" outlineLevel="0" collapsed="false">
      <c r="A102" s="4" t="n">
        <v>45527</v>
      </c>
      <c r="B102" s="1" t="s">
        <v>88</v>
      </c>
      <c r="C102" s="1" t="s">
        <v>89</v>
      </c>
      <c r="D102" s="1" t="n">
        <v>633</v>
      </c>
      <c r="E102" s="1" t="n">
        <v>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1" t="n">
        <v>-12</v>
      </c>
      <c r="O102" s="1" t="n">
        <v>7.98108333333333</v>
      </c>
    </row>
    <row r="103" customFormat="false" ht="15.75" hidden="true" customHeight="false" outlineLevel="0" collapsed="false">
      <c r="A103" s="4" t="n">
        <v>45527</v>
      </c>
      <c r="B103" s="1" t="s">
        <v>107</v>
      </c>
      <c r="C103" s="1" t="s">
        <v>104</v>
      </c>
      <c r="D103" s="1" t="n">
        <v>329</v>
      </c>
      <c r="E103" s="1" t="n">
        <v>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1" t="n">
        <v>-7</v>
      </c>
      <c r="O103" s="1" t="n">
        <v>7.94838333333333</v>
      </c>
    </row>
    <row r="104" customFormat="false" ht="15.75" hidden="true" customHeight="false" outlineLevel="0" collapsed="false">
      <c r="A104" s="4" t="n">
        <v>45527</v>
      </c>
      <c r="B104" s="1" t="s">
        <v>103</v>
      </c>
      <c r="C104" s="1" t="s">
        <v>104</v>
      </c>
      <c r="D104" s="1" t="n">
        <v>394</v>
      </c>
      <c r="E104" s="1" t="n">
        <v>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1" t="n">
        <v>0</v>
      </c>
      <c r="O104" s="1" t="n">
        <v>8.31215</v>
      </c>
    </row>
    <row r="105" customFormat="false" ht="15.75" hidden="true" customHeight="false" outlineLevel="0" collapsed="false">
      <c r="A105" s="4" t="n">
        <v>45527</v>
      </c>
      <c r="B105" s="1" t="s">
        <v>107</v>
      </c>
      <c r="C105" s="1" t="s">
        <v>104</v>
      </c>
      <c r="D105" s="1" t="n">
        <v>817</v>
      </c>
      <c r="E105" s="1" t="n">
        <v>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1" t="n">
        <v>-9</v>
      </c>
      <c r="O105" s="1" t="n">
        <v>10.6882333333333</v>
      </c>
    </row>
    <row r="106" customFormat="false" ht="15.75" hidden="true" customHeight="false" outlineLevel="0" collapsed="false">
      <c r="A106" s="4" t="n">
        <v>45527</v>
      </c>
      <c r="B106" s="1" t="s">
        <v>88</v>
      </c>
      <c r="C106" s="1" t="s">
        <v>89</v>
      </c>
      <c r="D106" s="1" t="n">
        <v>264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1" t="n">
        <v>-2</v>
      </c>
      <c r="O106" s="1" t="n">
        <v>12.4532333333333</v>
      </c>
    </row>
    <row r="107" customFormat="false" ht="15.75" hidden="true" customHeight="false" outlineLevel="0" collapsed="false">
      <c r="A107" s="4" t="n">
        <v>45527</v>
      </c>
      <c r="B107" s="1" t="s">
        <v>88</v>
      </c>
      <c r="C107" s="1" t="s">
        <v>89</v>
      </c>
      <c r="D107" s="1" t="n">
        <v>554</v>
      </c>
      <c r="E107" s="1" t="n">
        <v>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1" t="n">
        <v>-6</v>
      </c>
      <c r="O107" s="1" t="n">
        <v>13.46285</v>
      </c>
    </row>
    <row r="108" customFormat="false" ht="15.75" hidden="true" customHeight="false" outlineLevel="0" collapsed="false">
      <c r="A108" s="4" t="n">
        <v>45527</v>
      </c>
      <c r="B108" s="1" t="s">
        <v>103</v>
      </c>
      <c r="C108" s="1" t="s">
        <v>104</v>
      </c>
      <c r="D108" s="1" t="n">
        <v>910</v>
      </c>
      <c r="E108" s="1" t="n">
        <v>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1" t="n">
        <v>-1</v>
      </c>
      <c r="O108" s="1" t="n">
        <v>9.44673333333333</v>
      </c>
    </row>
    <row r="109" customFormat="false" ht="15.75" hidden="true" customHeight="false" outlineLevel="0" collapsed="false">
      <c r="A109" s="4" t="n">
        <v>45527</v>
      </c>
      <c r="B109" s="1" t="s">
        <v>103</v>
      </c>
      <c r="C109" s="1" t="s">
        <v>104</v>
      </c>
      <c r="D109" s="1" t="n">
        <v>390</v>
      </c>
      <c r="E109" s="1" t="n">
        <v>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1" t="n">
        <v>2</v>
      </c>
      <c r="O109" s="1" t="n">
        <v>9.34331666666667</v>
      </c>
    </row>
    <row r="110" customFormat="false" ht="15.75" hidden="true" customHeight="false" outlineLevel="0" collapsed="false">
      <c r="A110" s="4" t="n">
        <v>45527</v>
      </c>
      <c r="B110" s="1" t="s">
        <v>103</v>
      </c>
      <c r="C110" s="1" t="s">
        <v>104</v>
      </c>
      <c r="D110" s="1" t="n">
        <v>368</v>
      </c>
      <c r="E110" s="1" t="n">
        <v>150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1" t="n">
        <v>2</v>
      </c>
      <c r="O110" s="1" t="n">
        <v>10.2490666666667</v>
      </c>
    </row>
    <row r="111" customFormat="false" ht="15.75" hidden="true" customHeight="false" outlineLevel="0" collapsed="false">
      <c r="A111" s="4" t="n">
        <v>45527</v>
      </c>
      <c r="B111" s="1" t="s">
        <v>103</v>
      </c>
      <c r="C111" s="1" t="s">
        <v>104</v>
      </c>
      <c r="D111" s="1" t="n">
        <v>371</v>
      </c>
      <c r="E111" s="1" t="n">
        <v>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1" t="n">
        <v>0</v>
      </c>
      <c r="O111" s="1" t="n">
        <v>7.84928333333333</v>
      </c>
    </row>
    <row r="112" customFormat="false" ht="15.75" hidden="true" customHeight="false" outlineLevel="0" collapsed="false">
      <c r="A112" s="4" t="n">
        <v>45527</v>
      </c>
      <c r="B112" s="1" t="s">
        <v>88</v>
      </c>
      <c r="C112" s="1" t="s">
        <v>89</v>
      </c>
      <c r="D112" s="1" t="n">
        <v>329</v>
      </c>
      <c r="E112" s="1" t="n">
        <v>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1" t="n">
        <v>-8</v>
      </c>
      <c r="O112" s="1" t="n">
        <v>6.90845</v>
      </c>
    </row>
    <row r="113" customFormat="false" ht="15.75" hidden="true" customHeight="false" outlineLevel="0" collapsed="false">
      <c r="A113" s="4" t="n">
        <v>45527</v>
      </c>
      <c r="B113" s="1" t="s">
        <v>103</v>
      </c>
      <c r="C113" s="1" t="s">
        <v>104</v>
      </c>
      <c r="D113" s="1" t="n">
        <v>264</v>
      </c>
      <c r="E113" s="1" t="n">
        <v>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1" t="n">
        <v>1</v>
      </c>
      <c r="O113" s="1" t="n">
        <v>7.92341666666667</v>
      </c>
    </row>
    <row r="114" customFormat="false" ht="15.75" hidden="true" customHeight="false" outlineLevel="0" collapsed="false">
      <c r="A114" s="4" t="n">
        <v>45527</v>
      </c>
      <c r="B114" s="1" t="s">
        <v>88</v>
      </c>
      <c r="C114" s="1" t="s">
        <v>89</v>
      </c>
      <c r="D114" s="1" t="n">
        <v>707</v>
      </c>
      <c r="E114" s="1" t="n">
        <v>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1" t="n">
        <v>-9</v>
      </c>
      <c r="O114" s="1" t="n">
        <v>10.46435</v>
      </c>
    </row>
    <row r="115" customFormat="false" ht="15.75" hidden="true" customHeight="false" outlineLevel="0" collapsed="false">
      <c r="A115" s="4" t="n">
        <v>45527</v>
      </c>
      <c r="B115" s="1" t="s">
        <v>95</v>
      </c>
      <c r="C115" s="1" t="s">
        <v>89</v>
      </c>
      <c r="D115" s="1" t="n">
        <v>952</v>
      </c>
      <c r="E115" s="1" t="n">
        <v>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1" t="n">
        <v>-7</v>
      </c>
      <c r="N115" s="1" t="n">
        <v>0.0144166666666667</v>
      </c>
      <c r="O115" s="1" t="n">
        <v>9.10901666666667</v>
      </c>
    </row>
    <row r="116" customFormat="false" ht="15.75" hidden="true" customHeight="false" outlineLevel="0" collapsed="false">
      <c r="A116" s="4" t="n">
        <v>45527</v>
      </c>
      <c r="B116" s="1" t="s">
        <v>95</v>
      </c>
      <c r="C116" s="1" t="s">
        <v>89</v>
      </c>
      <c r="D116" s="1" t="n">
        <v>803</v>
      </c>
      <c r="E116" s="1" t="n">
        <v>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1" t="n">
        <v>-5</v>
      </c>
      <c r="N116" s="1" t="n">
        <v>0.0107833333333333</v>
      </c>
      <c r="O116" s="1" t="n">
        <v>12.18665</v>
      </c>
    </row>
    <row r="117" customFormat="false" ht="15.75" hidden="true" customHeight="false" outlineLevel="0" collapsed="false">
      <c r="A117" s="4" t="n">
        <v>45527</v>
      </c>
      <c r="B117" s="1" t="s">
        <v>107</v>
      </c>
      <c r="C117" s="1" t="s">
        <v>89</v>
      </c>
      <c r="D117" s="1" t="n">
        <v>439</v>
      </c>
      <c r="E117" s="1" t="n">
        <v>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1" t="n">
        <v>-6</v>
      </c>
      <c r="O117" s="1" t="n">
        <v>8.63218333333333</v>
      </c>
    </row>
    <row r="118" customFormat="false" ht="15.75" hidden="true" customHeight="false" outlineLevel="0" collapsed="false">
      <c r="A118" s="4" t="n">
        <v>45527</v>
      </c>
      <c r="B118" s="1" t="s">
        <v>88</v>
      </c>
      <c r="C118" s="1" t="s">
        <v>89</v>
      </c>
      <c r="D118" s="1" t="n">
        <v>492</v>
      </c>
      <c r="E118" s="1" t="n">
        <v>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1" t="n">
        <v>-9</v>
      </c>
      <c r="O118" s="1" t="n">
        <v>5.87546666666667</v>
      </c>
    </row>
    <row r="119" customFormat="false" ht="15.75" hidden="true" customHeight="false" outlineLevel="0" collapsed="false">
      <c r="A119" s="4" t="n">
        <v>45527</v>
      </c>
      <c r="B119" s="1" t="s">
        <v>88</v>
      </c>
      <c r="C119" s="1" t="s">
        <v>89</v>
      </c>
      <c r="D119" s="1" t="n">
        <v>393</v>
      </c>
      <c r="E119" s="1" t="n">
        <v>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1" t="n">
        <v>-7</v>
      </c>
      <c r="O119" s="1" t="n">
        <v>7.59708333333333</v>
      </c>
    </row>
    <row r="120" customFormat="false" ht="15.75" hidden="true" customHeight="false" outlineLevel="0" collapsed="false">
      <c r="A120" s="4" t="n">
        <v>45527</v>
      </c>
      <c r="B120" s="1" t="s">
        <v>95</v>
      </c>
      <c r="C120" s="1" t="s">
        <v>89</v>
      </c>
      <c r="D120" s="1" t="n">
        <v>298</v>
      </c>
      <c r="E120" s="1" t="n">
        <v>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1" t="n">
        <v>-9</v>
      </c>
      <c r="N120" s="1" t="n">
        <v>0.0136166666666667</v>
      </c>
      <c r="O120" s="1" t="n">
        <v>9.51768333333333</v>
      </c>
    </row>
    <row r="121" customFormat="false" ht="15.75" hidden="true" customHeight="false" outlineLevel="0" collapsed="false">
      <c r="A121" s="4" t="n">
        <v>45527</v>
      </c>
      <c r="B121" s="1" t="s">
        <v>103</v>
      </c>
      <c r="C121" s="1" t="s">
        <v>104</v>
      </c>
      <c r="D121" s="1" t="n">
        <v>383</v>
      </c>
      <c r="E121" s="1" t="n">
        <v>150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1" t="n">
        <v>2</v>
      </c>
      <c r="O121" s="1" t="n">
        <v>10.3477333333333</v>
      </c>
    </row>
    <row r="122" customFormat="false" ht="15.75" hidden="true" customHeight="false" outlineLevel="0" collapsed="false">
      <c r="A122" s="4" t="n">
        <v>45527</v>
      </c>
      <c r="B122" s="1" t="s">
        <v>88</v>
      </c>
      <c r="C122" s="1" t="s">
        <v>89</v>
      </c>
      <c r="D122" s="1" t="n">
        <v>313</v>
      </c>
      <c r="E122" s="1" t="n">
        <v>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1" t="n">
        <v>-7</v>
      </c>
      <c r="O122" s="1" t="n">
        <v>7.23566666666667</v>
      </c>
    </row>
    <row r="123" customFormat="false" ht="15.75" hidden="true" customHeight="false" outlineLevel="0" collapsed="false">
      <c r="A123" s="4" t="n">
        <v>45527</v>
      </c>
      <c r="B123" s="1" t="s">
        <v>95</v>
      </c>
      <c r="C123" s="1" t="s">
        <v>89</v>
      </c>
      <c r="D123" s="1" t="n">
        <v>274</v>
      </c>
      <c r="E123" s="1" t="n">
        <v>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1" t="n">
        <v>-10</v>
      </c>
      <c r="N123" s="1" t="n">
        <v>0.00971666666666667</v>
      </c>
      <c r="O123" s="1" t="n">
        <v>10.97145</v>
      </c>
    </row>
    <row r="124" customFormat="false" ht="15.75" hidden="true" customHeight="false" outlineLevel="0" collapsed="false">
      <c r="A124" s="4" t="n">
        <v>45527</v>
      </c>
      <c r="B124" s="1" t="s">
        <v>95</v>
      </c>
      <c r="C124" s="1" t="s">
        <v>89</v>
      </c>
      <c r="D124" s="1" t="n">
        <v>682</v>
      </c>
      <c r="E124" s="1" t="n">
        <v>166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1" t="n">
        <v>-11</v>
      </c>
      <c r="O124" s="1" t="n">
        <v>11.95095</v>
      </c>
    </row>
    <row r="125" customFormat="false" ht="15.75" hidden="true" customHeight="false" outlineLevel="0" collapsed="false">
      <c r="A125" s="4" t="n">
        <v>45527</v>
      </c>
      <c r="B125" s="1" t="s">
        <v>88</v>
      </c>
      <c r="C125" s="1" t="s">
        <v>89</v>
      </c>
      <c r="D125" s="1" t="n">
        <v>393</v>
      </c>
      <c r="E125" s="1" t="n">
        <v>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1" t="n">
        <v>-8</v>
      </c>
      <c r="O125" s="1" t="n">
        <v>6.88413333333333</v>
      </c>
    </row>
    <row r="126" customFormat="false" ht="15.75" hidden="true" customHeight="false" outlineLevel="0" collapsed="false">
      <c r="A126" s="4" t="n">
        <v>45527</v>
      </c>
      <c r="B126" s="1" t="s">
        <v>107</v>
      </c>
      <c r="C126" s="1" t="s">
        <v>104</v>
      </c>
      <c r="D126" s="1" t="n">
        <v>676</v>
      </c>
      <c r="E126" s="1" t="n">
        <v>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1" t="n">
        <v>-13</v>
      </c>
      <c r="O126" s="1" t="n">
        <v>6.36258333333333</v>
      </c>
    </row>
    <row r="127" customFormat="false" ht="15.75" hidden="true" customHeight="false" outlineLevel="0" collapsed="false">
      <c r="A127" s="4" t="n">
        <v>45527</v>
      </c>
      <c r="B127" s="1" t="s">
        <v>228</v>
      </c>
      <c r="C127" s="1" t="s">
        <v>89</v>
      </c>
      <c r="D127" s="1" t="n">
        <v>249</v>
      </c>
      <c r="E127" s="1" t="n">
        <v>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1" t="n">
        <v>2</v>
      </c>
      <c r="O127" s="1" t="n">
        <v>7.06986666666667</v>
      </c>
    </row>
    <row r="128" customFormat="false" ht="15.75" hidden="true" customHeight="false" outlineLevel="0" collapsed="false">
      <c r="A128" s="4" t="n">
        <v>45527</v>
      </c>
      <c r="B128" s="1" t="s">
        <v>95</v>
      </c>
      <c r="C128" s="1" t="s">
        <v>89</v>
      </c>
      <c r="D128" s="1" t="n">
        <v>255</v>
      </c>
      <c r="E128" s="1" t="n">
        <v>61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1" t="n">
        <v>-7</v>
      </c>
      <c r="O128" s="1" t="n">
        <v>11.49235</v>
      </c>
    </row>
    <row r="129" customFormat="false" ht="15.75" hidden="true" customHeight="false" outlineLevel="0" collapsed="false">
      <c r="A129" s="4" t="n">
        <v>45527</v>
      </c>
      <c r="B129" s="1" t="s">
        <v>103</v>
      </c>
      <c r="C129" s="1" t="s">
        <v>104</v>
      </c>
      <c r="D129" s="1" t="n">
        <v>443</v>
      </c>
      <c r="E129" s="1" t="n">
        <v>150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1" t="n">
        <v>0</v>
      </c>
      <c r="O129" s="1" t="n">
        <v>8.6664</v>
      </c>
    </row>
    <row r="130" customFormat="false" ht="15.75" hidden="true" customHeight="false" outlineLevel="0" collapsed="false">
      <c r="A130" s="4" t="n">
        <v>45527</v>
      </c>
      <c r="B130" s="1" t="s">
        <v>103</v>
      </c>
      <c r="C130" s="1" t="s">
        <v>104</v>
      </c>
      <c r="D130" s="1" t="n">
        <v>370</v>
      </c>
      <c r="E130" s="1" t="n">
        <v>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1" t="n">
        <v>1</v>
      </c>
      <c r="O130" s="1" t="n">
        <v>8.68966666666667</v>
      </c>
    </row>
    <row r="131" customFormat="false" ht="15.75" hidden="true" customHeight="false" outlineLevel="0" collapsed="false">
      <c r="A131" s="4" t="n">
        <v>45527</v>
      </c>
      <c r="B131" s="1" t="s">
        <v>107</v>
      </c>
      <c r="C131" s="1" t="s">
        <v>104</v>
      </c>
      <c r="D131" s="1" t="n">
        <v>262</v>
      </c>
      <c r="E131" s="1" t="n">
        <v>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1" t="n">
        <v>-5</v>
      </c>
      <c r="O131" s="1" t="n">
        <v>9.66355</v>
      </c>
    </row>
    <row r="132" customFormat="false" ht="15.75" hidden="true" customHeight="false" outlineLevel="0" collapsed="false">
      <c r="A132" s="4" t="n">
        <v>45527</v>
      </c>
      <c r="B132" s="1" t="s">
        <v>88</v>
      </c>
      <c r="C132" s="1" t="s">
        <v>89</v>
      </c>
      <c r="D132" s="1" t="n">
        <v>437</v>
      </c>
      <c r="E132" s="1" t="n">
        <v>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1" t="n">
        <v>-6</v>
      </c>
      <c r="O132" s="1" t="n">
        <v>8.9802</v>
      </c>
    </row>
    <row r="133" customFormat="false" ht="15.75" hidden="true" customHeight="false" outlineLevel="0" collapsed="false">
      <c r="A133" s="4" t="n">
        <v>45527</v>
      </c>
      <c r="B133" s="1" t="s">
        <v>95</v>
      </c>
      <c r="C133" s="1" t="s">
        <v>89</v>
      </c>
      <c r="D133" s="1" t="n">
        <v>617</v>
      </c>
      <c r="E133" s="1" t="n">
        <v>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1" t="n">
        <v>-10</v>
      </c>
      <c r="N133" s="1" t="n">
        <v>0.0182166666666667</v>
      </c>
      <c r="O133" s="1" t="n">
        <v>15.5745166666667</v>
      </c>
    </row>
    <row r="134" customFormat="false" ht="15.75" hidden="true" customHeight="false" outlineLevel="0" collapsed="false">
      <c r="A134" s="4" t="n">
        <v>45527</v>
      </c>
      <c r="B134" s="1" t="s">
        <v>95</v>
      </c>
      <c r="C134" s="1" t="s">
        <v>89</v>
      </c>
      <c r="D134" s="1" t="n">
        <v>598</v>
      </c>
      <c r="E134" s="1" t="n">
        <v>149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1" t="n">
        <v>-6</v>
      </c>
      <c r="O134" s="1" t="n">
        <v>18.1734666666667</v>
      </c>
    </row>
    <row r="135" customFormat="false" ht="15.75" hidden="true" customHeight="false" outlineLevel="0" collapsed="false">
      <c r="A135" s="4" t="n">
        <v>45527</v>
      </c>
      <c r="B135" s="1" t="s">
        <v>228</v>
      </c>
      <c r="C135" s="1" t="s">
        <v>89</v>
      </c>
      <c r="D135" s="1" t="n">
        <v>119</v>
      </c>
      <c r="E135" s="1" t="n">
        <v>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1" t="n">
        <v>4</v>
      </c>
      <c r="O135" s="1" t="n">
        <v>9.55078333333333</v>
      </c>
    </row>
    <row r="136" customFormat="false" ht="15.75" hidden="true" customHeight="false" outlineLevel="0" collapsed="false">
      <c r="A136" s="4" t="n">
        <v>45527</v>
      </c>
      <c r="B136" s="1" t="s">
        <v>88</v>
      </c>
      <c r="C136" s="1" t="s">
        <v>89</v>
      </c>
      <c r="D136" s="1" t="n">
        <v>264</v>
      </c>
      <c r="E136" s="1" t="n">
        <v>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1" t="n">
        <v>-7</v>
      </c>
      <c r="O136" s="1" t="n">
        <v>8.47916666666667</v>
      </c>
    </row>
    <row r="137" customFormat="false" ht="15.75" hidden="true" customHeight="false" outlineLevel="0" collapsed="false">
      <c r="A137" s="4" t="n">
        <v>45527</v>
      </c>
      <c r="B137" s="1" t="s">
        <v>88</v>
      </c>
      <c r="C137" s="1" t="s">
        <v>89</v>
      </c>
      <c r="D137" s="1" t="n">
        <v>475</v>
      </c>
      <c r="E137" s="1" t="n">
        <v>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1" t="n">
        <v>-8</v>
      </c>
      <c r="O137" s="1" t="n">
        <v>6.03165</v>
      </c>
    </row>
    <row r="138" customFormat="false" ht="15.75" hidden="true" customHeight="false" outlineLevel="0" collapsed="false">
      <c r="A138" s="4" t="n">
        <v>45527</v>
      </c>
      <c r="B138" s="1" t="s">
        <v>103</v>
      </c>
      <c r="C138" s="1" t="s">
        <v>104</v>
      </c>
      <c r="D138" s="1" t="n">
        <v>567</v>
      </c>
      <c r="E138" s="1" t="n">
        <v>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1" t="n">
        <v>-2</v>
      </c>
      <c r="O138" s="1" t="n">
        <v>6.57823333333333</v>
      </c>
    </row>
    <row r="139" customFormat="false" ht="15.75" hidden="true" customHeight="false" outlineLevel="0" collapsed="false">
      <c r="A139" s="4" t="n">
        <v>45527</v>
      </c>
      <c r="B139" s="1" t="s">
        <v>103</v>
      </c>
      <c r="C139" s="1" t="s">
        <v>104</v>
      </c>
      <c r="D139" s="1" t="n">
        <v>378</v>
      </c>
      <c r="E139" s="1" t="n">
        <v>150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1" t="n">
        <v>0</v>
      </c>
      <c r="O139" s="1" t="n">
        <v>7.78415</v>
      </c>
    </row>
    <row r="140" customFormat="false" ht="15.75" hidden="true" customHeight="false" outlineLevel="0" collapsed="false">
      <c r="A140" s="4" t="n">
        <v>45527</v>
      </c>
      <c r="B140" s="1" t="s">
        <v>95</v>
      </c>
      <c r="C140" s="1" t="s">
        <v>89</v>
      </c>
      <c r="D140" s="1" t="n">
        <v>339</v>
      </c>
      <c r="E140" s="1" t="n">
        <v>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1" t="n">
        <v>-1</v>
      </c>
      <c r="N140" s="1" t="n">
        <v>0.0101166666666667</v>
      </c>
    </row>
    <row r="141" customFormat="false" ht="15.75" hidden="true" customHeight="false" outlineLevel="0" collapsed="false">
      <c r="A141" s="4" t="n">
        <v>45527</v>
      </c>
      <c r="B141" s="1" t="s">
        <v>107</v>
      </c>
      <c r="C141" s="1" t="s">
        <v>104</v>
      </c>
      <c r="D141" s="1" t="n">
        <v>488</v>
      </c>
      <c r="E141" s="1" t="n">
        <v>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1" t="n">
        <v>-7</v>
      </c>
      <c r="O141" s="1" t="n">
        <v>7.63778333333333</v>
      </c>
    </row>
    <row r="142" customFormat="false" ht="15.75" hidden="true" customHeight="false" outlineLevel="0" collapsed="false">
      <c r="A142" s="4" t="n">
        <v>45527</v>
      </c>
      <c r="B142" s="1" t="s">
        <v>95</v>
      </c>
      <c r="C142" s="1" t="s">
        <v>89</v>
      </c>
      <c r="D142" s="1" t="n">
        <v>309</v>
      </c>
      <c r="E142" s="1" t="n">
        <v>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1" t="n">
        <v>-13</v>
      </c>
      <c r="N142" s="1" t="n">
        <v>0.00755</v>
      </c>
      <c r="O142" s="1" t="n">
        <v>7.78121666666667</v>
      </c>
    </row>
    <row r="143" customFormat="false" ht="15.75" hidden="true" customHeight="false" outlineLevel="0" collapsed="false">
      <c r="A143" s="4" t="n">
        <v>45527</v>
      </c>
      <c r="B143" s="1" t="s">
        <v>103</v>
      </c>
      <c r="C143" s="1" t="s">
        <v>104</v>
      </c>
      <c r="D143" s="1" t="n">
        <v>321</v>
      </c>
      <c r="E143" s="1" t="n">
        <v>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1" t="n">
        <v>0</v>
      </c>
      <c r="O143" s="1" t="n">
        <v>8.15218333333333</v>
      </c>
    </row>
    <row r="144" customFormat="false" ht="15.75" hidden="true" customHeight="false" outlineLevel="0" collapsed="false">
      <c r="A144" s="4" t="n">
        <v>45527</v>
      </c>
      <c r="B144" s="1" t="s">
        <v>103</v>
      </c>
      <c r="C144" s="1" t="s">
        <v>104</v>
      </c>
      <c r="D144" s="1" t="n">
        <v>429</v>
      </c>
      <c r="E144" s="1" t="n">
        <v>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1" t="n">
        <v>1</v>
      </c>
      <c r="O144" s="1" t="n">
        <v>9.3031</v>
      </c>
    </row>
    <row r="145" customFormat="false" ht="15.75" hidden="true" customHeight="false" outlineLevel="0" collapsed="false">
      <c r="A145" s="4" t="n">
        <v>45527</v>
      </c>
      <c r="B145" s="1" t="s">
        <v>103</v>
      </c>
      <c r="C145" s="1" t="s">
        <v>104</v>
      </c>
      <c r="D145" s="1" t="n">
        <v>642</v>
      </c>
      <c r="E145" s="1" t="n">
        <v>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1" t="n">
        <v>4</v>
      </c>
      <c r="O145" s="1" t="n">
        <v>14.29</v>
      </c>
    </row>
    <row r="146" customFormat="false" ht="15.75" hidden="true" customHeight="false" outlineLevel="0" collapsed="false">
      <c r="A146" s="4" t="n">
        <v>45527</v>
      </c>
      <c r="B146" s="1" t="s">
        <v>103</v>
      </c>
      <c r="C146" s="1" t="s">
        <v>104</v>
      </c>
      <c r="D146" s="1" t="n">
        <v>264</v>
      </c>
      <c r="E146" s="1" t="n">
        <v>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1" t="n">
        <v>0</v>
      </c>
      <c r="O146" s="1" t="n">
        <v>7.69341666666667</v>
      </c>
    </row>
    <row r="147" customFormat="false" ht="15.75" hidden="true" customHeight="false" outlineLevel="0" collapsed="false">
      <c r="A147" s="4" t="n">
        <v>45527</v>
      </c>
      <c r="B147" s="1" t="s">
        <v>88</v>
      </c>
      <c r="C147" s="1" t="s">
        <v>89</v>
      </c>
      <c r="D147" s="1" t="n">
        <v>369</v>
      </c>
      <c r="E147" s="1" t="n">
        <v>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1" t="n">
        <v>-5</v>
      </c>
      <c r="O147" s="1" t="n">
        <v>9.97425</v>
      </c>
    </row>
    <row r="148" customFormat="false" ht="15.75" hidden="true" customHeight="false" outlineLevel="0" collapsed="false">
      <c r="A148" s="4" t="n">
        <v>45527</v>
      </c>
      <c r="B148" s="1" t="s">
        <v>103</v>
      </c>
      <c r="C148" s="1" t="s">
        <v>104</v>
      </c>
      <c r="D148" s="1" t="n">
        <v>394</v>
      </c>
      <c r="E148" s="1" t="n">
        <v>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1" t="n">
        <v>1</v>
      </c>
      <c r="O148" s="1" t="n">
        <v>8.84906666666667</v>
      </c>
    </row>
    <row r="149" customFormat="false" ht="15.75" hidden="true" customHeight="false" outlineLevel="0" collapsed="false">
      <c r="A149" s="4" t="n">
        <v>45527</v>
      </c>
      <c r="B149" s="1" t="s">
        <v>107</v>
      </c>
      <c r="C149" s="1" t="s">
        <v>104</v>
      </c>
      <c r="D149" s="1" t="n">
        <v>299</v>
      </c>
      <c r="E149" s="1" t="n">
        <v>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1" t="n">
        <v>-9</v>
      </c>
      <c r="O149" s="1" t="n">
        <v>5.7755</v>
      </c>
    </row>
    <row r="150" customFormat="false" ht="15.75" hidden="true" customHeight="false" outlineLevel="0" collapsed="false">
      <c r="A150" s="4" t="n">
        <v>45527</v>
      </c>
      <c r="B150" s="1" t="s">
        <v>88</v>
      </c>
      <c r="C150" s="1" t="s">
        <v>459</v>
      </c>
      <c r="D150" s="1" t="n">
        <v>149</v>
      </c>
      <c r="E150" s="1" t="n">
        <v>0</v>
      </c>
      <c r="G150" s="1" t="s">
        <v>91</v>
      </c>
      <c r="H150" s="1" t="s">
        <v>92</v>
      </c>
      <c r="I150" s="1" t="s">
        <v>460</v>
      </c>
      <c r="M150" s="1" t="n">
        <v>0</v>
      </c>
    </row>
    <row r="151" customFormat="false" ht="15.75" hidden="true" customHeight="false" outlineLevel="0" collapsed="false">
      <c r="A151" s="4" t="n">
        <v>45527</v>
      </c>
      <c r="B151" s="1" t="s">
        <v>95</v>
      </c>
      <c r="C151" s="1" t="s">
        <v>89</v>
      </c>
      <c r="D151" s="1" t="n">
        <v>973</v>
      </c>
      <c r="E151" s="1" t="n">
        <v>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1" t="n">
        <v>-6</v>
      </c>
      <c r="N151" s="1" t="n">
        <v>0.01665</v>
      </c>
      <c r="O151" s="1" t="n">
        <v>19.0448666666667</v>
      </c>
    </row>
    <row r="152" customFormat="false" ht="15.75" hidden="true" customHeight="false" outlineLevel="0" collapsed="false">
      <c r="A152" s="4" t="n">
        <v>45527</v>
      </c>
      <c r="B152" s="1" t="s">
        <v>95</v>
      </c>
      <c r="C152" s="1" t="s">
        <v>89</v>
      </c>
      <c r="D152" s="1" t="n">
        <v>448</v>
      </c>
      <c r="E152" s="1" t="n">
        <v>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1" t="n">
        <v>-14</v>
      </c>
      <c r="N152" s="1" t="n">
        <v>0.01895</v>
      </c>
      <c r="O152" s="1" t="n">
        <v>51.2423</v>
      </c>
    </row>
    <row r="153" customFormat="false" ht="15.75" hidden="true" customHeight="false" outlineLevel="0" collapsed="false">
      <c r="A153" s="4" t="n">
        <v>45527</v>
      </c>
      <c r="B153" s="1" t="s">
        <v>95</v>
      </c>
      <c r="C153" s="1" t="s">
        <v>89</v>
      </c>
      <c r="D153" s="1" t="n">
        <v>853</v>
      </c>
      <c r="E153" s="1" t="n">
        <v>174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1" t="n">
        <v>-25</v>
      </c>
      <c r="O153" s="1" t="n">
        <v>55.8958</v>
      </c>
    </row>
    <row r="154" customFormat="false" ht="15.75" hidden="true" customHeight="false" outlineLevel="0" collapsed="false">
      <c r="A154" s="4" t="n">
        <v>45529</v>
      </c>
      <c r="B154" s="1" t="s">
        <v>103</v>
      </c>
      <c r="C154" s="1" t="s">
        <v>104</v>
      </c>
      <c r="D154" s="1" t="n">
        <v>278</v>
      </c>
      <c r="E154" s="1" t="n">
        <v>100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1" t="n">
        <v>11</v>
      </c>
      <c r="O154" s="1" t="n">
        <v>19.6344</v>
      </c>
    </row>
    <row r="155" customFormat="false" ht="15.75" hidden="true" customHeight="false" outlineLevel="0" collapsed="false">
      <c r="A155" s="4" t="n">
        <v>45529</v>
      </c>
      <c r="B155" s="1" t="s">
        <v>103</v>
      </c>
      <c r="C155" s="1" t="s">
        <v>104</v>
      </c>
      <c r="D155" s="1" t="n">
        <v>394</v>
      </c>
      <c r="E155" s="1" t="n">
        <v>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1" t="n">
        <v>18</v>
      </c>
      <c r="O155" s="1" t="n">
        <v>26.0455333333333</v>
      </c>
    </row>
    <row r="156" customFormat="false" ht="15.75" hidden="true" customHeight="false" outlineLevel="0" collapsed="false">
      <c r="A156" s="4" t="n">
        <v>45529</v>
      </c>
      <c r="B156" s="1" t="s">
        <v>103</v>
      </c>
      <c r="C156" s="1" t="s">
        <v>104</v>
      </c>
      <c r="D156" s="1" t="n">
        <v>429</v>
      </c>
      <c r="E156" s="1" t="n">
        <v>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1" t="n">
        <v>4</v>
      </c>
      <c r="O156" s="1" t="n">
        <v>12.4455833333333</v>
      </c>
    </row>
    <row r="157" customFormat="false" ht="15.75" hidden="true" customHeight="false" outlineLevel="0" collapsed="false">
      <c r="A157" s="4" t="n">
        <v>45529</v>
      </c>
      <c r="B157" s="1" t="s">
        <v>103</v>
      </c>
      <c r="C157" s="1" t="s">
        <v>104</v>
      </c>
      <c r="D157" s="1" t="n">
        <v>264</v>
      </c>
      <c r="E157" s="1" t="n">
        <v>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1" t="n">
        <v>1</v>
      </c>
      <c r="O157" s="1" t="n">
        <v>8.52806666666667</v>
      </c>
    </row>
    <row r="158" customFormat="false" ht="15.75" hidden="true" customHeight="false" outlineLevel="0" collapsed="false">
      <c r="A158" s="4" t="n">
        <v>45529</v>
      </c>
      <c r="B158" s="1" t="s">
        <v>107</v>
      </c>
      <c r="C158" s="1" t="s">
        <v>104</v>
      </c>
      <c r="D158" s="1" t="n">
        <v>364</v>
      </c>
      <c r="E158" s="1" t="n">
        <v>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1" t="n">
        <v>-7</v>
      </c>
      <c r="O158" s="1" t="n">
        <v>7.9052</v>
      </c>
    </row>
    <row r="159" customFormat="false" ht="15.75" hidden="true" customHeight="false" outlineLevel="0" collapsed="false">
      <c r="A159" s="4" t="n">
        <v>45529</v>
      </c>
      <c r="B159" s="1" t="s">
        <v>103</v>
      </c>
      <c r="C159" s="1" t="s">
        <v>104</v>
      </c>
      <c r="D159" s="1" t="n">
        <v>313</v>
      </c>
      <c r="E159" s="1" t="n">
        <v>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1" t="n">
        <v>-1</v>
      </c>
      <c r="O159" s="1" t="n">
        <v>5.81851666666667</v>
      </c>
    </row>
    <row r="160" customFormat="false" ht="15.75" hidden="true" customHeight="false" outlineLevel="0" collapsed="false">
      <c r="A160" s="4" t="n">
        <v>45529</v>
      </c>
      <c r="B160" s="1" t="s">
        <v>107</v>
      </c>
      <c r="C160" s="1" t="s">
        <v>104</v>
      </c>
      <c r="D160" s="1" t="n">
        <v>329</v>
      </c>
      <c r="E160" s="1" t="n">
        <v>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1" t="n">
        <v>-7</v>
      </c>
      <c r="O160" s="1" t="n">
        <v>7.16991666666667</v>
      </c>
    </row>
    <row r="161" customFormat="false" ht="15.75" hidden="true" customHeight="false" outlineLevel="0" collapsed="false">
      <c r="A161" s="4" t="n">
        <v>45529</v>
      </c>
      <c r="B161" s="1" t="s">
        <v>107</v>
      </c>
      <c r="C161" s="1" t="s">
        <v>104</v>
      </c>
      <c r="D161" s="1" t="n">
        <v>548</v>
      </c>
      <c r="E161" s="1" t="n">
        <v>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1" t="n">
        <v>-4</v>
      </c>
      <c r="O161" s="1" t="n">
        <v>15.7245166666667</v>
      </c>
    </row>
    <row r="162" customFormat="false" ht="15.75" hidden="true" customHeight="false" outlineLevel="0" collapsed="false">
      <c r="A162" s="4" t="n">
        <v>45529</v>
      </c>
      <c r="B162" s="1" t="s">
        <v>95</v>
      </c>
      <c r="C162" s="1" t="s">
        <v>89</v>
      </c>
      <c r="D162" s="1" t="n">
        <v>194</v>
      </c>
      <c r="E162" s="1" t="n">
        <v>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1" t="n">
        <v>-11</v>
      </c>
      <c r="O162" s="1" t="n">
        <v>7.70091666666667</v>
      </c>
    </row>
    <row r="163" customFormat="false" ht="15.75" hidden="true" customHeight="false" outlineLevel="0" collapsed="false">
      <c r="A163" s="4" t="n">
        <v>45529</v>
      </c>
      <c r="B163" s="1" t="s">
        <v>88</v>
      </c>
      <c r="C163" s="1" t="s">
        <v>89</v>
      </c>
      <c r="D163" s="1" t="n">
        <v>294</v>
      </c>
      <c r="E163" s="1" t="n">
        <v>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1" t="n">
        <v>-7</v>
      </c>
      <c r="O163" s="1" t="n">
        <v>7.43578333333333</v>
      </c>
    </row>
    <row r="164" customFormat="false" ht="15.75" hidden="true" customHeight="false" outlineLevel="0" collapsed="false">
      <c r="A164" s="4" t="n">
        <v>45529</v>
      </c>
      <c r="B164" s="1" t="s">
        <v>95</v>
      </c>
      <c r="C164" s="1" t="s">
        <v>89</v>
      </c>
      <c r="D164" s="1" t="n">
        <v>494</v>
      </c>
      <c r="E164" s="1" t="n">
        <v>124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1" t="n">
        <v>-13</v>
      </c>
      <c r="O164" s="1" t="n">
        <v>14.9621666666667</v>
      </c>
    </row>
    <row r="165" customFormat="false" ht="15.75" hidden="true" customHeight="false" outlineLevel="0" collapsed="false">
      <c r="A165" s="4" t="n">
        <v>45529</v>
      </c>
      <c r="B165" s="1" t="s">
        <v>103</v>
      </c>
      <c r="C165" s="1" t="s">
        <v>104</v>
      </c>
      <c r="D165" s="1" t="n">
        <v>658</v>
      </c>
      <c r="E165" s="1" t="n">
        <v>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1" t="n">
        <v>0</v>
      </c>
      <c r="O165" s="1" t="n">
        <v>9.9678</v>
      </c>
    </row>
    <row r="166" customFormat="false" ht="15.75" hidden="true" customHeight="false" outlineLevel="0" collapsed="false">
      <c r="A166" s="4" t="n">
        <v>45529</v>
      </c>
      <c r="B166" s="1" t="s">
        <v>103</v>
      </c>
      <c r="C166" s="1" t="s">
        <v>104</v>
      </c>
      <c r="D166" s="1" t="n">
        <v>314</v>
      </c>
      <c r="E166" s="1" t="n">
        <v>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1" t="n">
        <v>0</v>
      </c>
      <c r="O166" s="1" t="n">
        <v>7.42391666666667</v>
      </c>
    </row>
    <row r="167" customFormat="false" ht="15.75" hidden="true" customHeight="false" outlineLevel="0" collapsed="false">
      <c r="A167" s="4" t="n">
        <v>45529</v>
      </c>
      <c r="B167" s="1" t="s">
        <v>95</v>
      </c>
      <c r="C167" s="1" t="s">
        <v>89</v>
      </c>
      <c r="D167" s="1" t="n">
        <v>643</v>
      </c>
      <c r="E167" s="1" t="n">
        <v>30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1" t="n">
        <v>-10</v>
      </c>
      <c r="N167" s="1" t="n">
        <v>7.21676666666667</v>
      </c>
      <c r="O167" s="1" t="n">
        <v>9.10335</v>
      </c>
    </row>
    <row r="168" customFormat="false" ht="15.75" hidden="true" customHeight="false" outlineLevel="0" collapsed="false">
      <c r="A168" s="4" t="n">
        <v>45529</v>
      </c>
      <c r="B168" s="1" t="s">
        <v>103</v>
      </c>
      <c r="C168" s="1" t="s">
        <v>104</v>
      </c>
      <c r="D168" s="1" t="n">
        <v>313</v>
      </c>
      <c r="E168" s="1" t="n">
        <v>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1" t="n">
        <v>0</v>
      </c>
      <c r="O168" s="1" t="n">
        <v>8.77175</v>
      </c>
    </row>
    <row r="169" customFormat="false" ht="15.75" hidden="true" customHeight="false" outlineLevel="0" collapsed="false">
      <c r="A169" s="4" t="n">
        <v>45529</v>
      </c>
      <c r="B169" s="1" t="s">
        <v>103</v>
      </c>
      <c r="C169" s="1" t="s">
        <v>104</v>
      </c>
      <c r="D169" s="1" t="n">
        <v>690</v>
      </c>
      <c r="E169" s="1" t="n">
        <v>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1" t="n">
        <v>0</v>
      </c>
      <c r="O169" s="1" t="n">
        <v>9.0191</v>
      </c>
    </row>
    <row r="170" customFormat="false" ht="15.75" hidden="true" customHeight="false" outlineLevel="0" collapsed="false">
      <c r="A170" s="4" t="n">
        <v>45529</v>
      </c>
      <c r="B170" s="1" t="s">
        <v>103</v>
      </c>
      <c r="C170" s="1" t="s">
        <v>104</v>
      </c>
      <c r="D170" s="1" t="n">
        <v>289</v>
      </c>
      <c r="E170" s="1" t="n">
        <v>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1" t="n">
        <v>9</v>
      </c>
      <c r="O170" s="1" t="n">
        <v>15.5641</v>
      </c>
    </row>
    <row r="171" customFormat="false" ht="15.75" hidden="true" customHeight="false" outlineLevel="0" collapsed="false">
      <c r="A171" s="4" t="n">
        <v>45529</v>
      </c>
      <c r="B171" s="1" t="s">
        <v>103</v>
      </c>
      <c r="C171" s="1" t="s">
        <v>104</v>
      </c>
      <c r="D171" s="1" t="n">
        <v>1136</v>
      </c>
      <c r="E171" s="1" t="n">
        <v>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1" t="n">
        <v>5</v>
      </c>
      <c r="O171" s="1" t="n">
        <v>16.3601166666667</v>
      </c>
    </row>
    <row r="172" customFormat="false" ht="15.75" hidden="true" customHeight="false" outlineLevel="0" collapsed="false">
      <c r="A172" s="4" t="n">
        <v>45529</v>
      </c>
      <c r="B172" s="1" t="s">
        <v>88</v>
      </c>
      <c r="C172" s="1" t="s">
        <v>89</v>
      </c>
      <c r="D172" s="1" t="n">
        <v>329</v>
      </c>
      <c r="E172" s="1" t="n">
        <v>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1" t="n">
        <v>-7</v>
      </c>
      <c r="O172" s="1" t="n">
        <v>7.91916666666667</v>
      </c>
    </row>
    <row r="173" customFormat="false" ht="15.75" hidden="true" customHeight="false" outlineLevel="0" collapsed="false">
      <c r="A173" s="4" t="n">
        <v>45529</v>
      </c>
      <c r="B173" s="1" t="s">
        <v>88</v>
      </c>
      <c r="C173" s="1" t="s">
        <v>89</v>
      </c>
      <c r="D173" s="1" t="n">
        <v>658</v>
      </c>
      <c r="E173" s="1" t="n">
        <v>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1" t="n">
        <v>-7</v>
      </c>
      <c r="O173" s="1" t="n">
        <v>12.0367833333333</v>
      </c>
    </row>
    <row r="174" customFormat="false" ht="15.75" hidden="true" customHeight="false" outlineLevel="0" collapsed="false">
      <c r="A174" s="4" t="n">
        <v>45529</v>
      </c>
      <c r="B174" s="1" t="s">
        <v>103</v>
      </c>
      <c r="C174" s="1" t="s">
        <v>104</v>
      </c>
      <c r="D174" s="1" t="n">
        <v>404</v>
      </c>
      <c r="E174" s="1" t="n">
        <v>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1" t="n">
        <v>0</v>
      </c>
      <c r="O174" s="1" t="n">
        <v>7.0974</v>
      </c>
    </row>
    <row r="175" customFormat="false" ht="15.75" hidden="true" customHeight="false" outlineLevel="0" collapsed="false">
      <c r="A175" s="4" t="n">
        <v>45529</v>
      </c>
      <c r="B175" s="1" t="s">
        <v>103</v>
      </c>
      <c r="C175" s="1" t="s">
        <v>104</v>
      </c>
      <c r="D175" s="1" t="n">
        <v>467</v>
      </c>
      <c r="E175" s="1" t="n">
        <v>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1" t="n">
        <v>0</v>
      </c>
      <c r="O175" s="1" t="n">
        <v>8.81551666666667</v>
      </c>
    </row>
    <row r="176" customFormat="false" ht="15.75" hidden="true" customHeight="false" outlineLevel="0" collapsed="false">
      <c r="A176" s="4" t="n">
        <v>45529</v>
      </c>
      <c r="B176" s="1" t="s">
        <v>103</v>
      </c>
      <c r="C176" s="1" t="s">
        <v>104</v>
      </c>
      <c r="D176" s="1" t="n">
        <v>528</v>
      </c>
      <c r="E176" s="1" t="n">
        <v>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1" t="n">
        <v>3</v>
      </c>
      <c r="O176" s="1" t="n">
        <v>11.697</v>
      </c>
    </row>
    <row r="177" customFormat="false" ht="15.75" hidden="true" customHeight="false" outlineLevel="0" collapsed="false">
      <c r="A177" s="4" t="n">
        <v>45529</v>
      </c>
      <c r="B177" s="1" t="s">
        <v>103</v>
      </c>
      <c r="C177" s="1" t="s">
        <v>104</v>
      </c>
      <c r="D177" s="1" t="n">
        <v>338</v>
      </c>
      <c r="E177" s="1" t="n">
        <v>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1" t="n">
        <v>0</v>
      </c>
      <c r="O177" s="1" t="n">
        <v>7.19648333333333</v>
      </c>
    </row>
    <row r="178" customFormat="false" ht="15.75" hidden="true" customHeight="false" outlineLevel="0" collapsed="false">
      <c r="A178" s="4" t="n">
        <v>45529</v>
      </c>
      <c r="B178" s="1" t="s">
        <v>103</v>
      </c>
      <c r="C178" s="1" t="s">
        <v>104</v>
      </c>
      <c r="D178" s="1" t="n">
        <v>329</v>
      </c>
      <c r="E178" s="1" t="n">
        <v>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1" t="n">
        <v>3</v>
      </c>
      <c r="O178" s="1" t="n">
        <v>10.1340166666667</v>
      </c>
    </row>
    <row r="179" customFormat="false" ht="15.75" hidden="true" customHeight="false" outlineLevel="0" collapsed="false">
      <c r="A179" s="4" t="n">
        <v>45529</v>
      </c>
      <c r="B179" s="1" t="s">
        <v>228</v>
      </c>
      <c r="C179" s="1" t="s">
        <v>89</v>
      </c>
      <c r="D179" s="1" t="n">
        <v>158</v>
      </c>
      <c r="E179" s="1" t="n">
        <v>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1" t="n">
        <v>-2</v>
      </c>
      <c r="O179" s="1" t="n">
        <v>2.90425</v>
      </c>
    </row>
    <row r="180" customFormat="false" ht="15.75" hidden="true" customHeight="false" outlineLevel="0" collapsed="false">
      <c r="A180" s="4" t="n">
        <v>45529</v>
      </c>
      <c r="B180" s="1" t="s">
        <v>95</v>
      </c>
      <c r="C180" s="1" t="s">
        <v>89</v>
      </c>
      <c r="D180" s="1" t="n">
        <v>447</v>
      </c>
      <c r="E180" s="1" t="n">
        <v>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1" t="n">
        <v>-9</v>
      </c>
      <c r="N180" s="1" t="n">
        <v>0.0112166666666667</v>
      </c>
      <c r="O180" s="1" t="n">
        <v>5.53465</v>
      </c>
    </row>
    <row r="181" customFormat="false" ht="15.75" hidden="true" customHeight="false" outlineLevel="0" collapsed="false">
      <c r="A181" s="4" t="n">
        <v>45529</v>
      </c>
      <c r="B181" s="1" t="s">
        <v>95</v>
      </c>
      <c r="C181" s="1" t="s">
        <v>89</v>
      </c>
      <c r="D181" s="1" t="n">
        <v>498</v>
      </c>
      <c r="E181" s="1" t="n">
        <v>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1" t="n">
        <v>-8</v>
      </c>
      <c r="N181" s="1" t="n">
        <v>0.00853333333333333</v>
      </c>
      <c r="O181" s="1" t="n">
        <v>10.6662833333333</v>
      </c>
    </row>
    <row r="182" customFormat="false" ht="15.75" hidden="true" customHeight="false" outlineLevel="0" collapsed="false">
      <c r="A182" s="4" t="n">
        <v>45529</v>
      </c>
      <c r="B182" s="1" t="s">
        <v>88</v>
      </c>
      <c r="C182" s="1" t="s">
        <v>89</v>
      </c>
      <c r="D182" s="1" t="n">
        <v>836</v>
      </c>
      <c r="E182" s="1" t="n">
        <v>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1" t="n">
        <v>-13</v>
      </c>
      <c r="O182" s="1" t="n">
        <v>6.1754</v>
      </c>
    </row>
    <row r="183" customFormat="false" ht="15.75" hidden="true" customHeight="false" outlineLevel="0" collapsed="false">
      <c r="A183" s="4" t="n">
        <v>45529</v>
      </c>
      <c r="B183" s="1" t="s">
        <v>95</v>
      </c>
      <c r="C183" s="1" t="s">
        <v>89</v>
      </c>
      <c r="D183" s="1" t="n">
        <v>247</v>
      </c>
      <c r="E183" s="1" t="n">
        <v>62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1" t="n">
        <v>-17</v>
      </c>
      <c r="O183" s="1" t="n">
        <v>18.9691833333333</v>
      </c>
    </row>
    <row r="184" customFormat="false" ht="15.75" hidden="true" customHeight="false" outlineLevel="0" collapsed="false">
      <c r="A184" s="4" t="n">
        <v>45529</v>
      </c>
      <c r="B184" s="1" t="s">
        <v>95</v>
      </c>
      <c r="C184" s="1" t="s">
        <v>89</v>
      </c>
      <c r="D184" s="1" t="n">
        <v>457</v>
      </c>
      <c r="E184" s="1" t="n">
        <v>105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1" t="n">
        <v>-14</v>
      </c>
      <c r="O184" s="1" t="n">
        <v>5.18436666666667</v>
      </c>
    </row>
    <row r="185" customFormat="false" ht="15.75" hidden="true" customHeight="false" outlineLevel="0" collapsed="false">
      <c r="A185" s="4" t="n">
        <v>45529</v>
      </c>
      <c r="B185" s="1" t="s">
        <v>95</v>
      </c>
      <c r="C185" s="1" t="s">
        <v>89</v>
      </c>
      <c r="D185" s="1" t="n">
        <v>199</v>
      </c>
      <c r="E185" s="1" t="n">
        <v>50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1" t="n">
        <v>-13</v>
      </c>
      <c r="O185" s="1" t="n">
        <v>6.39348333333333</v>
      </c>
    </row>
    <row r="186" customFormat="false" ht="15.75" hidden="true" customHeight="false" outlineLevel="0" collapsed="false">
      <c r="A186" s="4" t="n">
        <v>45529</v>
      </c>
      <c r="B186" s="1" t="s">
        <v>103</v>
      </c>
      <c r="C186" s="1" t="s">
        <v>104</v>
      </c>
      <c r="D186" s="1" t="n">
        <v>313</v>
      </c>
      <c r="E186" s="1" t="n">
        <v>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1" t="n">
        <v>-1</v>
      </c>
      <c r="O186" s="1" t="n">
        <v>6.77098333333333</v>
      </c>
    </row>
    <row r="187" customFormat="false" ht="15.75" hidden="true" customHeight="false" outlineLevel="0" collapsed="false">
      <c r="A187" s="4" t="n">
        <v>45529</v>
      </c>
      <c r="B187" s="1" t="s">
        <v>103</v>
      </c>
      <c r="C187" s="1" t="s">
        <v>104</v>
      </c>
      <c r="D187" s="1" t="n">
        <v>443</v>
      </c>
      <c r="E187" s="1" t="n">
        <v>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1" t="n">
        <v>0</v>
      </c>
      <c r="O187" s="1" t="n">
        <v>8.85078333333333</v>
      </c>
    </row>
    <row r="188" customFormat="false" ht="15.75" hidden="true" customHeight="false" outlineLevel="0" collapsed="false">
      <c r="A188" s="4" t="n">
        <v>45529</v>
      </c>
      <c r="B188" s="1" t="s">
        <v>88</v>
      </c>
      <c r="C188" s="1" t="s">
        <v>89</v>
      </c>
      <c r="D188" s="1" t="n">
        <v>602</v>
      </c>
      <c r="E188" s="1" t="n">
        <v>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1" t="n">
        <v>-10</v>
      </c>
      <c r="O188" s="1" t="n">
        <v>9.3245</v>
      </c>
    </row>
    <row r="189" customFormat="false" ht="15.75" hidden="true" customHeight="false" outlineLevel="0" collapsed="false">
      <c r="A189" s="4" t="n">
        <v>45529</v>
      </c>
      <c r="B189" s="1" t="s">
        <v>107</v>
      </c>
      <c r="C189" s="1" t="s">
        <v>104</v>
      </c>
      <c r="D189" s="1" t="n">
        <v>264</v>
      </c>
      <c r="E189" s="1" t="n">
        <v>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1" t="n">
        <v>-7</v>
      </c>
      <c r="O189" s="1" t="n">
        <v>7.7932</v>
      </c>
    </row>
    <row r="190" customFormat="false" ht="15.75" hidden="true" customHeight="false" outlineLevel="0" collapsed="false">
      <c r="A190" s="4" t="n">
        <v>45529</v>
      </c>
      <c r="B190" s="1" t="s">
        <v>95</v>
      </c>
      <c r="C190" s="1" t="s">
        <v>89</v>
      </c>
      <c r="D190" s="1" t="n">
        <v>309</v>
      </c>
      <c r="E190" s="1" t="n">
        <v>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1" t="n">
        <v>-4</v>
      </c>
      <c r="N190" s="1" t="n">
        <v>0.00793333333333333</v>
      </c>
      <c r="O190" s="1" t="n">
        <v>14.4775166666667</v>
      </c>
    </row>
    <row r="191" customFormat="false" ht="15.75" hidden="true" customHeight="false" outlineLevel="0" collapsed="false">
      <c r="A191" s="4" t="n">
        <v>45529</v>
      </c>
      <c r="B191" s="1" t="s">
        <v>103</v>
      </c>
      <c r="C191" s="1" t="s">
        <v>104</v>
      </c>
      <c r="D191" s="1" t="n">
        <v>364</v>
      </c>
      <c r="E191" s="1" t="n">
        <v>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1" t="n">
        <v>2</v>
      </c>
      <c r="O191" s="1" t="n">
        <v>9.1587</v>
      </c>
    </row>
    <row r="192" customFormat="false" ht="15.75" hidden="true" customHeight="false" outlineLevel="0" collapsed="false">
      <c r="A192" s="4" t="n">
        <v>45529</v>
      </c>
      <c r="B192" s="1" t="s">
        <v>103</v>
      </c>
      <c r="C192" s="1" t="s">
        <v>104</v>
      </c>
      <c r="D192" s="1" t="n">
        <v>488</v>
      </c>
      <c r="E192" s="1" t="n">
        <v>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1" t="n">
        <v>-1</v>
      </c>
      <c r="O192" s="1" t="n">
        <v>6.21423333333333</v>
      </c>
    </row>
    <row r="193" customFormat="false" ht="15.75" hidden="true" customHeight="false" outlineLevel="0" collapsed="false">
      <c r="A193" s="4" t="n">
        <v>45529</v>
      </c>
      <c r="B193" s="1" t="s">
        <v>88</v>
      </c>
      <c r="C193" s="1" t="s">
        <v>89</v>
      </c>
      <c r="D193" s="1" t="n">
        <v>469</v>
      </c>
      <c r="E193" s="1" t="n">
        <v>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1" t="n">
        <v>-8</v>
      </c>
      <c r="O193" s="1" t="n">
        <v>8.60341666666667</v>
      </c>
    </row>
    <row r="194" customFormat="false" ht="15.75" hidden="true" customHeight="false" outlineLevel="0" collapsed="false">
      <c r="A194" s="4" t="n">
        <v>45529</v>
      </c>
      <c r="B194" s="1" t="s">
        <v>95</v>
      </c>
      <c r="C194" s="1" t="s">
        <v>89</v>
      </c>
      <c r="D194" s="1" t="n">
        <v>247</v>
      </c>
      <c r="E194" s="1" t="n">
        <v>62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1" t="n">
        <v>-13</v>
      </c>
      <c r="O194" s="1" t="n">
        <v>5.85933333333333</v>
      </c>
    </row>
    <row r="195" customFormat="false" ht="15.75" hidden="true" customHeight="false" outlineLevel="0" collapsed="false">
      <c r="A195" s="4" t="n">
        <v>45529</v>
      </c>
      <c r="B195" s="1" t="s">
        <v>103</v>
      </c>
      <c r="C195" s="1" t="s">
        <v>104</v>
      </c>
      <c r="D195" s="1" t="n">
        <v>437</v>
      </c>
      <c r="E195" s="1" t="n">
        <v>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1" t="n">
        <v>-2</v>
      </c>
      <c r="O195" s="1" t="n">
        <v>6.27823333333333</v>
      </c>
    </row>
    <row r="196" customFormat="false" ht="15.75" hidden="true" customHeight="false" outlineLevel="0" collapsed="false">
      <c r="A196" s="4" t="n">
        <v>45529</v>
      </c>
      <c r="B196" s="1" t="s">
        <v>107</v>
      </c>
      <c r="C196" s="1" t="s">
        <v>104</v>
      </c>
      <c r="D196" s="1" t="n">
        <v>434</v>
      </c>
      <c r="E196" s="1" t="n">
        <v>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1" t="n">
        <v>-5</v>
      </c>
      <c r="O196" s="1" t="n">
        <v>9.41861666666667</v>
      </c>
    </row>
    <row r="197" customFormat="false" ht="15.75" hidden="true" customHeight="false" outlineLevel="0" collapsed="false">
      <c r="A197" s="4" t="n">
        <v>45529</v>
      </c>
      <c r="B197" s="1" t="s">
        <v>95</v>
      </c>
      <c r="C197" s="1" t="s">
        <v>89</v>
      </c>
      <c r="D197" s="1" t="n">
        <v>472</v>
      </c>
      <c r="E197" s="1" t="n">
        <v>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1" t="n">
        <v>3</v>
      </c>
      <c r="N197" s="1" t="n">
        <v>0.00976666666666667</v>
      </c>
      <c r="O197" s="1" t="n">
        <v>8.57611666666667</v>
      </c>
    </row>
    <row r="198" customFormat="false" ht="15.75" hidden="true" customHeight="false" outlineLevel="0" collapsed="false">
      <c r="A198" s="4" t="n">
        <v>45529</v>
      </c>
      <c r="B198" s="1" t="s">
        <v>103</v>
      </c>
      <c r="C198" s="1" t="s">
        <v>104</v>
      </c>
      <c r="D198" s="1" t="n">
        <v>364</v>
      </c>
      <c r="E198" s="1" t="n">
        <v>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1" t="n">
        <v>0</v>
      </c>
      <c r="O198" s="1" t="n">
        <v>8.98728333333333</v>
      </c>
    </row>
    <row r="199" customFormat="false" ht="15.75" hidden="true" customHeight="false" outlineLevel="0" collapsed="false">
      <c r="A199" s="4" t="n">
        <v>45529</v>
      </c>
      <c r="B199" s="1" t="s">
        <v>228</v>
      </c>
      <c r="C199" s="1" t="s">
        <v>89</v>
      </c>
      <c r="D199" s="1" t="n">
        <v>249</v>
      </c>
      <c r="E199" s="1" t="n">
        <v>249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1" t="n">
        <v>7</v>
      </c>
      <c r="O199" s="1" t="n">
        <v>12.6177166666667</v>
      </c>
    </row>
    <row r="200" customFormat="false" ht="15.75" hidden="true" customHeight="false" outlineLevel="0" collapsed="false">
      <c r="A200" s="4" t="n">
        <v>45529</v>
      </c>
      <c r="B200" s="1" t="s">
        <v>103</v>
      </c>
      <c r="C200" s="1" t="s">
        <v>104</v>
      </c>
      <c r="D200" s="1" t="n">
        <v>264</v>
      </c>
      <c r="E200" s="1" t="n">
        <v>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1" t="n">
        <v>3</v>
      </c>
      <c r="O200" s="1" t="n">
        <v>10.3370333333333</v>
      </c>
    </row>
    <row r="201" customFormat="false" ht="15.75" hidden="true" customHeight="false" outlineLevel="0" collapsed="false">
      <c r="A201" s="4" t="n">
        <v>45529</v>
      </c>
      <c r="B201" s="1" t="s">
        <v>103</v>
      </c>
      <c r="C201" s="1" t="s">
        <v>104</v>
      </c>
      <c r="D201" s="1" t="n">
        <v>685</v>
      </c>
      <c r="E201" s="1" t="n">
        <v>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1" t="n">
        <v>1</v>
      </c>
      <c r="O201" s="1" t="n">
        <v>11.90215</v>
      </c>
    </row>
    <row r="202" customFormat="false" ht="15.75" hidden="true" customHeight="false" outlineLevel="0" collapsed="false">
      <c r="A202" s="4" t="n">
        <v>45529</v>
      </c>
      <c r="B202" s="1" t="s">
        <v>103</v>
      </c>
      <c r="C202" s="1" t="s">
        <v>104</v>
      </c>
      <c r="D202" s="1" t="n">
        <v>702</v>
      </c>
      <c r="E202" s="1" t="n">
        <v>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1" t="n">
        <v>3</v>
      </c>
      <c r="O202" s="1" t="n">
        <v>12.6960333333333</v>
      </c>
    </row>
    <row r="203" customFormat="false" ht="15.75" hidden="true" customHeight="false" outlineLevel="0" collapsed="false">
      <c r="A203" s="4" t="n">
        <v>45529</v>
      </c>
      <c r="B203" s="1" t="s">
        <v>95</v>
      </c>
      <c r="C203" s="1" t="s">
        <v>89</v>
      </c>
      <c r="D203" s="1" t="n">
        <v>414</v>
      </c>
      <c r="E203" s="1" t="n">
        <v>104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1" t="n">
        <v>-16</v>
      </c>
      <c r="O203" s="1" t="n">
        <v>36.98205</v>
      </c>
    </row>
    <row r="204" customFormat="false" ht="15.75" hidden="true" customHeight="false" outlineLevel="0" collapsed="false">
      <c r="A204" s="4" t="n">
        <v>45529</v>
      </c>
      <c r="B204" s="1" t="s">
        <v>95</v>
      </c>
      <c r="C204" s="1" t="s">
        <v>89</v>
      </c>
      <c r="D204" s="1" t="n">
        <v>479</v>
      </c>
      <c r="E204" s="1" t="n">
        <v>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1" t="n">
        <v>-1</v>
      </c>
      <c r="N204" s="1" t="n">
        <v>0.0103333333333333</v>
      </c>
      <c r="O204" s="1" t="n">
        <v>8.92065</v>
      </c>
    </row>
    <row r="205" customFormat="false" ht="15.75" hidden="true" customHeight="false" outlineLevel="0" collapsed="false">
      <c r="A205" s="4" t="n">
        <v>45529</v>
      </c>
      <c r="B205" s="1" t="s">
        <v>95</v>
      </c>
      <c r="C205" s="1" t="s">
        <v>89</v>
      </c>
      <c r="D205" s="1" t="n">
        <v>394</v>
      </c>
      <c r="E205" s="1" t="n">
        <v>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1" t="n">
        <v>-7</v>
      </c>
      <c r="N205" s="1" t="n">
        <v>0.0095</v>
      </c>
      <c r="O205" s="1" t="n">
        <v>9.9006</v>
      </c>
    </row>
    <row r="206" customFormat="false" ht="15.75" hidden="true" customHeight="false" outlineLevel="0" collapsed="false">
      <c r="A206" s="4" t="n">
        <v>45529</v>
      </c>
      <c r="B206" s="1" t="s">
        <v>88</v>
      </c>
      <c r="C206" s="1" t="s">
        <v>89</v>
      </c>
      <c r="D206" s="1" t="n">
        <v>364</v>
      </c>
      <c r="E206" s="1" t="n">
        <v>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1" t="n">
        <v>-7</v>
      </c>
      <c r="O206" s="1" t="n">
        <v>7.74665</v>
      </c>
    </row>
    <row r="207" customFormat="false" ht="15.75" hidden="true" customHeight="false" outlineLevel="0" collapsed="false">
      <c r="A207" s="4" t="n">
        <v>45529</v>
      </c>
      <c r="B207" s="1" t="s">
        <v>88</v>
      </c>
      <c r="C207" s="1" t="s">
        <v>89</v>
      </c>
      <c r="D207" s="1" t="n">
        <v>1057</v>
      </c>
      <c r="E207" s="1" t="n">
        <v>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1" t="n">
        <v>-11</v>
      </c>
      <c r="O207" s="1" t="n">
        <v>8.43058333333333</v>
      </c>
    </row>
    <row r="208" customFormat="false" ht="15.75" hidden="true" customHeight="false" outlineLevel="0" collapsed="false">
      <c r="A208" s="4" t="n">
        <v>45529</v>
      </c>
      <c r="B208" s="1" t="s">
        <v>95</v>
      </c>
      <c r="C208" s="1" t="s">
        <v>89</v>
      </c>
      <c r="D208" s="1" t="n">
        <v>588</v>
      </c>
      <c r="E208" s="1" t="n">
        <v>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1" t="n">
        <v>-6</v>
      </c>
      <c r="N208" s="1" t="n">
        <v>0.00955</v>
      </c>
      <c r="O208" s="1" t="n">
        <v>8.17705</v>
      </c>
    </row>
    <row r="209" customFormat="false" ht="15.75" hidden="true" customHeight="false" outlineLevel="0" collapsed="false">
      <c r="A209" s="4" t="n">
        <v>45529</v>
      </c>
      <c r="B209" s="1" t="s">
        <v>103</v>
      </c>
      <c r="C209" s="1" t="s">
        <v>104</v>
      </c>
      <c r="D209" s="1" t="n">
        <v>383</v>
      </c>
      <c r="E209" s="1" t="n">
        <v>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1" t="n">
        <v>-1</v>
      </c>
      <c r="O209" s="1" t="n">
        <v>6.39003333333333</v>
      </c>
    </row>
    <row r="210" customFormat="false" ht="15.75" hidden="true" customHeight="false" outlineLevel="0" collapsed="false">
      <c r="A210" s="4" t="n">
        <v>45529</v>
      </c>
      <c r="B210" s="1" t="s">
        <v>95</v>
      </c>
      <c r="C210" s="1" t="s">
        <v>89</v>
      </c>
      <c r="D210" s="1" t="n">
        <v>753</v>
      </c>
      <c r="E210" s="1" t="n">
        <v>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1" t="n">
        <v>-21</v>
      </c>
      <c r="N210" s="1" t="n">
        <v>0.0119333333333333</v>
      </c>
      <c r="O210" s="1" t="n">
        <v>7.96193333333333</v>
      </c>
    </row>
    <row r="211" customFormat="false" ht="15.75" hidden="true" customHeight="false" outlineLevel="0" collapsed="false">
      <c r="A211" s="4" t="n">
        <v>45529</v>
      </c>
      <c r="B211" s="1" t="s">
        <v>107</v>
      </c>
      <c r="C211" s="1" t="s">
        <v>104</v>
      </c>
      <c r="D211" s="1" t="n">
        <v>321</v>
      </c>
      <c r="E211" s="1" t="n">
        <v>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1" t="n">
        <v>-8</v>
      </c>
      <c r="O211" s="1" t="n">
        <v>6.99943333333333</v>
      </c>
    </row>
    <row r="212" customFormat="false" ht="15.75" hidden="true" customHeight="false" outlineLevel="0" collapsed="false">
      <c r="A212" s="4" t="n">
        <v>45529</v>
      </c>
      <c r="B212" s="1" t="s">
        <v>103</v>
      </c>
      <c r="C212" s="1" t="s">
        <v>104</v>
      </c>
      <c r="D212" s="1" t="n">
        <v>394</v>
      </c>
      <c r="E212" s="1" t="n">
        <v>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1" t="n">
        <v>4</v>
      </c>
      <c r="O212" s="1" t="n">
        <v>11.0933</v>
      </c>
    </row>
    <row r="213" customFormat="false" ht="15.75" hidden="true" customHeight="false" outlineLevel="0" collapsed="false">
      <c r="A213" s="4" t="n">
        <v>45529</v>
      </c>
      <c r="B213" s="1" t="s">
        <v>88</v>
      </c>
      <c r="C213" s="1" t="s">
        <v>89</v>
      </c>
      <c r="D213" s="1" t="n">
        <v>329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1" t="n">
        <v>-8</v>
      </c>
      <c r="O213" s="1" t="n">
        <v>6.6026</v>
      </c>
    </row>
    <row r="214" customFormat="false" ht="15.75" hidden="true" customHeight="false" outlineLevel="0" collapsed="false">
      <c r="A214" s="4" t="n">
        <v>45529</v>
      </c>
      <c r="B214" s="1" t="s">
        <v>95</v>
      </c>
      <c r="C214" s="1" t="s">
        <v>89</v>
      </c>
      <c r="D214" s="1" t="n">
        <v>354</v>
      </c>
      <c r="E214" s="1" t="n">
        <v>84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1" t="n">
        <v>-13</v>
      </c>
      <c r="O214" s="1" t="n">
        <v>5.35483333333333</v>
      </c>
    </row>
    <row r="215" customFormat="false" ht="15.75" hidden="true" customHeight="false" outlineLevel="0" collapsed="false">
      <c r="A215" s="4" t="n">
        <v>45529</v>
      </c>
      <c r="B215" s="1" t="s">
        <v>88</v>
      </c>
      <c r="C215" s="1" t="s">
        <v>89</v>
      </c>
      <c r="D215" s="1" t="n">
        <v>716</v>
      </c>
      <c r="E215" s="1" t="n">
        <v>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1" t="n">
        <v>-12</v>
      </c>
      <c r="O215" s="1" t="n">
        <v>7.60501666666667</v>
      </c>
    </row>
    <row r="216" customFormat="false" ht="15.75" hidden="true" customHeight="false" outlineLevel="0" collapsed="false">
      <c r="A216" s="4" t="n">
        <v>45529</v>
      </c>
      <c r="B216" s="1" t="s">
        <v>95</v>
      </c>
      <c r="C216" s="1" t="s">
        <v>89</v>
      </c>
      <c r="D216" s="1" t="n">
        <v>223</v>
      </c>
      <c r="E216" s="1" t="n">
        <v>86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1" t="n">
        <v>-11</v>
      </c>
      <c r="O216" s="1" t="n">
        <v>6.78358333333333</v>
      </c>
    </row>
    <row r="217" customFormat="false" ht="15.75" hidden="true" customHeight="false" outlineLevel="0" collapsed="false">
      <c r="A217" s="4" t="n">
        <v>45529</v>
      </c>
      <c r="B217" s="1" t="s">
        <v>95</v>
      </c>
      <c r="C217" s="1" t="s">
        <v>89</v>
      </c>
      <c r="D217" s="1" t="n">
        <v>507</v>
      </c>
      <c r="E217" s="1" t="n">
        <v>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1" t="n">
        <v>-19</v>
      </c>
      <c r="N217" s="1" t="n">
        <v>0.0127166666666667</v>
      </c>
      <c r="O217" s="1" t="n">
        <v>6.6817</v>
      </c>
    </row>
    <row r="218" customFormat="false" ht="15.75" hidden="true" customHeight="false" outlineLevel="0" collapsed="false">
      <c r="A218" s="4" t="n">
        <v>45529</v>
      </c>
      <c r="B218" s="1" t="s">
        <v>107</v>
      </c>
      <c r="C218" s="1" t="s">
        <v>104</v>
      </c>
      <c r="D218" s="1" t="n">
        <v>499</v>
      </c>
      <c r="E218" s="1" t="n">
        <v>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1" t="n">
        <v>-6</v>
      </c>
      <c r="O218" s="1" t="n">
        <v>8.44391666666667</v>
      </c>
    </row>
    <row r="219" customFormat="false" ht="15.75" hidden="true" customHeight="false" outlineLevel="0" collapsed="false">
      <c r="A219" s="4" t="n">
        <v>45529</v>
      </c>
      <c r="B219" s="1" t="s">
        <v>88</v>
      </c>
      <c r="C219" s="1" t="s">
        <v>89</v>
      </c>
      <c r="D219" s="1" t="n">
        <v>553</v>
      </c>
      <c r="E219" s="1" t="n">
        <v>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1" t="n">
        <v>-13</v>
      </c>
      <c r="O219" s="1" t="n">
        <v>6.24373333333333</v>
      </c>
    </row>
    <row r="220" customFormat="false" ht="15.75" hidden="true" customHeight="false" outlineLevel="0" collapsed="false">
      <c r="A220" s="4" t="n">
        <v>45529</v>
      </c>
      <c r="B220" s="1" t="s">
        <v>107</v>
      </c>
      <c r="C220" s="1" t="s">
        <v>104</v>
      </c>
      <c r="D220" s="1" t="n">
        <v>348</v>
      </c>
      <c r="E220" s="1" t="n">
        <v>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1" t="n">
        <v>-7</v>
      </c>
      <c r="O220" s="1" t="n">
        <v>7.2093</v>
      </c>
    </row>
    <row r="221" customFormat="false" ht="15.75" hidden="true" customHeight="false" outlineLevel="0" collapsed="false">
      <c r="A221" s="4" t="n">
        <v>45529</v>
      </c>
      <c r="B221" s="1" t="s">
        <v>107</v>
      </c>
      <c r="C221" s="1" t="s">
        <v>104</v>
      </c>
      <c r="D221" s="1" t="n">
        <v>427</v>
      </c>
      <c r="E221" s="1" t="n">
        <v>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1" t="n">
        <v>-10</v>
      </c>
      <c r="O221" s="1" t="n">
        <v>4.89385</v>
      </c>
    </row>
    <row r="222" customFormat="false" ht="15.75" hidden="true" customHeight="false" outlineLevel="0" collapsed="false">
      <c r="A222" s="4" t="n">
        <v>45529</v>
      </c>
      <c r="B222" s="1" t="s">
        <v>88</v>
      </c>
      <c r="C222" s="1" t="s">
        <v>89</v>
      </c>
      <c r="D222" s="1" t="n">
        <v>224</v>
      </c>
      <c r="E222" s="1" t="n">
        <v>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1" t="n">
        <v>-11</v>
      </c>
      <c r="O222" s="1" t="n">
        <v>3.74986666666667</v>
      </c>
    </row>
    <row r="223" customFormat="false" ht="15.75" hidden="true" customHeight="false" outlineLevel="0" collapsed="false">
      <c r="A223" s="4" t="n">
        <v>45529</v>
      </c>
      <c r="B223" s="1" t="s">
        <v>88</v>
      </c>
      <c r="C223" s="1" t="s">
        <v>89</v>
      </c>
      <c r="D223" s="1" t="n">
        <v>423</v>
      </c>
      <c r="E223" s="1" t="n">
        <v>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1" t="n">
        <v>-11</v>
      </c>
      <c r="O223" s="1" t="n">
        <v>5.78333333333333</v>
      </c>
    </row>
    <row r="224" customFormat="false" ht="15.75" hidden="true" customHeight="false" outlineLevel="0" collapsed="false">
      <c r="A224" s="4" t="n">
        <v>45529</v>
      </c>
      <c r="B224" s="1" t="s">
        <v>95</v>
      </c>
      <c r="C224" s="1" t="s">
        <v>89</v>
      </c>
      <c r="D224" s="1" t="n">
        <v>316</v>
      </c>
      <c r="E224" s="1" t="n">
        <v>62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1" t="n">
        <v>-11</v>
      </c>
      <c r="O224" s="1" t="n">
        <v>7.32591666666667</v>
      </c>
    </row>
    <row r="225" customFormat="false" ht="15.75" hidden="true" customHeight="false" outlineLevel="0" collapsed="false">
      <c r="A225" s="4" t="n">
        <v>45529</v>
      </c>
      <c r="B225" s="1" t="s">
        <v>103</v>
      </c>
      <c r="C225" s="1" t="s">
        <v>104</v>
      </c>
      <c r="D225" s="1" t="n">
        <v>499</v>
      </c>
      <c r="E225" s="1" t="n">
        <v>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1" t="n">
        <v>-1</v>
      </c>
      <c r="O225" s="1" t="n">
        <v>6.80473333333333</v>
      </c>
    </row>
    <row r="226" customFormat="false" ht="15.75" hidden="true" customHeight="false" outlineLevel="0" collapsed="false">
      <c r="A226" s="4" t="n">
        <v>45529</v>
      </c>
      <c r="B226" s="1" t="s">
        <v>103</v>
      </c>
      <c r="C226" s="1" t="s">
        <v>104</v>
      </c>
      <c r="D226" s="1" t="n">
        <v>378</v>
      </c>
      <c r="E226" s="1" t="n">
        <v>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1" t="n">
        <v>0</v>
      </c>
      <c r="O226" s="1" t="n">
        <v>7.43341666666667</v>
      </c>
    </row>
    <row r="227" customFormat="false" ht="15.75" hidden="true" customHeight="false" outlineLevel="0" collapsed="false">
      <c r="A227" s="4" t="n">
        <v>45529</v>
      </c>
      <c r="B227" s="1" t="s">
        <v>95</v>
      </c>
      <c r="C227" s="1" t="s">
        <v>89</v>
      </c>
      <c r="D227" s="1" t="n">
        <v>513</v>
      </c>
      <c r="E227" s="1" t="n">
        <v>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1" t="n">
        <v>-20</v>
      </c>
      <c r="N227" s="1" t="n">
        <v>0.0101833333333333</v>
      </c>
      <c r="O227" s="1" t="n">
        <v>6.83543333333333</v>
      </c>
    </row>
    <row r="228" customFormat="false" ht="15.75" hidden="true" customHeight="false" outlineLevel="0" collapsed="false">
      <c r="A228" s="4" t="n">
        <v>45529</v>
      </c>
      <c r="B228" s="1" t="s">
        <v>95</v>
      </c>
      <c r="C228" s="1" t="s">
        <v>89</v>
      </c>
      <c r="D228" s="1" t="n">
        <v>598</v>
      </c>
      <c r="E228" s="1" t="n">
        <v>149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1" t="n">
        <v>-17</v>
      </c>
      <c r="O228" s="1" t="n">
        <v>7.0849</v>
      </c>
    </row>
    <row r="229" customFormat="false" ht="15.75" hidden="true" customHeight="false" outlineLevel="0" collapsed="false">
      <c r="A229" s="4" t="n">
        <v>45529</v>
      </c>
      <c r="B229" s="1" t="s">
        <v>95</v>
      </c>
      <c r="C229" s="1" t="s">
        <v>89</v>
      </c>
      <c r="D229" s="1" t="n">
        <v>638</v>
      </c>
      <c r="E229" s="1" t="n">
        <v>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1" t="n">
        <v>-19</v>
      </c>
      <c r="N229" s="1" t="n">
        <v>0.01145</v>
      </c>
      <c r="O229" s="1" t="n">
        <v>6.89525</v>
      </c>
    </row>
    <row r="230" customFormat="false" ht="15.75" hidden="true" customHeight="false" outlineLevel="0" collapsed="false">
      <c r="A230" s="4" t="n">
        <v>45529</v>
      </c>
      <c r="B230" s="1" t="s">
        <v>88</v>
      </c>
      <c r="C230" s="1" t="s">
        <v>89</v>
      </c>
      <c r="D230" s="1" t="n">
        <v>307</v>
      </c>
      <c r="E230" s="1" t="n">
        <v>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1" t="n">
        <v>-7</v>
      </c>
      <c r="O230" s="1" t="n">
        <v>7.44063333333333</v>
      </c>
    </row>
    <row r="231" customFormat="false" ht="15.75" hidden="true" customHeight="false" outlineLevel="0" collapsed="false">
      <c r="A231" s="4" t="n">
        <v>45529</v>
      </c>
      <c r="B231" s="1" t="s">
        <v>95</v>
      </c>
      <c r="C231" s="1" t="s">
        <v>89</v>
      </c>
      <c r="D231" s="1" t="n">
        <v>309</v>
      </c>
      <c r="E231" s="1" t="n">
        <v>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1" t="n">
        <v>-9</v>
      </c>
      <c r="N231" s="1" t="n">
        <v>0.00783333333333333</v>
      </c>
      <c r="O231" s="1" t="n">
        <v>12.5619333333333</v>
      </c>
    </row>
    <row r="232" customFormat="false" ht="15.75" hidden="true" customHeight="false" outlineLevel="0" collapsed="false">
      <c r="A232" s="4" t="n">
        <v>45529</v>
      </c>
      <c r="B232" s="1" t="s">
        <v>107</v>
      </c>
      <c r="C232" s="1" t="s">
        <v>104</v>
      </c>
      <c r="D232" s="1" t="n">
        <v>294</v>
      </c>
      <c r="E232" s="1" t="n">
        <v>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1" t="n">
        <v>0</v>
      </c>
      <c r="O232" s="1" t="n">
        <v>14.8825833333333</v>
      </c>
    </row>
    <row r="233" customFormat="false" ht="15.75" hidden="true" customHeight="false" outlineLevel="0" collapsed="false">
      <c r="A233" s="4" t="n">
        <v>45529</v>
      </c>
      <c r="B233" s="1" t="s">
        <v>95</v>
      </c>
      <c r="C233" s="1" t="s">
        <v>89</v>
      </c>
      <c r="D233" s="1" t="n">
        <v>393</v>
      </c>
      <c r="E233" s="1" t="n">
        <v>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1" t="n">
        <v>-16</v>
      </c>
      <c r="N233" s="1" t="n">
        <v>0.0140833333333333</v>
      </c>
      <c r="O233" s="1" t="n">
        <v>5.88796666666667</v>
      </c>
    </row>
    <row r="234" customFormat="false" ht="15.75" hidden="true" customHeight="false" outlineLevel="0" collapsed="false">
      <c r="A234" s="4" t="n">
        <v>45529</v>
      </c>
      <c r="B234" s="1" t="s">
        <v>88</v>
      </c>
      <c r="C234" s="1" t="s">
        <v>89</v>
      </c>
      <c r="D234" s="1" t="n">
        <v>264</v>
      </c>
      <c r="E234" s="1" t="n">
        <v>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1" t="n">
        <v>-10</v>
      </c>
      <c r="O234" s="1" t="n">
        <v>4.80868333333333</v>
      </c>
    </row>
    <row r="235" customFormat="false" ht="15.75" hidden="true" customHeight="false" outlineLevel="0" collapsed="false">
      <c r="A235" s="4" t="n">
        <v>45529</v>
      </c>
      <c r="B235" s="1" t="s">
        <v>107</v>
      </c>
      <c r="C235" s="1" t="s">
        <v>104</v>
      </c>
      <c r="D235" s="1" t="n">
        <v>321</v>
      </c>
      <c r="E235" s="1" t="n">
        <v>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1" t="n">
        <v>-5</v>
      </c>
      <c r="O235" s="1" t="n">
        <v>9.69875</v>
      </c>
    </row>
    <row r="236" customFormat="false" ht="15.75" hidden="true" customHeight="false" outlineLevel="0" collapsed="false">
      <c r="A236" s="4" t="n">
        <v>45529</v>
      </c>
      <c r="B236" s="1" t="s">
        <v>95</v>
      </c>
      <c r="C236" s="1" t="s">
        <v>89</v>
      </c>
      <c r="D236" s="1" t="n">
        <v>494</v>
      </c>
      <c r="E236" s="1" t="n">
        <v>124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1" t="n">
        <v>-25</v>
      </c>
      <c r="O236" s="1" t="n">
        <v>6.8313</v>
      </c>
    </row>
    <row r="237" customFormat="false" ht="15.75" hidden="true" customHeight="false" outlineLevel="0" collapsed="false">
      <c r="A237" s="4" t="n">
        <v>45529</v>
      </c>
      <c r="B237" s="1" t="s">
        <v>103</v>
      </c>
      <c r="C237" s="1" t="s">
        <v>104</v>
      </c>
      <c r="D237" s="1" t="n">
        <v>429</v>
      </c>
      <c r="E237" s="1" t="n">
        <v>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1" t="n">
        <v>0</v>
      </c>
      <c r="O237" s="1" t="n">
        <v>7.30888333333333</v>
      </c>
    </row>
    <row r="238" customFormat="false" ht="15.75" hidden="true" customHeight="false" outlineLevel="0" collapsed="false">
      <c r="A238" s="4" t="n">
        <v>45529</v>
      </c>
      <c r="B238" s="1" t="s">
        <v>107</v>
      </c>
      <c r="C238" s="1" t="s">
        <v>104</v>
      </c>
      <c r="D238" s="1" t="n">
        <v>329</v>
      </c>
      <c r="E238" s="1" t="n">
        <v>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1" t="n">
        <v>-7</v>
      </c>
      <c r="O238" s="1" t="n">
        <v>7.23195</v>
      </c>
    </row>
    <row r="239" customFormat="false" ht="15.75" hidden="true" customHeight="false" outlineLevel="0" collapsed="false">
      <c r="A239" s="4" t="n">
        <v>45529</v>
      </c>
      <c r="B239" s="1" t="s">
        <v>88</v>
      </c>
      <c r="C239" s="1" t="s">
        <v>89</v>
      </c>
      <c r="D239" s="1" t="n">
        <v>698</v>
      </c>
      <c r="E239" s="1" t="n">
        <v>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1" t="n">
        <v>-7</v>
      </c>
      <c r="O239" s="1" t="n">
        <v>12.31975</v>
      </c>
    </row>
    <row r="240" customFormat="false" ht="15.75" hidden="true" customHeight="false" outlineLevel="0" collapsed="false">
      <c r="A240" s="4" t="n">
        <v>45529</v>
      </c>
      <c r="B240" s="1" t="s">
        <v>95</v>
      </c>
      <c r="C240" s="1" t="s">
        <v>89</v>
      </c>
      <c r="D240" s="1" t="n">
        <v>400</v>
      </c>
      <c r="E240" s="1" t="n">
        <v>87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1" t="n">
        <v>-13</v>
      </c>
      <c r="O240" s="1" t="n">
        <v>15.4210333333333</v>
      </c>
    </row>
    <row r="241" customFormat="false" ht="15.75" hidden="true" customHeight="false" outlineLevel="0" collapsed="false">
      <c r="A241" s="4" t="n">
        <v>45529</v>
      </c>
      <c r="B241" s="1" t="s">
        <v>95</v>
      </c>
      <c r="C241" s="1" t="s">
        <v>89</v>
      </c>
      <c r="D241" s="1" t="n">
        <v>547</v>
      </c>
      <c r="E241" s="1" t="n">
        <v>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1" t="n">
        <v>-16</v>
      </c>
      <c r="N241" s="1" t="n">
        <v>0.0153333333333333</v>
      </c>
      <c r="O241" s="1" t="n">
        <v>7.77816666666667</v>
      </c>
    </row>
    <row r="242" customFormat="false" ht="15.75" hidden="true" customHeight="false" outlineLevel="0" collapsed="false">
      <c r="A242" s="4" t="n">
        <v>45529</v>
      </c>
      <c r="B242" s="1" t="s">
        <v>107</v>
      </c>
      <c r="C242" s="1" t="s">
        <v>104</v>
      </c>
      <c r="D242" s="1" t="n">
        <v>429</v>
      </c>
      <c r="E242" s="1" t="n">
        <v>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1" t="n">
        <v>-4</v>
      </c>
      <c r="O242" s="1" t="n">
        <v>10.4264</v>
      </c>
    </row>
    <row r="243" customFormat="false" ht="15.75" hidden="true" customHeight="false" outlineLevel="0" collapsed="false">
      <c r="A243" s="4" t="n">
        <v>45529</v>
      </c>
      <c r="B243" s="1" t="s">
        <v>107</v>
      </c>
      <c r="C243" s="1" t="s">
        <v>104</v>
      </c>
      <c r="D243" s="1" t="n">
        <v>264</v>
      </c>
      <c r="E243" s="1" t="n">
        <v>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1" t="n">
        <v>-8</v>
      </c>
      <c r="O243" s="1" t="n">
        <v>6.2398</v>
      </c>
    </row>
    <row r="244" customFormat="false" ht="15.75" hidden="true" customHeight="false" outlineLevel="0" collapsed="false">
      <c r="A244" s="4" t="n">
        <v>45529</v>
      </c>
      <c r="B244" s="1" t="s">
        <v>95</v>
      </c>
      <c r="C244" s="1" t="s">
        <v>89</v>
      </c>
      <c r="D244" s="1" t="n">
        <v>309</v>
      </c>
      <c r="E244" s="1" t="n">
        <v>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1" t="n">
        <v>-10</v>
      </c>
      <c r="N244" s="1" t="n">
        <v>0.00721666666666667</v>
      </c>
      <c r="O244" s="1" t="n">
        <v>11.3200666666667</v>
      </c>
    </row>
    <row r="245" customFormat="false" ht="15.75" hidden="true" customHeight="false" outlineLevel="0" collapsed="false">
      <c r="A245" s="4" t="n">
        <v>45529</v>
      </c>
      <c r="B245" s="1" t="s">
        <v>103</v>
      </c>
      <c r="C245" s="1" t="s">
        <v>104</v>
      </c>
      <c r="D245" s="1" t="n">
        <v>419</v>
      </c>
      <c r="E245" s="1" t="n">
        <v>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1" t="n">
        <v>5</v>
      </c>
      <c r="O245" s="1" t="n">
        <v>12.3901666666667</v>
      </c>
    </row>
    <row r="246" customFormat="false" ht="15.75" hidden="true" customHeight="false" outlineLevel="0" collapsed="false">
      <c r="A246" s="4" t="n">
        <v>45529</v>
      </c>
      <c r="B246" s="1" t="s">
        <v>107</v>
      </c>
      <c r="C246" s="1" t="s">
        <v>104</v>
      </c>
      <c r="D246" s="1" t="n">
        <v>528</v>
      </c>
      <c r="E246" s="1" t="n">
        <v>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1" t="n">
        <v>-6</v>
      </c>
      <c r="O246" s="1" t="n">
        <v>13.7343</v>
      </c>
    </row>
    <row r="247" customFormat="false" ht="15.75" hidden="true" customHeight="false" outlineLevel="0" collapsed="false">
      <c r="A247" s="4" t="n">
        <v>45529</v>
      </c>
      <c r="B247" s="1" t="s">
        <v>103</v>
      </c>
      <c r="C247" s="1" t="s">
        <v>104</v>
      </c>
      <c r="D247" s="1" t="n">
        <v>379</v>
      </c>
      <c r="E247" s="1" t="n">
        <v>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1" t="n">
        <v>0</v>
      </c>
      <c r="O247" s="1" t="n">
        <v>7.3336</v>
      </c>
    </row>
    <row r="248" customFormat="false" ht="15.75" hidden="true" customHeight="false" outlineLevel="0" collapsed="false">
      <c r="A248" s="4" t="n">
        <v>45529</v>
      </c>
      <c r="B248" s="1" t="s">
        <v>103</v>
      </c>
      <c r="C248" s="1" t="s">
        <v>104</v>
      </c>
      <c r="D248" s="1" t="n">
        <v>329</v>
      </c>
      <c r="E248" s="1" t="n">
        <v>100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1" t="n">
        <v>0</v>
      </c>
      <c r="O248" s="1" t="n">
        <v>7.93273333333333</v>
      </c>
    </row>
    <row r="249" customFormat="false" ht="15.75" hidden="true" customHeight="false" outlineLevel="0" collapsed="false">
      <c r="A249" s="4" t="n">
        <v>45529</v>
      </c>
      <c r="B249" s="1" t="s">
        <v>103</v>
      </c>
      <c r="C249" s="1" t="s">
        <v>104</v>
      </c>
      <c r="D249" s="1" t="n">
        <v>713</v>
      </c>
      <c r="E249" s="1" t="n">
        <v>150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1" t="n">
        <v>-1</v>
      </c>
      <c r="O249" s="1" t="n">
        <v>8.69495</v>
      </c>
    </row>
    <row r="250" customFormat="false" ht="15.75" hidden="true" customHeight="false" outlineLevel="0" collapsed="false">
      <c r="A250" s="4" t="n">
        <v>45529</v>
      </c>
      <c r="B250" s="1" t="s">
        <v>103</v>
      </c>
      <c r="C250" s="1" t="s">
        <v>104</v>
      </c>
      <c r="D250" s="1" t="n">
        <v>947</v>
      </c>
      <c r="E250" s="1" t="n">
        <v>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1" t="n">
        <v>-1</v>
      </c>
      <c r="O250" s="1" t="n">
        <v>8.21263333333333</v>
      </c>
    </row>
    <row r="251" customFormat="false" ht="15.75" hidden="true" customHeight="false" outlineLevel="0" collapsed="false">
      <c r="A251" s="4" t="n">
        <v>45529</v>
      </c>
      <c r="B251" s="1" t="s">
        <v>107</v>
      </c>
      <c r="C251" s="1" t="s">
        <v>104</v>
      </c>
      <c r="D251" s="1" t="n">
        <v>394</v>
      </c>
      <c r="E251" s="1" t="n">
        <v>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1" t="n">
        <v>-5</v>
      </c>
      <c r="O251" s="1" t="n">
        <v>9.67833333333333</v>
      </c>
    </row>
    <row r="252" customFormat="false" ht="15.75" hidden="true" customHeight="false" outlineLevel="0" collapsed="false">
      <c r="A252" s="4" t="n">
        <v>45529</v>
      </c>
      <c r="B252" s="1" t="s">
        <v>103</v>
      </c>
      <c r="C252" s="1" t="s">
        <v>104</v>
      </c>
      <c r="D252" s="1" t="n">
        <v>528</v>
      </c>
      <c r="E252" s="1" t="n">
        <v>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1" t="n">
        <v>-1</v>
      </c>
      <c r="O252" s="1" t="n">
        <v>6.06435</v>
      </c>
    </row>
    <row r="253" customFormat="false" ht="15.75" hidden="true" customHeight="false" outlineLevel="0" collapsed="false">
      <c r="A253" s="4" t="n">
        <v>45529</v>
      </c>
      <c r="B253" s="1" t="s">
        <v>103</v>
      </c>
      <c r="C253" s="1" t="s">
        <v>104</v>
      </c>
      <c r="D253" s="1" t="n">
        <v>676</v>
      </c>
      <c r="E253" s="1" t="n">
        <v>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1" t="n">
        <v>0</v>
      </c>
      <c r="O253" s="1" t="n">
        <v>9.1631</v>
      </c>
    </row>
    <row r="254" customFormat="false" ht="15.75" hidden="true" customHeight="false" outlineLevel="0" collapsed="false">
      <c r="A254" s="4" t="n">
        <v>45529</v>
      </c>
      <c r="B254" s="1" t="s">
        <v>107</v>
      </c>
      <c r="C254" s="1" t="s">
        <v>104</v>
      </c>
      <c r="D254" s="1" t="n">
        <v>129</v>
      </c>
      <c r="E254" s="1" t="n">
        <v>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1" t="n">
        <v>-8</v>
      </c>
      <c r="O254" s="1" t="n">
        <v>6.99845</v>
      </c>
    </row>
    <row r="255" customFormat="false" ht="15.75" hidden="true" customHeight="false" outlineLevel="0" collapsed="false">
      <c r="A255" s="4" t="n">
        <v>45529</v>
      </c>
      <c r="B255" s="1" t="s">
        <v>95</v>
      </c>
      <c r="C255" s="1" t="s">
        <v>89</v>
      </c>
      <c r="D255" s="1" t="n">
        <v>550</v>
      </c>
      <c r="E255" s="1" t="n">
        <v>17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1" t="n">
        <v>-12</v>
      </c>
      <c r="N255" s="1" t="n">
        <v>0.0111166666666667</v>
      </c>
      <c r="O255" s="1" t="n">
        <v>10.3567</v>
      </c>
    </row>
    <row r="256" customFormat="false" ht="15.75" hidden="true" customHeight="false" outlineLevel="0" collapsed="false">
      <c r="A256" s="4" t="n">
        <v>45529</v>
      </c>
      <c r="B256" s="1" t="s">
        <v>103</v>
      </c>
      <c r="C256" s="1" t="s">
        <v>104</v>
      </c>
      <c r="D256" s="1" t="n">
        <v>364</v>
      </c>
      <c r="E256" s="1" t="n">
        <v>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1" t="n">
        <v>0</v>
      </c>
      <c r="O256" s="1" t="n">
        <v>7.28548333333333</v>
      </c>
    </row>
    <row r="257" customFormat="false" ht="15.75" hidden="true" customHeight="false" outlineLevel="0" collapsed="false">
      <c r="A257" s="4" t="n">
        <v>45529</v>
      </c>
      <c r="B257" s="1" t="s">
        <v>107</v>
      </c>
      <c r="C257" s="1" t="s">
        <v>104</v>
      </c>
      <c r="D257" s="1" t="n">
        <v>693</v>
      </c>
      <c r="E257" s="1" t="n">
        <v>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1" t="n">
        <v>-6</v>
      </c>
      <c r="O257" s="1" t="n">
        <v>13.5904833333333</v>
      </c>
    </row>
    <row r="258" customFormat="false" ht="15.75" hidden="true" customHeight="false" outlineLevel="0" collapsed="false">
      <c r="A258" s="4" t="n">
        <v>45529</v>
      </c>
      <c r="B258" s="1" t="s">
        <v>95</v>
      </c>
      <c r="C258" s="1" t="s">
        <v>89</v>
      </c>
      <c r="D258" s="1" t="n">
        <v>199</v>
      </c>
      <c r="E258" s="1" t="n">
        <v>50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1" t="n">
        <v>-11</v>
      </c>
      <c r="O258" s="1" t="n">
        <v>8.39793333333333</v>
      </c>
    </row>
    <row r="259" customFormat="false" ht="15.75" hidden="true" customHeight="false" outlineLevel="0" collapsed="false">
      <c r="A259" s="4" t="n">
        <v>45529</v>
      </c>
      <c r="B259" s="1" t="s">
        <v>95</v>
      </c>
      <c r="C259" s="1" t="s">
        <v>89</v>
      </c>
      <c r="D259" s="1" t="n">
        <v>309</v>
      </c>
      <c r="E259" s="1" t="n">
        <v>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1" t="n">
        <v>-10</v>
      </c>
      <c r="N259" s="1" t="n">
        <v>0.0111</v>
      </c>
      <c r="O259" s="1" t="n">
        <v>7.19618333333333</v>
      </c>
    </row>
    <row r="260" customFormat="false" ht="15.75" hidden="true" customHeight="false" outlineLevel="0" collapsed="false">
      <c r="A260" s="4" t="n">
        <v>45529</v>
      </c>
      <c r="B260" s="1" t="s">
        <v>95</v>
      </c>
      <c r="C260" s="1" t="s">
        <v>89</v>
      </c>
      <c r="D260" s="1" t="n">
        <v>215</v>
      </c>
      <c r="E260" s="1" t="n">
        <v>54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1" t="n">
        <v>-11</v>
      </c>
      <c r="O260" s="1" t="n">
        <v>7.3835</v>
      </c>
    </row>
    <row r="261" customFormat="false" ht="15.75" hidden="true" customHeight="false" outlineLevel="0" collapsed="false">
      <c r="A261" s="4" t="n">
        <v>45529</v>
      </c>
      <c r="B261" s="1" t="s">
        <v>95</v>
      </c>
      <c r="C261" s="1" t="s">
        <v>89</v>
      </c>
      <c r="D261" s="1" t="n">
        <v>375</v>
      </c>
      <c r="E261" s="1" t="n">
        <v>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1" t="n">
        <v>3</v>
      </c>
      <c r="N261" s="1" t="n">
        <v>5.69986666666667</v>
      </c>
      <c r="O261" s="1" t="n">
        <v>6.88748333333333</v>
      </c>
    </row>
    <row r="262" customFormat="false" ht="15.75" hidden="true" customHeight="false" outlineLevel="0" collapsed="false">
      <c r="A262" s="4" t="n">
        <v>45529</v>
      </c>
      <c r="B262" s="1" t="s">
        <v>228</v>
      </c>
      <c r="C262" s="1" t="s">
        <v>89</v>
      </c>
      <c r="D262" s="1" t="n">
        <v>498</v>
      </c>
      <c r="E262" s="1" t="n">
        <v>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1" t="n">
        <v>1</v>
      </c>
      <c r="O262" s="1" t="n">
        <v>6.62103333333333</v>
      </c>
    </row>
    <row r="263" customFormat="false" ht="15.75" hidden="true" customHeight="false" outlineLevel="0" collapsed="false">
      <c r="A263" s="4" t="n">
        <v>45529</v>
      </c>
      <c r="B263" s="1" t="s">
        <v>103</v>
      </c>
      <c r="C263" s="1" t="s">
        <v>104</v>
      </c>
      <c r="D263" s="1" t="n">
        <v>351</v>
      </c>
      <c r="E263" s="1" t="n">
        <v>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1" t="n">
        <v>3</v>
      </c>
      <c r="O263" s="1" t="n">
        <v>10.0947333333333</v>
      </c>
    </row>
    <row r="264" customFormat="false" ht="15.75" hidden="true" customHeight="false" outlineLevel="0" collapsed="false">
      <c r="A264" s="4" t="n">
        <v>45529</v>
      </c>
      <c r="B264" s="1" t="s">
        <v>103</v>
      </c>
      <c r="C264" s="1" t="s">
        <v>104</v>
      </c>
      <c r="D264" s="1" t="n">
        <v>319</v>
      </c>
      <c r="E264" s="1" t="n">
        <v>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1" t="n">
        <v>1</v>
      </c>
      <c r="O264" s="1" t="n">
        <v>8.83491666666667</v>
      </c>
    </row>
    <row r="265" customFormat="false" ht="15.75" hidden="true" customHeight="false" outlineLevel="0" collapsed="false">
      <c r="A265" s="4" t="n">
        <v>45529</v>
      </c>
      <c r="B265" s="1" t="s">
        <v>103</v>
      </c>
      <c r="C265" s="1" t="s">
        <v>104</v>
      </c>
      <c r="D265" s="1" t="n">
        <v>364</v>
      </c>
      <c r="E265" s="1" t="n">
        <v>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1" t="n">
        <v>1</v>
      </c>
      <c r="O265" s="1" t="n">
        <v>8.10393333333333</v>
      </c>
    </row>
    <row r="266" customFormat="false" ht="15.75" hidden="true" customHeight="false" outlineLevel="0" collapsed="false">
      <c r="A266" s="4" t="n">
        <v>45529</v>
      </c>
      <c r="B266" s="1" t="s">
        <v>88</v>
      </c>
      <c r="C266" s="1" t="s">
        <v>89</v>
      </c>
      <c r="D266" s="1" t="n">
        <v>418</v>
      </c>
      <c r="E266" s="1" t="n">
        <v>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1" t="n">
        <v>-7</v>
      </c>
      <c r="O266" s="1" t="n">
        <v>7.15316666666667</v>
      </c>
    </row>
    <row r="267" customFormat="false" ht="15.75" hidden="true" customHeight="false" outlineLevel="0" collapsed="false">
      <c r="A267" s="4" t="n">
        <v>45529</v>
      </c>
      <c r="B267" s="1" t="s">
        <v>103</v>
      </c>
      <c r="C267" s="1" t="s">
        <v>104</v>
      </c>
      <c r="D267" s="1" t="n">
        <v>268</v>
      </c>
      <c r="E267" s="1" t="n">
        <v>100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1" t="n">
        <v>1</v>
      </c>
      <c r="O267" s="1" t="n">
        <v>8.19591666666667</v>
      </c>
    </row>
    <row r="268" customFormat="false" ht="15.75" hidden="true" customHeight="false" outlineLevel="0" collapsed="false">
      <c r="A268" s="4" t="n">
        <v>45529</v>
      </c>
      <c r="B268" s="1" t="s">
        <v>103</v>
      </c>
      <c r="C268" s="1" t="s">
        <v>104</v>
      </c>
      <c r="D268" s="1" t="n">
        <v>264</v>
      </c>
      <c r="E268" s="1" t="n">
        <v>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1" t="n">
        <v>0</v>
      </c>
      <c r="O268" s="1" t="n">
        <v>7.16788333333333</v>
      </c>
    </row>
    <row r="269" customFormat="false" ht="15.75" hidden="true" customHeight="false" outlineLevel="0" collapsed="false">
      <c r="A269" s="4" t="n">
        <v>45529</v>
      </c>
      <c r="B269" s="1" t="s">
        <v>103</v>
      </c>
      <c r="C269" s="1" t="s">
        <v>104</v>
      </c>
      <c r="D269" s="1" t="n">
        <v>408</v>
      </c>
      <c r="E269" s="1" t="n">
        <v>150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1" t="n">
        <v>-1</v>
      </c>
      <c r="O269" s="1" t="n">
        <v>7.69401666666667</v>
      </c>
    </row>
    <row r="270" customFormat="false" ht="15.75" hidden="true" customHeight="false" outlineLevel="0" collapsed="false">
      <c r="A270" s="4" t="n">
        <v>45529</v>
      </c>
      <c r="B270" s="1" t="s">
        <v>95</v>
      </c>
      <c r="C270" s="1" t="s">
        <v>89</v>
      </c>
      <c r="D270" s="1" t="n">
        <v>245</v>
      </c>
      <c r="E270" s="1" t="n">
        <v>61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1" t="n">
        <v>-8</v>
      </c>
      <c r="O270" s="1" t="n">
        <v>10.4951333333333</v>
      </c>
    </row>
    <row r="271" customFormat="false" ht="15.75" hidden="true" customHeight="false" outlineLevel="0" collapsed="false">
      <c r="A271" s="4" t="n">
        <v>45529</v>
      </c>
      <c r="B271" s="1" t="s">
        <v>95</v>
      </c>
      <c r="C271" s="1" t="s">
        <v>89</v>
      </c>
      <c r="D271" s="1" t="n">
        <v>547</v>
      </c>
      <c r="E271" s="1" t="n">
        <v>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1" t="n">
        <v>-11</v>
      </c>
      <c r="N271" s="1" t="n">
        <v>0.0113</v>
      </c>
      <c r="O271" s="1" t="n">
        <v>7.8432</v>
      </c>
    </row>
    <row r="272" customFormat="false" ht="15.75" hidden="true" customHeight="false" outlineLevel="0" collapsed="false">
      <c r="A272" s="4" t="n">
        <v>45529</v>
      </c>
      <c r="B272" s="1" t="s">
        <v>88</v>
      </c>
      <c r="C272" s="1" t="s">
        <v>89</v>
      </c>
      <c r="D272" s="1" t="n">
        <v>303</v>
      </c>
      <c r="E272" s="1" t="n">
        <v>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1" t="n">
        <v>-9</v>
      </c>
      <c r="O272" s="1" t="n">
        <v>5.666</v>
      </c>
    </row>
    <row r="273" customFormat="false" ht="15.75" hidden="true" customHeight="false" outlineLevel="0" collapsed="false">
      <c r="A273" s="4" t="n">
        <v>45529</v>
      </c>
      <c r="B273" s="1" t="s">
        <v>103</v>
      </c>
      <c r="C273" s="1" t="s">
        <v>104</v>
      </c>
      <c r="D273" s="1" t="n">
        <v>922</v>
      </c>
      <c r="E273" s="1" t="n">
        <v>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1" t="n">
        <v>-1</v>
      </c>
      <c r="O273" s="1" t="n">
        <v>8.22483333333333</v>
      </c>
    </row>
    <row r="274" customFormat="false" ht="15.75" hidden="true" customHeight="false" outlineLevel="0" collapsed="false">
      <c r="A274" s="4" t="n">
        <v>45529</v>
      </c>
      <c r="B274" s="1" t="s">
        <v>95</v>
      </c>
      <c r="C274" s="1" t="s">
        <v>89</v>
      </c>
      <c r="D274" s="1" t="n">
        <v>354</v>
      </c>
      <c r="E274" s="1" t="n">
        <v>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1" t="n">
        <v>-16</v>
      </c>
      <c r="N274" s="1" t="n">
        <v>0.0119</v>
      </c>
      <c r="O274" s="1" t="n">
        <v>6.89731666666667</v>
      </c>
    </row>
    <row r="275" customFormat="false" ht="15.75" hidden="true" customHeight="false" outlineLevel="0" collapsed="false">
      <c r="A275" s="4" t="n">
        <v>45529</v>
      </c>
      <c r="B275" s="1" t="s">
        <v>95</v>
      </c>
      <c r="C275" s="1" t="s">
        <v>89</v>
      </c>
      <c r="D275" s="1" t="n">
        <v>522</v>
      </c>
      <c r="E275" s="1" t="n">
        <v>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1" t="n">
        <v>-7</v>
      </c>
      <c r="N275" s="1" t="n">
        <v>0.0133666666666667</v>
      </c>
      <c r="O275" s="1" t="n">
        <v>10.7129666666667</v>
      </c>
    </row>
    <row r="276" customFormat="false" ht="15.75" hidden="true" customHeight="false" outlineLevel="0" collapsed="false">
      <c r="A276" s="4" t="n">
        <v>45529</v>
      </c>
      <c r="B276" s="1" t="s">
        <v>95</v>
      </c>
      <c r="C276" s="1" t="s">
        <v>89</v>
      </c>
      <c r="D276" s="1" t="n">
        <v>533</v>
      </c>
      <c r="E276" s="1" t="n">
        <v>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1" t="n">
        <v>-7</v>
      </c>
      <c r="N276" s="1" t="n">
        <v>5.68866666666667</v>
      </c>
      <c r="O276" s="1" t="n">
        <v>11.8608</v>
      </c>
    </row>
    <row r="277" customFormat="false" ht="15.75" hidden="true" customHeight="false" outlineLevel="0" collapsed="false">
      <c r="A277" s="4" t="n">
        <v>45529</v>
      </c>
      <c r="B277" s="1" t="s">
        <v>103</v>
      </c>
      <c r="C277" s="1" t="s">
        <v>104</v>
      </c>
      <c r="D277" s="1" t="n">
        <v>387</v>
      </c>
      <c r="E277" s="1" t="n">
        <v>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1" t="n">
        <v>0</v>
      </c>
      <c r="O277" s="1" t="n">
        <v>7.42385</v>
      </c>
    </row>
    <row r="278" customFormat="false" ht="15.75" hidden="true" customHeight="false" outlineLevel="0" collapsed="false">
      <c r="A278" s="4" t="n">
        <v>45529</v>
      </c>
      <c r="B278" s="1" t="s">
        <v>88</v>
      </c>
      <c r="C278" s="1" t="s">
        <v>89</v>
      </c>
      <c r="D278" s="1" t="n">
        <v>657</v>
      </c>
      <c r="E278" s="1" t="n">
        <v>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1" t="n">
        <v>-12</v>
      </c>
      <c r="O278" s="1" t="n">
        <v>7.0929</v>
      </c>
    </row>
    <row r="279" customFormat="false" ht="15.75" hidden="true" customHeight="false" outlineLevel="0" collapsed="false">
      <c r="A279" s="4" t="n">
        <v>45529</v>
      </c>
      <c r="B279" s="1" t="s">
        <v>103</v>
      </c>
      <c r="C279" s="1" t="s">
        <v>104</v>
      </c>
      <c r="D279" s="1" t="n">
        <v>214</v>
      </c>
      <c r="E279" s="1" t="n">
        <v>50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1" t="n">
        <v>0</v>
      </c>
      <c r="O279" s="1" t="n">
        <v>6.16905</v>
      </c>
    </row>
    <row r="280" customFormat="false" ht="15.75" hidden="true" customHeight="false" outlineLevel="0" collapsed="false">
      <c r="A280" s="4" t="n">
        <v>45529</v>
      </c>
      <c r="B280" s="1" t="s">
        <v>107</v>
      </c>
      <c r="C280" s="1" t="s">
        <v>104</v>
      </c>
      <c r="D280" s="1" t="n">
        <v>313</v>
      </c>
      <c r="E280" s="1" t="n">
        <v>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1" t="n">
        <v>-6</v>
      </c>
      <c r="O280" s="1" t="n">
        <v>8.67443333333333</v>
      </c>
    </row>
    <row r="281" customFormat="false" ht="15.75" hidden="true" customHeight="false" outlineLevel="0" collapsed="false">
      <c r="A281" s="4" t="n">
        <v>45529</v>
      </c>
      <c r="B281" s="1" t="s">
        <v>103</v>
      </c>
      <c r="C281" s="1" t="s">
        <v>104</v>
      </c>
      <c r="D281" s="1" t="n">
        <v>786</v>
      </c>
      <c r="E281" s="1" t="n">
        <v>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1" t="n">
        <v>-1</v>
      </c>
      <c r="O281" s="1" t="n">
        <v>8.61823333333333</v>
      </c>
    </row>
    <row r="282" customFormat="false" ht="15.75" hidden="true" customHeight="false" outlineLevel="0" collapsed="false">
      <c r="A282" s="4" t="n">
        <v>45529</v>
      </c>
      <c r="B282" s="1" t="s">
        <v>95</v>
      </c>
      <c r="C282" s="1" t="s">
        <v>89</v>
      </c>
      <c r="D282" s="1" t="n">
        <v>329</v>
      </c>
      <c r="E282" s="1" t="n">
        <v>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1" t="n">
        <v>-7</v>
      </c>
      <c r="N282" s="1" t="n">
        <v>0.0113333333333333</v>
      </c>
      <c r="O282" s="1" t="n">
        <v>11.64095</v>
      </c>
    </row>
    <row r="283" customFormat="false" ht="15.75" hidden="true" customHeight="false" outlineLevel="0" collapsed="false">
      <c r="A283" s="4" t="n">
        <v>45529</v>
      </c>
      <c r="B283" s="1" t="s">
        <v>103</v>
      </c>
      <c r="C283" s="1" t="s">
        <v>104</v>
      </c>
      <c r="D283" s="1" t="n">
        <v>443</v>
      </c>
      <c r="E283" s="1" t="n">
        <v>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1" t="n">
        <v>3</v>
      </c>
      <c r="O283" s="1" t="n">
        <v>11.7624833333333</v>
      </c>
    </row>
    <row r="284" customFormat="false" ht="15.75" hidden="true" customHeight="false" outlineLevel="0" collapsed="false">
      <c r="A284" s="4" t="n">
        <v>45529</v>
      </c>
      <c r="B284" s="1" t="s">
        <v>103</v>
      </c>
      <c r="C284" s="1" t="s">
        <v>104</v>
      </c>
      <c r="D284" s="1" t="n">
        <v>507</v>
      </c>
      <c r="E284" s="1" t="n">
        <v>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1" t="n">
        <v>0</v>
      </c>
      <c r="O284" s="1" t="n">
        <v>8.8061</v>
      </c>
    </row>
    <row r="285" customFormat="false" ht="15.75" hidden="true" customHeight="false" outlineLevel="0" collapsed="false">
      <c r="A285" s="4" t="n">
        <v>45529</v>
      </c>
      <c r="B285" s="1" t="s">
        <v>88</v>
      </c>
      <c r="C285" s="1" t="s">
        <v>89</v>
      </c>
      <c r="D285" s="1" t="n">
        <v>321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1" t="n">
        <v>-7</v>
      </c>
      <c r="O285" s="1" t="n">
        <v>7.12978333333333</v>
      </c>
    </row>
    <row r="286" customFormat="false" ht="15.75" hidden="true" customHeight="false" outlineLevel="0" collapsed="false">
      <c r="A286" s="4" t="n">
        <v>45529</v>
      </c>
      <c r="B286" s="1" t="s">
        <v>95</v>
      </c>
      <c r="C286" s="1" t="s">
        <v>89</v>
      </c>
      <c r="D286" s="1" t="n">
        <v>239</v>
      </c>
      <c r="E286" s="1" t="n">
        <v>11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1" t="n">
        <v>-12</v>
      </c>
      <c r="N286" s="1" t="n">
        <v>0.0109333333333333</v>
      </c>
      <c r="O286" s="1" t="n">
        <v>54.2505166666667</v>
      </c>
    </row>
    <row r="287" customFormat="false" ht="15.75" hidden="true" customHeight="false" outlineLevel="0" collapsed="false">
      <c r="A287" s="4" t="n">
        <v>45530</v>
      </c>
      <c r="B287" s="1" t="s">
        <v>95</v>
      </c>
      <c r="C287" s="1" t="s">
        <v>89</v>
      </c>
      <c r="D287" s="1" t="n">
        <v>397</v>
      </c>
      <c r="E287" s="1" t="n">
        <v>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1" t="n">
        <v>-2</v>
      </c>
      <c r="N287" s="1" t="n">
        <v>0.979016666666667</v>
      </c>
      <c r="O287" s="1" t="n">
        <v>10.9532666666667</v>
      </c>
    </row>
    <row r="288" customFormat="false" ht="15.75" hidden="true" customHeight="false" outlineLevel="0" collapsed="false">
      <c r="A288" s="4" t="n">
        <v>45530</v>
      </c>
      <c r="B288" s="1" t="s">
        <v>88</v>
      </c>
      <c r="C288" s="1" t="s">
        <v>89</v>
      </c>
      <c r="D288" s="1" t="n">
        <v>294</v>
      </c>
      <c r="E288" s="1" t="n">
        <v>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1" t="n">
        <v>-6</v>
      </c>
      <c r="O288" s="1" t="n">
        <v>8.00593333333333</v>
      </c>
    </row>
    <row r="289" customFormat="false" ht="15.75" hidden="true" customHeight="false" outlineLevel="0" collapsed="false">
      <c r="A289" s="4" t="n">
        <v>45530</v>
      </c>
      <c r="B289" s="1" t="s">
        <v>103</v>
      </c>
      <c r="C289" s="1" t="s">
        <v>89</v>
      </c>
      <c r="D289" s="1" t="n">
        <v>424</v>
      </c>
      <c r="E289" s="1" t="n">
        <v>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1" t="n">
        <v>2</v>
      </c>
      <c r="O289" s="1" t="n">
        <v>10.3038333333333</v>
      </c>
    </row>
    <row r="290" customFormat="false" ht="15.75" hidden="true" customHeight="false" outlineLevel="0" collapsed="false">
      <c r="A290" s="4" t="n">
        <v>45530</v>
      </c>
      <c r="B290" s="1" t="s">
        <v>88</v>
      </c>
      <c r="C290" s="1" t="s">
        <v>89</v>
      </c>
      <c r="D290" s="1" t="n">
        <v>343</v>
      </c>
      <c r="E290" s="1" t="n">
        <v>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1" t="n">
        <v>-1</v>
      </c>
      <c r="O290" s="1" t="n">
        <v>13.6810333333333</v>
      </c>
    </row>
    <row r="291" customFormat="false" ht="15.75" hidden="true" customHeight="false" outlineLevel="0" collapsed="false">
      <c r="A291" s="4" t="n">
        <v>45530</v>
      </c>
      <c r="B291" s="1" t="s">
        <v>103</v>
      </c>
      <c r="C291" s="1" t="s">
        <v>89</v>
      </c>
      <c r="D291" s="1" t="n">
        <v>293</v>
      </c>
      <c r="E291" s="1" t="n">
        <v>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1" t="n">
        <v>-6</v>
      </c>
      <c r="O291" s="1" t="n">
        <v>0.758266666666667</v>
      </c>
    </row>
    <row r="292" customFormat="false" ht="15.75" hidden="true" customHeight="false" outlineLevel="0" collapsed="false">
      <c r="A292" s="4" t="n">
        <v>45530</v>
      </c>
      <c r="B292" s="1" t="s">
        <v>95</v>
      </c>
      <c r="C292" s="1" t="s">
        <v>89</v>
      </c>
      <c r="D292" s="1" t="n">
        <v>414</v>
      </c>
      <c r="E292" s="1" t="n">
        <v>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1" t="n">
        <v>-16</v>
      </c>
      <c r="N292" s="1" t="n">
        <v>0.0100666666666667</v>
      </c>
      <c r="O292" s="1" t="n">
        <v>10.1180666666667</v>
      </c>
    </row>
    <row r="293" customFormat="false" ht="15.75" hidden="true" customHeight="false" outlineLevel="0" collapsed="false">
      <c r="A293" s="4" t="n">
        <v>45530</v>
      </c>
      <c r="B293" s="1" t="s">
        <v>103</v>
      </c>
      <c r="C293" s="1" t="s">
        <v>89</v>
      </c>
      <c r="D293" s="1" t="n">
        <v>321</v>
      </c>
      <c r="E293" s="1" t="n">
        <v>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1" t="n">
        <v>-6</v>
      </c>
      <c r="O293" s="1" t="n">
        <v>0.437866666666667</v>
      </c>
    </row>
    <row r="294" customFormat="false" ht="15.75" hidden="true" customHeight="false" outlineLevel="0" collapsed="false">
      <c r="A294" s="4" t="n">
        <v>45530</v>
      </c>
      <c r="B294" s="1" t="s">
        <v>228</v>
      </c>
      <c r="C294" s="1" t="s">
        <v>89</v>
      </c>
      <c r="D294" s="1" t="n">
        <v>49</v>
      </c>
      <c r="E294" s="1" t="n">
        <v>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1" t="n">
        <v>-4</v>
      </c>
      <c r="O294" s="1" t="n">
        <v>0.376816666666667</v>
      </c>
    </row>
    <row r="295" customFormat="false" ht="15.75" hidden="true" customHeight="false" outlineLevel="0" collapsed="false">
      <c r="A295" s="4" t="n">
        <v>45530</v>
      </c>
      <c r="B295" s="1" t="s">
        <v>107</v>
      </c>
      <c r="C295" s="1" t="s">
        <v>89</v>
      </c>
      <c r="D295" s="1" t="n">
        <v>321</v>
      </c>
      <c r="E295" s="1" t="n">
        <v>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1" t="n">
        <v>-6</v>
      </c>
      <c r="O295" s="1" t="n">
        <v>8.45743333333333</v>
      </c>
    </row>
    <row r="296" customFormat="false" ht="15.75" hidden="true" customHeight="false" outlineLevel="0" collapsed="false">
      <c r="A296" s="4" t="n">
        <v>45530</v>
      </c>
      <c r="B296" s="1" t="s">
        <v>107</v>
      </c>
      <c r="C296" s="1" t="s">
        <v>89</v>
      </c>
      <c r="D296" s="1" t="n">
        <v>425</v>
      </c>
      <c r="E296" s="1" t="n">
        <v>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1" t="n">
        <v>-4</v>
      </c>
      <c r="O296" s="1" t="n">
        <v>10.9680833333333</v>
      </c>
    </row>
    <row r="297" customFormat="false" ht="15.75" hidden="true" customHeight="false" outlineLevel="0" collapsed="false">
      <c r="A297" s="4" t="n">
        <v>45530</v>
      </c>
      <c r="B297" s="1" t="s">
        <v>95</v>
      </c>
      <c r="C297" s="1" t="s">
        <v>89</v>
      </c>
      <c r="D297" s="1" t="n">
        <v>265</v>
      </c>
      <c r="E297" s="1" t="n">
        <v>66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1" t="n">
        <v>-11</v>
      </c>
      <c r="O297" s="1" t="n">
        <v>8.71651666666667</v>
      </c>
    </row>
    <row r="298" customFormat="false" ht="15.75" hidden="true" customHeight="false" outlineLevel="0" collapsed="false">
      <c r="A298" s="4" t="n">
        <v>45530</v>
      </c>
      <c r="B298" s="1" t="s">
        <v>95</v>
      </c>
      <c r="C298" s="1" t="s">
        <v>89</v>
      </c>
      <c r="D298" s="1" t="n">
        <v>498</v>
      </c>
      <c r="E298" s="1" t="n">
        <v>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1" t="n">
        <v>17</v>
      </c>
      <c r="N298" s="1" t="n">
        <v>10.7294666666667</v>
      </c>
      <c r="O298" s="1" t="n">
        <v>9.44488333333333</v>
      </c>
    </row>
    <row r="299" customFormat="false" ht="15.75" hidden="true" customHeight="false" outlineLevel="0" collapsed="false">
      <c r="A299" s="4" t="n">
        <v>45530</v>
      </c>
      <c r="B299" s="1" t="s">
        <v>103</v>
      </c>
      <c r="C299" s="1" t="s">
        <v>89</v>
      </c>
      <c r="D299" s="1" t="n">
        <v>264</v>
      </c>
      <c r="E299" s="1" t="n">
        <v>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1" t="n">
        <v>1</v>
      </c>
      <c r="O299" s="1" t="n">
        <v>7.57215</v>
      </c>
    </row>
    <row r="300" customFormat="false" ht="15.75" hidden="true" customHeight="false" outlineLevel="0" collapsed="false">
      <c r="A300" s="4" t="n">
        <v>45530</v>
      </c>
      <c r="B300" s="1" t="s">
        <v>88</v>
      </c>
      <c r="C300" s="1" t="s">
        <v>89</v>
      </c>
      <c r="D300" s="1" t="n">
        <v>369</v>
      </c>
      <c r="E300" s="1" t="n">
        <v>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1" t="n">
        <v>-8</v>
      </c>
      <c r="O300" s="1" t="n">
        <v>6.61636666666667</v>
      </c>
    </row>
    <row r="301" customFormat="false" ht="15.75" hidden="true" customHeight="false" outlineLevel="0" collapsed="false">
      <c r="A301" s="4" t="n">
        <v>45530</v>
      </c>
      <c r="B301" s="1" t="s">
        <v>103</v>
      </c>
      <c r="C301" s="1" t="s">
        <v>104</v>
      </c>
      <c r="D301" s="1" t="n">
        <v>433</v>
      </c>
      <c r="E301" s="1" t="n">
        <v>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1" t="n">
        <v>-1</v>
      </c>
      <c r="O301" s="1" t="n">
        <v>6.66641666666667</v>
      </c>
    </row>
    <row r="302" customFormat="false" ht="15.75" hidden="true" customHeight="false" outlineLevel="0" collapsed="false">
      <c r="A302" s="4" t="n">
        <v>45530</v>
      </c>
      <c r="B302" s="1" t="s">
        <v>95</v>
      </c>
      <c r="C302" s="1" t="s">
        <v>89</v>
      </c>
      <c r="D302" s="1" t="n">
        <v>299</v>
      </c>
      <c r="E302" s="1" t="n">
        <v>75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1" t="n">
        <v>-8</v>
      </c>
      <c r="O302" s="1" t="n">
        <v>11.7077166666667</v>
      </c>
    </row>
    <row r="303" customFormat="false" ht="15.75" hidden="true" customHeight="false" outlineLevel="0" collapsed="false">
      <c r="A303" s="4" t="n">
        <v>45530</v>
      </c>
      <c r="B303" s="1" t="s">
        <v>103</v>
      </c>
      <c r="C303" s="1" t="s">
        <v>104</v>
      </c>
      <c r="D303" s="1" t="n">
        <v>657</v>
      </c>
      <c r="E303" s="1" t="n">
        <v>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1" t="n">
        <v>0</v>
      </c>
      <c r="O303" s="1" t="n">
        <v>9.60728333333333</v>
      </c>
    </row>
    <row r="304" customFormat="false" ht="15.75" hidden="true" customHeight="false" outlineLevel="0" collapsed="false">
      <c r="A304" s="4" t="n">
        <v>45530</v>
      </c>
      <c r="B304" s="1" t="s">
        <v>88</v>
      </c>
      <c r="C304" s="1" t="s">
        <v>89</v>
      </c>
      <c r="D304" s="1" t="n">
        <v>378</v>
      </c>
      <c r="E304" s="1" t="n">
        <v>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1" t="n">
        <v>-8</v>
      </c>
      <c r="O304" s="1" t="n">
        <v>6.53323333333333</v>
      </c>
    </row>
    <row r="305" customFormat="false" ht="15.75" hidden="true" customHeight="false" outlineLevel="0" collapsed="false">
      <c r="A305" s="4" t="n">
        <v>45530</v>
      </c>
      <c r="B305" s="1" t="s">
        <v>107</v>
      </c>
      <c r="C305" s="1" t="s">
        <v>104</v>
      </c>
      <c r="D305" s="1" t="n">
        <v>329</v>
      </c>
      <c r="E305" s="1" t="n">
        <v>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1" t="n">
        <v>-8</v>
      </c>
      <c r="O305" s="1" t="n">
        <v>6.38385</v>
      </c>
    </row>
    <row r="306" customFormat="false" ht="15.75" hidden="true" customHeight="false" outlineLevel="0" collapsed="false">
      <c r="A306" s="4" t="n">
        <v>45530</v>
      </c>
      <c r="B306" s="1" t="s">
        <v>88</v>
      </c>
      <c r="C306" s="1" t="s">
        <v>89</v>
      </c>
      <c r="D306" s="1" t="n">
        <v>364</v>
      </c>
      <c r="E306" s="1" t="n">
        <v>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1" t="n">
        <v>-9</v>
      </c>
      <c r="O306" s="1" t="n">
        <v>5.36216666666667</v>
      </c>
    </row>
    <row r="307" customFormat="false" ht="15.75" hidden="true" customHeight="false" outlineLevel="0" collapsed="false">
      <c r="A307" s="4" t="n">
        <v>45530</v>
      </c>
      <c r="B307" s="1" t="s">
        <v>95</v>
      </c>
      <c r="C307" s="1" t="s">
        <v>89</v>
      </c>
      <c r="D307" s="1" t="n">
        <v>458</v>
      </c>
      <c r="E307" s="1" t="n">
        <v>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1" t="n">
        <v>-11</v>
      </c>
      <c r="N307" s="1" t="n">
        <v>0.00901666666666667</v>
      </c>
      <c r="O307" s="1" t="n">
        <v>6.97493333333333</v>
      </c>
    </row>
    <row r="308" customFormat="false" ht="15.75" hidden="true" customHeight="false" outlineLevel="0" collapsed="false">
      <c r="A308" s="4" t="n">
        <v>45530</v>
      </c>
      <c r="B308" s="1" t="s">
        <v>95</v>
      </c>
      <c r="C308" s="1" t="s">
        <v>89</v>
      </c>
      <c r="D308" s="1" t="n">
        <v>468</v>
      </c>
      <c r="E308" s="1" t="n">
        <v>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1" t="n">
        <v>1</v>
      </c>
      <c r="N308" s="1" t="n">
        <v>8.65115</v>
      </c>
      <c r="O308" s="1" t="n">
        <v>11.0219</v>
      </c>
    </row>
    <row r="309" customFormat="false" ht="15.75" hidden="true" customHeight="false" outlineLevel="0" collapsed="false">
      <c r="A309" s="4" t="n">
        <v>45530</v>
      </c>
      <c r="B309" s="1" t="s">
        <v>103</v>
      </c>
      <c r="C309" s="1" t="s">
        <v>104</v>
      </c>
      <c r="D309" s="1" t="n">
        <v>464</v>
      </c>
      <c r="E309" s="1" t="n">
        <v>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1" t="n">
        <v>2</v>
      </c>
      <c r="O309" s="1" t="n">
        <v>11.4409833333333</v>
      </c>
    </row>
    <row r="310" customFormat="false" ht="15.75" hidden="true" customHeight="false" outlineLevel="0" collapsed="false">
      <c r="A310" s="4" t="n">
        <v>45530</v>
      </c>
      <c r="B310" s="1" t="s">
        <v>103</v>
      </c>
      <c r="C310" s="1" t="s">
        <v>104</v>
      </c>
      <c r="D310" s="1" t="n">
        <v>264</v>
      </c>
      <c r="E310" s="1" t="n">
        <v>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1" t="n">
        <v>2</v>
      </c>
      <c r="O310" s="1" t="n">
        <v>9.81928333333333</v>
      </c>
    </row>
    <row r="311" customFormat="false" ht="15.75" hidden="true" customHeight="false" outlineLevel="0" collapsed="false">
      <c r="A311" s="4" t="n">
        <v>45530</v>
      </c>
      <c r="B311" s="1" t="s">
        <v>103</v>
      </c>
      <c r="C311" s="1" t="s">
        <v>104</v>
      </c>
      <c r="D311" s="1" t="n">
        <v>268</v>
      </c>
      <c r="E311" s="1" t="n">
        <v>100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1" t="n">
        <v>0</v>
      </c>
      <c r="O311" s="1" t="n">
        <v>6.95071666666667</v>
      </c>
    </row>
    <row r="312" customFormat="false" ht="15.75" hidden="true" customHeight="false" outlineLevel="0" collapsed="false">
      <c r="A312" s="4" t="n">
        <v>45530</v>
      </c>
      <c r="B312" s="1" t="s">
        <v>228</v>
      </c>
      <c r="C312" s="1" t="s">
        <v>89</v>
      </c>
      <c r="D312" s="1" t="n">
        <v>309</v>
      </c>
      <c r="E312" s="1" t="n">
        <v>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1" t="n">
        <v>2</v>
      </c>
      <c r="O312" s="1" t="n">
        <v>7.16703333333333</v>
      </c>
    </row>
    <row r="313" customFormat="false" ht="15.75" hidden="true" customHeight="false" outlineLevel="0" collapsed="false">
      <c r="A313" s="4" t="n">
        <v>45530</v>
      </c>
      <c r="B313" s="1" t="s">
        <v>95</v>
      </c>
      <c r="C313" s="1" t="s">
        <v>89</v>
      </c>
      <c r="D313" s="1" t="n">
        <v>282</v>
      </c>
      <c r="E313" s="1" t="n">
        <v>27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1" t="n">
        <v>-6</v>
      </c>
      <c r="N313" s="1" t="n">
        <v>0.00995</v>
      </c>
      <c r="O313" s="1" t="n">
        <v>9.97208333333333</v>
      </c>
    </row>
    <row r="314" customFormat="false" ht="15.75" hidden="true" customHeight="false" outlineLevel="0" collapsed="false">
      <c r="A314" s="4" t="n">
        <v>45530</v>
      </c>
      <c r="B314" s="1" t="s">
        <v>103</v>
      </c>
      <c r="C314" s="1" t="s">
        <v>104</v>
      </c>
      <c r="D314" s="1" t="n">
        <v>294</v>
      </c>
      <c r="E314" s="1" t="n">
        <v>100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1" t="n">
        <v>2</v>
      </c>
      <c r="O314" s="1" t="n">
        <v>9.9208</v>
      </c>
    </row>
    <row r="315" customFormat="false" ht="15.75" hidden="true" customHeight="false" outlineLevel="0" collapsed="false">
      <c r="A315" s="4" t="n">
        <v>45530</v>
      </c>
      <c r="B315" s="1" t="s">
        <v>95</v>
      </c>
      <c r="C315" s="1" t="s">
        <v>89</v>
      </c>
      <c r="D315" s="1" t="n">
        <v>596</v>
      </c>
      <c r="E315" s="1" t="n">
        <v>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1" t="n">
        <v>-6</v>
      </c>
      <c r="N315" s="1" t="n">
        <v>0.0109</v>
      </c>
      <c r="O315" s="1" t="n">
        <v>23.6950166666667</v>
      </c>
    </row>
    <row r="316" customFormat="false" ht="15.75" hidden="true" customHeight="false" outlineLevel="0" collapsed="false">
      <c r="A316" s="4" t="n">
        <v>45530</v>
      </c>
      <c r="B316" s="1" t="s">
        <v>95</v>
      </c>
      <c r="C316" s="1" t="s">
        <v>89</v>
      </c>
      <c r="D316" s="1" t="n">
        <v>319</v>
      </c>
      <c r="E316" s="1" t="n">
        <v>75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1" t="n">
        <v>-10</v>
      </c>
      <c r="O316" s="1" t="n">
        <v>9.15121666666667</v>
      </c>
    </row>
    <row r="317" customFormat="false" ht="15.75" hidden="true" customHeight="false" outlineLevel="0" collapsed="false">
      <c r="A317" s="4" t="n">
        <v>45530</v>
      </c>
      <c r="B317" s="1" t="s">
        <v>95</v>
      </c>
      <c r="C317" s="1" t="s">
        <v>89</v>
      </c>
      <c r="D317" s="1" t="n">
        <v>342</v>
      </c>
      <c r="E317" s="1" t="n">
        <v>56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1" t="n">
        <v>-8</v>
      </c>
      <c r="O317" s="1" t="n">
        <v>10.9007166666667</v>
      </c>
    </row>
    <row r="318" customFormat="false" ht="15.75" hidden="true" customHeight="false" outlineLevel="0" collapsed="false">
      <c r="A318" s="4" t="n">
        <v>45530</v>
      </c>
      <c r="B318" s="1" t="s">
        <v>95</v>
      </c>
      <c r="C318" s="1" t="s">
        <v>89</v>
      </c>
      <c r="D318" s="1" t="n">
        <v>250</v>
      </c>
      <c r="E318" s="1" t="n">
        <v>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1" t="n">
        <v>-19</v>
      </c>
      <c r="N318" s="1" t="n">
        <v>0.00891666666666667</v>
      </c>
      <c r="O318" s="1" t="n">
        <v>5.10296666666667</v>
      </c>
    </row>
    <row r="319" customFormat="false" ht="15.75" hidden="true" customHeight="false" outlineLevel="0" collapsed="false">
      <c r="A319" s="4" t="n">
        <v>45530</v>
      </c>
      <c r="B319" s="1" t="s">
        <v>103</v>
      </c>
      <c r="C319" s="1" t="s">
        <v>104</v>
      </c>
      <c r="D319" s="1" t="n">
        <v>677</v>
      </c>
      <c r="E319" s="1" t="n">
        <v>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1" t="n">
        <v>1</v>
      </c>
      <c r="O319" s="1" t="n">
        <v>10.8082</v>
      </c>
    </row>
    <row r="320" customFormat="false" ht="15.75" hidden="true" customHeight="false" outlineLevel="0" collapsed="false">
      <c r="A320" s="4" t="n">
        <v>45530</v>
      </c>
      <c r="B320" s="1" t="s">
        <v>107</v>
      </c>
      <c r="C320" s="1" t="s">
        <v>104</v>
      </c>
      <c r="D320" s="1" t="n">
        <v>618</v>
      </c>
      <c r="E320" s="1" t="n">
        <v>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1" t="n">
        <v>-10</v>
      </c>
      <c r="O320" s="1" t="n">
        <v>9.45273333333333</v>
      </c>
    </row>
    <row r="321" customFormat="false" ht="15.75" hidden="true" customHeight="false" outlineLevel="0" collapsed="false">
      <c r="A321" s="4" t="n">
        <v>45530</v>
      </c>
      <c r="B321" s="1" t="s">
        <v>95</v>
      </c>
      <c r="C321" s="1" t="s">
        <v>89</v>
      </c>
      <c r="D321" s="1" t="n">
        <v>493</v>
      </c>
      <c r="E321" s="1" t="n">
        <v>142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1" t="n">
        <v>-7</v>
      </c>
      <c r="O321" s="1" t="n">
        <v>11.5543333333333</v>
      </c>
    </row>
    <row r="322" customFormat="false" ht="15.75" hidden="true" customHeight="false" outlineLevel="0" collapsed="false">
      <c r="A322" s="4" t="n">
        <v>45530</v>
      </c>
      <c r="B322" s="1" t="s">
        <v>103</v>
      </c>
      <c r="C322" s="1" t="s">
        <v>104</v>
      </c>
      <c r="D322" s="1" t="n">
        <v>348</v>
      </c>
      <c r="E322" s="1" t="n">
        <v>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1" t="n">
        <v>0</v>
      </c>
      <c r="O322" s="1" t="n">
        <v>6.91676666666667</v>
      </c>
    </row>
    <row r="323" customFormat="false" ht="15.75" hidden="true" customHeight="false" outlineLevel="0" collapsed="false">
      <c r="A323" s="4" t="n">
        <v>45530</v>
      </c>
      <c r="B323" s="1" t="s">
        <v>95</v>
      </c>
      <c r="C323" s="1" t="s">
        <v>89</v>
      </c>
      <c r="D323" s="1" t="n">
        <v>182</v>
      </c>
      <c r="E323" s="1" t="n">
        <v>67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1" t="n">
        <v>-8</v>
      </c>
      <c r="O323" s="1" t="n">
        <v>10.19705</v>
      </c>
    </row>
    <row r="324" customFormat="false" ht="15.75" hidden="true" customHeight="false" outlineLevel="0" collapsed="false">
      <c r="A324" s="4" t="n">
        <v>45530</v>
      </c>
      <c r="B324" s="1" t="s">
        <v>88</v>
      </c>
      <c r="C324" s="1" t="s">
        <v>89</v>
      </c>
      <c r="D324" s="1" t="n">
        <v>465</v>
      </c>
      <c r="E324" s="1" t="n">
        <v>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1" t="n">
        <v>-4</v>
      </c>
      <c r="O324" s="1" t="n">
        <v>10.6172333333333</v>
      </c>
    </row>
    <row r="325" customFormat="false" ht="15.75" hidden="true" customHeight="false" outlineLevel="0" collapsed="false">
      <c r="A325" s="4" t="n">
        <v>45530</v>
      </c>
      <c r="B325" s="1" t="s">
        <v>88</v>
      </c>
      <c r="C325" s="1" t="s">
        <v>89</v>
      </c>
      <c r="D325" s="1" t="n">
        <v>583</v>
      </c>
      <c r="E325" s="1" t="n">
        <v>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1" t="n">
        <v>-10</v>
      </c>
      <c r="O325" s="1" t="n">
        <v>9.00691666666667</v>
      </c>
    </row>
    <row r="326" customFormat="false" ht="15.75" hidden="true" customHeight="false" outlineLevel="0" collapsed="false">
      <c r="A326" s="4" t="n">
        <v>45530</v>
      </c>
      <c r="B326" s="1" t="s">
        <v>107</v>
      </c>
      <c r="C326" s="1" t="s">
        <v>104</v>
      </c>
      <c r="D326" s="1" t="n">
        <v>264</v>
      </c>
      <c r="E326" s="1" t="n">
        <v>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1" t="n">
        <v>-6</v>
      </c>
      <c r="O326" s="1" t="n">
        <v>8.45166666666667</v>
      </c>
    </row>
    <row r="327" customFormat="false" ht="15.75" hidden="true" customHeight="false" outlineLevel="0" collapsed="false">
      <c r="A327" s="4" t="n">
        <v>45530</v>
      </c>
      <c r="B327" s="1" t="s">
        <v>95</v>
      </c>
      <c r="C327" s="1" t="s">
        <v>89</v>
      </c>
      <c r="D327" s="1" t="n">
        <v>250</v>
      </c>
      <c r="E327" s="1" t="n">
        <v>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1" t="n">
        <v>-4</v>
      </c>
      <c r="N327" s="1" t="n">
        <v>0.00903333333333333</v>
      </c>
      <c r="O327" s="1" t="n">
        <v>11.2490833333333</v>
      </c>
    </row>
    <row r="328" customFormat="false" ht="15.75" hidden="true" customHeight="false" outlineLevel="0" collapsed="false">
      <c r="A328" s="4" t="n">
        <v>45530</v>
      </c>
      <c r="B328" s="1" t="s">
        <v>107</v>
      </c>
      <c r="C328" s="1" t="s">
        <v>104</v>
      </c>
      <c r="D328" s="1" t="n">
        <v>313</v>
      </c>
      <c r="E328" s="1" t="n">
        <v>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1" t="n">
        <v>-5</v>
      </c>
      <c r="O328" s="1" t="n">
        <v>9.2824</v>
      </c>
    </row>
    <row r="329" customFormat="false" ht="15.75" hidden="true" customHeight="false" outlineLevel="0" collapsed="false">
      <c r="A329" s="4" t="n">
        <v>45530</v>
      </c>
      <c r="B329" s="1" t="s">
        <v>228</v>
      </c>
      <c r="C329" s="1" t="s">
        <v>89</v>
      </c>
      <c r="D329" s="1" t="n">
        <v>558</v>
      </c>
      <c r="E329" s="1" t="n">
        <v>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1" t="n">
        <v>-1</v>
      </c>
      <c r="O329" s="1" t="n">
        <v>8.52463333333333</v>
      </c>
    </row>
    <row r="330" customFormat="false" ht="15.75" hidden="true" customHeight="false" outlineLevel="0" collapsed="false">
      <c r="A330" s="4" t="n">
        <v>45530</v>
      </c>
      <c r="B330" s="1" t="s">
        <v>95</v>
      </c>
      <c r="C330" s="1" t="s">
        <v>89</v>
      </c>
      <c r="D330" s="1" t="n">
        <v>378</v>
      </c>
      <c r="E330" s="1" t="n">
        <v>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1" t="n">
        <v>6</v>
      </c>
      <c r="N330" s="1" t="n">
        <v>0.01335</v>
      </c>
      <c r="O330" s="1" t="n">
        <v>9.05036666666667</v>
      </c>
    </row>
    <row r="331" customFormat="false" ht="15.75" hidden="true" customHeight="false" outlineLevel="0" collapsed="false">
      <c r="A331" s="4" t="n">
        <v>45530</v>
      </c>
      <c r="B331" s="1" t="s">
        <v>95</v>
      </c>
      <c r="C331" s="1" t="s">
        <v>89</v>
      </c>
      <c r="D331" s="1" t="n">
        <v>557</v>
      </c>
      <c r="E331" s="1" t="n">
        <v>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1" t="n">
        <v>-5</v>
      </c>
      <c r="N331" s="1" t="n">
        <v>11.7850666666667</v>
      </c>
      <c r="O331" s="1" t="n">
        <v>12.7194833333333</v>
      </c>
    </row>
    <row r="332" customFormat="false" ht="15.75" hidden="true" customHeight="false" outlineLevel="0" collapsed="false">
      <c r="A332" s="4" t="n">
        <v>45530</v>
      </c>
      <c r="B332" s="1" t="s">
        <v>103</v>
      </c>
      <c r="C332" s="1" t="s">
        <v>89</v>
      </c>
      <c r="D332" s="1" t="n">
        <v>364</v>
      </c>
      <c r="E332" s="1" t="n">
        <v>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1" t="n">
        <v>0</v>
      </c>
      <c r="O332" s="1" t="n">
        <v>7.89986666666667</v>
      </c>
    </row>
    <row r="333" customFormat="false" ht="15.75" hidden="true" customHeight="false" outlineLevel="0" collapsed="false">
      <c r="A333" s="4" t="n">
        <v>45530</v>
      </c>
      <c r="B333" s="1" t="s">
        <v>228</v>
      </c>
      <c r="C333" s="1" t="s">
        <v>89</v>
      </c>
      <c r="D333" s="1" t="n">
        <v>119</v>
      </c>
      <c r="E333" s="1" t="n">
        <v>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1" t="n">
        <v>0</v>
      </c>
      <c r="O333" s="1" t="n">
        <v>5.58506666666667</v>
      </c>
    </row>
    <row r="334" customFormat="false" ht="15.75" hidden="true" customHeight="false" outlineLevel="0" collapsed="false">
      <c r="A334" s="4" t="n">
        <v>45530</v>
      </c>
      <c r="B334" s="1" t="s">
        <v>95</v>
      </c>
      <c r="C334" s="1" t="s">
        <v>89</v>
      </c>
      <c r="D334" s="1" t="n">
        <v>590</v>
      </c>
      <c r="E334" s="1" t="n">
        <v>138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1" t="n">
        <v>-12</v>
      </c>
      <c r="O334" s="1" t="n">
        <v>10.6202666666667</v>
      </c>
    </row>
    <row r="335" customFormat="false" ht="15.75" hidden="true" customHeight="false" outlineLevel="0" collapsed="false">
      <c r="A335" s="4" t="n">
        <v>45530</v>
      </c>
      <c r="B335" s="1" t="s">
        <v>103</v>
      </c>
      <c r="C335" s="1" t="s">
        <v>89</v>
      </c>
      <c r="D335" s="1" t="n">
        <v>329</v>
      </c>
      <c r="E335" s="1" t="n">
        <v>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1" t="n">
        <v>-1</v>
      </c>
      <c r="O335" s="1" t="n">
        <v>6.34385</v>
      </c>
    </row>
    <row r="336" customFormat="false" ht="15.75" hidden="true" customHeight="false" outlineLevel="0" collapsed="false">
      <c r="A336" s="4" t="n">
        <v>45530</v>
      </c>
      <c r="B336" s="1" t="s">
        <v>88</v>
      </c>
      <c r="C336" s="1" t="s">
        <v>89</v>
      </c>
      <c r="D336" s="1" t="n">
        <v>575</v>
      </c>
      <c r="E336" s="1" t="n">
        <v>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1" t="n">
        <v>-11</v>
      </c>
      <c r="O336" s="1" t="n">
        <v>8.57721666666667</v>
      </c>
    </row>
    <row r="337" customFormat="false" ht="15.75" hidden="true" customHeight="false" outlineLevel="0" collapsed="false">
      <c r="A337" s="4" t="n">
        <v>45530</v>
      </c>
      <c r="B337" s="1" t="s">
        <v>103</v>
      </c>
      <c r="C337" s="1" t="s">
        <v>89</v>
      </c>
      <c r="D337" s="1" t="n">
        <v>528</v>
      </c>
      <c r="E337" s="1" t="n">
        <v>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1" t="n">
        <v>-1</v>
      </c>
      <c r="O337" s="1" t="n">
        <v>7.7546</v>
      </c>
    </row>
    <row r="338" customFormat="false" ht="15.75" hidden="true" customHeight="false" outlineLevel="0" collapsed="false">
      <c r="A338" s="4" t="n">
        <v>45530</v>
      </c>
      <c r="B338" s="1" t="s">
        <v>103</v>
      </c>
      <c r="C338" s="1" t="s">
        <v>89</v>
      </c>
      <c r="D338" s="1" t="n">
        <v>498</v>
      </c>
      <c r="E338" s="1" t="n">
        <v>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1" t="n">
        <v>0</v>
      </c>
      <c r="O338" s="1" t="n">
        <v>8.22273333333333</v>
      </c>
    </row>
    <row r="339" customFormat="false" ht="15.75" hidden="true" customHeight="false" outlineLevel="0" collapsed="false">
      <c r="A339" s="4" t="n">
        <v>45530</v>
      </c>
      <c r="B339" s="1" t="s">
        <v>95</v>
      </c>
      <c r="C339" s="1" t="s">
        <v>89</v>
      </c>
      <c r="D339" s="1" t="n">
        <v>119</v>
      </c>
      <c r="E339" s="1" t="n">
        <v>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1" t="n">
        <v>-13</v>
      </c>
      <c r="O339" s="1" t="n">
        <v>6.5167</v>
      </c>
    </row>
    <row r="340" customFormat="false" ht="15.75" hidden="true" customHeight="false" outlineLevel="0" collapsed="false">
      <c r="A340" s="4" t="n">
        <v>45530</v>
      </c>
      <c r="B340" s="1" t="s">
        <v>88</v>
      </c>
      <c r="C340" s="1" t="s">
        <v>89</v>
      </c>
      <c r="D340" s="1" t="n">
        <v>329</v>
      </c>
      <c r="E340" s="1" t="n">
        <v>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1" t="n">
        <v>-8</v>
      </c>
      <c r="O340" s="1" t="n">
        <v>6.6084</v>
      </c>
    </row>
    <row r="341" customFormat="false" ht="15.75" hidden="true" customHeight="false" outlineLevel="0" collapsed="false">
      <c r="A341" s="4" t="n">
        <v>45530</v>
      </c>
      <c r="B341" s="1" t="s">
        <v>88</v>
      </c>
      <c r="C341" s="1" t="s">
        <v>89</v>
      </c>
      <c r="D341" s="1" t="n">
        <v>583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1" t="n">
        <v>-10</v>
      </c>
      <c r="O341" s="1" t="n">
        <v>9.6585</v>
      </c>
    </row>
    <row r="342" customFormat="false" ht="15.75" hidden="true" customHeight="false" outlineLevel="0" collapsed="false">
      <c r="A342" s="4" t="n">
        <v>45530</v>
      </c>
      <c r="B342" s="1" t="s">
        <v>103</v>
      </c>
      <c r="C342" s="1" t="s">
        <v>104</v>
      </c>
      <c r="D342" s="1" t="n">
        <v>508</v>
      </c>
      <c r="E342" s="1" t="n">
        <v>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1" t="n">
        <v>1</v>
      </c>
      <c r="O342" s="1" t="n">
        <v>9.01318333333333</v>
      </c>
    </row>
    <row r="343" customFormat="false" ht="15.75" hidden="true" customHeight="false" outlineLevel="0" collapsed="false">
      <c r="A343" s="4" t="n">
        <v>45530</v>
      </c>
      <c r="B343" s="1" t="s">
        <v>103</v>
      </c>
      <c r="C343" s="1" t="s">
        <v>104</v>
      </c>
      <c r="D343" s="1" t="n">
        <v>264</v>
      </c>
      <c r="E343" s="1" t="n">
        <v>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1" t="n">
        <v>1</v>
      </c>
      <c r="O343" s="1" t="n">
        <v>7.70951666666667</v>
      </c>
    </row>
    <row r="344" customFormat="false" ht="15.75" hidden="true" customHeight="false" outlineLevel="0" collapsed="false">
      <c r="A344" s="4" t="n">
        <v>45530</v>
      </c>
      <c r="B344" s="1" t="s">
        <v>95</v>
      </c>
      <c r="C344" s="1" t="s">
        <v>89</v>
      </c>
      <c r="D344" s="1" t="n">
        <v>298</v>
      </c>
      <c r="E344" s="1" t="n">
        <v>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1" t="n">
        <v>-1</v>
      </c>
      <c r="N344" s="1" t="n">
        <v>0.00966666666666667</v>
      </c>
      <c r="O344" s="1" t="n">
        <v>7.085</v>
      </c>
    </row>
    <row r="345" customFormat="false" ht="15.75" hidden="true" customHeight="false" outlineLevel="0" collapsed="false">
      <c r="A345" s="4" t="n">
        <v>45530</v>
      </c>
      <c r="B345" s="1" t="s">
        <v>88</v>
      </c>
      <c r="C345" s="1" t="s">
        <v>89</v>
      </c>
      <c r="D345" s="1" t="n">
        <v>294</v>
      </c>
      <c r="E345" s="1" t="n">
        <v>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1" t="n">
        <v>-8</v>
      </c>
      <c r="O345" s="1" t="n">
        <v>6.93986666666667</v>
      </c>
    </row>
    <row r="346" customFormat="false" ht="15.75" hidden="true" customHeight="false" outlineLevel="0" collapsed="false">
      <c r="A346" s="4" t="n">
        <v>45530</v>
      </c>
      <c r="B346" s="1" t="s">
        <v>95</v>
      </c>
      <c r="C346" s="1" t="s">
        <v>89</v>
      </c>
      <c r="D346" s="1" t="n">
        <v>458</v>
      </c>
      <c r="E346" s="1" t="n">
        <v>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1" t="n">
        <v>-8</v>
      </c>
      <c r="N346" s="1" t="n">
        <v>0.00865</v>
      </c>
      <c r="O346" s="1" t="n">
        <v>10.8571666666667</v>
      </c>
    </row>
    <row r="347" customFormat="false" ht="15.75" hidden="true" customHeight="false" outlineLevel="0" collapsed="false">
      <c r="A347" s="4" t="n">
        <v>45530</v>
      </c>
      <c r="B347" s="1" t="s">
        <v>103</v>
      </c>
      <c r="C347" s="1" t="s">
        <v>104</v>
      </c>
      <c r="D347" s="1" t="n">
        <v>627</v>
      </c>
      <c r="E347" s="1" t="n">
        <v>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1" t="n">
        <v>1</v>
      </c>
      <c r="O347" s="1" t="n">
        <v>10.8510666666667</v>
      </c>
    </row>
    <row r="348" customFormat="false" ht="15.75" hidden="true" customHeight="false" outlineLevel="0" collapsed="false">
      <c r="A348" s="4" t="n">
        <v>45530</v>
      </c>
      <c r="B348" s="1" t="s">
        <v>103</v>
      </c>
      <c r="C348" s="1" t="s">
        <v>104</v>
      </c>
      <c r="D348" s="1" t="n">
        <v>839</v>
      </c>
      <c r="E348" s="1" t="n">
        <v>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1" t="n">
        <v>1</v>
      </c>
      <c r="O348" s="1" t="n">
        <v>11.0612833333333</v>
      </c>
    </row>
    <row r="349" customFormat="false" ht="15.75" hidden="true" customHeight="false" outlineLevel="0" collapsed="false">
      <c r="A349" s="4" t="n">
        <v>45530</v>
      </c>
      <c r="B349" s="1" t="s">
        <v>88</v>
      </c>
      <c r="C349" s="1" t="s">
        <v>89</v>
      </c>
      <c r="D349" s="1" t="n">
        <v>329</v>
      </c>
      <c r="E349" s="1" t="n">
        <v>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1" t="n">
        <v>-9</v>
      </c>
      <c r="O349" s="1" t="n">
        <v>5.69141666666667</v>
      </c>
    </row>
    <row r="350" customFormat="false" ht="15.75" hidden="true" customHeight="false" outlineLevel="0" collapsed="false">
      <c r="A350" s="4" t="n">
        <v>45530</v>
      </c>
      <c r="B350" s="1" t="s">
        <v>107</v>
      </c>
      <c r="C350" s="1" t="s">
        <v>104</v>
      </c>
      <c r="D350" s="1" t="n">
        <v>313</v>
      </c>
      <c r="E350" s="1" t="n">
        <v>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1" t="n">
        <v>-7</v>
      </c>
      <c r="O350" s="1" t="n">
        <v>7.51678333333333</v>
      </c>
    </row>
    <row r="351" customFormat="false" ht="15.75" hidden="true" customHeight="false" outlineLevel="0" collapsed="false">
      <c r="A351" s="4" t="n">
        <v>45530</v>
      </c>
      <c r="B351" s="1" t="s">
        <v>95</v>
      </c>
      <c r="C351" s="1" t="s">
        <v>89</v>
      </c>
      <c r="D351" s="1" t="n">
        <v>258</v>
      </c>
      <c r="E351" s="1" t="n">
        <v>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1" t="n">
        <v>-9</v>
      </c>
      <c r="O351" s="1" t="n">
        <v>56.5826666666667</v>
      </c>
    </row>
    <row r="352" customFormat="false" ht="15.75" hidden="true" customHeight="false" outlineLevel="0" collapsed="false">
      <c r="A352" s="4" t="n">
        <v>45530</v>
      </c>
      <c r="B352" s="1" t="s">
        <v>95</v>
      </c>
      <c r="C352" s="1" t="s">
        <v>89</v>
      </c>
      <c r="D352" s="1" t="n">
        <v>1503</v>
      </c>
      <c r="E352" s="1" t="n">
        <v>371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1" t="n">
        <v>-22</v>
      </c>
      <c r="O352" s="1" t="n">
        <v>46.5099166666667</v>
      </c>
    </row>
    <row r="353" customFormat="false" ht="15.75" hidden="true" customHeight="false" outlineLevel="0" collapsed="false">
      <c r="A353" s="4" t="n">
        <v>45530</v>
      </c>
      <c r="B353" s="1" t="s">
        <v>95</v>
      </c>
      <c r="C353" s="1" t="s">
        <v>89</v>
      </c>
      <c r="D353" s="1" t="n">
        <v>300</v>
      </c>
      <c r="E353" s="1" t="n">
        <v>69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1" t="n">
        <v>-5</v>
      </c>
      <c r="O353" s="1" t="n">
        <v>11.4827333333333</v>
      </c>
    </row>
    <row r="354" customFormat="false" ht="15.75" hidden="true" customHeight="false" outlineLevel="0" collapsed="false">
      <c r="A354" s="4" t="n">
        <v>45530</v>
      </c>
      <c r="B354" s="1" t="s">
        <v>103</v>
      </c>
      <c r="C354" s="1" t="s">
        <v>104</v>
      </c>
      <c r="D354" s="1" t="n">
        <v>565</v>
      </c>
      <c r="E354" s="1" t="n">
        <v>150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1" t="n">
        <v>8</v>
      </c>
      <c r="O354" s="1" t="n">
        <v>17.0454</v>
      </c>
    </row>
    <row r="355" customFormat="false" ht="15.75" hidden="true" customHeight="false" outlineLevel="0" collapsed="false">
      <c r="A355" s="4" t="n">
        <v>45530</v>
      </c>
      <c r="B355" s="1" t="s">
        <v>103</v>
      </c>
      <c r="C355" s="1" t="s">
        <v>104</v>
      </c>
      <c r="D355" s="1" t="n">
        <v>269</v>
      </c>
      <c r="E355" s="1" t="n">
        <v>100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1" t="n">
        <v>1</v>
      </c>
      <c r="O355" s="1" t="n">
        <v>8.76243333333333</v>
      </c>
    </row>
    <row r="356" customFormat="false" ht="15.75" hidden="true" customHeight="false" outlineLevel="0" collapsed="false">
      <c r="A356" s="4" t="n">
        <v>45530</v>
      </c>
      <c r="B356" s="1" t="s">
        <v>107</v>
      </c>
      <c r="C356" s="1" t="s">
        <v>104</v>
      </c>
      <c r="D356" s="1" t="n">
        <v>329</v>
      </c>
      <c r="E356" s="1" t="n">
        <v>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1" t="n">
        <v>-8</v>
      </c>
      <c r="O356" s="1" t="n">
        <v>6.688</v>
      </c>
    </row>
    <row r="357" customFormat="false" ht="15.75" hidden="true" customHeight="false" outlineLevel="0" collapsed="false">
      <c r="A357" s="4" t="n">
        <v>45530</v>
      </c>
      <c r="B357" s="1" t="s">
        <v>95</v>
      </c>
      <c r="C357" s="1" t="s">
        <v>89</v>
      </c>
      <c r="D357" s="1" t="n">
        <v>219</v>
      </c>
      <c r="E357" s="1" t="n">
        <v>50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1" t="n">
        <v>-12</v>
      </c>
      <c r="O357" s="1" t="n">
        <v>6.83406666666667</v>
      </c>
    </row>
    <row r="358" customFormat="false" ht="15.75" hidden="true" customHeight="false" outlineLevel="0" collapsed="false">
      <c r="A358" s="4" t="n">
        <v>45530</v>
      </c>
      <c r="B358" s="1" t="s">
        <v>103</v>
      </c>
      <c r="C358" s="1" t="s">
        <v>104</v>
      </c>
      <c r="D358" s="1" t="n">
        <v>394</v>
      </c>
      <c r="E358" s="1" t="n">
        <v>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1" t="n">
        <v>1</v>
      </c>
      <c r="O358" s="1" t="n">
        <v>8.37641666666667</v>
      </c>
    </row>
    <row r="359" customFormat="false" ht="15.75" hidden="true" customHeight="false" outlineLevel="0" collapsed="false">
      <c r="A359" s="4" t="n">
        <v>45530</v>
      </c>
      <c r="B359" s="1" t="s">
        <v>88</v>
      </c>
      <c r="C359" s="1" t="s">
        <v>89</v>
      </c>
      <c r="D359" s="1" t="n">
        <v>369</v>
      </c>
      <c r="E359" s="1" t="n">
        <v>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1" t="n">
        <v>-8</v>
      </c>
      <c r="O359" s="1" t="n">
        <v>6.94383333333333</v>
      </c>
    </row>
    <row r="360" customFormat="false" ht="15.75" hidden="true" customHeight="false" outlineLevel="0" collapsed="false">
      <c r="A360" s="4" t="n">
        <v>45530</v>
      </c>
      <c r="B360" s="1" t="s">
        <v>95</v>
      </c>
      <c r="C360" s="1" t="s">
        <v>89</v>
      </c>
      <c r="D360" s="1" t="n">
        <v>319</v>
      </c>
      <c r="E360" s="1" t="n">
        <v>75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1" t="n">
        <v>-7</v>
      </c>
      <c r="O360" s="1" t="n">
        <v>11.3172166666667</v>
      </c>
    </row>
    <row r="361" customFormat="false" ht="15.75" hidden="true" customHeight="false" outlineLevel="0" collapsed="false">
      <c r="A361" s="4" t="n">
        <v>45530</v>
      </c>
      <c r="B361" s="1" t="s">
        <v>103</v>
      </c>
      <c r="C361" s="1" t="s">
        <v>104</v>
      </c>
      <c r="D361" s="1" t="n">
        <v>658</v>
      </c>
      <c r="E361" s="1" t="n">
        <v>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1" t="n">
        <v>2</v>
      </c>
      <c r="O361" s="1" t="n">
        <v>11.2846666666667</v>
      </c>
    </row>
    <row r="362" customFormat="false" ht="15.75" hidden="true" customHeight="false" outlineLevel="0" collapsed="false">
      <c r="A362" s="4" t="n">
        <v>45530</v>
      </c>
      <c r="B362" s="1" t="s">
        <v>103</v>
      </c>
      <c r="C362" s="1" t="s">
        <v>104</v>
      </c>
      <c r="D362" s="1" t="n">
        <v>508</v>
      </c>
      <c r="E362" s="1" t="n">
        <v>150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1" t="n">
        <v>1</v>
      </c>
      <c r="O362" s="1" t="n">
        <v>10.0412</v>
      </c>
    </row>
    <row r="363" customFormat="false" ht="15.75" hidden="true" customHeight="false" outlineLevel="0" collapsed="false">
      <c r="A363" s="4" t="n">
        <v>45530</v>
      </c>
      <c r="B363" s="1" t="s">
        <v>107</v>
      </c>
      <c r="C363" s="1" t="s">
        <v>104</v>
      </c>
      <c r="D363" s="1" t="n">
        <v>264</v>
      </c>
      <c r="E363" s="1" t="n">
        <v>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1" t="n">
        <v>-7</v>
      </c>
      <c r="O363" s="1" t="n">
        <v>7.05981666666667</v>
      </c>
    </row>
    <row r="364" customFormat="false" ht="15.75" hidden="true" customHeight="false" outlineLevel="0" collapsed="false">
      <c r="A364" s="4" t="n">
        <v>45530</v>
      </c>
      <c r="B364" s="1" t="s">
        <v>88</v>
      </c>
      <c r="C364" s="1" t="s">
        <v>89</v>
      </c>
      <c r="D364" s="1" t="n">
        <v>129</v>
      </c>
      <c r="E364" s="1" t="n">
        <v>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1" t="n">
        <v>-8</v>
      </c>
      <c r="O364" s="1" t="n">
        <v>6.6911</v>
      </c>
    </row>
    <row r="365" customFormat="false" ht="15.75" hidden="true" customHeight="false" outlineLevel="0" collapsed="false">
      <c r="A365" s="4" t="n">
        <v>45530</v>
      </c>
      <c r="B365" s="1" t="s">
        <v>103</v>
      </c>
      <c r="C365" s="1" t="s">
        <v>104</v>
      </c>
      <c r="D365" s="1" t="n">
        <v>593</v>
      </c>
      <c r="E365" s="1" t="n">
        <v>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1" t="n">
        <v>0</v>
      </c>
      <c r="O365" s="1" t="n">
        <v>7.96883333333333</v>
      </c>
    </row>
    <row r="366" customFormat="false" ht="15.75" hidden="true" customHeight="false" outlineLevel="0" collapsed="false">
      <c r="A366" s="4" t="n">
        <v>45530</v>
      </c>
      <c r="B366" s="1" t="s">
        <v>88</v>
      </c>
      <c r="C366" s="1" t="s">
        <v>89</v>
      </c>
      <c r="D366" s="1" t="n">
        <v>264</v>
      </c>
      <c r="E366" s="1" t="n">
        <v>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1" t="n">
        <v>-8</v>
      </c>
      <c r="O366" s="1" t="n">
        <v>6.21793333333333</v>
      </c>
    </row>
    <row r="367" customFormat="false" ht="15.75" hidden="true" customHeight="false" outlineLevel="0" collapsed="false">
      <c r="A367" s="4" t="n">
        <v>45530</v>
      </c>
      <c r="B367" s="1" t="s">
        <v>88</v>
      </c>
      <c r="C367" s="1" t="s">
        <v>89</v>
      </c>
      <c r="D367" s="1" t="n">
        <v>264</v>
      </c>
      <c r="E367" s="1" t="n">
        <v>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1" t="n">
        <v>-6</v>
      </c>
      <c r="O367" s="1" t="n">
        <v>8.2126</v>
      </c>
    </row>
    <row r="368" customFormat="false" ht="15.75" hidden="true" customHeight="false" outlineLevel="0" collapsed="false">
      <c r="A368" s="4" t="n">
        <v>45530</v>
      </c>
      <c r="B368" s="1" t="s">
        <v>228</v>
      </c>
      <c r="C368" s="1" t="s">
        <v>89</v>
      </c>
      <c r="D368" s="1" t="n">
        <v>309</v>
      </c>
      <c r="E368" s="1" t="n">
        <v>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1" t="n">
        <v>0</v>
      </c>
      <c r="O368" s="1" t="n">
        <v>5.66831666666667</v>
      </c>
    </row>
    <row r="369" customFormat="false" ht="15.75" hidden="true" customHeight="false" outlineLevel="0" collapsed="false">
      <c r="A369" s="4" t="n">
        <v>45530</v>
      </c>
      <c r="B369" s="1" t="s">
        <v>107</v>
      </c>
      <c r="C369" s="1" t="s">
        <v>89</v>
      </c>
      <c r="D369" s="1" t="n">
        <v>329</v>
      </c>
      <c r="E369" s="1" t="n">
        <v>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1" t="n">
        <v>-6</v>
      </c>
      <c r="O369" s="1" t="n">
        <v>8.29946666666667</v>
      </c>
    </row>
    <row r="370" customFormat="false" ht="15.75" hidden="true" customHeight="false" outlineLevel="0" collapsed="false">
      <c r="A370" s="4" t="n">
        <v>45530</v>
      </c>
      <c r="B370" s="1" t="s">
        <v>95</v>
      </c>
      <c r="C370" s="1" t="s">
        <v>89</v>
      </c>
      <c r="D370" s="1" t="n">
        <v>406</v>
      </c>
      <c r="E370" s="1" t="n">
        <v>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1" t="n">
        <v>8</v>
      </c>
      <c r="N370" s="1" t="n">
        <v>17.3214833333333</v>
      </c>
      <c r="O370" s="1" t="n">
        <v>8.2794</v>
      </c>
    </row>
    <row r="371" customFormat="false" ht="15.75" hidden="true" customHeight="false" outlineLevel="0" collapsed="false">
      <c r="A371" s="4" t="n">
        <v>45530</v>
      </c>
      <c r="B371" s="1" t="s">
        <v>95</v>
      </c>
      <c r="C371" s="1" t="s">
        <v>89</v>
      </c>
      <c r="D371" s="1" t="n">
        <v>257</v>
      </c>
      <c r="E371" s="1" t="n">
        <v>12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1" t="n">
        <v>-6</v>
      </c>
      <c r="N371" s="1" t="n">
        <v>0.00826666666666667</v>
      </c>
      <c r="O371" s="1" t="n">
        <v>8.3012</v>
      </c>
    </row>
    <row r="372" customFormat="false" ht="15.75" hidden="true" customHeight="false" outlineLevel="0" collapsed="false">
      <c r="A372" s="4" t="n">
        <v>45530</v>
      </c>
      <c r="B372" s="1" t="s">
        <v>88</v>
      </c>
      <c r="C372" s="1" t="s">
        <v>89</v>
      </c>
      <c r="D372" s="1" t="n">
        <v>347</v>
      </c>
      <c r="E372" s="1" t="n">
        <v>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1" t="n">
        <v>-5</v>
      </c>
      <c r="O372" s="1" t="n">
        <v>9.11665</v>
      </c>
    </row>
    <row r="373" customFormat="false" ht="15.75" hidden="true" customHeight="false" outlineLevel="0" collapsed="false">
      <c r="A373" s="4" t="n">
        <v>45530</v>
      </c>
      <c r="B373" s="1" t="s">
        <v>107</v>
      </c>
      <c r="C373" s="1" t="s">
        <v>89</v>
      </c>
      <c r="D373" s="1" t="n">
        <v>329</v>
      </c>
      <c r="E373" s="1" t="n">
        <v>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1" t="n">
        <v>-8</v>
      </c>
      <c r="O373" s="1" t="n">
        <v>6.58576666666667</v>
      </c>
    </row>
    <row r="374" customFormat="false" ht="15.75" hidden="true" customHeight="false" outlineLevel="0" collapsed="false">
      <c r="A374" s="4" t="n">
        <v>45530</v>
      </c>
      <c r="B374" s="1" t="s">
        <v>107</v>
      </c>
      <c r="C374" s="1" t="s">
        <v>89</v>
      </c>
      <c r="D374" s="1" t="n">
        <v>658</v>
      </c>
      <c r="E374" s="1" t="n">
        <v>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1" t="n">
        <v>-5</v>
      </c>
      <c r="O374" s="1" t="n">
        <v>14.5500666666667</v>
      </c>
    </row>
    <row r="375" customFormat="false" ht="15.75" hidden="true" customHeight="false" outlineLevel="0" collapsed="false">
      <c r="A375" s="4" t="n">
        <v>45530</v>
      </c>
      <c r="B375" s="1" t="s">
        <v>88</v>
      </c>
      <c r="C375" s="1" t="s">
        <v>89</v>
      </c>
      <c r="D375" s="1" t="n">
        <v>528</v>
      </c>
      <c r="E375" s="1" t="n">
        <v>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1" t="n">
        <v>-6</v>
      </c>
      <c r="O375" s="1" t="n">
        <v>13.29675</v>
      </c>
    </row>
    <row r="376" customFormat="false" ht="15.75" hidden="true" customHeight="false" outlineLevel="0" collapsed="false">
      <c r="A376" s="4" t="n">
        <v>45530</v>
      </c>
      <c r="B376" s="1" t="s">
        <v>95</v>
      </c>
      <c r="C376" s="1" t="s">
        <v>89</v>
      </c>
      <c r="D376" s="1" t="n">
        <v>318</v>
      </c>
      <c r="E376" s="1" t="n">
        <v>50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1" t="n">
        <v>-5</v>
      </c>
      <c r="O376" s="1" t="n">
        <v>13.6128</v>
      </c>
    </row>
    <row r="377" customFormat="false" ht="15.75" hidden="true" customHeight="false" outlineLevel="0" collapsed="false">
      <c r="A377" s="4" t="n">
        <v>45530</v>
      </c>
      <c r="B377" s="1" t="s">
        <v>88</v>
      </c>
      <c r="C377" s="1" t="s">
        <v>89</v>
      </c>
      <c r="D377" s="1" t="n">
        <v>329</v>
      </c>
      <c r="E377" s="1" t="n">
        <v>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1" t="n">
        <v>-5</v>
      </c>
      <c r="O377" s="1" t="n">
        <v>9.00471666666667</v>
      </c>
    </row>
    <row r="378" customFormat="false" ht="15.75" hidden="true" customHeight="false" outlineLevel="0" collapsed="false">
      <c r="A378" s="4" t="n">
        <v>45530</v>
      </c>
      <c r="B378" s="1" t="s">
        <v>107</v>
      </c>
      <c r="C378" s="1" t="s">
        <v>89</v>
      </c>
      <c r="D378" s="1" t="n">
        <v>329</v>
      </c>
      <c r="E378" s="1" t="n">
        <v>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1" t="n">
        <v>-4</v>
      </c>
      <c r="O378" s="1" t="n">
        <v>10.7186333333333</v>
      </c>
    </row>
    <row r="379" customFormat="false" ht="15.75" hidden="true" customHeight="false" outlineLevel="0" collapsed="false">
      <c r="A379" s="4" t="n">
        <v>45530</v>
      </c>
      <c r="B379" s="1" t="s">
        <v>88</v>
      </c>
      <c r="C379" s="1" t="s">
        <v>89</v>
      </c>
      <c r="D379" s="1" t="n">
        <v>264</v>
      </c>
      <c r="E379" s="1" t="n">
        <v>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1" t="n">
        <v>-4</v>
      </c>
      <c r="O379" s="1" t="n">
        <v>10.62925</v>
      </c>
    </row>
    <row r="380" customFormat="false" ht="15.75" hidden="true" customHeight="false" outlineLevel="0" collapsed="false">
      <c r="A380" s="4" t="n">
        <v>45530</v>
      </c>
      <c r="B380" s="1" t="s">
        <v>95</v>
      </c>
      <c r="C380" s="1" t="s">
        <v>89</v>
      </c>
      <c r="D380" s="1" t="n">
        <v>462</v>
      </c>
      <c r="E380" s="1" t="n">
        <v>116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1" t="n">
        <v>-2</v>
      </c>
      <c r="O380" s="1" t="n">
        <v>17.51215</v>
      </c>
    </row>
    <row r="381" customFormat="false" ht="15.75" hidden="true" customHeight="false" outlineLevel="0" collapsed="false">
      <c r="A381" s="4" t="n">
        <v>45530</v>
      </c>
      <c r="B381" s="1" t="s">
        <v>103</v>
      </c>
      <c r="C381" s="1" t="s">
        <v>89</v>
      </c>
      <c r="D381" s="1" t="n">
        <v>788</v>
      </c>
      <c r="E381" s="1" t="n">
        <v>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1" t="n">
        <v>2</v>
      </c>
      <c r="O381" s="1" t="n">
        <v>12.6396666666667</v>
      </c>
    </row>
    <row r="382" customFormat="false" ht="15.75" hidden="true" customHeight="false" outlineLevel="0" collapsed="false">
      <c r="A382" s="4" t="n">
        <v>45530</v>
      </c>
      <c r="B382" s="1" t="s">
        <v>228</v>
      </c>
      <c r="C382" s="1" t="s">
        <v>89</v>
      </c>
      <c r="D382" s="1" t="n">
        <v>309</v>
      </c>
      <c r="E382" s="1" t="n">
        <v>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1" t="n">
        <v>-1</v>
      </c>
      <c r="O382" s="1" t="n">
        <v>3.72891666666667</v>
      </c>
    </row>
    <row r="383" customFormat="false" ht="15.75" hidden="true" customHeight="false" outlineLevel="0" collapsed="false">
      <c r="A383" s="4" t="n">
        <v>45530</v>
      </c>
      <c r="B383" s="1" t="s">
        <v>95</v>
      </c>
      <c r="C383" s="1" t="s">
        <v>89</v>
      </c>
      <c r="D383" s="1" t="n">
        <v>458</v>
      </c>
      <c r="E383" s="1" t="n">
        <v>114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1" t="n">
        <v>0</v>
      </c>
      <c r="O383" s="1" t="n">
        <v>28.7895833333333</v>
      </c>
    </row>
    <row r="384" customFormat="false" ht="15.75" hidden="true" customHeight="false" outlineLevel="0" collapsed="false">
      <c r="A384" s="4" t="n">
        <v>45530</v>
      </c>
      <c r="B384" s="1" t="s">
        <v>107</v>
      </c>
      <c r="C384" s="1" t="s">
        <v>104</v>
      </c>
      <c r="D384" s="1" t="n">
        <v>224</v>
      </c>
      <c r="E384" s="1" t="n">
        <v>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1" t="n">
        <v>-4</v>
      </c>
      <c r="O384" s="1" t="n">
        <v>10.0663166666667</v>
      </c>
    </row>
    <row r="385" customFormat="false" ht="15.75" hidden="true" customHeight="false" outlineLevel="0" collapsed="false">
      <c r="A385" s="4" t="n">
        <v>45530</v>
      </c>
      <c r="B385" s="1" t="s">
        <v>107</v>
      </c>
      <c r="C385" s="1" t="s">
        <v>104</v>
      </c>
      <c r="D385" s="1" t="n">
        <v>278</v>
      </c>
      <c r="E385" s="1" t="n">
        <v>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1" t="n">
        <v>1</v>
      </c>
      <c r="O385" s="1" t="n">
        <v>16.1060166666667</v>
      </c>
    </row>
    <row r="386" customFormat="false" ht="15.75" hidden="true" customHeight="false" outlineLevel="0" collapsed="false">
      <c r="A386" s="4" t="n">
        <v>45530</v>
      </c>
      <c r="B386" s="1" t="s">
        <v>95</v>
      </c>
      <c r="C386" s="1" t="s">
        <v>89</v>
      </c>
      <c r="D386" s="1" t="n">
        <v>555</v>
      </c>
      <c r="E386" s="1" t="n">
        <v>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1" t="n">
        <v>-4</v>
      </c>
      <c r="N386" s="1" t="n">
        <v>0.0107833333333333</v>
      </c>
      <c r="O386" s="1" t="n">
        <v>22.6755833333333</v>
      </c>
    </row>
    <row r="387" customFormat="false" ht="15.75" hidden="true" customHeight="false" outlineLevel="0" collapsed="false">
      <c r="A387" s="4" t="n">
        <v>45530</v>
      </c>
      <c r="B387" s="1" t="s">
        <v>95</v>
      </c>
      <c r="C387" s="1" t="s">
        <v>89</v>
      </c>
      <c r="D387" s="1" t="n">
        <v>1305</v>
      </c>
      <c r="E387" s="1" t="n">
        <v>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1" t="n">
        <v>-2</v>
      </c>
      <c r="N387" s="1" t="n">
        <v>13.0709833333333</v>
      </c>
      <c r="O387" s="1" t="n">
        <v>18.0449333333333</v>
      </c>
    </row>
    <row r="388" customFormat="false" ht="15.75" hidden="true" customHeight="false" outlineLevel="0" collapsed="false">
      <c r="A388" s="4" t="n">
        <v>45530</v>
      </c>
      <c r="B388" s="1" t="s">
        <v>88</v>
      </c>
      <c r="C388" s="1" t="s">
        <v>89</v>
      </c>
      <c r="D388" s="1" t="n">
        <v>356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1" t="n">
        <v>-6</v>
      </c>
      <c r="O388" s="1" t="n">
        <v>8.23695</v>
      </c>
    </row>
    <row r="389" customFormat="false" ht="15.75" hidden="true" customHeight="false" outlineLevel="0" collapsed="false">
      <c r="A389" s="4" t="n">
        <v>45530</v>
      </c>
      <c r="B389" s="1" t="s">
        <v>88</v>
      </c>
      <c r="C389" s="1" t="s">
        <v>89</v>
      </c>
      <c r="D389" s="1" t="n">
        <v>289</v>
      </c>
      <c r="E389" s="1" t="n">
        <v>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1" t="n">
        <v>-9</v>
      </c>
      <c r="O389" s="1" t="n">
        <v>5.49366666666667</v>
      </c>
    </row>
    <row r="390" customFormat="false" ht="15.75" hidden="true" customHeight="false" outlineLevel="0" collapsed="false">
      <c r="A390" s="4" t="n">
        <v>45530</v>
      </c>
      <c r="B390" s="1" t="s">
        <v>95</v>
      </c>
      <c r="C390" s="1" t="s">
        <v>89</v>
      </c>
      <c r="D390" s="1" t="n">
        <v>724</v>
      </c>
      <c r="E390" s="1" t="n">
        <v>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1" t="n">
        <v>-9</v>
      </c>
      <c r="N390" s="1" t="n">
        <v>19.96185</v>
      </c>
      <c r="O390" s="1" t="n">
        <v>23.2609833333333</v>
      </c>
    </row>
    <row r="391" customFormat="false" ht="15.75" hidden="true" customHeight="false" outlineLevel="0" collapsed="false">
      <c r="A391" s="4" t="n">
        <v>45530</v>
      </c>
      <c r="B391" s="1" t="s">
        <v>95</v>
      </c>
      <c r="C391" s="1" t="s">
        <v>89</v>
      </c>
      <c r="D391" s="1" t="n">
        <v>199</v>
      </c>
      <c r="E391" s="1" t="n">
        <v>50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1" t="n">
        <v>-9</v>
      </c>
      <c r="O391" s="1" t="n">
        <v>111.920533333333</v>
      </c>
    </row>
    <row r="392" customFormat="false" ht="15.75" hidden="true" customHeight="false" outlineLevel="0" collapsed="false">
      <c r="A392" s="4" t="n">
        <v>45530</v>
      </c>
      <c r="B392" s="1" t="s">
        <v>95</v>
      </c>
      <c r="C392" s="1" t="s">
        <v>89</v>
      </c>
      <c r="D392" s="1" t="n">
        <v>250</v>
      </c>
      <c r="E392" s="1" t="n">
        <v>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1" t="n">
        <v>-18</v>
      </c>
      <c r="N392" s="1" t="n">
        <v>0.0156</v>
      </c>
      <c r="O392" s="1" t="n">
        <v>94.07465</v>
      </c>
    </row>
    <row r="393" customFormat="false" ht="15.75" hidden="true" customHeight="false" outlineLevel="0" collapsed="false">
      <c r="A393" s="4" t="n">
        <v>45531</v>
      </c>
      <c r="B393" s="1" t="s">
        <v>107</v>
      </c>
      <c r="C393" s="1" t="s">
        <v>104</v>
      </c>
      <c r="D393" s="1" t="n">
        <v>329</v>
      </c>
      <c r="E393" s="1" t="n">
        <v>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1" t="n">
        <v>-8</v>
      </c>
      <c r="O393" s="1" t="n">
        <v>6.4455</v>
      </c>
    </row>
    <row r="394" customFormat="false" ht="15.75" hidden="true" customHeight="false" outlineLevel="0" collapsed="false">
      <c r="A394" s="4" t="n">
        <v>45531</v>
      </c>
      <c r="B394" s="1" t="s">
        <v>88</v>
      </c>
      <c r="C394" s="1" t="s">
        <v>89</v>
      </c>
      <c r="D394" s="1" t="n">
        <v>469</v>
      </c>
      <c r="E394" s="1" t="n">
        <v>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1" t="n">
        <v>3</v>
      </c>
      <c r="O394" s="1" t="n">
        <v>18.7739166666667</v>
      </c>
    </row>
    <row r="395" customFormat="false" ht="15.75" hidden="true" customHeight="false" outlineLevel="0" collapsed="false">
      <c r="A395" s="4" t="n">
        <v>45531</v>
      </c>
      <c r="B395" s="1" t="s">
        <v>88</v>
      </c>
      <c r="C395" s="1" t="s">
        <v>89</v>
      </c>
      <c r="D395" s="1" t="n">
        <v>254</v>
      </c>
      <c r="E395" s="1" t="n">
        <v>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1" t="n">
        <v>-9</v>
      </c>
      <c r="O395" s="1" t="n">
        <v>5.12511666666667</v>
      </c>
    </row>
    <row r="396" customFormat="false" ht="15.75" hidden="true" customHeight="false" outlineLevel="0" collapsed="false">
      <c r="A396" s="4" t="n">
        <v>45531</v>
      </c>
      <c r="B396" s="1" t="s">
        <v>103</v>
      </c>
      <c r="C396" s="1" t="s">
        <v>104</v>
      </c>
      <c r="D396" s="1" t="n">
        <v>443</v>
      </c>
      <c r="E396" s="1" t="n">
        <v>150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1" t="n">
        <v>3</v>
      </c>
      <c r="O396" s="1" t="n">
        <v>12.7306166666667</v>
      </c>
    </row>
    <row r="397" customFormat="false" ht="15.75" hidden="true" customHeight="false" outlineLevel="0" collapsed="false">
      <c r="A397" s="4" t="n">
        <v>45531</v>
      </c>
      <c r="B397" s="1" t="s">
        <v>103</v>
      </c>
      <c r="C397" s="1" t="s">
        <v>104</v>
      </c>
      <c r="D397" s="1" t="n">
        <v>379</v>
      </c>
      <c r="E397" s="1" t="n">
        <v>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1" t="n">
        <v>1</v>
      </c>
      <c r="O397" s="1" t="n">
        <v>8.42081666666667</v>
      </c>
    </row>
    <row r="398" customFormat="false" ht="15.75" hidden="true" customHeight="false" outlineLevel="0" collapsed="false">
      <c r="A398" s="4" t="n">
        <v>45531</v>
      </c>
      <c r="B398" s="1" t="s">
        <v>103</v>
      </c>
      <c r="C398" s="1" t="s">
        <v>104</v>
      </c>
      <c r="D398" s="1" t="n">
        <v>214</v>
      </c>
      <c r="E398" s="1" t="n">
        <v>50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1" t="n">
        <v>1</v>
      </c>
      <c r="O398" s="1" t="n">
        <v>7.83808333333333</v>
      </c>
    </row>
    <row r="399" customFormat="false" ht="15.75" hidden="true" customHeight="false" outlineLevel="0" collapsed="false">
      <c r="A399" s="4" t="n">
        <v>45531</v>
      </c>
      <c r="B399" s="1" t="s">
        <v>88</v>
      </c>
      <c r="C399" s="1" t="s">
        <v>89</v>
      </c>
      <c r="D399" s="1" t="n">
        <v>499</v>
      </c>
      <c r="E399" s="1" t="n">
        <v>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1" t="n">
        <v>-7</v>
      </c>
      <c r="O399" s="1" t="n">
        <v>7.7122</v>
      </c>
    </row>
    <row r="400" customFormat="false" ht="15.75" hidden="true" customHeight="false" outlineLevel="0" collapsed="false">
      <c r="A400" s="4" t="n">
        <v>45531</v>
      </c>
      <c r="B400" s="1" t="s">
        <v>228</v>
      </c>
      <c r="C400" s="1" t="s">
        <v>104</v>
      </c>
      <c r="D400" s="1" t="n">
        <v>49</v>
      </c>
      <c r="E400" s="1" t="n">
        <v>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1" t="n">
        <v>8</v>
      </c>
      <c r="O400" s="1" t="n">
        <v>13.6391833333333</v>
      </c>
    </row>
    <row r="401" customFormat="false" ht="15.75" hidden="true" customHeight="false" outlineLevel="0" collapsed="false">
      <c r="A401" s="4" t="n">
        <v>45531</v>
      </c>
      <c r="B401" s="1" t="s">
        <v>103</v>
      </c>
      <c r="C401" s="1" t="s">
        <v>104</v>
      </c>
      <c r="D401" s="1" t="n">
        <v>313</v>
      </c>
      <c r="E401" s="1" t="n">
        <v>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1" t="n">
        <v>0</v>
      </c>
      <c r="O401" s="1" t="n">
        <v>6.4542</v>
      </c>
    </row>
    <row r="402" customFormat="false" ht="15.75" hidden="true" customHeight="false" outlineLevel="0" collapsed="false">
      <c r="A402" s="4" t="n">
        <v>45531</v>
      </c>
      <c r="B402" s="1" t="s">
        <v>107</v>
      </c>
      <c r="C402" s="1" t="s">
        <v>104</v>
      </c>
      <c r="D402" s="1" t="n">
        <v>394</v>
      </c>
      <c r="E402" s="1" t="n">
        <v>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1" t="n">
        <v>-6</v>
      </c>
      <c r="O402" s="1" t="n">
        <v>8.47081666666667</v>
      </c>
    </row>
    <row r="403" customFormat="false" ht="15.75" hidden="true" customHeight="false" outlineLevel="0" collapsed="false">
      <c r="A403" s="4" t="n">
        <v>45531</v>
      </c>
      <c r="B403" s="1" t="s">
        <v>95</v>
      </c>
      <c r="C403" s="1" t="s">
        <v>89</v>
      </c>
      <c r="D403" s="1" t="n">
        <v>274</v>
      </c>
      <c r="E403" s="1" t="n">
        <v>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1" t="n">
        <v>-9</v>
      </c>
      <c r="N403" s="1" t="n">
        <v>0.00955</v>
      </c>
      <c r="O403" s="1" t="n">
        <v>8.23146666666667</v>
      </c>
    </row>
    <row r="404" customFormat="false" ht="15.75" hidden="true" customHeight="false" outlineLevel="0" collapsed="false">
      <c r="A404" s="4" t="n">
        <v>45531</v>
      </c>
      <c r="B404" s="1" t="s">
        <v>103</v>
      </c>
      <c r="C404" s="1" t="s">
        <v>104</v>
      </c>
      <c r="D404" s="1" t="n">
        <v>464</v>
      </c>
      <c r="E404" s="1" t="n">
        <v>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1" t="n">
        <v>3</v>
      </c>
      <c r="O404" s="1" t="n">
        <v>11.5300833333333</v>
      </c>
    </row>
    <row r="405" customFormat="false" ht="15.75" hidden="true" customHeight="false" outlineLevel="0" collapsed="false">
      <c r="A405" s="4" t="n">
        <v>45531</v>
      </c>
      <c r="B405" s="1" t="s">
        <v>88</v>
      </c>
      <c r="C405" s="1" t="s">
        <v>89</v>
      </c>
      <c r="D405" s="1" t="n">
        <v>321</v>
      </c>
      <c r="E405" s="1" t="n">
        <v>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1" t="n">
        <v>-7</v>
      </c>
      <c r="O405" s="1" t="n">
        <v>7.99478333333333</v>
      </c>
    </row>
    <row r="406" customFormat="false" ht="15.75" hidden="true" customHeight="false" outlineLevel="0" collapsed="false">
      <c r="A406" s="4" t="n">
        <v>45531</v>
      </c>
      <c r="B406" s="1" t="s">
        <v>103</v>
      </c>
      <c r="C406" s="1" t="s">
        <v>104</v>
      </c>
      <c r="D406" s="1" t="n">
        <v>963</v>
      </c>
      <c r="E406" s="1" t="n">
        <v>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1" t="n">
        <v>5</v>
      </c>
      <c r="O406" s="1" t="n">
        <v>15.6267666666667</v>
      </c>
    </row>
    <row r="407" customFormat="false" ht="15.75" hidden="true" customHeight="false" outlineLevel="0" collapsed="false">
      <c r="A407" s="4" t="n">
        <v>45531</v>
      </c>
      <c r="B407" s="1" t="s">
        <v>88</v>
      </c>
      <c r="C407" s="1" t="s">
        <v>89</v>
      </c>
      <c r="D407" s="1" t="n">
        <v>299</v>
      </c>
      <c r="E407" s="1" t="n">
        <v>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1" t="n">
        <v>-8</v>
      </c>
      <c r="O407" s="1" t="n">
        <v>11.3796833333333</v>
      </c>
    </row>
    <row r="408" customFormat="false" ht="15.75" hidden="true" customHeight="false" outlineLevel="0" collapsed="false">
      <c r="A408" s="4" t="n">
        <v>45531</v>
      </c>
      <c r="B408" s="1" t="s">
        <v>88</v>
      </c>
      <c r="C408" s="1" t="s">
        <v>89</v>
      </c>
      <c r="D408" s="1" t="n">
        <v>362</v>
      </c>
      <c r="E408" s="1" t="n">
        <v>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1" t="n">
        <v>-8</v>
      </c>
      <c r="O408" s="1" t="n">
        <v>6.84351666666667</v>
      </c>
    </row>
    <row r="409" customFormat="false" ht="15.75" hidden="true" customHeight="false" outlineLevel="0" collapsed="false">
      <c r="A409" s="4" t="n">
        <v>45531</v>
      </c>
      <c r="B409" s="1" t="s">
        <v>95</v>
      </c>
      <c r="C409" s="1" t="s">
        <v>89</v>
      </c>
      <c r="D409" s="1" t="n">
        <v>338</v>
      </c>
      <c r="E409" s="1" t="n">
        <v>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1" t="n">
        <v>-11</v>
      </c>
      <c r="N409" s="1" t="n">
        <v>0.0133</v>
      </c>
      <c r="O409" s="1" t="n">
        <v>8.07355</v>
      </c>
    </row>
    <row r="410" customFormat="false" ht="15.75" hidden="true" customHeight="false" outlineLevel="0" collapsed="false">
      <c r="A410" s="4" t="n">
        <v>45531</v>
      </c>
      <c r="B410" s="1" t="s">
        <v>95</v>
      </c>
      <c r="C410" s="1" t="s">
        <v>104</v>
      </c>
      <c r="D410" s="1" t="n">
        <v>756</v>
      </c>
      <c r="E410" s="1" t="n">
        <v>145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1" t="n">
        <v>-5</v>
      </c>
      <c r="O410" s="1" t="n">
        <v>19.6708166666667</v>
      </c>
    </row>
    <row r="411" customFormat="false" ht="15.75" hidden="true" customHeight="false" outlineLevel="0" collapsed="false">
      <c r="A411" s="4" t="n">
        <v>45531</v>
      </c>
      <c r="B411" s="1" t="s">
        <v>95</v>
      </c>
      <c r="C411" s="1" t="s">
        <v>104</v>
      </c>
      <c r="D411" s="1" t="n">
        <v>1236</v>
      </c>
      <c r="E411" s="1" t="n">
        <v>309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1" t="n">
        <v>-9</v>
      </c>
      <c r="O411" s="1" t="n">
        <v>15.7326</v>
      </c>
    </row>
    <row r="412" customFormat="false" ht="15.75" hidden="true" customHeight="false" outlineLevel="0" collapsed="false">
      <c r="A412" s="4" t="n">
        <v>45531</v>
      </c>
      <c r="B412" s="1" t="s">
        <v>103</v>
      </c>
      <c r="C412" s="1" t="s">
        <v>104</v>
      </c>
      <c r="D412" s="1" t="n">
        <v>378</v>
      </c>
      <c r="E412" s="1" t="n">
        <v>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1" t="n">
        <v>2</v>
      </c>
      <c r="O412" s="1" t="n">
        <v>10.27485</v>
      </c>
    </row>
    <row r="413" customFormat="false" ht="15.75" hidden="true" customHeight="false" outlineLevel="0" collapsed="false">
      <c r="A413" s="4" t="n">
        <v>45531</v>
      </c>
      <c r="B413" s="1" t="s">
        <v>95</v>
      </c>
      <c r="C413" s="1" t="s">
        <v>89</v>
      </c>
      <c r="D413" s="1" t="n">
        <v>424</v>
      </c>
      <c r="E413" s="1" t="n">
        <v>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1" t="n">
        <v>-7</v>
      </c>
      <c r="N413" s="1" t="n">
        <v>0.0103</v>
      </c>
      <c r="O413" s="1" t="n">
        <v>11.02015</v>
      </c>
    </row>
    <row r="414" customFormat="false" ht="15.75" hidden="true" customHeight="false" outlineLevel="0" collapsed="false">
      <c r="A414" s="4" t="n">
        <v>45531</v>
      </c>
      <c r="B414" s="1" t="s">
        <v>228</v>
      </c>
      <c r="C414" s="1" t="s">
        <v>104</v>
      </c>
      <c r="D414" s="1" t="n">
        <v>309</v>
      </c>
      <c r="E414" s="1" t="n">
        <v>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1" t="n">
        <v>2</v>
      </c>
      <c r="O414" s="1" t="n">
        <v>7.11976666666667</v>
      </c>
    </row>
    <row r="415" customFormat="false" ht="15.75" hidden="true" customHeight="false" outlineLevel="0" collapsed="false">
      <c r="A415" s="4" t="n">
        <v>45531</v>
      </c>
      <c r="B415" s="1" t="s">
        <v>103</v>
      </c>
      <c r="C415" s="1" t="s">
        <v>104</v>
      </c>
      <c r="D415" s="1" t="n">
        <v>488</v>
      </c>
      <c r="E415" s="1" t="n">
        <v>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1" t="n">
        <v>8</v>
      </c>
      <c r="O415" s="1" t="n">
        <v>16.5029833333333</v>
      </c>
    </row>
    <row r="416" customFormat="false" ht="15.75" hidden="true" customHeight="false" outlineLevel="0" collapsed="false">
      <c r="A416" s="4" t="n">
        <v>45531</v>
      </c>
      <c r="B416" s="1" t="s">
        <v>103</v>
      </c>
      <c r="C416" s="1" t="s">
        <v>104</v>
      </c>
      <c r="D416" s="1" t="n">
        <v>728</v>
      </c>
      <c r="E416" s="1" t="n">
        <v>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1" t="n">
        <v>8</v>
      </c>
      <c r="O416" s="1" t="n">
        <v>17.7315833333333</v>
      </c>
    </row>
    <row r="417" customFormat="false" ht="15.75" hidden="true" customHeight="false" outlineLevel="0" collapsed="false">
      <c r="A417" s="4" t="n">
        <v>45531</v>
      </c>
      <c r="B417" s="1" t="s">
        <v>107</v>
      </c>
      <c r="C417" s="1" t="s">
        <v>104</v>
      </c>
      <c r="D417" s="1" t="n">
        <v>443</v>
      </c>
      <c r="E417" s="1" t="n">
        <v>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1" t="n">
        <v>1</v>
      </c>
      <c r="O417" s="1" t="n">
        <v>16.3861333333333</v>
      </c>
    </row>
    <row r="418" customFormat="false" ht="15.75" hidden="true" customHeight="false" outlineLevel="0" collapsed="false">
      <c r="A418" s="4" t="n">
        <v>45531</v>
      </c>
      <c r="B418" s="1" t="s">
        <v>88</v>
      </c>
      <c r="C418" s="1" t="s">
        <v>89</v>
      </c>
      <c r="D418" s="1" t="n">
        <v>822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1" t="n">
        <v>1</v>
      </c>
      <c r="O418" s="1" t="n">
        <v>21.1088666666667</v>
      </c>
    </row>
    <row r="419" customFormat="false" ht="15.75" hidden="true" customHeight="false" outlineLevel="0" collapsed="false">
      <c r="A419" s="4" t="n">
        <v>45531</v>
      </c>
      <c r="B419" s="1" t="s">
        <v>228</v>
      </c>
      <c r="C419" s="1" t="s">
        <v>104</v>
      </c>
      <c r="D419" s="1" t="n">
        <v>249</v>
      </c>
      <c r="E419" s="1" t="n">
        <v>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1" t="n">
        <v>6</v>
      </c>
      <c r="O419" s="1" t="n">
        <v>11.4343666666667</v>
      </c>
    </row>
    <row r="420" customFormat="false" ht="15.75" hidden="true" customHeight="false" outlineLevel="0" collapsed="false">
      <c r="A420" s="4" t="n">
        <v>45531</v>
      </c>
      <c r="B420" s="1" t="s">
        <v>88</v>
      </c>
      <c r="C420" s="1" t="s">
        <v>89</v>
      </c>
      <c r="D420" s="1" t="n">
        <v>658</v>
      </c>
      <c r="E420" s="1" t="n">
        <v>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1" t="n">
        <v>-54</v>
      </c>
      <c r="O420" s="1" t="n">
        <v>24.68315</v>
      </c>
    </row>
    <row r="421" customFormat="false" ht="15.75" hidden="true" customHeight="false" outlineLevel="0" collapsed="false">
      <c r="A421" s="4" t="n">
        <v>45531</v>
      </c>
      <c r="B421" s="1" t="s">
        <v>103</v>
      </c>
      <c r="C421" s="1" t="s">
        <v>104</v>
      </c>
      <c r="D421" s="1" t="n">
        <v>430</v>
      </c>
      <c r="E421" s="1" t="n">
        <v>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1" t="n">
        <v>0</v>
      </c>
      <c r="O421" s="1" t="n">
        <v>8.47</v>
      </c>
    </row>
    <row r="422" customFormat="false" ht="15.75" hidden="true" customHeight="false" outlineLevel="0" collapsed="false">
      <c r="A422" s="4" t="n">
        <v>45531</v>
      </c>
      <c r="B422" s="1" t="s">
        <v>103</v>
      </c>
      <c r="C422" s="1" t="s">
        <v>104</v>
      </c>
      <c r="D422" s="1" t="n">
        <v>329</v>
      </c>
      <c r="E422" s="1" t="n">
        <v>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1" t="n">
        <v>2</v>
      </c>
      <c r="O422" s="1" t="n">
        <v>9.6159</v>
      </c>
    </row>
    <row r="423" customFormat="false" ht="15.75" hidden="true" customHeight="false" outlineLevel="0" collapsed="false">
      <c r="A423" s="4" t="n">
        <v>45531</v>
      </c>
      <c r="B423" s="1" t="s">
        <v>107</v>
      </c>
      <c r="C423" s="1" t="s">
        <v>104</v>
      </c>
      <c r="D423" s="1" t="n">
        <v>364</v>
      </c>
      <c r="E423" s="1" t="n">
        <v>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1" t="n">
        <v>-8</v>
      </c>
      <c r="O423" s="1" t="n">
        <v>6.67761666666667</v>
      </c>
    </row>
    <row r="424" customFormat="false" ht="15.75" hidden="true" customHeight="false" outlineLevel="0" collapsed="false">
      <c r="A424" s="4" t="n">
        <v>45531</v>
      </c>
      <c r="B424" s="1" t="s">
        <v>95</v>
      </c>
      <c r="C424" s="1" t="s">
        <v>89</v>
      </c>
      <c r="D424" s="1" t="n">
        <v>690</v>
      </c>
      <c r="E424" s="1" t="n">
        <v>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1" t="n">
        <v>-2</v>
      </c>
      <c r="N424" s="1" t="n">
        <v>0.0165</v>
      </c>
      <c r="O424" s="1" t="n">
        <v>20.6282833333333</v>
      </c>
    </row>
    <row r="425" customFormat="false" ht="15.75" hidden="true" customHeight="false" outlineLevel="0" collapsed="false">
      <c r="A425" s="4" t="n">
        <v>45531</v>
      </c>
      <c r="B425" s="1" t="s">
        <v>95</v>
      </c>
      <c r="C425" s="1" t="s">
        <v>104</v>
      </c>
      <c r="D425" s="1" t="n">
        <v>265</v>
      </c>
      <c r="E425" s="1" t="n">
        <v>61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1" t="n">
        <v>-8</v>
      </c>
      <c r="O425" s="1" t="n">
        <v>11.66165</v>
      </c>
    </row>
    <row r="426" customFormat="false" ht="15.75" hidden="true" customHeight="false" outlineLevel="0" collapsed="false">
      <c r="A426" s="4" t="n">
        <v>45531</v>
      </c>
      <c r="B426" s="1" t="s">
        <v>88</v>
      </c>
      <c r="C426" s="1" t="s">
        <v>89</v>
      </c>
      <c r="D426" s="1" t="n">
        <v>394</v>
      </c>
      <c r="E426" s="1" t="n">
        <v>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1" t="n">
        <v>-4</v>
      </c>
      <c r="O426" s="1" t="n">
        <v>10.7842833333333</v>
      </c>
    </row>
    <row r="427" customFormat="false" ht="15.75" hidden="true" customHeight="false" outlineLevel="0" collapsed="false">
      <c r="A427" s="4" t="n">
        <v>45531</v>
      </c>
      <c r="B427" s="1" t="s">
        <v>95</v>
      </c>
      <c r="C427" s="1" t="s">
        <v>89</v>
      </c>
      <c r="D427" s="1" t="n">
        <v>548</v>
      </c>
      <c r="E427" s="1" t="n">
        <v>89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1" t="n">
        <v>0</v>
      </c>
      <c r="N427" s="1" t="n">
        <v>0.0110833333333333</v>
      </c>
      <c r="O427" s="1" t="n">
        <v>26.0387333333333</v>
      </c>
    </row>
    <row r="428" customFormat="false" ht="15.75" hidden="true" customHeight="false" outlineLevel="0" collapsed="false">
      <c r="A428" s="4" t="n">
        <v>45531</v>
      </c>
      <c r="B428" s="1" t="s">
        <v>95</v>
      </c>
      <c r="C428" s="1" t="s">
        <v>104</v>
      </c>
      <c r="D428" s="1" t="n">
        <v>299</v>
      </c>
      <c r="E428" s="1" t="n">
        <v>75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1" t="n">
        <v>-11</v>
      </c>
      <c r="O428" s="1" t="n">
        <v>9.51998333333333</v>
      </c>
    </row>
    <row r="429" customFormat="false" ht="15.75" hidden="true" customHeight="false" outlineLevel="0" collapsed="false">
      <c r="A429" s="4" t="n">
        <v>45531</v>
      </c>
      <c r="B429" s="1" t="s">
        <v>95</v>
      </c>
      <c r="C429" s="1" t="s">
        <v>104</v>
      </c>
      <c r="D429" s="1" t="n">
        <v>247</v>
      </c>
      <c r="E429" s="1" t="n">
        <v>62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1" t="n">
        <v>-6</v>
      </c>
      <c r="O429" s="1" t="n">
        <v>33.0371166666667</v>
      </c>
    </row>
    <row r="430" customFormat="false" ht="15.75" hidden="true" customHeight="false" outlineLevel="0" collapsed="false">
      <c r="A430" s="4" t="n">
        <v>45531</v>
      </c>
      <c r="B430" s="1" t="s">
        <v>88</v>
      </c>
      <c r="C430" s="1" t="s">
        <v>89</v>
      </c>
      <c r="D430" s="1" t="n">
        <v>329</v>
      </c>
      <c r="E430" s="1" t="n">
        <v>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1" t="n">
        <v>-6</v>
      </c>
      <c r="O430" s="1" t="n">
        <v>8.93215</v>
      </c>
    </row>
    <row r="431" customFormat="false" ht="15.75" hidden="true" customHeight="false" outlineLevel="0" collapsed="false">
      <c r="A431" s="4" t="n">
        <v>45531</v>
      </c>
      <c r="B431" s="1" t="s">
        <v>95</v>
      </c>
      <c r="C431" s="1" t="s">
        <v>104</v>
      </c>
      <c r="D431" s="1" t="n">
        <v>236</v>
      </c>
      <c r="E431" s="1" t="n">
        <v>73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1" t="n">
        <v>-11</v>
      </c>
      <c r="O431" s="1" t="n">
        <v>8.11548333333333</v>
      </c>
    </row>
    <row r="432" customFormat="false" ht="15.75" hidden="true" customHeight="false" outlineLevel="0" collapsed="false">
      <c r="A432" s="4" t="n">
        <v>45531</v>
      </c>
      <c r="B432" s="1" t="s">
        <v>103</v>
      </c>
      <c r="C432" s="1" t="s">
        <v>104</v>
      </c>
      <c r="D432" s="1" t="n">
        <v>214</v>
      </c>
      <c r="E432" s="1" t="n">
        <v>50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1" t="n">
        <v>1</v>
      </c>
      <c r="O432" s="1" t="n">
        <v>8.91881666666667</v>
      </c>
    </row>
    <row r="433" customFormat="false" ht="15.75" hidden="true" customHeight="false" outlineLevel="0" collapsed="false">
      <c r="A433" s="4" t="n">
        <v>45531</v>
      </c>
      <c r="B433" s="1" t="s">
        <v>103</v>
      </c>
      <c r="C433" s="1" t="s">
        <v>104</v>
      </c>
      <c r="D433" s="1" t="n">
        <v>756</v>
      </c>
      <c r="E433" s="1" t="n">
        <v>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1" t="n">
        <v>2</v>
      </c>
      <c r="O433" s="1" t="n">
        <v>12.6118333333333</v>
      </c>
    </row>
    <row r="434" customFormat="false" ht="15.75" hidden="true" customHeight="false" outlineLevel="0" collapsed="false">
      <c r="A434" s="4" t="n">
        <v>45531</v>
      </c>
      <c r="B434" s="1" t="s">
        <v>103</v>
      </c>
      <c r="C434" s="1" t="s">
        <v>104</v>
      </c>
      <c r="D434" s="1" t="n">
        <v>528</v>
      </c>
      <c r="E434" s="1" t="n">
        <v>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1" t="n">
        <v>0</v>
      </c>
      <c r="O434" s="1" t="n">
        <v>7.87951666666667</v>
      </c>
    </row>
    <row r="435" customFormat="false" ht="15.75" hidden="true" customHeight="false" outlineLevel="0" collapsed="false">
      <c r="A435" s="4" t="n">
        <v>45531</v>
      </c>
      <c r="B435" s="1" t="s">
        <v>95</v>
      </c>
      <c r="C435" s="1" t="s">
        <v>104</v>
      </c>
      <c r="D435" s="1" t="n">
        <v>494</v>
      </c>
      <c r="E435" s="1" t="n">
        <v>124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1" t="n">
        <v>-9</v>
      </c>
      <c r="O435" s="1" t="n">
        <v>9.81031666666667</v>
      </c>
    </row>
    <row r="436" customFormat="false" ht="15.75" hidden="true" customHeight="false" outlineLevel="0" collapsed="false">
      <c r="A436" s="4" t="n">
        <v>45531</v>
      </c>
      <c r="B436" s="1" t="s">
        <v>88</v>
      </c>
      <c r="C436" s="1" t="s">
        <v>89</v>
      </c>
      <c r="D436" s="1" t="n">
        <v>378</v>
      </c>
      <c r="E436" s="1" t="n">
        <v>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1" t="n">
        <v>-7</v>
      </c>
      <c r="O436" s="1" t="n">
        <v>7.68606666666667</v>
      </c>
    </row>
    <row r="437" customFormat="false" ht="15.75" hidden="true" customHeight="false" outlineLevel="0" collapsed="false">
      <c r="A437" s="4" t="n">
        <v>45531</v>
      </c>
      <c r="B437" s="1" t="s">
        <v>103</v>
      </c>
      <c r="C437" s="1" t="s">
        <v>104</v>
      </c>
      <c r="D437" s="1" t="n">
        <v>288</v>
      </c>
      <c r="E437" s="1" t="n">
        <v>50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1" t="n">
        <v>0</v>
      </c>
      <c r="O437" s="1" t="n">
        <v>6.33968333333333</v>
      </c>
    </row>
    <row r="438" customFormat="false" ht="15.75" hidden="true" customHeight="false" outlineLevel="0" collapsed="false">
      <c r="A438" s="4" t="n">
        <v>45531</v>
      </c>
      <c r="B438" s="1" t="s">
        <v>103</v>
      </c>
      <c r="C438" s="1" t="s">
        <v>104</v>
      </c>
      <c r="D438" s="1" t="n">
        <v>425</v>
      </c>
      <c r="E438" s="1" t="n">
        <v>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1" t="n">
        <v>0</v>
      </c>
      <c r="O438" s="1" t="n">
        <v>7.56906666666667</v>
      </c>
    </row>
    <row r="439" customFormat="false" ht="15.75" hidden="true" customHeight="false" outlineLevel="0" collapsed="false">
      <c r="A439" s="4" t="n">
        <v>45531</v>
      </c>
      <c r="B439" s="1" t="s">
        <v>103</v>
      </c>
      <c r="C439" s="1" t="s">
        <v>104</v>
      </c>
      <c r="D439" s="1" t="n">
        <v>329</v>
      </c>
      <c r="E439" s="1" t="n">
        <v>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1" t="n">
        <v>1</v>
      </c>
      <c r="O439" s="1" t="n">
        <v>8.25488333333333</v>
      </c>
    </row>
    <row r="440" customFormat="false" ht="15.75" hidden="true" customHeight="false" outlineLevel="0" collapsed="false">
      <c r="A440" s="4" t="n">
        <v>45531</v>
      </c>
      <c r="B440" s="1" t="s">
        <v>88</v>
      </c>
      <c r="C440" s="1" t="s">
        <v>89</v>
      </c>
      <c r="D440" s="1" t="n">
        <v>329</v>
      </c>
      <c r="E440" s="1" t="n">
        <v>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1" t="n">
        <v>-8</v>
      </c>
      <c r="O440" s="1" t="n">
        <v>6.70291666666667</v>
      </c>
    </row>
    <row r="441" customFormat="false" ht="15.75" hidden="true" customHeight="false" outlineLevel="0" collapsed="false">
      <c r="A441" s="4" t="n">
        <v>45531</v>
      </c>
      <c r="B441" s="1" t="s">
        <v>95</v>
      </c>
      <c r="C441" s="1" t="s">
        <v>104</v>
      </c>
      <c r="D441" s="1" t="n">
        <v>247</v>
      </c>
      <c r="E441" s="1" t="n">
        <v>62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1" t="n">
        <v>-8</v>
      </c>
      <c r="O441" s="1" t="n">
        <v>11.1346833333333</v>
      </c>
    </row>
    <row r="442" customFormat="false" ht="15.75" hidden="true" customHeight="false" outlineLevel="0" collapsed="false">
      <c r="A442" s="4" t="n">
        <v>45531</v>
      </c>
      <c r="B442" s="1" t="s">
        <v>107</v>
      </c>
      <c r="C442" s="1" t="s">
        <v>104</v>
      </c>
      <c r="D442" s="1" t="n">
        <v>634</v>
      </c>
      <c r="E442" s="1" t="n">
        <v>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1" t="n">
        <v>-9</v>
      </c>
      <c r="O442" s="1" t="n">
        <v>10.4088333333333</v>
      </c>
    </row>
    <row r="443" customFormat="false" ht="15.75" hidden="true" customHeight="false" outlineLevel="0" collapsed="false">
      <c r="A443" s="4" t="n">
        <v>45531</v>
      </c>
      <c r="B443" s="1" t="s">
        <v>103</v>
      </c>
      <c r="C443" s="1" t="s">
        <v>104</v>
      </c>
      <c r="D443" s="1" t="n">
        <v>321</v>
      </c>
      <c r="E443" s="1" t="n">
        <v>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1" t="n">
        <v>2</v>
      </c>
      <c r="O443" s="1" t="n">
        <v>9.8272</v>
      </c>
    </row>
    <row r="444" customFormat="false" ht="15.75" hidden="true" customHeight="false" outlineLevel="0" collapsed="false">
      <c r="A444" s="4" t="n">
        <v>45531</v>
      </c>
      <c r="B444" s="1" t="s">
        <v>88</v>
      </c>
      <c r="C444" s="1" t="s">
        <v>89</v>
      </c>
      <c r="D444" s="1" t="n">
        <v>408</v>
      </c>
      <c r="E444" s="1" t="n">
        <v>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1" t="n">
        <v>-8</v>
      </c>
      <c r="O444" s="1" t="n">
        <v>6.45958333333333</v>
      </c>
    </row>
    <row r="445" customFormat="false" ht="15.75" hidden="true" customHeight="false" outlineLevel="0" collapsed="false">
      <c r="A445" s="4" t="n">
        <v>45531</v>
      </c>
      <c r="B445" s="1" t="s">
        <v>88</v>
      </c>
      <c r="C445" s="1" t="s">
        <v>89</v>
      </c>
      <c r="D445" s="1" t="n">
        <v>303</v>
      </c>
      <c r="E445" s="1" t="n">
        <v>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1" t="n">
        <v>-8</v>
      </c>
      <c r="O445" s="1" t="n">
        <v>6.73795</v>
      </c>
    </row>
    <row r="446" customFormat="false" ht="15.75" hidden="true" customHeight="false" outlineLevel="0" collapsed="false">
      <c r="A446" s="4" t="n">
        <v>45531</v>
      </c>
      <c r="B446" s="1" t="s">
        <v>88</v>
      </c>
      <c r="C446" s="1" t="s">
        <v>89</v>
      </c>
      <c r="D446" s="1" t="n">
        <v>488</v>
      </c>
      <c r="E446" s="1" t="n">
        <v>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1" t="n">
        <v>-6</v>
      </c>
      <c r="O446" s="1" t="n">
        <v>8.04238333333333</v>
      </c>
    </row>
    <row r="447" customFormat="false" ht="15.75" hidden="true" customHeight="false" outlineLevel="0" collapsed="false">
      <c r="A447" s="4" t="n">
        <v>45531</v>
      </c>
      <c r="B447" s="1" t="s">
        <v>103</v>
      </c>
      <c r="C447" s="1" t="s">
        <v>104</v>
      </c>
      <c r="D447" s="1" t="n">
        <v>508</v>
      </c>
      <c r="E447" s="1" t="n">
        <v>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1" t="n">
        <v>0</v>
      </c>
      <c r="O447" s="1" t="n">
        <v>8.08806666666667</v>
      </c>
    </row>
    <row r="448" customFormat="false" ht="15.75" hidden="true" customHeight="false" outlineLevel="0" collapsed="false">
      <c r="A448" s="4" t="n">
        <v>45531</v>
      </c>
      <c r="B448" s="1" t="s">
        <v>103</v>
      </c>
      <c r="C448" s="1" t="s">
        <v>104</v>
      </c>
      <c r="D448" s="1" t="n">
        <v>321</v>
      </c>
      <c r="E448" s="1" t="n">
        <v>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1" t="n">
        <v>0</v>
      </c>
      <c r="O448" s="1" t="n">
        <v>7.54615</v>
      </c>
    </row>
    <row r="449" customFormat="false" ht="15.75" hidden="true" customHeight="false" outlineLevel="0" collapsed="false">
      <c r="A449" s="4" t="n">
        <v>45531</v>
      </c>
      <c r="B449" s="1" t="s">
        <v>103</v>
      </c>
      <c r="C449" s="1" t="s">
        <v>104</v>
      </c>
      <c r="D449" s="1" t="n">
        <v>468</v>
      </c>
      <c r="E449" s="1" t="n">
        <v>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1" t="n">
        <v>1</v>
      </c>
      <c r="O449" s="1" t="n">
        <v>9.42555</v>
      </c>
    </row>
    <row r="450" customFormat="false" ht="15.75" hidden="true" customHeight="false" outlineLevel="0" collapsed="false">
      <c r="A450" s="4" t="n">
        <v>45531</v>
      </c>
      <c r="B450" s="1" t="s">
        <v>88</v>
      </c>
      <c r="C450" s="1" t="s">
        <v>89</v>
      </c>
      <c r="D450" s="1" t="n">
        <v>658</v>
      </c>
      <c r="E450" s="1" t="n">
        <v>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1" t="n">
        <v>-10</v>
      </c>
      <c r="O450" s="1" t="n">
        <v>9.6285</v>
      </c>
    </row>
    <row r="451" customFormat="false" ht="15.75" hidden="true" customHeight="false" outlineLevel="0" collapsed="false">
      <c r="A451" s="4" t="n">
        <v>45531</v>
      </c>
      <c r="B451" s="1" t="s">
        <v>88</v>
      </c>
      <c r="C451" s="1" t="s">
        <v>89</v>
      </c>
      <c r="D451" s="1" t="n">
        <v>428</v>
      </c>
      <c r="E451" s="1" t="n">
        <v>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1" t="n">
        <v>-6</v>
      </c>
      <c r="O451" s="1" t="n">
        <v>8.11958333333333</v>
      </c>
    </row>
    <row r="452" customFormat="false" ht="15.75" hidden="true" customHeight="false" outlineLevel="0" collapsed="false">
      <c r="A452" s="4" t="n">
        <v>45531</v>
      </c>
      <c r="B452" s="1" t="s">
        <v>95</v>
      </c>
      <c r="C452" s="1" t="s">
        <v>104</v>
      </c>
      <c r="D452" s="1" t="n">
        <v>239</v>
      </c>
      <c r="E452" s="1" t="n">
        <v>55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1" t="n">
        <v>-11</v>
      </c>
      <c r="O452" s="1" t="n">
        <v>8.14923333333333</v>
      </c>
    </row>
    <row r="453" customFormat="false" ht="15.75" hidden="true" customHeight="false" outlineLevel="0" collapsed="false">
      <c r="A453" s="4" t="n">
        <v>45531</v>
      </c>
      <c r="B453" s="1" t="s">
        <v>95</v>
      </c>
      <c r="C453" s="1" t="s">
        <v>89</v>
      </c>
      <c r="D453" s="1" t="n">
        <v>767</v>
      </c>
      <c r="E453" s="1" t="n">
        <v>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1" t="n">
        <v>-13</v>
      </c>
      <c r="N453" s="1" t="n">
        <v>0.0101</v>
      </c>
      <c r="O453" s="1" t="n">
        <v>8.82895</v>
      </c>
    </row>
    <row r="454" customFormat="false" ht="15.75" hidden="true" customHeight="false" outlineLevel="0" collapsed="false">
      <c r="A454" s="4" t="n">
        <v>45531</v>
      </c>
      <c r="B454" s="1" t="s">
        <v>107</v>
      </c>
      <c r="C454" s="1" t="s">
        <v>104</v>
      </c>
      <c r="D454" s="1" t="n">
        <v>321</v>
      </c>
      <c r="E454" s="1" t="n">
        <v>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1" t="n">
        <v>-4</v>
      </c>
      <c r="O454" s="1" t="n">
        <v>10.4875</v>
      </c>
    </row>
    <row r="455" customFormat="false" ht="15.75" hidden="true" customHeight="false" outlineLevel="0" collapsed="false">
      <c r="A455" s="4" t="n">
        <v>45531</v>
      </c>
      <c r="B455" s="1" t="s">
        <v>95</v>
      </c>
      <c r="C455" s="1" t="s">
        <v>104</v>
      </c>
      <c r="D455" s="1" t="n">
        <v>190</v>
      </c>
      <c r="E455" s="1" t="n">
        <v>59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1" t="n">
        <v>-31</v>
      </c>
      <c r="O455" s="1" t="n">
        <v>34.5078</v>
      </c>
    </row>
    <row r="456" customFormat="false" ht="15.75" hidden="true" customHeight="false" outlineLevel="0" collapsed="false">
      <c r="A456" s="4" t="n">
        <v>45531</v>
      </c>
      <c r="B456" s="1" t="s">
        <v>95</v>
      </c>
      <c r="C456" s="1" t="s">
        <v>89</v>
      </c>
      <c r="D456" s="1" t="n">
        <v>732</v>
      </c>
      <c r="E456" s="1" t="n">
        <v>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1" t="n">
        <v>-7</v>
      </c>
      <c r="N456" s="1" t="n">
        <v>0.01255</v>
      </c>
      <c r="O456" s="1" t="n">
        <v>15.2018166666667</v>
      </c>
    </row>
    <row r="457" customFormat="false" ht="15.75" hidden="true" customHeight="false" outlineLevel="0" collapsed="false">
      <c r="A457" s="4" t="n">
        <v>45531</v>
      </c>
      <c r="B457" s="1" t="s">
        <v>88</v>
      </c>
      <c r="C457" s="1" t="s">
        <v>89</v>
      </c>
      <c r="D457" s="1" t="n">
        <v>450</v>
      </c>
      <c r="E457" s="1" t="n">
        <v>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1" t="n">
        <v>3</v>
      </c>
      <c r="O457" s="1" t="n">
        <v>18.7475833333333</v>
      </c>
    </row>
    <row r="458" customFormat="false" ht="15.75" hidden="true" customHeight="false" outlineLevel="0" collapsed="false">
      <c r="A458" s="4" t="n">
        <v>45531</v>
      </c>
      <c r="B458" s="1" t="s">
        <v>95</v>
      </c>
      <c r="C458" s="1" t="s">
        <v>104</v>
      </c>
      <c r="D458" s="1" t="n">
        <v>285</v>
      </c>
      <c r="E458" s="1" t="n">
        <v>89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1" t="n">
        <v>-15</v>
      </c>
      <c r="O458" s="1" t="n">
        <v>16.5981833333333</v>
      </c>
    </row>
    <row r="459" customFormat="false" ht="15.75" hidden="true" customHeight="false" outlineLevel="0" collapsed="false">
      <c r="A459" s="4" t="n">
        <v>45531</v>
      </c>
      <c r="B459" s="1" t="s">
        <v>103</v>
      </c>
      <c r="C459" s="1" t="s">
        <v>104</v>
      </c>
      <c r="D459" s="1" t="n">
        <v>281</v>
      </c>
      <c r="E459" s="1" t="n">
        <v>100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1" t="n">
        <v>7</v>
      </c>
      <c r="O459" s="1" t="n">
        <v>14.9366333333333</v>
      </c>
    </row>
    <row r="460" customFormat="false" ht="15.75" hidden="true" customHeight="false" outlineLevel="0" collapsed="false">
      <c r="A460" s="4" t="n">
        <v>45531</v>
      </c>
      <c r="B460" s="1" t="s">
        <v>95</v>
      </c>
      <c r="C460" s="1" t="s">
        <v>89</v>
      </c>
      <c r="D460" s="1" t="n">
        <v>365</v>
      </c>
      <c r="E460" s="1" t="n">
        <v>30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1" t="n">
        <v>-8</v>
      </c>
      <c r="N460" s="1" t="n">
        <v>0.0103666666666667</v>
      </c>
      <c r="O460" s="1" t="n">
        <v>11.2022333333333</v>
      </c>
    </row>
    <row r="461" customFormat="false" ht="15.75" hidden="true" customHeight="false" outlineLevel="0" collapsed="false">
      <c r="A461" s="4" t="n">
        <v>45531</v>
      </c>
      <c r="B461" s="1" t="s">
        <v>103</v>
      </c>
      <c r="C461" s="1" t="s">
        <v>104</v>
      </c>
      <c r="D461" s="1" t="n">
        <v>618</v>
      </c>
      <c r="E461" s="1" t="n">
        <v>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1" t="n">
        <v>4</v>
      </c>
      <c r="O461" s="1" t="n">
        <v>13.3774166666667</v>
      </c>
    </row>
    <row r="462" customFormat="false" ht="15.75" hidden="true" customHeight="false" outlineLevel="0" collapsed="false">
      <c r="A462" s="4" t="n">
        <v>45531</v>
      </c>
      <c r="B462" s="1" t="s">
        <v>88</v>
      </c>
      <c r="C462" s="1" t="s">
        <v>89</v>
      </c>
      <c r="D462" s="1" t="n">
        <v>488</v>
      </c>
      <c r="E462" s="1" t="n">
        <v>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1" t="n">
        <v>-7</v>
      </c>
      <c r="O462" s="1" t="n">
        <v>7.93693333333333</v>
      </c>
    </row>
    <row r="463" customFormat="false" ht="15.75" hidden="true" customHeight="false" outlineLevel="0" collapsed="false">
      <c r="A463" s="4" t="n">
        <v>45531</v>
      </c>
      <c r="B463" s="1" t="s">
        <v>103</v>
      </c>
      <c r="C463" s="1" t="s">
        <v>104</v>
      </c>
      <c r="D463" s="1" t="n">
        <v>378</v>
      </c>
      <c r="E463" s="1" t="n">
        <v>150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1" t="n">
        <v>2</v>
      </c>
      <c r="O463" s="1" t="n">
        <v>10.09255</v>
      </c>
    </row>
    <row r="464" customFormat="false" ht="15.75" hidden="true" customHeight="false" outlineLevel="0" collapsed="false">
      <c r="A464" s="4" t="n">
        <v>45531</v>
      </c>
      <c r="B464" s="1" t="s">
        <v>95</v>
      </c>
      <c r="C464" s="1" t="s">
        <v>104</v>
      </c>
      <c r="D464" s="1" t="n">
        <v>199</v>
      </c>
      <c r="E464" s="1" t="n">
        <v>50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1" t="n">
        <v>-6</v>
      </c>
      <c r="O464" s="1" t="n">
        <v>12.8781833333333</v>
      </c>
    </row>
    <row r="465" customFormat="false" ht="15.75" hidden="true" customHeight="false" outlineLevel="0" collapsed="false">
      <c r="A465" s="4" t="n">
        <v>45531</v>
      </c>
      <c r="B465" s="1" t="s">
        <v>103</v>
      </c>
      <c r="C465" s="1" t="s">
        <v>104</v>
      </c>
      <c r="D465" s="1" t="n">
        <v>251</v>
      </c>
      <c r="E465" s="1" t="n">
        <v>100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1" t="n">
        <v>4</v>
      </c>
      <c r="O465" s="1" t="n">
        <v>11.27435</v>
      </c>
    </row>
    <row r="466" customFormat="false" ht="15.75" hidden="true" customHeight="false" outlineLevel="0" collapsed="false">
      <c r="A466" s="4" t="n">
        <v>45531</v>
      </c>
      <c r="B466" s="1" t="s">
        <v>103</v>
      </c>
      <c r="C466" s="1" t="s">
        <v>104</v>
      </c>
      <c r="D466" s="1" t="n">
        <v>1365</v>
      </c>
      <c r="E466" s="1" t="n">
        <v>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1" t="n">
        <v>-3</v>
      </c>
      <c r="O466" s="1" t="n">
        <v>9.81693333333333</v>
      </c>
    </row>
    <row r="467" customFormat="false" ht="15.75" hidden="true" customHeight="false" outlineLevel="0" collapsed="false">
      <c r="A467" s="4" t="n">
        <v>45531</v>
      </c>
      <c r="B467" s="1" t="s">
        <v>103</v>
      </c>
      <c r="C467" s="1" t="s">
        <v>104</v>
      </c>
      <c r="D467" s="1" t="n">
        <v>558</v>
      </c>
      <c r="E467" s="1" t="n">
        <v>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1" t="n">
        <v>2</v>
      </c>
      <c r="O467" s="1" t="n">
        <v>10.6690333333333</v>
      </c>
    </row>
    <row r="468" customFormat="false" ht="15.75" hidden="true" customHeight="false" outlineLevel="0" collapsed="false">
      <c r="A468" s="4" t="n">
        <v>45531</v>
      </c>
      <c r="B468" s="1" t="s">
        <v>103</v>
      </c>
      <c r="C468" s="1" t="s">
        <v>104</v>
      </c>
      <c r="D468" s="1" t="n">
        <v>264</v>
      </c>
      <c r="E468" s="1" t="n">
        <v>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1" t="n">
        <v>0</v>
      </c>
      <c r="O468" s="1" t="n">
        <v>5.933</v>
      </c>
    </row>
    <row r="469" customFormat="false" ht="15.75" hidden="true" customHeight="false" outlineLevel="0" collapsed="false">
      <c r="A469" s="4" t="n">
        <v>45531</v>
      </c>
      <c r="B469" s="1" t="s">
        <v>103</v>
      </c>
      <c r="C469" s="1" t="s">
        <v>104</v>
      </c>
      <c r="D469" s="1" t="n">
        <v>771</v>
      </c>
      <c r="E469" s="1" t="n">
        <v>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1" t="n">
        <v>2</v>
      </c>
      <c r="O469" s="1" t="n">
        <v>11.2897166666667</v>
      </c>
    </row>
    <row r="470" customFormat="false" ht="15.75" hidden="true" customHeight="false" outlineLevel="0" collapsed="false">
      <c r="A470" s="4" t="n">
        <v>45531</v>
      </c>
      <c r="B470" s="1" t="s">
        <v>103</v>
      </c>
      <c r="C470" s="1" t="s">
        <v>104</v>
      </c>
      <c r="D470" s="1" t="n">
        <v>258</v>
      </c>
      <c r="E470" s="1" t="n">
        <v>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1" t="n">
        <v>2</v>
      </c>
      <c r="O470" s="1" t="n">
        <v>8.24445</v>
      </c>
    </row>
    <row r="471" customFormat="false" ht="15.75" hidden="true" customHeight="false" outlineLevel="0" collapsed="false">
      <c r="A471" s="4" t="n">
        <v>45531</v>
      </c>
      <c r="B471" s="1" t="s">
        <v>95</v>
      </c>
      <c r="C471" s="1" t="s">
        <v>89</v>
      </c>
      <c r="D471" s="1" t="n">
        <v>374</v>
      </c>
      <c r="E471" s="1" t="n">
        <v>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1" t="n">
        <v>-11</v>
      </c>
      <c r="N471" s="1" t="n">
        <v>0.00943333333333333</v>
      </c>
      <c r="O471" s="1" t="n">
        <v>11.5538666666667</v>
      </c>
    </row>
    <row r="472" customFormat="false" ht="15.75" hidden="true" customHeight="false" outlineLevel="0" collapsed="false">
      <c r="A472" s="4" t="n">
        <v>45531</v>
      </c>
      <c r="B472" s="1" t="s">
        <v>103</v>
      </c>
      <c r="C472" s="1" t="s">
        <v>104</v>
      </c>
      <c r="D472" s="1" t="n">
        <v>394</v>
      </c>
      <c r="E472" s="1" t="n">
        <v>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1" t="n">
        <v>5</v>
      </c>
      <c r="O472" s="1" t="n">
        <v>12.6761166666667</v>
      </c>
    </row>
    <row r="473" customFormat="false" ht="15.75" hidden="true" customHeight="false" outlineLevel="0" collapsed="false">
      <c r="A473" s="4" t="n">
        <v>45531</v>
      </c>
      <c r="B473" s="1" t="s">
        <v>95</v>
      </c>
      <c r="C473" s="1" t="s">
        <v>104</v>
      </c>
      <c r="D473" s="1" t="n">
        <v>466</v>
      </c>
      <c r="E473" s="1" t="n">
        <v>112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1" t="n">
        <v>-3</v>
      </c>
      <c r="O473" s="1" t="n">
        <v>15.464</v>
      </c>
    </row>
    <row r="474" customFormat="false" ht="15.75" hidden="true" customHeight="false" outlineLevel="0" collapsed="false">
      <c r="A474" s="4" t="n">
        <v>45531</v>
      </c>
      <c r="B474" s="1" t="s">
        <v>88</v>
      </c>
      <c r="C474" s="1" t="s">
        <v>89</v>
      </c>
      <c r="D474" s="1" t="n">
        <v>329</v>
      </c>
      <c r="E474" s="1" t="n">
        <v>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1" t="n">
        <v>-7</v>
      </c>
      <c r="O474" s="1" t="n">
        <v>7.59038333333333</v>
      </c>
    </row>
    <row r="475" customFormat="false" ht="15.75" hidden="true" customHeight="false" outlineLevel="0" collapsed="false">
      <c r="A475" s="4" t="n">
        <v>45531</v>
      </c>
      <c r="B475" s="1" t="s">
        <v>95</v>
      </c>
      <c r="C475" s="1" t="s">
        <v>104</v>
      </c>
      <c r="D475" s="1" t="n">
        <v>733</v>
      </c>
      <c r="E475" s="1" t="n">
        <v>233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1" t="n">
        <v>-8</v>
      </c>
      <c r="O475" s="1" t="n">
        <v>15.0712</v>
      </c>
    </row>
    <row r="476" customFormat="false" ht="15.75" hidden="true" customHeight="false" outlineLevel="0" collapsed="false">
      <c r="A476" s="4" t="n">
        <v>45531</v>
      </c>
      <c r="B476" s="1" t="s">
        <v>103</v>
      </c>
      <c r="C476" s="1" t="s">
        <v>104</v>
      </c>
      <c r="D476" s="1" t="n">
        <v>264</v>
      </c>
      <c r="E476" s="1" t="n">
        <v>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1" t="n">
        <v>3</v>
      </c>
      <c r="O476" s="1" t="n">
        <v>10.5507666666667</v>
      </c>
    </row>
    <row r="477" customFormat="false" ht="15.75" hidden="true" customHeight="false" outlineLevel="0" collapsed="false">
      <c r="A477" s="4" t="n">
        <v>45531</v>
      </c>
      <c r="B477" s="1" t="s">
        <v>103</v>
      </c>
      <c r="C477" s="1" t="s">
        <v>104</v>
      </c>
      <c r="D477" s="1" t="n">
        <v>658</v>
      </c>
      <c r="E477" s="1" t="n">
        <v>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1" t="n">
        <v>2</v>
      </c>
      <c r="O477" s="1" t="n">
        <v>11.4742833333333</v>
      </c>
    </row>
    <row r="478" customFormat="false" ht="15.75" hidden="true" customHeight="false" outlineLevel="0" collapsed="false">
      <c r="A478" s="4" t="n">
        <v>45531</v>
      </c>
      <c r="B478" s="1" t="s">
        <v>103</v>
      </c>
      <c r="C478" s="1" t="s">
        <v>104</v>
      </c>
      <c r="D478" s="1" t="n">
        <v>405</v>
      </c>
      <c r="E478" s="1" t="n">
        <v>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1" t="n">
        <v>5</v>
      </c>
      <c r="O478" s="1" t="n">
        <v>12.3429166666667</v>
      </c>
    </row>
    <row r="479" customFormat="false" ht="15.75" hidden="true" customHeight="false" outlineLevel="0" collapsed="false">
      <c r="A479" s="4" t="n">
        <v>45531</v>
      </c>
      <c r="B479" s="1" t="s">
        <v>228</v>
      </c>
      <c r="C479" s="1" t="s">
        <v>104</v>
      </c>
      <c r="D479" s="1" t="n">
        <v>368</v>
      </c>
      <c r="E479" s="1" t="n">
        <v>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1" t="n">
        <v>12</v>
      </c>
      <c r="O479" s="1" t="n">
        <v>17.6195833333333</v>
      </c>
    </row>
    <row r="480" customFormat="false" ht="15.75" hidden="true" customHeight="false" outlineLevel="0" collapsed="false">
      <c r="A480" s="4" t="n">
        <v>45531</v>
      </c>
      <c r="B480" s="1" t="s">
        <v>88</v>
      </c>
      <c r="C480" s="1" t="s">
        <v>89</v>
      </c>
      <c r="D480" s="1" t="n">
        <v>324</v>
      </c>
      <c r="E480" s="1" t="n">
        <v>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1" t="n">
        <v>3</v>
      </c>
      <c r="O480" s="1" t="n">
        <v>18.1389333333333</v>
      </c>
    </row>
    <row r="481" customFormat="false" ht="15.75" hidden="true" customHeight="false" outlineLevel="0" collapsed="false">
      <c r="A481" s="4" t="n">
        <v>45531</v>
      </c>
      <c r="B481" s="1" t="s">
        <v>107</v>
      </c>
      <c r="C481" s="1" t="s">
        <v>104</v>
      </c>
      <c r="D481" s="1" t="n">
        <v>264</v>
      </c>
      <c r="E481" s="1" t="n">
        <v>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1" t="n">
        <v>2</v>
      </c>
      <c r="O481" s="1" t="n">
        <v>17.70645</v>
      </c>
    </row>
    <row r="482" customFormat="false" ht="15.75" hidden="true" customHeight="false" outlineLevel="0" collapsed="false">
      <c r="A482" s="4" t="n">
        <v>45531</v>
      </c>
      <c r="B482" s="1" t="s">
        <v>88</v>
      </c>
      <c r="C482" s="1" t="s">
        <v>89</v>
      </c>
      <c r="D482" s="1" t="n">
        <v>433</v>
      </c>
      <c r="E482" s="1" t="n">
        <v>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1" t="n">
        <v>5</v>
      </c>
      <c r="O482" s="1" t="n">
        <v>20.3689166666667</v>
      </c>
    </row>
    <row r="483" customFormat="false" ht="15.75" hidden="true" customHeight="false" outlineLevel="0" collapsed="false">
      <c r="A483" s="4" t="n">
        <v>45531</v>
      </c>
      <c r="B483" s="1" t="s">
        <v>88</v>
      </c>
      <c r="C483" s="1" t="s">
        <v>89</v>
      </c>
      <c r="D483" s="1" t="n">
        <v>264</v>
      </c>
      <c r="E483" s="1" t="n">
        <v>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1" t="n">
        <v>1</v>
      </c>
      <c r="O483" s="1" t="n">
        <v>22.6754666666667</v>
      </c>
    </row>
    <row r="484" customFormat="false" ht="15.75" hidden="true" customHeight="false" outlineLevel="0" collapsed="false">
      <c r="A484" s="4" t="n">
        <v>45531</v>
      </c>
      <c r="B484" s="1" t="s">
        <v>103</v>
      </c>
      <c r="C484" s="1" t="s">
        <v>104</v>
      </c>
      <c r="D484" s="1" t="n">
        <v>642</v>
      </c>
      <c r="E484" s="1" t="n">
        <v>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1" t="n">
        <v>6</v>
      </c>
      <c r="O484" s="1" t="n">
        <v>15.4409333333333</v>
      </c>
    </row>
    <row r="485" customFormat="false" ht="15.75" hidden="true" customHeight="false" outlineLevel="0" collapsed="false">
      <c r="A485" s="4" t="n">
        <v>45531</v>
      </c>
      <c r="B485" s="1" t="s">
        <v>103</v>
      </c>
      <c r="C485" s="1" t="s">
        <v>104</v>
      </c>
      <c r="D485" s="1" t="n">
        <v>1320</v>
      </c>
      <c r="E485" s="1" t="n">
        <v>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1" t="n">
        <v>0</v>
      </c>
      <c r="O485" s="1" t="n">
        <v>12.82865</v>
      </c>
    </row>
    <row r="486" customFormat="false" ht="15.75" hidden="true" customHeight="false" outlineLevel="0" collapsed="false">
      <c r="A486" s="4" t="n">
        <v>45531</v>
      </c>
      <c r="B486" s="1" t="s">
        <v>88</v>
      </c>
      <c r="C486" s="1" t="s">
        <v>89</v>
      </c>
      <c r="D486" s="1" t="n">
        <v>658</v>
      </c>
      <c r="E486" s="1" t="n">
        <v>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1" t="n">
        <v>1</v>
      </c>
      <c r="O486" s="1" t="n">
        <v>21.8579666666667</v>
      </c>
    </row>
    <row r="487" customFormat="false" ht="15.75" hidden="true" customHeight="false" outlineLevel="0" collapsed="false">
      <c r="A487" s="4" t="n">
        <v>45531</v>
      </c>
      <c r="B487" s="1" t="s">
        <v>88</v>
      </c>
      <c r="C487" s="1" t="s">
        <v>89</v>
      </c>
      <c r="D487" s="1" t="n">
        <v>338</v>
      </c>
      <c r="E487" s="1" t="n">
        <v>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1" t="n">
        <v>-9</v>
      </c>
      <c r="O487" s="1" t="n">
        <v>5.5033</v>
      </c>
    </row>
    <row r="488" customFormat="false" ht="15.75" hidden="true" customHeight="false" outlineLevel="0" collapsed="false">
      <c r="A488" s="4" t="n">
        <v>45531</v>
      </c>
      <c r="B488" s="1" t="s">
        <v>95</v>
      </c>
      <c r="C488" s="1" t="s">
        <v>104</v>
      </c>
      <c r="D488" s="1" t="n">
        <v>219</v>
      </c>
      <c r="E488" s="1" t="n">
        <v>50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1" t="n">
        <v>-6</v>
      </c>
      <c r="O488" s="1" t="n">
        <v>12.2675833333333</v>
      </c>
    </row>
    <row r="489" customFormat="false" ht="15.75" hidden="true" customHeight="false" outlineLevel="0" collapsed="false">
      <c r="A489" s="4" t="n">
        <v>45531</v>
      </c>
      <c r="B489" s="1" t="s">
        <v>103</v>
      </c>
      <c r="C489" s="1" t="s">
        <v>104</v>
      </c>
      <c r="D489" s="1" t="n">
        <v>803</v>
      </c>
      <c r="E489" s="1" t="n">
        <v>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1" t="n">
        <v>4</v>
      </c>
      <c r="O489" s="1" t="n">
        <v>14.1001166666667</v>
      </c>
    </row>
    <row r="490" customFormat="false" ht="15.75" hidden="true" customHeight="false" outlineLevel="0" collapsed="false">
      <c r="A490" s="4" t="n">
        <v>45531</v>
      </c>
      <c r="B490" s="1" t="s">
        <v>95</v>
      </c>
      <c r="C490" s="1" t="s">
        <v>104</v>
      </c>
      <c r="D490" s="1" t="n">
        <v>238</v>
      </c>
      <c r="E490" s="1" t="n">
        <v>71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1" t="n">
        <v>-8</v>
      </c>
      <c r="O490" s="1" t="n">
        <v>32.6817</v>
      </c>
    </row>
    <row r="491" customFormat="false" ht="15.75" hidden="true" customHeight="false" outlineLevel="0" collapsed="false">
      <c r="A491" s="4" t="n">
        <v>45531</v>
      </c>
      <c r="B491" s="1" t="s">
        <v>103</v>
      </c>
      <c r="C491" s="1" t="s">
        <v>104</v>
      </c>
      <c r="D491" s="1" t="n">
        <v>633</v>
      </c>
      <c r="E491" s="1" t="n">
        <v>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1" t="n">
        <v>1</v>
      </c>
      <c r="O491" s="1" t="n">
        <v>9.98901666666667</v>
      </c>
    </row>
    <row r="492" customFormat="false" ht="15.75" hidden="true" customHeight="false" outlineLevel="0" collapsed="false">
      <c r="A492" s="4" t="n">
        <v>45531</v>
      </c>
      <c r="B492" s="1" t="s">
        <v>103</v>
      </c>
      <c r="C492" s="1" t="s">
        <v>104</v>
      </c>
      <c r="D492" s="1" t="n">
        <v>669</v>
      </c>
      <c r="E492" s="1" t="n">
        <v>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1" t="n">
        <v>4</v>
      </c>
      <c r="O492" s="1" t="n">
        <v>13.8519666666667</v>
      </c>
    </row>
    <row r="493" customFormat="false" ht="15.75" hidden="true" customHeight="false" outlineLevel="0" collapsed="false">
      <c r="A493" s="4" t="n">
        <v>45532</v>
      </c>
      <c r="B493" s="1" t="s">
        <v>95</v>
      </c>
      <c r="C493" s="1" t="s">
        <v>104</v>
      </c>
      <c r="D493" s="1" t="n">
        <v>219</v>
      </c>
      <c r="E493" s="1" t="n">
        <v>55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1" t="n">
        <v>13</v>
      </c>
      <c r="O493" s="1" t="n">
        <v>32.6449</v>
      </c>
    </row>
    <row r="494" customFormat="false" ht="15.75" hidden="true" customHeight="false" outlineLevel="0" collapsed="false">
      <c r="A494" s="4" t="n">
        <v>45532</v>
      </c>
      <c r="B494" s="1" t="s">
        <v>103</v>
      </c>
      <c r="C494" s="1" t="s">
        <v>104</v>
      </c>
      <c r="D494" s="1" t="n">
        <v>450</v>
      </c>
      <c r="E494" s="1" t="n">
        <v>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1" t="n">
        <v>0</v>
      </c>
      <c r="O494" s="1" t="n">
        <v>7.5291</v>
      </c>
    </row>
    <row r="495" customFormat="false" ht="15.75" hidden="true" customHeight="false" outlineLevel="0" collapsed="false">
      <c r="A495" s="4" t="n">
        <v>45532</v>
      </c>
      <c r="B495" s="1" t="s">
        <v>88</v>
      </c>
      <c r="C495" s="1" t="s">
        <v>89</v>
      </c>
      <c r="D495" s="1" t="n">
        <v>593</v>
      </c>
      <c r="E495" s="1" t="n">
        <v>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1" t="n">
        <v>2</v>
      </c>
      <c r="O495" s="1" t="n">
        <v>22.2986666666667</v>
      </c>
    </row>
    <row r="496" customFormat="false" ht="15.75" hidden="true" customHeight="false" outlineLevel="0" collapsed="false">
      <c r="A496" s="4" t="n">
        <v>45532</v>
      </c>
      <c r="B496" s="1" t="s">
        <v>103</v>
      </c>
      <c r="C496" s="1" t="s">
        <v>104</v>
      </c>
      <c r="D496" s="1" t="n">
        <v>458</v>
      </c>
      <c r="E496" s="1" t="n">
        <v>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1" t="n">
        <v>4</v>
      </c>
      <c r="O496" s="1" t="n">
        <v>12.8786166666667</v>
      </c>
    </row>
    <row r="497" customFormat="false" ht="15.75" hidden="true" customHeight="false" outlineLevel="0" collapsed="false">
      <c r="A497" s="4" t="n">
        <v>45532</v>
      </c>
      <c r="B497" s="1" t="s">
        <v>88</v>
      </c>
      <c r="C497" s="1" t="s">
        <v>89</v>
      </c>
      <c r="D497" s="1" t="n">
        <v>528</v>
      </c>
      <c r="E497" s="1" t="n">
        <v>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1" t="n">
        <v>-9</v>
      </c>
      <c r="O497" s="1" t="n">
        <v>10.3682666666667</v>
      </c>
    </row>
    <row r="498" customFormat="false" ht="15.75" hidden="true" customHeight="false" outlineLevel="0" collapsed="false">
      <c r="A498" s="4" t="n">
        <v>45532</v>
      </c>
      <c r="B498" s="1" t="s">
        <v>228</v>
      </c>
      <c r="C498" s="1" t="s">
        <v>104</v>
      </c>
      <c r="D498" s="1" t="n">
        <v>49</v>
      </c>
      <c r="E498" s="1" t="n">
        <v>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1" t="n">
        <v>0</v>
      </c>
      <c r="O498" s="1" t="n">
        <v>4.5013</v>
      </c>
    </row>
    <row r="499" customFormat="false" ht="15.75" hidden="true" customHeight="false" outlineLevel="0" collapsed="false">
      <c r="A499" s="4" t="n">
        <v>45532</v>
      </c>
      <c r="B499" s="1" t="s">
        <v>88</v>
      </c>
      <c r="C499" s="1" t="s">
        <v>89</v>
      </c>
      <c r="D499" s="1" t="n">
        <v>258</v>
      </c>
      <c r="E499" s="1" t="n">
        <v>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1" t="n">
        <v>-13</v>
      </c>
      <c r="O499" s="1" t="n">
        <v>1.01346666666667</v>
      </c>
    </row>
    <row r="500" customFormat="false" ht="15.75" hidden="true" customHeight="false" outlineLevel="0" collapsed="false">
      <c r="A500" s="4" t="n">
        <v>45532</v>
      </c>
      <c r="B500" s="1" t="s">
        <v>88</v>
      </c>
      <c r="C500" s="1" t="s">
        <v>89</v>
      </c>
      <c r="D500" s="1" t="n">
        <v>264</v>
      </c>
      <c r="E500" s="1" t="n">
        <v>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1" t="n">
        <v>-7</v>
      </c>
      <c r="O500" s="1" t="n">
        <v>7.38758333333333</v>
      </c>
    </row>
    <row r="501" customFormat="false" ht="15.75" hidden="true" customHeight="false" outlineLevel="0" collapsed="false">
      <c r="A501" s="4" t="n">
        <v>45532</v>
      </c>
      <c r="B501" s="1" t="s">
        <v>107</v>
      </c>
      <c r="C501" s="1" t="s">
        <v>104</v>
      </c>
      <c r="D501" s="1" t="n">
        <v>329</v>
      </c>
      <c r="E501" s="1" t="n">
        <v>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1" t="n">
        <v>-7</v>
      </c>
      <c r="O501" s="1" t="n">
        <v>7.9579</v>
      </c>
    </row>
    <row r="502" customFormat="false" ht="15.75" hidden="true" customHeight="false" outlineLevel="0" collapsed="false">
      <c r="A502" s="4" t="n">
        <v>45532</v>
      </c>
      <c r="B502" s="1" t="s">
        <v>103</v>
      </c>
      <c r="C502" s="1" t="s">
        <v>104</v>
      </c>
      <c r="D502" s="1" t="n">
        <v>321</v>
      </c>
      <c r="E502" s="1" t="n">
        <v>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1" t="n">
        <v>4</v>
      </c>
      <c r="O502" s="1" t="n">
        <v>11.0455666666667</v>
      </c>
    </row>
    <row r="503" customFormat="false" ht="15.75" hidden="true" customHeight="false" outlineLevel="0" collapsed="false">
      <c r="A503" s="4" t="n">
        <v>45532</v>
      </c>
      <c r="B503" s="1" t="s">
        <v>95</v>
      </c>
      <c r="C503" s="1" t="s">
        <v>104</v>
      </c>
      <c r="D503" s="1" t="n">
        <v>167</v>
      </c>
      <c r="E503" s="1" t="n">
        <v>42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1" t="n">
        <v>-22</v>
      </c>
      <c r="O503" s="1" t="n">
        <v>24.156</v>
      </c>
    </row>
    <row r="504" customFormat="false" ht="15.75" hidden="true" customHeight="false" outlineLevel="0" collapsed="false">
      <c r="A504" s="4" t="n">
        <v>45532</v>
      </c>
      <c r="B504" s="1" t="s">
        <v>103</v>
      </c>
      <c r="C504" s="1" t="s">
        <v>104</v>
      </c>
      <c r="D504" s="1" t="n">
        <v>319</v>
      </c>
      <c r="E504" s="1" t="n">
        <v>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1" t="n">
        <v>0</v>
      </c>
      <c r="O504" s="1" t="n">
        <v>7.17855</v>
      </c>
    </row>
    <row r="505" customFormat="false" ht="15.75" hidden="true" customHeight="false" outlineLevel="0" collapsed="false">
      <c r="A505" s="4" t="n">
        <v>45532</v>
      </c>
      <c r="B505" s="1" t="s">
        <v>88</v>
      </c>
      <c r="C505" s="1" t="s">
        <v>89</v>
      </c>
      <c r="D505" s="1" t="n">
        <v>321</v>
      </c>
      <c r="E505" s="1" t="n">
        <v>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1" t="n">
        <v>-5</v>
      </c>
      <c r="O505" s="1" t="n">
        <v>9.58063333333333</v>
      </c>
    </row>
    <row r="506" customFormat="false" ht="15.75" hidden="true" customHeight="false" outlineLevel="0" collapsed="false">
      <c r="A506" s="4" t="n">
        <v>45532</v>
      </c>
      <c r="B506" s="1" t="s">
        <v>95</v>
      </c>
      <c r="C506" s="1" t="s">
        <v>89</v>
      </c>
      <c r="D506" s="1" t="n">
        <v>537</v>
      </c>
      <c r="E506" s="1" t="n">
        <v>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1" t="n">
        <v>2</v>
      </c>
      <c r="N506" s="1" t="n">
        <v>0.00928333333333333</v>
      </c>
      <c r="O506" s="1" t="n">
        <v>15.0689333333333</v>
      </c>
    </row>
    <row r="507" customFormat="false" ht="15.75" hidden="true" customHeight="false" outlineLevel="0" collapsed="false">
      <c r="A507" s="4" t="n">
        <v>45532</v>
      </c>
      <c r="B507" s="1" t="s">
        <v>103</v>
      </c>
      <c r="C507" s="1" t="s">
        <v>104</v>
      </c>
      <c r="D507" s="1" t="n">
        <v>324</v>
      </c>
      <c r="E507" s="1" t="n">
        <v>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1" t="n">
        <v>1</v>
      </c>
      <c r="O507" s="1" t="n">
        <v>8.28235</v>
      </c>
    </row>
    <row r="508" customFormat="false" ht="15.75" hidden="true" customHeight="false" outlineLevel="0" collapsed="false">
      <c r="A508" s="4" t="n">
        <v>45532</v>
      </c>
      <c r="B508" s="1" t="s">
        <v>95</v>
      </c>
      <c r="C508" s="1" t="s">
        <v>104</v>
      </c>
      <c r="D508" s="1" t="n">
        <v>546</v>
      </c>
      <c r="E508" s="1" t="n">
        <v>137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1" t="n">
        <v>-11</v>
      </c>
      <c r="O508" s="1" t="n">
        <v>12.3713666666667</v>
      </c>
    </row>
    <row r="509" customFormat="false" ht="15.75" hidden="true" customHeight="false" outlineLevel="0" collapsed="false">
      <c r="A509" s="4" t="n">
        <v>45532</v>
      </c>
      <c r="B509" s="1" t="s">
        <v>88</v>
      </c>
      <c r="C509" s="1" t="s">
        <v>89</v>
      </c>
      <c r="D509" s="1" t="n">
        <v>321</v>
      </c>
      <c r="E509" s="1" t="n">
        <v>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1" t="n">
        <v>-8</v>
      </c>
      <c r="O509" s="1" t="n">
        <v>6.5447</v>
      </c>
    </row>
    <row r="510" customFormat="false" ht="15.75" hidden="true" customHeight="false" outlineLevel="0" collapsed="false">
      <c r="A510" s="4" t="n">
        <v>45532</v>
      </c>
      <c r="B510" s="1" t="s">
        <v>95</v>
      </c>
      <c r="C510" s="1" t="s">
        <v>89</v>
      </c>
      <c r="D510" s="1" t="n">
        <v>269</v>
      </c>
      <c r="E510" s="1" t="n">
        <v>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1" t="n">
        <v>-20</v>
      </c>
      <c r="N510" s="1" t="n">
        <v>0.00913333333333333</v>
      </c>
      <c r="O510" s="1" t="n">
        <v>5.74055</v>
      </c>
    </row>
    <row r="511" customFormat="false" ht="15.75" hidden="true" customHeight="false" outlineLevel="0" collapsed="false">
      <c r="A511" s="4" t="n">
        <v>45532</v>
      </c>
      <c r="B511" s="1" t="s">
        <v>103</v>
      </c>
      <c r="C511" s="1" t="s">
        <v>104</v>
      </c>
      <c r="D511" s="1" t="n">
        <v>378</v>
      </c>
      <c r="E511" s="1" t="n">
        <v>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1" t="n">
        <v>2</v>
      </c>
      <c r="O511" s="1" t="n">
        <v>10.1583666666667</v>
      </c>
    </row>
    <row r="512" customFormat="false" ht="15.75" hidden="true" customHeight="false" outlineLevel="0" collapsed="false">
      <c r="A512" s="4" t="n">
        <v>45532</v>
      </c>
      <c r="B512" s="1" t="s">
        <v>95</v>
      </c>
      <c r="C512" s="1" t="s">
        <v>104</v>
      </c>
      <c r="D512" s="1" t="n">
        <v>167</v>
      </c>
      <c r="E512" s="1" t="n">
        <v>42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1" t="n">
        <v>-7</v>
      </c>
      <c r="O512" s="1" t="n">
        <v>12.3002833333333</v>
      </c>
    </row>
    <row r="513" customFormat="false" ht="15.75" hidden="true" customHeight="false" outlineLevel="0" collapsed="false">
      <c r="A513" s="4" t="n">
        <v>45532</v>
      </c>
      <c r="B513" s="1" t="s">
        <v>95</v>
      </c>
      <c r="C513" s="1" t="s">
        <v>89</v>
      </c>
      <c r="D513" s="1" t="n">
        <v>309</v>
      </c>
      <c r="E513" s="1" t="n">
        <v>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1" t="n">
        <v>-6</v>
      </c>
      <c r="N513" s="1" t="n">
        <v>0.01235</v>
      </c>
      <c r="O513" s="1" t="n">
        <v>7.2319</v>
      </c>
    </row>
    <row r="514" customFormat="false" ht="15.75" hidden="true" customHeight="false" outlineLevel="0" collapsed="false">
      <c r="A514" s="4" t="n">
        <v>45532</v>
      </c>
      <c r="B514" s="1" t="s">
        <v>88</v>
      </c>
      <c r="C514" s="1" t="s">
        <v>89</v>
      </c>
      <c r="D514" s="1" t="n">
        <v>313</v>
      </c>
      <c r="E514" s="1" t="n">
        <v>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1" t="n">
        <v>-3</v>
      </c>
      <c r="O514" s="1" t="n">
        <v>11.92215</v>
      </c>
    </row>
    <row r="515" customFormat="false" ht="15.75" hidden="true" customHeight="false" outlineLevel="0" collapsed="false">
      <c r="A515" s="4" t="n">
        <v>45532</v>
      </c>
      <c r="B515" s="1" t="s">
        <v>95</v>
      </c>
      <c r="C515" s="1" t="s">
        <v>89</v>
      </c>
      <c r="D515" s="1" t="n">
        <v>481</v>
      </c>
      <c r="E515" s="1" t="n">
        <v>25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1" t="n">
        <v>0</v>
      </c>
      <c r="N515" s="1" t="n">
        <v>0.0165333333333333</v>
      </c>
      <c r="O515" s="1" t="n">
        <v>12.51445</v>
      </c>
    </row>
    <row r="516" customFormat="false" ht="15.75" hidden="true" customHeight="false" outlineLevel="0" collapsed="false">
      <c r="A516" s="4" t="n">
        <v>45532</v>
      </c>
      <c r="B516" s="1" t="s">
        <v>95</v>
      </c>
      <c r="C516" s="1" t="s">
        <v>89</v>
      </c>
      <c r="D516" s="1" t="n">
        <v>368</v>
      </c>
      <c r="E516" s="1" t="n">
        <v>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1" t="n">
        <v>-9</v>
      </c>
      <c r="N516" s="1" t="n">
        <v>2.41701666666667</v>
      </c>
      <c r="O516" s="1" t="n">
        <v>8.05318333333333</v>
      </c>
    </row>
    <row r="517" customFormat="false" ht="15.75" hidden="true" customHeight="false" outlineLevel="0" collapsed="false">
      <c r="A517" s="4" t="n">
        <v>45532</v>
      </c>
      <c r="B517" s="1" t="s">
        <v>103</v>
      </c>
      <c r="C517" s="1" t="s">
        <v>104</v>
      </c>
      <c r="D517" s="1" t="n">
        <v>429</v>
      </c>
      <c r="E517" s="1" t="n">
        <v>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1" t="n">
        <v>3</v>
      </c>
      <c r="O517" s="1" t="n">
        <v>11.5268666666667</v>
      </c>
    </row>
    <row r="518" customFormat="false" ht="15.75" hidden="true" customHeight="false" outlineLevel="0" collapsed="false">
      <c r="A518" s="4" t="n">
        <v>45532</v>
      </c>
      <c r="B518" s="1" t="s">
        <v>107</v>
      </c>
      <c r="C518" s="1" t="s">
        <v>104</v>
      </c>
      <c r="D518" s="1" t="n">
        <v>364</v>
      </c>
      <c r="E518" s="1" t="n">
        <v>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1" t="n">
        <v>-6</v>
      </c>
      <c r="O518" s="1" t="n">
        <v>8.67286666666667</v>
      </c>
    </row>
    <row r="519" customFormat="false" ht="15.75" hidden="true" customHeight="false" outlineLevel="0" collapsed="false">
      <c r="A519" s="4" t="n">
        <v>45532</v>
      </c>
      <c r="B519" s="1" t="s">
        <v>88</v>
      </c>
      <c r="C519" s="1" t="s">
        <v>89</v>
      </c>
      <c r="D519" s="1" t="n">
        <v>264</v>
      </c>
      <c r="E519" s="1" t="n">
        <v>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1" t="n">
        <v>-8</v>
      </c>
      <c r="O519" s="1" t="n">
        <v>6.24773333333333</v>
      </c>
    </row>
    <row r="520" customFormat="false" ht="15.75" hidden="true" customHeight="false" outlineLevel="0" collapsed="false">
      <c r="A520" s="4" t="n">
        <v>45532</v>
      </c>
      <c r="B520" s="1" t="s">
        <v>88</v>
      </c>
      <c r="C520" s="1" t="s">
        <v>89</v>
      </c>
      <c r="D520" s="1" t="n">
        <v>303</v>
      </c>
      <c r="E520" s="1" t="n">
        <v>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1" t="n">
        <v>-6</v>
      </c>
      <c r="O520" s="1" t="n">
        <v>8.4795</v>
      </c>
    </row>
    <row r="521" customFormat="false" ht="15.75" hidden="true" customHeight="false" outlineLevel="0" collapsed="false">
      <c r="A521" s="4" t="n">
        <v>45532</v>
      </c>
      <c r="B521" s="1" t="s">
        <v>95</v>
      </c>
      <c r="C521" s="1" t="s">
        <v>89</v>
      </c>
      <c r="D521" s="1" t="n">
        <v>558</v>
      </c>
      <c r="E521" s="1" t="n">
        <v>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1" t="n">
        <v>0</v>
      </c>
      <c r="N521" s="1" t="n">
        <v>3.64331666666667</v>
      </c>
      <c r="O521" s="1" t="n">
        <v>11.2767833333333</v>
      </c>
    </row>
    <row r="522" customFormat="false" ht="15.75" hidden="true" customHeight="false" outlineLevel="0" collapsed="false">
      <c r="A522" s="4" t="n">
        <v>45532</v>
      </c>
      <c r="B522" s="1" t="s">
        <v>107</v>
      </c>
      <c r="C522" s="1" t="s">
        <v>104</v>
      </c>
      <c r="D522" s="1" t="n">
        <v>800</v>
      </c>
      <c r="E522" s="1" t="n">
        <v>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1" t="n">
        <v>-10</v>
      </c>
      <c r="O522" s="1" t="n">
        <v>9.3686</v>
      </c>
    </row>
    <row r="523" customFormat="false" ht="15.75" hidden="true" customHeight="false" outlineLevel="0" collapsed="false">
      <c r="A523" s="4" t="n">
        <v>45532</v>
      </c>
      <c r="B523" s="1" t="s">
        <v>88</v>
      </c>
      <c r="C523" s="1" t="s">
        <v>89</v>
      </c>
      <c r="D523" s="1" t="n">
        <v>413</v>
      </c>
      <c r="E523" s="1" t="n">
        <v>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1" t="n">
        <v>-6</v>
      </c>
      <c r="O523" s="1" t="n">
        <v>8.94633333333333</v>
      </c>
    </row>
    <row r="524" customFormat="false" ht="15.75" hidden="true" customHeight="false" outlineLevel="0" collapsed="false">
      <c r="A524" s="4" t="n">
        <v>45532</v>
      </c>
      <c r="B524" s="1" t="s">
        <v>95</v>
      </c>
      <c r="C524" s="1" t="s">
        <v>89</v>
      </c>
      <c r="D524" s="1" t="n">
        <v>643</v>
      </c>
      <c r="E524" s="1" t="n">
        <v>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1" t="n">
        <v>-5</v>
      </c>
      <c r="N524" s="1" t="n">
        <v>1.25851666666667</v>
      </c>
      <c r="O524" s="1" t="n">
        <v>7.45191666666667</v>
      </c>
    </row>
    <row r="525" customFormat="false" ht="15.75" hidden="true" customHeight="false" outlineLevel="0" collapsed="false">
      <c r="A525" s="4" t="n">
        <v>45532</v>
      </c>
      <c r="B525" s="1" t="s">
        <v>107</v>
      </c>
      <c r="C525" s="1" t="s">
        <v>104</v>
      </c>
      <c r="D525" s="1" t="n">
        <v>585</v>
      </c>
      <c r="E525" s="1" t="n">
        <v>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1" t="n">
        <v>-7</v>
      </c>
      <c r="O525" s="1" t="n">
        <v>12.0314833333333</v>
      </c>
    </row>
    <row r="526" customFormat="false" ht="15.75" hidden="true" customHeight="false" outlineLevel="0" collapsed="false">
      <c r="A526" s="4" t="n">
        <v>45532</v>
      </c>
      <c r="B526" s="1" t="s">
        <v>107</v>
      </c>
      <c r="C526" s="1" t="s">
        <v>104</v>
      </c>
      <c r="D526" s="1" t="n">
        <v>129</v>
      </c>
      <c r="E526" s="1" t="n">
        <v>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1" t="n">
        <v>-5</v>
      </c>
      <c r="O526" s="1" t="n">
        <v>9.53211666666667</v>
      </c>
    </row>
    <row r="527" customFormat="false" ht="15.75" hidden="true" customHeight="false" outlineLevel="0" collapsed="false">
      <c r="A527" s="4" t="n">
        <v>45532</v>
      </c>
      <c r="B527" s="1" t="s">
        <v>103</v>
      </c>
      <c r="C527" s="1" t="s">
        <v>104</v>
      </c>
      <c r="D527" s="1" t="n">
        <v>264</v>
      </c>
      <c r="E527" s="1" t="n">
        <v>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1" t="n">
        <v>0</v>
      </c>
      <c r="O527" s="1" t="n">
        <v>6.88711666666667</v>
      </c>
    </row>
    <row r="528" customFormat="false" ht="15.75" hidden="true" customHeight="false" outlineLevel="0" collapsed="false">
      <c r="A528" s="4" t="n">
        <v>45532</v>
      </c>
      <c r="B528" s="1" t="s">
        <v>103</v>
      </c>
      <c r="C528" s="1" t="s">
        <v>104</v>
      </c>
      <c r="D528" s="1" t="n">
        <v>548</v>
      </c>
      <c r="E528" s="1" t="n">
        <v>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1" t="n">
        <v>0</v>
      </c>
      <c r="O528" s="1" t="n">
        <v>9.1946</v>
      </c>
    </row>
    <row r="529" customFormat="false" ht="15.75" hidden="true" customHeight="false" outlineLevel="0" collapsed="false">
      <c r="A529" s="4" t="n">
        <v>45532</v>
      </c>
      <c r="B529" s="1" t="s">
        <v>103</v>
      </c>
      <c r="C529" s="1" t="s">
        <v>104</v>
      </c>
      <c r="D529" s="1" t="n">
        <v>319</v>
      </c>
      <c r="E529" s="1" t="n">
        <v>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1" t="n">
        <v>0</v>
      </c>
      <c r="O529" s="1" t="n">
        <v>7.0954</v>
      </c>
    </row>
    <row r="530" customFormat="false" ht="15.75" hidden="true" customHeight="false" outlineLevel="0" collapsed="false">
      <c r="A530" s="4" t="n">
        <v>45532</v>
      </c>
      <c r="B530" s="1" t="s">
        <v>95</v>
      </c>
      <c r="C530" s="1" t="s">
        <v>104</v>
      </c>
      <c r="D530" s="1" t="n">
        <v>267</v>
      </c>
      <c r="E530" s="1" t="n">
        <v>67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1" t="n">
        <v>-2</v>
      </c>
      <c r="O530" s="1" t="n">
        <v>15.94915</v>
      </c>
    </row>
    <row r="531" customFormat="false" ht="15.75" hidden="true" customHeight="false" outlineLevel="0" collapsed="false">
      <c r="A531" s="4" t="n">
        <v>45532</v>
      </c>
      <c r="B531" s="1" t="s">
        <v>228</v>
      </c>
      <c r="C531" s="1" t="s">
        <v>104</v>
      </c>
      <c r="D531" s="1" t="n">
        <v>249</v>
      </c>
      <c r="E531" s="1" t="n">
        <v>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1" t="n">
        <v>3</v>
      </c>
      <c r="O531" s="1" t="n">
        <v>8.06925</v>
      </c>
    </row>
    <row r="532" customFormat="false" ht="15.75" hidden="true" customHeight="false" outlineLevel="0" collapsed="false">
      <c r="A532" s="4" t="n">
        <v>45532</v>
      </c>
      <c r="B532" s="1" t="s">
        <v>95</v>
      </c>
      <c r="C532" s="1" t="s">
        <v>89</v>
      </c>
      <c r="D532" s="1" t="n">
        <v>568</v>
      </c>
      <c r="E532" s="1" t="n">
        <v>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1" t="n">
        <v>-13</v>
      </c>
      <c r="N532" s="1" t="n">
        <v>0.194116666666667</v>
      </c>
      <c r="O532" s="1" t="n">
        <v>6.94288333333333</v>
      </c>
    </row>
    <row r="533" customFormat="false" ht="15.75" hidden="true" customHeight="false" outlineLevel="0" collapsed="false">
      <c r="A533" s="4" t="n">
        <v>45532</v>
      </c>
      <c r="B533" s="1" t="s">
        <v>95</v>
      </c>
      <c r="C533" s="1" t="s">
        <v>89</v>
      </c>
      <c r="D533" s="1" t="n">
        <v>250</v>
      </c>
      <c r="E533" s="1" t="n">
        <v>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1" t="n">
        <v>-6</v>
      </c>
      <c r="N533" s="1" t="n">
        <v>0.00788333333333333</v>
      </c>
      <c r="O533" s="1" t="n">
        <v>8.17438333333333</v>
      </c>
    </row>
    <row r="534" customFormat="false" ht="15.75" hidden="true" customHeight="false" outlineLevel="0" collapsed="false">
      <c r="A534" s="4" t="n">
        <v>45532</v>
      </c>
      <c r="B534" s="1" t="s">
        <v>88</v>
      </c>
      <c r="C534" s="1" t="s">
        <v>89</v>
      </c>
      <c r="D534" s="1" t="n">
        <v>319</v>
      </c>
      <c r="E534" s="1" t="n">
        <v>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1" t="n">
        <v>-6</v>
      </c>
      <c r="O534" s="1" t="n">
        <v>8.60408333333333</v>
      </c>
    </row>
    <row r="535" customFormat="false" ht="15.75" hidden="true" customHeight="false" outlineLevel="0" collapsed="false">
      <c r="A535" s="4" t="n">
        <v>45532</v>
      </c>
      <c r="B535" s="1" t="s">
        <v>103</v>
      </c>
      <c r="C535" s="1" t="s">
        <v>104</v>
      </c>
      <c r="D535" s="1" t="n">
        <v>264</v>
      </c>
      <c r="E535" s="1" t="n">
        <v>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1" t="n">
        <v>0</v>
      </c>
      <c r="O535" s="1" t="n">
        <v>7.09848333333333</v>
      </c>
    </row>
    <row r="536" customFormat="false" ht="15.75" hidden="true" customHeight="false" outlineLevel="0" collapsed="false">
      <c r="A536" s="4" t="n">
        <v>45532</v>
      </c>
      <c r="B536" s="1" t="s">
        <v>103</v>
      </c>
      <c r="C536" s="1" t="s">
        <v>104</v>
      </c>
      <c r="D536" s="1" t="n">
        <v>289</v>
      </c>
      <c r="E536" s="1" t="n">
        <v>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1" t="n">
        <v>-2</v>
      </c>
      <c r="O536" s="1" t="n">
        <v>4.3845</v>
      </c>
    </row>
    <row r="537" customFormat="false" ht="15.75" hidden="true" customHeight="false" outlineLevel="0" collapsed="false">
      <c r="A537" s="4" t="n">
        <v>45532</v>
      </c>
      <c r="B537" s="1" t="s">
        <v>88</v>
      </c>
      <c r="C537" s="1" t="s">
        <v>89</v>
      </c>
      <c r="D537" s="1" t="n">
        <v>264</v>
      </c>
      <c r="E537" s="1" t="n">
        <v>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1" t="n">
        <v>-8</v>
      </c>
      <c r="O537" s="1" t="n">
        <v>6.65496666666667</v>
      </c>
    </row>
    <row r="538" customFormat="false" ht="15.75" hidden="true" customHeight="false" outlineLevel="0" collapsed="false">
      <c r="A538" s="4" t="n">
        <v>45532</v>
      </c>
      <c r="B538" s="1" t="s">
        <v>88</v>
      </c>
      <c r="C538" s="1" t="s">
        <v>89</v>
      </c>
      <c r="D538" s="1" t="n">
        <v>289</v>
      </c>
      <c r="E538" s="1" t="n">
        <v>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1" t="n">
        <v>-9</v>
      </c>
      <c r="O538" s="1" t="n">
        <v>5.68621666666667</v>
      </c>
    </row>
    <row r="539" customFormat="false" ht="15.75" hidden="true" customHeight="false" outlineLevel="0" collapsed="false">
      <c r="A539" s="4" t="n">
        <v>45532</v>
      </c>
      <c r="B539" s="1" t="s">
        <v>103</v>
      </c>
      <c r="C539" s="1" t="s">
        <v>104</v>
      </c>
      <c r="D539" s="1" t="n">
        <v>329</v>
      </c>
      <c r="E539" s="1" t="n">
        <v>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1" t="n">
        <v>-1</v>
      </c>
      <c r="O539" s="1" t="n">
        <v>5.68015</v>
      </c>
    </row>
    <row r="540" customFormat="false" ht="15.75" hidden="true" customHeight="false" outlineLevel="0" collapsed="false">
      <c r="A540" s="4" t="n">
        <v>45532</v>
      </c>
      <c r="B540" s="1" t="s">
        <v>88</v>
      </c>
      <c r="C540" s="1" t="s">
        <v>89</v>
      </c>
      <c r="D540" s="1" t="n">
        <v>715</v>
      </c>
      <c r="E540" s="1" t="n">
        <v>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1" t="n">
        <v>-10</v>
      </c>
      <c r="O540" s="1" t="n">
        <v>9.59271666666667</v>
      </c>
    </row>
    <row r="541" customFormat="false" ht="15.75" hidden="true" customHeight="false" outlineLevel="0" collapsed="false">
      <c r="A541" s="4" t="n">
        <v>45532</v>
      </c>
      <c r="B541" s="1" t="s">
        <v>95</v>
      </c>
      <c r="C541" s="1" t="s">
        <v>89</v>
      </c>
      <c r="D541" s="1" t="n">
        <v>414</v>
      </c>
      <c r="E541" s="1" t="n">
        <v>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1" t="n">
        <v>-10</v>
      </c>
      <c r="N541" s="1" t="n">
        <v>0.00928333333333333</v>
      </c>
      <c r="O541" s="1" t="n">
        <v>9.28485</v>
      </c>
    </row>
    <row r="542" customFormat="false" ht="15.75" hidden="true" customHeight="false" outlineLevel="0" collapsed="false">
      <c r="A542" s="4" t="n">
        <v>45532</v>
      </c>
      <c r="B542" s="1" t="s">
        <v>103</v>
      </c>
      <c r="C542" s="1" t="s">
        <v>104</v>
      </c>
      <c r="D542" s="1" t="n">
        <v>866</v>
      </c>
      <c r="E542" s="1" t="n">
        <v>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1" t="n">
        <v>-1</v>
      </c>
      <c r="O542" s="1" t="n">
        <v>8.88858333333333</v>
      </c>
    </row>
    <row r="543" customFormat="false" ht="15.75" hidden="true" customHeight="false" outlineLevel="0" collapsed="false">
      <c r="A543" s="4" t="n">
        <v>45532</v>
      </c>
      <c r="B543" s="1" t="s">
        <v>103</v>
      </c>
      <c r="C543" s="1" t="s">
        <v>104</v>
      </c>
      <c r="D543" s="1" t="n">
        <v>378</v>
      </c>
      <c r="E543" s="1" t="n">
        <v>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1" t="n">
        <v>1</v>
      </c>
      <c r="O543" s="1" t="n">
        <v>8.43855</v>
      </c>
    </row>
    <row r="544" customFormat="false" ht="15.75" hidden="true" customHeight="false" outlineLevel="0" collapsed="false">
      <c r="A544" s="4" t="n">
        <v>45532</v>
      </c>
      <c r="B544" s="1" t="s">
        <v>107</v>
      </c>
      <c r="C544" s="1" t="s">
        <v>104</v>
      </c>
      <c r="D544" s="1" t="n">
        <v>329</v>
      </c>
      <c r="E544" s="1" t="n">
        <v>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1" t="n">
        <v>-8</v>
      </c>
      <c r="O544" s="1" t="n">
        <v>6.03903333333333</v>
      </c>
    </row>
    <row r="545" customFormat="false" ht="15.75" hidden="true" customHeight="false" outlineLevel="0" collapsed="false">
      <c r="A545" s="4" t="n">
        <v>45532</v>
      </c>
      <c r="B545" s="1" t="s">
        <v>95</v>
      </c>
      <c r="C545" s="1" t="s">
        <v>89</v>
      </c>
      <c r="D545" s="1" t="n">
        <v>417</v>
      </c>
      <c r="E545" s="1" t="n">
        <v>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1" t="n">
        <v>-13</v>
      </c>
      <c r="N545" s="1" t="n">
        <v>1.79495</v>
      </c>
      <c r="O545" s="1" t="n">
        <v>6.91106666666667</v>
      </c>
    </row>
    <row r="546" customFormat="false" ht="15.75" hidden="true" customHeight="false" outlineLevel="0" collapsed="false">
      <c r="A546" s="4" t="n">
        <v>45532</v>
      </c>
      <c r="B546" s="1" t="s">
        <v>95</v>
      </c>
      <c r="C546" s="1" t="s">
        <v>89</v>
      </c>
      <c r="D546" s="1" t="n">
        <v>444</v>
      </c>
      <c r="E546" s="1" t="n">
        <v>24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1" t="n">
        <v>-16</v>
      </c>
      <c r="N546" s="1" t="n">
        <v>0.0104666666666667</v>
      </c>
    </row>
    <row r="547" customFormat="false" ht="15.75" hidden="true" customHeight="false" outlineLevel="0" collapsed="false">
      <c r="A547" s="4" t="n">
        <v>45532</v>
      </c>
      <c r="B547" s="1" t="s">
        <v>103</v>
      </c>
      <c r="C547" s="1" t="s">
        <v>104</v>
      </c>
      <c r="D547" s="1" t="n">
        <v>628</v>
      </c>
      <c r="E547" s="1" t="n">
        <v>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1" t="n">
        <v>-2</v>
      </c>
      <c r="O547" s="1" t="n">
        <v>6.45586666666667</v>
      </c>
    </row>
    <row r="548" customFormat="false" ht="15.75" hidden="true" customHeight="false" outlineLevel="0" collapsed="false">
      <c r="A548" s="4" t="n">
        <v>45532</v>
      </c>
      <c r="B548" s="1" t="s">
        <v>88</v>
      </c>
      <c r="C548" s="1" t="s">
        <v>89</v>
      </c>
      <c r="D548" s="1" t="n">
        <v>321</v>
      </c>
      <c r="E548" s="1" t="n">
        <v>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1" t="n">
        <v>-5</v>
      </c>
      <c r="O548" s="1" t="n">
        <v>9.15953333333333</v>
      </c>
    </row>
    <row r="549" customFormat="false" ht="15.75" hidden="true" customHeight="false" outlineLevel="0" collapsed="false">
      <c r="A549" s="4" t="n">
        <v>45532</v>
      </c>
      <c r="B549" s="1" t="s">
        <v>95</v>
      </c>
      <c r="C549" s="1" t="s">
        <v>89</v>
      </c>
      <c r="D549" s="1" t="n">
        <v>782</v>
      </c>
      <c r="E549" s="1" t="n">
        <v>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1" t="n">
        <v>3</v>
      </c>
      <c r="N549" s="1" t="n">
        <v>3.12345</v>
      </c>
      <c r="O549" s="1" t="n">
        <v>12.9842</v>
      </c>
    </row>
    <row r="550" customFormat="false" ht="15.75" hidden="true" customHeight="false" outlineLevel="0" collapsed="false">
      <c r="A550" s="4" t="n">
        <v>45532</v>
      </c>
      <c r="B550" s="1" t="s">
        <v>88</v>
      </c>
      <c r="C550" s="1" t="s">
        <v>89</v>
      </c>
      <c r="D550" s="1" t="n">
        <v>567</v>
      </c>
      <c r="E550" s="1" t="n">
        <v>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1" t="n">
        <v>-10</v>
      </c>
      <c r="O550" s="1" t="n">
        <v>9.64476666666667</v>
      </c>
    </row>
    <row r="551" customFormat="false" ht="15.75" hidden="true" customHeight="false" outlineLevel="0" collapsed="false">
      <c r="A551" s="4" t="n">
        <v>45532</v>
      </c>
      <c r="B551" s="1" t="s">
        <v>103</v>
      </c>
      <c r="C551" s="1" t="s">
        <v>104</v>
      </c>
      <c r="D551" s="1" t="n">
        <v>658</v>
      </c>
      <c r="E551" s="1" t="n">
        <v>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1" t="n">
        <v>1</v>
      </c>
      <c r="O551" s="1" t="n">
        <v>10.48665</v>
      </c>
    </row>
    <row r="552" customFormat="false" ht="15.75" hidden="true" customHeight="false" outlineLevel="0" collapsed="false">
      <c r="A552" s="4" t="n">
        <v>45532</v>
      </c>
      <c r="B552" s="1" t="s">
        <v>103</v>
      </c>
      <c r="C552" s="1" t="s">
        <v>104</v>
      </c>
      <c r="D552" s="1" t="n">
        <v>663</v>
      </c>
      <c r="E552" s="1" t="n">
        <v>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1" t="n">
        <v>-3</v>
      </c>
      <c r="O552" s="1" t="n">
        <v>6.93861666666667</v>
      </c>
    </row>
    <row r="553" customFormat="false" ht="15.75" hidden="true" customHeight="false" outlineLevel="0" collapsed="false">
      <c r="A553" s="4" t="n">
        <v>45532</v>
      </c>
      <c r="B553" s="1" t="s">
        <v>88</v>
      </c>
      <c r="C553" s="1" t="s">
        <v>89</v>
      </c>
      <c r="D553" s="1" t="n">
        <v>628</v>
      </c>
      <c r="E553" s="1" t="n">
        <v>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1" t="n">
        <v>-7</v>
      </c>
      <c r="O553" s="1" t="n">
        <v>12.25025</v>
      </c>
    </row>
    <row r="554" customFormat="false" ht="15.75" hidden="true" customHeight="false" outlineLevel="0" collapsed="false">
      <c r="A554" s="4" t="n">
        <v>45532</v>
      </c>
      <c r="B554" s="1" t="s">
        <v>103</v>
      </c>
      <c r="C554" s="1" t="s">
        <v>104</v>
      </c>
      <c r="D554" s="1" t="n">
        <v>528</v>
      </c>
      <c r="E554" s="1" t="n">
        <v>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1" t="n">
        <v>0</v>
      </c>
      <c r="O554" s="1" t="n">
        <v>9.62986666666667</v>
      </c>
    </row>
    <row r="555" customFormat="false" ht="15.75" hidden="true" customHeight="false" outlineLevel="0" collapsed="false">
      <c r="A555" s="4" t="n">
        <v>45532</v>
      </c>
      <c r="B555" s="1" t="s">
        <v>103</v>
      </c>
      <c r="C555" s="1" t="s">
        <v>104</v>
      </c>
      <c r="D555" s="1" t="n">
        <v>488</v>
      </c>
      <c r="E555" s="1" t="n">
        <v>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1" t="n">
        <v>-1</v>
      </c>
      <c r="O555" s="1" t="n">
        <v>6.07245</v>
      </c>
    </row>
    <row r="556" customFormat="false" ht="15.75" hidden="true" customHeight="false" outlineLevel="0" collapsed="false">
      <c r="A556" s="4" t="n">
        <v>45532</v>
      </c>
      <c r="B556" s="1" t="s">
        <v>88</v>
      </c>
      <c r="C556" s="1" t="s">
        <v>89</v>
      </c>
      <c r="D556" s="1" t="n">
        <v>472</v>
      </c>
      <c r="E556" s="1" t="n">
        <v>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1" t="n">
        <v>-7</v>
      </c>
      <c r="O556" s="1" t="n">
        <v>7.50795</v>
      </c>
    </row>
    <row r="557" customFormat="false" ht="15.75" hidden="true" customHeight="false" outlineLevel="0" collapsed="false">
      <c r="A557" s="4" t="n">
        <v>45532</v>
      </c>
      <c r="B557" s="1" t="s">
        <v>103</v>
      </c>
      <c r="C557" s="1" t="s">
        <v>104</v>
      </c>
      <c r="D557" s="1" t="n">
        <v>264</v>
      </c>
      <c r="E557" s="1" t="n">
        <v>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1" t="n">
        <v>0</v>
      </c>
      <c r="O557" s="1" t="n">
        <v>7.13698333333333</v>
      </c>
    </row>
    <row r="558" customFormat="false" ht="15.75" hidden="true" customHeight="false" outlineLevel="0" collapsed="false">
      <c r="A558" s="4" t="n">
        <v>45532</v>
      </c>
      <c r="B558" s="1" t="s">
        <v>103</v>
      </c>
      <c r="C558" s="1" t="s">
        <v>104</v>
      </c>
      <c r="D558" s="1" t="n">
        <v>593</v>
      </c>
      <c r="E558" s="1" t="n">
        <v>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1" t="n">
        <v>0</v>
      </c>
      <c r="O558" s="1" t="n">
        <v>8.80056666666667</v>
      </c>
    </row>
    <row r="559" customFormat="false" ht="15.75" hidden="true" customHeight="false" outlineLevel="0" collapsed="false">
      <c r="A559" s="4" t="n">
        <v>45532</v>
      </c>
      <c r="B559" s="1" t="s">
        <v>88</v>
      </c>
      <c r="C559" s="1" t="s">
        <v>89</v>
      </c>
      <c r="D559" s="1" t="n">
        <v>1003</v>
      </c>
      <c r="E559" s="1" t="n">
        <v>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1" t="n">
        <v>-8</v>
      </c>
      <c r="O559" s="1" t="n">
        <v>11.8916</v>
      </c>
    </row>
    <row r="560" customFormat="false" ht="15.75" hidden="true" customHeight="false" outlineLevel="0" collapsed="false">
      <c r="A560" s="4" t="n">
        <v>45532</v>
      </c>
      <c r="B560" s="1" t="s">
        <v>88</v>
      </c>
      <c r="C560" s="1" t="s">
        <v>89</v>
      </c>
      <c r="D560" s="1" t="n">
        <v>553</v>
      </c>
      <c r="E560" s="1" t="n">
        <v>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1" t="n">
        <v>-14</v>
      </c>
      <c r="O560" s="1" t="n">
        <v>5.4541</v>
      </c>
    </row>
    <row r="561" customFormat="false" ht="15.75" hidden="true" customHeight="false" outlineLevel="0" collapsed="false">
      <c r="A561" s="4" t="n">
        <v>45532</v>
      </c>
      <c r="B561" s="1" t="s">
        <v>88</v>
      </c>
      <c r="C561" s="1" t="s">
        <v>89</v>
      </c>
      <c r="D561" s="1" t="n">
        <v>264</v>
      </c>
      <c r="E561" s="1" t="n">
        <v>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1" t="n">
        <v>-9</v>
      </c>
      <c r="O561" s="1" t="n">
        <v>5.9213</v>
      </c>
    </row>
    <row r="562" customFormat="false" ht="15.75" hidden="true" customHeight="false" outlineLevel="0" collapsed="false">
      <c r="A562" s="4" t="n">
        <v>45532</v>
      </c>
      <c r="B562" s="1" t="s">
        <v>88</v>
      </c>
      <c r="C562" s="1" t="s">
        <v>89</v>
      </c>
      <c r="D562" s="1" t="n">
        <v>313</v>
      </c>
      <c r="E562" s="1" t="n">
        <v>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1" t="n">
        <v>-6</v>
      </c>
      <c r="O562" s="1" t="n">
        <v>8.41368333333333</v>
      </c>
    </row>
    <row r="563" customFormat="false" ht="15.75" hidden="true" customHeight="false" outlineLevel="0" collapsed="false">
      <c r="A563" s="4" t="n">
        <v>45532</v>
      </c>
      <c r="B563" s="1" t="s">
        <v>95</v>
      </c>
      <c r="C563" s="1" t="s">
        <v>89</v>
      </c>
      <c r="D563" s="1" t="n">
        <v>578</v>
      </c>
      <c r="E563" s="1" t="n">
        <v>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1" t="n">
        <v>-11</v>
      </c>
      <c r="N563" s="1" t="n">
        <v>2.79503333333333</v>
      </c>
      <c r="O563" s="1" t="n">
        <v>8.69498333333333</v>
      </c>
    </row>
    <row r="564" customFormat="false" ht="15.75" hidden="true" customHeight="false" outlineLevel="0" collapsed="false">
      <c r="A564" s="4" t="n">
        <v>45532</v>
      </c>
      <c r="B564" s="1" t="s">
        <v>88</v>
      </c>
      <c r="C564" s="1" t="s">
        <v>89</v>
      </c>
      <c r="D564" s="1" t="n">
        <v>746</v>
      </c>
      <c r="E564" s="1" t="n">
        <v>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1" t="n">
        <v>-12</v>
      </c>
      <c r="O564" s="1" t="n">
        <v>7.78873333333333</v>
      </c>
    </row>
    <row r="565" customFormat="false" ht="15.75" hidden="true" customHeight="false" outlineLevel="0" collapsed="false">
      <c r="A565" s="4" t="n">
        <v>45532</v>
      </c>
      <c r="B565" s="1" t="s">
        <v>88</v>
      </c>
      <c r="C565" s="1" t="s">
        <v>89</v>
      </c>
      <c r="D565" s="1" t="n">
        <v>488</v>
      </c>
      <c r="E565" s="1" t="n">
        <v>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1" t="n">
        <v>-7</v>
      </c>
      <c r="O565" s="1" t="n">
        <v>7.4755</v>
      </c>
    </row>
    <row r="566" customFormat="false" ht="15.75" hidden="true" customHeight="false" outlineLevel="0" collapsed="false">
      <c r="A566" s="4" t="n">
        <v>45532</v>
      </c>
      <c r="B566" s="1" t="s">
        <v>103</v>
      </c>
      <c r="C566" s="1" t="s">
        <v>104</v>
      </c>
      <c r="D566" s="1" t="n">
        <v>329</v>
      </c>
      <c r="E566" s="1" t="n">
        <v>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1" t="n">
        <v>0</v>
      </c>
      <c r="O566" s="1" t="n">
        <v>6.92871666666667</v>
      </c>
    </row>
    <row r="567" customFormat="false" ht="15.75" hidden="true" customHeight="false" outlineLevel="0" collapsed="false">
      <c r="A567" s="4" t="n">
        <v>45532</v>
      </c>
      <c r="B567" s="1" t="s">
        <v>88</v>
      </c>
      <c r="C567" s="1" t="s">
        <v>89</v>
      </c>
      <c r="D567" s="1" t="n">
        <v>233</v>
      </c>
      <c r="E567" s="1" t="n">
        <v>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1" t="n">
        <v>-4</v>
      </c>
      <c r="O567" s="1" t="n">
        <v>10.70275</v>
      </c>
    </row>
    <row r="568" customFormat="false" ht="15.75" hidden="true" customHeight="false" outlineLevel="0" collapsed="false">
      <c r="A568" s="4" t="n">
        <v>45532</v>
      </c>
      <c r="B568" s="1" t="s">
        <v>95</v>
      </c>
      <c r="C568" s="1" t="s">
        <v>89</v>
      </c>
      <c r="D568" s="1" t="n">
        <v>566</v>
      </c>
      <c r="E568" s="1" t="n">
        <v>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1" t="n">
        <v>-8</v>
      </c>
      <c r="N568" s="1" t="n">
        <v>0.01135</v>
      </c>
      <c r="O568" s="1" t="n">
        <v>18.5261166666667</v>
      </c>
    </row>
    <row r="569" customFormat="false" ht="15.75" hidden="true" customHeight="false" outlineLevel="0" collapsed="false">
      <c r="A569" s="4" t="n">
        <v>45532</v>
      </c>
      <c r="B569" s="1" t="s">
        <v>103</v>
      </c>
      <c r="C569" s="1" t="s">
        <v>104</v>
      </c>
      <c r="D569" s="1" t="n">
        <v>448</v>
      </c>
      <c r="E569" s="1" t="n">
        <v>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1" t="n">
        <v>0</v>
      </c>
      <c r="O569" s="1" t="n">
        <v>6.83363333333333</v>
      </c>
    </row>
    <row r="570" customFormat="false" ht="15.75" hidden="true" customHeight="false" outlineLevel="0" collapsed="false">
      <c r="A570" s="4" t="n">
        <v>45532</v>
      </c>
      <c r="B570" s="1" t="s">
        <v>103</v>
      </c>
      <c r="C570" s="1" t="s">
        <v>104</v>
      </c>
      <c r="D570" s="1" t="n">
        <v>548</v>
      </c>
      <c r="E570" s="1" t="n">
        <v>150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1" t="n">
        <v>1</v>
      </c>
      <c r="O570" s="1" t="n">
        <v>10.51575</v>
      </c>
    </row>
    <row r="571" customFormat="false" ht="15.75" hidden="true" customHeight="false" outlineLevel="0" collapsed="false">
      <c r="A571" s="4" t="n">
        <v>45532</v>
      </c>
      <c r="B571" s="1" t="s">
        <v>95</v>
      </c>
      <c r="C571" s="1" t="s">
        <v>104</v>
      </c>
      <c r="D571" s="1" t="n">
        <v>378</v>
      </c>
      <c r="E571" s="1" t="n">
        <v>120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1" t="n">
        <v>-5</v>
      </c>
      <c r="O571" s="1" t="n">
        <v>13.6393833333333</v>
      </c>
    </row>
    <row r="572" customFormat="false" ht="15.75" hidden="true" customHeight="false" outlineLevel="0" collapsed="false">
      <c r="A572" s="4" t="n">
        <v>45532</v>
      </c>
      <c r="B572" s="1" t="s">
        <v>95</v>
      </c>
      <c r="C572" s="1" t="s">
        <v>89</v>
      </c>
      <c r="D572" s="1" t="n">
        <v>299</v>
      </c>
      <c r="E572" s="1" t="n">
        <v>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1" t="n">
        <v>-16</v>
      </c>
      <c r="N572" s="1" t="n">
        <v>0.00776666666666667</v>
      </c>
      <c r="O572" s="1" t="n">
        <v>6.40203333333333</v>
      </c>
    </row>
    <row r="573" customFormat="false" ht="15.75" hidden="true" customHeight="false" outlineLevel="0" collapsed="false">
      <c r="A573" s="4" t="n">
        <v>45532</v>
      </c>
      <c r="B573" s="1" t="s">
        <v>103</v>
      </c>
      <c r="C573" s="1" t="s">
        <v>104</v>
      </c>
      <c r="D573" s="1" t="n">
        <v>264</v>
      </c>
      <c r="E573" s="1" t="n">
        <v>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1" t="n">
        <v>1</v>
      </c>
      <c r="O573" s="1" t="n">
        <v>7.28923333333333</v>
      </c>
    </row>
    <row r="574" customFormat="false" ht="15.75" hidden="true" customHeight="false" outlineLevel="0" collapsed="false">
      <c r="A574" s="4" t="n">
        <v>45532</v>
      </c>
      <c r="B574" s="1" t="s">
        <v>95</v>
      </c>
      <c r="C574" s="1" t="s">
        <v>104</v>
      </c>
      <c r="D574" s="1" t="n">
        <v>422</v>
      </c>
      <c r="E574" s="1" t="n">
        <v>106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1" t="n">
        <v>-13</v>
      </c>
      <c r="O574" s="1" t="n">
        <v>10.0032333333333</v>
      </c>
    </row>
    <row r="575" customFormat="false" ht="15.75" hidden="true" customHeight="false" outlineLevel="0" collapsed="false">
      <c r="A575" s="4" t="n">
        <v>45532</v>
      </c>
      <c r="B575" s="1" t="s">
        <v>95</v>
      </c>
      <c r="C575" s="1" t="s">
        <v>104</v>
      </c>
      <c r="D575" s="1" t="n">
        <v>199</v>
      </c>
      <c r="E575" s="1" t="n">
        <v>50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1" t="n">
        <v>-10</v>
      </c>
      <c r="O575" s="1" t="n">
        <v>7.78811666666667</v>
      </c>
    </row>
    <row r="576" customFormat="false" ht="15.75" hidden="true" customHeight="false" outlineLevel="0" collapsed="false">
      <c r="A576" s="4" t="n">
        <v>45532</v>
      </c>
      <c r="B576" s="1" t="s">
        <v>107</v>
      </c>
      <c r="C576" s="1" t="s">
        <v>104</v>
      </c>
      <c r="D576" s="1" t="n">
        <v>321</v>
      </c>
      <c r="E576" s="1" t="n">
        <v>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1" t="n">
        <v>-7</v>
      </c>
      <c r="O576" s="1" t="n">
        <v>7.6988</v>
      </c>
    </row>
    <row r="577" customFormat="false" ht="15.75" hidden="true" customHeight="false" outlineLevel="0" collapsed="false">
      <c r="A577" s="4" t="n">
        <v>45532</v>
      </c>
      <c r="B577" s="1" t="s">
        <v>103</v>
      </c>
      <c r="C577" s="1" t="s">
        <v>104</v>
      </c>
      <c r="D577" s="1" t="n">
        <v>433</v>
      </c>
      <c r="E577" s="1" t="n">
        <v>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1" t="n">
        <v>1</v>
      </c>
      <c r="O577" s="1" t="n">
        <v>8.56635</v>
      </c>
    </row>
    <row r="578" customFormat="false" ht="15.75" hidden="true" customHeight="false" outlineLevel="0" collapsed="false">
      <c r="A578" s="4" t="n">
        <v>45532</v>
      </c>
      <c r="B578" s="1" t="s">
        <v>88</v>
      </c>
      <c r="C578" s="1" t="s">
        <v>89</v>
      </c>
      <c r="D578" s="1" t="n">
        <v>329</v>
      </c>
      <c r="E578" s="1" t="n">
        <v>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1" t="n">
        <v>-5</v>
      </c>
      <c r="O578" s="1" t="n">
        <v>9.14935</v>
      </c>
    </row>
    <row r="579" customFormat="false" ht="15.75" hidden="true" customHeight="false" outlineLevel="0" collapsed="false">
      <c r="A579" s="4" t="n">
        <v>45532</v>
      </c>
      <c r="B579" s="1" t="s">
        <v>103</v>
      </c>
      <c r="C579" s="1" t="s">
        <v>104</v>
      </c>
      <c r="D579" s="1" t="n">
        <v>278</v>
      </c>
      <c r="E579" s="1" t="n">
        <v>100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1" t="n">
        <v>0</v>
      </c>
      <c r="O579" s="1" t="n">
        <v>6.30403333333333</v>
      </c>
    </row>
    <row r="580" customFormat="false" ht="15.75" hidden="true" customHeight="false" outlineLevel="0" collapsed="false">
      <c r="A580" s="4" t="n">
        <v>45532</v>
      </c>
      <c r="B580" s="1" t="s">
        <v>88</v>
      </c>
      <c r="C580" s="1" t="s">
        <v>89</v>
      </c>
      <c r="D580" s="1" t="n">
        <v>289</v>
      </c>
      <c r="E580" s="1" t="n">
        <v>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1" t="n">
        <v>-5</v>
      </c>
      <c r="O580" s="1" t="n">
        <v>9.03396666666667</v>
      </c>
    </row>
    <row r="581" customFormat="false" ht="15.75" hidden="true" customHeight="false" outlineLevel="0" collapsed="false">
      <c r="A581" s="4" t="n">
        <v>45532</v>
      </c>
      <c r="B581" s="1" t="s">
        <v>95</v>
      </c>
      <c r="C581" s="1" t="s">
        <v>104</v>
      </c>
      <c r="D581" s="1" t="n">
        <v>278</v>
      </c>
      <c r="E581" s="1" t="n">
        <v>50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1" t="n">
        <v>-23</v>
      </c>
      <c r="O581" s="1" t="n">
        <v>5.67256666666667</v>
      </c>
    </row>
    <row r="582" customFormat="false" ht="15.75" hidden="true" customHeight="false" outlineLevel="0" collapsed="false">
      <c r="A582" s="4" t="n">
        <v>45532</v>
      </c>
      <c r="B582" s="1" t="s">
        <v>88</v>
      </c>
      <c r="C582" s="1" t="s">
        <v>89</v>
      </c>
      <c r="D582" s="1" t="n">
        <v>264</v>
      </c>
      <c r="E582" s="1" t="n">
        <v>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1" t="n">
        <v>-7</v>
      </c>
      <c r="O582" s="1" t="n">
        <v>7.12503333333333</v>
      </c>
    </row>
    <row r="583" customFormat="false" ht="15.75" hidden="true" customHeight="false" outlineLevel="0" collapsed="false">
      <c r="A583" s="4" t="n">
        <v>45532</v>
      </c>
      <c r="B583" s="1" t="s">
        <v>88</v>
      </c>
      <c r="C583" s="1" t="s">
        <v>89</v>
      </c>
      <c r="D583" s="1" t="n">
        <v>264</v>
      </c>
      <c r="E583" s="1" t="n">
        <v>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1" t="n">
        <v>-6</v>
      </c>
      <c r="O583" s="1" t="n">
        <v>8.88033333333333</v>
      </c>
    </row>
    <row r="584" customFormat="false" ht="15.75" hidden="true" customHeight="false" outlineLevel="0" collapsed="false">
      <c r="A584" s="4" t="n">
        <v>45532</v>
      </c>
      <c r="B584" s="1" t="s">
        <v>103</v>
      </c>
      <c r="C584" s="1" t="s">
        <v>104</v>
      </c>
      <c r="D584" s="1" t="n">
        <v>857</v>
      </c>
      <c r="E584" s="1" t="n">
        <v>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1" t="n">
        <v>0</v>
      </c>
      <c r="O584" s="1" t="n">
        <v>9.14803333333333</v>
      </c>
    </row>
    <row r="585" customFormat="false" ht="15.75" hidden="true" customHeight="false" outlineLevel="0" collapsed="false">
      <c r="A585" s="4" t="n">
        <v>45532</v>
      </c>
      <c r="B585" s="1" t="s">
        <v>88</v>
      </c>
      <c r="C585" s="1" t="s">
        <v>89</v>
      </c>
      <c r="D585" s="1" t="n">
        <v>658</v>
      </c>
      <c r="E585" s="1" t="n">
        <v>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1" t="n">
        <v>-13</v>
      </c>
      <c r="O585" s="1" t="n">
        <v>6.70808333333333</v>
      </c>
    </row>
    <row r="586" customFormat="false" ht="15.75" hidden="true" customHeight="false" outlineLevel="0" collapsed="false">
      <c r="A586" s="4" t="n">
        <v>45532</v>
      </c>
      <c r="B586" s="1" t="s">
        <v>103</v>
      </c>
      <c r="C586" s="1" t="s">
        <v>104</v>
      </c>
      <c r="D586" s="1" t="n">
        <v>298</v>
      </c>
      <c r="E586" s="1" t="n">
        <v>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1" t="n">
        <v>0</v>
      </c>
      <c r="O586" s="1" t="n">
        <v>6.06443333333333</v>
      </c>
    </row>
    <row r="587" customFormat="false" ht="15.75" hidden="true" customHeight="false" outlineLevel="0" collapsed="false">
      <c r="A587" s="4" t="n">
        <v>45532</v>
      </c>
      <c r="B587" s="1" t="s">
        <v>88</v>
      </c>
      <c r="C587" s="1" t="s">
        <v>89</v>
      </c>
      <c r="D587" s="1" t="n">
        <v>264</v>
      </c>
      <c r="E587" s="1" t="n">
        <v>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1" t="n">
        <v>-8</v>
      </c>
      <c r="O587" s="1" t="n">
        <v>6.40308333333333</v>
      </c>
    </row>
    <row r="588" customFormat="false" ht="15.75" hidden="true" customHeight="false" outlineLevel="0" collapsed="false">
      <c r="A588" s="4" t="n">
        <v>45532</v>
      </c>
      <c r="B588" s="1" t="s">
        <v>103</v>
      </c>
      <c r="C588" s="1" t="s">
        <v>104</v>
      </c>
      <c r="D588" s="1" t="n">
        <v>528</v>
      </c>
      <c r="E588" s="1" t="n">
        <v>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1" t="n">
        <v>2</v>
      </c>
      <c r="O588" s="1" t="n">
        <v>10.3837166666667</v>
      </c>
    </row>
    <row r="589" customFormat="false" ht="15.75" hidden="true" customHeight="false" outlineLevel="0" collapsed="false">
      <c r="A589" s="4" t="n">
        <v>45532</v>
      </c>
      <c r="B589" s="1" t="s">
        <v>95</v>
      </c>
      <c r="C589" s="1" t="s">
        <v>104</v>
      </c>
      <c r="D589" s="1" t="n">
        <v>238</v>
      </c>
      <c r="E589" s="1" t="n">
        <v>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1" t="n">
        <v>-6</v>
      </c>
      <c r="O589" s="1" t="n">
        <v>12.7115</v>
      </c>
    </row>
    <row r="590" customFormat="false" ht="15.75" hidden="true" customHeight="false" outlineLevel="0" collapsed="false">
      <c r="A590" s="4" t="n">
        <v>45532</v>
      </c>
      <c r="B590" s="1" t="s">
        <v>103</v>
      </c>
      <c r="C590" s="1" t="s">
        <v>104</v>
      </c>
      <c r="D590" s="1" t="n">
        <v>329</v>
      </c>
      <c r="E590" s="1" t="n">
        <v>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1" t="n">
        <v>1</v>
      </c>
      <c r="O590" s="1" t="n">
        <v>8.4617</v>
      </c>
    </row>
    <row r="591" customFormat="false" ht="15.75" hidden="true" customHeight="false" outlineLevel="0" collapsed="false">
      <c r="A591" s="4" t="n">
        <v>45532</v>
      </c>
      <c r="B591" s="1" t="s">
        <v>95</v>
      </c>
      <c r="C591" s="1" t="s">
        <v>89</v>
      </c>
      <c r="D591" s="1" t="n">
        <v>792</v>
      </c>
      <c r="E591" s="1" t="n">
        <v>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1" t="n">
        <v>-9</v>
      </c>
      <c r="N591" s="1" t="n">
        <v>0.0155666666666667</v>
      </c>
      <c r="O591" s="1" t="n">
        <v>16.2677833333333</v>
      </c>
    </row>
    <row r="592" customFormat="false" ht="15.75" hidden="true" customHeight="false" outlineLevel="0" collapsed="false">
      <c r="A592" s="4" t="n">
        <v>45532</v>
      </c>
      <c r="B592" s="1" t="s">
        <v>103</v>
      </c>
      <c r="C592" s="1" t="s">
        <v>104</v>
      </c>
      <c r="D592" s="1" t="n">
        <v>278</v>
      </c>
      <c r="E592" s="1" t="n">
        <v>100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1" t="n">
        <v>0</v>
      </c>
      <c r="O592" s="1" t="n">
        <v>6.08923333333333</v>
      </c>
    </row>
    <row r="593" customFormat="false" ht="15.75" hidden="true" customHeight="false" outlineLevel="0" collapsed="false">
      <c r="A593" s="4" t="n">
        <v>45532</v>
      </c>
      <c r="B593" s="1" t="s">
        <v>88</v>
      </c>
      <c r="C593" s="1" t="s">
        <v>89</v>
      </c>
      <c r="D593" s="1" t="n">
        <v>394</v>
      </c>
      <c r="E593" s="1" t="n">
        <v>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1" t="n">
        <v>-8</v>
      </c>
      <c r="O593" s="1" t="n">
        <v>10.2634333333333</v>
      </c>
    </row>
    <row r="594" customFormat="false" ht="15.75" hidden="true" customHeight="false" outlineLevel="0" collapsed="false">
      <c r="A594" s="4" t="n">
        <v>45532</v>
      </c>
      <c r="B594" s="1" t="s">
        <v>88</v>
      </c>
      <c r="C594" s="1" t="s">
        <v>89</v>
      </c>
      <c r="D594" s="1" t="n">
        <v>528</v>
      </c>
      <c r="E594" s="1" t="n">
        <v>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1" t="n">
        <v>-7</v>
      </c>
      <c r="O594" s="1" t="n">
        <v>12.2985</v>
      </c>
    </row>
    <row r="595" customFormat="false" ht="15.75" hidden="true" customHeight="false" outlineLevel="0" collapsed="false">
      <c r="A595" s="4" t="n">
        <v>45532</v>
      </c>
      <c r="B595" s="1" t="s">
        <v>103</v>
      </c>
      <c r="C595" s="1" t="s">
        <v>104</v>
      </c>
      <c r="D595" s="1" t="n">
        <v>364</v>
      </c>
      <c r="E595" s="1" t="n">
        <v>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1" t="n">
        <v>1</v>
      </c>
      <c r="O595" s="1" t="n">
        <v>8.70016666666667</v>
      </c>
    </row>
    <row r="596" customFormat="false" ht="15.75" hidden="true" customHeight="false" outlineLevel="0" collapsed="false">
      <c r="A596" s="4" t="n">
        <v>45532</v>
      </c>
      <c r="B596" s="1" t="s">
        <v>107</v>
      </c>
      <c r="C596" s="1" t="s">
        <v>104</v>
      </c>
      <c r="D596" s="1" t="n">
        <v>346</v>
      </c>
      <c r="E596" s="1" t="n">
        <v>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1" t="n">
        <v>-6</v>
      </c>
      <c r="O596" s="1" t="n">
        <v>8.9167</v>
      </c>
    </row>
    <row r="597" customFormat="false" ht="15.75" hidden="true" customHeight="false" outlineLevel="0" collapsed="false">
      <c r="A597" s="4" t="n">
        <v>45532</v>
      </c>
      <c r="B597" s="1" t="s">
        <v>95</v>
      </c>
      <c r="C597" s="1" t="s">
        <v>89</v>
      </c>
      <c r="D597" s="1" t="n">
        <v>393</v>
      </c>
      <c r="E597" s="1" t="n">
        <v>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1" t="n">
        <v>-5</v>
      </c>
      <c r="N597" s="1" t="n">
        <v>0.0188333333333333</v>
      </c>
      <c r="O597" s="1" t="n">
        <v>11.2754</v>
      </c>
    </row>
    <row r="598" customFormat="false" ht="15.75" hidden="true" customHeight="false" outlineLevel="0" collapsed="false">
      <c r="A598" s="4" t="n">
        <v>45532</v>
      </c>
      <c r="B598" s="1" t="s">
        <v>95</v>
      </c>
      <c r="C598" s="1" t="s">
        <v>104</v>
      </c>
      <c r="D598" s="1" t="n">
        <v>493</v>
      </c>
      <c r="E598" s="1" t="n">
        <v>71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1" t="n">
        <v>-12</v>
      </c>
      <c r="O598" s="1" t="n">
        <v>6.82145</v>
      </c>
    </row>
    <row r="599" customFormat="false" ht="15.75" hidden="true" customHeight="false" outlineLevel="0" collapsed="false">
      <c r="A599" s="4" t="n">
        <v>45532</v>
      </c>
      <c r="B599" s="1" t="s">
        <v>103</v>
      </c>
      <c r="C599" s="1" t="s">
        <v>104</v>
      </c>
      <c r="D599" s="1" t="n">
        <v>313</v>
      </c>
      <c r="E599" s="1" t="n">
        <v>100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1" t="n">
        <v>0</v>
      </c>
      <c r="O599" s="1" t="n">
        <v>6.80091666666667</v>
      </c>
    </row>
    <row r="600" customFormat="false" ht="15.75" hidden="true" customHeight="false" outlineLevel="0" collapsed="false">
      <c r="A600" s="4" t="n">
        <v>45532</v>
      </c>
      <c r="B600" s="1" t="s">
        <v>95</v>
      </c>
      <c r="C600" s="1" t="s">
        <v>104</v>
      </c>
      <c r="D600" s="1" t="n">
        <v>247</v>
      </c>
      <c r="E600" s="1" t="n">
        <v>62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1" t="n">
        <v>-7</v>
      </c>
      <c r="O600" s="1" t="n">
        <v>11.3086</v>
      </c>
    </row>
    <row r="601" customFormat="false" ht="15.75" hidden="true" customHeight="false" outlineLevel="0" collapsed="false">
      <c r="A601" s="4" t="n">
        <v>45532</v>
      </c>
      <c r="B601" s="1" t="s">
        <v>95</v>
      </c>
      <c r="C601" s="1" t="s">
        <v>89</v>
      </c>
      <c r="D601" s="1" t="n">
        <v>995</v>
      </c>
      <c r="E601" s="1" t="n">
        <v>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1" t="n">
        <v>-14</v>
      </c>
      <c r="N601" s="1" t="n">
        <v>0.0113</v>
      </c>
      <c r="O601" s="1" t="n">
        <v>12.1526833333333</v>
      </c>
    </row>
    <row r="602" customFormat="false" ht="15.75" hidden="true" customHeight="false" outlineLevel="0" collapsed="false">
      <c r="A602" s="4" t="n">
        <v>45532</v>
      </c>
      <c r="B602" s="1" t="s">
        <v>103</v>
      </c>
      <c r="C602" s="1" t="s">
        <v>104</v>
      </c>
      <c r="D602" s="1" t="n">
        <v>264</v>
      </c>
      <c r="E602" s="1" t="n">
        <v>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1" t="n">
        <v>0</v>
      </c>
      <c r="O602" s="1" t="n">
        <v>6.86731666666667</v>
      </c>
    </row>
    <row r="603" customFormat="false" ht="15.75" hidden="true" customHeight="false" outlineLevel="0" collapsed="false">
      <c r="A603" s="4" t="n">
        <v>45532</v>
      </c>
      <c r="B603" s="1" t="s">
        <v>228</v>
      </c>
      <c r="C603" s="1" t="s">
        <v>104</v>
      </c>
      <c r="D603" s="1" t="n">
        <v>39</v>
      </c>
      <c r="E603" s="1" t="n">
        <v>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1" t="n">
        <v>0</v>
      </c>
      <c r="O603" s="1" t="n">
        <v>4.77165</v>
      </c>
    </row>
    <row r="604" customFormat="false" ht="15.75" hidden="true" customHeight="false" outlineLevel="0" collapsed="false">
      <c r="A604" s="4" t="n">
        <v>45532</v>
      </c>
      <c r="B604" s="1" t="s">
        <v>103</v>
      </c>
      <c r="C604" s="1" t="s">
        <v>104</v>
      </c>
      <c r="D604" s="1" t="n">
        <v>469</v>
      </c>
      <c r="E604" s="1" t="n">
        <v>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1" t="n">
        <v>3</v>
      </c>
      <c r="O604" s="1" t="n">
        <v>11.5817666666667</v>
      </c>
    </row>
    <row r="605" customFormat="false" ht="15.75" hidden="true" customHeight="false" outlineLevel="0" collapsed="false">
      <c r="A605" s="4" t="n">
        <v>45532</v>
      </c>
      <c r="B605" s="1" t="s">
        <v>88</v>
      </c>
      <c r="C605" s="1" t="s">
        <v>89</v>
      </c>
      <c r="D605" s="1" t="n">
        <v>264</v>
      </c>
      <c r="E605" s="1" t="n">
        <v>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1" t="n">
        <v>-8</v>
      </c>
      <c r="O605" s="1" t="n">
        <v>11.0290333333333</v>
      </c>
    </row>
    <row r="606" customFormat="false" ht="15.75" hidden="true" customHeight="false" outlineLevel="0" collapsed="false">
      <c r="A606" s="4" t="n">
        <v>45532</v>
      </c>
      <c r="B606" s="1" t="s">
        <v>95</v>
      </c>
      <c r="C606" s="1" t="s">
        <v>104</v>
      </c>
      <c r="D606" s="1" t="n">
        <v>285</v>
      </c>
      <c r="E606" s="1" t="n">
        <v>61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1" t="n">
        <v>-4</v>
      </c>
      <c r="O606" s="1" t="n">
        <v>25.4383</v>
      </c>
    </row>
    <row r="607" customFormat="false" ht="15.75" hidden="true" customHeight="false" outlineLevel="0" collapsed="false">
      <c r="A607" s="4" t="n">
        <v>45532</v>
      </c>
      <c r="B607" s="1" t="s">
        <v>95</v>
      </c>
      <c r="C607" s="1" t="s">
        <v>104</v>
      </c>
      <c r="D607" s="1" t="n">
        <v>199</v>
      </c>
      <c r="E607" s="1" t="n">
        <v>50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1" t="n">
        <v>-10</v>
      </c>
      <c r="O607" s="1" t="n">
        <v>9.49765</v>
      </c>
    </row>
    <row r="608" customFormat="false" ht="15.75" hidden="true" customHeight="false" outlineLevel="0" collapsed="false">
      <c r="A608" s="4" t="n">
        <v>45532</v>
      </c>
      <c r="B608" s="1" t="s">
        <v>103</v>
      </c>
      <c r="C608" s="1" t="s">
        <v>104</v>
      </c>
      <c r="D608" s="1" t="n">
        <v>657</v>
      </c>
      <c r="E608" s="1" t="n">
        <v>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1" t="n">
        <v>0</v>
      </c>
      <c r="O608" s="1" t="n">
        <v>8.3824</v>
      </c>
    </row>
    <row r="609" customFormat="false" ht="15.75" hidden="true" customHeight="false" outlineLevel="0" collapsed="false">
      <c r="A609" s="4" t="n">
        <v>45532</v>
      </c>
      <c r="B609" s="1" t="s">
        <v>95</v>
      </c>
      <c r="C609" s="1" t="s">
        <v>104</v>
      </c>
      <c r="D609" s="1" t="n">
        <v>199</v>
      </c>
      <c r="E609" s="1" t="n">
        <v>50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1" t="n">
        <v>-9</v>
      </c>
      <c r="O609" s="1" t="n">
        <v>16.0411833333333</v>
      </c>
    </row>
    <row r="610" customFormat="false" ht="15.75" hidden="true" customHeight="false" outlineLevel="0" collapsed="false">
      <c r="A610" s="4" t="n">
        <v>45532</v>
      </c>
      <c r="B610" s="1" t="s">
        <v>88</v>
      </c>
      <c r="C610" s="1" t="s">
        <v>89</v>
      </c>
      <c r="D610" s="1" t="n">
        <v>294</v>
      </c>
      <c r="E610" s="1" t="n">
        <v>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1" t="n">
        <v>0</v>
      </c>
      <c r="O610" s="1" t="n">
        <v>14.2434166666667</v>
      </c>
    </row>
    <row r="611" customFormat="false" ht="15.75" hidden="true" customHeight="false" outlineLevel="0" collapsed="false">
      <c r="A611" s="4" t="n">
        <v>45532</v>
      </c>
      <c r="B611" s="1" t="s">
        <v>103</v>
      </c>
      <c r="C611" s="1" t="s">
        <v>104</v>
      </c>
      <c r="D611" s="1" t="n">
        <v>373</v>
      </c>
      <c r="E611" s="1" t="n">
        <v>150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1" t="n">
        <v>4</v>
      </c>
      <c r="O611" s="1" t="n">
        <v>13.8114333333333</v>
      </c>
    </row>
    <row r="612" customFormat="false" ht="15.75" hidden="true" customHeight="false" outlineLevel="0" collapsed="false">
      <c r="A612" s="4" t="n">
        <v>45532</v>
      </c>
      <c r="B612" s="1" t="s">
        <v>107</v>
      </c>
      <c r="C612" s="1" t="s">
        <v>104</v>
      </c>
      <c r="D612" s="1" t="n">
        <v>351</v>
      </c>
      <c r="E612" s="1" t="n">
        <v>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1" t="n">
        <v>0</v>
      </c>
      <c r="O612" s="1" t="n">
        <v>15.33875</v>
      </c>
    </row>
    <row r="613" customFormat="false" ht="15.75" hidden="true" customHeight="false" outlineLevel="0" collapsed="false">
      <c r="A613" s="4" t="n">
        <v>45532</v>
      </c>
      <c r="B613" s="1" t="s">
        <v>103</v>
      </c>
      <c r="C613" s="1" t="s">
        <v>104</v>
      </c>
      <c r="D613" s="1" t="n">
        <v>1220</v>
      </c>
      <c r="E613" s="1" t="n">
        <v>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1" t="n">
        <v>2</v>
      </c>
      <c r="O613" s="1" t="n">
        <v>14.2706333333333</v>
      </c>
    </row>
    <row r="614" customFormat="false" ht="15.75" hidden="true" customHeight="false" outlineLevel="0" collapsed="false">
      <c r="A614" s="4" t="n">
        <v>45532</v>
      </c>
      <c r="B614" s="1" t="s">
        <v>95</v>
      </c>
      <c r="C614" s="1" t="s">
        <v>89</v>
      </c>
      <c r="D614" s="1" t="n">
        <v>374</v>
      </c>
      <c r="E614" s="1" t="n">
        <v>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1" t="n">
        <v>2</v>
      </c>
      <c r="N614" s="1" t="n">
        <v>0.01415</v>
      </c>
      <c r="O614" s="1" t="n">
        <v>90.2796666666667</v>
      </c>
    </row>
    <row r="615" customFormat="false" ht="15.75" hidden="true" customHeight="false" outlineLevel="0" collapsed="false">
      <c r="A615" s="4" t="n">
        <v>45532</v>
      </c>
      <c r="B615" s="1" t="s">
        <v>88</v>
      </c>
      <c r="C615" s="1" t="s">
        <v>89</v>
      </c>
      <c r="D615" s="1" t="n">
        <v>674</v>
      </c>
      <c r="E615" s="1" t="n">
        <v>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1" t="n">
        <v>-10</v>
      </c>
      <c r="O615" s="1" t="n">
        <v>316.972433333333</v>
      </c>
    </row>
    <row r="616" customFormat="false" ht="15.75" hidden="true" customHeight="false" outlineLevel="0" collapsed="false">
      <c r="A616" s="4" t="n">
        <v>45533</v>
      </c>
      <c r="B616" s="1" t="s">
        <v>107</v>
      </c>
      <c r="C616" s="1" t="s">
        <v>104</v>
      </c>
      <c r="D616" s="1" t="n">
        <v>378</v>
      </c>
      <c r="E616" s="1" t="n">
        <v>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1" t="n">
        <v>-6</v>
      </c>
      <c r="O616" s="1" t="n">
        <v>8.82955</v>
      </c>
    </row>
    <row r="617" customFormat="false" ht="15.75" hidden="true" customHeight="false" outlineLevel="0" collapsed="false">
      <c r="A617" s="4" t="n">
        <v>45533</v>
      </c>
      <c r="B617" s="1" t="s">
        <v>88</v>
      </c>
      <c r="C617" s="1" t="s">
        <v>89</v>
      </c>
      <c r="D617" s="1" t="n">
        <v>329</v>
      </c>
      <c r="E617" s="1" t="n">
        <v>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1" t="n">
        <v>-3</v>
      </c>
      <c r="O617" s="1" t="n">
        <v>11.0444666666667</v>
      </c>
    </row>
    <row r="618" customFormat="false" ht="15.75" hidden="true" customHeight="false" outlineLevel="0" collapsed="false">
      <c r="A618" s="4" t="n">
        <v>45533</v>
      </c>
      <c r="B618" s="1" t="s">
        <v>88</v>
      </c>
      <c r="C618" s="1" t="s">
        <v>89</v>
      </c>
      <c r="D618" s="1" t="n">
        <v>352</v>
      </c>
      <c r="E618" s="1" t="n">
        <v>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1" t="n">
        <v>-7</v>
      </c>
      <c r="O618" s="1" t="n">
        <v>7.22696666666667</v>
      </c>
    </row>
    <row r="619" customFormat="false" ht="15.75" hidden="true" customHeight="false" outlineLevel="0" collapsed="false">
      <c r="A619" s="4" t="n">
        <v>45533</v>
      </c>
      <c r="B619" s="1" t="s">
        <v>88</v>
      </c>
      <c r="C619" s="1" t="s">
        <v>89</v>
      </c>
      <c r="D619" s="1" t="n">
        <v>264</v>
      </c>
      <c r="E619" s="1" t="n">
        <v>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1" t="n">
        <v>-7</v>
      </c>
      <c r="O619" s="1" t="n">
        <v>7.15398333333333</v>
      </c>
    </row>
    <row r="620" customFormat="false" ht="15.75" hidden="true" customHeight="false" outlineLevel="0" collapsed="false">
      <c r="A620" s="4" t="n">
        <v>45533</v>
      </c>
      <c r="B620" s="1" t="s">
        <v>228</v>
      </c>
      <c r="C620" s="1" t="s">
        <v>104</v>
      </c>
      <c r="D620" s="1" t="n">
        <v>249</v>
      </c>
      <c r="E620" s="1" t="n">
        <v>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1" t="n">
        <v>2</v>
      </c>
      <c r="O620" s="1" t="n">
        <v>7.81926666666667</v>
      </c>
    </row>
    <row r="621" customFormat="false" ht="15.75" hidden="true" customHeight="false" outlineLevel="0" collapsed="false">
      <c r="A621" s="4" t="n">
        <v>45533</v>
      </c>
      <c r="B621" s="1" t="s">
        <v>228</v>
      </c>
      <c r="C621" s="1" t="s">
        <v>104</v>
      </c>
      <c r="D621" s="1" t="n">
        <v>368</v>
      </c>
      <c r="E621" s="1" t="n">
        <v>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1" t="n">
        <v>4</v>
      </c>
      <c r="O621" s="1" t="n">
        <v>9.09071666666667</v>
      </c>
    </row>
    <row r="622" customFormat="false" ht="15.75" hidden="true" customHeight="false" outlineLevel="0" collapsed="false">
      <c r="A622" s="4" t="n">
        <v>45533</v>
      </c>
      <c r="B622" s="1" t="s">
        <v>88</v>
      </c>
      <c r="C622" s="1" t="s">
        <v>89</v>
      </c>
      <c r="D622" s="1" t="n">
        <v>368</v>
      </c>
      <c r="E622" s="1" t="n">
        <v>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1" t="n">
        <v>-6</v>
      </c>
      <c r="O622" s="1" t="n">
        <v>8.47686666666667</v>
      </c>
    </row>
    <row r="623" customFormat="false" ht="15.75" hidden="true" customHeight="false" outlineLevel="0" collapsed="false">
      <c r="A623" s="4" t="n">
        <v>45533</v>
      </c>
      <c r="B623" s="1" t="s">
        <v>103</v>
      </c>
      <c r="C623" s="1" t="s">
        <v>104</v>
      </c>
      <c r="D623" s="1" t="n">
        <v>500</v>
      </c>
      <c r="E623" s="1" t="n">
        <v>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1" t="n">
        <v>0</v>
      </c>
      <c r="O623" s="1" t="n">
        <v>8.53961666666667</v>
      </c>
    </row>
    <row r="624" customFormat="false" ht="15.75" hidden="true" customHeight="false" outlineLevel="0" collapsed="false">
      <c r="A624" s="4" t="n">
        <v>45533</v>
      </c>
      <c r="B624" s="1" t="s">
        <v>103</v>
      </c>
      <c r="C624" s="1" t="s">
        <v>104</v>
      </c>
      <c r="D624" s="1" t="n">
        <v>882</v>
      </c>
      <c r="E624" s="1" t="n">
        <v>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1" t="n">
        <v>0</v>
      </c>
      <c r="O624" s="1" t="n">
        <v>10.2198666666667</v>
      </c>
    </row>
    <row r="625" customFormat="false" ht="15.75" hidden="true" customHeight="false" outlineLevel="0" collapsed="false">
      <c r="A625" s="4" t="n">
        <v>45533</v>
      </c>
      <c r="B625" s="1" t="s">
        <v>103</v>
      </c>
      <c r="C625" s="1" t="s">
        <v>104</v>
      </c>
      <c r="D625" s="1" t="n">
        <v>233</v>
      </c>
      <c r="E625" s="1" t="n">
        <v>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1" t="n">
        <v>5</v>
      </c>
      <c r="O625" s="1" t="n">
        <v>11.1058666666667</v>
      </c>
    </row>
    <row r="626" customFormat="false" ht="15.75" hidden="true" customHeight="false" outlineLevel="0" collapsed="false">
      <c r="A626" s="4" t="n">
        <v>45533</v>
      </c>
      <c r="B626" s="1" t="s">
        <v>88</v>
      </c>
      <c r="C626" s="1" t="s">
        <v>89</v>
      </c>
      <c r="D626" s="1" t="n">
        <v>378</v>
      </c>
      <c r="E626" s="1" t="n">
        <v>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1" t="n">
        <v>-7</v>
      </c>
      <c r="O626" s="1" t="n">
        <v>7.13376666666667</v>
      </c>
    </row>
    <row r="627" customFormat="false" ht="15.75" hidden="true" customHeight="false" outlineLevel="0" collapsed="false">
      <c r="A627" s="4" t="n">
        <v>45533</v>
      </c>
      <c r="B627" s="1" t="s">
        <v>95</v>
      </c>
      <c r="C627" s="1" t="s">
        <v>89</v>
      </c>
      <c r="D627" s="1" t="n">
        <v>395</v>
      </c>
      <c r="E627" s="1" t="n">
        <v>19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1" t="n">
        <v>-7</v>
      </c>
      <c r="N627" s="1" t="n">
        <v>0.0135833333333333</v>
      </c>
    </row>
    <row r="628" customFormat="false" ht="15.75" hidden="true" customHeight="false" outlineLevel="0" collapsed="false">
      <c r="A628" s="4" t="n">
        <v>45533</v>
      </c>
      <c r="B628" s="1" t="s">
        <v>107</v>
      </c>
      <c r="C628" s="1" t="s">
        <v>104</v>
      </c>
      <c r="D628" s="1" t="n">
        <v>393</v>
      </c>
      <c r="E628" s="1" t="n">
        <v>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1" t="n">
        <v>-5</v>
      </c>
      <c r="O628" s="1" t="n">
        <v>9.12058333333333</v>
      </c>
    </row>
    <row r="629" customFormat="false" ht="15.75" hidden="true" customHeight="false" outlineLevel="0" collapsed="false">
      <c r="A629" s="4" t="n">
        <v>45533</v>
      </c>
      <c r="B629" s="1" t="s">
        <v>103</v>
      </c>
      <c r="C629" s="1" t="s">
        <v>104</v>
      </c>
      <c r="D629" s="1" t="n">
        <v>321</v>
      </c>
      <c r="E629" s="1" t="n">
        <v>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1" t="n">
        <v>2</v>
      </c>
      <c r="O629" s="1" t="n">
        <v>9.66505</v>
      </c>
    </row>
    <row r="630" customFormat="false" ht="15.75" hidden="true" customHeight="false" outlineLevel="0" collapsed="false">
      <c r="A630" s="4" t="n">
        <v>45533</v>
      </c>
      <c r="B630" s="1" t="s">
        <v>95</v>
      </c>
      <c r="C630" s="1" t="s">
        <v>104</v>
      </c>
      <c r="D630" s="1" t="n">
        <v>199</v>
      </c>
      <c r="E630" s="1" t="n">
        <v>50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1" t="n">
        <v>-8</v>
      </c>
      <c r="O630" s="1" t="n">
        <v>9.74653333333333</v>
      </c>
    </row>
    <row r="631" customFormat="false" ht="15.75" hidden="true" customHeight="false" outlineLevel="0" collapsed="false">
      <c r="A631" s="4" t="n">
        <v>45533</v>
      </c>
      <c r="B631" s="1" t="s">
        <v>103</v>
      </c>
      <c r="C631" s="1" t="s">
        <v>104</v>
      </c>
      <c r="D631" s="1" t="n">
        <v>289</v>
      </c>
      <c r="E631" s="1" t="n">
        <v>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1" t="n">
        <v>0</v>
      </c>
      <c r="O631" s="1" t="n">
        <v>7.82555</v>
      </c>
    </row>
    <row r="632" customFormat="false" ht="15.75" hidden="true" customHeight="false" outlineLevel="0" collapsed="false">
      <c r="A632" s="4" t="n">
        <v>45533</v>
      </c>
      <c r="B632" s="1" t="s">
        <v>88</v>
      </c>
      <c r="C632" s="1" t="s">
        <v>89</v>
      </c>
      <c r="D632" s="1" t="n">
        <v>329</v>
      </c>
      <c r="E632" s="1" t="n">
        <v>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1" t="n">
        <v>-8</v>
      </c>
      <c r="O632" s="1" t="n">
        <v>6.23758333333333</v>
      </c>
    </row>
    <row r="633" customFormat="false" ht="15.75" hidden="true" customHeight="false" outlineLevel="0" collapsed="false">
      <c r="A633" s="4" t="n">
        <v>45533</v>
      </c>
      <c r="B633" s="1" t="s">
        <v>88</v>
      </c>
      <c r="C633" s="1" t="s">
        <v>89</v>
      </c>
      <c r="D633" s="1" t="n">
        <v>289</v>
      </c>
      <c r="E633" s="1" t="n">
        <v>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1" t="n">
        <v>0</v>
      </c>
      <c r="O633" s="1" t="n">
        <v>14.06935</v>
      </c>
    </row>
    <row r="634" customFormat="false" ht="15.75" hidden="true" customHeight="false" outlineLevel="0" collapsed="false">
      <c r="A634" s="4" t="n">
        <v>45533</v>
      </c>
      <c r="B634" s="1" t="s">
        <v>88</v>
      </c>
      <c r="C634" s="1" t="s">
        <v>89</v>
      </c>
      <c r="D634" s="1" t="n">
        <v>299</v>
      </c>
      <c r="E634" s="1" t="n">
        <v>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1" t="n">
        <v>-6</v>
      </c>
      <c r="O634" s="1" t="n">
        <v>8.09098333333333</v>
      </c>
    </row>
    <row r="635" customFormat="false" ht="15.75" hidden="true" customHeight="false" outlineLevel="0" collapsed="false">
      <c r="A635" s="4" t="n">
        <v>45533</v>
      </c>
      <c r="B635" s="1" t="s">
        <v>103</v>
      </c>
      <c r="C635" s="1" t="s">
        <v>104</v>
      </c>
      <c r="D635" s="1" t="n">
        <v>264</v>
      </c>
      <c r="E635" s="1" t="n">
        <v>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1" t="n">
        <v>0</v>
      </c>
      <c r="O635" s="1" t="n">
        <v>6.97265</v>
      </c>
    </row>
    <row r="636" customFormat="false" ht="15.75" hidden="true" customHeight="false" outlineLevel="0" collapsed="false">
      <c r="A636" s="4" t="n">
        <v>45533</v>
      </c>
      <c r="B636" s="1" t="s">
        <v>95</v>
      </c>
      <c r="C636" s="1" t="s">
        <v>104</v>
      </c>
      <c r="D636" s="1" t="n">
        <v>199</v>
      </c>
      <c r="E636" s="1" t="n">
        <v>50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1" t="n">
        <v>-9</v>
      </c>
      <c r="O636" s="1" t="n">
        <v>9.83025</v>
      </c>
    </row>
    <row r="637" customFormat="false" ht="15.75" hidden="true" customHeight="false" outlineLevel="0" collapsed="false">
      <c r="A637" s="4" t="n">
        <v>45533</v>
      </c>
      <c r="B637" s="1" t="s">
        <v>103</v>
      </c>
      <c r="C637" s="1" t="s">
        <v>104</v>
      </c>
      <c r="D637" s="1" t="n">
        <v>623</v>
      </c>
      <c r="E637" s="1" t="n">
        <v>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1" t="n">
        <v>2</v>
      </c>
      <c r="O637" s="1" t="n">
        <v>11.83075</v>
      </c>
    </row>
    <row r="638" customFormat="false" ht="15.75" hidden="true" customHeight="false" outlineLevel="0" collapsed="false">
      <c r="A638" s="4" t="n">
        <v>45533</v>
      </c>
      <c r="B638" s="1" t="s">
        <v>95</v>
      </c>
      <c r="C638" s="1" t="s">
        <v>104</v>
      </c>
      <c r="D638" s="1" t="n">
        <v>327</v>
      </c>
      <c r="E638" s="1" t="n">
        <v>82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1" t="n">
        <v>-29</v>
      </c>
      <c r="O638" s="1" t="n">
        <v>7.38063333333333</v>
      </c>
    </row>
    <row r="639" customFormat="false" ht="15.75" hidden="true" customHeight="false" outlineLevel="0" collapsed="false">
      <c r="A639" s="4" t="n">
        <v>45533</v>
      </c>
      <c r="B639" s="1" t="s">
        <v>103</v>
      </c>
      <c r="C639" s="1" t="s">
        <v>104</v>
      </c>
      <c r="D639" s="1" t="n">
        <v>264</v>
      </c>
      <c r="E639" s="1" t="n">
        <v>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1" t="n">
        <v>3</v>
      </c>
      <c r="O639" s="1" t="n">
        <v>9.15876666666667</v>
      </c>
    </row>
    <row r="640" customFormat="false" ht="15.75" hidden="true" customHeight="false" outlineLevel="0" collapsed="false">
      <c r="A640" s="4" t="n">
        <v>45533</v>
      </c>
      <c r="B640" s="1" t="s">
        <v>88</v>
      </c>
      <c r="C640" s="1" t="s">
        <v>89</v>
      </c>
      <c r="D640" s="1" t="n">
        <v>329</v>
      </c>
      <c r="E640" s="1" t="n">
        <v>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1" t="n">
        <v>-13</v>
      </c>
      <c r="O640" s="1" t="n">
        <v>8.34516666666667</v>
      </c>
    </row>
    <row r="641" customFormat="false" ht="15.75" hidden="true" customHeight="false" outlineLevel="0" collapsed="false">
      <c r="A641" s="4" t="n">
        <v>45533</v>
      </c>
      <c r="B641" s="1" t="s">
        <v>95</v>
      </c>
      <c r="C641" s="1" t="s">
        <v>104</v>
      </c>
      <c r="D641" s="1" t="n">
        <v>1226</v>
      </c>
      <c r="E641" s="1" t="n">
        <v>297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1" t="n">
        <v>-4</v>
      </c>
      <c r="O641" s="1" t="n">
        <v>20.14655</v>
      </c>
    </row>
    <row r="642" customFormat="false" ht="15.75" hidden="true" customHeight="false" outlineLevel="0" collapsed="false">
      <c r="A642" s="4" t="n">
        <v>45533</v>
      </c>
      <c r="B642" s="1" t="s">
        <v>88</v>
      </c>
      <c r="C642" s="1" t="s">
        <v>89</v>
      </c>
      <c r="D642" s="1" t="n">
        <v>394</v>
      </c>
      <c r="E642" s="1" t="n">
        <v>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1" t="n">
        <v>-7</v>
      </c>
      <c r="O642" s="1" t="n">
        <v>7.18923333333333</v>
      </c>
    </row>
    <row r="643" customFormat="false" ht="15.75" hidden="true" customHeight="false" outlineLevel="0" collapsed="false">
      <c r="A643" s="4" t="n">
        <v>45533</v>
      </c>
      <c r="B643" s="1" t="s">
        <v>95</v>
      </c>
      <c r="C643" s="1" t="s">
        <v>104</v>
      </c>
      <c r="D643" s="1" t="n">
        <v>418</v>
      </c>
      <c r="E643" s="1" t="n">
        <v>105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1" t="n">
        <v>-8</v>
      </c>
      <c r="O643" s="1" t="n">
        <v>10.6243166666667</v>
      </c>
    </row>
    <row r="644" customFormat="false" ht="15.75" hidden="true" customHeight="false" outlineLevel="0" collapsed="false">
      <c r="A644" s="4" t="n">
        <v>45533</v>
      </c>
      <c r="B644" s="1" t="s">
        <v>107</v>
      </c>
      <c r="C644" s="1" t="s">
        <v>104</v>
      </c>
      <c r="D644" s="1" t="n">
        <v>321</v>
      </c>
      <c r="E644" s="1" t="n">
        <v>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1" t="n">
        <v>-6</v>
      </c>
      <c r="O644" s="1" t="n">
        <v>8.25636666666667</v>
      </c>
    </row>
    <row r="645" customFormat="false" ht="15.75" hidden="true" customHeight="false" outlineLevel="0" collapsed="false">
      <c r="A645" s="4" t="n">
        <v>45533</v>
      </c>
      <c r="B645" s="1" t="s">
        <v>95</v>
      </c>
      <c r="C645" s="1" t="s">
        <v>89</v>
      </c>
      <c r="D645" s="1" t="n">
        <v>250</v>
      </c>
      <c r="E645" s="1" t="n">
        <v>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1" t="n">
        <v>-7</v>
      </c>
      <c r="N645" s="1" t="n">
        <v>0.0105166666666667</v>
      </c>
      <c r="O645" s="1" t="n">
        <v>10.6056</v>
      </c>
    </row>
    <row r="646" customFormat="false" ht="15.75" hidden="true" customHeight="false" outlineLevel="0" collapsed="false">
      <c r="A646" s="4" t="n">
        <v>45533</v>
      </c>
      <c r="B646" s="1" t="s">
        <v>95</v>
      </c>
      <c r="C646" s="1" t="s">
        <v>89</v>
      </c>
      <c r="D646" s="1" t="n">
        <v>536</v>
      </c>
      <c r="E646" s="1" t="n">
        <v>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1" t="n">
        <v>-2</v>
      </c>
      <c r="N646" s="1" t="n">
        <v>0.0135166666666667</v>
      </c>
      <c r="O646" s="1" t="n">
        <v>13.5345833333333</v>
      </c>
    </row>
    <row r="647" customFormat="false" ht="15.75" hidden="true" customHeight="false" outlineLevel="0" collapsed="false">
      <c r="A647" s="4" t="n">
        <v>45533</v>
      </c>
      <c r="B647" s="1" t="s">
        <v>95</v>
      </c>
      <c r="C647" s="1" t="s">
        <v>89</v>
      </c>
      <c r="D647" s="1" t="n">
        <v>557</v>
      </c>
      <c r="E647" s="1" t="n">
        <v>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1" t="n">
        <v>8</v>
      </c>
      <c r="N647" s="1" t="n">
        <v>0.0102833333333333</v>
      </c>
      <c r="O647" s="1" t="n">
        <v>15.4662666666667</v>
      </c>
    </row>
    <row r="648" customFormat="false" ht="15.75" hidden="true" customHeight="false" outlineLevel="0" collapsed="false">
      <c r="A648" s="4" t="n">
        <v>45533</v>
      </c>
      <c r="B648" s="1" t="s">
        <v>88</v>
      </c>
      <c r="C648" s="1" t="s">
        <v>89</v>
      </c>
      <c r="D648" s="1" t="n">
        <v>723</v>
      </c>
      <c r="E648" s="1" t="n">
        <v>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1" t="n">
        <v>-9</v>
      </c>
      <c r="O648" s="1" t="n">
        <v>10.71535</v>
      </c>
    </row>
    <row r="649" customFormat="false" ht="15.75" hidden="true" customHeight="false" outlineLevel="0" collapsed="false">
      <c r="A649" s="4" t="n">
        <v>45533</v>
      </c>
      <c r="B649" s="1" t="s">
        <v>88</v>
      </c>
      <c r="C649" s="1" t="s">
        <v>89</v>
      </c>
      <c r="D649" s="1" t="n">
        <v>329</v>
      </c>
      <c r="E649" s="1" t="n">
        <v>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1" t="n">
        <v>-5</v>
      </c>
      <c r="O649" s="1" t="n">
        <v>9.40615</v>
      </c>
    </row>
    <row r="650" customFormat="false" ht="15.75" hidden="true" customHeight="false" outlineLevel="0" collapsed="false">
      <c r="A650" s="4" t="n">
        <v>45533</v>
      </c>
      <c r="B650" s="1" t="s">
        <v>95</v>
      </c>
      <c r="C650" s="1" t="s">
        <v>89</v>
      </c>
      <c r="D650" s="1" t="n">
        <v>309</v>
      </c>
      <c r="E650" s="1" t="n">
        <v>56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1" t="n">
        <v>-16</v>
      </c>
      <c r="N650" s="1" t="n">
        <v>0.0106333333333333</v>
      </c>
      <c r="O650" s="1" t="n">
        <v>7.14871666666667</v>
      </c>
    </row>
    <row r="651" customFormat="false" ht="15.75" hidden="true" customHeight="false" outlineLevel="0" collapsed="false">
      <c r="A651" s="4" t="n">
        <v>45533</v>
      </c>
      <c r="B651" s="1" t="s">
        <v>95</v>
      </c>
      <c r="C651" s="1" t="s">
        <v>104</v>
      </c>
      <c r="D651" s="1" t="n">
        <v>247</v>
      </c>
      <c r="E651" s="1" t="n">
        <v>62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1" t="n">
        <v>-6</v>
      </c>
      <c r="O651" s="1" t="n">
        <v>12.83965</v>
      </c>
    </row>
    <row r="652" customFormat="false" ht="15.75" hidden="true" customHeight="false" outlineLevel="0" collapsed="false">
      <c r="A652" s="4" t="n">
        <v>45533</v>
      </c>
      <c r="B652" s="1" t="s">
        <v>103</v>
      </c>
      <c r="C652" s="1" t="s">
        <v>104</v>
      </c>
      <c r="D652" s="1" t="n">
        <v>413</v>
      </c>
      <c r="E652" s="1" t="n">
        <v>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1" t="n">
        <v>0</v>
      </c>
      <c r="O652" s="1" t="n">
        <v>7.45828333333333</v>
      </c>
    </row>
    <row r="653" customFormat="false" ht="15.75" hidden="true" customHeight="false" outlineLevel="0" collapsed="false">
      <c r="A653" s="4" t="n">
        <v>45533</v>
      </c>
      <c r="B653" s="1" t="s">
        <v>103</v>
      </c>
      <c r="C653" s="1" t="s">
        <v>104</v>
      </c>
      <c r="D653" s="1" t="n">
        <v>329</v>
      </c>
      <c r="E653" s="1" t="n">
        <v>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1" t="n">
        <v>0</v>
      </c>
      <c r="O653" s="1" t="n">
        <v>6.29378333333333</v>
      </c>
    </row>
    <row r="654" customFormat="false" ht="15.75" hidden="true" customHeight="false" outlineLevel="0" collapsed="false">
      <c r="A654" s="4" t="n">
        <v>45533</v>
      </c>
      <c r="B654" s="1" t="s">
        <v>95</v>
      </c>
      <c r="C654" s="1" t="s">
        <v>104</v>
      </c>
      <c r="D654" s="1" t="n">
        <v>283</v>
      </c>
      <c r="E654" s="1" t="n">
        <v>5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1" t="n">
        <v>-13</v>
      </c>
      <c r="O654" s="1" t="n">
        <v>6.6659</v>
      </c>
    </row>
    <row r="655" customFormat="false" ht="15.75" hidden="true" customHeight="false" outlineLevel="0" collapsed="false">
      <c r="A655" s="4" t="n">
        <v>45533</v>
      </c>
      <c r="B655" s="1" t="s">
        <v>95</v>
      </c>
      <c r="C655" s="1" t="s">
        <v>89</v>
      </c>
      <c r="D655" s="1" t="n">
        <v>598</v>
      </c>
      <c r="E655" s="1" t="n">
        <v>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1" t="n">
        <v>0</v>
      </c>
      <c r="N655" s="1" t="n">
        <v>0.01275</v>
      </c>
      <c r="O655" s="1" t="n">
        <v>12.56435</v>
      </c>
    </row>
    <row r="656" customFormat="false" ht="15.75" hidden="true" customHeight="false" outlineLevel="0" collapsed="false">
      <c r="A656" s="4" t="n">
        <v>45533</v>
      </c>
      <c r="B656" s="1" t="s">
        <v>103</v>
      </c>
      <c r="C656" s="1" t="s">
        <v>104</v>
      </c>
      <c r="D656" s="1" t="n">
        <v>1046</v>
      </c>
      <c r="E656" s="1" t="n">
        <v>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1" t="n">
        <v>-1</v>
      </c>
      <c r="O656" s="1" t="n">
        <v>10.6479833333333</v>
      </c>
    </row>
    <row r="657" customFormat="false" ht="15.75" hidden="true" customHeight="false" outlineLevel="0" collapsed="false">
      <c r="A657" s="4" t="n">
        <v>45533</v>
      </c>
      <c r="B657" s="1" t="s">
        <v>103</v>
      </c>
      <c r="C657" s="1" t="s">
        <v>104</v>
      </c>
      <c r="D657" s="1" t="n">
        <v>294</v>
      </c>
      <c r="E657" s="1" t="n">
        <v>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1" t="n">
        <v>-1</v>
      </c>
      <c r="O657" s="1" t="n">
        <v>5.04951666666667</v>
      </c>
    </row>
    <row r="658" customFormat="false" ht="15.75" hidden="true" customHeight="false" outlineLevel="0" collapsed="false">
      <c r="A658" s="4" t="n">
        <v>45533</v>
      </c>
      <c r="B658" s="1" t="s">
        <v>95</v>
      </c>
      <c r="C658" s="1" t="s">
        <v>89</v>
      </c>
      <c r="D658" s="1" t="n">
        <v>526</v>
      </c>
      <c r="E658" s="1" t="n">
        <v>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1" t="n">
        <v>19</v>
      </c>
      <c r="N658" s="1" t="n">
        <v>19.1534333333333</v>
      </c>
      <c r="O658" s="1" t="n">
        <v>17.8657666666667</v>
      </c>
    </row>
    <row r="659" customFormat="false" ht="15.75" hidden="true" customHeight="false" outlineLevel="0" collapsed="false">
      <c r="A659" s="4" t="n">
        <v>45533</v>
      </c>
      <c r="B659" s="1" t="s">
        <v>95</v>
      </c>
      <c r="C659" s="1" t="s">
        <v>89</v>
      </c>
      <c r="D659" s="1" t="n">
        <v>612</v>
      </c>
      <c r="E659" s="1" t="n">
        <v>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1" t="n">
        <v>-6</v>
      </c>
      <c r="N659" s="1" t="n">
        <v>4.92086666666667</v>
      </c>
      <c r="O659" s="1" t="n">
        <v>13.4175</v>
      </c>
    </row>
    <row r="660" customFormat="false" ht="15.75" hidden="true" customHeight="false" outlineLevel="0" collapsed="false">
      <c r="A660" s="4" t="n">
        <v>45533</v>
      </c>
      <c r="B660" s="1" t="s">
        <v>95</v>
      </c>
      <c r="C660" s="1" t="s">
        <v>89</v>
      </c>
      <c r="D660" s="1" t="n">
        <v>608</v>
      </c>
      <c r="E660" s="1" t="n">
        <v>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1" t="n">
        <v>-9</v>
      </c>
      <c r="N660" s="1" t="n">
        <v>0.0136</v>
      </c>
      <c r="O660" s="1" t="n">
        <v>26.8330166666667</v>
      </c>
    </row>
    <row r="661" customFormat="false" ht="15.75" hidden="true" customHeight="false" outlineLevel="0" collapsed="false">
      <c r="A661" s="4" t="n">
        <v>45533</v>
      </c>
      <c r="B661" s="1" t="s">
        <v>95</v>
      </c>
      <c r="C661" s="1" t="s">
        <v>89</v>
      </c>
      <c r="D661" s="1" t="n">
        <v>962</v>
      </c>
      <c r="E661" s="1" t="n">
        <v>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1" t="n">
        <v>-10</v>
      </c>
      <c r="N661" s="1" t="n">
        <v>0.0180666666666667</v>
      </c>
      <c r="O661" s="1" t="n">
        <v>12.3922333333333</v>
      </c>
    </row>
    <row r="662" customFormat="false" ht="15.75" hidden="true" customHeight="false" outlineLevel="0" collapsed="false">
      <c r="A662" s="4" t="n">
        <v>45533</v>
      </c>
      <c r="B662" s="1" t="s">
        <v>88</v>
      </c>
      <c r="C662" s="1" t="s">
        <v>89</v>
      </c>
      <c r="D662" s="1" t="n">
        <v>338</v>
      </c>
      <c r="E662" s="1" t="n">
        <v>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1" t="n">
        <v>-8</v>
      </c>
      <c r="O662" s="1" t="n">
        <v>6.23993333333333</v>
      </c>
    </row>
    <row r="663" customFormat="false" ht="15.75" hidden="true" customHeight="false" outlineLevel="0" collapsed="false">
      <c r="A663" s="4" t="n">
        <v>45533</v>
      </c>
      <c r="B663" s="1" t="s">
        <v>95</v>
      </c>
      <c r="C663" s="1" t="s">
        <v>89</v>
      </c>
      <c r="D663" s="1" t="n">
        <v>309</v>
      </c>
      <c r="E663" s="1" t="n">
        <v>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1" t="n">
        <v>-7</v>
      </c>
      <c r="N663" s="1" t="n">
        <v>0.00978333333333333</v>
      </c>
      <c r="O663" s="1" t="n">
        <v>10.3786666666667</v>
      </c>
    </row>
    <row r="664" customFormat="false" ht="15.75" hidden="true" customHeight="false" outlineLevel="0" collapsed="false">
      <c r="A664" s="4" t="n">
        <v>45533</v>
      </c>
      <c r="B664" s="1" t="s">
        <v>88</v>
      </c>
      <c r="C664" s="1" t="s">
        <v>89</v>
      </c>
      <c r="D664" s="1" t="n">
        <v>448</v>
      </c>
      <c r="E664" s="1" t="n">
        <v>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1" t="n">
        <v>-8</v>
      </c>
      <c r="O664" s="1" t="n">
        <v>6.61541666666667</v>
      </c>
    </row>
    <row r="665" customFormat="false" ht="15.75" hidden="true" customHeight="false" outlineLevel="0" collapsed="false">
      <c r="A665" s="4" t="n">
        <v>45533</v>
      </c>
      <c r="B665" s="1" t="s">
        <v>103</v>
      </c>
      <c r="C665" s="1" t="s">
        <v>104</v>
      </c>
      <c r="D665" s="1" t="n">
        <v>333</v>
      </c>
      <c r="E665" s="1" t="n">
        <v>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1" t="n">
        <v>0</v>
      </c>
      <c r="O665" s="1" t="n">
        <v>6.37395</v>
      </c>
    </row>
    <row r="666" customFormat="false" ht="15.75" hidden="true" customHeight="false" outlineLevel="0" collapsed="false">
      <c r="A666" s="4" t="n">
        <v>45533</v>
      </c>
      <c r="B666" s="1" t="s">
        <v>88</v>
      </c>
      <c r="C666" s="1" t="s">
        <v>89</v>
      </c>
      <c r="D666" s="1" t="n">
        <v>299</v>
      </c>
      <c r="E666" s="1" t="n">
        <v>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1" t="n">
        <v>-8</v>
      </c>
      <c r="O666" s="1" t="n">
        <v>6.5181</v>
      </c>
    </row>
    <row r="667" customFormat="false" ht="15.75" hidden="true" customHeight="false" outlineLevel="0" collapsed="false">
      <c r="A667" s="4" t="n">
        <v>45533</v>
      </c>
      <c r="B667" s="1" t="s">
        <v>103</v>
      </c>
      <c r="C667" s="1" t="s">
        <v>104</v>
      </c>
      <c r="D667" s="1" t="n">
        <v>528</v>
      </c>
      <c r="E667" s="1" t="n">
        <v>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1" t="n">
        <v>-1</v>
      </c>
      <c r="O667" s="1" t="n">
        <v>7.06135</v>
      </c>
    </row>
    <row r="668" customFormat="false" ht="15.75" hidden="true" customHeight="false" outlineLevel="0" collapsed="false">
      <c r="A668" s="4" t="n">
        <v>45533</v>
      </c>
      <c r="B668" s="1" t="s">
        <v>95</v>
      </c>
      <c r="C668" s="1" t="s">
        <v>104</v>
      </c>
      <c r="D668" s="1" t="n">
        <v>567</v>
      </c>
      <c r="E668" s="1" t="n">
        <v>100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1" t="n">
        <v>-14</v>
      </c>
      <c r="O668" s="1" t="n">
        <v>9.3109</v>
      </c>
    </row>
    <row r="669" customFormat="false" ht="15.75" hidden="true" customHeight="false" outlineLevel="0" collapsed="false">
      <c r="A669" s="4" t="n">
        <v>45533</v>
      </c>
      <c r="B669" s="1" t="s">
        <v>103</v>
      </c>
      <c r="C669" s="1" t="s">
        <v>104</v>
      </c>
      <c r="D669" s="1" t="n">
        <v>916</v>
      </c>
      <c r="E669" s="1" t="n">
        <v>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1" t="n">
        <v>-3</v>
      </c>
      <c r="O669" s="1" t="n">
        <v>8.46878333333333</v>
      </c>
    </row>
    <row r="670" customFormat="false" ht="15.75" hidden="true" customHeight="false" outlineLevel="0" collapsed="false">
      <c r="A670" s="4" t="n">
        <v>45533</v>
      </c>
      <c r="B670" s="1" t="s">
        <v>88</v>
      </c>
      <c r="C670" s="1" t="s">
        <v>89</v>
      </c>
      <c r="D670" s="1" t="n">
        <v>593</v>
      </c>
      <c r="E670" s="1" t="n">
        <v>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1" t="n">
        <v>-7</v>
      </c>
      <c r="O670" s="1" t="n">
        <v>12.9099666666667</v>
      </c>
    </row>
    <row r="671" customFormat="false" ht="15.75" hidden="true" customHeight="false" outlineLevel="0" collapsed="false">
      <c r="A671" s="4" t="n">
        <v>45533</v>
      </c>
      <c r="B671" s="1" t="s">
        <v>103</v>
      </c>
      <c r="C671" s="1" t="s">
        <v>104</v>
      </c>
      <c r="D671" s="1" t="n">
        <v>553</v>
      </c>
      <c r="E671" s="1" t="n">
        <v>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1" t="n">
        <v>2</v>
      </c>
      <c r="O671" s="1" t="n">
        <v>10.2379666666667</v>
      </c>
    </row>
    <row r="672" customFormat="false" ht="15.75" hidden="true" customHeight="false" outlineLevel="0" collapsed="false">
      <c r="A672" s="4" t="n">
        <v>45533</v>
      </c>
      <c r="B672" s="1" t="s">
        <v>95</v>
      </c>
      <c r="C672" s="1" t="s">
        <v>104</v>
      </c>
      <c r="D672" s="1" t="n">
        <v>247</v>
      </c>
      <c r="E672" s="1" t="n">
        <v>62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1" t="n">
        <v>-5</v>
      </c>
      <c r="O672" s="1" t="n">
        <v>14.5452</v>
      </c>
    </row>
    <row r="673" customFormat="false" ht="15.75" hidden="true" customHeight="false" outlineLevel="0" collapsed="false">
      <c r="A673" s="4" t="n">
        <v>45533</v>
      </c>
      <c r="B673" s="1" t="s">
        <v>103</v>
      </c>
      <c r="C673" s="1" t="s">
        <v>104</v>
      </c>
      <c r="D673" s="1" t="n">
        <v>837</v>
      </c>
      <c r="E673" s="1" t="n">
        <v>150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1" t="n">
        <v>0</v>
      </c>
      <c r="O673" s="1" t="n">
        <v>12.92075</v>
      </c>
    </row>
    <row r="674" customFormat="false" ht="15.75" hidden="true" customHeight="false" outlineLevel="0" collapsed="false">
      <c r="A674" s="4" t="n">
        <v>45533</v>
      </c>
      <c r="B674" s="1" t="s">
        <v>103</v>
      </c>
      <c r="C674" s="1" t="s">
        <v>104</v>
      </c>
      <c r="D674" s="1" t="n">
        <v>321</v>
      </c>
      <c r="E674" s="1" t="n">
        <v>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1" t="n">
        <v>-2</v>
      </c>
      <c r="O674" s="1" t="n">
        <v>5.09675</v>
      </c>
    </row>
    <row r="675" customFormat="false" ht="15.75" hidden="true" customHeight="false" outlineLevel="0" collapsed="false">
      <c r="A675" s="4" t="n">
        <v>45533</v>
      </c>
      <c r="B675" s="1" t="s">
        <v>95</v>
      </c>
      <c r="C675" s="1" t="s">
        <v>89</v>
      </c>
      <c r="D675" s="1" t="n">
        <v>389</v>
      </c>
      <c r="E675" s="1" t="n">
        <v>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1" t="n">
        <v>-12</v>
      </c>
      <c r="N675" s="1" t="n">
        <v>0.0106333333333333</v>
      </c>
      <c r="O675" s="1" t="n">
        <v>12.50365</v>
      </c>
    </row>
    <row r="676" customFormat="false" ht="15.75" hidden="true" customHeight="false" outlineLevel="0" collapsed="false">
      <c r="A676" s="4" t="n">
        <v>45533</v>
      </c>
      <c r="B676" s="1" t="s">
        <v>103</v>
      </c>
      <c r="C676" s="1" t="s">
        <v>104</v>
      </c>
      <c r="D676" s="1" t="n">
        <v>602</v>
      </c>
      <c r="E676" s="1" t="n">
        <v>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1" t="n">
        <v>0</v>
      </c>
      <c r="O676" s="1" t="n">
        <v>7.99045</v>
      </c>
    </row>
    <row r="677" customFormat="false" ht="15.75" hidden="true" customHeight="false" outlineLevel="0" collapsed="false">
      <c r="A677" s="4" t="n">
        <v>45533</v>
      </c>
      <c r="B677" s="1" t="s">
        <v>88</v>
      </c>
      <c r="C677" s="1" t="s">
        <v>89</v>
      </c>
      <c r="D677" s="1" t="n">
        <v>329</v>
      </c>
      <c r="E677" s="1" t="n">
        <v>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1" t="n">
        <v>-4</v>
      </c>
      <c r="O677" s="1" t="n">
        <v>10.0693166666667</v>
      </c>
    </row>
    <row r="678" customFormat="false" ht="15.75" hidden="true" customHeight="false" outlineLevel="0" collapsed="false">
      <c r="A678" s="4" t="n">
        <v>45533</v>
      </c>
      <c r="B678" s="1" t="s">
        <v>103</v>
      </c>
      <c r="C678" s="1" t="s">
        <v>104</v>
      </c>
      <c r="D678" s="1" t="n">
        <v>264</v>
      </c>
      <c r="E678" s="1" t="n">
        <v>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1" t="n">
        <v>-1</v>
      </c>
      <c r="O678" s="1" t="n">
        <v>5.86561666666667</v>
      </c>
    </row>
    <row r="679" customFormat="false" ht="15.75" hidden="true" customHeight="false" outlineLevel="0" collapsed="false">
      <c r="A679" s="4" t="n">
        <v>45533</v>
      </c>
      <c r="B679" s="1" t="s">
        <v>88</v>
      </c>
      <c r="C679" s="1" t="s">
        <v>89</v>
      </c>
      <c r="D679" s="1" t="n">
        <v>329</v>
      </c>
      <c r="E679" s="1" t="n">
        <v>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1" t="n">
        <v>-9</v>
      </c>
      <c r="O679" s="1" t="n">
        <v>5.5892</v>
      </c>
    </row>
    <row r="680" customFormat="false" ht="15.75" hidden="true" customHeight="false" outlineLevel="0" collapsed="false">
      <c r="A680" s="4" t="n">
        <v>45533</v>
      </c>
      <c r="B680" s="1" t="s">
        <v>103</v>
      </c>
      <c r="C680" s="1" t="s">
        <v>104</v>
      </c>
      <c r="D680" s="1" t="n">
        <v>264</v>
      </c>
      <c r="E680" s="1" t="n">
        <v>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1" t="n">
        <v>-2</v>
      </c>
      <c r="O680" s="1" t="n">
        <v>4.66851666666667</v>
      </c>
    </row>
    <row r="681" customFormat="false" ht="15.75" hidden="true" customHeight="false" outlineLevel="0" collapsed="false">
      <c r="A681" s="4" t="n">
        <v>45533</v>
      </c>
      <c r="B681" s="1" t="s">
        <v>103</v>
      </c>
      <c r="C681" s="1" t="s">
        <v>104</v>
      </c>
      <c r="D681" s="1" t="n">
        <v>378</v>
      </c>
      <c r="E681" s="1" t="n">
        <v>150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1" t="n">
        <v>0</v>
      </c>
      <c r="O681" s="1" t="n">
        <v>7.48123333333333</v>
      </c>
    </row>
    <row r="682" customFormat="false" ht="15.75" hidden="true" customHeight="false" outlineLevel="0" collapsed="false">
      <c r="A682" s="4" t="n">
        <v>45533</v>
      </c>
      <c r="B682" s="1" t="s">
        <v>88</v>
      </c>
      <c r="C682" s="1" t="s">
        <v>89</v>
      </c>
      <c r="D682" s="1" t="n">
        <v>352</v>
      </c>
      <c r="E682" s="1" t="n">
        <v>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1" t="n">
        <v>-9</v>
      </c>
      <c r="O682" s="1" t="n">
        <v>5.82206666666667</v>
      </c>
    </row>
    <row r="683" customFormat="false" ht="15.75" hidden="true" customHeight="false" outlineLevel="0" collapsed="false">
      <c r="A683" s="4" t="n">
        <v>45533</v>
      </c>
      <c r="B683" s="1" t="s">
        <v>88</v>
      </c>
      <c r="C683" s="1" t="s">
        <v>89</v>
      </c>
      <c r="D683" s="1" t="n">
        <v>429</v>
      </c>
      <c r="E683" s="1" t="n">
        <v>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1" t="n">
        <v>-6</v>
      </c>
      <c r="O683" s="1" t="n">
        <v>8.1047</v>
      </c>
    </row>
    <row r="684" customFormat="false" ht="15.75" hidden="true" customHeight="false" outlineLevel="0" collapsed="false">
      <c r="A684" s="4" t="n">
        <v>45533</v>
      </c>
      <c r="B684" s="1" t="s">
        <v>95</v>
      </c>
      <c r="C684" s="1" t="s">
        <v>104</v>
      </c>
      <c r="D684" s="1" t="n">
        <v>199</v>
      </c>
      <c r="E684" s="1" t="n">
        <v>50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1" t="n">
        <v>-11</v>
      </c>
      <c r="O684" s="1" t="n">
        <v>7.4343</v>
      </c>
    </row>
    <row r="685" customFormat="false" ht="15.75" hidden="true" customHeight="false" outlineLevel="0" collapsed="false">
      <c r="A685" s="4" t="n">
        <v>45533</v>
      </c>
      <c r="B685" s="1" t="s">
        <v>95</v>
      </c>
      <c r="C685" s="1" t="s">
        <v>104</v>
      </c>
      <c r="D685" s="1" t="n">
        <v>366</v>
      </c>
      <c r="E685" s="1" t="n">
        <v>92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1" t="n">
        <v>-12</v>
      </c>
      <c r="O685" s="1" t="n">
        <v>11.16695</v>
      </c>
    </row>
    <row r="686" customFormat="false" ht="15.75" hidden="true" customHeight="false" outlineLevel="0" collapsed="false">
      <c r="A686" s="4" t="n">
        <v>45533</v>
      </c>
      <c r="B686" s="1" t="s">
        <v>103</v>
      </c>
      <c r="C686" s="1" t="s">
        <v>104</v>
      </c>
      <c r="D686" s="1" t="n">
        <v>634</v>
      </c>
      <c r="E686" s="1" t="n">
        <v>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1" t="n">
        <v>1</v>
      </c>
      <c r="O686" s="1" t="n">
        <v>10.57485</v>
      </c>
    </row>
    <row r="687" customFormat="false" ht="15.75" hidden="true" customHeight="false" outlineLevel="0" collapsed="false">
      <c r="A687" s="4" t="n">
        <v>45533</v>
      </c>
      <c r="B687" s="1" t="s">
        <v>95</v>
      </c>
      <c r="C687" s="1" t="s">
        <v>104</v>
      </c>
      <c r="D687" s="1" t="n">
        <v>598</v>
      </c>
      <c r="E687" s="1" t="n">
        <v>149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1" t="n">
        <v>-11</v>
      </c>
      <c r="O687" s="1" t="n">
        <v>12.6751833333333</v>
      </c>
    </row>
    <row r="688" customFormat="false" ht="15.75" hidden="true" customHeight="false" outlineLevel="0" collapsed="false">
      <c r="A688" s="4" t="n">
        <v>45533</v>
      </c>
      <c r="B688" s="1" t="s">
        <v>95</v>
      </c>
      <c r="C688" s="1" t="s">
        <v>89</v>
      </c>
      <c r="D688" s="1" t="n">
        <v>319</v>
      </c>
      <c r="E688" s="1" t="n">
        <v>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1" t="n">
        <v>-11</v>
      </c>
      <c r="N688" s="1" t="n">
        <v>0.00825</v>
      </c>
      <c r="O688" s="1" t="n">
        <v>7.71618333333333</v>
      </c>
    </row>
    <row r="689" customFormat="false" ht="15.75" hidden="true" customHeight="false" outlineLevel="0" collapsed="false">
      <c r="A689" s="4" t="n">
        <v>45533</v>
      </c>
      <c r="B689" s="1" t="s">
        <v>103</v>
      </c>
      <c r="C689" s="1" t="s">
        <v>104</v>
      </c>
      <c r="D689" s="1" t="n">
        <v>273</v>
      </c>
      <c r="E689" s="1" t="n">
        <v>100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1" t="n">
        <v>0</v>
      </c>
      <c r="O689" s="1" t="n">
        <v>6.95281666666667</v>
      </c>
    </row>
    <row r="690" customFormat="false" ht="15.75" hidden="true" customHeight="false" outlineLevel="0" collapsed="false">
      <c r="A690" s="4" t="n">
        <v>45533</v>
      </c>
      <c r="B690" s="1" t="s">
        <v>88</v>
      </c>
      <c r="C690" s="1" t="s">
        <v>89</v>
      </c>
      <c r="D690" s="1" t="n">
        <v>149</v>
      </c>
      <c r="E690" s="1" t="n">
        <v>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1" t="n">
        <v>-8</v>
      </c>
      <c r="O690" s="1" t="n">
        <v>6.40088333333333</v>
      </c>
    </row>
    <row r="691" customFormat="false" ht="15.75" hidden="true" customHeight="false" outlineLevel="0" collapsed="false">
      <c r="A691" s="4" t="n">
        <v>45533</v>
      </c>
      <c r="B691" s="1" t="s">
        <v>103</v>
      </c>
      <c r="C691" s="1" t="s">
        <v>104</v>
      </c>
      <c r="D691" s="1" t="n">
        <v>528</v>
      </c>
      <c r="E691" s="1" t="n">
        <v>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1" t="n">
        <v>0</v>
      </c>
      <c r="O691" s="1" t="n">
        <v>7.73143333333333</v>
      </c>
    </row>
    <row r="692" customFormat="false" ht="15.75" hidden="true" customHeight="false" outlineLevel="0" collapsed="false">
      <c r="A692" s="4" t="n">
        <v>45533</v>
      </c>
      <c r="B692" s="1" t="s">
        <v>228</v>
      </c>
      <c r="C692" s="1" t="s">
        <v>104</v>
      </c>
      <c r="D692" s="1" t="n">
        <v>498</v>
      </c>
      <c r="E692" s="1" t="n">
        <v>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1" t="n">
        <v>4</v>
      </c>
      <c r="O692" s="1" t="n">
        <v>9.03043333333333</v>
      </c>
    </row>
    <row r="693" customFormat="false" ht="15.75" hidden="true" customHeight="false" outlineLevel="0" collapsed="false">
      <c r="A693" s="4" t="n">
        <v>45533</v>
      </c>
      <c r="B693" s="1" t="s">
        <v>103</v>
      </c>
      <c r="C693" s="1" t="s">
        <v>104</v>
      </c>
      <c r="D693" s="1" t="n">
        <v>577</v>
      </c>
      <c r="E693" s="1" t="n">
        <v>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1" t="n">
        <v>2</v>
      </c>
      <c r="O693" s="1" t="n">
        <v>11.0225166666667</v>
      </c>
    </row>
    <row r="694" customFormat="false" ht="15.75" hidden="true" customHeight="false" outlineLevel="0" collapsed="false">
      <c r="A694" s="4" t="n">
        <v>45533</v>
      </c>
      <c r="B694" s="1" t="s">
        <v>95</v>
      </c>
      <c r="C694" s="1" t="s">
        <v>104</v>
      </c>
      <c r="D694" s="1" t="n">
        <v>489</v>
      </c>
      <c r="E694" s="1" t="n">
        <v>149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1" t="n">
        <v>-9</v>
      </c>
      <c r="O694" s="1" t="n">
        <v>8.42436666666667</v>
      </c>
    </row>
    <row r="695" customFormat="false" ht="15.75" hidden="true" customHeight="false" outlineLevel="0" collapsed="false">
      <c r="A695" s="4" t="n">
        <v>45533</v>
      </c>
      <c r="B695" s="1" t="s">
        <v>95</v>
      </c>
      <c r="C695" s="1" t="s">
        <v>89</v>
      </c>
      <c r="D695" s="1" t="n">
        <v>239</v>
      </c>
      <c r="E695" s="1" t="n">
        <v>11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1" t="n">
        <v>-2</v>
      </c>
      <c r="N695" s="1" t="n">
        <v>0.00975</v>
      </c>
      <c r="O695" s="1" t="n">
        <v>7.53125</v>
      </c>
    </row>
    <row r="696" customFormat="false" ht="15.75" hidden="true" customHeight="false" outlineLevel="0" collapsed="false">
      <c r="A696" s="4" t="n">
        <v>45533</v>
      </c>
      <c r="B696" s="1" t="s">
        <v>103</v>
      </c>
      <c r="C696" s="1" t="s">
        <v>104</v>
      </c>
      <c r="D696" s="1" t="n">
        <v>214</v>
      </c>
      <c r="E696" s="1" t="n">
        <v>50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1" t="n">
        <v>4</v>
      </c>
      <c r="O696" s="1" t="n">
        <v>10.9025833333333</v>
      </c>
    </row>
    <row r="697" customFormat="false" ht="15.75" hidden="true" customHeight="false" outlineLevel="0" collapsed="false">
      <c r="A697" s="4" t="n">
        <v>45533</v>
      </c>
      <c r="B697" s="1" t="s">
        <v>88</v>
      </c>
      <c r="C697" s="1" t="s">
        <v>89</v>
      </c>
      <c r="D697" s="1" t="n">
        <v>642</v>
      </c>
      <c r="E697" s="1" t="n">
        <v>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1" t="n">
        <v>-10</v>
      </c>
      <c r="O697" s="1" t="n">
        <v>9.45613333333333</v>
      </c>
    </row>
    <row r="698" customFormat="false" ht="15.75" hidden="true" customHeight="false" outlineLevel="0" collapsed="false">
      <c r="A698" s="4" t="n">
        <v>45533</v>
      </c>
      <c r="B698" s="1" t="s">
        <v>88</v>
      </c>
      <c r="C698" s="1" t="s">
        <v>89</v>
      </c>
      <c r="D698" s="1" t="n">
        <v>264</v>
      </c>
      <c r="E698" s="1" t="n">
        <v>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1" t="n">
        <v>-2</v>
      </c>
      <c r="O698" s="1" t="n">
        <v>12.4170833333333</v>
      </c>
    </row>
    <row r="699" customFormat="false" ht="15.75" hidden="true" customHeight="false" outlineLevel="0" collapsed="false">
      <c r="A699" s="4" t="n">
        <v>45533</v>
      </c>
      <c r="B699" s="1" t="s">
        <v>107</v>
      </c>
      <c r="C699" s="1" t="s">
        <v>89</v>
      </c>
      <c r="D699" s="1" t="n">
        <v>321</v>
      </c>
      <c r="E699" s="1" t="n">
        <v>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1" t="n">
        <v>-2</v>
      </c>
      <c r="O699" s="1" t="n">
        <v>12.6335166666667</v>
      </c>
    </row>
    <row r="700" customFormat="false" ht="15.75" hidden="true" customHeight="false" outlineLevel="0" collapsed="false">
      <c r="A700" s="4" t="n">
        <v>45533</v>
      </c>
      <c r="B700" s="1" t="s">
        <v>103</v>
      </c>
      <c r="C700" s="1" t="s">
        <v>89</v>
      </c>
      <c r="D700" s="1" t="n">
        <v>553</v>
      </c>
      <c r="E700" s="1" t="n">
        <v>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1" t="n">
        <v>2</v>
      </c>
      <c r="O700" s="1" t="n">
        <v>11.5413333333333</v>
      </c>
    </row>
    <row r="701" customFormat="false" ht="15.75" hidden="true" customHeight="false" outlineLevel="0" collapsed="false">
      <c r="A701" s="4" t="n">
        <v>45533</v>
      </c>
      <c r="B701" s="1" t="s">
        <v>103</v>
      </c>
      <c r="C701" s="1" t="s">
        <v>89</v>
      </c>
      <c r="D701" s="1" t="n">
        <v>307</v>
      </c>
      <c r="E701" s="1" t="n">
        <v>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1" t="n">
        <v>0</v>
      </c>
      <c r="O701" s="1" t="n">
        <v>7.24716666666667</v>
      </c>
    </row>
    <row r="702" customFormat="false" ht="15.75" hidden="true" customHeight="false" outlineLevel="0" collapsed="false">
      <c r="A702" s="4" t="n">
        <v>45533</v>
      </c>
      <c r="B702" s="1" t="s">
        <v>95</v>
      </c>
      <c r="C702" s="1" t="s">
        <v>89</v>
      </c>
      <c r="D702" s="1" t="n">
        <v>360</v>
      </c>
      <c r="E702" s="1" t="n">
        <v>138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1" t="n">
        <v>-17</v>
      </c>
      <c r="O702" s="1" t="n">
        <v>16.8587666666667</v>
      </c>
    </row>
    <row r="703" customFormat="false" ht="15.75" hidden="true" customHeight="false" outlineLevel="0" collapsed="false">
      <c r="A703" s="4" t="n">
        <v>45533</v>
      </c>
      <c r="B703" s="1" t="s">
        <v>95</v>
      </c>
      <c r="C703" s="1" t="s">
        <v>89</v>
      </c>
      <c r="D703" s="1" t="n">
        <v>367</v>
      </c>
      <c r="E703" s="1" t="n">
        <v>46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1" t="n">
        <v>-1</v>
      </c>
      <c r="N703" s="1" t="n">
        <v>0.0133166666666667</v>
      </c>
      <c r="O703" s="1" t="n">
        <v>11.3858166666667</v>
      </c>
    </row>
    <row r="704" customFormat="false" ht="15.75" hidden="true" customHeight="false" outlineLevel="0" collapsed="false">
      <c r="A704" s="4" t="n">
        <v>45533</v>
      </c>
      <c r="B704" s="1" t="s">
        <v>95</v>
      </c>
      <c r="C704" s="1" t="s">
        <v>89</v>
      </c>
      <c r="D704" s="1" t="n">
        <v>937</v>
      </c>
      <c r="E704" s="1" t="n">
        <v>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1" t="n">
        <v>0</v>
      </c>
      <c r="N704" s="1" t="n">
        <v>0.01325</v>
      </c>
      <c r="O704" s="1" t="n">
        <v>32.6199166666667</v>
      </c>
    </row>
    <row r="705" customFormat="false" ht="15.75" hidden="true" customHeight="false" outlineLevel="0" collapsed="false">
      <c r="A705" s="4" t="n">
        <v>45533</v>
      </c>
      <c r="B705" s="1" t="s">
        <v>88</v>
      </c>
      <c r="C705" s="1" t="s">
        <v>89</v>
      </c>
      <c r="D705" s="1" t="n">
        <v>264</v>
      </c>
      <c r="E705" s="1" t="n">
        <v>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1" t="n">
        <v>-7</v>
      </c>
      <c r="O705" s="1" t="n">
        <v>7.82196666666667</v>
      </c>
    </row>
    <row r="706" customFormat="false" ht="15.75" hidden="true" customHeight="false" outlineLevel="0" collapsed="false">
      <c r="A706" s="4" t="n">
        <v>45533</v>
      </c>
      <c r="B706" s="1" t="s">
        <v>95</v>
      </c>
      <c r="C706" s="1" t="s">
        <v>89</v>
      </c>
      <c r="D706" s="1" t="n">
        <v>1485</v>
      </c>
      <c r="E706" s="1" t="n">
        <v>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1" t="n">
        <v>-8</v>
      </c>
      <c r="N706" s="1" t="n">
        <v>0.00311666666666667</v>
      </c>
      <c r="O706" s="1" t="n">
        <v>16.2314666666667</v>
      </c>
    </row>
    <row r="707" customFormat="false" ht="15.75" hidden="true" customHeight="false" outlineLevel="0" collapsed="false">
      <c r="A707" s="4" t="n">
        <v>45533</v>
      </c>
      <c r="B707" s="1" t="s">
        <v>88</v>
      </c>
      <c r="C707" s="1" t="s">
        <v>89</v>
      </c>
      <c r="D707" s="1" t="n">
        <v>329</v>
      </c>
      <c r="E707" s="1" t="n">
        <v>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1" t="n">
        <v>-8</v>
      </c>
      <c r="O707" s="1" t="n">
        <v>6.40143333333333</v>
      </c>
    </row>
    <row r="708" customFormat="false" ht="15.75" hidden="true" customHeight="false" outlineLevel="0" collapsed="false">
      <c r="A708" s="4" t="n">
        <v>45533</v>
      </c>
      <c r="B708" s="1" t="s">
        <v>88</v>
      </c>
      <c r="C708" s="1" t="s">
        <v>89</v>
      </c>
      <c r="D708" s="1" t="n">
        <v>264</v>
      </c>
      <c r="E708" s="1" t="n">
        <v>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1" t="n">
        <v>-9</v>
      </c>
      <c r="O708" s="1" t="n">
        <v>6.05448333333333</v>
      </c>
    </row>
    <row r="709" customFormat="false" ht="15.75" hidden="true" customHeight="false" outlineLevel="0" collapsed="false">
      <c r="A709" s="4" t="n">
        <v>45533</v>
      </c>
      <c r="B709" s="1" t="s">
        <v>107</v>
      </c>
      <c r="C709" s="1" t="s">
        <v>89</v>
      </c>
      <c r="D709" s="1" t="n">
        <v>329</v>
      </c>
      <c r="E709" s="1" t="n">
        <v>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1" t="n">
        <v>-8</v>
      </c>
      <c r="O709" s="1" t="n">
        <v>6.46665</v>
      </c>
    </row>
    <row r="710" customFormat="false" ht="15.75" hidden="true" customHeight="false" outlineLevel="0" collapsed="false">
      <c r="A710" s="4" t="n">
        <v>45533</v>
      </c>
      <c r="B710" s="1" t="s">
        <v>103</v>
      </c>
      <c r="C710" s="1" t="s">
        <v>89</v>
      </c>
      <c r="D710" s="1" t="n">
        <v>264</v>
      </c>
      <c r="E710" s="1" t="n">
        <v>100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1" t="n">
        <v>-1</v>
      </c>
      <c r="O710" s="1" t="n">
        <v>5.62345</v>
      </c>
    </row>
    <row r="711" customFormat="false" ht="15.75" hidden="true" customHeight="false" outlineLevel="0" collapsed="false">
      <c r="A711" s="4" t="n">
        <v>45533</v>
      </c>
      <c r="B711" s="1" t="s">
        <v>107</v>
      </c>
      <c r="C711" s="1" t="s">
        <v>89</v>
      </c>
      <c r="D711" s="1" t="n">
        <v>289</v>
      </c>
      <c r="E711" s="1" t="n">
        <v>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1" t="n">
        <v>-7</v>
      </c>
      <c r="O711" s="1" t="n">
        <v>7.27446666666667</v>
      </c>
    </row>
    <row r="712" customFormat="false" ht="15.75" hidden="true" customHeight="false" outlineLevel="0" collapsed="false">
      <c r="A712" s="4" t="n">
        <v>45533</v>
      </c>
      <c r="B712" s="1" t="s">
        <v>88</v>
      </c>
      <c r="C712" s="1" t="s">
        <v>89</v>
      </c>
      <c r="D712" s="1" t="n">
        <v>264</v>
      </c>
      <c r="E712" s="1" t="n">
        <v>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1" t="n">
        <v>-11</v>
      </c>
      <c r="O712" s="1" t="n">
        <v>8.20988333333333</v>
      </c>
    </row>
    <row r="713" customFormat="false" ht="15.75" hidden="true" customHeight="false" outlineLevel="0" collapsed="false">
      <c r="A713" s="4" t="n">
        <v>45533</v>
      </c>
      <c r="B713" s="1" t="s">
        <v>95</v>
      </c>
      <c r="C713" s="1" t="s">
        <v>89</v>
      </c>
      <c r="D713" s="1" t="n">
        <v>247</v>
      </c>
      <c r="E713" s="1" t="n">
        <v>62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1" t="n">
        <v>-6</v>
      </c>
      <c r="O713" s="1" t="n">
        <v>21.3329333333333</v>
      </c>
    </row>
    <row r="714" customFormat="false" ht="15.75" hidden="true" customHeight="false" outlineLevel="0" collapsed="false">
      <c r="A714" s="4" t="n">
        <v>45533</v>
      </c>
      <c r="B714" s="1" t="s">
        <v>95</v>
      </c>
      <c r="C714" s="1" t="s">
        <v>89</v>
      </c>
      <c r="D714" s="1" t="n">
        <v>239</v>
      </c>
      <c r="E714" s="1" t="n">
        <v>55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1" t="n">
        <v>-6</v>
      </c>
      <c r="O714" s="1" t="n">
        <v>12.3996833333333</v>
      </c>
    </row>
    <row r="715" customFormat="false" ht="15.75" hidden="true" customHeight="false" outlineLevel="0" collapsed="false">
      <c r="A715" s="4" t="n">
        <v>45533</v>
      </c>
      <c r="B715" s="1" t="s">
        <v>103</v>
      </c>
      <c r="C715" s="1" t="s">
        <v>89</v>
      </c>
      <c r="D715" s="1" t="n">
        <v>264</v>
      </c>
      <c r="E715" s="1" t="n">
        <v>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1" t="n">
        <v>4</v>
      </c>
      <c r="O715" s="1" t="n">
        <v>11.49375</v>
      </c>
    </row>
    <row r="716" customFormat="false" ht="15.75" hidden="true" customHeight="false" outlineLevel="0" collapsed="false">
      <c r="A716" s="4" t="n">
        <v>45533</v>
      </c>
      <c r="B716" s="1" t="s">
        <v>103</v>
      </c>
      <c r="C716" s="1" t="s">
        <v>89</v>
      </c>
      <c r="D716" s="1" t="n">
        <v>264</v>
      </c>
      <c r="E716" s="1" t="n">
        <v>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1" t="n">
        <v>7</v>
      </c>
      <c r="O716" s="1" t="n">
        <v>14.4031333333333</v>
      </c>
    </row>
    <row r="717" customFormat="false" ht="15.75" hidden="true" customHeight="false" outlineLevel="0" collapsed="false">
      <c r="A717" s="4" t="n">
        <v>45533</v>
      </c>
      <c r="B717" s="1" t="s">
        <v>95</v>
      </c>
      <c r="C717" s="1" t="s">
        <v>89</v>
      </c>
      <c r="D717" s="1" t="n">
        <v>742</v>
      </c>
      <c r="E717" s="1" t="n">
        <v>185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1" t="n">
        <v>9</v>
      </c>
      <c r="O717" s="1" t="n">
        <v>34.13665</v>
      </c>
    </row>
    <row r="718" customFormat="false" ht="15.75" hidden="true" customHeight="false" outlineLevel="0" collapsed="false">
      <c r="A718" s="4" t="n">
        <v>45533</v>
      </c>
      <c r="B718" s="1" t="s">
        <v>95</v>
      </c>
      <c r="C718" s="1" t="s">
        <v>89</v>
      </c>
      <c r="D718" s="1" t="n">
        <v>248</v>
      </c>
      <c r="E718" s="1" t="n">
        <v>50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1" t="n">
        <v>1</v>
      </c>
      <c r="O718" s="1" t="n">
        <v>20.9954666666667</v>
      </c>
    </row>
    <row r="719" customFormat="false" ht="15.75" hidden="true" customHeight="false" outlineLevel="0" collapsed="false">
      <c r="A719" s="4" t="n">
        <v>45533</v>
      </c>
      <c r="B719" s="1" t="s">
        <v>107</v>
      </c>
      <c r="C719" s="1" t="s">
        <v>89</v>
      </c>
      <c r="D719" s="1" t="n">
        <v>593</v>
      </c>
      <c r="E719" s="1" t="n">
        <v>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1" t="n">
        <v>-9</v>
      </c>
      <c r="O719" s="1" t="n">
        <v>10.5444</v>
      </c>
    </row>
    <row r="720" customFormat="false" ht="15.75" hidden="true" customHeight="false" outlineLevel="0" collapsed="false">
      <c r="A720" s="4" t="n">
        <v>45533</v>
      </c>
      <c r="B720" s="1" t="s">
        <v>95</v>
      </c>
      <c r="C720" s="1" t="s">
        <v>89</v>
      </c>
      <c r="D720" s="1" t="n">
        <v>642</v>
      </c>
      <c r="E720" s="1" t="n">
        <v>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1" t="n">
        <v>13</v>
      </c>
      <c r="N720" s="1" t="n">
        <v>13.60045</v>
      </c>
      <c r="O720" s="1" t="n">
        <v>39.52985</v>
      </c>
    </row>
    <row r="721" customFormat="false" ht="15.75" hidden="true" customHeight="false" outlineLevel="0" collapsed="false">
      <c r="A721" s="4" t="n">
        <v>45533</v>
      </c>
      <c r="B721" s="1" t="s">
        <v>95</v>
      </c>
      <c r="C721" s="1" t="s">
        <v>89</v>
      </c>
      <c r="D721" s="1" t="n">
        <v>184</v>
      </c>
      <c r="E721" s="1" t="n">
        <v>65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1" t="n">
        <v>3</v>
      </c>
      <c r="O721" s="1" t="n">
        <v>21.8794333333333</v>
      </c>
    </row>
    <row r="722" customFormat="false" ht="15.75" hidden="true" customHeight="false" outlineLevel="0" collapsed="false">
      <c r="A722" s="4" t="n">
        <v>45533</v>
      </c>
      <c r="B722" s="1" t="s">
        <v>95</v>
      </c>
      <c r="C722" s="1" t="s">
        <v>89</v>
      </c>
      <c r="D722" s="1" t="n">
        <v>618</v>
      </c>
      <c r="E722" s="1" t="n">
        <v>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1" t="n">
        <v>33</v>
      </c>
      <c r="N722" s="1" t="n">
        <v>25.7093333333333</v>
      </c>
      <c r="O722" s="1" t="n">
        <v>39.0560833333333</v>
      </c>
    </row>
    <row r="723" customFormat="false" ht="15.75" hidden="true" customHeight="false" outlineLevel="0" collapsed="false">
      <c r="A723" s="4" t="n">
        <v>45533</v>
      </c>
      <c r="B723" s="1" t="s">
        <v>95</v>
      </c>
      <c r="C723" s="1" t="s">
        <v>89</v>
      </c>
      <c r="D723" s="1" t="n">
        <v>299</v>
      </c>
      <c r="E723" s="1" t="n">
        <v>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1" t="n">
        <v>-20</v>
      </c>
      <c r="N723" s="1" t="n">
        <v>0.00471666666666667</v>
      </c>
      <c r="O723" s="1" t="n">
        <v>10.3430666666667</v>
      </c>
    </row>
    <row r="724" customFormat="false" ht="15.75" hidden="true" customHeight="false" outlineLevel="0" collapsed="false">
      <c r="A724" s="4" t="n">
        <v>45533</v>
      </c>
      <c r="B724" s="1" t="s">
        <v>95</v>
      </c>
      <c r="C724" s="1" t="s">
        <v>89</v>
      </c>
      <c r="D724" s="1" t="n">
        <v>2257</v>
      </c>
      <c r="E724" s="1" t="n">
        <v>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1" t="n">
        <v>15</v>
      </c>
      <c r="N724" s="1" t="n">
        <v>30.8289166666667</v>
      </c>
      <c r="O724" s="1" t="n">
        <v>33.78765</v>
      </c>
    </row>
    <row r="725" customFormat="false" ht="15.75" hidden="true" customHeight="false" outlineLevel="0" collapsed="false">
      <c r="A725" s="4" t="n">
        <v>45533</v>
      </c>
      <c r="B725" s="1" t="s">
        <v>103</v>
      </c>
      <c r="C725" s="1" t="s">
        <v>89</v>
      </c>
      <c r="D725" s="1" t="n">
        <v>3960</v>
      </c>
      <c r="E725" s="1" t="n">
        <v>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1" t="n">
        <v>29</v>
      </c>
      <c r="O725" s="1" t="n">
        <v>50.3356666666667</v>
      </c>
    </row>
    <row r="726" customFormat="false" ht="15.75" hidden="true" customHeight="false" outlineLevel="0" collapsed="false">
      <c r="A726" s="4" t="n">
        <v>45533</v>
      </c>
      <c r="B726" s="1" t="s">
        <v>228</v>
      </c>
      <c r="C726" s="1" t="s">
        <v>89</v>
      </c>
      <c r="D726" s="1" t="n">
        <v>249</v>
      </c>
      <c r="E726" s="1" t="n">
        <v>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1" t="n">
        <v>7</v>
      </c>
      <c r="O726" s="1" t="n">
        <v>12.4812833333333</v>
      </c>
    </row>
    <row r="727" customFormat="false" ht="15.75" hidden="true" customHeight="false" outlineLevel="0" collapsed="false">
      <c r="A727" s="4" t="n">
        <v>45533</v>
      </c>
      <c r="B727" s="1" t="s">
        <v>88</v>
      </c>
      <c r="C727" s="1" t="s">
        <v>89</v>
      </c>
      <c r="D727" s="1" t="n">
        <v>987</v>
      </c>
      <c r="E727" s="1" t="n">
        <v>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1" t="n">
        <v>-4</v>
      </c>
      <c r="O727" s="1" t="n">
        <v>15.0362166666667</v>
      </c>
    </row>
    <row r="728" customFormat="false" ht="15.75" hidden="true" customHeight="false" outlineLevel="0" collapsed="false">
      <c r="A728" s="4" t="n">
        <v>45533</v>
      </c>
      <c r="B728" s="1" t="s">
        <v>95</v>
      </c>
      <c r="C728" s="1" t="s">
        <v>89</v>
      </c>
      <c r="D728" s="1" t="n">
        <v>167</v>
      </c>
      <c r="E728" s="1" t="n">
        <v>42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1" t="n">
        <v>1</v>
      </c>
      <c r="O728" s="1" t="n">
        <v>84.0595666666667</v>
      </c>
    </row>
    <row r="729" customFormat="false" ht="15.75" hidden="true" customHeight="false" outlineLevel="0" collapsed="false">
      <c r="A729" s="4" t="n">
        <v>45533</v>
      </c>
      <c r="B729" s="1" t="s">
        <v>95</v>
      </c>
      <c r="C729" s="1" t="s">
        <v>89</v>
      </c>
      <c r="D729" s="1" t="n">
        <v>275</v>
      </c>
      <c r="E729" s="1" t="n">
        <v>69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1" t="n">
        <v>0</v>
      </c>
      <c r="O729" s="1" t="n">
        <v>278.2114</v>
      </c>
    </row>
    <row r="730" customFormat="false" ht="15.75" hidden="true" customHeight="false" outlineLevel="0" collapsed="false">
      <c r="A730" s="4" t="n">
        <v>45534</v>
      </c>
      <c r="B730" s="1" t="s">
        <v>88</v>
      </c>
      <c r="C730" s="1" t="s">
        <v>89</v>
      </c>
      <c r="D730" s="1" t="n">
        <v>528</v>
      </c>
      <c r="E730" s="1" t="n">
        <v>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1" t="n">
        <v>-11</v>
      </c>
      <c r="O730" s="1" t="n">
        <v>8.73836666666667</v>
      </c>
    </row>
    <row r="731" customFormat="false" ht="15.75" hidden="true" customHeight="false" outlineLevel="0" collapsed="false">
      <c r="A731" s="4" t="n">
        <v>45534</v>
      </c>
      <c r="B731" s="1" t="s">
        <v>95</v>
      </c>
      <c r="C731" s="1" t="s">
        <v>89</v>
      </c>
      <c r="D731" s="1" t="n">
        <v>518</v>
      </c>
      <c r="E731" s="1" t="n">
        <v>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1" t="n">
        <v>6</v>
      </c>
      <c r="N731" s="1" t="n">
        <v>14.1949666666667</v>
      </c>
      <c r="O731" s="1" t="n">
        <v>8.39391666666667</v>
      </c>
    </row>
    <row r="732" customFormat="false" ht="15.75" hidden="true" customHeight="false" outlineLevel="0" collapsed="false">
      <c r="A732" s="4" t="n">
        <v>45534</v>
      </c>
      <c r="B732" s="1" t="s">
        <v>95</v>
      </c>
      <c r="C732" s="1" t="s">
        <v>104</v>
      </c>
      <c r="D732" s="1" t="n">
        <v>199</v>
      </c>
      <c r="E732" s="1" t="n">
        <v>50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1" t="n">
        <v>-9</v>
      </c>
      <c r="O732" s="1" t="n">
        <v>29.6851666666667</v>
      </c>
    </row>
    <row r="733" customFormat="false" ht="15.75" hidden="false" customHeight="false" outlineLevel="0" collapsed="false">
      <c r="A733" s="4" t="n">
        <v>45534</v>
      </c>
      <c r="B733" s="1" t="s">
        <v>103</v>
      </c>
      <c r="C733" s="1" t="s">
        <v>104</v>
      </c>
      <c r="D733" s="1" t="n">
        <v>394</v>
      </c>
      <c r="E733" s="1" t="n">
        <v>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1" t="n">
        <v>0</v>
      </c>
      <c r="O733" s="1" t="n">
        <v>7.64438333333333</v>
      </c>
    </row>
    <row r="734" customFormat="false" ht="15.75" hidden="true" customHeight="false" outlineLevel="0" collapsed="false">
      <c r="A734" s="4" t="n">
        <v>45534</v>
      </c>
      <c r="B734" s="1" t="s">
        <v>95</v>
      </c>
      <c r="C734" s="1" t="s">
        <v>104</v>
      </c>
      <c r="D734" s="1" t="n">
        <v>214</v>
      </c>
      <c r="E734" s="1" t="n">
        <v>95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1" t="n">
        <v>-9</v>
      </c>
      <c r="O734" s="1" t="n">
        <v>9.89796666666667</v>
      </c>
    </row>
    <row r="735" customFormat="false" ht="15.75" hidden="true" customHeight="false" outlineLevel="0" collapsed="false">
      <c r="A735" s="4" t="n">
        <v>45534</v>
      </c>
      <c r="B735" s="1" t="s">
        <v>95</v>
      </c>
      <c r="C735" s="1" t="s">
        <v>89</v>
      </c>
      <c r="D735" s="1" t="n">
        <v>416</v>
      </c>
      <c r="E735" s="1" t="n">
        <v>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1" t="n">
        <v>-12</v>
      </c>
      <c r="N735" s="1" t="n">
        <v>0.0127</v>
      </c>
      <c r="O735" s="1" t="n">
        <v>9.88723333333333</v>
      </c>
    </row>
    <row r="736" customFormat="false" ht="15.75" hidden="true" customHeight="false" outlineLevel="0" collapsed="false">
      <c r="A736" s="4" t="n">
        <v>45534</v>
      </c>
      <c r="B736" s="1" t="s">
        <v>107</v>
      </c>
      <c r="C736" s="1" t="s">
        <v>104</v>
      </c>
      <c r="D736" s="1" t="n">
        <v>394</v>
      </c>
      <c r="E736" s="1" t="n">
        <v>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1" t="n">
        <v>-3</v>
      </c>
      <c r="O736" s="1" t="n">
        <v>11.4392333333333</v>
      </c>
    </row>
    <row r="737" customFormat="false" ht="15.75" hidden="true" customHeight="false" outlineLevel="0" collapsed="false">
      <c r="A737" s="4" t="n">
        <v>45534</v>
      </c>
      <c r="B737" s="1" t="s">
        <v>95</v>
      </c>
      <c r="C737" s="1" t="s">
        <v>104</v>
      </c>
      <c r="D737" s="1" t="n">
        <v>569</v>
      </c>
      <c r="E737" s="1" t="n">
        <v>163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1" t="n">
        <v>-15</v>
      </c>
      <c r="O737" s="1" t="n">
        <v>42.5069</v>
      </c>
    </row>
    <row r="738" customFormat="false" ht="15.75" hidden="false" customHeight="false" outlineLevel="0" collapsed="false">
      <c r="A738" s="4" t="n">
        <v>45534</v>
      </c>
      <c r="B738" s="1" t="s">
        <v>103</v>
      </c>
      <c r="C738" s="1" t="s">
        <v>104</v>
      </c>
      <c r="D738" s="1" t="n">
        <v>313</v>
      </c>
      <c r="E738" s="1" t="n">
        <v>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1" t="n">
        <v>1</v>
      </c>
      <c r="O738" s="1" t="n">
        <v>8.49015</v>
      </c>
    </row>
    <row r="739" customFormat="false" ht="15.75" hidden="true" customHeight="false" outlineLevel="0" collapsed="false">
      <c r="A739" s="4" t="n">
        <v>45534</v>
      </c>
      <c r="B739" s="1" t="s">
        <v>88</v>
      </c>
      <c r="C739" s="1" t="s">
        <v>89</v>
      </c>
      <c r="D739" s="1" t="n">
        <v>413</v>
      </c>
      <c r="E739" s="1" t="n">
        <v>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1" t="n">
        <v>-5</v>
      </c>
      <c r="O739" s="1" t="n">
        <v>9.48001666666667</v>
      </c>
    </row>
    <row r="740" customFormat="false" ht="15.75" hidden="false" customHeight="false" outlineLevel="0" collapsed="false">
      <c r="A740" s="4" t="n">
        <v>45534</v>
      </c>
      <c r="B740" s="1" t="s">
        <v>103</v>
      </c>
      <c r="C740" s="1" t="s">
        <v>104</v>
      </c>
      <c r="D740" s="1" t="n">
        <v>578</v>
      </c>
      <c r="E740" s="1" t="n">
        <v>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1" t="n">
        <v>5</v>
      </c>
      <c r="O740" s="1" t="n">
        <v>14.4203</v>
      </c>
    </row>
    <row r="741" customFormat="false" ht="15.75" hidden="true" customHeight="false" outlineLevel="0" collapsed="false">
      <c r="A741" s="4" t="n">
        <v>45534</v>
      </c>
      <c r="B741" s="1" t="s">
        <v>107</v>
      </c>
      <c r="C741" s="1" t="s">
        <v>104</v>
      </c>
      <c r="D741" s="1" t="n">
        <v>264</v>
      </c>
      <c r="E741" s="1" t="n">
        <v>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1" t="n">
        <v>-8</v>
      </c>
      <c r="O741" s="1" t="n">
        <v>6.80848333333333</v>
      </c>
    </row>
    <row r="742" customFormat="false" ht="15.75" hidden="false" customHeight="false" outlineLevel="0" collapsed="false">
      <c r="A742" s="4" t="n">
        <v>45534</v>
      </c>
      <c r="B742" s="1" t="s">
        <v>103</v>
      </c>
      <c r="C742" s="1" t="s">
        <v>104</v>
      </c>
      <c r="D742" s="1" t="n">
        <v>346</v>
      </c>
      <c r="E742" s="1" t="n">
        <v>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1" t="n">
        <v>-2</v>
      </c>
      <c r="O742" s="1" t="n">
        <v>5.58978333333333</v>
      </c>
    </row>
    <row r="743" customFormat="false" ht="15.75" hidden="true" customHeight="false" outlineLevel="0" collapsed="false">
      <c r="A743" s="4" t="n">
        <v>45534</v>
      </c>
      <c r="B743" s="1" t="s">
        <v>88</v>
      </c>
      <c r="C743" s="1" t="s">
        <v>89</v>
      </c>
      <c r="D743" s="1" t="n">
        <v>698</v>
      </c>
      <c r="E743" s="1" t="n">
        <v>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1" t="n">
        <v>-5</v>
      </c>
      <c r="O743" s="1" t="n">
        <v>14.7874833333333</v>
      </c>
    </row>
    <row r="744" customFormat="false" ht="15.75" hidden="false" customHeight="false" outlineLevel="0" collapsed="false">
      <c r="A744" s="4" t="n">
        <v>45534</v>
      </c>
      <c r="B744" s="1" t="s">
        <v>103</v>
      </c>
      <c r="C744" s="1" t="s">
        <v>104</v>
      </c>
      <c r="D744" s="1" t="n">
        <v>429</v>
      </c>
      <c r="E744" s="1" t="n">
        <v>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1" t="n">
        <v>-1</v>
      </c>
      <c r="O744" s="1" t="n">
        <v>6.23145</v>
      </c>
    </row>
    <row r="745" customFormat="false" ht="15.75" hidden="false" customHeight="false" outlineLevel="0" collapsed="false">
      <c r="A745" s="4" t="n">
        <v>45534</v>
      </c>
      <c r="B745" s="1" t="s">
        <v>103</v>
      </c>
      <c r="C745" s="1" t="s">
        <v>104</v>
      </c>
      <c r="D745" s="1" t="n">
        <v>356</v>
      </c>
      <c r="E745" s="1" t="n">
        <v>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1" t="n">
        <v>-1</v>
      </c>
      <c r="O745" s="1" t="n">
        <v>5.9687</v>
      </c>
    </row>
    <row r="746" customFormat="false" ht="15.75" hidden="true" customHeight="false" outlineLevel="0" collapsed="false">
      <c r="A746" s="4" t="n">
        <v>45534</v>
      </c>
      <c r="B746" s="1" t="s">
        <v>88</v>
      </c>
      <c r="C746" s="1" t="s">
        <v>89</v>
      </c>
      <c r="D746" s="1" t="n">
        <v>1673</v>
      </c>
      <c r="E746" s="1" t="n">
        <v>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1" t="n">
        <v>-2</v>
      </c>
      <c r="O746" s="1" t="n">
        <v>17.9238833333333</v>
      </c>
    </row>
    <row r="747" customFormat="false" ht="15.75" hidden="true" customHeight="false" outlineLevel="0" collapsed="false">
      <c r="A747" s="4" t="n">
        <v>45534</v>
      </c>
      <c r="B747" s="1" t="s">
        <v>88</v>
      </c>
      <c r="C747" s="1" t="s">
        <v>89</v>
      </c>
      <c r="D747" s="1" t="n">
        <v>264</v>
      </c>
      <c r="E747" s="1" t="n">
        <v>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1" t="n">
        <v>-9</v>
      </c>
      <c r="O747" s="1" t="n">
        <v>5.79178333333333</v>
      </c>
    </row>
    <row r="748" customFormat="false" ht="15.75" hidden="true" customHeight="false" outlineLevel="0" collapsed="false">
      <c r="A748" s="4" t="n">
        <v>45534</v>
      </c>
      <c r="B748" s="1" t="s">
        <v>88</v>
      </c>
      <c r="C748" s="1" t="s">
        <v>89</v>
      </c>
      <c r="D748" s="1" t="n">
        <v>528</v>
      </c>
      <c r="E748" s="1" t="n">
        <v>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1" t="n">
        <v>-11</v>
      </c>
      <c r="O748" s="1" t="n">
        <v>8.63938333333333</v>
      </c>
    </row>
    <row r="749" customFormat="false" ht="15.75" hidden="true" customHeight="false" outlineLevel="0" collapsed="false">
      <c r="A749" s="4" t="n">
        <v>45534</v>
      </c>
      <c r="B749" s="1" t="s">
        <v>103</v>
      </c>
      <c r="C749" s="1" t="s">
        <v>104</v>
      </c>
      <c r="D749" s="1" t="n">
        <v>299</v>
      </c>
      <c r="E749" s="1" t="n">
        <v>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1" t="n">
        <v>4</v>
      </c>
      <c r="O749" s="1" t="n">
        <v>11.2713666666667</v>
      </c>
    </row>
    <row r="750" customFormat="false" ht="15.75" hidden="true" customHeight="false" outlineLevel="0" collapsed="false">
      <c r="A750" s="4" t="n">
        <v>45534</v>
      </c>
      <c r="B750" s="1" t="s">
        <v>88</v>
      </c>
      <c r="C750" s="1" t="s">
        <v>89</v>
      </c>
      <c r="D750" s="1" t="n">
        <v>258</v>
      </c>
      <c r="E750" s="1" t="n">
        <v>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1" t="n">
        <v>-3</v>
      </c>
      <c r="O750" s="1" t="n">
        <v>11.96275</v>
      </c>
    </row>
    <row r="751" customFormat="false" ht="15.75" hidden="true" customHeight="false" outlineLevel="0" collapsed="false">
      <c r="A751" s="4" t="n">
        <v>45534</v>
      </c>
      <c r="B751" s="1" t="s">
        <v>95</v>
      </c>
      <c r="C751" s="1" t="s">
        <v>89</v>
      </c>
      <c r="D751" s="1" t="n">
        <v>368</v>
      </c>
      <c r="E751" s="1" t="n">
        <v>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1" t="n">
        <v>-9</v>
      </c>
      <c r="N751" s="1" t="n">
        <v>0.0135</v>
      </c>
      <c r="O751" s="1" t="n">
        <v>7.81235</v>
      </c>
    </row>
    <row r="752" customFormat="false" ht="15.75" hidden="false" customHeight="false" outlineLevel="0" collapsed="false">
      <c r="A752" s="4" t="n">
        <v>45534</v>
      </c>
      <c r="B752" s="1" t="s">
        <v>103</v>
      </c>
      <c r="C752" s="1" t="s">
        <v>104</v>
      </c>
      <c r="D752" s="1" t="n">
        <v>424</v>
      </c>
      <c r="E752" s="1" t="n">
        <v>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1" t="n">
        <v>2</v>
      </c>
      <c r="O752" s="1" t="n">
        <v>10.09455</v>
      </c>
    </row>
    <row r="753" customFormat="false" ht="15.75" hidden="true" customHeight="false" outlineLevel="0" collapsed="false">
      <c r="A753" s="4" t="n">
        <v>45534</v>
      </c>
      <c r="B753" s="1" t="s">
        <v>88</v>
      </c>
      <c r="C753" s="1" t="s">
        <v>89</v>
      </c>
      <c r="D753" s="1" t="n">
        <v>179</v>
      </c>
      <c r="E753" s="1" t="n">
        <v>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1" t="n">
        <v>-6</v>
      </c>
      <c r="O753" s="1" t="n">
        <v>8.31265</v>
      </c>
    </row>
    <row r="754" customFormat="false" ht="15.75" hidden="true" customHeight="false" outlineLevel="0" collapsed="false">
      <c r="A754" s="4" t="n">
        <v>45534</v>
      </c>
      <c r="B754" s="1" t="s">
        <v>107</v>
      </c>
      <c r="C754" s="1" t="s">
        <v>104</v>
      </c>
      <c r="D754" s="1" t="n">
        <v>313</v>
      </c>
      <c r="E754" s="1" t="n">
        <v>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1" t="n">
        <v>-6</v>
      </c>
      <c r="O754" s="1" t="n">
        <v>8.38886666666667</v>
      </c>
    </row>
    <row r="755" customFormat="false" ht="15.75" hidden="true" customHeight="false" outlineLevel="0" collapsed="false">
      <c r="A755" s="4" t="n">
        <v>45534</v>
      </c>
      <c r="B755" s="1" t="s">
        <v>88</v>
      </c>
      <c r="C755" s="1" t="s">
        <v>89</v>
      </c>
      <c r="D755" s="1" t="n">
        <v>264</v>
      </c>
      <c r="E755" s="1" t="n">
        <v>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1" t="n">
        <v>3</v>
      </c>
      <c r="O755" s="1" t="n">
        <v>18.82855</v>
      </c>
    </row>
    <row r="756" customFormat="false" ht="15.75" hidden="true" customHeight="false" outlineLevel="0" collapsed="false">
      <c r="A756" s="4" t="n">
        <v>45534</v>
      </c>
      <c r="B756" s="1" t="s">
        <v>107</v>
      </c>
      <c r="C756" s="1" t="s">
        <v>104</v>
      </c>
      <c r="D756" s="1" t="n">
        <v>409</v>
      </c>
      <c r="E756" s="1" t="n">
        <v>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1" t="n">
        <v>-7</v>
      </c>
      <c r="O756" s="1" t="n">
        <v>7.4282</v>
      </c>
    </row>
    <row r="757" customFormat="false" ht="15.75" hidden="true" customHeight="false" outlineLevel="0" collapsed="false">
      <c r="A757" s="4" t="n">
        <v>45534</v>
      </c>
      <c r="B757" s="1" t="s">
        <v>228</v>
      </c>
      <c r="C757" s="1" t="s">
        <v>89</v>
      </c>
      <c r="D757" s="1" t="n">
        <v>498</v>
      </c>
      <c r="E757" s="1" t="n">
        <v>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1" t="n">
        <v>2</v>
      </c>
      <c r="O757" s="1" t="n">
        <v>7.26823333333333</v>
      </c>
    </row>
    <row r="758" customFormat="false" ht="15.75" hidden="true" customHeight="false" outlineLevel="0" collapsed="false">
      <c r="A758" s="4" t="n">
        <v>45534</v>
      </c>
      <c r="B758" s="1" t="s">
        <v>95</v>
      </c>
      <c r="C758" s="1" t="s">
        <v>104</v>
      </c>
      <c r="D758" s="1" t="n">
        <v>280</v>
      </c>
      <c r="E758" s="1" t="n">
        <v>104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1" t="n">
        <v>-4</v>
      </c>
      <c r="O758" s="1" t="n">
        <v>105.089083333333</v>
      </c>
    </row>
    <row r="759" customFormat="false" ht="15.75" hidden="true" customHeight="false" outlineLevel="0" collapsed="false">
      <c r="A759" s="4" t="n">
        <v>45534</v>
      </c>
      <c r="B759" s="1" t="s">
        <v>95</v>
      </c>
      <c r="C759" s="1" t="s">
        <v>89</v>
      </c>
      <c r="D759" s="1" t="n">
        <v>215</v>
      </c>
      <c r="E759" s="1" t="n">
        <v>54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1" t="n">
        <v>-11</v>
      </c>
      <c r="O759" s="1" t="n">
        <v>7.12083333333333</v>
      </c>
    </row>
    <row r="760" customFormat="false" ht="15.75" hidden="true" customHeight="false" outlineLevel="0" collapsed="false">
      <c r="A760" s="4" t="n">
        <v>45534</v>
      </c>
      <c r="B760" s="1" t="s">
        <v>88</v>
      </c>
      <c r="C760" s="1" t="s">
        <v>89</v>
      </c>
      <c r="D760" s="1" t="n">
        <v>294</v>
      </c>
      <c r="E760" s="1" t="n">
        <v>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1" t="n">
        <v>-6</v>
      </c>
      <c r="O760" s="1" t="n">
        <v>8.24133333333333</v>
      </c>
    </row>
    <row r="761" customFormat="false" ht="15.75" hidden="false" customHeight="false" outlineLevel="0" collapsed="false">
      <c r="A761" s="4" t="n">
        <v>45534</v>
      </c>
      <c r="B761" s="1" t="s">
        <v>103</v>
      </c>
      <c r="C761" s="1" t="s">
        <v>104</v>
      </c>
      <c r="D761" s="1" t="n">
        <v>329</v>
      </c>
      <c r="E761" s="1" t="n">
        <v>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1" t="n">
        <v>-1</v>
      </c>
      <c r="O761" s="1" t="n">
        <v>5.63851666666667</v>
      </c>
    </row>
    <row r="762" customFormat="false" ht="15.75" hidden="false" customHeight="false" outlineLevel="0" collapsed="false">
      <c r="A762" s="4" t="n">
        <v>45534</v>
      </c>
      <c r="B762" s="1" t="s">
        <v>103</v>
      </c>
      <c r="C762" s="1" t="s">
        <v>89</v>
      </c>
      <c r="D762" s="1" t="n">
        <v>289</v>
      </c>
      <c r="E762" s="1" t="n">
        <v>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1" t="n">
        <v>-2</v>
      </c>
      <c r="O762" s="1" t="n">
        <v>5.83153333333333</v>
      </c>
    </row>
    <row r="763" customFormat="false" ht="15.75" hidden="false" customHeight="false" outlineLevel="0" collapsed="false">
      <c r="A763" s="4" t="n">
        <v>45534</v>
      </c>
      <c r="B763" s="1" t="s">
        <v>103</v>
      </c>
      <c r="C763" s="1" t="s">
        <v>89</v>
      </c>
      <c r="D763" s="1" t="n">
        <v>329</v>
      </c>
      <c r="E763" s="1" t="n">
        <v>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1" t="n">
        <v>0</v>
      </c>
      <c r="O763" s="1" t="n">
        <v>7.40168333333333</v>
      </c>
    </row>
    <row r="764" customFormat="false" ht="15.75" hidden="false" customHeight="false" outlineLevel="0" collapsed="false">
      <c r="A764" s="4" t="n">
        <v>45534</v>
      </c>
      <c r="B764" s="1" t="s">
        <v>103</v>
      </c>
      <c r="C764" s="1" t="s">
        <v>89</v>
      </c>
      <c r="D764" s="1" t="n">
        <v>264</v>
      </c>
      <c r="E764" s="1" t="n">
        <v>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1" t="n">
        <v>0</v>
      </c>
      <c r="O764" s="1" t="n">
        <v>5.8038</v>
      </c>
    </row>
    <row r="765" customFormat="false" ht="15.75" hidden="true" customHeight="false" outlineLevel="0" collapsed="false">
      <c r="A765" s="4" t="n">
        <v>45534</v>
      </c>
      <c r="B765" s="1" t="s">
        <v>88</v>
      </c>
      <c r="C765" s="1" t="s">
        <v>89</v>
      </c>
      <c r="D765" s="1" t="n">
        <v>129</v>
      </c>
      <c r="E765" s="1" t="n">
        <v>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1" t="n">
        <v>-2</v>
      </c>
      <c r="O765" s="1" t="n">
        <v>12.3847666666667</v>
      </c>
    </row>
    <row r="766" customFormat="false" ht="15.75" hidden="true" customHeight="false" outlineLevel="0" collapsed="false">
      <c r="A766" s="4" t="n">
        <v>45534</v>
      </c>
      <c r="B766" s="1" t="s">
        <v>88</v>
      </c>
      <c r="C766" s="1" t="s">
        <v>89</v>
      </c>
      <c r="D766" s="1" t="n">
        <v>364</v>
      </c>
      <c r="E766" s="1" t="n">
        <v>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1" t="n">
        <v>-8</v>
      </c>
      <c r="O766" s="1" t="n">
        <v>6.39026666666667</v>
      </c>
    </row>
    <row r="767" customFormat="false" ht="15.75" hidden="true" customHeight="false" outlineLevel="0" collapsed="false">
      <c r="A767" s="4" t="n">
        <v>45534</v>
      </c>
      <c r="B767" s="1" t="s">
        <v>103</v>
      </c>
      <c r="C767" s="1" t="s">
        <v>104</v>
      </c>
      <c r="D767" s="1" t="n">
        <v>279</v>
      </c>
      <c r="E767" s="1" t="n">
        <v>100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1" t="n">
        <v>0</v>
      </c>
      <c r="O767" s="1" t="n">
        <v>7.40663333333333</v>
      </c>
    </row>
    <row r="768" customFormat="false" ht="15.75" hidden="true" customHeight="false" outlineLevel="0" collapsed="false">
      <c r="A768" s="4" t="n">
        <v>45534</v>
      </c>
      <c r="B768" s="1" t="s">
        <v>88</v>
      </c>
      <c r="C768" s="1" t="s">
        <v>89</v>
      </c>
      <c r="D768" s="1" t="n">
        <v>329</v>
      </c>
      <c r="E768" s="1" t="n">
        <v>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1" t="n">
        <v>-4</v>
      </c>
      <c r="O768" s="1" t="n">
        <v>10.5541166666667</v>
      </c>
    </row>
    <row r="769" customFormat="false" ht="15.75" hidden="true" customHeight="false" outlineLevel="0" collapsed="false">
      <c r="A769" s="4" t="n">
        <v>45534</v>
      </c>
      <c r="B769" s="1" t="s">
        <v>95</v>
      </c>
      <c r="C769" s="1" t="s">
        <v>89</v>
      </c>
      <c r="D769" s="1" t="n">
        <v>213</v>
      </c>
      <c r="E769" s="1" t="n">
        <v>53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1" t="n">
        <v>-10</v>
      </c>
      <c r="O769" s="1" t="n">
        <v>14.0494666666667</v>
      </c>
    </row>
    <row r="770" customFormat="false" ht="15.75" hidden="true" customHeight="false" outlineLevel="0" collapsed="false">
      <c r="A770" s="4" t="n">
        <v>45534</v>
      </c>
      <c r="B770" s="1" t="s">
        <v>95</v>
      </c>
      <c r="C770" s="1" t="s">
        <v>89</v>
      </c>
      <c r="D770" s="1" t="n">
        <v>562</v>
      </c>
      <c r="E770" s="1" t="n">
        <v>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1" t="n">
        <v>-10</v>
      </c>
      <c r="N770" s="1" t="n">
        <v>0.0111333333333333</v>
      </c>
      <c r="O770" s="1" t="n">
        <v>18.3896</v>
      </c>
    </row>
    <row r="771" customFormat="false" ht="15.75" hidden="false" customHeight="false" outlineLevel="0" collapsed="false">
      <c r="A771" s="4" t="n">
        <v>45534</v>
      </c>
      <c r="B771" s="1" t="s">
        <v>103</v>
      </c>
      <c r="C771" s="1" t="s">
        <v>104</v>
      </c>
      <c r="D771" s="1" t="n">
        <v>394</v>
      </c>
      <c r="E771" s="1" t="n">
        <v>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1" t="n">
        <v>1</v>
      </c>
      <c r="O771" s="1" t="n">
        <v>9.7269</v>
      </c>
    </row>
    <row r="772" customFormat="false" ht="15.75" hidden="true" customHeight="false" outlineLevel="0" collapsed="false">
      <c r="A772" s="4" t="n">
        <v>45534</v>
      </c>
      <c r="B772" s="1" t="s">
        <v>228</v>
      </c>
      <c r="C772" s="1" t="s">
        <v>89</v>
      </c>
      <c r="D772" s="1" t="n">
        <v>309</v>
      </c>
      <c r="E772" s="1" t="n">
        <v>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1" t="n">
        <v>2</v>
      </c>
      <c r="O772" s="1" t="n">
        <v>7.35981666666667</v>
      </c>
    </row>
    <row r="773" customFormat="false" ht="15.75" hidden="true" customHeight="false" outlineLevel="0" collapsed="false">
      <c r="A773" s="4" t="n">
        <v>45534</v>
      </c>
      <c r="B773" s="1" t="s">
        <v>107</v>
      </c>
      <c r="C773" s="1" t="s">
        <v>104</v>
      </c>
      <c r="D773" s="1" t="n">
        <v>394</v>
      </c>
      <c r="E773" s="1" t="n">
        <v>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1" t="n">
        <v>-2</v>
      </c>
      <c r="O773" s="1" t="n">
        <v>12.2887666666667</v>
      </c>
    </row>
    <row r="774" customFormat="false" ht="15.75" hidden="true" customHeight="false" outlineLevel="0" collapsed="false">
      <c r="A774" s="4" t="n">
        <v>45534</v>
      </c>
      <c r="B774" s="1" t="s">
        <v>95</v>
      </c>
      <c r="C774" s="1" t="s">
        <v>89</v>
      </c>
      <c r="D774" s="1" t="n">
        <v>781</v>
      </c>
      <c r="E774" s="1" t="n">
        <v>195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1" t="n">
        <v>-7</v>
      </c>
      <c r="O774" s="1" t="n">
        <v>16.5571833333333</v>
      </c>
    </row>
    <row r="775" customFormat="false" ht="15.75" hidden="false" customHeight="false" outlineLevel="0" collapsed="false">
      <c r="A775" s="4" t="n">
        <v>45534</v>
      </c>
      <c r="B775" s="1" t="s">
        <v>103</v>
      </c>
      <c r="C775" s="1" t="s">
        <v>104</v>
      </c>
      <c r="D775" s="1" t="n">
        <v>184</v>
      </c>
      <c r="E775" s="1" t="n">
        <v>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1" t="n">
        <v>1</v>
      </c>
      <c r="O775" s="1" t="n">
        <v>7.00636666666667</v>
      </c>
    </row>
    <row r="776" customFormat="false" ht="15.75" hidden="true" customHeight="false" outlineLevel="0" collapsed="false">
      <c r="A776" s="4" t="n">
        <v>45534</v>
      </c>
      <c r="B776" s="1" t="s">
        <v>228</v>
      </c>
      <c r="C776" s="1" t="s">
        <v>89</v>
      </c>
      <c r="D776" s="1" t="n">
        <v>249</v>
      </c>
      <c r="E776" s="1" t="n">
        <v>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1" t="n">
        <v>2</v>
      </c>
      <c r="O776" s="1" t="n">
        <v>7.25781666666667</v>
      </c>
    </row>
    <row r="777" customFormat="false" ht="15.75" hidden="true" customHeight="false" outlineLevel="0" collapsed="false">
      <c r="A777" s="4" t="n">
        <v>45534</v>
      </c>
      <c r="B777" s="1" t="s">
        <v>88</v>
      </c>
      <c r="C777" s="1" t="s">
        <v>89</v>
      </c>
      <c r="D777" s="1" t="n">
        <v>618</v>
      </c>
      <c r="E777" s="1" t="n">
        <v>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1" t="n">
        <v>-7</v>
      </c>
      <c r="O777" s="1" t="n">
        <v>12.3212166666667</v>
      </c>
    </row>
    <row r="778" customFormat="false" ht="15.75" hidden="true" customHeight="false" outlineLevel="0" collapsed="false">
      <c r="A778" s="4" t="n">
        <v>45534</v>
      </c>
      <c r="B778" s="1" t="s">
        <v>88</v>
      </c>
      <c r="C778" s="1" t="s">
        <v>89</v>
      </c>
      <c r="D778" s="1" t="n">
        <v>329</v>
      </c>
      <c r="E778" s="1" t="n">
        <v>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1" t="n">
        <v>-3</v>
      </c>
      <c r="O778" s="1" t="n">
        <v>11.3098833333333</v>
      </c>
    </row>
    <row r="779" customFormat="false" ht="15.75" hidden="true" customHeight="false" outlineLevel="0" collapsed="false">
      <c r="A779" s="4" t="n">
        <v>45534</v>
      </c>
      <c r="B779" s="1" t="s">
        <v>95</v>
      </c>
      <c r="C779" s="1" t="s">
        <v>89</v>
      </c>
      <c r="D779" s="1" t="n">
        <v>398</v>
      </c>
      <c r="E779" s="1" t="n">
        <v>100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1" t="n">
        <v>-10</v>
      </c>
      <c r="O779" s="1" t="n">
        <v>8.134</v>
      </c>
    </row>
    <row r="780" customFormat="false" ht="15.75" hidden="true" customHeight="false" outlineLevel="0" collapsed="false">
      <c r="A780" s="4" t="n">
        <v>45534</v>
      </c>
      <c r="B780" s="1" t="s">
        <v>95</v>
      </c>
      <c r="C780" s="1" t="s">
        <v>89</v>
      </c>
      <c r="D780" s="1" t="n">
        <v>418</v>
      </c>
      <c r="E780" s="1" t="n">
        <v>100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1" t="n">
        <v>-11</v>
      </c>
      <c r="O780" s="1" t="n">
        <v>7.10458333333333</v>
      </c>
    </row>
    <row r="781" customFormat="false" ht="15.75" hidden="true" customHeight="false" outlineLevel="0" collapsed="false">
      <c r="A781" s="4" t="n">
        <v>45534</v>
      </c>
      <c r="B781" s="1" t="s">
        <v>95</v>
      </c>
      <c r="C781" s="1" t="s">
        <v>89</v>
      </c>
      <c r="D781" s="1" t="n">
        <v>547</v>
      </c>
      <c r="E781" s="1" t="n">
        <v>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1" t="n">
        <v>-12</v>
      </c>
      <c r="N781" s="1" t="n">
        <v>0.00971666666666667</v>
      </c>
      <c r="O781" s="1" t="n">
        <v>8.0084</v>
      </c>
    </row>
    <row r="782" customFormat="false" ht="15.75" hidden="true" customHeight="false" outlineLevel="0" collapsed="false">
      <c r="A782" s="4" t="n">
        <v>45534</v>
      </c>
      <c r="B782" s="1" t="s">
        <v>88</v>
      </c>
      <c r="C782" s="1" t="s">
        <v>89</v>
      </c>
      <c r="D782" s="1" t="n">
        <v>264</v>
      </c>
      <c r="E782" s="1" t="n">
        <v>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1" t="n">
        <v>-6</v>
      </c>
      <c r="O782" s="1" t="n">
        <v>8.74213333333333</v>
      </c>
    </row>
    <row r="783" customFormat="false" ht="15.75" hidden="false" customHeight="false" outlineLevel="0" collapsed="false">
      <c r="A783" s="4" t="n">
        <v>45534</v>
      </c>
      <c r="B783" s="1" t="s">
        <v>103</v>
      </c>
      <c r="C783" s="1" t="s">
        <v>104</v>
      </c>
      <c r="D783" s="1" t="n">
        <v>728</v>
      </c>
      <c r="E783" s="1" t="n">
        <v>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1" t="n">
        <v>-3</v>
      </c>
      <c r="O783" s="1" t="n">
        <v>6.59778333333333</v>
      </c>
    </row>
    <row r="784" customFormat="false" ht="15.75" hidden="true" customHeight="false" outlineLevel="0" collapsed="false">
      <c r="A784" s="4" t="n">
        <v>45534</v>
      </c>
      <c r="B784" s="1" t="s">
        <v>88</v>
      </c>
      <c r="C784" s="1" t="s">
        <v>89</v>
      </c>
      <c r="D784" s="1" t="n">
        <v>364</v>
      </c>
      <c r="E784" s="1" t="n">
        <v>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1" t="n">
        <v>-8</v>
      </c>
      <c r="O784" s="1" t="n">
        <v>6.97858333333333</v>
      </c>
    </row>
    <row r="785" customFormat="false" ht="15.75" hidden="true" customHeight="false" outlineLevel="0" collapsed="false">
      <c r="A785" s="4" t="n">
        <v>45534</v>
      </c>
      <c r="B785" s="1" t="s">
        <v>95</v>
      </c>
      <c r="C785" s="1" t="s">
        <v>89</v>
      </c>
      <c r="D785" s="1" t="n">
        <v>167</v>
      </c>
      <c r="E785" s="1" t="n">
        <v>42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1" t="n">
        <v>-11</v>
      </c>
      <c r="O785" s="1" t="n">
        <v>7.18853333333333</v>
      </c>
    </row>
    <row r="786" customFormat="false" ht="15.75" hidden="true" customHeight="false" outlineLevel="0" collapsed="false">
      <c r="A786" s="4" t="n">
        <v>45534</v>
      </c>
      <c r="B786" s="1" t="s">
        <v>95</v>
      </c>
      <c r="C786" s="1" t="s">
        <v>89</v>
      </c>
      <c r="D786" s="1" t="n">
        <v>568</v>
      </c>
      <c r="E786" s="1" t="n">
        <v>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1" t="n">
        <v>-2</v>
      </c>
      <c r="N786" s="1" t="n">
        <v>0.0106333333333333</v>
      </c>
      <c r="O786" s="1" t="n">
        <v>9.4534</v>
      </c>
    </row>
    <row r="787" customFormat="false" ht="15.75" hidden="true" customHeight="false" outlineLevel="0" collapsed="false">
      <c r="A787" s="4" t="n">
        <v>45534</v>
      </c>
      <c r="B787" s="1" t="s">
        <v>95</v>
      </c>
      <c r="C787" s="1" t="s">
        <v>89</v>
      </c>
      <c r="D787" s="1" t="n">
        <v>547</v>
      </c>
      <c r="E787" s="1" t="n">
        <v>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1" t="n">
        <v>6</v>
      </c>
      <c r="N787" s="1" t="n">
        <v>0.00836666666666667</v>
      </c>
      <c r="O787" s="1" t="n">
        <v>8.04178333333333</v>
      </c>
    </row>
    <row r="788" customFormat="false" ht="15.75" hidden="true" customHeight="false" outlineLevel="0" collapsed="false">
      <c r="A788" s="4" t="n">
        <v>45534</v>
      </c>
      <c r="B788" s="1" t="s">
        <v>95</v>
      </c>
      <c r="C788" s="1" t="s">
        <v>89</v>
      </c>
      <c r="D788" s="1" t="n">
        <v>387</v>
      </c>
      <c r="E788" s="1" t="n">
        <v>111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1" t="n">
        <v>-8</v>
      </c>
      <c r="O788" s="1" t="n">
        <v>10.4642833333333</v>
      </c>
    </row>
    <row r="789" customFormat="false" ht="15.75" hidden="true" customHeight="false" outlineLevel="0" collapsed="false">
      <c r="A789" s="4" t="n">
        <v>45534</v>
      </c>
      <c r="B789" s="1" t="s">
        <v>95</v>
      </c>
      <c r="C789" s="1" t="s">
        <v>89</v>
      </c>
      <c r="D789" s="1" t="n">
        <v>331</v>
      </c>
      <c r="E789" s="1" t="n">
        <v>37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1" t="n">
        <v>-12</v>
      </c>
      <c r="N789" s="1" t="n">
        <v>0.0128833333333333</v>
      </c>
      <c r="O789" s="1" t="n">
        <v>8.23251666666667</v>
      </c>
    </row>
    <row r="790" customFormat="false" ht="15.75" hidden="true" customHeight="false" outlineLevel="0" collapsed="false">
      <c r="A790" s="4" t="n">
        <v>45534</v>
      </c>
      <c r="B790" s="1" t="s">
        <v>88</v>
      </c>
      <c r="C790" s="1" t="s">
        <v>89</v>
      </c>
      <c r="D790" s="1" t="n">
        <v>329</v>
      </c>
      <c r="E790" s="1" t="n">
        <v>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1" t="n">
        <v>-7</v>
      </c>
      <c r="O790" s="1" t="n">
        <v>7.67673333333333</v>
      </c>
    </row>
    <row r="791" customFormat="false" ht="15.75" hidden="true" customHeight="false" outlineLevel="0" collapsed="false">
      <c r="A791" s="4" t="n">
        <v>45534</v>
      </c>
      <c r="B791" s="1" t="s">
        <v>107</v>
      </c>
      <c r="C791" s="1" t="s">
        <v>104</v>
      </c>
      <c r="D791" s="1" t="n">
        <v>329</v>
      </c>
      <c r="E791" s="1" t="n">
        <v>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1" t="n">
        <v>-7</v>
      </c>
      <c r="O791" s="1" t="n">
        <v>7.70841666666667</v>
      </c>
    </row>
    <row r="792" customFormat="false" ht="15.75" hidden="false" customHeight="false" outlineLevel="0" collapsed="false">
      <c r="A792" s="4" t="n">
        <v>45534</v>
      </c>
      <c r="B792" s="1" t="s">
        <v>103</v>
      </c>
      <c r="C792" s="1" t="s">
        <v>104</v>
      </c>
      <c r="D792" s="1" t="n">
        <v>264</v>
      </c>
      <c r="E792" s="1" t="n">
        <v>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1" t="n">
        <v>-1</v>
      </c>
      <c r="O792" s="1" t="n">
        <v>6.58535</v>
      </c>
    </row>
    <row r="793" customFormat="false" ht="15.75" hidden="true" customHeight="false" outlineLevel="0" collapsed="false">
      <c r="A793" s="4" t="n">
        <v>45534</v>
      </c>
      <c r="B793" s="1" t="s">
        <v>88</v>
      </c>
      <c r="C793" s="1" t="s">
        <v>89</v>
      </c>
      <c r="D793" s="1" t="n">
        <v>488</v>
      </c>
      <c r="E793" s="1" t="n">
        <v>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1" t="n">
        <v>-9</v>
      </c>
      <c r="O793" s="1" t="n">
        <v>5.49711666666667</v>
      </c>
    </row>
    <row r="794" customFormat="false" ht="15.75" hidden="true" customHeight="false" outlineLevel="0" collapsed="false">
      <c r="A794" s="4" t="n">
        <v>45534</v>
      </c>
      <c r="B794" s="1" t="s">
        <v>88</v>
      </c>
      <c r="C794" s="1" t="s">
        <v>89</v>
      </c>
      <c r="D794" s="1" t="n">
        <v>528</v>
      </c>
      <c r="E794" s="1" t="n">
        <v>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1" t="n">
        <v>-10</v>
      </c>
      <c r="O794" s="1" t="n">
        <v>9.95408333333333</v>
      </c>
    </row>
    <row r="795" customFormat="false" ht="15.75" hidden="true" customHeight="false" outlineLevel="0" collapsed="false">
      <c r="A795" s="4" t="n">
        <v>45534</v>
      </c>
      <c r="B795" s="1" t="s">
        <v>107</v>
      </c>
      <c r="C795" s="1" t="s">
        <v>104</v>
      </c>
      <c r="D795" s="1" t="n">
        <v>528</v>
      </c>
      <c r="E795" s="1" t="n">
        <v>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1" t="n">
        <v>-11</v>
      </c>
      <c r="O795" s="1" t="n">
        <v>8.1088</v>
      </c>
    </row>
    <row r="796" customFormat="false" ht="15.75" hidden="true" customHeight="false" outlineLevel="0" collapsed="false">
      <c r="A796" s="4" t="n">
        <v>45534</v>
      </c>
      <c r="B796" s="1" t="s">
        <v>103</v>
      </c>
      <c r="C796" s="1" t="s">
        <v>459</v>
      </c>
      <c r="D796" s="1" t="n">
        <v>264</v>
      </c>
      <c r="E796" s="1" t="n">
        <v>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1" t="n">
        <v>0</v>
      </c>
      <c r="O796" s="1" t="n">
        <v>7.2999</v>
      </c>
    </row>
    <row r="797" customFormat="false" ht="15.75" hidden="true" customHeight="false" outlineLevel="0" collapsed="false">
      <c r="A797" s="4" t="n">
        <v>45534</v>
      </c>
      <c r="B797" s="1" t="s">
        <v>228</v>
      </c>
      <c r="C797" s="1" t="s">
        <v>89</v>
      </c>
      <c r="D797" s="1" t="n">
        <v>49</v>
      </c>
      <c r="E797" s="1" t="n">
        <v>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1" t="n">
        <v>1</v>
      </c>
      <c r="O797" s="1" t="n">
        <v>6.64535</v>
      </c>
    </row>
    <row r="798" customFormat="false" ht="15.75" hidden="true" customHeight="false" outlineLevel="0" collapsed="false">
      <c r="A798" s="4" t="n">
        <v>45534</v>
      </c>
      <c r="B798" s="1" t="s">
        <v>95</v>
      </c>
      <c r="C798" s="1" t="s">
        <v>89</v>
      </c>
      <c r="D798" s="1" t="n">
        <v>1231</v>
      </c>
      <c r="E798" s="1" t="n">
        <v>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1" t="n">
        <v>0</v>
      </c>
      <c r="N798" s="1" t="n">
        <v>0.0102</v>
      </c>
      <c r="O798" s="1" t="n">
        <v>11.4707166666667</v>
      </c>
    </row>
    <row r="799" customFormat="false" ht="15.75" hidden="false" customHeight="false" outlineLevel="0" collapsed="false">
      <c r="A799" s="4" t="n">
        <v>45534</v>
      </c>
      <c r="B799" s="1" t="s">
        <v>103</v>
      </c>
      <c r="C799" s="1" t="s">
        <v>104</v>
      </c>
      <c r="D799" s="1" t="n">
        <v>504</v>
      </c>
      <c r="E799" s="1" t="n">
        <v>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1" t="n">
        <v>-1</v>
      </c>
      <c r="O799" s="1" t="n">
        <v>7.08723333333333</v>
      </c>
    </row>
    <row r="800" customFormat="false" ht="15.75" hidden="false" customHeight="false" outlineLevel="0" collapsed="false">
      <c r="A800" s="4" t="n">
        <v>45534</v>
      </c>
      <c r="B800" s="1" t="s">
        <v>103</v>
      </c>
      <c r="C800" s="1" t="s">
        <v>104</v>
      </c>
      <c r="D800" s="1" t="n">
        <v>289</v>
      </c>
      <c r="E800" s="1" t="n">
        <v>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1" t="n">
        <v>0</v>
      </c>
      <c r="O800" s="1" t="n">
        <v>7.41558333333333</v>
      </c>
    </row>
    <row r="801" customFormat="false" ht="15.75" hidden="false" customHeight="false" outlineLevel="0" collapsed="false">
      <c r="A801" s="4" t="n">
        <v>45534</v>
      </c>
      <c r="B801" s="1" t="s">
        <v>103</v>
      </c>
      <c r="C801" s="1" t="s">
        <v>104</v>
      </c>
      <c r="D801" s="1" t="n">
        <v>663</v>
      </c>
      <c r="E801" s="1" t="n">
        <v>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1" t="n">
        <v>-2</v>
      </c>
      <c r="O801" s="1" t="n">
        <v>7.44165</v>
      </c>
    </row>
    <row r="802" customFormat="false" ht="15.75" hidden="false" customHeight="false" outlineLevel="0" collapsed="false">
      <c r="A802" s="4" t="n">
        <v>45534</v>
      </c>
      <c r="B802" s="1" t="s">
        <v>103</v>
      </c>
      <c r="C802" s="1" t="s">
        <v>104</v>
      </c>
      <c r="D802" s="1" t="n">
        <v>488</v>
      </c>
      <c r="E802" s="1" t="n">
        <v>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1" t="n">
        <v>-1</v>
      </c>
      <c r="O802" s="1" t="n">
        <v>7.71025</v>
      </c>
    </row>
    <row r="803" customFormat="false" ht="15.75" hidden="true" customHeight="false" outlineLevel="0" collapsed="false">
      <c r="A803" s="4" t="n">
        <v>45534</v>
      </c>
      <c r="B803" s="1" t="s">
        <v>95</v>
      </c>
      <c r="C803" s="1" t="s">
        <v>89</v>
      </c>
      <c r="D803" s="1" t="n">
        <v>267</v>
      </c>
      <c r="E803" s="1" t="n">
        <v>62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1" t="n">
        <v>-7</v>
      </c>
      <c r="O803" s="1" t="n">
        <v>12.3827833333333</v>
      </c>
    </row>
    <row r="804" customFormat="false" ht="15.75" hidden="true" customHeight="false" outlineLevel="0" collapsed="false">
      <c r="A804" s="4" t="n">
        <v>45534</v>
      </c>
      <c r="B804" s="1" t="s">
        <v>107</v>
      </c>
      <c r="C804" s="1" t="s">
        <v>104</v>
      </c>
      <c r="D804" s="1" t="n">
        <v>321</v>
      </c>
      <c r="E804" s="1" t="n">
        <v>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1" t="n">
        <v>-4</v>
      </c>
      <c r="O804" s="1" t="n">
        <v>10.57835</v>
      </c>
    </row>
    <row r="805" customFormat="false" ht="15.75" hidden="true" customHeight="false" outlineLevel="0" collapsed="false">
      <c r="A805" s="4" t="n">
        <v>45534</v>
      </c>
      <c r="B805" s="1" t="s">
        <v>95</v>
      </c>
      <c r="C805" s="1" t="s">
        <v>89</v>
      </c>
      <c r="D805" s="1" t="n">
        <v>403</v>
      </c>
      <c r="E805" s="1" t="n">
        <v>155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1" t="n">
        <v>-7</v>
      </c>
      <c r="N805" s="1" t="n">
        <v>0.0115333333333333</v>
      </c>
      <c r="O805" s="1" t="n">
        <v>16.03015</v>
      </c>
    </row>
    <row r="806" customFormat="false" ht="15.75" hidden="true" customHeight="false" outlineLevel="0" collapsed="false">
      <c r="A806" s="4" t="n">
        <v>45534</v>
      </c>
      <c r="B806" s="1" t="s">
        <v>107</v>
      </c>
      <c r="C806" s="1" t="s">
        <v>104</v>
      </c>
      <c r="D806" s="1" t="n">
        <v>658</v>
      </c>
      <c r="E806" s="1" t="n">
        <v>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1" t="n">
        <v>-11</v>
      </c>
      <c r="O806" s="1" t="n">
        <v>8.79363333333333</v>
      </c>
    </row>
    <row r="807" customFormat="false" ht="15.75" hidden="true" customHeight="false" outlineLevel="0" collapsed="false">
      <c r="A807" s="4" t="n">
        <v>45534</v>
      </c>
      <c r="B807" s="1" t="s">
        <v>95</v>
      </c>
      <c r="C807" s="1" t="s">
        <v>89</v>
      </c>
      <c r="D807" s="1" t="n">
        <v>509</v>
      </c>
      <c r="E807" s="1" t="n">
        <v>144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1" t="n">
        <v>-7</v>
      </c>
      <c r="O807" s="1" t="n">
        <v>16.9152</v>
      </c>
    </row>
    <row r="808" customFormat="false" ht="15.75" hidden="false" customHeight="false" outlineLevel="0" collapsed="false">
      <c r="A808" s="4" t="n">
        <v>45534</v>
      </c>
      <c r="B808" s="1" t="s">
        <v>103</v>
      </c>
      <c r="C808" s="1" t="s">
        <v>104</v>
      </c>
      <c r="D808" s="1" t="n">
        <v>604</v>
      </c>
      <c r="E808" s="1" t="n">
        <v>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1" t="n">
        <v>3</v>
      </c>
      <c r="O808" s="1" t="n">
        <v>13.8123</v>
      </c>
    </row>
    <row r="809" customFormat="false" ht="15.75" hidden="true" customHeight="false" outlineLevel="0" collapsed="false">
      <c r="A809" s="4" t="n">
        <v>45534</v>
      </c>
      <c r="B809" s="1" t="s">
        <v>88</v>
      </c>
      <c r="C809" s="1" t="s">
        <v>89</v>
      </c>
      <c r="D809" s="1" t="n">
        <v>485</v>
      </c>
      <c r="E809" s="1" t="n">
        <v>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1" t="n">
        <v>-6</v>
      </c>
      <c r="O809" s="1" t="n">
        <v>8.54308333333333</v>
      </c>
    </row>
    <row r="810" customFormat="false" ht="15.75" hidden="true" customHeight="false" outlineLevel="0" collapsed="false">
      <c r="A810" s="4" t="n">
        <v>45534</v>
      </c>
      <c r="B810" s="1" t="s">
        <v>95</v>
      </c>
      <c r="C810" s="1" t="s">
        <v>89</v>
      </c>
      <c r="D810" s="1" t="n">
        <v>265</v>
      </c>
      <c r="E810" s="1" t="n">
        <v>66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1" t="n">
        <v>-19</v>
      </c>
      <c r="O810" s="1" t="n">
        <v>27.44815</v>
      </c>
    </row>
    <row r="811" customFormat="false" ht="15.75" hidden="false" customHeight="false" outlineLevel="0" collapsed="false">
      <c r="A811" s="4" t="n">
        <v>45534</v>
      </c>
      <c r="B811" s="1" t="s">
        <v>103</v>
      </c>
      <c r="C811" s="1" t="s">
        <v>104</v>
      </c>
      <c r="D811" s="1" t="n">
        <v>693</v>
      </c>
      <c r="E811" s="1" t="n">
        <v>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1" t="n">
        <v>4</v>
      </c>
      <c r="O811" s="1" t="n">
        <v>14.9528166666667</v>
      </c>
    </row>
    <row r="812" customFormat="false" ht="15.75" hidden="false" customHeight="false" outlineLevel="0" collapsed="false">
      <c r="A812" s="4" t="n">
        <v>45534</v>
      </c>
      <c r="B812" s="1" t="s">
        <v>103</v>
      </c>
      <c r="C812" s="1" t="s">
        <v>104</v>
      </c>
      <c r="D812" s="1" t="n">
        <v>545</v>
      </c>
      <c r="E812" s="1" t="n">
        <v>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1" t="n">
        <v>0</v>
      </c>
      <c r="O812" s="1" t="n">
        <v>9.6321</v>
      </c>
    </row>
    <row r="813" customFormat="false" ht="15.75" hidden="true" customHeight="false" outlineLevel="0" collapsed="false">
      <c r="A813" s="4" t="n">
        <v>45534</v>
      </c>
      <c r="B813" s="1" t="s">
        <v>95</v>
      </c>
      <c r="C813" s="1" t="s">
        <v>89</v>
      </c>
      <c r="D813" s="1" t="n">
        <v>762</v>
      </c>
      <c r="E813" s="1" t="n">
        <v>185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1" t="n">
        <v>-17</v>
      </c>
      <c r="O813" s="1" t="n">
        <v>15.6366666666667</v>
      </c>
    </row>
    <row r="814" customFormat="false" ht="15.75" hidden="true" customHeight="false" outlineLevel="0" collapsed="false">
      <c r="A814" s="4" t="n">
        <v>45534</v>
      </c>
      <c r="B814" s="1" t="s">
        <v>95</v>
      </c>
      <c r="C814" s="1" t="s">
        <v>89</v>
      </c>
      <c r="D814" s="1" t="n">
        <v>398</v>
      </c>
      <c r="E814" s="1" t="n">
        <v>100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1" t="n">
        <v>-21</v>
      </c>
      <c r="O814" s="1" t="n">
        <v>14.5740333333333</v>
      </c>
    </row>
    <row r="815" customFormat="false" ht="15.75" hidden="false" customHeight="false" outlineLevel="0" collapsed="false">
      <c r="A815" s="4" t="n">
        <v>45534</v>
      </c>
      <c r="B815" s="1" t="s">
        <v>103</v>
      </c>
      <c r="C815" s="1" t="s">
        <v>104</v>
      </c>
      <c r="D815" s="1" t="n">
        <v>264</v>
      </c>
      <c r="E815" s="1" t="n">
        <v>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1" t="n">
        <v>2</v>
      </c>
      <c r="O815" s="1" t="n">
        <v>9.00546666666667</v>
      </c>
    </row>
    <row r="816" customFormat="false" ht="15.75" hidden="true" customHeight="false" outlineLevel="0" collapsed="false">
      <c r="A816" s="4" t="n">
        <v>45534</v>
      </c>
      <c r="B816" s="1" t="s">
        <v>103</v>
      </c>
      <c r="C816" s="1" t="s">
        <v>104</v>
      </c>
      <c r="D816" s="1" t="n">
        <v>429</v>
      </c>
      <c r="E816" s="1" t="n">
        <v>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1" t="n">
        <v>2</v>
      </c>
      <c r="O816" s="1" t="n">
        <v>10.7685666666667</v>
      </c>
    </row>
    <row r="817" customFormat="false" ht="15.75" hidden="false" customHeight="false" outlineLevel="0" collapsed="false">
      <c r="A817" s="4" t="n">
        <v>45534</v>
      </c>
      <c r="B817" s="1" t="s">
        <v>103</v>
      </c>
      <c r="C817" s="1" t="s">
        <v>104</v>
      </c>
      <c r="D817" s="1" t="n">
        <v>459</v>
      </c>
      <c r="E817" s="1" t="n">
        <v>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1" t="n">
        <v>11</v>
      </c>
      <c r="O817" s="1" t="n">
        <v>19.0656666666667</v>
      </c>
    </row>
    <row r="818" customFormat="false" ht="15.75" hidden="false" customHeight="false" outlineLevel="0" collapsed="false">
      <c r="A818" s="4" t="n">
        <v>45534</v>
      </c>
      <c r="B818" s="1" t="s">
        <v>103</v>
      </c>
      <c r="C818" s="1" t="s">
        <v>104</v>
      </c>
      <c r="D818" s="1" t="n">
        <v>329</v>
      </c>
      <c r="E818" s="1" t="n">
        <v>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1" t="n">
        <v>2</v>
      </c>
      <c r="O818" s="1" t="n">
        <v>9.05613333333333</v>
      </c>
    </row>
    <row r="819" customFormat="false" ht="15.75" hidden="true" customHeight="false" outlineLevel="0" collapsed="false">
      <c r="A819" s="4" t="n">
        <v>45534</v>
      </c>
      <c r="B819" s="1" t="s">
        <v>95</v>
      </c>
      <c r="C819" s="1" t="s">
        <v>89</v>
      </c>
      <c r="D819" s="1" t="n">
        <v>507</v>
      </c>
      <c r="E819" s="1" t="n">
        <v>169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1" t="n">
        <v>-14</v>
      </c>
      <c r="N819" s="1" t="n">
        <v>0.00998333333333333</v>
      </c>
      <c r="O819" s="1" t="n">
        <v>9.45025</v>
      </c>
    </row>
    <row r="820" customFormat="false" ht="15.75" hidden="false" customHeight="false" outlineLevel="0" collapsed="false">
      <c r="A820" s="4" t="n">
        <v>45534</v>
      </c>
      <c r="B820" s="1" t="s">
        <v>103</v>
      </c>
      <c r="C820" s="1" t="s">
        <v>104</v>
      </c>
      <c r="D820" s="1" t="n">
        <v>508</v>
      </c>
      <c r="E820" s="1" t="n">
        <v>150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1" t="n">
        <v>0</v>
      </c>
      <c r="O820" s="1" t="n">
        <v>9.74843333333333</v>
      </c>
    </row>
    <row r="821" customFormat="false" ht="15.75" hidden="false" customHeight="false" outlineLevel="0" collapsed="false">
      <c r="A821" s="4" t="n">
        <v>45534</v>
      </c>
      <c r="B821" s="1" t="s">
        <v>103</v>
      </c>
      <c r="C821" s="1" t="s">
        <v>104</v>
      </c>
      <c r="D821" s="1" t="n">
        <v>498</v>
      </c>
      <c r="E821" s="1" t="n">
        <v>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1" t="n">
        <v>0</v>
      </c>
      <c r="O821" s="1" t="n">
        <v>7.1875</v>
      </c>
    </row>
    <row r="822" customFormat="false" ht="15.75" hidden="true" customHeight="false" outlineLevel="0" collapsed="false">
      <c r="A822" s="4" t="n">
        <v>45534</v>
      </c>
      <c r="B822" s="1" t="s">
        <v>107</v>
      </c>
      <c r="C822" s="1" t="s">
        <v>104</v>
      </c>
      <c r="D822" s="1" t="n">
        <v>498</v>
      </c>
      <c r="E822" s="1" t="n">
        <v>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1" t="n">
        <v>-3</v>
      </c>
      <c r="O822" s="1" t="n">
        <v>11.16685</v>
      </c>
    </row>
    <row r="823" customFormat="false" ht="15.75" hidden="true" customHeight="false" outlineLevel="0" collapsed="false">
      <c r="A823" s="4" t="n">
        <v>45534</v>
      </c>
      <c r="B823" s="1" t="s">
        <v>95</v>
      </c>
      <c r="C823" s="1" t="s">
        <v>89</v>
      </c>
      <c r="D823" s="1" t="n">
        <v>576</v>
      </c>
      <c r="E823" s="1" t="n">
        <v>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1" t="n">
        <v>-4</v>
      </c>
      <c r="N823" s="1" t="n">
        <v>10.7653166666667</v>
      </c>
      <c r="O823" s="1" t="n">
        <v>17.5537166666667</v>
      </c>
    </row>
    <row r="824" customFormat="false" ht="15.75" hidden="true" customHeight="false" outlineLevel="0" collapsed="false">
      <c r="A824" s="4" t="n">
        <v>45534</v>
      </c>
      <c r="B824" s="1" t="s">
        <v>107</v>
      </c>
      <c r="C824" s="1" t="s">
        <v>104</v>
      </c>
      <c r="D824" s="1" t="n">
        <v>658</v>
      </c>
      <c r="E824" s="1" t="n">
        <v>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1" t="n">
        <v>-11</v>
      </c>
      <c r="O824" s="1" t="n">
        <v>8.815</v>
      </c>
    </row>
    <row r="825" customFormat="false" ht="15.75" hidden="true" customHeight="false" outlineLevel="0" collapsed="false">
      <c r="A825" s="4" t="n">
        <v>45534</v>
      </c>
      <c r="B825" s="1" t="s">
        <v>107</v>
      </c>
      <c r="C825" s="1" t="s">
        <v>104</v>
      </c>
      <c r="D825" s="1" t="n">
        <v>294</v>
      </c>
      <c r="E825" s="1" t="n">
        <v>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1" t="n">
        <v>-7</v>
      </c>
      <c r="O825" s="1" t="n">
        <v>7.94905</v>
      </c>
    </row>
    <row r="826" customFormat="false" ht="15.75" hidden="false" customHeight="false" outlineLevel="0" collapsed="false">
      <c r="A826" s="4" t="n">
        <v>45534</v>
      </c>
      <c r="B826" s="1" t="s">
        <v>103</v>
      </c>
      <c r="C826" s="1" t="s">
        <v>104</v>
      </c>
      <c r="D826" s="1" t="n">
        <v>805</v>
      </c>
      <c r="E826" s="1" t="n">
        <v>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1" t="n">
        <v>6</v>
      </c>
      <c r="O826" s="1" t="n">
        <v>16.01375</v>
      </c>
    </row>
    <row r="827" customFormat="false" ht="15.75" hidden="false" customHeight="false" outlineLevel="0" collapsed="false">
      <c r="A827" s="4" t="n">
        <v>45534</v>
      </c>
      <c r="B827" s="1" t="s">
        <v>103</v>
      </c>
      <c r="C827" s="1" t="s">
        <v>104</v>
      </c>
      <c r="D827" s="1" t="n">
        <v>313</v>
      </c>
      <c r="E827" s="1" t="n">
        <v>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1" t="n">
        <v>2</v>
      </c>
      <c r="O827" s="1" t="n">
        <v>9.80381666666667</v>
      </c>
    </row>
    <row r="828" customFormat="false" ht="15.75" hidden="true" customHeight="false" outlineLevel="0" collapsed="false">
      <c r="A828" s="4" t="n">
        <v>45534</v>
      </c>
      <c r="B828" s="1" t="s">
        <v>88</v>
      </c>
      <c r="C828" s="1" t="s">
        <v>89</v>
      </c>
      <c r="D828" s="1" t="n">
        <v>405</v>
      </c>
      <c r="E828" s="1" t="n">
        <v>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1" t="n">
        <v>-4</v>
      </c>
      <c r="O828" s="1" t="n">
        <v>10.5442</v>
      </c>
    </row>
    <row r="829" customFormat="false" ht="15.75" hidden="true" customHeight="false" outlineLevel="0" collapsed="false">
      <c r="A829" s="4" t="n">
        <v>45534</v>
      </c>
      <c r="B829" s="1" t="s">
        <v>103</v>
      </c>
      <c r="C829" s="1" t="s">
        <v>104</v>
      </c>
      <c r="D829" s="1" t="n">
        <v>898</v>
      </c>
      <c r="E829" s="1" t="n">
        <v>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1" t="n">
        <v>4</v>
      </c>
      <c r="O829" s="1" t="n">
        <v>14.4446666666667</v>
      </c>
    </row>
    <row r="830" customFormat="false" ht="15.75" hidden="false" customHeight="false" outlineLevel="0" collapsed="false">
      <c r="A830" s="4" t="n">
        <v>45534</v>
      </c>
      <c r="B830" s="1" t="s">
        <v>103</v>
      </c>
      <c r="C830" s="1" t="s">
        <v>104</v>
      </c>
      <c r="D830" s="1" t="n">
        <v>548</v>
      </c>
      <c r="E830" s="1" t="n">
        <v>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1" t="n">
        <v>1</v>
      </c>
      <c r="O830" s="1" t="n">
        <v>9.67336666666667</v>
      </c>
    </row>
    <row r="831" customFormat="false" ht="15.75" hidden="true" customHeight="false" outlineLevel="0" collapsed="false">
      <c r="A831" s="4" t="n">
        <v>45534</v>
      </c>
      <c r="B831" s="1" t="s">
        <v>95</v>
      </c>
      <c r="C831" s="1" t="s">
        <v>89</v>
      </c>
      <c r="D831" s="1" t="n">
        <v>582</v>
      </c>
      <c r="E831" s="1" t="n">
        <v>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1" t="n">
        <v>4</v>
      </c>
      <c r="N831" s="1" t="n">
        <v>10.8245833333333</v>
      </c>
      <c r="O831" s="1" t="n">
        <v>9.68623333333333</v>
      </c>
    </row>
    <row r="832" customFormat="false" ht="15.75" hidden="false" customHeight="false" outlineLevel="0" collapsed="false">
      <c r="A832" s="4" t="n">
        <v>45534</v>
      </c>
      <c r="B832" s="1" t="s">
        <v>103</v>
      </c>
      <c r="C832" s="1" t="s">
        <v>89</v>
      </c>
      <c r="D832" s="1" t="n">
        <v>279</v>
      </c>
      <c r="E832" s="1" t="n">
        <v>50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1" t="n">
        <v>2</v>
      </c>
      <c r="O832" s="1" t="n">
        <v>9.04168333333333</v>
      </c>
    </row>
    <row r="833" customFormat="false" ht="15.75" hidden="false" customHeight="false" outlineLevel="0" collapsed="false">
      <c r="A833" s="4" t="n">
        <v>45534</v>
      </c>
      <c r="B833" s="1" t="s">
        <v>103</v>
      </c>
      <c r="C833" s="1" t="s">
        <v>89</v>
      </c>
      <c r="D833" s="1" t="n">
        <v>593</v>
      </c>
      <c r="E833" s="1" t="n">
        <v>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1" t="n">
        <v>4</v>
      </c>
      <c r="O833" s="1" t="n">
        <v>13.0953333333333</v>
      </c>
    </row>
    <row r="834" customFormat="false" ht="15.75" hidden="false" customHeight="false" outlineLevel="0" collapsed="false">
      <c r="A834" s="4" t="n">
        <v>45534</v>
      </c>
      <c r="B834" s="1" t="s">
        <v>103</v>
      </c>
      <c r="C834" s="1" t="s">
        <v>104</v>
      </c>
      <c r="D834" s="1" t="n">
        <v>434</v>
      </c>
      <c r="E834" s="1" t="n">
        <v>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1" t="n">
        <v>3</v>
      </c>
      <c r="O834" s="1" t="n">
        <v>10.79805</v>
      </c>
    </row>
    <row r="835" customFormat="false" ht="15.75" hidden="true" customHeight="false" outlineLevel="0" collapsed="false">
      <c r="A835" s="4" t="n">
        <v>45534</v>
      </c>
      <c r="B835" s="1" t="s">
        <v>95</v>
      </c>
      <c r="C835" s="1" t="s">
        <v>89</v>
      </c>
      <c r="D835" s="1" t="n">
        <v>279</v>
      </c>
      <c r="E835" s="1" t="n">
        <v>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1" t="n">
        <v>-2</v>
      </c>
      <c r="N835" s="1" t="n">
        <v>0.00841666666666667</v>
      </c>
      <c r="O835" s="1" t="n">
        <v>9.88375</v>
      </c>
    </row>
    <row r="836" customFormat="false" ht="15.75" hidden="true" customHeight="false" outlineLevel="0" collapsed="false">
      <c r="A836" s="4" t="n">
        <v>45534</v>
      </c>
      <c r="B836" s="1" t="s">
        <v>95</v>
      </c>
      <c r="C836" s="1" t="s">
        <v>89</v>
      </c>
      <c r="D836" s="1" t="n">
        <v>199</v>
      </c>
      <c r="E836" s="1" t="n">
        <v>50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1" t="n">
        <v>4</v>
      </c>
      <c r="O836" s="1" t="n">
        <v>23.8498666666667</v>
      </c>
    </row>
    <row r="837" customFormat="false" ht="15.75" hidden="true" customHeight="false" outlineLevel="0" collapsed="false">
      <c r="A837" s="4" t="n">
        <v>45534</v>
      </c>
      <c r="B837" s="1" t="s">
        <v>95</v>
      </c>
      <c r="C837" s="1" t="s">
        <v>89</v>
      </c>
      <c r="D837" s="1" t="n">
        <v>523</v>
      </c>
      <c r="E837" s="1" t="n">
        <v>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1" t="n">
        <v>-12</v>
      </c>
      <c r="N837" s="1" t="n">
        <v>0.0146166666666667</v>
      </c>
      <c r="O837" s="1" t="n">
        <v>10.9049666666667</v>
      </c>
    </row>
    <row r="838" customFormat="false" ht="15.75" hidden="true" customHeight="false" outlineLevel="0" collapsed="false">
      <c r="A838" s="4" t="n">
        <v>45534</v>
      </c>
      <c r="B838" s="1" t="s">
        <v>88</v>
      </c>
      <c r="C838" s="1" t="s">
        <v>89</v>
      </c>
      <c r="D838" s="1" t="n">
        <v>1337</v>
      </c>
      <c r="E838" s="1" t="n">
        <v>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1" t="n">
        <v>-6</v>
      </c>
      <c r="O838" s="1" t="n">
        <v>13.0392166666667</v>
      </c>
    </row>
    <row r="839" customFormat="false" ht="15.75" hidden="true" customHeight="false" outlineLevel="0" collapsed="false">
      <c r="A839" s="4" t="n">
        <v>45534</v>
      </c>
      <c r="B839" s="1" t="s">
        <v>103</v>
      </c>
      <c r="C839" s="1" t="s">
        <v>89</v>
      </c>
      <c r="D839" s="1" t="n">
        <v>528</v>
      </c>
      <c r="E839" s="1" t="n">
        <v>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1" t="n">
        <v>2</v>
      </c>
      <c r="O839" s="1" t="n">
        <v>10.0080833333333</v>
      </c>
    </row>
    <row r="840" customFormat="false" ht="15.75" hidden="true" customHeight="false" outlineLevel="0" collapsed="false">
      <c r="A840" s="4" t="n">
        <v>45534</v>
      </c>
      <c r="B840" s="1" t="s">
        <v>95</v>
      </c>
      <c r="C840" s="1" t="s">
        <v>89</v>
      </c>
      <c r="D840" s="1" t="n">
        <v>410</v>
      </c>
      <c r="E840" s="1" t="n">
        <v>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1" t="n">
        <v>-12</v>
      </c>
      <c r="N840" s="1" t="n">
        <v>0.0157</v>
      </c>
      <c r="O840" s="1" t="n">
        <v>9.14075</v>
      </c>
    </row>
    <row r="841" customFormat="false" ht="15.75" hidden="true" customHeight="false" outlineLevel="0" collapsed="false">
      <c r="A841" s="4" t="n">
        <v>45534</v>
      </c>
      <c r="B841" s="1" t="s">
        <v>95</v>
      </c>
      <c r="C841" s="1" t="s">
        <v>89</v>
      </c>
      <c r="D841" s="1" t="n">
        <v>269</v>
      </c>
      <c r="E841" s="1" t="n">
        <v>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1" t="n">
        <v>-11</v>
      </c>
      <c r="N841" s="1" t="n">
        <v>0.0082</v>
      </c>
      <c r="O841" s="1" t="n">
        <v>8.87355</v>
      </c>
    </row>
    <row r="842" customFormat="false" ht="15.75" hidden="false" customHeight="false" outlineLevel="0" collapsed="false">
      <c r="A842" s="4" t="n">
        <v>45534</v>
      </c>
      <c r="B842" s="1" t="s">
        <v>103</v>
      </c>
      <c r="C842" s="1" t="s">
        <v>104</v>
      </c>
      <c r="D842" s="1" t="n">
        <v>321</v>
      </c>
      <c r="E842" s="1" t="n">
        <v>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1" t="n">
        <v>0</v>
      </c>
      <c r="O842" s="1" t="n">
        <v>7.55645</v>
      </c>
    </row>
    <row r="843" customFormat="false" ht="15.75" hidden="true" customHeight="false" outlineLevel="0" collapsed="false">
      <c r="A843" s="4" t="n">
        <v>45534</v>
      </c>
      <c r="B843" s="1" t="s">
        <v>88</v>
      </c>
      <c r="C843" s="1" t="s">
        <v>89</v>
      </c>
      <c r="D843" s="1" t="n">
        <v>499</v>
      </c>
      <c r="E843" s="1" t="n">
        <v>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1" t="n">
        <v>-6</v>
      </c>
      <c r="O843" s="1" t="n">
        <v>8.80828333333333</v>
      </c>
    </row>
    <row r="844" customFormat="false" ht="15.75" hidden="true" customHeight="false" outlineLevel="0" collapsed="false">
      <c r="A844" s="4" t="n">
        <v>45534</v>
      </c>
      <c r="B844" s="1" t="s">
        <v>103</v>
      </c>
      <c r="C844" s="1" t="s">
        <v>104</v>
      </c>
      <c r="D844" s="1" t="n">
        <v>329</v>
      </c>
      <c r="E844" s="1" t="n">
        <v>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1" t="n">
        <v>2</v>
      </c>
      <c r="O844" s="1" t="n">
        <v>9.14598333333333</v>
      </c>
    </row>
    <row r="845" customFormat="false" ht="15.75" hidden="true" customHeight="false" outlineLevel="0" collapsed="false">
      <c r="A845" s="4" t="n">
        <v>45534</v>
      </c>
      <c r="B845" s="1" t="s">
        <v>88</v>
      </c>
      <c r="C845" s="1" t="s">
        <v>89</v>
      </c>
      <c r="D845" s="1" t="n">
        <v>313</v>
      </c>
      <c r="E845" s="1" t="n">
        <v>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1" t="n">
        <v>-7</v>
      </c>
      <c r="O845" s="1" t="n">
        <v>7.3621</v>
      </c>
    </row>
    <row r="846" customFormat="false" ht="15.75" hidden="true" customHeight="false" outlineLevel="0" collapsed="false">
      <c r="A846" s="4" t="n">
        <v>45534</v>
      </c>
      <c r="B846" s="1" t="s">
        <v>107</v>
      </c>
      <c r="C846" s="1" t="s">
        <v>104</v>
      </c>
      <c r="D846" s="1" t="n">
        <v>129</v>
      </c>
      <c r="E846" s="1" t="n">
        <v>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1" t="n">
        <v>-7</v>
      </c>
      <c r="O846" s="1" t="n">
        <v>7.1823</v>
      </c>
    </row>
    <row r="847" customFormat="false" ht="15.75" hidden="true" customHeight="false" outlineLevel="0" collapsed="false">
      <c r="A847" s="4" t="n">
        <v>45534</v>
      </c>
      <c r="B847" s="1" t="s">
        <v>88</v>
      </c>
      <c r="C847" s="1" t="s">
        <v>89</v>
      </c>
      <c r="D847" s="1" t="n">
        <v>415</v>
      </c>
      <c r="E847" s="1" t="n">
        <v>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1" t="n">
        <v>-6</v>
      </c>
      <c r="O847" s="1" t="n">
        <v>8.11288333333333</v>
      </c>
    </row>
    <row r="848" customFormat="false" ht="15.75" hidden="true" customHeight="false" outlineLevel="0" collapsed="false">
      <c r="A848" s="4" t="n">
        <v>45534</v>
      </c>
      <c r="B848" s="1" t="s">
        <v>88</v>
      </c>
      <c r="C848" s="1" t="s">
        <v>89</v>
      </c>
      <c r="D848" s="1" t="n">
        <v>448</v>
      </c>
      <c r="E848" s="1" t="n">
        <v>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1" t="n">
        <v>-7</v>
      </c>
      <c r="O848" s="1" t="n">
        <v>7.71378333333333</v>
      </c>
    </row>
    <row r="849" customFormat="false" ht="15.75" hidden="true" customHeight="false" outlineLevel="0" collapsed="false">
      <c r="A849" s="4" t="n">
        <v>45534</v>
      </c>
      <c r="B849" s="1" t="s">
        <v>95</v>
      </c>
      <c r="C849" s="1" t="s">
        <v>89</v>
      </c>
      <c r="D849" s="1" t="n">
        <v>484</v>
      </c>
      <c r="E849" s="1" t="n">
        <v>123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1" t="n">
        <v>-9</v>
      </c>
      <c r="O849" s="1" t="n">
        <v>9.64845</v>
      </c>
    </row>
    <row r="850" customFormat="false" ht="15.75" hidden="true" customHeight="false" outlineLevel="0" collapsed="false">
      <c r="A850" s="4" t="n">
        <v>45534</v>
      </c>
      <c r="B850" s="1" t="s">
        <v>95</v>
      </c>
      <c r="C850" s="1" t="s">
        <v>89</v>
      </c>
      <c r="D850" s="1" t="n">
        <v>154</v>
      </c>
      <c r="E850" s="1" t="n">
        <v>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1" t="n">
        <v>-8</v>
      </c>
      <c r="O850" s="1" t="n">
        <v>11.12775</v>
      </c>
    </row>
    <row r="851" customFormat="false" ht="15.75" hidden="true" customHeight="false" outlineLevel="0" collapsed="false">
      <c r="A851" s="4" t="n">
        <v>45534</v>
      </c>
      <c r="B851" s="1" t="s">
        <v>107</v>
      </c>
      <c r="C851" s="1" t="s">
        <v>104</v>
      </c>
      <c r="D851" s="1" t="n">
        <v>329</v>
      </c>
      <c r="E851" s="1" t="n">
        <v>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1" t="n">
        <v>-3</v>
      </c>
      <c r="O851" s="1" t="n">
        <v>11.7582</v>
      </c>
    </row>
    <row r="852" customFormat="false" ht="15.75" hidden="false" customHeight="false" outlineLevel="0" collapsed="false">
      <c r="A852" s="4" t="n">
        <v>45534</v>
      </c>
      <c r="B852" s="1" t="s">
        <v>103</v>
      </c>
      <c r="C852" s="1" t="s">
        <v>104</v>
      </c>
      <c r="D852" s="1" t="n">
        <v>417</v>
      </c>
      <c r="E852" s="1" t="n">
        <v>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1" t="n">
        <v>7</v>
      </c>
      <c r="O852" s="1" t="n">
        <v>16.5370666666667</v>
      </c>
    </row>
    <row r="853" customFormat="false" ht="15.75" hidden="false" customHeight="false" outlineLevel="0" collapsed="false">
      <c r="A853" s="4" t="n">
        <v>45534</v>
      </c>
      <c r="B853" s="1" t="s">
        <v>103</v>
      </c>
      <c r="C853" s="1" t="s">
        <v>104</v>
      </c>
      <c r="D853" s="1" t="n">
        <v>732</v>
      </c>
      <c r="E853" s="1" t="n">
        <v>150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1" t="n">
        <v>3</v>
      </c>
      <c r="O853" s="1" t="n">
        <v>15.7442333333333</v>
      </c>
    </row>
    <row r="854" customFormat="false" ht="15.75" hidden="false" customHeight="false" outlineLevel="0" collapsed="false">
      <c r="A854" s="4" t="n">
        <v>45534</v>
      </c>
      <c r="B854" s="1" t="s">
        <v>103</v>
      </c>
      <c r="C854" s="1" t="s">
        <v>104</v>
      </c>
      <c r="D854" s="1" t="n">
        <v>1320</v>
      </c>
      <c r="E854" s="1" t="n">
        <v>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1" t="n">
        <v>0</v>
      </c>
      <c r="O854" s="1" t="n">
        <v>15.6640833333333</v>
      </c>
    </row>
    <row r="855" customFormat="false" ht="15.75" hidden="true" customHeight="false" outlineLevel="0" collapsed="false">
      <c r="A855" s="4" t="n">
        <v>45534</v>
      </c>
      <c r="B855" s="1" t="s">
        <v>88</v>
      </c>
      <c r="C855" s="1" t="s">
        <v>89</v>
      </c>
      <c r="D855" s="1" t="n">
        <v>528</v>
      </c>
      <c r="E855" s="1" t="n">
        <v>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1" t="n">
        <v>0</v>
      </c>
      <c r="O855" s="1" t="n">
        <v>19.3948</v>
      </c>
    </row>
    <row r="856" customFormat="false" ht="15.75" hidden="true" customHeight="false" outlineLevel="0" collapsed="false">
      <c r="A856" s="4" t="n">
        <v>45534</v>
      </c>
      <c r="B856" s="1" t="s">
        <v>95</v>
      </c>
      <c r="C856" s="1" t="s">
        <v>89</v>
      </c>
      <c r="D856" s="1" t="n">
        <v>327</v>
      </c>
      <c r="E856" s="1" t="n">
        <v>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1" t="n">
        <v>9</v>
      </c>
      <c r="N856" s="1" t="n">
        <v>4.176</v>
      </c>
      <c r="O856" s="1" t="n">
        <v>13.5134666666667</v>
      </c>
    </row>
    <row r="857" customFormat="false" ht="15.75" hidden="false" customHeight="false" outlineLevel="0" collapsed="false">
      <c r="A857" s="4" t="n">
        <v>45534</v>
      </c>
      <c r="B857" s="1" t="s">
        <v>103</v>
      </c>
      <c r="C857" s="1" t="s">
        <v>104</v>
      </c>
      <c r="D857" s="1" t="n">
        <v>408</v>
      </c>
      <c r="E857" s="1" t="n">
        <v>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1" t="n">
        <v>3</v>
      </c>
      <c r="O857" s="1" t="n">
        <v>12.6436166666667</v>
      </c>
    </row>
    <row r="858" customFormat="false" ht="15.75" hidden="false" customHeight="false" outlineLevel="0" collapsed="false">
      <c r="A858" s="4" t="n">
        <v>45534</v>
      </c>
      <c r="B858" s="1" t="s">
        <v>103</v>
      </c>
      <c r="C858" s="1" t="s">
        <v>104</v>
      </c>
      <c r="D858" s="1" t="n">
        <v>329</v>
      </c>
      <c r="E858" s="1" t="n">
        <v>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1" t="n">
        <v>5</v>
      </c>
      <c r="O858" s="1" t="n">
        <v>13.69075</v>
      </c>
    </row>
    <row r="859" customFormat="false" ht="15.75" hidden="true" customHeight="false" outlineLevel="0" collapsed="false">
      <c r="A859" s="4" t="n">
        <v>45534</v>
      </c>
      <c r="B859" s="1" t="s">
        <v>88</v>
      </c>
      <c r="C859" s="1" t="s">
        <v>89</v>
      </c>
      <c r="D859" s="1" t="n">
        <v>504</v>
      </c>
      <c r="E859" s="1" t="n">
        <v>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1" t="n">
        <v>-2</v>
      </c>
      <c r="O859" s="1" t="n">
        <v>17.0600666666667</v>
      </c>
    </row>
    <row r="860" customFormat="false" ht="15.75" hidden="true" customHeight="false" outlineLevel="0" collapsed="false">
      <c r="A860" s="4" t="n">
        <v>45534</v>
      </c>
      <c r="B860" s="1" t="s">
        <v>95</v>
      </c>
      <c r="C860" s="1" t="s">
        <v>89</v>
      </c>
      <c r="D860" s="1" t="n">
        <v>1074</v>
      </c>
      <c r="E860" s="1" t="n">
        <v>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1" t="n">
        <v>-3</v>
      </c>
      <c r="N860" s="1" t="n">
        <v>0.0104166666666667</v>
      </c>
      <c r="O860" s="1" t="n">
        <v>23.1887666666667</v>
      </c>
    </row>
    <row r="861" customFormat="false" ht="15.75" hidden="true" customHeight="false" outlineLevel="0" collapsed="false">
      <c r="A861" s="4" t="n">
        <v>45534</v>
      </c>
      <c r="B861" s="1" t="s">
        <v>88</v>
      </c>
      <c r="C861" s="1" t="s">
        <v>89</v>
      </c>
      <c r="D861" s="1" t="n">
        <v>329</v>
      </c>
      <c r="E861" s="1" t="n">
        <v>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1" t="n">
        <v>-2</v>
      </c>
      <c r="O861" s="1" t="n">
        <v>12.4424833333333</v>
      </c>
    </row>
    <row r="862" customFormat="false" ht="15.75" hidden="false" customHeight="false" outlineLevel="0" collapsed="false">
      <c r="A862" s="4" t="n">
        <v>45534</v>
      </c>
      <c r="B862" s="1" t="s">
        <v>103</v>
      </c>
      <c r="C862" s="1" t="s">
        <v>104</v>
      </c>
      <c r="D862" s="1" t="n">
        <v>264</v>
      </c>
      <c r="E862" s="1" t="n">
        <v>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1" t="n">
        <v>0</v>
      </c>
      <c r="O862" s="1" t="n">
        <v>6.84141666666667</v>
      </c>
    </row>
    <row r="863" customFormat="false" ht="15.75" hidden="false" customHeight="false" outlineLevel="0" collapsed="false">
      <c r="A863" s="4" t="n">
        <v>45534</v>
      </c>
      <c r="B863" s="1" t="s">
        <v>103</v>
      </c>
      <c r="C863" s="1" t="s">
        <v>104</v>
      </c>
      <c r="D863" s="1" t="n">
        <v>528</v>
      </c>
      <c r="E863" s="1" t="n">
        <v>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1" t="n">
        <v>6</v>
      </c>
      <c r="O863" s="1" t="n">
        <v>15.0751666666667</v>
      </c>
    </row>
    <row r="864" customFormat="false" ht="15.75" hidden="false" customHeight="false" outlineLevel="0" collapsed="false">
      <c r="A864" s="4" t="n">
        <v>45534</v>
      </c>
      <c r="B864" s="1" t="s">
        <v>103</v>
      </c>
      <c r="C864" s="1" t="s">
        <v>104</v>
      </c>
      <c r="D864" s="1" t="n">
        <v>488</v>
      </c>
      <c r="E864" s="1" t="n">
        <v>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1" t="n">
        <v>5</v>
      </c>
      <c r="O864" s="1" t="n">
        <v>13.79015</v>
      </c>
    </row>
    <row r="865" customFormat="false" ht="15.75" hidden="true" customHeight="false" outlineLevel="0" collapsed="false">
      <c r="A865" s="4" t="n">
        <v>45534</v>
      </c>
      <c r="B865" s="1" t="s">
        <v>95</v>
      </c>
      <c r="C865" s="1" t="s">
        <v>89</v>
      </c>
      <c r="D865" s="1" t="n">
        <v>707</v>
      </c>
      <c r="E865" s="1" t="n">
        <v>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1" t="n">
        <v>-11</v>
      </c>
      <c r="N865" s="1" t="n">
        <v>0.0108666666666667</v>
      </c>
      <c r="O865" s="1" t="n">
        <v>15.9373333333333</v>
      </c>
    </row>
    <row r="866" customFormat="false" ht="15.75" hidden="false" customHeight="false" outlineLevel="0" collapsed="false">
      <c r="A866" s="4" t="n">
        <v>45534</v>
      </c>
      <c r="B866" s="1" t="s">
        <v>103</v>
      </c>
      <c r="C866" s="1" t="s">
        <v>104</v>
      </c>
      <c r="D866" s="1" t="n">
        <v>378</v>
      </c>
      <c r="E866" s="1" t="n">
        <v>150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1" t="n">
        <v>3</v>
      </c>
      <c r="O866" s="1" t="n">
        <v>11.5095833333333</v>
      </c>
    </row>
    <row r="867" customFormat="false" ht="15.75" hidden="true" customHeight="false" outlineLevel="0" collapsed="false">
      <c r="A867" s="4" t="n">
        <v>45534</v>
      </c>
      <c r="B867" s="1" t="s">
        <v>95</v>
      </c>
      <c r="C867" s="1" t="s">
        <v>89</v>
      </c>
      <c r="D867" s="1" t="n">
        <v>250</v>
      </c>
      <c r="E867" s="1" t="n">
        <v>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1" t="n">
        <v>7</v>
      </c>
      <c r="N867" s="1" t="n">
        <v>9.03883333333333</v>
      </c>
      <c r="O867" s="1" t="n">
        <v>17.90235</v>
      </c>
    </row>
    <row r="868" customFormat="false" ht="15.75" hidden="true" customHeight="false" outlineLevel="0" collapsed="false">
      <c r="A868" s="4" t="n">
        <v>45534</v>
      </c>
      <c r="B868" s="1" t="s">
        <v>88</v>
      </c>
      <c r="C868" s="1" t="s">
        <v>89</v>
      </c>
      <c r="D868" s="1" t="n">
        <v>364</v>
      </c>
      <c r="E868" s="1" t="n">
        <v>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1" t="n">
        <v>1</v>
      </c>
      <c r="O868" s="1" t="n">
        <v>16.7009</v>
      </c>
    </row>
    <row r="869" customFormat="false" ht="15.75" hidden="true" customHeight="false" outlineLevel="0" collapsed="false">
      <c r="A869" s="4" t="n">
        <v>45534</v>
      </c>
      <c r="B869" s="1" t="s">
        <v>95</v>
      </c>
      <c r="C869" s="1" t="s">
        <v>89</v>
      </c>
      <c r="D869" s="1" t="n">
        <v>1245</v>
      </c>
      <c r="E869" s="1" t="n">
        <v>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1" t="n">
        <v>-11</v>
      </c>
      <c r="N869" s="1" t="n">
        <v>0.00945</v>
      </c>
    </row>
    <row r="870" customFormat="false" ht="15.75" hidden="true" customHeight="false" outlineLevel="0" collapsed="false">
      <c r="A870" s="4" t="n">
        <v>45534</v>
      </c>
      <c r="B870" s="1" t="s">
        <v>95</v>
      </c>
      <c r="C870" s="1" t="s">
        <v>89</v>
      </c>
      <c r="D870" s="1" t="n">
        <v>199</v>
      </c>
      <c r="E870" s="1" t="n">
        <v>50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1" t="n">
        <v>0</v>
      </c>
      <c r="O870" s="1" t="n">
        <v>171.585583333333</v>
      </c>
    </row>
    <row r="871" customFormat="false" ht="15.75" hidden="false" customHeight="false" outlineLevel="0" collapsed="false">
      <c r="A871" s="4" t="n">
        <v>45535</v>
      </c>
      <c r="B871" s="1" t="s">
        <v>95</v>
      </c>
      <c r="C871" s="1" t="s">
        <v>89</v>
      </c>
      <c r="D871" s="1" t="n">
        <v>423</v>
      </c>
      <c r="E871" s="1" t="n">
        <v>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1" t="n">
        <v>7</v>
      </c>
      <c r="N871" s="1" t="n">
        <v>9.01948333333333</v>
      </c>
      <c r="O871" s="1" t="n">
        <v>11.5315833333333</v>
      </c>
    </row>
    <row r="872" customFormat="false" ht="15.75" hidden="false" customHeight="false" outlineLevel="0" collapsed="false">
      <c r="A872" s="4" t="n">
        <v>45535</v>
      </c>
      <c r="B872" s="1" t="s">
        <v>103</v>
      </c>
      <c r="C872" s="1" t="s">
        <v>104</v>
      </c>
      <c r="D872" s="1" t="n">
        <v>264</v>
      </c>
      <c r="E872" s="1" t="n">
        <v>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1" t="n">
        <v>1</v>
      </c>
      <c r="O872" s="1" t="n">
        <v>7.08573333333333</v>
      </c>
    </row>
    <row r="873" customFormat="false" ht="15.75" hidden="false" customHeight="false" outlineLevel="0" collapsed="false">
      <c r="A873" s="4" t="n">
        <v>45535</v>
      </c>
      <c r="B873" s="1" t="s">
        <v>103</v>
      </c>
      <c r="C873" s="1" t="s">
        <v>104</v>
      </c>
      <c r="D873" s="1" t="n">
        <v>435</v>
      </c>
      <c r="E873" s="1" t="n">
        <v>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1" t="n">
        <v>4</v>
      </c>
      <c r="O873" s="1" t="n">
        <v>12.7977166666667</v>
      </c>
    </row>
    <row r="874" customFormat="false" ht="15.75" hidden="false" customHeight="false" outlineLevel="0" collapsed="false">
      <c r="A874" s="4" t="n">
        <v>45535</v>
      </c>
      <c r="B874" s="1" t="s">
        <v>88</v>
      </c>
      <c r="C874" s="1" t="s">
        <v>89</v>
      </c>
      <c r="D874" s="1" t="n">
        <v>400</v>
      </c>
      <c r="E874" s="1" t="n">
        <v>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1" t="n">
        <v>0</v>
      </c>
      <c r="O874" s="1" t="n">
        <v>14.2490333333333</v>
      </c>
    </row>
    <row r="875" customFormat="false" ht="15.75" hidden="false" customHeight="false" outlineLevel="0" collapsed="false">
      <c r="A875" s="4" t="n">
        <v>45535</v>
      </c>
      <c r="B875" s="1" t="s">
        <v>95</v>
      </c>
      <c r="C875" s="1" t="s">
        <v>89</v>
      </c>
      <c r="D875" s="1" t="n">
        <v>1066</v>
      </c>
      <c r="E875" s="1" t="n">
        <v>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1" t="n">
        <v>7</v>
      </c>
      <c r="N875" s="1" t="n">
        <v>14.57325</v>
      </c>
      <c r="O875" s="1" t="n">
        <v>13.0663333333333</v>
      </c>
    </row>
    <row r="876" customFormat="false" ht="15.75" hidden="false" customHeight="false" outlineLevel="0" collapsed="false">
      <c r="A876" s="4" t="n">
        <v>45535</v>
      </c>
      <c r="B876" s="1" t="s">
        <v>88</v>
      </c>
      <c r="C876" s="1" t="s">
        <v>89</v>
      </c>
      <c r="D876" s="1" t="n">
        <v>249</v>
      </c>
      <c r="E876" s="1" t="n">
        <v>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1" t="n">
        <v>-10</v>
      </c>
      <c r="O876" s="1" t="n">
        <v>4.391</v>
      </c>
    </row>
    <row r="877" customFormat="false" ht="15.75" hidden="false" customHeight="false" outlineLevel="0" collapsed="false">
      <c r="A877" s="4" t="n">
        <v>45535</v>
      </c>
      <c r="B877" s="1" t="s">
        <v>88</v>
      </c>
      <c r="C877" s="1" t="s">
        <v>89</v>
      </c>
      <c r="D877" s="1" t="n">
        <v>294</v>
      </c>
      <c r="E877" s="1" t="n">
        <v>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1" t="n">
        <v>-7</v>
      </c>
      <c r="O877" s="1" t="n">
        <v>7.88955</v>
      </c>
    </row>
    <row r="878" customFormat="false" ht="15.75" hidden="false" customHeight="false" outlineLevel="0" collapsed="false">
      <c r="A878" s="4" t="n">
        <v>45535</v>
      </c>
      <c r="B878" s="1" t="s">
        <v>107</v>
      </c>
      <c r="C878" s="1" t="s">
        <v>104</v>
      </c>
      <c r="D878" s="1" t="n">
        <v>264</v>
      </c>
      <c r="E878" s="1" t="n">
        <v>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1" t="n">
        <v>-6</v>
      </c>
      <c r="O878" s="1" t="n">
        <v>8.54846666666667</v>
      </c>
    </row>
    <row r="879" customFormat="false" ht="15.75" hidden="false" customHeight="false" outlineLevel="0" collapsed="false">
      <c r="A879" s="4" t="n">
        <v>45535</v>
      </c>
      <c r="B879" s="1" t="s">
        <v>107</v>
      </c>
      <c r="C879" s="1" t="s">
        <v>104</v>
      </c>
      <c r="D879" s="1" t="n">
        <v>772</v>
      </c>
      <c r="E879" s="1" t="n">
        <v>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1" t="n">
        <v>-9</v>
      </c>
      <c r="O879" s="1" t="n">
        <v>10.49795</v>
      </c>
    </row>
    <row r="880" customFormat="false" ht="15.75" hidden="false" customHeight="false" outlineLevel="0" collapsed="false">
      <c r="A880" s="4" t="n">
        <v>45535</v>
      </c>
      <c r="B880" s="1" t="s">
        <v>88</v>
      </c>
      <c r="C880" s="1" t="s">
        <v>89</v>
      </c>
      <c r="D880" s="1" t="n">
        <v>1316</v>
      </c>
      <c r="E880" s="1" t="n">
        <v>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1" t="n">
        <v>-8</v>
      </c>
      <c r="O880" s="1" t="n">
        <v>11.7823833333333</v>
      </c>
    </row>
    <row r="881" customFormat="false" ht="15.75" hidden="false" customHeight="false" outlineLevel="0" collapsed="false">
      <c r="A881" s="4" t="n">
        <v>45535</v>
      </c>
      <c r="B881" s="1" t="s">
        <v>88</v>
      </c>
      <c r="C881" s="1" t="s">
        <v>89</v>
      </c>
      <c r="D881" s="1" t="n">
        <v>313</v>
      </c>
      <c r="E881" s="1" t="n">
        <v>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1" t="n">
        <v>-8</v>
      </c>
      <c r="O881" s="1" t="n">
        <v>10.5685833333333</v>
      </c>
    </row>
    <row r="882" customFormat="false" ht="15.75" hidden="false" customHeight="false" outlineLevel="0" collapsed="false">
      <c r="A882" s="4" t="n">
        <v>45535</v>
      </c>
      <c r="B882" s="1" t="s">
        <v>103</v>
      </c>
      <c r="C882" s="1" t="s">
        <v>104</v>
      </c>
      <c r="D882" s="1" t="n">
        <v>284</v>
      </c>
      <c r="E882" s="1" t="n">
        <v>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1" t="n">
        <v>1</v>
      </c>
      <c r="O882" s="1" t="n">
        <v>8.30883333333333</v>
      </c>
    </row>
    <row r="883" customFormat="false" ht="15.75" hidden="false" customHeight="false" outlineLevel="0" collapsed="false">
      <c r="A883" s="4" t="n">
        <v>45535</v>
      </c>
      <c r="B883" s="1" t="s">
        <v>103</v>
      </c>
      <c r="C883" s="1" t="s">
        <v>104</v>
      </c>
      <c r="D883" s="1" t="n">
        <v>129</v>
      </c>
      <c r="E883" s="1" t="n">
        <v>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1" t="n">
        <v>1</v>
      </c>
      <c r="O883" s="1" t="n">
        <v>6.46445</v>
      </c>
    </row>
    <row r="884" customFormat="false" ht="15.75" hidden="false" customHeight="false" outlineLevel="0" collapsed="false">
      <c r="A884" s="4" t="n">
        <v>45535</v>
      </c>
      <c r="B884" s="1" t="s">
        <v>107</v>
      </c>
      <c r="C884" s="1" t="s">
        <v>104</v>
      </c>
      <c r="D884" s="1" t="n">
        <v>329</v>
      </c>
      <c r="E884" s="1" t="n">
        <v>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1" t="n">
        <v>-2</v>
      </c>
      <c r="O884" s="1" t="n">
        <v>12.3828</v>
      </c>
    </row>
    <row r="885" customFormat="false" ht="15.75" hidden="false" customHeight="false" outlineLevel="0" collapsed="false">
      <c r="A885" s="4" t="n">
        <v>45535</v>
      </c>
      <c r="B885" s="1" t="s">
        <v>88</v>
      </c>
      <c r="C885" s="1" t="s">
        <v>89</v>
      </c>
      <c r="D885" s="1" t="n">
        <v>2057</v>
      </c>
      <c r="E885" s="1" t="n">
        <v>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1" t="n">
        <v>-4</v>
      </c>
      <c r="O885" s="1" t="n">
        <v>15.6721333333333</v>
      </c>
    </row>
    <row r="886" customFormat="false" ht="15.75" hidden="false" customHeight="false" outlineLevel="0" collapsed="false">
      <c r="A886" s="4" t="n">
        <v>45535</v>
      </c>
      <c r="B886" s="1" t="s">
        <v>95</v>
      </c>
      <c r="C886" s="1" t="s">
        <v>104</v>
      </c>
      <c r="D886" s="1" t="n">
        <v>199</v>
      </c>
      <c r="E886" s="1" t="n">
        <v>50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1" t="n">
        <v>-9</v>
      </c>
      <c r="O886" s="1" t="n">
        <v>10.0679833333333</v>
      </c>
    </row>
    <row r="887" customFormat="false" ht="15.75" hidden="false" customHeight="false" outlineLevel="0" collapsed="false">
      <c r="A887" s="4" t="n">
        <v>45535</v>
      </c>
      <c r="B887" s="1" t="s">
        <v>107</v>
      </c>
      <c r="C887" s="1" t="s">
        <v>104</v>
      </c>
      <c r="D887" s="1" t="n">
        <v>294</v>
      </c>
      <c r="E887" s="1" t="n">
        <v>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1" t="n">
        <v>-8</v>
      </c>
      <c r="O887" s="1" t="n">
        <v>6.74925</v>
      </c>
    </row>
    <row r="888" customFormat="false" ht="15.75" hidden="false" customHeight="false" outlineLevel="0" collapsed="false">
      <c r="A888" s="4" t="n">
        <v>45535</v>
      </c>
      <c r="B888" s="1" t="s">
        <v>103</v>
      </c>
      <c r="C888" s="1" t="s">
        <v>104</v>
      </c>
      <c r="D888" s="1" t="n">
        <v>378</v>
      </c>
      <c r="E888" s="1" t="n">
        <v>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1" t="n">
        <v>0</v>
      </c>
      <c r="O888" s="1" t="n">
        <v>7.18066666666667</v>
      </c>
    </row>
    <row r="889" customFormat="false" ht="15.75" hidden="false" customHeight="false" outlineLevel="0" collapsed="false">
      <c r="A889" s="4" t="n">
        <v>45535</v>
      </c>
      <c r="B889" s="1" t="s">
        <v>95</v>
      </c>
      <c r="C889" s="1" t="s">
        <v>104</v>
      </c>
      <c r="D889" s="1" t="n">
        <v>335</v>
      </c>
      <c r="E889" s="1" t="n">
        <v>69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1" t="n">
        <v>-23</v>
      </c>
      <c r="O889" s="1" t="n">
        <v>9.52545</v>
      </c>
    </row>
    <row r="890" customFormat="false" ht="15.75" hidden="false" customHeight="false" outlineLevel="0" collapsed="false">
      <c r="A890" s="4" t="n">
        <v>45535</v>
      </c>
      <c r="B890" s="1" t="s">
        <v>103</v>
      </c>
      <c r="C890" s="1" t="s">
        <v>104</v>
      </c>
      <c r="D890" s="1" t="n">
        <v>429</v>
      </c>
      <c r="E890" s="1" t="n">
        <v>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1" t="n">
        <v>1</v>
      </c>
      <c r="O890" s="1" t="n">
        <v>9.65316666666667</v>
      </c>
    </row>
    <row r="891" customFormat="false" ht="15.75" hidden="false" customHeight="false" outlineLevel="0" collapsed="false">
      <c r="A891" s="4" t="n">
        <v>45535</v>
      </c>
      <c r="B891" s="1" t="s">
        <v>95</v>
      </c>
      <c r="C891" s="1" t="s">
        <v>104</v>
      </c>
      <c r="D891" s="1" t="n">
        <v>247</v>
      </c>
      <c r="E891" s="1" t="n">
        <v>62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1" t="n">
        <v>-7</v>
      </c>
      <c r="O891" s="1" t="n">
        <v>10.8328</v>
      </c>
    </row>
    <row r="892" customFormat="false" ht="15.75" hidden="false" customHeight="false" outlineLevel="0" collapsed="false">
      <c r="A892" s="4" t="n">
        <v>45535</v>
      </c>
      <c r="B892" s="1" t="s">
        <v>103</v>
      </c>
      <c r="C892" s="1" t="s">
        <v>104</v>
      </c>
      <c r="D892" s="1" t="n">
        <v>474</v>
      </c>
      <c r="E892" s="1" t="n">
        <v>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1" t="n">
        <v>0</v>
      </c>
      <c r="O892" s="1" t="n">
        <v>7.82933333333333</v>
      </c>
    </row>
    <row r="893" customFormat="false" ht="15.75" hidden="false" customHeight="false" outlineLevel="0" collapsed="false">
      <c r="A893" s="4" t="n">
        <v>45535</v>
      </c>
      <c r="B893" s="1" t="s">
        <v>95</v>
      </c>
      <c r="C893" s="1" t="s">
        <v>89</v>
      </c>
      <c r="D893" s="1" t="n">
        <v>618</v>
      </c>
      <c r="E893" s="1" t="n">
        <v>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1" t="n">
        <v>-9</v>
      </c>
      <c r="N893" s="1" t="n">
        <v>6.21491666666667</v>
      </c>
      <c r="O893" s="1" t="n">
        <v>8.19161666666667</v>
      </c>
    </row>
    <row r="894" customFormat="false" ht="15.75" hidden="false" customHeight="false" outlineLevel="0" collapsed="false">
      <c r="A894" s="4" t="n">
        <v>45535</v>
      </c>
      <c r="B894" s="1" t="s">
        <v>95</v>
      </c>
      <c r="C894" s="1" t="s">
        <v>89</v>
      </c>
      <c r="D894" s="1" t="n">
        <v>598</v>
      </c>
      <c r="E894" s="1" t="n">
        <v>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1" t="n">
        <v>-7</v>
      </c>
      <c r="N894" s="1" t="n">
        <v>0.0101</v>
      </c>
      <c r="O894" s="1" t="n">
        <v>8.48191666666667</v>
      </c>
    </row>
    <row r="895" customFormat="false" ht="15.75" hidden="false" customHeight="false" outlineLevel="0" collapsed="false">
      <c r="A895" s="4" t="n">
        <v>45535</v>
      </c>
      <c r="B895" s="1" t="s">
        <v>107</v>
      </c>
      <c r="C895" s="1" t="s">
        <v>104</v>
      </c>
      <c r="D895" s="1" t="n">
        <v>553</v>
      </c>
      <c r="E895" s="1" t="n">
        <v>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1" t="n">
        <v>-11</v>
      </c>
      <c r="O895" s="1" t="n">
        <v>8.08861666666667</v>
      </c>
    </row>
    <row r="896" customFormat="false" ht="15.75" hidden="false" customHeight="false" outlineLevel="0" collapsed="false">
      <c r="A896" s="4" t="n">
        <v>45535</v>
      </c>
      <c r="B896" s="1" t="s">
        <v>88</v>
      </c>
      <c r="C896" s="1" t="s">
        <v>89</v>
      </c>
      <c r="D896" s="1" t="n">
        <v>264</v>
      </c>
      <c r="E896" s="1" t="n">
        <v>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1" t="n">
        <v>-8</v>
      </c>
      <c r="O896" s="1" t="n">
        <v>6.98421666666667</v>
      </c>
    </row>
    <row r="897" customFormat="false" ht="15.75" hidden="false" customHeight="false" outlineLevel="0" collapsed="false">
      <c r="A897" s="4" t="n">
        <v>45535</v>
      </c>
      <c r="B897" s="1" t="s">
        <v>107</v>
      </c>
      <c r="C897" s="1" t="s">
        <v>104</v>
      </c>
      <c r="D897" s="1" t="n">
        <v>394</v>
      </c>
      <c r="E897" s="1" t="n">
        <v>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1" t="n">
        <v>-6</v>
      </c>
      <c r="O897" s="1" t="n">
        <v>8.35706666666667</v>
      </c>
    </row>
    <row r="898" customFormat="false" ht="15.75" hidden="false" customHeight="false" outlineLevel="0" collapsed="false">
      <c r="A898" s="4" t="n">
        <v>45535</v>
      </c>
      <c r="B898" s="1" t="s">
        <v>88</v>
      </c>
      <c r="C898" s="1" t="s">
        <v>89</v>
      </c>
      <c r="D898" s="1" t="n">
        <v>264</v>
      </c>
      <c r="E898" s="1" t="n">
        <v>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1" t="n">
        <v>-7</v>
      </c>
      <c r="O898" s="1" t="n">
        <v>7.35783333333333</v>
      </c>
    </row>
    <row r="899" customFormat="false" ht="15.75" hidden="false" customHeight="false" outlineLevel="0" collapsed="false">
      <c r="A899" s="4" t="n">
        <v>45535</v>
      </c>
      <c r="B899" s="1" t="s">
        <v>88</v>
      </c>
      <c r="C899" s="1" t="s">
        <v>89</v>
      </c>
      <c r="D899" s="1" t="n">
        <v>571</v>
      </c>
      <c r="E899" s="1" t="n">
        <v>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1" t="n">
        <v>-10</v>
      </c>
      <c r="O899" s="1" t="n">
        <v>9.72633333333333</v>
      </c>
    </row>
    <row r="900" customFormat="false" ht="15.75" hidden="false" customHeight="false" outlineLevel="0" collapsed="false">
      <c r="A900" s="4" t="n">
        <v>45535</v>
      </c>
      <c r="B900" s="1" t="s">
        <v>107</v>
      </c>
      <c r="C900" s="1" t="s">
        <v>104</v>
      </c>
      <c r="D900" s="1" t="n">
        <v>378</v>
      </c>
      <c r="E900" s="1" t="n">
        <v>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1" t="n">
        <v>-3</v>
      </c>
      <c r="O900" s="1" t="n">
        <v>11.3603</v>
      </c>
    </row>
    <row r="901" customFormat="false" ht="15.75" hidden="false" customHeight="false" outlineLevel="0" collapsed="false">
      <c r="A901" s="4" t="n">
        <v>45535</v>
      </c>
      <c r="B901" s="1" t="s">
        <v>95</v>
      </c>
      <c r="C901" s="1" t="s">
        <v>104</v>
      </c>
      <c r="D901" s="1" t="n">
        <v>247</v>
      </c>
      <c r="E901" s="1" t="n">
        <v>62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1" t="n">
        <v>-13</v>
      </c>
      <c r="O901" s="1" t="n">
        <v>5.95258333333333</v>
      </c>
    </row>
    <row r="902" customFormat="false" ht="15.75" hidden="false" customHeight="false" outlineLevel="0" collapsed="false">
      <c r="A902" s="4" t="n">
        <v>45535</v>
      </c>
      <c r="B902" s="1" t="s">
        <v>103</v>
      </c>
      <c r="C902" s="1" t="s">
        <v>104</v>
      </c>
      <c r="D902" s="1" t="n">
        <v>677</v>
      </c>
      <c r="E902" s="1" t="n">
        <v>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1" t="n">
        <v>-2</v>
      </c>
      <c r="O902" s="1" t="n">
        <v>6.40955</v>
      </c>
    </row>
    <row r="903" customFormat="false" ht="15.75" hidden="false" customHeight="false" outlineLevel="0" collapsed="false">
      <c r="A903" s="4" t="n">
        <v>45535</v>
      </c>
      <c r="B903" s="1" t="s">
        <v>95</v>
      </c>
      <c r="C903" s="1" t="s">
        <v>104</v>
      </c>
      <c r="D903" s="1" t="n">
        <v>268</v>
      </c>
      <c r="E903" s="1" t="n">
        <v>50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1" t="n">
        <v>-11</v>
      </c>
      <c r="O903" s="1" t="n">
        <v>7.97111666666667</v>
      </c>
    </row>
    <row r="904" customFormat="false" ht="15.75" hidden="false" customHeight="false" outlineLevel="0" collapsed="false">
      <c r="A904" s="4" t="n">
        <v>45535</v>
      </c>
      <c r="B904" s="1" t="s">
        <v>88</v>
      </c>
      <c r="C904" s="1" t="s">
        <v>89</v>
      </c>
      <c r="D904" s="1" t="n">
        <v>602</v>
      </c>
      <c r="E904" s="1" t="n">
        <v>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1" t="n">
        <v>-11</v>
      </c>
      <c r="O904" s="1" t="n">
        <v>8.51818333333333</v>
      </c>
    </row>
    <row r="905" customFormat="false" ht="15.75" hidden="false" customHeight="false" outlineLevel="0" collapsed="false">
      <c r="A905" s="4" t="n">
        <v>45535</v>
      </c>
      <c r="B905" s="1" t="s">
        <v>103</v>
      </c>
      <c r="C905" s="1" t="s">
        <v>104</v>
      </c>
      <c r="D905" s="1" t="n">
        <v>329</v>
      </c>
      <c r="E905" s="1" t="n">
        <v>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1" t="n">
        <v>0</v>
      </c>
      <c r="O905" s="1" t="n">
        <v>6.96966666666667</v>
      </c>
    </row>
    <row r="906" customFormat="false" ht="15.75" hidden="false" customHeight="false" outlineLevel="0" collapsed="false">
      <c r="A906" s="4" t="n">
        <v>45535</v>
      </c>
      <c r="B906" s="1" t="s">
        <v>95</v>
      </c>
      <c r="C906" s="1" t="s">
        <v>104</v>
      </c>
      <c r="D906" s="1" t="n">
        <v>219</v>
      </c>
      <c r="E906" s="1" t="n">
        <v>50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1" t="n">
        <v>-24</v>
      </c>
      <c r="O906" s="1" t="n">
        <v>9.28475</v>
      </c>
    </row>
    <row r="907" customFormat="false" ht="15.75" hidden="false" customHeight="false" outlineLevel="0" collapsed="false">
      <c r="A907" s="4" t="n">
        <v>45535</v>
      </c>
      <c r="B907" s="1" t="s">
        <v>88</v>
      </c>
      <c r="C907" s="1" t="s">
        <v>89</v>
      </c>
      <c r="D907" s="1" t="n">
        <v>364</v>
      </c>
      <c r="E907" s="1" t="n">
        <v>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1" t="n">
        <v>-7</v>
      </c>
      <c r="O907" s="1" t="n">
        <v>7.99181666666667</v>
      </c>
    </row>
    <row r="908" customFormat="false" ht="15.75" hidden="false" customHeight="false" outlineLevel="0" collapsed="false">
      <c r="A908" s="4" t="n">
        <v>45535</v>
      </c>
      <c r="B908" s="1" t="s">
        <v>103</v>
      </c>
      <c r="C908" s="1" t="s">
        <v>104</v>
      </c>
      <c r="D908" s="1" t="n">
        <v>294</v>
      </c>
      <c r="E908" s="1" t="n">
        <v>100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1" t="n">
        <v>4</v>
      </c>
      <c r="O908" s="1" t="n">
        <v>11.1324333333333</v>
      </c>
    </row>
    <row r="909" customFormat="false" ht="15.75" hidden="false" customHeight="false" outlineLevel="0" collapsed="false">
      <c r="A909" s="4" t="n">
        <v>45535</v>
      </c>
      <c r="B909" s="1" t="s">
        <v>88</v>
      </c>
      <c r="C909" s="1" t="s">
        <v>89</v>
      </c>
      <c r="D909" s="1" t="n">
        <v>329</v>
      </c>
      <c r="E909" s="1" t="n">
        <v>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1" t="n">
        <v>-6</v>
      </c>
      <c r="O909" s="1" t="n">
        <v>13.5242</v>
      </c>
    </row>
    <row r="910" customFormat="false" ht="15.75" hidden="false" customHeight="false" outlineLevel="0" collapsed="false">
      <c r="A910" s="4" t="n">
        <v>45535</v>
      </c>
      <c r="B910" s="1" t="s">
        <v>95</v>
      </c>
      <c r="C910" s="1" t="s">
        <v>104</v>
      </c>
      <c r="D910" s="1" t="n">
        <v>285</v>
      </c>
      <c r="E910" s="1" t="n">
        <v>66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1" t="n">
        <v>-9</v>
      </c>
      <c r="O910" s="1" t="n">
        <v>9.42178333333333</v>
      </c>
    </row>
    <row r="911" customFormat="false" ht="15.75" hidden="false" customHeight="false" outlineLevel="0" collapsed="false">
      <c r="A911" s="4" t="n">
        <v>45535</v>
      </c>
      <c r="B911" s="1" t="s">
        <v>228</v>
      </c>
      <c r="C911" s="1" t="s">
        <v>104</v>
      </c>
      <c r="D911" s="1" t="n">
        <v>346</v>
      </c>
      <c r="E911" s="1" t="n">
        <v>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1" t="n">
        <v>2</v>
      </c>
      <c r="O911" s="1" t="n">
        <v>7.37963333333333</v>
      </c>
    </row>
    <row r="912" customFormat="false" ht="15.75" hidden="false" customHeight="false" outlineLevel="0" collapsed="false">
      <c r="A912" s="4" t="n">
        <v>45535</v>
      </c>
      <c r="B912" s="1" t="s">
        <v>95</v>
      </c>
      <c r="C912" s="1" t="s">
        <v>89</v>
      </c>
      <c r="D912" s="1" t="n">
        <v>301</v>
      </c>
      <c r="E912" s="1" t="n">
        <v>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1" t="n">
        <v>-7</v>
      </c>
      <c r="N912" s="1" t="n">
        <v>0.0122833333333333</v>
      </c>
      <c r="O912" s="1" t="n">
        <v>7.0979</v>
      </c>
    </row>
    <row r="913" customFormat="false" ht="15.75" hidden="false" customHeight="false" outlineLevel="0" collapsed="false">
      <c r="A913" s="4" t="n">
        <v>45535</v>
      </c>
      <c r="B913" s="1" t="s">
        <v>103</v>
      </c>
      <c r="C913" s="1" t="s">
        <v>104</v>
      </c>
      <c r="D913" s="1" t="n">
        <v>413</v>
      </c>
      <c r="E913" s="1" t="n">
        <v>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1" t="n">
        <v>1</v>
      </c>
      <c r="O913" s="1" t="n">
        <v>8.82578333333333</v>
      </c>
    </row>
    <row r="914" customFormat="false" ht="15.75" hidden="false" customHeight="false" outlineLevel="0" collapsed="false">
      <c r="A914" s="4" t="n">
        <v>45535</v>
      </c>
      <c r="B914" s="1" t="s">
        <v>95</v>
      </c>
      <c r="C914" s="1" t="s">
        <v>89</v>
      </c>
      <c r="D914" s="1" t="n">
        <v>533</v>
      </c>
      <c r="E914" s="1" t="n">
        <v>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1" t="n">
        <v>-20</v>
      </c>
      <c r="N914" s="1" t="n">
        <v>0.00953333333333333</v>
      </c>
      <c r="O914" s="1" t="n">
        <v>9.99596666666667</v>
      </c>
    </row>
    <row r="915" customFormat="false" ht="15.75" hidden="false" customHeight="false" outlineLevel="0" collapsed="false">
      <c r="A915" s="4" t="n">
        <v>45535</v>
      </c>
      <c r="B915" s="1" t="s">
        <v>95</v>
      </c>
      <c r="C915" s="1" t="s">
        <v>104</v>
      </c>
      <c r="D915" s="1" t="n">
        <v>344</v>
      </c>
      <c r="E915" s="1" t="n">
        <v>169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1" t="n">
        <v>-10</v>
      </c>
      <c r="O915" s="1" t="n">
        <v>8.9806</v>
      </c>
    </row>
    <row r="916" customFormat="false" ht="15.75" hidden="false" customHeight="false" outlineLevel="0" collapsed="false">
      <c r="A916" s="4" t="n">
        <v>45535</v>
      </c>
      <c r="B916" s="1" t="s">
        <v>95</v>
      </c>
      <c r="C916" s="1" t="s">
        <v>104</v>
      </c>
      <c r="D916" s="1" t="n">
        <v>279</v>
      </c>
      <c r="E916" s="1" t="n">
        <v>70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1" t="n">
        <v>-9</v>
      </c>
      <c r="O916" s="1" t="n">
        <v>9.7129</v>
      </c>
    </row>
    <row r="917" customFormat="false" ht="15.75" hidden="false" customHeight="false" outlineLevel="0" collapsed="false">
      <c r="A917" s="4" t="n">
        <v>45535</v>
      </c>
      <c r="B917" s="1" t="s">
        <v>88</v>
      </c>
      <c r="C917" s="1" t="s">
        <v>89</v>
      </c>
      <c r="D917" s="1" t="n">
        <v>483</v>
      </c>
      <c r="E917" s="1" t="n">
        <v>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1" t="n">
        <v>-6</v>
      </c>
      <c r="O917" s="1" t="n">
        <v>8.94335</v>
      </c>
    </row>
    <row r="918" customFormat="false" ht="15.75" hidden="false" customHeight="false" outlineLevel="0" collapsed="false">
      <c r="A918" s="4" t="n">
        <v>45535</v>
      </c>
      <c r="B918" s="1" t="s">
        <v>95</v>
      </c>
      <c r="C918" s="1" t="s">
        <v>89</v>
      </c>
      <c r="D918" s="1" t="n">
        <v>437</v>
      </c>
      <c r="E918" s="1" t="n">
        <v>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1" t="n">
        <v>-5</v>
      </c>
      <c r="N918" s="1" t="n">
        <v>0.00978333333333333</v>
      </c>
      <c r="O918" s="1" t="n">
        <v>15.12945</v>
      </c>
    </row>
    <row r="919" customFormat="false" ht="15.75" hidden="false" customHeight="false" outlineLevel="0" collapsed="false">
      <c r="A919" s="4" t="n">
        <v>45535</v>
      </c>
      <c r="B919" s="1" t="s">
        <v>107</v>
      </c>
      <c r="C919" s="1" t="s">
        <v>104</v>
      </c>
      <c r="D919" s="1" t="n">
        <v>393</v>
      </c>
      <c r="E919" s="1" t="n">
        <v>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1" t="n">
        <v>-8</v>
      </c>
      <c r="O919" s="1" t="n">
        <v>6.87531666666667</v>
      </c>
    </row>
    <row r="920" customFormat="false" ht="15.75" hidden="false" customHeight="false" outlineLevel="0" collapsed="false">
      <c r="A920" s="4" t="n">
        <v>45535</v>
      </c>
      <c r="B920" s="1" t="s">
        <v>88</v>
      </c>
      <c r="C920" s="1" t="s">
        <v>89</v>
      </c>
      <c r="D920" s="1" t="n">
        <v>264</v>
      </c>
      <c r="E920" s="1" t="n">
        <v>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1" t="n">
        <v>-8</v>
      </c>
      <c r="O920" s="1" t="n">
        <v>6.3173</v>
      </c>
    </row>
    <row r="921" customFormat="false" ht="15.75" hidden="false" customHeight="false" outlineLevel="0" collapsed="false">
      <c r="A921" s="4" t="n">
        <v>45535</v>
      </c>
      <c r="B921" s="1" t="s">
        <v>107</v>
      </c>
      <c r="C921" s="1" t="s">
        <v>104</v>
      </c>
      <c r="D921" s="1" t="n">
        <v>429</v>
      </c>
      <c r="E921" s="1" t="n">
        <v>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1" t="n">
        <v>-7</v>
      </c>
      <c r="O921" s="1" t="n">
        <v>7.93598333333333</v>
      </c>
    </row>
    <row r="922" customFormat="false" ht="15.75" hidden="false" customHeight="false" outlineLevel="0" collapsed="false">
      <c r="A922" s="4" t="n">
        <v>45535</v>
      </c>
      <c r="B922" s="1" t="s">
        <v>88</v>
      </c>
      <c r="C922" s="1" t="s">
        <v>89</v>
      </c>
      <c r="D922" s="1" t="n">
        <v>592</v>
      </c>
      <c r="E922" s="1" t="n">
        <v>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1" t="n">
        <v>-11</v>
      </c>
      <c r="O922" s="1" t="n">
        <v>8.3988</v>
      </c>
    </row>
    <row r="923" customFormat="false" ht="15.75" hidden="false" customHeight="false" outlineLevel="0" collapsed="false">
      <c r="A923" s="4" t="n">
        <v>45535</v>
      </c>
      <c r="B923" s="1" t="s">
        <v>88</v>
      </c>
      <c r="C923" s="1" t="s">
        <v>89</v>
      </c>
      <c r="D923" s="1" t="n">
        <v>391</v>
      </c>
      <c r="E923" s="1" t="n">
        <v>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1" t="n">
        <v>-5</v>
      </c>
      <c r="O923" s="1" t="n">
        <v>9.54845</v>
      </c>
    </row>
    <row r="924" customFormat="false" ht="15.75" hidden="false" customHeight="false" outlineLevel="0" collapsed="false">
      <c r="A924" s="4" t="n">
        <v>45535</v>
      </c>
      <c r="B924" s="1" t="s">
        <v>88</v>
      </c>
      <c r="C924" s="1" t="s">
        <v>89</v>
      </c>
      <c r="D924" s="1" t="n">
        <v>877</v>
      </c>
      <c r="E924" s="1" t="n">
        <v>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1" t="n">
        <v>-9</v>
      </c>
      <c r="O924" s="1" t="n">
        <v>10.3423166666667</v>
      </c>
    </row>
    <row r="925" customFormat="false" ht="15.75" hidden="false" customHeight="false" outlineLevel="0" collapsed="false">
      <c r="A925" s="4" t="n">
        <v>45535</v>
      </c>
      <c r="B925" s="1" t="s">
        <v>95</v>
      </c>
      <c r="C925" s="1" t="s">
        <v>104</v>
      </c>
      <c r="D925" s="1" t="n">
        <v>247</v>
      </c>
      <c r="E925" s="1" t="n">
        <v>62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1" t="n">
        <v>-12</v>
      </c>
      <c r="O925" s="1" t="n">
        <v>6.52595</v>
      </c>
    </row>
    <row r="926" customFormat="false" ht="15.75" hidden="false" customHeight="false" outlineLevel="0" collapsed="false">
      <c r="A926" s="4" t="n">
        <v>45535</v>
      </c>
      <c r="B926" s="1" t="s">
        <v>95</v>
      </c>
      <c r="C926" s="1" t="s">
        <v>89</v>
      </c>
      <c r="D926" s="1" t="n">
        <v>586</v>
      </c>
      <c r="E926" s="1" t="n">
        <v>26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1" t="n">
        <v>6</v>
      </c>
      <c r="N926" s="1" t="n">
        <v>16.3099</v>
      </c>
      <c r="O926" s="1" t="n">
        <v>10.1583666666667</v>
      </c>
    </row>
    <row r="927" customFormat="false" ht="15.75" hidden="false" customHeight="false" outlineLevel="0" collapsed="false">
      <c r="A927" s="4" t="n">
        <v>45535</v>
      </c>
      <c r="B927" s="1" t="s">
        <v>95</v>
      </c>
      <c r="C927" s="1" t="s">
        <v>89</v>
      </c>
      <c r="D927" s="1" t="n">
        <v>309</v>
      </c>
      <c r="E927" s="1" t="n">
        <v>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1" t="n">
        <v>3</v>
      </c>
      <c r="N927" s="1" t="n">
        <v>0.00726666666666667</v>
      </c>
      <c r="O927" s="1" t="n">
        <v>5.51465</v>
      </c>
    </row>
    <row r="928" customFormat="false" ht="15.75" hidden="false" customHeight="false" outlineLevel="0" collapsed="false">
      <c r="A928" s="4" t="n">
        <v>45535</v>
      </c>
      <c r="B928" s="1" t="s">
        <v>95</v>
      </c>
      <c r="C928" s="1" t="s">
        <v>89</v>
      </c>
      <c r="D928" s="1" t="n">
        <v>578</v>
      </c>
      <c r="E928" s="1" t="n">
        <v>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1" t="n">
        <v>-1</v>
      </c>
      <c r="N928" s="1" t="n">
        <v>0.00896666666666667</v>
      </c>
      <c r="O928" s="1" t="n">
        <v>9.9853</v>
      </c>
    </row>
    <row r="929" customFormat="false" ht="15.75" hidden="false" customHeight="false" outlineLevel="0" collapsed="false">
      <c r="A929" s="4" t="n">
        <v>45535</v>
      </c>
      <c r="B929" s="1" t="s">
        <v>95</v>
      </c>
      <c r="C929" s="1" t="s">
        <v>104</v>
      </c>
      <c r="D929" s="1" t="n">
        <v>199</v>
      </c>
      <c r="E929" s="1" t="n">
        <v>50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1" t="n">
        <v>-13</v>
      </c>
      <c r="O929" s="1" t="n">
        <v>4.80335</v>
      </c>
    </row>
    <row r="930" customFormat="false" ht="15.75" hidden="false" customHeight="false" outlineLevel="0" collapsed="false">
      <c r="A930" s="4" t="n">
        <v>45535</v>
      </c>
      <c r="B930" s="1" t="s">
        <v>95</v>
      </c>
      <c r="C930" s="1" t="s">
        <v>104</v>
      </c>
      <c r="D930" s="1" t="n">
        <v>359</v>
      </c>
      <c r="E930" s="1" t="n">
        <v>75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1" t="n">
        <v>-25</v>
      </c>
      <c r="O930" s="1" t="n">
        <v>9.02778333333333</v>
      </c>
    </row>
    <row r="931" customFormat="false" ht="15.75" hidden="false" customHeight="false" outlineLevel="0" collapsed="false">
      <c r="A931" s="4" t="n">
        <v>45535</v>
      </c>
      <c r="B931" s="1" t="s">
        <v>95</v>
      </c>
      <c r="C931" s="1" t="s">
        <v>104</v>
      </c>
      <c r="D931" s="1" t="n">
        <v>358</v>
      </c>
      <c r="E931" s="1" t="n">
        <v>67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1" t="n">
        <v>-11</v>
      </c>
      <c r="O931" s="1" t="n">
        <v>7.7374</v>
      </c>
    </row>
    <row r="932" customFormat="false" ht="15.75" hidden="false" customHeight="false" outlineLevel="0" collapsed="false">
      <c r="A932" s="4" t="n">
        <v>45535</v>
      </c>
      <c r="B932" s="1" t="s">
        <v>88</v>
      </c>
      <c r="C932" s="1" t="s">
        <v>89</v>
      </c>
      <c r="D932" s="1" t="n">
        <v>289</v>
      </c>
      <c r="E932" s="1" t="n">
        <v>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1" t="n">
        <v>-8</v>
      </c>
      <c r="O932" s="1" t="n">
        <v>6.48956666666667</v>
      </c>
    </row>
    <row r="933" customFormat="false" ht="15.75" hidden="false" customHeight="false" outlineLevel="0" collapsed="false">
      <c r="A933" s="4" t="n">
        <v>45535</v>
      </c>
      <c r="B933" s="1" t="s">
        <v>95</v>
      </c>
      <c r="C933" s="1" t="s">
        <v>89</v>
      </c>
      <c r="D933" s="1" t="n">
        <v>417</v>
      </c>
      <c r="E933" s="1" t="n">
        <v>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1" t="n">
        <v>-11</v>
      </c>
      <c r="N933" s="1" t="n">
        <v>0.00935</v>
      </c>
      <c r="O933" s="1" t="n">
        <v>5.75636666666667</v>
      </c>
    </row>
    <row r="934" customFormat="false" ht="15.75" hidden="false" customHeight="false" outlineLevel="0" collapsed="false">
      <c r="A934" s="4" t="n">
        <v>45535</v>
      </c>
      <c r="B934" s="1" t="s">
        <v>88</v>
      </c>
      <c r="C934" s="1" t="s">
        <v>89</v>
      </c>
      <c r="D934" s="1" t="n">
        <v>258</v>
      </c>
      <c r="E934" s="1" t="n">
        <v>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1" t="n">
        <v>-8</v>
      </c>
      <c r="O934" s="1" t="n">
        <v>6.58773333333333</v>
      </c>
    </row>
    <row r="935" customFormat="false" ht="15.75" hidden="false" customHeight="false" outlineLevel="0" collapsed="false">
      <c r="A935" s="4" t="n">
        <v>45535</v>
      </c>
      <c r="B935" s="1" t="s">
        <v>103</v>
      </c>
      <c r="C935" s="1" t="s">
        <v>104</v>
      </c>
      <c r="D935" s="1" t="n">
        <v>378</v>
      </c>
      <c r="E935" s="1" t="n">
        <v>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1" t="n">
        <v>-1</v>
      </c>
      <c r="O935" s="1" t="n">
        <v>6.3897</v>
      </c>
    </row>
    <row r="936" customFormat="false" ht="15.75" hidden="false" customHeight="false" outlineLevel="0" collapsed="false">
      <c r="A936" s="4" t="n">
        <v>45535</v>
      </c>
      <c r="B936" s="1" t="s">
        <v>103</v>
      </c>
      <c r="C936" s="1" t="s">
        <v>104</v>
      </c>
      <c r="D936" s="1" t="n">
        <v>1524</v>
      </c>
      <c r="E936" s="1" t="n">
        <v>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1" t="n">
        <v>-2</v>
      </c>
      <c r="O936" s="1" t="n">
        <v>11.10425</v>
      </c>
    </row>
    <row r="937" customFormat="false" ht="15.75" hidden="false" customHeight="false" outlineLevel="0" collapsed="false">
      <c r="A937" s="4" t="n">
        <v>45535</v>
      </c>
      <c r="B937" s="1" t="s">
        <v>88</v>
      </c>
      <c r="C937" s="1" t="s">
        <v>89</v>
      </c>
      <c r="D937" s="1" t="n">
        <v>453</v>
      </c>
      <c r="E937" s="1" t="n">
        <v>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1" t="n">
        <v>-6</v>
      </c>
      <c r="O937" s="1" t="n">
        <v>8.84188333333333</v>
      </c>
    </row>
    <row r="938" customFormat="false" ht="15.75" hidden="false" customHeight="false" outlineLevel="0" collapsed="false">
      <c r="A938" s="4" t="n">
        <v>45535</v>
      </c>
      <c r="B938" s="1" t="s">
        <v>88</v>
      </c>
      <c r="C938" s="1" t="s">
        <v>89</v>
      </c>
      <c r="D938" s="1" t="n">
        <v>258</v>
      </c>
      <c r="E938" s="1" t="n">
        <v>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1" t="n">
        <v>-7</v>
      </c>
      <c r="O938" s="1" t="n">
        <v>7.47136666666667</v>
      </c>
    </row>
    <row r="939" customFormat="false" ht="15.75" hidden="false" customHeight="false" outlineLevel="0" collapsed="false">
      <c r="A939" s="4" t="n">
        <v>45535</v>
      </c>
      <c r="B939" s="1" t="s">
        <v>95</v>
      </c>
      <c r="C939" s="1" t="s">
        <v>89</v>
      </c>
      <c r="D939" s="1" t="n">
        <v>684</v>
      </c>
      <c r="E939" s="1" t="n">
        <v>18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1" t="n">
        <v>-3</v>
      </c>
      <c r="N939" s="1" t="n">
        <v>0.0123666666666667</v>
      </c>
      <c r="O939" s="1" t="n">
        <v>6.69118333333333</v>
      </c>
    </row>
    <row r="940" customFormat="false" ht="15.75" hidden="false" customHeight="false" outlineLevel="0" collapsed="false">
      <c r="A940" s="4" t="n">
        <v>45535</v>
      </c>
      <c r="B940" s="1" t="s">
        <v>228</v>
      </c>
      <c r="C940" s="1" t="s">
        <v>104</v>
      </c>
      <c r="D940" s="1" t="n">
        <v>306</v>
      </c>
      <c r="E940" s="1" t="n">
        <v>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1" t="n">
        <v>2</v>
      </c>
      <c r="O940" s="1" t="n">
        <v>7.42898333333333</v>
      </c>
    </row>
    <row r="941" customFormat="false" ht="15.75" hidden="false" customHeight="false" outlineLevel="0" collapsed="false">
      <c r="A941" s="4" t="n">
        <v>45535</v>
      </c>
      <c r="B941" s="1" t="s">
        <v>88</v>
      </c>
      <c r="C941" s="1" t="s">
        <v>89</v>
      </c>
      <c r="D941" s="1" t="n">
        <v>329</v>
      </c>
      <c r="E941" s="1" t="n">
        <v>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1" t="n">
        <v>-7</v>
      </c>
      <c r="O941" s="1" t="n">
        <v>7.09601666666667</v>
      </c>
    </row>
    <row r="942" customFormat="false" ht="15.75" hidden="false" customHeight="false" outlineLevel="0" collapsed="false">
      <c r="A942" s="4" t="n">
        <v>45535</v>
      </c>
      <c r="B942" s="1" t="s">
        <v>95</v>
      </c>
      <c r="C942" s="1" t="s">
        <v>104</v>
      </c>
      <c r="D942" s="1" t="n">
        <v>275</v>
      </c>
      <c r="E942" s="1" t="n">
        <v>69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1" t="n">
        <v>-11</v>
      </c>
      <c r="O942" s="1" t="n">
        <v>22.8525</v>
      </c>
    </row>
    <row r="943" customFormat="false" ht="15.75" hidden="false" customHeight="false" outlineLevel="0" collapsed="false">
      <c r="A943" s="4" t="n">
        <v>45535</v>
      </c>
      <c r="B943" s="1" t="s">
        <v>103</v>
      </c>
      <c r="C943" s="1" t="s">
        <v>104</v>
      </c>
      <c r="D943" s="1" t="n">
        <v>528</v>
      </c>
      <c r="E943" s="1" t="n">
        <v>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1" t="n">
        <v>0</v>
      </c>
      <c r="O943" s="1" t="n">
        <v>8.8054</v>
      </c>
    </row>
    <row r="944" customFormat="false" ht="15.75" hidden="false" customHeight="false" outlineLevel="0" collapsed="false">
      <c r="A944" s="4" t="n">
        <v>45535</v>
      </c>
      <c r="B944" s="1" t="s">
        <v>95</v>
      </c>
      <c r="C944" s="1" t="s">
        <v>89</v>
      </c>
      <c r="D944" s="1" t="n">
        <v>812</v>
      </c>
      <c r="E944" s="1" t="n">
        <v>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1" t="n">
        <v>-2</v>
      </c>
      <c r="N944" s="1" t="n">
        <v>0.0102166666666667</v>
      </c>
      <c r="O944" s="1" t="n">
        <v>17.6984333333333</v>
      </c>
    </row>
    <row r="945" customFormat="false" ht="15.75" hidden="false" customHeight="false" outlineLevel="0" collapsed="false">
      <c r="A945" s="4" t="n">
        <v>45535</v>
      </c>
      <c r="B945" s="1" t="s">
        <v>95</v>
      </c>
      <c r="C945" s="1" t="s">
        <v>89</v>
      </c>
      <c r="D945" s="1" t="n">
        <v>507</v>
      </c>
      <c r="E945" s="1" t="n">
        <v>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1" t="n">
        <v>1</v>
      </c>
      <c r="N945" s="1" t="n">
        <v>0.00925</v>
      </c>
      <c r="O945" s="1" t="n">
        <v>15.2068333333333</v>
      </c>
    </row>
    <row r="946" customFormat="false" ht="15.75" hidden="false" customHeight="false" outlineLevel="0" collapsed="false">
      <c r="A946" s="4" t="n">
        <v>45535</v>
      </c>
      <c r="B946" s="1" t="s">
        <v>88</v>
      </c>
      <c r="C946" s="1" t="s">
        <v>89</v>
      </c>
      <c r="D946" s="1" t="n">
        <v>289</v>
      </c>
      <c r="E946" s="1" t="n">
        <v>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1" t="n">
        <v>-10</v>
      </c>
      <c r="O946" s="1" t="n">
        <v>4.99738333333333</v>
      </c>
    </row>
    <row r="947" customFormat="false" ht="15.75" hidden="false" customHeight="false" outlineLevel="0" collapsed="false">
      <c r="A947" s="4" t="n">
        <v>45535</v>
      </c>
      <c r="B947" s="1" t="s">
        <v>95</v>
      </c>
      <c r="C947" s="1" t="s">
        <v>104</v>
      </c>
      <c r="D947" s="1" t="n">
        <v>247</v>
      </c>
      <c r="E947" s="1" t="n">
        <v>62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1" t="n">
        <v>-14</v>
      </c>
      <c r="O947" s="1" t="n">
        <v>8.24943333333333</v>
      </c>
    </row>
    <row r="948" customFormat="false" ht="15.75" hidden="false" customHeight="false" outlineLevel="0" collapsed="false">
      <c r="A948" s="4" t="n">
        <v>45535</v>
      </c>
      <c r="B948" s="1" t="s">
        <v>95</v>
      </c>
      <c r="C948" s="1" t="s">
        <v>104</v>
      </c>
      <c r="D948" s="1" t="n">
        <v>199</v>
      </c>
      <c r="E948" s="1" t="n">
        <v>50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1" t="n">
        <v>-10</v>
      </c>
      <c r="O948" s="1" t="n">
        <v>6.8387</v>
      </c>
    </row>
    <row r="949" customFormat="false" ht="15.75" hidden="false" customHeight="false" outlineLevel="0" collapsed="false">
      <c r="A949" s="4" t="n">
        <v>45535</v>
      </c>
      <c r="B949" s="1" t="s">
        <v>103</v>
      </c>
      <c r="C949" s="1" t="s">
        <v>104</v>
      </c>
      <c r="D949" s="1" t="n">
        <v>593</v>
      </c>
      <c r="E949" s="1" t="n">
        <v>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1" t="n">
        <v>1</v>
      </c>
      <c r="O949" s="1" t="n">
        <v>10.12885</v>
      </c>
    </row>
    <row r="950" customFormat="false" ht="15.75" hidden="false" customHeight="false" outlineLevel="0" collapsed="false">
      <c r="A950" s="4" t="n">
        <v>45535</v>
      </c>
      <c r="B950" s="1" t="s">
        <v>103</v>
      </c>
      <c r="C950" s="1" t="s">
        <v>104</v>
      </c>
      <c r="D950" s="1" t="n">
        <v>793</v>
      </c>
      <c r="E950" s="1" t="n">
        <v>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1" t="n">
        <v>0</v>
      </c>
      <c r="O950" s="1" t="n">
        <v>10.8740166666667</v>
      </c>
    </row>
    <row r="951" customFormat="false" ht="15.75" hidden="false" customHeight="false" outlineLevel="0" collapsed="false">
      <c r="A951" s="4" t="n">
        <v>45535</v>
      </c>
      <c r="B951" s="1" t="s">
        <v>95</v>
      </c>
      <c r="C951" s="1" t="s">
        <v>89</v>
      </c>
      <c r="D951" s="1" t="n">
        <v>747</v>
      </c>
      <c r="E951" s="1" t="n">
        <v>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1" t="n">
        <v>-10</v>
      </c>
      <c r="N951" s="1" t="n">
        <v>0.0130833333333333</v>
      </c>
      <c r="O951" s="1" t="n">
        <v>13.5635833333333</v>
      </c>
    </row>
    <row r="952" customFormat="false" ht="15.75" hidden="false" customHeight="false" outlineLevel="0" collapsed="false">
      <c r="A952" s="4" t="n">
        <v>45535</v>
      </c>
      <c r="B952" s="1" t="s">
        <v>103</v>
      </c>
      <c r="C952" s="1" t="s">
        <v>104</v>
      </c>
      <c r="D952" s="1" t="n">
        <v>408</v>
      </c>
      <c r="E952" s="1" t="n">
        <v>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1" t="n">
        <v>1</v>
      </c>
      <c r="O952" s="1" t="n">
        <v>8.25686666666667</v>
      </c>
    </row>
    <row r="953" customFormat="false" ht="15.75" hidden="false" customHeight="false" outlineLevel="0" collapsed="false">
      <c r="A953" s="4" t="n">
        <v>45535</v>
      </c>
      <c r="B953" s="1" t="s">
        <v>103</v>
      </c>
      <c r="C953" s="1" t="s">
        <v>104</v>
      </c>
      <c r="D953" s="1" t="n">
        <v>214</v>
      </c>
      <c r="E953" s="1" t="n">
        <v>50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1" t="n">
        <v>0</v>
      </c>
      <c r="O953" s="1" t="n">
        <v>6.87415</v>
      </c>
    </row>
    <row r="954" customFormat="false" ht="15.75" hidden="false" customHeight="false" outlineLevel="0" collapsed="false">
      <c r="A954" s="4" t="n">
        <v>45535</v>
      </c>
      <c r="B954" s="1" t="s">
        <v>95</v>
      </c>
      <c r="C954" s="1" t="s">
        <v>104</v>
      </c>
      <c r="D954" s="1" t="n">
        <v>522</v>
      </c>
      <c r="E954" s="1" t="n">
        <v>131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1" t="n">
        <v>-15</v>
      </c>
      <c r="O954" s="1" t="n">
        <v>8.29023333333333</v>
      </c>
    </row>
    <row r="955" customFormat="false" ht="15.75" hidden="false" customHeight="false" outlineLevel="0" collapsed="false">
      <c r="A955" s="4" t="n">
        <v>45535</v>
      </c>
      <c r="B955" s="1" t="s">
        <v>95</v>
      </c>
      <c r="C955" s="1" t="s">
        <v>104</v>
      </c>
      <c r="D955" s="1" t="n">
        <v>628</v>
      </c>
      <c r="E955" s="1" t="n">
        <v>149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1" t="n">
        <v>-12</v>
      </c>
      <c r="O955" s="1" t="n">
        <v>10.9664</v>
      </c>
    </row>
    <row r="956" customFormat="false" ht="15.75" hidden="false" customHeight="false" outlineLevel="0" collapsed="false">
      <c r="A956" s="4" t="n">
        <v>45535</v>
      </c>
      <c r="B956" s="1" t="s">
        <v>103</v>
      </c>
      <c r="C956" s="1" t="s">
        <v>104</v>
      </c>
      <c r="D956" s="1" t="n">
        <v>788</v>
      </c>
      <c r="E956" s="1" t="n">
        <v>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1" t="n">
        <v>0</v>
      </c>
      <c r="O956" s="1" t="n">
        <v>10.43965</v>
      </c>
    </row>
    <row r="957" customFormat="false" ht="15.75" hidden="false" customHeight="false" outlineLevel="0" collapsed="false">
      <c r="A957" s="4" t="n">
        <v>45535</v>
      </c>
      <c r="B957" s="1" t="s">
        <v>88</v>
      </c>
      <c r="C957" s="1" t="s">
        <v>89</v>
      </c>
      <c r="D957" s="1" t="n">
        <v>617</v>
      </c>
      <c r="E957" s="1" t="n">
        <v>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1" t="n">
        <v>-12</v>
      </c>
      <c r="O957" s="1" t="n">
        <v>7.2453</v>
      </c>
    </row>
    <row r="958" customFormat="false" ht="15.75" hidden="false" customHeight="false" outlineLevel="0" collapsed="false">
      <c r="A958" s="4" t="n">
        <v>45535</v>
      </c>
      <c r="B958" s="1" t="s">
        <v>103</v>
      </c>
      <c r="C958" s="1" t="s">
        <v>104</v>
      </c>
      <c r="D958" s="1" t="n">
        <v>334</v>
      </c>
      <c r="E958" s="1" t="n">
        <v>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1" t="n">
        <v>0</v>
      </c>
      <c r="O958" s="1" t="n">
        <v>7.81785</v>
      </c>
    </row>
    <row r="959" customFormat="false" ht="15.75" hidden="false" customHeight="false" outlineLevel="0" collapsed="false">
      <c r="A959" s="4" t="n">
        <v>45535</v>
      </c>
      <c r="B959" s="1" t="s">
        <v>88</v>
      </c>
      <c r="C959" s="1" t="s">
        <v>89</v>
      </c>
      <c r="D959" s="1" t="n">
        <v>321</v>
      </c>
      <c r="E959" s="1" t="n">
        <v>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1" t="n">
        <v>-5</v>
      </c>
      <c r="O959" s="1" t="n">
        <v>9.20615</v>
      </c>
    </row>
    <row r="960" customFormat="false" ht="15.75" hidden="false" customHeight="false" outlineLevel="0" collapsed="false">
      <c r="A960" s="4" t="n">
        <v>45535</v>
      </c>
      <c r="B960" s="1" t="s">
        <v>88</v>
      </c>
      <c r="C960" s="1" t="s">
        <v>89</v>
      </c>
      <c r="D960" s="1" t="n">
        <v>264</v>
      </c>
      <c r="E960" s="1" t="n">
        <v>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1" t="n">
        <v>-6</v>
      </c>
      <c r="O960" s="1" t="n">
        <v>8.18261666666667</v>
      </c>
    </row>
    <row r="961" customFormat="false" ht="15.75" hidden="false" customHeight="false" outlineLevel="0" collapsed="false">
      <c r="A961" s="4" t="n">
        <v>45535</v>
      </c>
      <c r="B961" s="1" t="s">
        <v>95</v>
      </c>
      <c r="C961" s="1" t="s">
        <v>104</v>
      </c>
      <c r="D961" s="1" t="n">
        <v>398</v>
      </c>
      <c r="E961" s="1" t="n">
        <v>100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1" t="n">
        <v>-6</v>
      </c>
      <c r="O961" s="1" t="n">
        <v>26.8426</v>
      </c>
    </row>
    <row r="962" customFormat="false" ht="15.75" hidden="false" customHeight="false" outlineLevel="0" collapsed="false">
      <c r="A962" s="4" t="n">
        <v>45535</v>
      </c>
      <c r="B962" s="1" t="s">
        <v>95</v>
      </c>
      <c r="C962" s="1" t="s">
        <v>89</v>
      </c>
      <c r="D962" s="1" t="n">
        <v>555</v>
      </c>
      <c r="E962" s="1" t="n">
        <v>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1" t="n">
        <v>-17</v>
      </c>
      <c r="N962" s="1" t="n">
        <v>0.00916666666666667</v>
      </c>
      <c r="O962" s="1" t="n">
        <v>36.8359666666667</v>
      </c>
    </row>
    <row r="963" customFormat="false" ht="15.75" hidden="false" customHeight="false" outlineLevel="0" collapsed="false">
      <c r="A963" s="4" t="n">
        <v>45535</v>
      </c>
      <c r="B963" s="1" t="s">
        <v>103</v>
      </c>
      <c r="C963" s="1" t="s">
        <v>104</v>
      </c>
      <c r="D963" s="1" t="n">
        <v>504</v>
      </c>
      <c r="E963" s="1" t="n">
        <v>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1" t="n">
        <v>0</v>
      </c>
      <c r="O963" s="1" t="n">
        <v>7.5652</v>
      </c>
    </row>
    <row r="964" customFormat="false" ht="15.75" hidden="false" customHeight="false" outlineLevel="0" collapsed="false">
      <c r="A964" s="4" t="n">
        <v>45535</v>
      </c>
      <c r="B964" s="1" t="s">
        <v>88</v>
      </c>
      <c r="C964" s="1" t="s">
        <v>89</v>
      </c>
      <c r="D964" s="1" t="n">
        <v>129</v>
      </c>
      <c r="E964" s="1" t="n">
        <v>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1" t="n">
        <v>-1</v>
      </c>
      <c r="O964" s="1" t="n">
        <v>13.06295</v>
      </c>
    </row>
    <row r="965" customFormat="false" ht="15.75" hidden="false" customHeight="false" outlineLevel="0" collapsed="false">
      <c r="A965" s="4" t="n">
        <v>45535</v>
      </c>
      <c r="B965" s="1" t="s">
        <v>103</v>
      </c>
      <c r="C965" s="1" t="s">
        <v>104</v>
      </c>
      <c r="D965" s="1" t="n">
        <v>540</v>
      </c>
      <c r="E965" s="1" t="n">
        <v>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1" t="n">
        <v>3</v>
      </c>
      <c r="O965" s="1" t="n">
        <v>11.9597166666667</v>
      </c>
    </row>
    <row r="966" customFormat="false" ht="15.75" hidden="false" customHeight="false" outlineLevel="0" collapsed="false">
      <c r="A966" s="4" t="n">
        <v>45535</v>
      </c>
      <c r="B966" s="1" t="s">
        <v>95</v>
      </c>
      <c r="C966" s="1" t="s">
        <v>89</v>
      </c>
      <c r="D966" s="1" t="n">
        <v>933</v>
      </c>
      <c r="E966" s="1" t="n">
        <v>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1" t="n">
        <v>-12</v>
      </c>
      <c r="N966" s="1" t="n">
        <v>0.0127166666666667</v>
      </c>
      <c r="O966" s="1" t="n">
        <v>13.36945</v>
      </c>
    </row>
    <row r="967" customFormat="false" ht="15.75" hidden="false" customHeight="false" outlineLevel="0" collapsed="false">
      <c r="A967" s="4" t="n">
        <v>45535</v>
      </c>
      <c r="B967" s="1" t="s">
        <v>88</v>
      </c>
      <c r="C967" s="1" t="s">
        <v>89</v>
      </c>
      <c r="D967" s="1" t="n">
        <v>658</v>
      </c>
      <c r="E967" s="1" t="n">
        <v>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1" t="n">
        <v>-2</v>
      </c>
      <c r="O967" s="1" t="n">
        <v>17.6159666666667</v>
      </c>
    </row>
    <row r="968" customFormat="false" ht="15.75" hidden="false" customHeight="false" outlineLevel="0" collapsed="false">
      <c r="A968" s="4" t="n">
        <v>45535</v>
      </c>
      <c r="B968" s="1" t="s">
        <v>228</v>
      </c>
      <c r="C968" s="1" t="s">
        <v>104</v>
      </c>
      <c r="D968" s="1" t="n">
        <v>249</v>
      </c>
      <c r="E968" s="1" t="n">
        <v>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1" t="n">
        <v>0</v>
      </c>
      <c r="O968" s="1" t="n">
        <v>5.97885</v>
      </c>
    </row>
    <row r="969" customFormat="false" ht="15.75" hidden="false" customHeight="false" outlineLevel="0" collapsed="false">
      <c r="A969" s="4" t="n">
        <v>45535</v>
      </c>
      <c r="B969" s="1" t="s">
        <v>95</v>
      </c>
      <c r="C969" s="1" t="s">
        <v>104</v>
      </c>
      <c r="D969" s="1" t="n">
        <v>167</v>
      </c>
      <c r="E969" s="1" t="n">
        <v>42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1" t="n">
        <v>-5</v>
      </c>
      <c r="O969" s="1" t="n">
        <v>11.1849333333333</v>
      </c>
    </row>
    <row r="970" customFormat="false" ht="15.75" hidden="false" customHeight="false" outlineLevel="0" collapsed="false">
      <c r="A970" s="4" t="n">
        <v>45535</v>
      </c>
      <c r="B970" s="1" t="s">
        <v>103</v>
      </c>
      <c r="C970" s="1" t="s">
        <v>104</v>
      </c>
      <c r="D970" s="1" t="n">
        <v>264</v>
      </c>
      <c r="E970" s="1" t="n">
        <v>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1" t="n">
        <v>0</v>
      </c>
      <c r="O970" s="1" t="n">
        <v>6.96448333333333</v>
      </c>
    </row>
    <row r="971" customFormat="false" ht="15.75" hidden="false" customHeight="false" outlineLevel="0" collapsed="false">
      <c r="A971" s="4" t="n">
        <v>45535</v>
      </c>
      <c r="B971" s="1" t="s">
        <v>228</v>
      </c>
      <c r="C971" s="1" t="s">
        <v>104</v>
      </c>
      <c r="D971" s="1" t="n">
        <v>249</v>
      </c>
      <c r="E971" s="1" t="n">
        <v>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1" t="n">
        <v>3</v>
      </c>
      <c r="O971" s="1" t="n">
        <v>8.69908333333333</v>
      </c>
    </row>
    <row r="972" customFormat="false" ht="15.75" hidden="false" customHeight="false" outlineLevel="0" collapsed="false">
      <c r="A972" s="4" t="n">
        <v>45535</v>
      </c>
      <c r="B972" s="1" t="s">
        <v>88</v>
      </c>
      <c r="C972" s="1" t="s">
        <v>89</v>
      </c>
      <c r="D972" s="1" t="n">
        <v>329</v>
      </c>
      <c r="E972" s="1" t="n">
        <v>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1" t="n">
        <v>-6</v>
      </c>
      <c r="O972" s="1" t="n">
        <v>8.436</v>
      </c>
    </row>
    <row r="973" customFormat="false" ht="15.75" hidden="false" customHeight="false" outlineLevel="0" collapsed="false">
      <c r="A973" s="4" t="n">
        <v>45535</v>
      </c>
      <c r="B973" s="1" t="s">
        <v>103</v>
      </c>
      <c r="C973" s="1" t="s">
        <v>104</v>
      </c>
      <c r="D973" s="1" t="n">
        <v>468</v>
      </c>
      <c r="E973" s="1" t="n">
        <v>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1" t="n">
        <v>3</v>
      </c>
      <c r="O973" s="1" t="n">
        <v>11.44185</v>
      </c>
    </row>
    <row r="974" customFormat="false" ht="15.75" hidden="false" customHeight="false" outlineLevel="0" collapsed="false">
      <c r="A974" s="4" t="n">
        <v>45535</v>
      </c>
      <c r="B974" s="1" t="s">
        <v>88</v>
      </c>
      <c r="C974" s="1" t="s">
        <v>89</v>
      </c>
      <c r="D974" s="1" t="n">
        <v>410</v>
      </c>
      <c r="E974" s="1" t="n">
        <v>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1" t="n">
        <v>-8</v>
      </c>
      <c r="O974" s="1" t="n">
        <v>6.11005</v>
      </c>
    </row>
    <row r="975" customFormat="false" ht="15.75" hidden="false" customHeight="false" outlineLevel="0" collapsed="false">
      <c r="A975" s="4" t="n">
        <v>45535</v>
      </c>
      <c r="B975" s="1" t="s">
        <v>103</v>
      </c>
      <c r="C975" s="1" t="s">
        <v>104</v>
      </c>
      <c r="D975" s="1" t="n">
        <v>264</v>
      </c>
      <c r="E975" s="1" t="n">
        <v>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1" t="n">
        <v>1</v>
      </c>
      <c r="O975" s="1" t="n">
        <v>7.0374</v>
      </c>
    </row>
    <row r="976" customFormat="false" ht="15.75" hidden="false" customHeight="false" outlineLevel="0" collapsed="false">
      <c r="A976" s="4" t="n">
        <v>45535</v>
      </c>
      <c r="B976" s="1" t="s">
        <v>103</v>
      </c>
      <c r="C976" s="1" t="s">
        <v>104</v>
      </c>
      <c r="D976" s="1" t="n">
        <v>329</v>
      </c>
      <c r="E976" s="1" t="n">
        <v>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1" t="n">
        <v>1</v>
      </c>
      <c r="O976" s="1" t="n">
        <v>8.01505</v>
      </c>
    </row>
    <row r="977" customFormat="false" ht="15.75" hidden="false" customHeight="false" outlineLevel="0" collapsed="false">
      <c r="A977" s="4" t="n">
        <v>45535</v>
      </c>
      <c r="B977" s="1" t="s">
        <v>103</v>
      </c>
      <c r="C977" s="1" t="s">
        <v>104</v>
      </c>
      <c r="D977" s="1" t="n">
        <v>289</v>
      </c>
      <c r="E977" s="1" t="n">
        <v>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1" t="n">
        <v>-2</v>
      </c>
      <c r="O977" s="1" t="n">
        <v>4.96131666666667</v>
      </c>
    </row>
    <row r="978" customFormat="false" ht="15.75" hidden="false" customHeight="false" outlineLevel="0" collapsed="false">
      <c r="A978" s="4" t="n">
        <v>45535</v>
      </c>
      <c r="B978" s="1" t="s">
        <v>103</v>
      </c>
      <c r="C978" s="1" t="s">
        <v>104</v>
      </c>
      <c r="D978" s="1" t="n">
        <v>329</v>
      </c>
      <c r="E978" s="1" t="n">
        <v>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1" t="n">
        <v>0</v>
      </c>
      <c r="O978" s="1" t="n">
        <v>6.73148333333333</v>
      </c>
    </row>
    <row r="979" customFormat="false" ht="15.75" hidden="false" customHeight="false" outlineLevel="0" collapsed="false">
      <c r="A979" s="4" t="n">
        <v>45535</v>
      </c>
      <c r="B979" s="1" t="s">
        <v>95</v>
      </c>
      <c r="C979" s="1" t="s">
        <v>104</v>
      </c>
      <c r="D979" s="1" t="n">
        <v>199</v>
      </c>
      <c r="E979" s="1" t="n">
        <v>50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1" t="n">
        <v>-10</v>
      </c>
      <c r="O979" s="1" t="n">
        <v>8.7672</v>
      </c>
    </row>
    <row r="980" customFormat="false" ht="15.75" hidden="false" customHeight="false" outlineLevel="0" collapsed="false">
      <c r="A980" s="4" t="n">
        <v>45535</v>
      </c>
      <c r="B980" s="1" t="s">
        <v>103</v>
      </c>
      <c r="C980" s="1" t="s">
        <v>104</v>
      </c>
      <c r="D980" s="1" t="n">
        <v>553</v>
      </c>
      <c r="E980" s="1" t="n">
        <v>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1" t="n">
        <v>2</v>
      </c>
      <c r="O980" s="1" t="n">
        <v>10.1466833333333</v>
      </c>
    </row>
    <row r="981" customFormat="false" ht="15.75" hidden="false" customHeight="false" outlineLevel="0" collapsed="false">
      <c r="A981" s="4" t="n">
        <v>45535</v>
      </c>
      <c r="B981" s="1" t="s">
        <v>103</v>
      </c>
      <c r="C981" s="1" t="s">
        <v>104</v>
      </c>
      <c r="D981" s="1" t="n">
        <v>329</v>
      </c>
      <c r="E981" s="1" t="n">
        <v>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1" t="n">
        <v>3</v>
      </c>
      <c r="O981" s="1" t="n">
        <v>10.1145666666667</v>
      </c>
    </row>
    <row r="982" customFormat="false" ht="15.75" hidden="false" customHeight="false" outlineLevel="0" collapsed="false">
      <c r="A982" s="4" t="n">
        <v>45535</v>
      </c>
      <c r="B982" s="1" t="s">
        <v>88</v>
      </c>
      <c r="C982" s="1" t="s">
        <v>89</v>
      </c>
      <c r="D982" s="1" t="n">
        <v>755</v>
      </c>
      <c r="E982" s="1" t="n">
        <v>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1" t="n">
        <v>-7</v>
      </c>
      <c r="O982" s="1" t="n">
        <v>12.3575166666667</v>
      </c>
    </row>
    <row r="983" customFormat="false" ht="15.75" hidden="false" customHeight="false" outlineLevel="0" collapsed="false">
      <c r="A983" s="4" t="n">
        <v>45535</v>
      </c>
      <c r="B983" s="1" t="s">
        <v>103</v>
      </c>
      <c r="C983" s="1" t="s">
        <v>104</v>
      </c>
      <c r="D983" s="1" t="n">
        <v>264</v>
      </c>
      <c r="E983" s="1" t="n">
        <v>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1" t="n">
        <v>-1</v>
      </c>
      <c r="O983" s="1" t="n">
        <v>4.85066666666667</v>
      </c>
    </row>
    <row r="984" customFormat="false" ht="15.75" hidden="false" customHeight="false" outlineLevel="0" collapsed="false">
      <c r="A984" s="4" t="n">
        <v>45535</v>
      </c>
      <c r="B984" s="1" t="s">
        <v>95</v>
      </c>
      <c r="C984" s="1" t="s">
        <v>89</v>
      </c>
      <c r="D984" s="1" t="n">
        <v>423</v>
      </c>
      <c r="E984" s="1" t="n">
        <v>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1" t="n">
        <v>-1</v>
      </c>
      <c r="N984" s="1" t="n">
        <v>0.00806666666666667</v>
      </c>
      <c r="O984" s="1" t="n">
        <v>7.65191666666667</v>
      </c>
    </row>
    <row r="985" customFormat="false" ht="15.75" hidden="false" customHeight="false" outlineLevel="0" collapsed="false">
      <c r="A985" s="4" t="n">
        <v>45535</v>
      </c>
      <c r="B985" s="1" t="s">
        <v>95</v>
      </c>
      <c r="C985" s="1" t="s">
        <v>89</v>
      </c>
      <c r="D985" s="1" t="n">
        <v>375</v>
      </c>
      <c r="E985" s="1" t="n">
        <v>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1" t="n">
        <v>-8</v>
      </c>
      <c r="N985" s="1" t="n">
        <v>0.00963333333333333</v>
      </c>
      <c r="O985" s="1" t="n">
        <v>10.3214666666667</v>
      </c>
    </row>
    <row r="986" customFormat="false" ht="15.75" hidden="false" customHeight="false" outlineLevel="0" collapsed="false">
      <c r="A986" s="4" t="n">
        <v>45535</v>
      </c>
      <c r="B986" s="1" t="s">
        <v>103</v>
      </c>
      <c r="C986" s="1" t="s">
        <v>104</v>
      </c>
      <c r="D986" s="1" t="n">
        <v>329</v>
      </c>
      <c r="E986" s="1" t="n">
        <v>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1" t="n">
        <v>1</v>
      </c>
      <c r="O986" s="1" t="n">
        <v>8.71648333333333</v>
      </c>
    </row>
    <row r="987" customFormat="false" ht="15.75" hidden="false" customHeight="false" outlineLevel="0" collapsed="false">
      <c r="A987" s="4" t="n">
        <v>45535</v>
      </c>
      <c r="B987" s="1" t="s">
        <v>88</v>
      </c>
      <c r="C987" s="1" t="s">
        <v>89</v>
      </c>
      <c r="D987" s="1" t="n">
        <v>329</v>
      </c>
      <c r="E987" s="1" t="n">
        <v>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1" t="n">
        <v>-5</v>
      </c>
      <c r="O987" s="1" t="n">
        <v>9.6136</v>
      </c>
    </row>
    <row r="988" customFormat="false" ht="15.75" hidden="false" customHeight="false" outlineLevel="0" collapsed="false">
      <c r="A988" s="4" t="n">
        <v>45535</v>
      </c>
      <c r="B988" s="1" t="s">
        <v>95</v>
      </c>
      <c r="C988" s="1" t="s">
        <v>104</v>
      </c>
      <c r="D988" s="1" t="n">
        <v>299</v>
      </c>
      <c r="E988" s="1" t="n">
        <v>75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1" t="n">
        <v>-9</v>
      </c>
      <c r="O988" s="1" t="n">
        <v>10.2983833333333</v>
      </c>
    </row>
    <row r="989" customFormat="false" ht="15.75" hidden="false" customHeight="false" outlineLevel="0" collapsed="false">
      <c r="A989" s="4" t="n">
        <v>45535</v>
      </c>
      <c r="B989" s="1" t="s">
        <v>103</v>
      </c>
      <c r="C989" s="1" t="s">
        <v>104</v>
      </c>
      <c r="D989" s="1" t="n">
        <v>264</v>
      </c>
      <c r="E989" s="1" t="n">
        <v>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1" t="n">
        <v>0</v>
      </c>
      <c r="O989" s="1" t="n">
        <v>6.68748333333333</v>
      </c>
    </row>
    <row r="990" customFormat="false" ht="15.75" hidden="false" customHeight="false" outlineLevel="0" collapsed="false">
      <c r="A990" s="4" t="n">
        <v>45535</v>
      </c>
      <c r="B990" s="1" t="s">
        <v>95</v>
      </c>
      <c r="C990" s="1" t="s">
        <v>89</v>
      </c>
      <c r="D990" s="1" t="n">
        <v>394</v>
      </c>
      <c r="E990" s="1" t="n">
        <v>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1" t="n">
        <v>-10</v>
      </c>
      <c r="N990" s="1" t="n">
        <v>0.00941666666666667</v>
      </c>
      <c r="O990" s="1" t="n">
        <v>11.0414</v>
      </c>
    </row>
    <row r="991" customFormat="false" ht="15.75" hidden="false" customHeight="false" outlineLevel="0" collapsed="false">
      <c r="A991" s="4" t="n">
        <v>45535</v>
      </c>
      <c r="B991" s="1" t="s">
        <v>88</v>
      </c>
      <c r="C991" s="1" t="s">
        <v>89</v>
      </c>
      <c r="D991" s="1" t="n">
        <v>394</v>
      </c>
      <c r="E991" s="1" t="n">
        <v>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1" t="n">
        <v>-5</v>
      </c>
      <c r="O991" s="1" t="n">
        <v>9.69856666666667</v>
      </c>
    </row>
    <row r="992" customFormat="false" ht="15.75" hidden="false" customHeight="false" outlineLevel="0" collapsed="false">
      <c r="A992" s="4" t="n">
        <v>45535</v>
      </c>
      <c r="B992" s="1" t="s">
        <v>103</v>
      </c>
      <c r="C992" s="1" t="s">
        <v>104</v>
      </c>
      <c r="D992" s="1" t="n">
        <v>209</v>
      </c>
      <c r="E992" s="1" t="n">
        <v>50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1" t="n">
        <v>1</v>
      </c>
      <c r="O992" s="1" t="n">
        <v>7.37051666666667</v>
      </c>
    </row>
    <row r="993" customFormat="false" ht="15.75" hidden="false" customHeight="false" outlineLevel="0" collapsed="false">
      <c r="A993" s="4" t="n">
        <v>45535</v>
      </c>
      <c r="B993" s="1" t="s">
        <v>103</v>
      </c>
      <c r="C993" s="1" t="s">
        <v>104</v>
      </c>
      <c r="D993" s="1" t="n">
        <v>351</v>
      </c>
      <c r="E993" s="1" t="n">
        <v>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1" t="n">
        <v>0</v>
      </c>
      <c r="O993" s="1" t="n">
        <v>6.19848333333333</v>
      </c>
    </row>
    <row r="994" customFormat="false" ht="15.75" hidden="false" customHeight="false" outlineLevel="0" collapsed="false">
      <c r="A994" s="4" t="n">
        <v>45535</v>
      </c>
      <c r="B994" s="1" t="s">
        <v>103</v>
      </c>
      <c r="C994" s="1" t="s">
        <v>104</v>
      </c>
      <c r="D994" s="1" t="n">
        <v>293</v>
      </c>
      <c r="E994" s="1" t="n">
        <v>100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1" t="n">
        <v>0</v>
      </c>
      <c r="O994" s="1" t="n">
        <v>6.58341666666667</v>
      </c>
    </row>
    <row r="995" customFormat="false" ht="15.75" hidden="false" customHeight="false" outlineLevel="0" collapsed="false">
      <c r="A995" s="4" t="n">
        <v>45535</v>
      </c>
      <c r="B995" s="1" t="s">
        <v>88</v>
      </c>
      <c r="C995" s="1" t="s">
        <v>89</v>
      </c>
      <c r="D995" s="1" t="n">
        <v>498</v>
      </c>
      <c r="E995" s="1" t="n">
        <v>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1" t="n">
        <v>-4</v>
      </c>
      <c r="O995" s="1" t="n">
        <v>10.8200666666667</v>
      </c>
    </row>
    <row r="996" customFormat="false" ht="15.75" hidden="false" customHeight="false" outlineLevel="0" collapsed="false">
      <c r="A996" s="4" t="n">
        <v>45535</v>
      </c>
      <c r="B996" s="1" t="s">
        <v>107</v>
      </c>
      <c r="C996" s="1" t="s">
        <v>104</v>
      </c>
      <c r="D996" s="1" t="n">
        <v>264</v>
      </c>
      <c r="E996" s="1" t="n">
        <v>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1" t="n">
        <v>-7</v>
      </c>
      <c r="O996" s="1" t="n">
        <v>7.10016666666667</v>
      </c>
    </row>
    <row r="997" customFormat="false" ht="15.75" hidden="false" customHeight="false" outlineLevel="0" collapsed="false">
      <c r="A997" s="4" t="n">
        <v>45535</v>
      </c>
      <c r="B997" s="1" t="s">
        <v>88</v>
      </c>
      <c r="C997" s="1" t="s">
        <v>89</v>
      </c>
      <c r="D997" s="1" t="n">
        <v>321</v>
      </c>
      <c r="E997" s="1" t="n">
        <v>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1" t="n">
        <v>-8</v>
      </c>
      <c r="O997" s="1" t="n">
        <v>6.35253333333333</v>
      </c>
    </row>
    <row r="998" customFormat="false" ht="15.75" hidden="false" customHeight="false" outlineLevel="0" collapsed="false">
      <c r="A998" s="4" t="n">
        <v>45535</v>
      </c>
      <c r="B998" s="1" t="s">
        <v>107</v>
      </c>
      <c r="C998" s="1" t="s">
        <v>104</v>
      </c>
      <c r="D998" s="1" t="n">
        <v>394</v>
      </c>
      <c r="E998" s="1" t="n">
        <v>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1" t="n">
        <v>-5</v>
      </c>
      <c r="O998" s="1" t="n">
        <v>9.07506666666667</v>
      </c>
    </row>
    <row r="999" customFormat="false" ht="15.75" hidden="false" customHeight="false" outlineLevel="0" collapsed="false">
      <c r="A999" s="4" t="n">
        <v>45535</v>
      </c>
      <c r="B999" s="1" t="s">
        <v>88</v>
      </c>
      <c r="C999" s="1" t="s">
        <v>89</v>
      </c>
      <c r="D999" s="1" t="n">
        <v>313</v>
      </c>
      <c r="E999" s="1" t="n">
        <v>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1" t="n">
        <v>-10</v>
      </c>
      <c r="O999" s="1" t="n">
        <v>4.97813333333333</v>
      </c>
    </row>
    <row r="1000" customFormat="false" ht="15.75" hidden="false" customHeight="false" outlineLevel="0" collapsed="false">
      <c r="A1000" s="4" t="n">
        <v>45535</v>
      </c>
      <c r="B1000" s="1" t="s">
        <v>88</v>
      </c>
      <c r="C1000" s="1" t="s">
        <v>89</v>
      </c>
      <c r="D1000" s="1" t="n">
        <v>264</v>
      </c>
      <c r="E1000" s="1" t="n">
        <v>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1" t="n">
        <v>-8</v>
      </c>
      <c r="O1000" s="1" t="n">
        <v>6.6466</v>
      </c>
    </row>
    <row r="1001" customFormat="false" ht="15.75" hidden="false" customHeight="false" outlineLevel="0" collapsed="false">
      <c r="A1001" s="4" t="n">
        <v>45535</v>
      </c>
      <c r="B1001" s="1" t="s">
        <v>107</v>
      </c>
      <c r="C1001" s="1" t="s">
        <v>104</v>
      </c>
      <c r="D1001" s="1" t="n">
        <v>129</v>
      </c>
      <c r="E1001" s="1" t="n">
        <v>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1" t="n">
        <v>-10</v>
      </c>
      <c r="O1001" s="1" t="n">
        <v>4.90798333333333</v>
      </c>
    </row>
    <row r="1002" customFormat="false" ht="15.75" hidden="false" customHeight="false" outlineLevel="0" collapsed="false">
      <c r="A1002" s="4" t="n">
        <v>45535</v>
      </c>
      <c r="B1002" s="1" t="s">
        <v>103</v>
      </c>
      <c r="C1002" s="1" t="s">
        <v>104</v>
      </c>
      <c r="D1002" s="1" t="n">
        <v>492</v>
      </c>
      <c r="E1002" s="1" t="n">
        <v>150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1" t="n">
        <v>1</v>
      </c>
      <c r="O1002" s="1" t="n">
        <v>10.66895</v>
      </c>
    </row>
    <row r="1003" customFormat="false" ht="15.75" hidden="false" customHeight="false" outlineLevel="0" collapsed="false">
      <c r="A1003" s="4" t="n">
        <v>45535</v>
      </c>
      <c r="B1003" s="1" t="s">
        <v>95</v>
      </c>
      <c r="C1003" s="1" t="s">
        <v>89</v>
      </c>
      <c r="D1003" s="1" t="n">
        <v>369</v>
      </c>
      <c r="E1003" s="1" t="n">
        <v>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1" t="n">
        <v>-7</v>
      </c>
      <c r="N1003" s="1" t="n">
        <v>0.0144333333333333</v>
      </c>
      <c r="O1003" s="1" t="n">
        <v>10.8882833333333</v>
      </c>
    </row>
    <row r="1004" customFormat="false" ht="15.75" hidden="false" customHeight="false" outlineLevel="0" collapsed="false">
      <c r="A1004" s="4" t="n">
        <v>45535</v>
      </c>
      <c r="B1004" s="1" t="s">
        <v>95</v>
      </c>
      <c r="C1004" s="1" t="s">
        <v>89</v>
      </c>
      <c r="D1004" s="1" t="n">
        <v>488</v>
      </c>
      <c r="E1004" s="1" t="n">
        <v>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1" t="n">
        <v>0</v>
      </c>
      <c r="N1004" s="1" t="n">
        <v>0.0175166666666667</v>
      </c>
      <c r="O1004" s="1" t="n">
        <v>10.55535</v>
      </c>
    </row>
    <row r="1005" customFormat="false" ht="15.75" hidden="false" customHeight="false" outlineLevel="0" collapsed="false">
      <c r="A1005" s="4" t="n">
        <v>45535</v>
      </c>
      <c r="B1005" s="1" t="s">
        <v>103</v>
      </c>
      <c r="C1005" s="1" t="s">
        <v>104</v>
      </c>
      <c r="D1005" s="1" t="n">
        <v>594</v>
      </c>
      <c r="E1005" s="1" t="n">
        <v>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1" t="n">
        <v>0</v>
      </c>
      <c r="O1005" s="1" t="n">
        <v>8.52946666666667</v>
      </c>
    </row>
    <row r="1006" customFormat="false" ht="15.75" hidden="false" customHeight="false" outlineLevel="0" collapsed="false">
      <c r="A1006" s="4" t="n">
        <v>45535</v>
      </c>
      <c r="B1006" s="1" t="s">
        <v>88</v>
      </c>
      <c r="C1006" s="1" t="s">
        <v>89</v>
      </c>
      <c r="D1006" s="1" t="n">
        <v>394</v>
      </c>
      <c r="E1006" s="1" t="n">
        <v>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1" t="n">
        <v>-6</v>
      </c>
      <c r="O1006" s="1" t="n">
        <v>8.09648333333333</v>
      </c>
    </row>
    <row r="1007" customFormat="false" ht="15.75" hidden="false" customHeight="false" outlineLevel="0" collapsed="false">
      <c r="A1007" s="4" t="n">
        <v>45535</v>
      </c>
      <c r="B1007" s="1" t="s">
        <v>95</v>
      </c>
      <c r="C1007" s="1" t="s">
        <v>104</v>
      </c>
      <c r="D1007" s="1" t="n">
        <v>464</v>
      </c>
      <c r="E1007" s="1" t="n">
        <v>111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1" t="n">
        <v>-12</v>
      </c>
      <c r="O1007" s="1" t="n">
        <v>19.4724666666667</v>
      </c>
    </row>
    <row r="1008" customFormat="false" ht="15.75" hidden="false" customHeight="false" outlineLevel="0" collapsed="false">
      <c r="A1008" s="4" t="n">
        <v>45535</v>
      </c>
      <c r="B1008" s="1" t="s">
        <v>107</v>
      </c>
      <c r="C1008" s="1" t="s">
        <v>104</v>
      </c>
      <c r="D1008" s="1" t="n">
        <v>329</v>
      </c>
      <c r="E1008" s="1" t="n">
        <v>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1" t="n">
        <v>-8</v>
      </c>
      <c r="O1008" s="1" t="n">
        <v>6.58743333333333</v>
      </c>
    </row>
    <row r="1009" customFormat="false" ht="15.75" hidden="false" customHeight="false" outlineLevel="0" collapsed="false">
      <c r="A1009" s="4" t="n">
        <v>45535</v>
      </c>
      <c r="B1009" s="1" t="s">
        <v>103</v>
      </c>
      <c r="C1009" s="1" t="s">
        <v>104</v>
      </c>
      <c r="D1009" s="1" t="n">
        <v>329</v>
      </c>
      <c r="E1009" s="1" t="n">
        <v>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1" t="n">
        <v>0</v>
      </c>
      <c r="O1009" s="1" t="n">
        <v>6.6493</v>
      </c>
    </row>
    <row r="1010" customFormat="false" ht="15.75" hidden="false" customHeight="false" outlineLevel="0" collapsed="false">
      <c r="A1010" s="4" t="n">
        <v>45535</v>
      </c>
      <c r="B1010" s="1" t="s">
        <v>103</v>
      </c>
      <c r="C1010" s="1" t="s">
        <v>104</v>
      </c>
      <c r="D1010" s="1" t="n">
        <v>349</v>
      </c>
      <c r="E1010" s="1" t="n">
        <v>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1" t="n">
        <v>3</v>
      </c>
      <c r="O1010" s="1" t="n">
        <v>10.3852</v>
      </c>
    </row>
    <row r="1011" customFormat="false" ht="15.75" hidden="false" customHeight="false" outlineLevel="0" collapsed="false">
      <c r="A1011" s="4" t="n">
        <v>45535</v>
      </c>
      <c r="B1011" s="1" t="s">
        <v>95</v>
      </c>
      <c r="C1011" s="1" t="s">
        <v>89</v>
      </c>
      <c r="D1011" s="1" t="n">
        <v>647</v>
      </c>
      <c r="E1011" s="1" t="n">
        <v>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1" t="n">
        <v>-9</v>
      </c>
      <c r="N1011" s="1" t="n">
        <v>0.0146</v>
      </c>
      <c r="O1011" s="1" t="n">
        <v>36.9222833333333</v>
      </c>
    </row>
    <row r="1012" customFormat="false" ht="15.75" hidden="false" customHeight="false" outlineLevel="0" collapsed="false">
      <c r="A1012" s="4" t="n">
        <v>45535</v>
      </c>
      <c r="B1012" s="1" t="s">
        <v>103</v>
      </c>
      <c r="C1012" s="1" t="s">
        <v>104</v>
      </c>
      <c r="D1012" s="1" t="n">
        <v>1086</v>
      </c>
      <c r="E1012" s="1" t="n">
        <v>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1" t="n">
        <v>-1</v>
      </c>
      <c r="O1012" s="1" t="n">
        <v>9.64826666666667</v>
      </c>
    </row>
  </sheetData>
  <autoFilter ref="A1:O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0" min="40" style="0" width="20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2497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2498</v>
      </c>
      <c r="AP1" s="1" t="s">
        <v>2499</v>
      </c>
      <c r="AQ1" s="1" t="s">
        <v>2500</v>
      </c>
      <c r="AR1" s="1" t="s">
        <v>2501</v>
      </c>
      <c r="AS1" s="1" t="s">
        <v>2502</v>
      </c>
      <c r="AT1" s="1" t="s">
        <v>2503</v>
      </c>
      <c r="AU1" s="1" t="s">
        <v>2504</v>
      </c>
      <c r="AV1" s="1" t="s">
        <v>2505</v>
      </c>
    </row>
    <row r="2" customFormat="false" ht="15.75" hidden="false" customHeight="false" outlineLevel="0" collapsed="false">
      <c r="A2" s="3" t="n">
        <v>45505</v>
      </c>
      <c r="B2" s="1" t="s">
        <v>2506</v>
      </c>
      <c r="C2" s="1" t="s">
        <v>55</v>
      </c>
      <c r="D2" s="1" t="s">
        <v>63</v>
      </c>
      <c r="E2" s="1" t="s">
        <v>45</v>
      </c>
      <c r="G2" s="1" t="s">
        <v>64</v>
      </c>
    </row>
    <row r="3" customFormat="false" ht="15.75" hidden="false" customHeight="false" outlineLevel="0" collapsed="false">
      <c r="A3" s="3" t="n">
        <v>45505</v>
      </c>
      <c r="B3" s="1" t="s">
        <v>2506</v>
      </c>
      <c r="C3" s="1" t="s">
        <v>44</v>
      </c>
      <c r="D3" s="1" t="s">
        <v>45</v>
      </c>
      <c r="E3" s="1" t="s">
        <v>57</v>
      </c>
      <c r="G3" s="1" t="s">
        <v>53</v>
      </c>
    </row>
    <row r="4" customFormat="false" ht="15.75" hidden="false" customHeight="false" outlineLevel="0" collapsed="false">
      <c r="A4" s="3" t="n">
        <v>45505</v>
      </c>
      <c r="B4" s="1" t="s">
        <v>2506</v>
      </c>
      <c r="C4" s="1" t="s">
        <v>72</v>
      </c>
      <c r="D4" s="1" t="s">
        <v>41</v>
      </c>
      <c r="E4" s="1" t="s">
        <v>45</v>
      </c>
      <c r="G4" s="1" t="s">
        <v>53</v>
      </c>
    </row>
    <row r="5" customFormat="false" ht="15.75" hidden="false" customHeight="false" outlineLevel="0" collapsed="false">
      <c r="A5" s="3" t="n">
        <v>45505</v>
      </c>
      <c r="B5" s="1" t="s">
        <v>2506</v>
      </c>
      <c r="H5" s="1" t="s">
        <v>65</v>
      </c>
      <c r="I5" s="1" t="s">
        <v>45</v>
      </c>
      <c r="J5" s="1" t="s">
        <v>57</v>
      </c>
      <c r="L5" s="1" t="s">
        <v>53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3" t="n">
        <v>45505</v>
      </c>
      <c r="B6" s="1" t="s">
        <v>2506</v>
      </c>
      <c r="H6" s="1" t="s">
        <v>96</v>
      </c>
      <c r="I6" s="1" t="s">
        <v>63</v>
      </c>
      <c r="J6" s="1" t="s">
        <v>45</v>
      </c>
      <c r="L6" s="1" t="s">
        <v>64</v>
      </c>
      <c r="M6" s="1" t="n">
        <v>6</v>
      </c>
      <c r="N6" s="2" t="b">
        <f aca="false">TRUE()</f>
        <v>1</v>
      </c>
      <c r="O6" s="1" t="n">
        <v>240</v>
      </c>
    </row>
    <row r="7" customFormat="false" ht="15.75" hidden="false" customHeight="false" outlineLevel="0" collapsed="false">
      <c r="A7" s="3" t="n">
        <v>45505</v>
      </c>
      <c r="B7" s="1" t="s">
        <v>2506</v>
      </c>
      <c r="P7" s="1" t="n">
        <v>3</v>
      </c>
      <c r="S7" s="1" t="n">
        <v>12155</v>
      </c>
      <c r="T7" s="1" t="n">
        <v>7267</v>
      </c>
      <c r="U7" s="1" t="n">
        <v>17983</v>
      </c>
      <c r="V7" s="1" t="n">
        <v>8801</v>
      </c>
      <c r="W7" s="1" t="n">
        <v>917</v>
      </c>
      <c r="X7" s="1" t="n">
        <v>1093</v>
      </c>
      <c r="Y7" s="1" t="n">
        <v>5130</v>
      </c>
      <c r="AA7" s="1" t="n">
        <v>1500</v>
      </c>
      <c r="AB7" s="1" t="n">
        <v>56736</v>
      </c>
      <c r="AC7" s="1" t="n">
        <v>7</v>
      </c>
      <c r="AD7" s="1" t="n">
        <v>0.222445439113586</v>
      </c>
      <c r="AE7" s="1" t="n">
        <v>500</v>
      </c>
      <c r="AG7" s="1" t="n">
        <v>1890</v>
      </c>
      <c r="AI7" s="1" t="n">
        <v>600</v>
      </c>
      <c r="AJ7" s="1" t="n">
        <v>1</v>
      </c>
      <c r="AK7" s="1" t="n">
        <v>264</v>
      </c>
      <c r="AL7" s="1" t="n">
        <v>4</v>
      </c>
      <c r="AM7" s="1" t="s">
        <v>2507</v>
      </c>
      <c r="AN7" s="1" t="n">
        <v>2</v>
      </c>
      <c r="AO7" s="1" t="n">
        <v>3</v>
      </c>
      <c r="AP7" s="1"/>
      <c r="AQ7" s="1"/>
      <c r="AR7" s="1"/>
      <c r="AS7" s="1"/>
      <c r="AT7" s="1"/>
      <c r="AU7" s="1"/>
      <c r="AV7" s="1"/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52</v>
      </c>
      <c r="D8" s="1" t="s">
        <v>45</v>
      </c>
      <c r="E8" s="1" t="s">
        <v>2508</v>
      </c>
      <c r="G8" s="1" t="s">
        <v>47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44</v>
      </c>
      <c r="D9" s="1" t="s">
        <v>41</v>
      </c>
      <c r="E9" s="1" t="s">
        <v>42</v>
      </c>
      <c r="G9" s="1" t="s">
        <v>43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 t="s">
        <v>2509</v>
      </c>
      <c r="D10" s="1" t="s">
        <v>41</v>
      </c>
      <c r="E10" s="1" t="s">
        <v>45</v>
      </c>
      <c r="G10" s="1" t="s">
        <v>53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 t="s">
        <v>72</v>
      </c>
      <c r="D11" s="1" t="s">
        <v>45</v>
      </c>
      <c r="E11" s="1" t="s">
        <v>2508</v>
      </c>
      <c r="G11" s="1" t="s">
        <v>47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H12" s="1" t="s">
        <v>96</v>
      </c>
      <c r="I12" s="1" t="s">
        <v>41</v>
      </c>
      <c r="J12" s="1" t="s">
        <v>2508</v>
      </c>
      <c r="L12" s="1" t="s">
        <v>2510</v>
      </c>
      <c r="M12" s="1" t="n">
        <v>22</v>
      </c>
      <c r="N12" s="2" t="b">
        <f aca="false">TRUE()</f>
        <v>1</v>
      </c>
      <c r="O12" s="1" t="n">
        <v>880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P13" s="1" t="n">
        <v>6</v>
      </c>
      <c r="S13" s="1" t="n">
        <v>13714</v>
      </c>
      <c r="T13" s="1" t="n">
        <v>8559</v>
      </c>
      <c r="U13" s="1" t="n">
        <v>15123</v>
      </c>
      <c r="V13" s="1" t="n">
        <v>13992</v>
      </c>
      <c r="W13" s="1" t="n">
        <v>823</v>
      </c>
      <c r="X13" s="1" t="n">
        <v>4446</v>
      </c>
      <c r="Y13" s="1" t="n">
        <v>3340</v>
      </c>
      <c r="AA13" s="1" t="n">
        <v>7980</v>
      </c>
      <c r="AB13" s="1" t="n">
        <v>65404.5</v>
      </c>
      <c r="AC13" s="1" t="n">
        <v>6.5</v>
      </c>
      <c r="AD13" s="1" t="n">
        <v>0.265572436660297</v>
      </c>
      <c r="AH13" s="1" t="n">
        <v>1000</v>
      </c>
      <c r="AI13" s="1" t="n">
        <v>880</v>
      </c>
      <c r="AJ13" s="1" t="n">
        <v>0</v>
      </c>
      <c r="AK13" s="1" t="n">
        <v>0</v>
      </c>
      <c r="AL13" s="1" t="n">
        <v>4</v>
      </c>
      <c r="AM13" s="1" t="s">
        <v>2511</v>
      </c>
      <c r="AN13" s="1" t="n">
        <v>1</v>
      </c>
      <c r="AO13" s="1" t="n">
        <v>4</v>
      </c>
      <c r="AP13" s="1"/>
      <c r="AQ13" s="1"/>
      <c r="AR13" s="1"/>
      <c r="AS13" s="1"/>
      <c r="AT13" s="1"/>
      <c r="AU13" s="1"/>
      <c r="AV13" s="1"/>
    </row>
    <row r="14" customFormat="false" ht="15.75" hidden="false" customHeight="false" outlineLevel="0" collapsed="false">
      <c r="A14" s="3" t="n">
        <v>45507</v>
      </c>
      <c r="B14" s="1" t="s">
        <v>2512</v>
      </c>
      <c r="C14" s="1" t="s">
        <v>52</v>
      </c>
      <c r="D14" s="1" t="s">
        <v>45</v>
      </c>
      <c r="E14" s="1" t="s">
        <v>2508</v>
      </c>
      <c r="G14" s="1" t="s">
        <v>47</v>
      </c>
    </row>
    <row r="15" customFormat="false" ht="15.75" hidden="false" customHeight="false" outlineLevel="0" collapsed="false">
      <c r="A15" s="3" t="n">
        <v>45507</v>
      </c>
      <c r="B15" s="1" t="s">
        <v>2512</v>
      </c>
      <c r="C15" s="1" t="s">
        <v>44</v>
      </c>
      <c r="D15" s="1" t="s">
        <v>41</v>
      </c>
      <c r="E15" s="1" t="s">
        <v>42</v>
      </c>
      <c r="G15" s="1" t="s">
        <v>43</v>
      </c>
    </row>
    <row r="16" customFormat="false" ht="15.75" hidden="false" customHeight="false" outlineLevel="0" collapsed="false">
      <c r="A16" s="3" t="n">
        <v>45507</v>
      </c>
      <c r="B16" s="1" t="s">
        <v>2512</v>
      </c>
      <c r="C16" s="1" t="s">
        <v>2509</v>
      </c>
      <c r="D16" s="1" t="s">
        <v>41</v>
      </c>
      <c r="E16" s="1" t="s">
        <v>45</v>
      </c>
      <c r="G16" s="1" t="s">
        <v>53</v>
      </c>
    </row>
    <row r="17" customFormat="false" ht="15.75" hidden="false" customHeight="false" outlineLevel="0" collapsed="false">
      <c r="A17" s="3" t="n">
        <v>45507</v>
      </c>
      <c r="B17" s="1" t="s">
        <v>2512</v>
      </c>
      <c r="C17" s="1" t="s">
        <v>72</v>
      </c>
      <c r="D17" s="1" t="s">
        <v>45</v>
      </c>
      <c r="E17" s="1" t="s">
        <v>2508</v>
      </c>
      <c r="G17" s="1" t="s">
        <v>47</v>
      </c>
    </row>
    <row r="18" customFormat="false" ht="15.75" hidden="false" customHeight="false" outlineLevel="0" collapsed="false">
      <c r="A18" s="3" t="n">
        <v>45507</v>
      </c>
      <c r="B18" s="1" t="s">
        <v>2512</v>
      </c>
      <c r="H18" s="1" t="s">
        <v>65</v>
      </c>
      <c r="I18" s="1" t="s">
        <v>63</v>
      </c>
      <c r="J18" s="1" t="s">
        <v>2508</v>
      </c>
      <c r="L18" s="1" t="s">
        <v>2513</v>
      </c>
      <c r="M18" s="1" t="n">
        <v>15</v>
      </c>
      <c r="N18" s="2" t="b">
        <f aca="false">TRUE()</f>
        <v>1</v>
      </c>
      <c r="O18" s="1" t="n">
        <v>600</v>
      </c>
    </row>
    <row r="19" customFormat="false" ht="15.75" hidden="false" customHeight="false" outlineLevel="0" collapsed="false">
      <c r="A19" s="3" t="n">
        <v>45507</v>
      </c>
      <c r="B19" s="1" t="s">
        <v>2512</v>
      </c>
      <c r="P19" s="1" t="n">
        <v>2</v>
      </c>
      <c r="S19" s="1" t="n">
        <v>9875</v>
      </c>
      <c r="T19" s="1" t="n">
        <v>6927</v>
      </c>
      <c r="U19" s="1" t="n">
        <v>20583</v>
      </c>
      <c r="V19" s="1" t="n">
        <v>11023</v>
      </c>
      <c r="W19" s="1" t="n">
        <v>0</v>
      </c>
      <c r="X19" s="1" t="n">
        <v>795</v>
      </c>
      <c r="Y19" s="1" t="n">
        <v>8635</v>
      </c>
      <c r="AA19" s="1" t="n">
        <v>855</v>
      </c>
      <c r="AB19" s="1" t="n">
        <v>59046</v>
      </c>
      <c r="AC19" s="1" t="n">
        <v>-328</v>
      </c>
      <c r="AD19" s="1" t="n">
        <v>0.268311005547343</v>
      </c>
      <c r="AG19" s="1" t="n">
        <v>220</v>
      </c>
      <c r="AI19" s="1" t="n">
        <v>600</v>
      </c>
      <c r="AJ19" s="1" t="n">
        <v>0</v>
      </c>
      <c r="AK19" s="1" t="n">
        <v>0</v>
      </c>
      <c r="AL19" s="1" t="n">
        <v>2</v>
      </c>
      <c r="AM19" s="1" t="s">
        <v>2514</v>
      </c>
      <c r="AN19" s="1" t="n">
        <v>1</v>
      </c>
      <c r="AO19" s="1" t="n">
        <v>1</v>
      </c>
      <c r="AP19" s="1"/>
      <c r="AQ19" s="1"/>
      <c r="AR19" s="1"/>
      <c r="AS19" s="1"/>
      <c r="AT19" s="1"/>
      <c r="AU19" s="1"/>
      <c r="AV19" s="1"/>
    </row>
    <row r="20" customFormat="false" ht="15.75" hidden="false" customHeight="false" outlineLevel="0" collapsed="false">
      <c r="A20" s="3" t="n">
        <v>45508</v>
      </c>
      <c r="B20" s="1" t="s">
        <v>67</v>
      </c>
      <c r="C20" s="1" t="s">
        <v>44</v>
      </c>
      <c r="D20" s="1" t="s">
        <v>41</v>
      </c>
      <c r="E20" s="1" t="s">
        <v>45</v>
      </c>
      <c r="G20" s="1" t="s">
        <v>53</v>
      </c>
    </row>
    <row r="21" customFormat="false" ht="15.75" hidden="false" customHeight="false" outlineLevel="0" collapsed="false">
      <c r="A21" s="3" t="n">
        <v>45508</v>
      </c>
      <c r="B21" s="1" t="s">
        <v>67</v>
      </c>
      <c r="C21" s="1" t="s">
        <v>52</v>
      </c>
      <c r="D21" s="1" t="s">
        <v>45</v>
      </c>
      <c r="E21" s="1" t="s">
        <v>56</v>
      </c>
      <c r="G21" s="1" t="s">
        <v>2515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2516</v>
      </c>
      <c r="D22" s="1" t="s">
        <v>41</v>
      </c>
      <c r="E22" s="1" t="s">
        <v>45</v>
      </c>
      <c r="G22" s="1" t="s">
        <v>53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72</v>
      </c>
      <c r="D23" s="1" t="s">
        <v>45</v>
      </c>
      <c r="E23" s="1" t="s">
        <v>57</v>
      </c>
      <c r="G23" s="1" t="s">
        <v>53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H24" s="1" t="s">
        <v>96</v>
      </c>
      <c r="I24" s="1" t="s">
        <v>63</v>
      </c>
      <c r="J24" s="1" t="s">
        <v>57</v>
      </c>
      <c r="L24" s="1" t="s">
        <v>50</v>
      </c>
      <c r="M24" s="1" t="n">
        <v>18</v>
      </c>
      <c r="N24" s="2" t="b">
        <f aca="false">TRUE()</f>
        <v>1</v>
      </c>
      <c r="O24" s="1" t="n">
        <v>720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P25" s="1" t="n">
        <v>11</v>
      </c>
      <c r="S25" s="1" t="n">
        <v>12864</v>
      </c>
      <c r="T25" s="1" t="n">
        <v>7236</v>
      </c>
      <c r="U25" s="1" t="n">
        <v>23360</v>
      </c>
      <c r="V25" s="1" t="n">
        <v>12483</v>
      </c>
      <c r="W25" s="1" t="n">
        <v>358</v>
      </c>
      <c r="X25" s="1" t="n">
        <v>2604</v>
      </c>
      <c r="Y25" s="1" t="n">
        <v>4023</v>
      </c>
      <c r="AA25" s="1" t="n">
        <v>6230</v>
      </c>
      <c r="AB25" s="1" t="n">
        <v>67274</v>
      </c>
      <c r="AC25" s="1" t="n">
        <v>0</v>
      </c>
      <c r="AD25" s="1" t="n">
        <v>0.252790719052656</v>
      </c>
      <c r="AI25" s="1" t="n">
        <v>720</v>
      </c>
      <c r="AJ25" s="1" t="n">
        <v>1</v>
      </c>
      <c r="AK25" s="1" t="n">
        <v>321</v>
      </c>
      <c r="AL25" s="1" t="n">
        <v>19</v>
      </c>
      <c r="AM25" s="1" t="s">
        <v>2517</v>
      </c>
      <c r="AN25" s="1" t="n">
        <v>1</v>
      </c>
      <c r="AO25" s="1" t="n">
        <v>2</v>
      </c>
      <c r="AP25" s="1"/>
      <c r="AQ25" s="1"/>
      <c r="AR25" s="1"/>
      <c r="AS25" s="1"/>
      <c r="AT25" s="1"/>
      <c r="AU25" s="1"/>
      <c r="AV25" s="1"/>
    </row>
    <row r="26" customFormat="false" ht="15.75" hidden="false" customHeight="false" outlineLevel="0" collapsed="false">
      <c r="A26" s="3" t="n">
        <v>45509</v>
      </c>
      <c r="B26" s="1" t="s">
        <v>69</v>
      </c>
      <c r="C26" s="1" t="s">
        <v>2509</v>
      </c>
      <c r="D26" s="1" t="s">
        <v>45</v>
      </c>
      <c r="E26" s="1" t="s">
        <v>57</v>
      </c>
      <c r="G26" s="1" t="s">
        <v>53</v>
      </c>
    </row>
    <row r="27" customFormat="false" ht="15.75" hidden="false" customHeight="false" outlineLevel="0" collapsed="false">
      <c r="A27" s="3" t="n">
        <v>45509</v>
      </c>
      <c r="B27" s="1" t="s">
        <v>69</v>
      </c>
      <c r="C27" s="1" t="s">
        <v>72</v>
      </c>
      <c r="D27" s="1" t="s">
        <v>41</v>
      </c>
      <c r="E27" s="1" t="s">
        <v>56</v>
      </c>
      <c r="G27" s="1" t="s">
        <v>2518</v>
      </c>
    </row>
    <row r="28" customFormat="false" ht="15.75" hidden="false" customHeight="false" outlineLevel="0" collapsed="false">
      <c r="A28" s="3" t="n">
        <v>45509</v>
      </c>
      <c r="B28" s="1" t="s">
        <v>69</v>
      </c>
      <c r="H28" s="1" t="s">
        <v>373</v>
      </c>
      <c r="I28" s="1" t="s">
        <v>63</v>
      </c>
      <c r="J28" s="1" t="s">
        <v>70</v>
      </c>
      <c r="L28" s="1" t="s">
        <v>53</v>
      </c>
      <c r="M28" s="1" t="n">
        <v>6</v>
      </c>
      <c r="N28" s="2" t="b">
        <f aca="false">TRUE()</f>
        <v>1</v>
      </c>
      <c r="O28" s="1" t="n">
        <v>240</v>
      </c>
    </row>
    <row r="29" customFormat="false" ht="15.75" hidden="false" customHeight="false" outlineLevel="0" collapsed="false">
      <c r="A29" s="3" t="n">
        <v>45509</v>
      </c>
      <c r="B29" s="1" t="s">
        <v>69</v>
      </c>
      <c r="H29" s="1" t="s">
        <v>71</v>
      </c>
      <c r="I29" s="1" t="s">
        <v>70</v>
      </c>
      <c r="J29" s="1" t="s">
        <v>57</v>
      </c>
      <c r="L29" s="1" t="s">
        <v>64</v>
      </c>
      <c r="M29" s="1" t="n">
        <v>6</v>
      </c>
      <c r="N29" s="2" t="b">
        <f aca="false">TRUE()</f>
        <v>1</v>
      </c>
      <c r="O29" s="1" t="n">
        <v>240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P30" s="1" t="n">
        <v>7</v>
      </c>
      <c r="S30" s="1" t="n">
        <v>9763</v>
      </c>
      <c r="T30" s="1" t="n">
        <v>4297</v>
      </c>
      <c r="U30" s="1" t="n">
        <v>9409</v>
      </c>
      <c r="V30" s="1" t="n">
        <v>9197</v>
      </c>
      <c r="W30" s="1" t="n">
        <v>0</v>
      </c>
      <c r="X30" s="1" t="n">
        <v>747</v>
      </c>
      <c r="Y30" s="1" t="n">
        <v>3343</v>
      </c>
      <c r="AA30" s="1" t="n">
        <v>3170</v>
      </c>
      <c r="AB30" s="1" t="n">
        <v>39700</v>
      </c>
      <c r="AC30" s="1" t="n">
        <v>39</v>
      </c>
      <c r="AD30" s="1" t="n">
        <v>0.390091638124644</v>
      </c>
      <c r="AH30" s="1" t="n">
        <v>80</v>
      </c>
      <c r="AI30" s="1" t="n">
        <v>480</v>
      </c>
      <c r="AJ30" s="1" t="n">
        <v>0</v>
      </c>
      <c r="AK30" s="1" t="n">
        <v>0</v>
      </c>
      <c r="AL30" s="1" t="n">
        <v>23</v>
      </c>
      <c r="AM30" s="1" t="s">
        <v>2519</v>
      </c>
      <c r="AN30" s="1" t="n">
        <v>2</v>
      </c>
      <c r="AO30" s="1" t="n">
        <v>4</v>
      </c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3" t="n">
        <v>45510</v>
      </c>
      <c r="B31" s="1" t="s">
        <v>61</v>
      </c>
      <c r="C31" s="1" t="s">
        <v>44</v>
      </c>
      <c r="D31" s="1" t="s">
        <v>45</v>
      </c>
      <c r="E31" s="1" t="s">
        <v>57</v>
      </c>
      <c r="G31" s="1" t="s">
        <v>53</v>
      </c>
    </row>
    <row r="32" customFormat="false" ht="15.75" hidden="false" customHeight="false" outlineLevel="0" collapsed="false">
      <c r="A32" s="3" t="n">
        <v>45510</v>
      </c>
      <c r="B32" s="1" t="s">
        <v>61</v>
      </c>
      <c r="C32" s="1" t="s">
        <v>72</v>
      </c>
      <c r="D32" s="1" t="s">
        <v>45</v>
      </c>
      <c r="E32" s="1" t="s">
        <v>2520</v>
      </c>
      <c r="G32" s="1" t="s">
        <v>2515</v>
      </c>
    </row>
    <row r="33" customFormat="false" ht="15.75" hidden="false" customHeight="false" outlineLevel="0" collapsed="false">
      <c r="A33" s="3" t="n">
        <v>45510</v>
      </c>
      <c r="B33" s="1" t="s">
        <v>61</v>
      </c>
      <c r="C33" s="1" t="s">
        <v>2509</v>
      </c>
      <c r="D33" s="1" t="s">
        <v>41</v>
      </c>
      <c r="E33" s="1" t="s">
        <v>2520</v>
      </c>
      <c r="G33" s="1" t="s">
        <v>2518</v>
      </c>
    </row>
    <row r="34" customFormat="false" ht="15.75" hidden="false" customHeight="false" outlineLevel="0" collapsed="false">
      <c r="A34" s="3" t="n">
        <v>45510</v>
      </c>
      <c r="B34" s="1" t="s">
        <v>61</v>
      </c>
      <c r="H34" s="1" t="s">
        <v>65</v>
      </c>
      <c r="I34" s="1" t="s">
        <v>63</v>
      </c>
      <c r="J34" s="1" t="s">
        <v>45</v>
      </c>
      <c r="L34" s="1" t="s">
        <v>64</v>
      </c>
      <c r="M34" s="1" t="n">
        <v>7</v>
      </c>
      <c r="N34" s="2" t="b">
        <f aca="false">TRUE()</f>
        <v>1</v>
      </c>
      <c r="O34" s="1" t="n">
        <v>280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H35" s="1" t="s">
        <v>1073</v>
      </c>
      <c r="I35" s="1" t="s">
        <v>45</v>
      </c>
      <c r="J35" s="1" t="s">
        <v>56</v>
      </c>
      <c r="L35" s="1" t="s">
        <v>2515</v>
      </c>
      <c r="M35" s="1" t="n">
        <v>12</v>
      </c>
      <c r="N35" s="2" t="b">
        <f aca="false">TRUE()</f>
        <v>1</v>
      </c>
      <c r="O35" s="1" t="n">
        <v>480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P36" s="1" t="n">
        <v>1</v>
      </c>
      <c r="S36" s="1" t="n">
        <v>8586</v>
      </c>
      <c r="T36" s="1" t="n">
        <v>6871</v>
      </c>
      <c r="U36" s="1" t="n">
        <v>13982</v>
      </c>
      <c r="V36" s="1" t="n">
        <v>9114</v>
      </c>
      <c r="W36" s="1" t="n">
        <v>0</v>
      </c>
      <c r="X36" s="1" t="n">
        <v>3462</v>
      </c>
      <c r="Y36" s="1" t="n">
        <v>4333</v>
      </c>
      <c r="AA36" s="1" t="n">
        <v>5210</v>
      </c>
      <c r="AB36" s="1" t="n">
        <v>49815.5</v>
      </c>
      <c r="AC36" s="1" t="n">
        <v>40.5</v>
      </c>
      <c r="AD36" s="1" t="n">
        <v>0.296914570636617</v>
      </c>
      <c r="AH36" s="1" t="n">
        <v>1000</v>
      </c>
      <c r="AI36" s="1" t="n">
        <v>760</v>
      </c>
      <c r="AJ36" s="1" t="n">
        <v>1</v>
      </c>
      <c r="AK36" s="1" t="n">
        <v>498</v>
      </c>
      <c r="AL36" s="1" t="n">
        <v>5</v>
      </c>
      <c r="AM36" s="1" t="s">
        <v>2521</v>
      </c>
      <c r="AN36" s="1" t="n">
        <v>2</v>
      </c>
      <c r="AO36" s="1" t="n">
        <v>0</v>
      </c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3" t="n">
        <v>45511</v>
      </c>
      <c r="B37" s="1" t="s">
        <v>73</v>
      </c>
      <c r="C37" s="1" t="s">
        <v>52</v>
      </c>
      <c r="D37" s="1" t="s">
        <v>41</v>
      </c>
      <c r="E37" s="1" t="s">
        <v>45</v>
      </c>
      <c r="G37" s="1" t="s">
        <v>53</v>
      </c>
    </row>
    <row r="38" customFormat="false" ht="15.75" hidden="false" customHeight="false" outlineLevel="0" collapsed="false">
      <c r="A38" s="3" t="n">
        <v>45511</v>
      </c>
      <c r="B38" s="1" t="s">
        <v>73</v>
      </c>
      <c r="C38" s="1" t="s">
        <v>40</v>
      </c>
      <c r="D38" s="1" t="s">
        <v>45</v>
      </c>
      <c r="E38" s="1" t="s">
        <v>57</v>
      </c>
      <c r="G38" s="1" t="s">
        <v>53</v>
      </c>
    </row>
    <row r="39" customFormat="false" ht="15.75" hidden="false" customHeight="false" outlineLevel="0" collapsed="false">
      <c r="A39" s="3" t="n">
        <v>45511</v>
      </c>
      <c r="B39" s="1" t="s">
        <v>73</v>
      </c>
      <c r="C39" s="1" t="s">
        <v>96</v>
      </c>
      <c r="D39" s="1" t="s">
        <v>45</v>
      </c>
      <c r="E39" s="1" t="s">
        <v>57</v>
      </c>
      <c r="G39" s="1" t="s">
        <v>53</v>
      </c>
    </row>
    <row r="40" customFormat="false" ht="15.75" hidden="false" customHeight="false" outlineLevel="0" collapsed="false">
      <c r="A40" s="3" t="n">
        <v>45511</v>
      </c>
      <c r="B40" s="1" t="s">
        <v>73</v>
      </c>
      <c r="H40" s="1" t="s">
        <v>373</v>
      </c>
      <c r="I40" s="1" t="s">
        <v>63</v>
      </c>
      <c r="J40" s="1" t="s">
        <v>57</v>
      </c>
      <c r="L40" s="1" t="s">
        <v>50</v>
      </c>
      <c r="M40" s="1" t="n">
        <v>13</v>
      </c>
      <c r="N40" s="2" t="b">
        <f aca="false">TRUE()</f>
        <v>1</v>
      </c>
      <c r="O40" s="1" t="n">
        <v>520</v>
      </c>
    </row>
    <row r="41" customFormat="false" ht="15.75" hidden="false" customHeight="false" outlineLevel="0" collapsed="false">
      <c r="A41" s="3" t="n">
        <v>45511</v>
      </c>
      <c r="B41" s="1" t="s">
        <v>73</v>
      </c>
      <c r="P41" s="1" t="n">
        <v>4</v>
      </c>
      <c r="S41" s="1" t="n">
        <v>8154</v>
      </c>
      <c r="T41" s="1" t="n">
        <v>4246</v>
      </c>
      <c r="U41" s="1" t="n">
        <v>8791</v>
      </c>
      <c r="V41" s="1" t="n">
        <v>9064</v>
      </c>
      <c r="W41" s="1" t="n">
        <v>1660</v>
      </c>
      <c r="X41" s="1" t="n">
        <v>2318</v>
      </c>
      <c r="Y41" s="1" t="n">
        <v>2641</v>
      </c>
      <c r="AA41" s="1" t="n">
        <v>4240</v>
      </c>
      <c r="AB41" s="1" t="n">
        <v>39350.5</v>
      </c>
      <c r="AC41" s="1" t="n">
        <v>5.5</v>
      </c>
      <c r="AD41" s="1" t="n">
        <v>0.334553108945207</v>
      </c>
      <c r="AH41" s="1" t="n">
        <v>40</v>
      </c>
      <c r="AI41" s="1" t="n">
        <v>520</v>
      </c>
      <c r="AJ41" s="1" t="n">
        <v>0</v>
      </c>
      <c r="AK41" s="1" t="n">
        <v>0</v>
      </c>
      <c r="AL41" s="1" t="n">
        <v>2</v>
      </c>
      <c r="AM41" s="1" t="s">
        <v>2522</v>
      </c>
      <c r="AN41" s="1" t="n">
        <v>1</v>
      </c>
      <c r="AO41" s="1" t="n">
        <v>3</v>
      </c>
      <c r="AP41" s="1"/>
      <c r="AQ41" s="1"/>
      <c r="AR41" s="1"/>
      <c r="AS41" s="1"/>
      <c r="AT41" s="1"/>
      <c r="AU41" s="1"/>
      <c r="AV41" s="1"/>
    </row>
    <row r="42" customFormat="false" ht="15.75" hidden="false" customHeight="false" outlineLevel="0" collapsed="false">
      <c r="A42" s="3" t="n">
        <v>45512</v>
      </c>
      <c r="B42" s="1" t="s">
        <v>2506</v>
      </c>
      <c r="C42" s="1" t="s">
        <v>52</v>
      </c>
      <c r="D42" s="1" t="s">
        <v>41</v>
      </c>
      <c r="E42" s="1" t="s">
        <v>45</v>
      </c>
      <c r="G42" s="1" t="s">
        <v>53</v>
      </c>
    </row>
    <row r="43" customFormat="false" ht="15.75" hidden="false" customHeight="false" outlineLevel="0" collapsed="false">
      <c r="A43" s="3" t="n">
        <v>45512</v>
      </c>
      <c r="B43" s="1" t="s">
        <v>2506</v>
      </c>
      <c r="C43" s="1" t="s">
        <v>40</v>
      </c>
      <c r="D43" s="1" t="s">
        <v>45</v>
      </c>
      <c r="E43" s="1" t="s">
        <v>57</v>
      </c>
      <c r="G43" s="1" t="s">
        <v>53</v>
      </c>
    </row>
    <row r="44" customFormat="false" ht="15.75" hidden="false" customHeight="false" outlineLevel="0" collapsed="false">
      <c r="A44" s="3" t="n">
        <v>45512</v>
      </c>
      <c r="B44" s="1" t="s">
        <v>2506</v>
      </c>
      <c r="C44" s="1" t="s">
        <v>2516</v>
      </c>
      <c r="D44" s="1" t="s">
        <v>70</v>
      </c>
      <c r="E44" s="1" t="s">
        <v>57</v>
      </c>
      <c r="G44" s="1" t="s">
        <v>64</v>
      </c>
    </row>
    <row r="45" customFormat="false" ht="15.75" hidden="false" customHeight="false" outlineLevel="0" collapsed="false">
      <c r="A45" s="3" t="n">
        <v>45512</v>
      </c>
      <c r="B45" s="1" t="s">
        <v>2506</v>
      </c>
      <c r="H45" s="1" t="s">
        <v>1073</v>
      </c>
      <c r="I45" s="1" t="s">
        <v>45</v>
      </c>
      <c r="J45" s="1" t="s">
        <v>57</v>
      </c>
      <c r="L45" s="1" t="s">
        <v>53</v>
      </c>
      <c r="M45" s="1" t="n">
        <v>14</v>
      </c>
      <c r="N45" s="2" t="b">
        <f aca="false">TRUE()</f>
        <v>1</v>
      </c>
      <c r="O45" s="1" t="n">
        <v>560</v>
      </c>
    </row>
    <row r="46" customFormat="false" ht="15.75" hidden="false" customHeight="false" outlineLevel="0" collapsed="false">
      <c r="A46" s="3" t="n">
        <v>45512</v>
      </c>
      <c r="B46" s="1" t="s">
        <v>2506</v>
      </c>
      <c r="H46" s="1" t="s">
        <v>65</v>
      </c>
      <c r="I46" s="1" t="s">
        <v>63</v>
      </c>
      <c r="J46" s="1" t="s">
        <v>45</v>
      </c>
      <c r="L46" s="1" t="s">
        <v>64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3" t="n">
        <v>45512</v>
      </c>
      <c r="B47" s="1" t="s">
        <v>2506</v>
      </c>
      <c r="P47" s="1" t="n">
        <v>2</v>
      </c>
      <c r="S47" s="1" t="n">
        <v>13349</v>
      </c>
      <c r="T47" s="1" t="n">
        <v>5636</v>
      </c>
      <c r="U47" s="1" t="n">
        <v>17458</v>
      </c>
      <c r="V47" s="1" t="n">
        <v>12178</v>
      </c>
      <c r="W47" s="1" t="n">
        <v>0</v>
      </c>
      <c r="X47" s="1" t="n">
        <v>1005</v>
      </c>
      <c r="Y47" s="1" t="n">
        <v>3153</v>
      </c>
      <c r="AA47" s="1" t="n">
        <v>3450</v>
      </c>
      <c r="AB47" s="1" t="n">
        <v>56098</v>
      </c>
      <c r="AC47" s="1" t="n">
        <v>6</v>
      </c>
      <c r="AD47" s="1" t="n">
        <v>0.234387709250747</v>
      </c>
      <c r="AI47" s="1" t="n">
        <v>880</v>
      </c>
      <c r="AJ47" s="1" t="n">
        <v>0</v>
      </c>
      <c r="AK47" s="1" t="n">
        <v>0</v>
      </c>
      <c r="AL47" s="1" t="n">
        <v>4</v>
      </c>
      <c r="AM47" s="1" t="s">
        <v>2523</v>
      </c>
      <c r="AN47" s="1" t="n">
        <v>2</v>
      </c>
      <c r="AO47" s="1" t="n">
        <v>2</v>
      </c>
      <c r="AP47" s="1"/>
      <c r="AQ47" s="1"/>
      <c r="AR47" s="1"/>
      <c r="AS47" s="1"/>
      <c r="AT47" s="1"/>
      <c r="AU47" s="1"/>
      <c r="AV47" s="1"/>
    </row>
    <row r="48" customFormat="false" ht="15.75" hidden="false" customHeight="false" outlineLevel="0" collapsed="false">
      <c r="A48" s="3" t="n">
        <v>45513</v>
      </c>
      <c r="B48" s="1" t="s">
        <v>39</v>
      </c>
      <c r="C48" s="1" t="s">
        <v>52</v>
      </c>
      <c r="D48" s="1" t="s">
        <v>41</v>
      </c>
      <c r="E48" s="1" t="s">
        <v>45</v>
      </c>
      <c r="G48" s="1" t="s">
        <v>53</v>
      </c>
    </row>
    <row r="49" customFormat="false" ht="15.75" hidden="false" customHeight="false" outlineLevel="0" collapsed="false">
      <c r="A49" s="3" t="n">
        <v>45513</v>
      </c>
      <c r="B49" s="1" t="s">
        <v>39</v>
      </c>
      <c r="C49" s="1" t="s">
        <v>44</v>
      </c>
      <c r="D49" s="1" t="s">
        <v>45</v>
      </c>
      <c r="E49" s="1" t="s">
        <v>49</v>
      </c>
      <c r="G49" s="1" t="s">
        <v>64</v>
      </c>
    </row>
    <row r="50" customFormat="false" ht="15.75" hidden="false" customHeight="false" outlineLevel="0" collapsed="false">
      <c r="A50" s="3" t="n">
        <v>45513</v>
      </c>
      <c r="B50" s="1" t="s">
        <v>39</v>
      </c>
      <c r="C50" s="1" t="s">
        <v>40</v>
      </c>
      <c r="D50" s="1" t="s">
        <v>45</v>
      </c>
      <c r="E50" s="1" t="s">
        <v>2508</v>
      </c>
      <c r="G50" s="1" t="s">
        <v>47</v>
      </c>
    </row>
    <row r="51" customFormat="false" ht="15.75" hidden="false" customHeight="false" outlineLevel="0" collapsed="false">
      <c r="A51" s="3" t="n">
        <v>45513</v>
      </c>
      <c r="B51" s="1" t="s">
        <v>39</v>
      </c>
      <c r="C51" s="1" t="s">
        <v>2509</v>
      </c>
      <c r="D51" s="1" t="s">
        <v>41</v>
      </c>
      <c r="E51" s="1" t="s">
        <v>45</v>
      </c>
      <c r="G51" s="1" t="s">
        <v>53</v>
      </c>
    </row>
    <row r="52" customFormat="false" ht="15.75" hidden="false" customHeight="false" outlineLevel="0" collapsed="false">
      <c r="A52" s="3" t="n">
        <v>45513</v>
      </c>
      <c r="B52" s="1" t="s">
        <v>39</v>
      </c>
      <c r="C52" s="1" t="s">
        <v>2516</v>
      </c>
      <c r="D52" s="1" t="s">
        <v>70</v>
      </c>
      <c r="E52" s="1" t="s">
        <v>2508</v>
      </c>
      <c r="G52" s="1" t="s">
        <v>53</v>
      </c>
    </row>
    <row r="53" customFormat="false" ht="15.75" hidden="false" customHeight="false" outlineLevel="0" collapsed="false">
      <c r="A53" s="3" t="n">
        <v>45513</v>
      </c>
      <c r="B53" s="1" t="s">
        <v>39</v>
      </c>
      <c r="H53" s="1" t="s">
        <v>71</v>
      </c>
      <c r="I53" s="1" t="s">
        <v>70</v>
      </c>
      <c r="J53" s="1" t="s">
        <v>2508</v>
      </c>
      <c r="L53" s="1" t="s">
        <v>53</v>
      </c>
      <c r="M53" s="1" t="n">
        <v>12</v>
      </c>
      <c r="N53" s="2" t="b">
        <f aca="false">TRUE()</f>
        <v>1</v>
      </c>
      <c r="O53" s="1" t="n">
        <v>480</v>
      </c>
    </row>
    <row r="54" customFormat="false" ht="15.75" hidden="false" customHeight="false" outlineLevel="0" collapsed="false">
      <c r="A54" s="3" t="n">
        <v>45513</v>
      </c>
      <c r="B54" s="1" t="s">
        <v>39</v>
      </c>
      <c r="H54" s="1" t="s">
        <v>373</v>
      </c>
      <c r="I54" s="1" t="s">
        <v>63</v>
      </c>
      <c r="J54" s="1" t="s">
        <v>70</v>
      </c>
      <c r="L54" s="1" t="s">
        <v>53</v>
      </c>
      <c r="M54" s="1" t="n">
        <v>13</v>
      </c>
      <c r="N54" s="2" t="b">
        <f aca="false">TRUE()</f>
        <v>1</v>
      </c>
      <c r="O54" s="1" t="n">
        <v>520</v>
      </c>
    </row>
    <row r="55" customFormat="false" ht="15.75" hidden="false" customHeight="false" outlineLevel="0" collapsed="false">
      <c r="A55" s="3" t="n">
        <v>45513</v>
      </c>
      <c r="B55" s="1" t="s">
        <v>39</v>
      </c>
      <c r="P55" s="1" t="n">
        <v>4</v>
      </c>
      <c r="S55" s="1" t="n">
        <v>12739</v>
      </c>
      <c r="T55" s="1" t="n">
        <v>4396</v>
      </c>
      <c r="U55" s="1" t="n">
        <v>16038</v>
      </c>
      <c r="V55" s="1" t="n">
        <v>13494</v>
      </c>
      <c r="W55" s="1" t="n">
        <v>748</v>
      </c>
      <c r="X55" s="1" t="n">
        <v>5197</v>
      </c>
      <c r="Y55" s="1" t="n">
        <v>4219</v>
      </c>
      <c r="Z55" s="1" t="n">
        <v>220</v>
      </c>
      <c r="AA55" s="1" t="n">
        <v>8426</v>
      </c>
      <c r="AB55" s="1" t="n">
        <v>61360</v>
      </c>
      <c r="AC55" s="1" t="n">
        <v>0</v>
      </c>
      <c r="AD55" s="1" t="n">
        <v>0.257259297808807</v>
      </c>
      <c r="AH55" s="1" t="n">
        <v>80</v>
      </c>
      <c r="AI55" s="1" t="n">
        <v>1000</v>
      </c>
      <c r="AJ55" s="1" t="n">
        <v>1</v>
      </c>
      <c r="AK55" s="1" t="n">
        <v>329</v>
      </c>
      <c r="AL55" s="1" t="n">
        <v>2</v>
      </c>
      <c r="AM55" s="1" t="s">
        <v>2524</v>
      </c>
      <c r="AN55" s="1" t="n">
        <v>2</v>
      </c>
      <c r="AO55" s="1" t="n">
        <v>3</v>
      </c>
      <c r="AP55" s="1"/>
      <c r="AQ55" s="1"/>
      <c r="AR55" s="1"/>
      <c r="AS55" s="1"/>
      <c r="AT55" s="1"/>
      <c r="AU55" s="1"/>
      <c r="AV55" s="1"/>
    </row>
    <row r="56" customFormat="false" ht="15.75" hidden="false" customHeight="false" outlineLevel="0" collapsed="false">
      <c r="A56" s="3" t="n">
        <v>45514</v>
      </c>
      <c r="B56" s="1" t="s">
        <v>2512</v>
      </c>
      <c r="C56" s="1" t="s">
        <v>96</v>
      </c>
      <c r="D56" s="1" t="s">
        <v>41</v>
      </c>
      <c r="E56" s="1" t="s">
        <v>45</v>
      </c>
      <c r="G56" s="1" t="s">
        <v>53</v>
      </c>
    </row>
    <row r="57" customFormat="false" ht="15.75" hidden="false" customHeight="false" outlineLevel="0" collapsed="false">
      <c r="A57" s="3" t="n">
        <v>45514</v>
      </c>
      <c r="B57" s="1" t="s">
        <v>2512</v>
      </c>
      <c r="C57" s="1" t="s">
        <v>44</v>
      </c>
      <c r="D57" s="1" t="s">
        <v>41</v>
      </c>
      <c r="E57" s="1" t="s">
        <v>2508</v>
      </c>
      <c r="G57" s="1" t="s">
        <v>2510</v>
      </c>
    </row>
    <row r="58" customFormat="false" ht="15.75" hidden="false" customHeight="false" outlineLevel="0" collapsed="false">
      <c r="A58" s="3" t="n">
        <v>45514</v>
      </c>
      <c r="B58" s="1" t="s">
        <v>2512</v>
      </c>
      <c r="C58" s="1" t="s">
        <v>40</v>
      </c>
      <c r="D58" s="1" t="s">
        <v>45</v>
      </c>
      <c r="E58" s="1" t="s">
        <v>49</v>
      </c>
      <c r="G58" s="1" t="s">
        <v>64</v>
      </c>
    </row>
    <row r="59" customFormat="false" ht="15.75" hidden="false" customHeight="false" outlineLevel="0" collapsed="false">
      <c r="A59" s="3" t="n">
        <v>45514</v>
      </c>
      <c r="B59" s="1" t="s">
        <v>2512</v>
      </c>
      <c r="C59" s="1" t="s">
        <v>2509</v>
      </c>
      <c r="D59" s="1" t="s">
        <v>45</v>
      </c>
      <c r="E59" s="1" t="s">
        <v>2508</v>
      </c>
      <c r="G59" s="1" t="s">
        <v>47</v>
      </c>
    </row>
    <row r="60" customFormat="false" ht="15.75" hidden="false" customHeight="false" outlineLevel="0" collapsed="false">
      <c r="A60" s="3" t="n">
        <v>45514</v>
      </c>
      <c r="B60" s="1" t="s">
        <v>2512</v>
      </c>
      <c r="H60" s="1" t="s">
        <v>65</v>
      </c>
      <c r="I60" s="1" t="s">
        <v>63</v>
      </c>
      <c r="J60" s="1" t="s">
        <v>2525</v>
      </c>
      <c r="L60" s="1" t="s">
        <v>47</v>
      </c>
      <c r="M60" s="1" t="n">
        <v>12</v>
      </c>
      <c r="N60" s="2" t="b">
        <f aca="false">TRUE()</f>
        <v>1</v>
      </c>
      <c r="O60" s="1" t="n">
        <v>480</v>
      </c>
    </row>
    <row r="61" customFormat="false" ht="15.75" hidden="false" customHeight="false" outlineLevel="0" collapsed="false">
      <c r="A61" s="3" t="n">
        <v>45514</v>
      </c>
      <c r="B61" s="1" t="s">
        <v>2512</v>
      </c>
      <c r="H61" s="1" t="s">
        <v>1073</v>
      </c>
      <c r="I61" s="1" t="s">
        <v>45</v>
      </c>
      <c r="J61" s="1" t="s">
        <v>2526</v>
      </c>
      <c r="L61" s="1" t="s">
        <v>2527</v>
      </c>
      <c r="M61" s="1" t="n">
        <v>10</v>
      </c>
      <c r="N61" s="2" t="b">
        <f aca="false">TRUE()</f>
        <v>1</v>
      </c>
      <c r="O61" s="1" t="n">
        <v>400</v>
      </c>
    </row>
    <row r="62" customFormat="false" ht="15.75" hidden="false" customHeight="false" outlineLevel="0" collapsed="false">
      <c r="A62" s="3" t="n">
        <v>45514</v>
      </c>
      <c r="B62" s="1" t="s">
        <v>2512</v>
      </c>
      <c r="P62" s="1" t="n">
        <v>4</v>
      </c>
      <c r="S62" s="1" t="n">
        <v>13195</v>
      </c>
      <c r="T62" s="1" t="n">
        <v>8108</v>
      </c>
      <c r="U62" s="1" t="n">
        <v>20257</v>
      </c>
      <c r="V62" s="1" t="n">
        <v>13678</v>
      </c>
      <c r="W62" s="1" t="n">
        <v>378</v>
      </c>
      <c r="X62" s="1" t="n">
        <v>4033</v>
      </c>
      <c r="Y62" s="1" t="n">
        <v>5809</v>
      </c>
      <c r="AA62" s="1" t="n">
        <v>5000</v>
      </c>
      <c r="AB62" s="1" t="n">
        <v>67302.75</v>
      </c>
      <c r="AC62" s="1" t="n">
        <v>2.25</v>
      </c>
      <c r="AD62" s="1" t="n">
        <v>0.205782993912558</v>
      </c>
      <c r="AI62" s="1" t="n">
        <v>880</v>
      </c>
      <c r="AJ62" s="1" t="n">
        <v>0</v>
      </c>
      <c r="AK62" s="1" t="n">
        <v>0</v>
      </c>
      <c r="AL62" s="1" t="n">
        <v>2</v>
      </c>
      <c r="AM62" s="1" t="s">
        <v>2528</v>
      </c>
      <c r="AN62" s="1" t="n">
        <v>2</v>
      </c>
      <c r="AO62" s="1" t="n">
        <v>1</v>
      </c>
      <c r="AP62" s="1"/>
      <c r="AQ62" s="1"/>
      <c r="AR62" s="1"/>
      <c r="AS62" s="1"/>
      <c r="AT62" s="1"/>
      <c r="AU62" s="1"/>
      <c r="AV62" s="1"/>
    </row>
    <row r="63" customFormat="false" ht="15.75" hidden="false" customHeight="false" outlineLevel="0" collapsed="false">
      <c r="A63" s="3" t="n">
        <v>45515</v>
      </c>
      <c r="B63" s="1" t="s">
        <v>67</v>
      </c>
      <c r="C63" s="1" t="s">
        <v>96</v>
      </c>
      <c r="D63" s="1" t="s">
        <v>41</v>
      </c>
      <c r="E63" s="1" t="s">
        <v>45</v>
      </c>
      <c r="G63" s="1" t="s">
        <v>53</v>
      </c>
    </row>
    <row r="64" customFormat="false" ht="15.75" hidden="false" customHeight="false" outlineLevel="0" collapsed="false">
      <c r="A64" s="3" t="n">
        <v>45515</v>
      </c>
      <c r="B64" s="1" t="s">
        <v>67</v>
      </c>
      <c r="C64" s="1" t="s">
        <v>40</v>
      </c>
      <c r="D64" s="1" t="s">
        <v>41</v>
      </c>
      <c r="E64" s="1" t="s">
        <v>42</v>
      </c>
      <c r="G64" s="1" t="s">
        <v>43</v>
      </c>
    </row>
    <row r="65" customFormat="false" ht="15.75" hidden="false" customHeight="false" outlineLevel="0" collapsed="false">
      <c r="A65" s="3" t="n">
        <v>45515</v>
      </c>
      <c r="B65" s="1" t="s">
        <v>67</v>
      </c>
      <c r="C65" s="1" t="s">
        <v>44</v>
      </c>
      <c r="D65" s="1" t="s">
        <v>2529</v>
      </c>
      <c r="E65" s="1" t="s">
        <v>57</v>
      </c>
      <c r="G65" s="1" t="s">
        <v>47</v>
      </c>
    </row>
    <row r="66" customFormat="false" ht="15.75" hidden="false" customHeight="false" outlineLevel="0" collapsed="false">
      <c r="A66" s="3" t="n">
        <v>45515</v>
      </c>
      <c r="B66" s="1" t="s">
        <v>67</v>
      </c>
      <c r="C66" s="1" t="s">
        <v>2509</v>
      </c>
      <c r="D66" s="1" t="s">
        <v>45</v>
      </c>
      <c r="E66" s="1" t="s">
        <v>57</v>
      </c>
      <c r="G66" s="1" t="s">
        <v>53</v>
      </c>
    </row>
    <row r="67" customFormat="false" ht="15.75" hidden="false" customHeight="false" outlineLevel="0" collapsed="false">
      <c r="A67" s="3" t="n">
        <v>45515</v>
      </c>
      <c r="B67" s="1" t="s">
        <v>67</v>
      </c>
      <c r="H67" s="1" t="s">
        <v>1073</v>
      </c>
      <c r="I67" s="1" t="s">
        <v>63</v>
      </c>
      <c r="J67" s="1" t="s">
        <v>45</v>
      </c>
      <c r="L67" s="1" t="s">
        <v>64</v>
      </c>
      <c r="M67" s="1" t="n">
        <v>7</v>
      </c>
      <c r="N67" s="2" t="b">
        <f aca="false">TRUE()</f>
        <v>1</v>
      </c>
      <c r="O67" s="1" t="n">
        <v>280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H68" s="1" t="s">
        <v>65</v>
      </c>
      <c r="I68" s="1" t="s">
        <v>2529</v>
      </c>
      <c r="J68" s="1" t="s">
        <v>57</v>
      </c>
      <c r="L68" s="1" t="s">
        <v>47</v>
      </c>
      <c r="M68" s="1" t="n">
        <v>13</v>
      </c>
      <c r="N68" s="2" t="b">
        <f aca="false">TRUE()</f>
        <v>1</v>
      </c>
      <c r="O68" s="1" t="n">
        <v>520</v>
      </c>
    </row>
    <row r="69" customFormat="false" ht="15.75" hidden="false" customHeight="false" outlineLevel="0" collapsed="false">
      <c r="A69" s="3" t="n">
        <v>45515</v>
      </c>
      <c r="B69" s="1" t="s">
        <v>67</v>
      </c>
      <c r="P69" s="1" t="n">
        <v>2</v>
      </c>
      <c r="S69" s="1" t="n">
        <v>14266</v>
      </c>
      <c r="T69" s="1" t="n">
        <v>9954</v>
      </c>
      <c r="U69" s="1" t="n">
        <v>16950</v>
      </c>
      <c r="V69" s="1" t="n">
        <v>11974</v>
      </c>
      <c r="W69" s="1" t="n">
        <v>0</v>
      </c>
      <c r="X69" s="1" t="n">
        <v>2373</v>
      </c>
      <c r="Y69" s="1" t="n">
        <v>6149</v>
      </c>
      <c r="Z69" s="1" t="n">
        <v>360</v>
      </c>
      <c r="AA69" s="1" t="n">
        <v>4760</v>
      </c>
      <c r="AB69" s="1" t="n">
        <v>65205</v>
      </c>
      <c r="AC69" s="1" t="n">
        <v>8</v>
      </c>
      <c r="AD69" s="1" t="n">
        <v>0.195519972295811</v>
      </c>
      <c r="AI69" s="1" t="n">
        <v>800</v>
      </c>
      <c r="AJ69" s="1" t="n">
        <v>0</v>
      </c>
      <c r="AK69" s="1" t="n">
        <v>0</v>
      </c>
      <c r="AL69" s="1" t="n">
        <v>4</v>
      </c>
      <c r="AM69" s="1" t="s">
        <v>2530</v>
      </c>
      <c r="AN69" s="1" t="n">
        <v>2</v>
      </c>
      <c r="AO69" s="1" t="n">
        <v>2</v>
      </c>
      <c r="AP69" s="1"/>
      <c r="AQ69" s="1"/>
      <c r="AR69" s="1"/>
      <c r="AS69" s="1"/>
      <c r="AT69" s="1"/>
      <c r="AU69" s="1"/>
      <c r="AV69" s="1"/>
    </row>
    <row r="70" customFormat="false" ht="15.75" hidden="false" customHeight="false" outlineLevel="0" collapsed="false">
      <c r="A70" s="3" t="n">
        <v>45516</v>
      </c>
      <c r="B70" s="1" t="s">
        <v>69</v>
      </c>
      <c r="C70" s="1" t="s">
        <v>72</v>
      </c>
      <c r="D70" s="1" t="s">
        <v>41</v>
      </c>
      <c r="E70" s="1" t="s">
        <v>2531</v>
      </c>
      <c r="G70" s="1" t="s">
        <v>2515</v>
      </c>
    </row>
    <row r="71" customFormat="false" ht="15.75" hidden="false" customHeight="false" outlineLevel="0" collapsed="false">
      <c r="A71" s="3" t="n">
        <v>45516</v>
      </c>
      <c r="B71" s="1" t="s">
        <v>69</v>
      </c>
      <c r="C71" s="1" t="s">
        <v>52</v>
      </c>
      <c r="D71" s="1" t="s">
        <v>45</v>
      </c>
      <c r="E71" s="1" t="s">
        <v>57</v>
      </c>
      <c r="G71" s="1" t="s">
        <v>53</v>
      </c>
    </row>
    <row r="72" customFormat="false" ht="15.75" hidden="false" customHeight="false" outlineLevel="0" collapsed="false">
      <c r="A72" s="3" t="n">
        <v>45516</v>
      </c>
      <c r="B72" s="1" t="s">
        <v>69</v>
      </c>
      <c r="C72" s="1" t="s">
        <v>2509</v>
      </c>
      <c r="D72" s="1" t="s">
        <v>45</v>
      </c>
      <c r="E72" s="1" t="s">
        <v>57</v>
      </c>
      <c r="G72" s="1" t="s">
        <v>53</v>
      </c>
    </row>
    <row r="73" customFormat="false" ht="15.75" hidden="false" customHeight="false" outlineLevel="0" collapsed="false">
      <c r="A73" s="3" t="n">
        <v>45516</v>
      </c>
      <c r="B73" s="1" t="s">
        <v>69</v>
      </c>
      <c r="H73" s="1" t="s">
        <v>373</v>
      </c>
      <c r="I73" s="1" t="s">
        <v>63</v>
      </c>
      <c r="J73" s="1" t="s">
        <v>70</v>
      </c>
      <c r="L73" s="1" t="s">
        <v>53</v>
      </c>
      <c r="M73" s="1" t="n">
        <v>9</v>
      </c>
      <c r="N73" s="2" t="b">
        <f aca="false">TRUE()</f>
        <v>1</v>
      </c>
      <c r="O73" s="1" t="n">
        <v>360</v>
      </c>
    </row>
    <row r="74" customFormat="false" ht="15.75" hidden="false" customHeight="false" outlineLevel="0" collapsed="false">
      <c r="A74" s="3" t="n">
        <v>45516</v>
      </c>
      <c r="B74" s="1" t="s">
        <v>69</v>
      </c>
      <c r="H74" s="1" t="s">
        <v>71</v>
      </c>
      <c r="I74" s="1" t="s">
        <v>70</v>
      </c>
      <c r="J74" s="1" t="s">
        <v>57</v>
      </c>
      <c r="L74" s="1" t="s">
        <v>64</v>
      </c>
      <c r="M74" s="1" t="n">
        <v>9</v>
      </c>
      <c r="N74" s="2" t="b">
        <f aca="false">TRUE()</f>
        <v>1</v>
      </c>
      <c r="O74" s="1" t="n">
        <v>360</v>
      </c>
    </row>
    <row r="75" customFormat="false" ht="15.75" hidden="false" customHeight="false" outlineLevel="0" collapsed="false">
      <c r="A75" s="3" t="n">
        <v>45516</v>
      </c>
      <c r="B75" s="1" t="s">
        <v>69</v>
      </c>
      <c r="P75" s="1" t="n">
        <v>5</v>
      </c>
      <c r="S75" s="1" t="n">
        <v>8460</v>
      </c>
      <c r="T75" s="1" t="n">
        <v>4941</v>
      </c>
      <c r="U75" s="1" t="n">
        <v>15978</v>
      </c>
      <c r="V75" s="1" t="n">
        <v>5899</v>
      </c>
      <c r="W75" s="1" t="n">
        <v>548</v>
      </c>
      <c r="X75" s="1" t="n">
        <v>1020</v>
      </c>
      <c r="Y75" s="1" t="n">
        <v>2894</v>
      </c>
      <c r="AA75" s="1" t="n">
        <v>4710</v>
      </c>
      <c r="AB75" s="1" t="n">
        <v>44143</v>
      </c>
      <c r="AC75" s="1" t="n">
        <v>7</v>
      </c>
      <c r="AD75" s="1" t="n">
        <v>0.35855323184986</v>
      </c>
      <c r="AI75" s="1" t="n">
        <v>720</v>
      </c>
      <c r="AJ75" s="1" t="n">
        <v>1</v>
      </c>
      <c r="AK75" s="1" t="n">
        <v>466</v>
      </c>
      <c r="AL75" s="1" t="n">
        <v>17</v>
      </c>
      <c r="AM75" s="1" t="s">
        <v>2532</v>
      </c>
      <c r="AN75" s="1" t="n">
        <v>2</v>
      </c>
      <c r="AO75" s="1" t="n">
        <v>4</v>
      </c>
      <c r="AP75" s="1"/>
      <c r="AQ75" s="1"/>
      <c r="AR75" s="1"/>
      <c r="AS75" s="1"/>
      <c r="AT75" s="1"/>
      <c r="AU75" s="1"/>
      <c r="AV75" s="1"/>
    </row>
    <row r="76" customFormat="false" ht="15.75" hidden="false" customHeight="false" outlineLevel="0" collapsed="false">
      <c r="A76" s="3" t="n">
        <v>45517</v>
      </c>
      <c r="B76" s="1" t="s">
        <v>61</v>
      </c>
      <c r="C76" s="1" t="s">
        <v>44</v>
      </c>
      <c r="D76" s="1" t="s">
        <v>41</v>
      </c>
      <c r="E76" s="1" t="s">
        <v>45</v>
      </c>
      <c r="G76" s="1" t="s">
        <v>53</v>
      </c>
    </row>
    <row r="77" customFormat="false" ht="15.75" hidden="false" customHeight="false" outlineLevel="0" collapsed="false">
      <c r="A77" s="3" t="n">
        <v>45517</v>
      </c>
      <c r="B77" s="1" t="s">
        <v>61</v>
      </c>
      <c r="C77" s="1" t="s">
        <v>72</v>
      </c>
      <c r="D77" s="1" t="s">
        <v>45</v>
      </c>
      <c r="E77" s="1" t="s">
        <v>56</v>
      </c>
      <c r="G77" s="1" t="s">
        <v>2515</v>
      </c>
    </row>
    <row r="78" customFormat="false" ht="15.75" hidden="false" customHeight="false" outlineLevel="0" collapsed="false">
      <c r="A78" s="3" t="n">
        <v>45517</v>
      </c>
      <c r="B78" s="1" t="s">
        <v>61</v>
      </c>
      <c r="C78" s="1" t="s">
        <v>2509</v>
      </c>
      <c r="D78" s="1" t="s">
        <v>45</v>
      </c>
      <c r="E78" s="1" t="s">
        <v>56</v>
      </c>
      <c r="G78" s="1" t="s">
        <v>2515</v>
      </c>
    </row>
    <row r="79" customFormat="false" ht="15.75" hidden="false" customHeight="false" outlineLevel="0" collapsed="false">
      <c r="A79" s="3" t="n">
        <v>45517</v>
      </c>
      <c r="B79" s="1" t="s">
        <v>61</v>
      </c>
      <c r="H79" s="1" t="s">
        <v>65</v>
      </c>
      <c r="I79" s="1" t="s">
        <v>63</v>
      </c>
      <c r="J79" s="1" t="s">
        <v>45</v>
      </c>
      <c r="L79" s="1" t="s">
        <v>64</v>
      </c>
      <c r="M79" s="1" t="n">
        <v>6</v>
      </c>
      <c r="N79" s="2" t="b">
        <f aca="false">TRUE()</f>
        <v>1</v>
      </c>
      <c r="O79" s="1" t="n">
        <v>240</v>
      </c>
    </row>
    <row r="80" customFormat="false" ht="15.75" hidden="false" customHeight="false" outlineLevel="0" collapsed="false">
      <c r="A80" s="3" t="n">
        <v>45517</v>
      </c>
      <c r="B80" s="1" t="s">
        <v>61</v>
      </c>
      <c r="H80" s="1" t="s">
        <v>55</v>
      </c>
      <c r="I80" s="1" t="s">
        <v>45</v>
      </c>
      <c r="J80" s="1" t="s">
        <v>56</v>
      </c>
      <c r="L80" s="1" t="s">
        <v>2515</v>
      </c>
      <c r="M80" s="1" t="n">
        <v>6</v>
      </c>
    </row>
    <row r="81" customFormat="false" ht="15.75" hidden="false" customHeight="false" outlineLevel="0" collapsed="false">
      <c r="A81" s="3" t="n">
        <v>45517</v>
      </c>
      <c r="B81" s="1" t="s">
        <v>61</v>
      </c>
      <c r="P81" s="1" t="n">
        <v>2</v>
      </c>
      <c r="S81" s="1" t="n">
        <v>7127</v>
      </c>
      <c r="T81" s="1" t="n">
        <v>4665</v>
      </c>
      <c r="U81" s="1" t="n">
        <v>13593</v>
      </c>
      <c r="V81" s="1" t="n">
        <v>7867</v>
      </c>
      <c r="W81" s="1" t="n">
        <v>0</v>
      </c>
      <c r="X81" s="1" t="n">
        <v>3915</v>
      </c>
      <c r="Z81" s="1" t="n">
        <v>2779</v>
      </c>
      <c r="AA81" s="1" t="n">
        <v>1480</v>
      </c>
      <c r="AB81" s="1" t="n">
        <v>43529.9</v>
      </c>
      <c r="AC81" s="1" t="n">
        <v>1.09999999999854</v>
      </c>
      <c r="AD81" s="1" t="n">
        <v>0.293701400498241</v>
      </c>
      <c r="AE81" s="1" t="n">
        <v>500</v>
      </c>
      <c r="AG81" s="1" t="n">
        <v>3780</v>
      </c>
      <c r="AH81" s="1" t="n">
        <v>1500</v>
      </c>
      <c r="AI81" s="1" t="n">
        <v>240</v>
      </c>
      <c r="AJ81" s="1" t="n">
        <v>2</v>
      </c>
      <c r="AK81" s="1" t="n">
        <v>886</v>
      </c>
      <c r="AL81" s="1" t="n">
        <v>5</v>
      </c>
      <c r="AM81" s="1" t="s">
        <v>2533</v>
      </c>
      <c r="AN81" s="1" t="n">
        <v>1</v>
      </c>
      <c r="AO81" s="1" t="n">
        <v>1</v>
      </c>
      <c r="AP81" s="1"/>
      <c r="AQ81" s="1"/>
      <c r="AR81" s="1"/>
      <c r="AS81" s="1"/>
      <c r="AT81" s="1"/>
      <c r="AU81" s="1"/>
      <c r="AV81" s="1"/>
    </row>
    <row r="82" customFormat="false" ht="15.75" hidden="false" customHeight="false" outlineLevel="0" collapsed="false">
      <c r="A82" s="3" t="n">
        <v>45518</v>
      </c>
      <c r="B82" s="1" t="s">
        <v>73</v>
      </c>
      <c r="C82" s="1" t="s">
        <v>40</v>
      </c>
      <c r="D82" s="1" t="s">
        <v>45</v>
      </c>
      <c r="E82" s="1" t="s">
        <v>57</v>
      </c>
      <c r="G82" s="1" t="s">
        <v>53</v>
      </c>
    </row>
    <row r="83" customFormat="false" ht="15.75" hidden="false" customHeight="false" outlineLevel="0" collapsed="false">
      <c r="A83" s="3" t="n">
        <v>45518</v>
      </c>
      <c r="B83" s="1" t="s">
        <v>73</v>
      </c>
      <c r="C83" s="1" t="s">
        <v>52</v>
      </c>
      <c r="D83" s="1" t="s">
        <v>41</v>
      </c>
      <c r="E83" s="1" t="s">
        <v>2531</v>
      </c>
      <c r="G83" s="1" t="s">
        <v>2515</v>
      </c>
    </row>
    <row r="84" customFormat="false" ht="15.75" hidden="false" customHeight="false" outlineLevel="0" collapsed="false">
      <c r="A84" s="3" t="n">
        <v>45518</v>
      </c>
      <c r="B84" s="1" t="s">
        <v>73</v>
      </c>
      <c r="C84" s="1" t="s">
        <v>2516</v>
      </c>
      <c r="D84" s="1" t="s">
        <v>70</v>
      </c>
      <c r="E84" s="1" t="s">
        <v>68</v>
      </c>
      <c r="G84" s="1" t="s">
        <v>64</v>
      </c>
    </row>
    <row r="85" customFormat="false" ht="15.75" hidden="false" customHeight="false" outlineLevel="0" collapsed="false">
      <c r="A85" s="3" t="n">
        <v>45518</v>
      </c>
      <c r="B85" s="1" t="s">
        <v>73</v>
      </c>
      <c r="H85" s="1" t="s">
        <v>373</v>
      </c>
      <c r="I85" s="1" t="s">
        <v>2525</v>
      </c>
      <c r="J85" s="1" t="s">
        <v>68</v>
      </c>
      <c r="L85" s="1" t="s">
        <v>2534</v>
      </c>
      <c r="M85" s="1" t="n">
        <v>7</v>
      </c>
      <c r="N85" s="2" t="b">
        <f aca="false">TRUE()</f>
        <v>1</v>
      </c>
      <c r="O85" s="1" t="n">
        <v>280</v>
      </c>
    </row>
    <row r="86" customFormat="false" ht="15.75" hidden="false" customHeight="false" outlineLevel="0" collapsed="false">
      <c r="A86" s="3" t="n">
        <v>45518</v>
      </c>
      <c r="B86" s="1" t="s">
        <v>73</v>
      </c>
      <c r="H86" s="1" t="s">
        <v>96</v>
      </c>
      <c r="I86" s="1" t="s">
        <v>63</v>
      </c>
      <c r="J86" s="1" t="s">
        <v>70</v>
      </c>
      <c r="L86" s="1" t="s">
        <v>53</v>
      </c>
      <c r="M86" s="1" t="n">
        <v>11</v>
      </c>
      <c r="N86" s="2" t="b">
        <f aca="false">TRUE()</f>
        <v>1</v>
      </c>
      <c r="O86" s="1" t="n">
        <v>440</v>
      </c>
    </row>
    <row r="87" customFormat="false" ht="15.75" hidden="false" customHeight="false" outlineLevel="0" collapsed="false">
      <c r="A87" s="3" t="n">
        <v>45518</v>
      </c>
      <c r="B87" s="1" t="s">
        <v>73</v>
      </c>
      <c r="P87" s="1" t="n">
        <v>7</v>
      </c>
      <c r="S87" s="1" t="n">
        <v>9539</v>
      </c>
      <c r="T87" s="1" t="n">
        <v>3348</v>
      </c>
      <c r="U87" s="1" t="n">
        <v>17816</v>
      </c>
      <c r="V87" s="1" t="n">
        <v>10822</v>
      </c>
      <c r="W87" s="1" t="n">
        <v>368</v>
      </c>
      <c r="X87" s="1" t="n">
        <v>538</v>
      </c>
      <c r="Y87" s="1" t="n">
        <v>4553</v>
      </c>
      <c r="AA87" s="1" t="n">
        <v>4105</v>
      </c>
      <c r="AB87" s="1" t="n">
        <v>51269.5</v>
      </c>
      <c r="AC87" s="1" t="n">
        <v>1.5</v>
      </c>
      <c r="AD87" s="1" t="n">
        <v>0.259992904037457</v>
      </c>
      <c r="AI87" s="1" t="n">
        <v>720</v>
      </c>
      <c r="AJ87" s="1" t="n">
        <v>3</v>
      </c>
      <c r="AK87" s="1" t="n">
        <v>767</v>
      </c>
      <c r="AL87" s="1" t="n">
        <v>5</v>
      </c>
      <c r="AM87" s="1" t="s">
        <v>2535</v>
      </c>
      <c r="AN87" s="1" t="n">
        <v>2</v>
      </c>
      <c r="AO87" s="1" t="n">
        <v>7</v>
      </c>
      <c r="AP87" s="1"/>
      <c r="AQ87" s="1"/>
      <c r="AR87" s="1"/>
      <c r="AS87" s="1"/>
      <c r="AT87" s="1"/>
      <c r="AU87" s="1"/>
      <c r="AV87" s="1"/>
    </row>
    <row r="88" customFormat="false" ht="15.75" hidden="false" customHeight="false" outlineLevel="0" collapsed="false">
      <c r="A88" s="3" t="n">
        <v>45519</v>
      </c>
      <c r="B88" s="1" t="s">
        <v>2506</v>
      </c>
      <c r="C88" s="1" t="s">
        <v>40</v>
      </c>
      <c r="D88" s="1" t="s">
        <v>45</v>
      </c>
      <c r="E88" s="1" t="s">
        <v>68</v>
      </c>
      <c r="G88" s="1" t="s">
        <v>53</v>
      </c>
    </row>
    <row r="89" customFormat="false" ht="15.75" hidden="false" customHeight="false" outlineLevel="0" collapsed="false">
      <c r="A89" s="3" t="n">
        <v>45519</v>
      </c>
      <c r="B89" s="1" t="s">
        <v>2506</v>
      </c>
      <c r="C89" s="1" t="s">
        <v>44</v>
      </c>
      <c r="D89" s="1" t="s">
        <v>41</v>
      </c>
      <c r="E89" s="1" t="s">
        <v>57</v>
      </c>
      <c r="G89" s="1" t="s">
        <v>2513</v>
      </c>
    </row>
    <row r="90" customFormat="false" ht="15.75" hidden="false" customHeight="false" outlineLevel="0" collapsed="false">
      <c r="A90" s="3" t="n">
        <v>45519</v>
      </c>
      <c r="B90" s="1" t="s">
        <v>2506</v>
      </c>
      <c r="H90" s="1" t="s">
        <v>65</v>
      </c>
      <c r="I90" s="1" t="s">
        <v>63</v>
      </c>
      <c r="J90" s="1" t="s">
        <v>2536</v>
      </c>
      <c r="L90" s="1" t="s">
        <v>2515</v>
      </c>
      <c r="M90" s="1" t="n">
        <v>7</v>
      </c>
      <c r="N90" s="2" t="b">
        <f aca="false">TRUE()</f>
        <v>1</v>
      </c>
      <c r="O90" s="1" t="n">
        <v>280</v>
      </c>
    </row>
    <row r="91" customFormat="false" ht="15.75" hidden="false" customHeight="false" outlineLevel="0" collapsed="false">
      <c r="A91" s="3" t="n">
        <v>45519</v>
      </c>
      <c r="B91" s="1" t="s">
        <v>2506</v>
      </c>
      <c r="H91" s="1" t="s">
        <v>1073</v>
      </c>
      <c r="I91" s="1" t="s">
        <v>45</v>
      </c>
      <c r="J91" s="1" t="s">
        <v>57</v>
      </c>
      <c r="L91" s="1" t="s">
        <v>53</v>
      </c>
      <c r="M91" s="1" t="n">
        <v>14</v>
      </c>
      <c r="N91" s="2" t="b">
        <f aca="false">TRUE()</f>
        <v>1</v>
      </c>
      <c r="O91" s="1" t="n">
        <v>560</v>
      </c>
    </row>
    <row r="92" customFormat="false" ht="15.75" hidden="false" customHeight="false" outlineLevel="0" collapsed="false">
      <c r="A92" s="3" t="n">
        <v>45519</v>
      </c>
      <c r="B92" s="1" t="s">
        <v>2506</v>
      </c>
      <c r="P92" s="1" t="n">
        <v>1</v>
      </c>
      <c r="S92" s="1" t="n">
        <v>5535</v>
      </c>
      <c r="T92" s="1" t="n">
        <v>8580</v>
      </c>
      <c r="U92" s="1" t="n">
        <v>14640</v>
      </c>
      <c r="V92" s="1" t="n">
        <v>13204</v>
      </c>
      <c r="W92" s="1" t="n">
        <v>0</v>
      </c>
      <c r="X92" s="1" t="n">
        <v>4145</v>
      </c>
      <c r="Y92" s="1" t="n">
        <v>919</v>
      </c>
      <c r="AA92" s="1" t="n">
        <v>4862</v>
      </c>
      <c r="AB92" s="1" t="n">
        <v>48580</v>
      </c>
      <c r="AC92" s="1" t="n">
        <v>0</v>
      </c>
      <c r="AD92" s="1" t="n">
        <v>0.198568493074277</v>
      </c>
      <c r="AI92" s="1" t="n">
        <v>840</v>
      </c>
      <c r="AJ92" s="1" t="n">
        <v>0</v>
      </c>
      <c r="AK92" s="1" t="n">
        <v>0</v>
      </c>
      <c r="AL92" s="1" t="n">
        <v>1</v>
      </c>
      <c r="AM92" s="1" t="s">
        <v>2537</v>
      </c>
      <c r="AN92" s="1" t="n">
        <v>2</v>
      </c>
      <c r="AO92" s="1" t="n">
        <v>1</v>
      </c>
      <c r="AP92" s="1"/>
      <c r="AQ92" s="1"/>
      <c r="AR92" s="1"/>
      <c r="AS92" s="1"/>
      <c r="AT92" s="1"/>
      <c r="AU92" s="1"/>
      <c r="AV92" s="1"/>
    </row>
    <row r="93" customFormat="false" ht="15.75" hidden="false" customHeight="false" outlineLevel="0" collapsed="false">
      <c r="A93" s="3" t="n">
        <v>45520</v>
      </c>
      <c r="B93" s="1" t="s">
        <v>39</v>
      </c>
      <c r="C93" s="1" t="s">
        <v>44</v>
      </c>
      <c r="D93" s="1" t="s">
        <v>45</v>
      </c>
      <c r="E93" s="1" t="s">
        <v>2508</v>
      </c>
      <c r="G93" s="1" t="s">
        <v>47</v>
      </c>
    </row>
    <row r="94" customFormat="false" ht="15.75" hidden="false" customHeight="false" outlineLevel="0" collapsed="false">
      <c r="A94" s="3" t="n">
        <v>45520</v>
      </c>
      <c r="B94" s="1" t="s">
        <v>39</v>
      </c>
      <c r="C94" s="1" t="s">
        <v>40</v>
      </c>
      <c r="D94" s="1" t="s">
        <v>41</v>
      </c>
      <c r="E94" s="1" t="s">
        <v>49</v>
      </c>
      <c r="G94" s="1" t="s">
        <v>50</v>
      </c>
    </row>
    <row r="95" customFormat="false" ht="15.75" hidden="false" customHeight="false" outlineLevel="0" collapsed="false">
      <c r="A95" s="3" t="n">
        <v>45520</v>
      </c>
      <c r="B95" s="1" t="s">
        <v>39</v>
      </c>
      <c r="C95" s="1" t="s">
        <v>2509</v>
      </c>
      <c r="D95" s="1" t="s">
        <v>41</v>
      </c>
      <c r="E95" s="1" t="s">
        <v>70</v>
      </c>
      <c r="G95" s="1" t="s">
        <v>47</v>
      </c>
    </row>
    <row r="96" customFormat="false" ht="15.75" hidden="false" customHeight="false" outlineLevel="0" collapsed="false">
      <c r="A96" s="3" t="n">
        <v>45520</v>
      </c>
      <c r="B96" s="1" t="s">
        <v>39</v>
      </c>
      <c r="C96" s="1" t="s">
        <v>2516</v>
      </c>
      <c r="D96" s="1" t="s">
        <v>70</v>
      </c>
      <c r="E96" s="1" t="s">
        <v>2508</v>
      </c>
      <c r="G96" s="1" t="s">
        <v>53</v>
      </c>
    </row>
    <row r="97" customFormat="false" ht="15.75" hidden="false" customHeight="false" outlineLevel="0" collapsed="false">
      <c r="A97" s="3" t="n">
        <v>45520</v>
      </c>
      <c r="B97" s="1" t="s">
        <v>39</v>
      </c>
      <c r="H97" s="1" t="s">
        <v>373</v>
      </c>
      <c r="I97" s="1" t="s">
        <v>63</v>
      </c>
      <c r="J97" s="1" t="s">
        <v>45</v>
      </c>
      <c r="L97" s="1" t="s">
        <v>64</v>
      </c>
      <c r="M97" s="1" t="n">
        <v>19</v>
      </c>
      <c r="N97" s="2" t="b">
        <f aca="false">TRUE()</f>
        <v>1</v>
      </c>
      <c r="O97" s="1" t="n">
        <v>760</v>
      </c>
    </row>
    <row r="98" customFormat="false" ht="15.75" hidden="false" customHeight="false" outlineLevel="0" collapsed="false">
      <c r="A98" s="3" t="n">
        <v>45520</v>
      </c>
      <c r="B98" s="1" t="s">
        <v>39</v>
      </c>
      <c r="P98" s="1" t="n">
        <v>1</v>
      </c>
      <c r="S98" s="1" t="n">
        <v>11627</v>
      </c>
      <c r="T98" s="1" t="n">
        <v>11185</v>
      </c>
      <c r="U98" s="1" t="n">
        <v>19934</v>
      </c>
      <c r="V98" s="1" t="n">
        <v>14587</v>
      </c>
      <c r="W98" s="1" t="n">
        <v>0</v>
      </c>
      <c r="X98" s="1" t="n">
        <v>841</v>
      </c>
      <c r="Y98" s="1" t="n">
        <v>3949</v>
      </c>
      <c r="AA98" s="1" t="n">
        <v>3350</v>
      </c>
      <c r="AB98" s="1" t="n">
        <v>65671.5</v>
      </c>
      <c r="AC98" s="1" t="n">
        <v>0.5</v>
      </c>
      <c r="AD98" s="1" t="n">
        <v>0.170349838111637</v>
      </c>
      <c r="AH98" s="1" t="n">
        <v>280</v>
      </c>
      <c r="AI98" s="1" t="n">
        <v>760</v>
      </c>
      <c r="AJ98" s="1" t="n">
        <v>3</v>
      </c>
      <c r="AK98" s="1" t="n">
        <v>892</v>
      </c>
      <c r="AL98" s="1" t="n">
        <v>6</v>
      </c>
      <c r="AM98" s="1" t="s">
        <v>2538</v>
      </c>
      <c r="AN98" s="1" t="n">
        <v>1</v>
      </c>
      <c r="AO98" s="1" t="n">
        <v>0</v>
      </c>
      <c r="AP98" s="1"/>
      <c r="AQ98" s="1"/>
      <c r="AR98" s="1"/>
      <c r="AS98" s="1"/>
      <c r="AT98" s="1"/>
      <c r="AU98" s="1"/>
      <c r="AV98" s="1"/>
    </row>
    <row r="99" customFormat="false" ht="15.75" hidden="false" customHeight="false" outlineLevel="0" collapsed="false">
      <c r="A99" s="3" t="n">
        <v>45521</v>
      </c>
      <c r="B99" s="1" t="s">
        <v>2512</v>
      </c>
      <c r="C99" s="1" t="s">
        <v>44</v>
      </c>
      <c r="D99" s="1" t="s">
        <v>41</v>
      </c>
      <c r="E99" s="1" t="s">
        <v>46</v>
      </c>
      <c r="G99" s="1" t="s">
        <v>2510</v>
      </c>
    </row>
    <row r="100" customFormat="false" ht="15.75" hidden="false" customHeight="false" outlineLevel="0" collapsed="false">
      <c r="A100" s="3" t="n">
        <v>45521</v>
      </c>
      <c r="B100" s="1" t="s">
        <v>2512</v>
      </c>
      <c r="C100" s="1" t="s">
        <v>40</v>
      </c>
      <c r="D100" s="1" t="s">
        <v>45</v>
      </c>
      <c r="E100" s="1" t="s">
        <v>46</v>
      </c>
      <c r="G100" s="1" t="s">
        <v>47</v>
      </c>
    </row>
    <row r="101" customFormat="false" ht="15.75" hidden="false" customHeight="false" outlineLevel="0" collapsed="false">
      <c r="A101" s="3" t="n">
        <v>45521</v>
      </c>
      <c r="B101" s="1" t="s">
        <v>2512</v>
      </c>
      <c r="C101" s="1" t="s">
        <v>96</v>
      </c>
      <c r="D101" s="1" t="s">
        <v>41</v>
      </c>
      <c r="E101" s="1" t="s">
        <v>45</v>
      </c>
      <c r="G101" s="1" t="s">
        <v>53</v>
      </c>
    </row>
    <row r="102" customFormat="false" ht="15.75" hidden="false" customHeight="false" outlineLevel="0" collapsed="false">
      <c r="A102" s="3" t="n">
        <v>45521</v>
      </c>
      <c r="B102" s="1" t="s">
        <v>2512</v>
      </c>
      <c r="H102" s="1" t="s">
        <v>65</v>
      </c>
      <c r="I102" s="1" t="s">
        <v>63</v>
      </c>
      <c r="J102" s="1" t="s">
        <v>46</v>
      </c>
      <c r="L102" s="1" t="s">
        <v>2513</v>
      </c>
      <c r="N102" s="2" t="b">
        <f aca="false">TRUE()</f>
        <v>1</v>
      </c>
    </row>
    <row r="103" customFormat="false" ht="15.75" hidden="false" customHeight="false" outlineLevel="0" collapsed="false">
      <c r="A103" s="3" t="n">
        <v>45521</v>
      </c>
      <c r="B103" s="1" t="s">
        <v>2512</v>
      </c>
      <c r="P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AB103" s="1" t="n">
        <v>0</v>
      </c>
      <c r="AC103" s="1" t="n">
        <v>0</v>
      </c>
      <c r="AD103" s="1" t="s">
        <v>60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e">
        <f aca="false">#DIV/0!</f>
        <v>#DIV/0!</v>
      </c>
      <c r="AN103" s="1" t="n">
        <v>0</v>
      </c>
      <c r="AO103" s="1" t="n">
        <v>0</v>
      </c>
      <c r="AP103" s="1"/>
      <c r="AQ103" s="1"/>
      <c r="AR103" s="1"/>
      <c r="AS103" s="1"/>
      <c r="AT103" s="1"/>
      <c r="AU103" s="1"/>
      <c r="AV103" s="1"/>
    </row>
    <row r="104" customFormat="false" ht="15.75" hidden="false" customHeight="false" outlineLevel="0" collapsed="false">
      <c r="A104" s="3" t="n">
        <v>45522</v>
      </c>
      <c r="B104" s="1" t="s">
        <v>67</v>
      </c>
      <c r="C104" s="1" t="s">
        <v>44</v>
      </c>
      <c r="D104" s="1" t="s">
        <v>45</v>
      </c>
      <c r="E104" s="1" t="s">
        <v>68</v>
      </c>
      <c r="G104" s="1" t="s">
        <v>53</v>
      </c>
    </row>
    <row r="105" customFormat="false" ht="15.75" hidden="false" customHeight="false" outlineLevel="0" collapsed="false">
      <c r="A105" s="3" t="n">
        <v>45522</v>
      </c>
      <c r="B105" s="1" t="s">
        <v>67</v>
      </c>
      <c r="C105" s="1" t="s">
        <v>40</v>
      </c>
      <c r="D105" s="1" t="s">
        <v>45</v>
      </c>
      <c r="E105" s="1" t="s">
        <v>2508</v>
      </c>
      <c r="G105" s="1" t="s">
        <v>47</v>
      </c>
    </row>
    <row r="106" customFormat="false" ht="15.75" hidden="false" customHeight="false" outlineLevel="0" collapsed="false">
      <c r="A106" s="3" t="n">
        <v>45522</v>
      </c>
      <c r="B106" s="1" t="s">
        <v>67</v>
      </c>
      <c r="C106" s="1" t="s">
        <v>2509</v>
      </c>
      <c r="D106" s="1" t="s">
        <v>41</v>
      </c>
      <c r="E106" s="1" t="s">
        <v>62</v>
      </c>
      <c r="G106" s="1" t="s">
        <v>41</v>
      </c>
    </row>
    <row r="107" customFormat="false" ht="15.75" hidden="false" customHeight="false" outlineLevel="0" collapsed="false">
      <c r="A107" s="3" t="n">
        <v>45522</v>
      </c>
      <c r="B107" s="1" t="s">
        <v>67</v>
      </c>
      <c r="C107" s="1" t="s">
        <v>52</v>
      </c>
      <c r="D107" s="1" t="s">
        <v>41</v>
      </c>
      <c r="E107" s="1" t="s">
        <v>45</v>
      </c>
      <c r="G107" s="1" t="s">
        <v>53</v>
      </c>
    </row>
    <row r="108" customFormat="false" ht="15.75" hidden="false" customHeight="false" outlineLevel="0" collapsed="false">
      <c r="A108" s="3" t="n">
        <v>45522</v>
      </c>
      <c r="B108" s="1" t="s">
        <v>67</v>
      </c>
      <c r="H108" s="1" t="s">
        <v>65</v>
      </c>
      <c r="I108" s="1" t="s">
        <v>45</v>
      </c>
      <c r="J108" s="1" t="s">
        <v>68</v>
      </c>
      <c r="L108" s="1" t="s">
        <v>53</v>
      </c>
      <c r="M108" s="1" t="n">
        <v>18</v>
      </c>
      <c r="N108" s="2" t="b">
        <f aca="false">TRUE()</f>
        <v>1</v>
      </c>
      <c r="O108" s="1" t="n">
        <v>720</v>
      </c>
    </row>
    <row r="109" customFormat="false" ht="15.75" hidden="false" customHeight="false" outlineLevel="0" collapsed="false">
      <c r="A109" s="3" t="n">
        <v>45522</v>
      </c>
      <c r="B109" s="1" t="s">
        <v>67</v>
      </c>
      <c r="H109" s="1" t="s">
        <v>55</v>
      </c>
      <c r="I109" s="1" t="s">
        <v>63</v>
      </c>
      <c r="J109" s="1" t="s">
        <v>45</v>
      </c>
      <c r="L109" s="1" t="s">
        <v>64</v>
      </c>
      <c r="M109" s="1" t="n">
        <v>2</v>
      </c>
    </row>
    <row r="110" customFormat="false" ht="15.75" hidden="false" customHeight="false" outlineLevel="0" collapsed="false">
      <c r="A110" s="3" t="n">
        <v>45522</v>
      </c>
      <c r="B110" s="1" t="s">
        <v>67</v>
      </c>
      <c r="H110" s="1" t="s">
        <v>96</v>
      </c>
      <c r="I110" s="1" t="s">
        <v>2525</v>
      </c>
      <c r="J110" s="1" t="s">
        <v>2539</v>
      </c>
      <c r="L110" s="1" t="s">
        <v>2540</v>
      </c>
    </row>
    <row r="111" customFormat="false" ht="15.75" hidden="false" customHeight="false" outlineLevel="0" collapsed="false">
      <c r="A111" s="3" t="n">
        <v>45522</v>
      </c>
      <c r="B111" s="1" t="s">
        <v>67</v>
      </c>
      <c r="P111" s="1" t="n">
        <v>7</v>
      </c>
      <c r="S111" s="1" t="n">
        <v>7993</v>
      </c>
      <c r="T111" s="1" t="n">
        <v>3681</v>
      </c>
      <c r="U111" s="1" t="n">
        <v>23414</v>
      </c>
      <c r="V111" s="1" t="n">
        <v>11825</v>
      </c>
      <c r="W111" s="1" t="n">
        <v>762</v>
      </c>
      <c r="X111" s="1" t="n">
        <v>3120</v>
      </c>
      <c r="Y111" s="1" t="n">
        <v>5012</v>
      </c>
      <c r="Z111" s="1" t="n">
        <v>420</v>
      </c>
      <c r="AA111" s="1" t="n">
        <v>3950</v>
      </c>
      <c r="AB111" s="1" t="n">
        <v>59268</v>
      </c>
      <c r="AC111" s="1" t="n">
        <v>9</v>
      </c>
      <c r="AD111" s="1" t="n">
        <v>0.264511814023561</v>
      </c>
      <c r="AE111" s="1" t="n">
        <v>500</v>
      </c>
      <c r="AH111" s="1" t="n">
        <v>1000</v>
      </c>
      <c r="AI111" s="1" t="n">
        <v>720</v>
      </c>
      <c r="AJ111" s="1" t="n">
        <v>1</v>
      </c>
      <c r="AK111" s="1" t="n">
        <v>503</v>
      </c>
      <c r="AL111" s="1" t="n">
        <v>10</v>
      </c>
      <c r="AM111" s="1" t="s">
        <v>2541</v>
      </c>
      <c r="AN111" s="1" t="n">
        <v>1</v>
      </c>
      <c r="AO111" s="1" t="n">
        <v>2</v>
      </c>
      <c r="AP111" s="1"/>
      <c r="AQ111" s="1"/>
      <c r="AR111" s="1"/>
      <c r="AS111" s="1"/>
      <c r="AT111" s="1"/>
      <c r="AU111" s="1"/>
      <c r="AV111" s="1"/>
    </row>
    <row r="112" customFormat="false" ht="15.75" hidden="false" customHeight="false" outlineLevel="0" collapsed="false">
      <c r="A112" s="3" t="n">
        <v>45523</v>
      </c>
      <c r="B112" s="1" t="s">
        <v>69</v>
      </c>
      <c r="C112" s="1" t="s">
        <v>72</v>
      </c>
      <c r="D112" s="1" t="s">
        <v>41</v>
      </c>
      <c r="E112" s="1" t="s">
        <v>68</v>
      </c>
      <c r="G112" s="1" t="s">
        <v>2513</v>
      </c>
    </row>
    <row r="113" customFormat="false" ht="15.75" hidden="false" customHeight="false" outlineLevel="0" collapsed="false">
      <c r="A113" s="3" t="n">
        <v>45523</v>
      </c>
      <c r="B113" s="1" t="s">
        <v>69</v>
      </c>
      <c r="H113" s="1" t="s">
        <v>373</v>
      </c>
      <c r="I113" s="1" t="s">
        <v>63</v>
      </c>
      <c r="J113" s="1" t="s">
        <v>70</v>
      </c>
      <c r="L113" s="1" t="s">
        <v>53</v>
      </c>
      <c r="N113" s="2" t="b">
        <f aca="false">TRUE()</f>
        <v>1</v>
      </c>
    </row>
    <row r="114" customFormat="false" ht="15.75" hidden="false" customHeight="false" outlineLevel="0" collapsed="false">
      <c r="A114" s="3" t="n">
        <v>45523</v>
      </c>
      <c r="B114" s="1" t="s">
        <v>69</v>
      </c>
      <c r="H114" s="1" t="s">
        <v>71</v>
      </c>
      <c r="I114" s="1" t="s">
        <v>70</v>
      </c>
      <c r="J114" s="1" t="s">
        <v>68</v>
      </c>
      <c r="L114" s="1" t="s">
        <v>64</v>
      </c>
    </row>
    <row r="115" customFormat="false" ht="15.75" hidden="false" customHeight="false" outlineLevel="0" collapsed="false">
      <c r="A115" s="3" t="n">
        <v>45523</v>
      </c>
      <c r="B115" s="1" t="s">
        <v>69</v>
      </c>
      <c r="P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AB115" s="1" t="n">
        <v>0</v>
      </c>
      <c r="AC115" s="1" t="n">
        <v>0</v>
      </c>
      <c r="AD115" s="1" t="s">
        <v>60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e">
        <f aca="false">#DIV/0!</f>
        <v>#DIV/0!</v>
      </c>
      <c r="AN115" s="1" t="n">
        <v>0</v>
      </c>
      <c r="AO115" s="1" t="n">
        <v>0</v>
      </c>
      <c r="AP115" s="1"/>
      <c r="AQ115" s="1"/>
      <c r="AR115" s="1"/>
      <c r="AS115" s="1"/>
      <c r="AT115" s="1"/>
      <c r="AU115" s="1"/>
      <c r="AV115" s="1"/>
    </row>
    <row r="116" customFormat="false" ht="15.75" hidden="false" customHeight="false" outlineLevel="0" collapsed="false">
      <c r="A116" s="3" t="n">
        <v>45524</v>
      </c>
      <c r="B116" s="1" t="s">
        <v>61</v>
      </c>
      <c r="C116" s="1" t="s">
        <v>44</v>
      </c>
      <c r="D116" s="1" t="s">
        <v>45</v>
      </c>
      <c r="E116" s="1" t="s">
        <v>68</v>
      </c>
      <c r="G116" s="1" t="s">
        <v>53</v>
      </c>
    </row>
    <row r="117" customFormat="false" ht="15.75" hidden="false" customHeight="false" outlineLevel="0" collapsed="false">
      <c r="A117" s="3" t="n">
        <v>45524</v>
      </c>
      <c r="B117" s="1" t="s">
        <v>61</v>
      </c>
      <c r="C117" s="1" t="s">
        <v>40</v>
      </c>
      <c r="D117" s="1" t="s">
        <v>41</v>
      </c>
      <c r="E117" s="1" t="s">
        <v>45</v>
      </c>
      <c r="G117" s="1" t="s">
        <v>53</v>
      </c>
    </row>
    <row r="118" customFormat="false" ht="15.75" hidden="false" customHeight="false" outlineLevel="0" collapsed="false">
      <c r="A118" s="3" t="n">
        <v>45524</v>
      </c>
      <c r="B118" s="1" t="s">
        <v>61</v>
      </c>
      <c r="H118" s="1" t="s">
        <v>65</v>
      </c>
      <c r="I118" s="1" t="s">
        <v>63</v>
      </c>
      <c r="J118" s="1" t="s">
        <v>45</v>
      </c>
      <c r="L118" s="1" t="s">
        <v>64</v>
      </c>
      <c r="M118" s="1" t="n">
        <v>5</v>
      </c>
      <c r="N118" s="2" t="b">
        <f aca="false">TRUE()</f>
        <v>1</v>
      </c>
      <c r="O118" s="1" t="n">
        <v>200</v>
      </c>
    </row>
    <row r="119" customFormat="false" ht="15.75" hidden="false" customHeight="false" outlineLevel="0" collapsed="false">
      <c r="A119" s="3" t="n">
        <v>45524</v>
      </c>
      <c r="B119" s="1" t="s">
        <v>61</v>
      </c>
      <c r="H119" s="1" t="s">
        <v>55</v>
      </c>
      <c r="I119" s="1" t="s">
        <v>45</v>
      </c>
      <c r="J119" s="1" t="s">
        <v>57</v>
      </c>
      <c r="L119" s="1" t="s">
        <v>53</v>
      </c>
      <c r="M119" s="1" t="n">
        <v>15</v>
      </c>
    </row>
    <row r="120" customFormat="false" ht="15.75" hidden="false" customHeight="false" outlineLevel="0" collapsed="false">
      <c r="A120" s="3" t="n">
        <v>45524</v>
      </c>
      <c r="B120" s="1" t="s">
        <v>61</v>
      </c>
      <c r="P120" s="1" t="n">
        <v>0</v>
      </c>
      <c r="S120" s="1" t="n">
        <v>8173</v>
      </c>
      <c r="T120" s="1" t="n">
        <v>4462</v>
      </c>
      <c r="U120" s="1" t="n">
        <v>14505</v>
      </c>
      <c r="V120" s="1" t="n">
        <v>7805</v>
      </c>
      <c r="W120" s="1" t="n">
        <v>0</v>
      </c>
      <c r="X120" s="1" t="n">
        <v>334</v>
      </c>
      <c r="Y120" s="1" t="n">
        <v>5906</v>
      </c>
      <c r="AB120" s="1" t="n">
        <v>44087</v>
      </c>
      <c r="AC120" s="1" t="n">
        <v>884</v>
      </c>
      <c r="AD120" s="1" t="n">
        <v>0.205650626115372</v>
      </c>
      <c r="AE120" s="1" t="n">
        <v>500</v>
      </c>
      <c r="AH120" s="1" t="n">
        <v>3420</v>
      </c>
      <c r="AI120" s="1" t="n">
        <v>200</v>
      </c>
      <c r="AJ120" s="1" t="n">
        <v>0</v>
      </c>
      <c r="AK120" s="1" t="n">
        <v>0</v>
      </c>
      <c r="AL120" s="1" t="n">
        <v>6</v>
      </c>
      <c r="AM120" s="1" t="s">
        <v>2542</v>
      </c>
      <c r="AN120" s="1" t="n">
        <v>1</v>
      </c>
      <c r="AO120" s="1" t="n">
        <v>0</v>
      </c>
      <c r="AP120" s="1"/>
      <c r="AQ120" s="1"/>
      <c r="AR120" s="1"/>
      <c r="AS120" s="1"/>
      <c r="AT120" s="1"/>
      <c r="AU120" s="1"/>
      <c r="AV120" s="1"/>
    </row>
    <row r="121" customFormat="false" ht="15.75" hidden="false" customHeight="false" outlineLevel="0" collapsed="false">
      <c r="A121" s="3" t="n">
        <v>45525</v>
      </c>
      <c r="B121" s="1" t="s">
        <v>73</v>
      </c>
      <c r="C121" s="1" t="s">
        <v>40</v>
      </c>
      <c r="D121" s="1" t="s">
        <v>45</v>
      </c>
      <c r="E121" s="1" t="s">
        <v>57</v>
      </c>
      <c r="G121" s="1" t="s">
        <v>53</v>
      </c>
    </row>
    <row r="122" customFormat="false" ht="15.75" hidden="false" customHeight="false" outlineLevel="0" collapsed="false">
      <c r="A122" s="3" t="n">
        <v>45525</v>
      </c>
      <c r="B122" s="1" t="s">
        <v>73</v>
      </c>
      <c r="C122" s="1" t="s">
        <v>52</v>
      </c>
      <c r="D122" s="1" t="s">
        <v>45</v>
      </c>
      <c r="E122" s="1" t="s">
        <v>68</v>
      </c>
      <c r="G122" s="1" t="s">
        <v>53</v>
      </c>
    </row>
    <row r="123" customFormat="false" ht="15.75" hidden="false" customHeight="false" outlineLevel="0" collapsed="false">
      <c r="A123" s="3" t="n">
        <v>45525</v>
      </c>
      <c r="B123" s="1" t="s">
        <v>73</v>
      </c>
      <c r="C123" s="1" t="s">
        <v>2509</v>
      </c>
      <c r="D123" s="1" t="s">
        <v>45</v>
      </c>
      <c r="E123" s="1" t="s">
        <v>68</v>
      </c>
      <c r="G123" s="1" t="s">
        <v>53</v>
      </c>
    </row>
    <row r="124" customFormat="false" ht="15.75" hidden="false" customHeight="false" outlineLevel="0" collapsed="false">
      <c r="A124" s="3" t="n">
        <v>45525</v>
      </c>
      <c r="B124" s="1" t="s">
        <v>73</v>
      </c>
      <c r="H124" s="1" t="s">
        <v>373</v>
      </c>
      <c r="I124" s="1" t="s">
        <v>63</v>
      </c>
      <c r="J124" s="1" t="s">
        <v>70</v>
      </c>
      <c r="L124" s="1" t="s">
        <v>53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3" t="n">
        <v>45525</v>
      </c>
      <c r="B125" s="1" t="s">
        <v>73</v>
      </c>
      <c r="H125" s="1" t="s">
        <v>71</v>
      </c>
      <c r="I125" s="1" t="s">
        <v>70</v>
      </c>
      <c r="J125" s="1" t="s">
        <v>57</v>
      </c>
      <c r="L125" s="1" t="s">
        <v>64</v>
      </c>
      <c r="M125" s="1" t="n">
        <v>12</v>
      </c>
      <c r="N125" s="2" t="b">
        <f aca="false">TRUE()</f>
        <v>1</v>
      </c>
      <c r="O125" s="1" t="n">
        <v>480</v>
      </c>
    </row>
    <row r="126" customFormat="false" ht="15.75" hidden="false" customHeight="false" outlineLevel="0" collapsed="false">
      <c r="A126" s="3" t="n">
        <v>45525</v>
      </c>
      <c r="B126" s="1" t="s">
        <v>73</v>
      </c>
      <c r="P126" s="1" t="n">
        <v>1</v>
      </c>
      <c r="S126" s="1" t="n">
        <v>12445</v>
      </c>
      <c r="T126" s="1" t="n">
        <v>6419</v>
      </c>
      <c r="U126" s="1" t="n">
        <v>17874</v>
      </c>
      <c r="V126" s="1" t="n">
        <v>8862</v>
      </c>
      <c r="W126" s="1" t="n">
        <v>378</v>
      </c>
      <c r="X126" s="1" t="n">
        <v>927</v>
      </c>
      <c r="Y126" s="1" t="n">
        <v>4116</v>
      </c>
      <c r="AA126" s="1" t="n">
        <v>2866</v>
      </c>
      <c r="AB126" s="1" t="n">
        <v>54561</v>
      </c>
      <c r="AC126" s="1" t="n">
        <v>-881</v>
      </c>
      <c r="AD126" s="1" t="n">
        <v>0.243139792040989</v>
      </c>
      <c r="AI126" s="1" t="n">
        <v>720</v>
      </c>
      <c r="AJ126" s="1" t="n">
        <v>0</v>
      </c>
      <c r="AK126" s="1" t="n">
        <v>0</v>
      </c>
      <c r="AL126" s="1" t="n">
        <v>6</v>
      </c>
      <c r="AM126" s="1" t="s">
        <v>2543</v>
      </c>
      <c r="AN126" s="1" t="n">
        <v>2</v>
      </c>
      <c r="AO126" s="1" t="n">
        <v>1</v>
      </c>
      <c r="AP126" s="1"/>
      <c r="AQ126" s="1"/>
      <c r="AR126" s="1"/>
      <c r="AS126" s="1"/>
      <c r="AT126" s="1"/>
      <c r="AU126" s="1"/>
      <c r="AV126" s="1"/>
    </row>
    <row r="127" customFormat="false" ht="15.75" hidden="false" customHeight="false" outlineLevel="0" collapsed="false">
      <c r="A127" s="3" t="n">
        <v>45526</v>
      </c>
      <c r="B127" s="1" t="s">
        <v>2506</v>
      </c>
      <c r="C127" s="1" t="s">
        <v>40</v>
      </c>
      <c r="D127" s="1" t="s">
        <v>45</v>
      </c>
      <c r="E127" s="1" t="s">
        <v>68</v>
      </c>
      <c r="G127" s="1" t="s">
        <v>53</v>
      </c>
    </row>
    <row r="128" customFormat="false" ht="15.75" hidden="false" customHeight="false" outlineLevel="0" collapsed="false">
      <c r="A128" s="3" t="n">
        <v>45526</v>
      </c>
      <c r="B128" s="1" t="s">
        <v>2506</v>
      </c>
      <c r="C128" s="1" t="s">
        <v>52</v>
      </c>
      <c r="D128" s="1" t="s">
        <v>41</v>
      </c>
      <c r="E128" s="1" t="s">
        <v>45</v>
      </c>
      <c r="G128" s="1" t="s">
        <v>53</v>
      </c>
    </row>
    <row r="129" customFormat="false" ht="15.75" hidden="false" customHeight="false" outlineLevel="0" collapsed="false">
      <c r="A129" s="3" t="n">
        <v>45526</v>
      </c>
      <c r="B129" s="1" t="s">
        <v>2506</v>
      </c>
      <c r="H129" s="1" t="s">
        <v>65</v>
      </c>
      <c r="I129" s="1" t="s">
        <v>63</v>
      </c>
      <c r="J129" s="1" t="s">
        <v>45</v>
      </c>
      <c r="L129" s="1" t="s">
        <v>64</v>
      </c>
      <c r="N129" s="2" t="b">
        <f aca="false">TRUE()</f>
        <v>1</v>
      </c>
    </row>
    <row r="130" customFormat="false" ht="15.75" hidden="false" customHeight="false" outlineLevel="0" collapsed="false">
      <c r="A130" s="3" t="n">
        <v>45526</v>
      </c>
      <c r="B130" s="1" t="s">
        <v>2506</v>
      </c>
      <c r="P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AB130" s="1" t="n">
        <v>0</v>
      </c>
      <c r="AC130" s="1" t="n">
        <v>0</v>
      </c>
      <c r="AD130" s="1" t="s">
        <v>60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e">
        <f aca="false">#DIV/0!</f>
        <v>#DIV/0!</v>
      </c>
      <c r="AN130" s="1" t="n">
        <v>0</v>
      </c>
      <c r="AO130" s="1" t="n">
        <v>0</v>
      </c>
      <c r="AP130" s="1"/>
      <c r="AQ130" s="1"/>
      <c r="AR130" s="1"/>
      <c r="AS130" s="1"/>
      <c r="AT130" s="1"/>
      <c r="AU130" s="1"/>
      <c r="AV130" s="1"/>
    </row>
    <row r="131" customFormat="false" ht="15.75" hidden="false" customHeight="false" outlineLevel="0" collapsed="false">
      <c r="A131" s="3" t="n">
        <v>45527</v>
      </c>
      <c r="B131" s="1" t="s">
        <v>39</v>
      </c>
      <c r="C131" s="1" t="s">
        <v>44</v>
      </c>
      <c r="D131" s="1" t="s">
        <v>41</v>
      </c>
      <c r="E131" s="1" t="s">
        <v>45</v>
      </c>
      <c r="G131" s="1" t="s">
        <v>53</v>
      </c>
    </row>
    <row r="132" customFormat="false" ht="15.75" hidden="false" customHeight="false" outlineLevel="0" collapsed="false">
      <c r="A132" s="3" t="n">
        <v>45527</v>
      </c>
      <c r="B132" s="1" t="s">
        <v>39</v>
      </c>
      <c r="C132" s="1" t="s">
        <v>40</v>
      </c>
      <c r="D132" s="1" t="s">
        <v>45</v>
      </c>
      <c r="E132" s="1" t="s">
        <v>46</v>
      </c>
      <c r="G132" s="1" t="s">
        <v>47</v>
      </c>
    </row>
    <row r="133" customFormat="false" ht="15.75" hidden="false" customHeight="false" outlineLevel="0" collapsed="false">
      <c r="A133" s="3" t="n">
        <v>45527</v>
      </c>
      <c r="B133" s="1" t="s">
        <v>39</v>
      </c>
      <c r="C133" s="1" t="s">
        <v>52</v>
      </c>
      <c r="D133" s="1" t="s">
        <v>45</v>
      </c>
      <c r="E133" s="1" t="s">
        <v>2508</v>
      </c>
      <c r="G133" s="1" t="s">
        <v>47</v>
      </c>
    </row>
    <row r="134" customFormat="false" ht="15.75" hidden="false" customHeight="false" outlineLevel="0" collapsed="false">
      <c r="A134" s="3" t="n">
        <v>45527</v>
      </c>
      <c r="B134" s="1" t="s">
        <v>39</v>
      </c>
      <c r="C134" s="1" t="s">
        <v>72</v>
      </c>
      <c r="D134" s="1" t="s">
        <v>41</v>
      </c>
      <c r="E134" s="1" t="s">
        <v>45</v>
      </c>
      <c r="G134" s="1" t="s">
        <v>53</v>
      </c>
    </row>
    <row r="135" customFormat="false" ht="15.75" hidden="false" customHeight="false" outlineLevel="0" collapsed="false">
      <c r="A135" s="3" t="n">
        <v>45527</v>
      </c>
      <c r="B135" s="1" t="s">
        <v>39</v>
      </c>
      <c r="C135" s="1" t="s">
        <v>2509</v>
      </c>
      <c r="D135" s="1" t="s">
        <v>45</v>
      </c>
      <c r="E135" s="1" t="s">
        <v>42</v>
      </c>
      <c r="G135" s="1" t="s">
        <v>2534</v>
      </c>
    </row>
    <row r="136" customFormat="false" ht="15.75" hidden="false" customHeight="false" outlineLevel="0" collapsed="false">
      <c r="A136" s="3" t="n">
        <v>45527</v>
      </c>
      <c r="B136" s="1" t="s">
        <v>39</v>
      </c>
      <c r="H136" s="1" t="s">
        <v>96</v>
      </c>
      <c r="I136" s="1" t="s">
        <v>2529</v>
      </c>
      <c r="J136" s="1" t="s">
        <v>2508</v>
      </c>
      <c r="L136" s="1" t="s">
        <v>2544</v>
      </c>
      <c r="M136" s="1" t="n">
        <v>14</v>
      </c>
      <c r="N136" s="2" t="b">
        <f aca="false">TRUE()</f>
        <v>1</v>
      </c>
      <c r="O136" s="1" t="n">
        <v>560</v>
      </c>
    </row>
    <row r="137" customFormat="false" ht="15.75" hidden="false" customHeight="false" outlineLevel="0" collapsed="false">
      <c r="A137" s="3" t="n">
        <v>45527</v>
      </c>
      <c r="B137" s="1" t="s">
        <v>39</v>
      </c>
      <c r="H137" s="1" t="s">
        <v>373</v>
      </c>
      <c r="I137" s="1" t="s">
        <v>41</v>
      </c>
      <c r="J137" s="1" t="s">
        <v>45</v>
      </c>
      <c r="L137" s="1" t="s">
        <v>53</v>
      </c>
      <c r="M137" s="1" t="n">
        <v>9</v>
      </c>
      <c r="N137" s="2" t="b">
        <f aca="false">TRUE()</f>
        <v>1</v>
      </c>
      <c r="O137" s="1" t="n">
        <v>360</v>
      </c>
    </row>
    <row r="138" customFormat="false" ht="15.75" hidden="false" customHeight="false" outlineLevel="0" collapsed="false">
      <c r="A138" s="3" t="n">
        <v>45527</v>
      </c>
      <c r="B138" s="1" t="s">
        <v>39</v>
      </c>
      <c r="P138" s="1" t="n">
        <v>3</v>
      </c>
      <c r="S138" s="1" t="n">
        <v>14827</v>
      </c>
      <c r="T138" s="1" t="n">
        <v>8871</v>
      </c>
      <c r="U138" s="1" t="n">
        <v>17676</v>
      </c>
      <c r="V138" s="1" t="n">
        <v>13372</v>
      </c>
      <c r="W138" s="1" t="n">
        <v>0</v>
      </c>
      <c r="X138" s="1" t="n">
        <v>2280</v>
      </c>
      <c r="Y138" s="1" t="n">
        <v>4293</v>
      </c>
      <c r="AA138" s="1" t="n">
        <v>3740</v>
      </c>
      <c r="AB138" s="1" t="n">
        <v>66694</v>
      </c>
      <c r="AC138" s="1" t="n">
        <v>205</v>
      </c>
      <c r="AD138" s="1" t="n">
        <v>0.23306718015936</v>
      </c>
      <c r="AG138" s="1" t="n">
        <v>200</v>
      </c>
      <c r="AH138" s="1" t="n">
        <v>3000</v>
      </c>
      <c r="AI138" s="1" t="n">
        <v>920</v>
      </c>
      <c r="AJ138" s="1" t="n">
        <v>1</v>
      </c>
      <c r="AK138" s="1" t="n">
        <v>149</v>
      </c>
      <c r="AL138" s="1" t="n">
        <v>1</v>
      </c>
      <c r="AM138" s="1" t="s">
        <v>2528</v>
      </c>
      <c r="AN138" s="1" t="n">
        <v>2</v>
      </c>
      <c r="AO138" s="1" t="n">
        <v>0</v>
      </c>
      <c r="AP138" s="1"/>
      <c r="AQ138" s="1"/>
      <c r="AR138" s="1"/>
      <c r="AS138" s="1"/>
      <c r="AT138" s="1"/>
      <c r="AU138" s="1"/>
      <c r="AV138" s="1"/>
    </row>
    <row r="139" customFormat="false" ht="15.75" hidden="false" customHeight="false" outlineLevel="0" collapsed="false">
      <c r="A139" s="3" t="n">
        <v>45528</v>
      </c>
      <c r="B139" s="1" t="s">
        <v>2512</v>
      </c>
      <c r="C139" s="1" t="s">
        <v>44</v>
      </c>
      <c r="D139" s="1" t="s">
        <v>41</v>
      </c>
      <c r="E139" s="1" t="s">
        <v>46</v>
      </c>
      <c r="G139" s="1" t="s">
        <v>2510</v>
      </c>
    </row>
    <row r="140" customFormat="false" ht="15.75" hidden="false" customHeight="false" outlineLevel="0" collapsed="false">
      <c r="A140" s="3" t="n">
        <v>45528</v>
      </c>
      <c r="B140" s="1" t="s">
        <v>2512</v>
      </c>
      <c r="C140" s="1" t="s">
        <v>40</v>
      </c>
      <c r="D140" s="1" t="s">
        <v>45</v>
      </c>
      <c r="E140" s="1" t="s">
        <v>46</v>
      </c>
      <c r="G140" s="1" t="s">
        <v>47</v>
      </c>
    </row>
    <row r="141" customFormat="false" ht="15.75" hidden="false" customHeight="false" outlineLevel="0" collapsed="false">
      <c r="A141" s="3" t="n">
        <v>45528</v>
      </c>
      <c r="B141" s="1" t="s">
        <v>2512</v>
      </c>
      <c r="C141" s="1" t="s">
        <v>96</v>
      </c>
      <c r="D141" s="1" t="s">
        <v>41</v>
      </c>
      <c r="E141" s="1" t="s">
        <v>45</v>
      </c>
      <c r="G141" s="1" t="s">
        <v>53</v>
      </c>
    </row>
    <row r="142" customFormat="false" ht="15.75" hidden="false" customHeight="false" outlineLevel="0" collapsed="false">
      <c r="A142" s="3" t="n">
        <v>45528</v>
      </c>
      <c r="B142" s="1" t="s">
        <v>2512</v>
      </c>
      <c r="H142" s="1" t="s">
        <v>65</v>
      </c>
      <c r="I142" s="1" t="s">
        <v>63</v>
      </c>
      <c r="J142" s="1" t="s">
        <v>46</v>
      </c>
      <c r="L142" s="1" t="s">
        <v>2513</v>
      </c>
      <c r="N142" s="2" t="b">
        <f aca="false">TRUE()</f>
        <v>1</v>
      </c>
    </row>
    <row r="143" customFormat="false" ht="15.75" hidden="false" customHeight="false" outlineLevel="0" collapsed="false">
      <c r="A143" s="3" t="n">
        <v>45528</v>
      </c>
      <c r="B143" s="1" t="s">
        <v>2512</v>
      </c>
      <c r="P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AB143" s="1" t="n">
        <v>0</v>
      </c>
      <c r="AC143" s="1" t="n">
        <v>0</v>
      </c>
      <c r="AD143" s="1" t="s">
        <v>60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e">
        <f aca="false">#DIV/0!</f>
        <v>#DIV/0!</v>
      </c>
      <c r="AN143" s="1" t="n">
        <v>0</v>
      </c>
      <c r="AO143" s="1" t="n">
        <v>0</v>
      </c>
      <c r="AP143" s="1"/>
      <c r="AQ143" s="1"/>
      <c r="AR143" s="1"/>
      <c r="AS143" s="1"/>
      <c r="AT143" s="1"/>
      <c r="AU143" s="1"/>
      <c r="AV143" s="1"/>
    </row>
    <row r="144" customFormat="false" ht="15.75" hidden="false" customHeight="false" outlineLevel="0" collapsed="false">
      <c r="A144" s="3" t="n">
        <v>45528</v>
      </c>
      <c r="B144" s="1" t="s">
        <v>2512</v>
      </c>
      <c r="C144" s="1" t="s">
        <v>44</v>
      </c>
      <c r="D144" s="1" t="s">
        <v>41</v>
      </c>
      <c r="E144" s="1" t="s">
        <v>42</v>
      </c>
      <c r="G144" s="1" t="s">
        <v>43</v>
      </c>
    </row>
    <row r="145" customFormat="false" ht="15.75" hidden="false" customHeight="false" outlineLevel="0" collapsed="false">
      <c r="A145" s="3" t="n">
        <v>45528</v>
      </c>
      <c r="B145" s="1" t="s">
        <v>2512</v>
      </c>
      <c r="C145" s="1" t="s">
        <v>40</v>
      </c>
      <c r="D145" s="1" t="s">
        <v>45</v>
      </c>
      <c r="E145" s="1" t="s">
        <v>46</v>
      </c>
      <c r="G145" s="1" t="s">
        <v>47</v>
      </c>
    </row>
    <row r="146" customFormat="false" ht="15.75" hidden="false" customHeight="false" outlineLevel="0" collapsed="false">
      <c r="A146" s="3" t="n">
        <v>45528</v>
      </c>
      <c r="B146" s="1" t="s">
        <v>2512</v>
      </c>
      <c r="C146" s="1" t="s">
        <v>2516</v>
      </c>
      <c r="D146" s="1" t="s">
        <v>41</v>
      </c>
      <c r="E146" s="1" t="s">
        <v>2513</v>
      </c>
      <c r="G146" s="1" t="s">
        <v>2545</v>
      </c>
    </row>
    <row r="147" customFormat="false" ht="15.75" hidden="false" customHeight="false" outlineLevel="0" collapsed="false">
      <c r="A147" s="3" t="n">
        <v>45528</v>
      </c>
      <c r="B147" s="1" t="s">
        <v>2512</v>
      </c>
      <c r="C147" s="1" t="s">
        <v>2509</v>
      </c>
      <c r="D147" s="1" t="s">
        <v>2513</v>
      </c>
      <c r="E147" s="1" t="s">
        <v>2508</v>
      </c>
      <c r="G147" s="1" t="s">
        <v>63</v>
      </c>
    </row>
    <row r="148" customFormat="false" ht="15.75" hidden="false" customHeight="false" outlineLevel="0" collapsed="false">
      <c r="A148" s="3" t="n">
        <v>45528</v>
      </c>
      <c r="B148" s="1" t="s">
        <v>2512</v>
      </c>
      <c r="H148" s="1" t="s">
        <v>55</v>
      </c>
      <c r="I148" s="1" t="s">
        <v>63</v>
      </c>
      <c r="J148" s="1" t="s">
        <v>42</v>
      </c>
      <c r="L148" s="1" t="s">
        <v>63</v>
      </c>
      <c r="M148" s="1" t="n">
        <v>16</v>
      </c>
      <c r="N148" s="2" t="b">
        <f aca="false">TRUE()</f>
        <v>1</v>
      </c>
      <c r="O148" s="1" t="n">
        <v>640</v>
      </c>
    </row>
    <row r="149" customFormat="false" ht="15.75" hidden="false" customHeight="false" outlineLevel="0" collapsed="false">
      <c r="A149" s="3" t="n">
        <v>45528</v>
      </c>
      <c r="B149" s="1" t="s">
        <v>2512</v>
      </c>
      <c r="H149" s="1" t="s">
        <v>54</v>
      </c>
      <c r="I149" s="1" t="s">
        <v>63</v>
      </c>
      <c r="J149" s="1" t="s">
        <v>2513</v>
      </c>
      <c r="L149" s="1" t="s">
        <v>2546</v>
      </c>
      <c r="M149" s="1" t="n">
        <v>6</v>
      </c>
      <c r="N149" s="2" t="b">
        <f aca="false">TRUE()</f>
        <v>1</v>
      </c>
      <c r="O149" s="1" t="n">
        <v>240</v>
      </c>
    </row>
    <row r="150" customFormat="false" ht="15.75" hidden="false" customHeight="false" outlineLevel="0" collapsed="false">
      <c r="A150" s="3" t="n">
        <v>45528</v>
      </c>
      <c r="B150" s="1" t="s">
        <v>2512</v>
      </c>
      <c r="P150" s="1" t="n">
        <v>3</v>
      </c>
      <c r="S150" s="1" t="n">
        <v>9822</v>
      </c>
      <c r="T150" s="1" t="n">
        <v>7228</v>
      </c>
      <c r="U150" s="1" t="n">
        <v>20958</v>
      </c>
      <c r="V150" s="1" t="n">
        <v>11556</v>
      </c>
      <c r="W150" s="1" t="n">
        <v>533</v>
      </c>
      <c r="X150" s="1" t="n">
        <v>1917</v>
      </c>
      <c r="Y150" s="1" t="n">
        <v>1979</v>
      </c>
      <c r="AA150" s="1" t="n">
        <v>4552</v>
      </c>
      <c r="AB150" s="1" t="n">
        <v>57683</v>
      </c>
      <c r="AC150" s="1" t="n">
        <v>30</v>
      </c>
      <c r="AD150" s="1" t="n">
        <v>0.247741296977418</v>
      </c>
      <c r="AH150" s="1" t="n">
        <v>205</v>
      </c>
      <c r="AI150" s="1" t="n">
        <v>880</v>
      </c>
      <c r="AJ150" s="1" t="n">
        <v>0</v>
      </c>
      <c r="AK150" s="1" t="n">
        <v>0</v>
      </c>
      <c r="AL150" s="1" t="n">
        <v>4</v>
      </c>
      <c r="AM150" s="1" t="s">
        <v>2547</v>
      </c>
      <c r="AN150" s="1" t="n">
        <v>2</v>
      </c>
      <c r="AO150" s="1" t="n">
        <v>3</v>
      </c>
      <c r="AP150" s="1"/>
      <c r="AQ150" s="1"/>
      <c r="AR150" s="1"/>
      <c r="AS150" s="1"/>
      <c r="AT150" s="1"/>
      <c r="AU150" s="1"/>
      <c r="AV150" s="1"/>
    </row>
    <row r="151" customFormat="false" ht="15.75" hidden="false" customHeight="false" outlineLevel="0" collapsed="false">
      <c r="A151" s="3" t="n">
        <v>45530</v>
      </c>
      <c r="B151" s="1" t="s">
        <v>69</v>
      </c>
      <c r="C151" s="1" t="s">
        <v>72</v>
      </c>
      <c r="D151" s="1" t="s">
        <v>41</v>
      </c>
      <c r="E151" s="1" t="s">
        <v>68</v>
      </c>
      <c r="G151" s="1" t="s">
        <v>2513</v>
      </c>
    </row>
    <row r="152" customFormat="false" ht="15.75" hidden="false" customHeight="false" outlineLevel="0" collapsed="false">
      <c r="A152" s="3" t="n">
        <v>45530</v>
      </c>
      <c r="B152" s="1" t="s">
        <v>69</v>
      </c>
      <c r="H152" s="1" t="s">
        <v>54</v>
      </c>
      <c r="I152" s="1" t="s">
        <v>63</v>
      </c>
      <c r="J152" s="1" t="s">
        <v>70</v>
      </c>
      <c r="L152" s="1" t="s">
        <v>53</v>
      </c>
      <c r="M152" s="1" t="n">
        <v>5</v>
      </c>
      <c r="N152" s="2" t="b">
        <f aca="false">TRUE()</f>
        <v>1</v>
      </c>
      <c r="O152" s="1" t="n">
        <v>200</v>
      </c>
    </row>
    <row r="153" customFormat="false" ht="15.75" hidden="false" customHeight="false" outlineLevel="0" collapsed="false">
      <c r="A153" s="3" t="n">
        <v>45530</v>
      </c>
      <c r="B153" s="1" t="s">
        <v>69</v>
      </c>
      <c r="H153" s="1" t="s">
        <v>71</v>
      </c>
      <c r="I153" s="1" t="s">
        <v>70</v>
      </c>
      <c r="J153" s="1" t="s">
        <v>68</v>
      </c>
      <c r="L153" s="1" t="s">
        <v>64</v>
      </c>
      <c r="M153" s="1" t="n">
        <v>7</v>
      </c>
      <c r="N153" s="2" t="b">
        <f aca="false">TRUE()</f>
        <v>1</v>
      </c>
      <c r="O153" s="1" t="n">
        <v>280</v>
      </c>
    </row>
    <row r="154" customFormat="false" ht="15.75" hidden="false" customHeight="false" outlineLevel="0" collapsed="false">
      <c r="A154" s="3" t="n">
        <v>45530</v>
      </c>
      <c r="B154" s="1" t="s">
        <v>69</v>
      </c>
      <c r="H154" s="1" t="s">
        <v>55</v>
      </c>
      <c r="I154" s="1" t="s">
        <v>2529</v>
      </c>
      <c r="J154" s="1" t="s">
        <v>57</v>
      </c>
      <c r="L154" s="1" t="s">
        <v>47</v>
      </c>
    </row>
    <row r="155" customFormat="false" ht="15.75" hidden="false" customHeight="false" outlineLevel="0" collapsed="false">
      <c r="A155" s="3" t="n">
        <v>45530</v>
      </c>
      <c r="B155" s="1" t="s">
        <v>69</v>
      </c>
      <c r="P155" s="1" t="n">
        <v>7</v>
      </c>
      <c r="S155" s="1" t="n">
        <v>8045</v>
      </c>
      <c r="T155" s="1" t="n">
        <v>5323</v>
      </c>
      <c r="U155" s="1" t="n">
        <v>11309</v>
      </c>
      <c r="V155" s="1" t="n">
        <v>8347</v>
      </c>
      <c r="W155" s="1" t="n">
        <v>1773</v>
      </c>
      <c r="X155" s="1" t="n">
        <v>1130</v>
      </c>
      <c r="Y155" s="1" t="n">
        <v>3115</v>
      </c>
      <c r="AA155" s="1" t="n">
        <v>4480</v>
      </c>
      <c r="AB155" s="1" t="n">
        <v>42906</v>
      </c>
      <c r="AC155" s="1" t="n">
        <v>6</v>
      </c>
      <c r="AD155" s="1" t="n">
        <v>0.387749564945425</v>
      </c>
      <c r="AH155" s="1" t="n">
        <v>40</v>
      </c>
      <c r="AI155" s="1" t="n">
        <v>480</v>
      </c>
      <c r="AJ155" s="1" t="n">
        <v>0</v>
      </c>
      <c r="AK155" s="1" t="n">
        <v>0</v>
      </c>
      <c r="AL155" s="1" t="n">
        <v>3</v>
      </c>
      <c r="AM155" s="1" t="s">
        <v>2548</v>
      </c>
      <c r="AN155" s="1" t="n">
        <v>2</v>
      </c>
      <c r="AO155" s="1" t="n">
        <v>106</v>
      </c>
      <c r="AP155" s="1" t="n">
        <v>19</v>
      </c>
      <c r="AQ155" s="1" t="n">
        <v>6</v>
      </c>
      <c r="AR155" s="1" t="n">
        <v>2</v>
      </c>
      <c r="AS155" s="1" t="n">
        <v>0.157894736842105</v>
      </c>
      <c r="AT155" s="1" t="n">
        <v>2</v>
      </c>
      <c r="AU155" s="1" t="n">
        <v>0.842105263157895</v>
      </c>
      <c r="AV155" s="1" t="n">
        <v>0.105263157894737</v>
      </c>
    </row>
    <row r="156" customFormat="false" ht="15.75" hidden="false" customHeight="false" outlineLevel="0" collapsed="false">
      <c r="A156" s="3" t="n">
        <v>45531</v>
      </c>
      <c r="B156" s="1" t="s">
        <v>61</v>
      </c>
      <c r="C156" s="1" t="s">
        <v>72</v>
      </c>
      <c r="D156" s="1" t="s">
        <v>45</v>
      </c>
      <c r="E156" s="1" t="s">
        <v>68</v>
      </c>
      <c r="G156" s="1" t="s">
        <v>53</v>
      </c>
    </row>
    <row r="157" customFormat="false" ht="15.75" hidden="false" customHeight="false" outlineLevel="0" collapsed="false">
      <c r="A157" s="3" t="n">
        <v>45531</v>
      </c>
      <c r="B157" s="1" t="s">
        <v>61</v>
      </c>
      <c r="C157" s="1" t="s">
        <v>40</v>
      </c>
      <c r="D157" s="1" t="s">
        <v>41</v>
      </c>
      <c r="E157" s="1" t="s">
        <v>70</v>
      </c>
      <c r="G157" s="1" t="s">
        <v>47</v>
      </c>
    </row>
    <row r="158" customFormat="false" ht="15.75" hidden="false" customHeight="false" outlineLevel="0" collapsed="false">
      <c r="A158" s="3" t="n">
        <v>45531</v>
      </c>
      <c r="B158" s="1" t="s">
        <v>61</v>
      </c>
      <c r="C158" s="1" t="s">
        <v>2516</v>
      </c>
      <c r="D158" s="1" t="s">
        <v>70</v>
      </c>
      <c r="E158" s="1" t="s">
        <v>57</v>
      </c>
      <c r="G158" s="1" t="s">
        <v>64</v>
      </c>
    </row>
    <row r="159" customFormat="false" ht="15.75" hidden="false" customHeight="false" outlineLevel="0" collapsed="false">
      <c r="A159" s="3" t="n">
        <v>45531</v>
      </c>
      <c r="B159" s="1" t="s">
        <v>61</v>
      </c>
      <c r="H159" s="1" t="s">
        <v>65</v>
      </c>
      <c r="I159" s="1" t="s">
        <v>63</v>
      </c>
      <c r="J159" s="1" t="s">
        <v>2525</v>
      </c>
      <c r="L159" s="1" t="s">
        <v>47</v>
      </c>
      <c r="M159" s="1" t="n">
        <v>3</v>
      </c>
      <c r="N159" s="2" t="b">
        <f aca="false">TRUE()</f>
        <v>1</v>
      </c>
      <c r="O159" s="1" t="n">
        <v>120</v>
      </c>
    </row>
    <row r="160" customFormat="false" ht="15.75" hidden="false" customHeight="false" outlineLevel="0" collapsed="false">
      <c r="A160" s="3" t="n">
        <v>45531</v>
      </c>
      <c r="B160" s="1" t="s">
        <v>61</v>
      </c>
      <c r="H160" s="1" t="s">
        <v>1073</v>
      </c>
      <c r="I160" s="1" t="s">
        <v>45</v>
      </c>
      <c r="J160" s="1" t="s">
        <v>57</v>
      </c>
      <c r="L160" s="1" t="s">
        <v>53</v>
      </c>
      <c r="M160" s="1" t="n">
        <v>6</v>
      </c>
      <c r="N160" s="2" t="b">
        <f aca="false">TRUE()</f>
        <v>1</v>
      </c>
      <c r="O160" s="1" t="n">
        <v>240</v>
      </c>
    </row>
    <row r="161" customFormat="false" ht="15.75" hidden="false" customHeight="false" outlineLevel="0" collapsed="false">
      <c r="A161" s="3" t="n">
        <v>45531</v>
      </c>
      <c r="B161" s="1" t="s">
        <v>61</v>
      </c>
      <c r="P161" s="1" t="n">
        <v>0</v>
      </c>
      <c r="S161" s="1" t="n">
        <v>10683</v>
      </c>
      <c r="T161" s="1" t="n">
        <v>2749</v>
      </c>
      <c r="U161" s="1" t="n">
        <v>16912</v>
      </c>
      <c r="V161" s="1" t="n">
        <v>5326</v>
      </c>
      <c r="W161" s="1" t="n">
        <v>0</v>
      </c>
      <c r="X161" s="1" t="n">
        <v>2907</v>
      </c>
      <c r="Y161" s="1" t="n">
        <v>5242</v>
      </c>
      <c r="AA161" s="1" t="n">
        <v>2630</v>
      </c>
      <c r="AB161" s="1" t="n">
        <v>45087</v>
      </c>
      <c r="AC161" s="1" t="n">
        <v>0</v>
      </c>
      <c r="AD161" s="1" t="n">
        <v>0.276947564343345</v>
      </c>
      <c r="AG161" s="1" t="n">
        <v>945</v>
      </c>
      <c r="AH161" s="1" t="n">
        <v>240</v>
      </c>
      <c r="AI161" s="1" t="n">
        <v>360</v>
      </c>
      <c r="AJ161" s="1" t="n">
        <v>0</v>
      </c>
      <c r="AK161" s="1" t="n">
        <v>0</v>
      </c>
      <c r="AL161" s="1" t="n">
        <v>0</v>
      </c>
      <c r="AM161" s="1" t="s">
        <v>2549</v>
      </c>
      <c r="AN161" s="1" t="n">
        <v>2</v>
      </c>
      <c r="AO161" s="1" t="n">
        <v>100</v>
      </c>
      <c r="AP161" s="1" t="n">
        <v>9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3" t="n">
        <v>45532</v>
      </c>
      <c r="B162" s="1" t="s">
        <v>73</v>
      </c>
      <c r="C162" s="1" t="s">
        <v>40</v>
      </c>
      <c r="D162" s="1" t="s">
        <v>41</v>
      </c>
      <c r="E162" s="1" t="s">
        <v>45</v>
      </c>
      <c r="G162" s="1" t="s">
        <v>53</v>
      </c>
    </row>
    <row r="163" customFormat="false" ht="15.75" hidden="false" customHeight="false" outlineLevel="0" collapsed="false">
      <c r="A163" s="3" t="n">
        <v>45532</v>
      </c>
      <c r="B163" s="1" t="s">
        <v>73</v>
      </c>
      <c r="C163" s="1" t="s">
        <v>44</v>
      </c>
      <c r="D163" s="1" t="s">
        <v>45</v>
      </c>
      <c r="E163" s="1" t="s">
        <v>57</v>
      </c>
      <c r="G163" s="1" t="s">
        <v>53</v>
      </c>
    </row>
    <row r="164" customFormat="false" ht="15.75" hidden="false" customHeight="false" outlineLevel="0" collapsed="false">
      <c r="A164" s="3" t="n">
        <v>45532</v>
      </c>
      <c r="B164" s="1" t="s">
        <v>73</v>
      </c>
      <c r="C164" s="1" t="s">
        <v>2509</v>
      </c>
      <c r="D164" s="1" t="s">
        <v>45</v>
      </c>
      <c r="E164" s="1" t="s">
        <v>2508</v>
      </c>
      <c r="G164" s="1" t="s">
        <v>47</v>
      </c>
    </row>
    <row r="165" customFormat="false" ht="15.75" hidden="false" customHeight="false" outlineLevel="0" collapsed="false">
      <c r="A165" s="3" t="n">
        <v>45532</v>
      </c>
      <c r="B165" s="1" t="s">
        <v>73</v>
      </c>
      <c r="H165" s="1" t="s">
        <v>373</v>
      </c>
      <c r="I165" s="1" t="s">
        <v>63</v>
      </c>
      <c r="J165" s="1" t="s">
        <v>70</v>
      </c>
      <c r="L165" s="1" t="s">
        <v>53</v>
      </c>
      <c r="M165" s="1" t="n">
        <v>6</v>
      </c>
      <c r="N165" s="2" t="b">
        <f aca="false">TRUE()</f>
        <v>1</v>
      </c>
      <c r="O165" s="1" t="n">
        <v>240</v>
      </c>
    </row>
    <row r="166" customFormat="false" ht="15.75" hidden="false" customHeight="false" outlineLevel="0" collapsed="false">
      <c r="A166" s="3" t="n">
        <v>45532</v>
      </c>
      <c r="B166" s="1" t="s">
        <v>73</v>
      </c>
      <c r="H166" s="1" t="s">
        <v>71</v>
      </c>
      <c r="I166" s="1" t="s">
        <v>70</v>
      </c>
      <c r="J166" s="1" t="s">
        <v>57</v>
      </c>
      <c r="L166" s="1" t="s">
        <v>64</v>
      </c>
      <c r="M166" s="1" t="n">
        <v>8</v>
      </c>
      <c r="N166" s="2" t="b">
        <f aca="false">TRUE()</f>
        <v>1</v>
      </c>
      <c r="O166" s="1" t="n">
        <v>320</v>
      </c>
    </row>
    <row r="167" customFormat="false" ht="15.75" hidden="false" customHeight="false" outlineLevel="0" collapsed="false">
      <c r="A167" s="3" t="n">
        <v>45532</v>
      </c>
      <c r="B167" s="1" t="s">
        <v>73</v>
      </c>
      <c r="P167" s="1" t="n">
        <v>6</v>
      </c>
      <c r="S167" s="1" t="n">
        <v>14975</v>
      </c>
      <c r="T167" s="1" t="n">
        <v>3554</v>
      </c>
      <c r="U167" s="1" t="n">
        <v>15901</v>
      </c>
      <c r="V167" s="1" t="n">
        <v>9498</v>
      </c>
      <c r="W167" s="1" t="n">
        <v>926</v>
      </c>
      <c r="X167" s="1" t="n">
        <v>2107</v>
      </c>
      <c r="Y167" s="1" t="n">
        <v>1577</v>
      </c>
      <c r="AA167" s="1" t="n">
        <v>3565</v>
      </c>
      <c r="AB167" s="1" t="n">
        <v>51215</v>
      </c>
      <c r="AC167" s="1" t="n">
        <v>0</v>
      </c>
      <c r="AD167" s="1" t="n">
        <v>0.228828418891895</v>
      </c>
      <c r="AH167" s="1" t="n">
        <v>659</v>
      </c>
      <c r="AI167" s="1" t="n">
        <v>560</v>
      </c>
      <c r="AJ167" s="1" t="n">
        <v>0</v>
      </c>
      <c r="AK167" s="1" t="n">
        <v>0</v>
      </c>
      <c r="AL167" s="1" t="n">
        <v>0</v>
      </c>
      <c r="AM167" s="1" t="s">
        <v>2550</v>
      </c>
      <c r="AN167" s="1" t="n">
        <v>2</v>
      </c>
      <c r="AO167" s="1" t="n">
        <v>123</v>
      </c>
      <c r="AP167" s="1" t="n">
        <v>20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3" t="n">
        <v>45533</v>
      </c>
      <c r="B168" s="1" t="s">
        <v>2506</v>
      </c>
      <c r="C168" s="1" t="s">
        <v>44</v>
      </c>
      <c r="D168" s="1" t="s">
        <v>45</v>
      </c>
      <c r="E168" s="1" t="s">
        <v>68</v>
      </c>
      <c r="G168" s="1" t="s">
        <v>53</v>
      </c>
    </row>
    <row r="169" customFormat="false" ht="15.75" hidden="false" customHeight="false" outlineLevel="0" collapsed="false">
      <c r="A169" s="3" t="n">
        <v>45533</v>
      </c>
      <c r="B169" s="1" t="s">
        <v>2506</v>
      </c>
      <c r="C169" s="1" t="s">
        <v>72</v>
      </c>
      <c r="D169" s="1" t="s">
        <v>41</v>
      </c>
      <c r="E169" s="1" t="s">
        <v>45</v>
      </c>
      <c r="G169" s="1" t="s">
        <v>53</v>
      </c>
    </row>
    <row r="170" customFormat="false" ht="15.75" hidden="false" customHeight="false" outlineLevel="0" collapsed="false">
      <c r="A170" s="3" t="n">
        <v>45533</v>
      </c>
      <c r="B170" s="1" t="s">
        <v>2506</v>
      </c>
      <c r="C170" s="1" t="s">
        <v>2509</v>
      </c>
      <c r="D170" s="1" t="s">
        <v>63</v>
      </c>
      <c r="E170" s="1" t="s">
        <v>45</v>
      </c>
      <c r="G170" s="1" t="s">
        <v>64</v>
      </c>
    </row>
    <row r="171" customFormat="false" ht="15.75" hidden="false" customHeight="false" outlineLevel="0" collapsed="false">
      <c r="A171" s="3" t="n">
        <v>45533</v>
      </c>
      <c r="B171" s="1" t="s">
        <v>2506</v>
      </c>
      <c r="H171" s="1" t="s">
        <v>65</v>
      </c>
      <c r="I171" s="1" t="s">
        <v>63</v>
      </c>
      <c r="J171" s="1" t="s">
        <v>2551</v>
      </c>
      <c r="L171" s="1" t="s">
        <v>2552</v>
      </c>
      <c r="M171" s="1" t="n">
        <v>11</v>
      </c>
      <c r="N171" s="2" t="b">
        <f aca="false">TRUE()</f>
        <v>1</v>
      </c>
      <c r="O171" s="1" t="n">
        <v>440</v>
      </c>
    </row>
    <row r="172" customFormat="false" ht="15.75" hidden="false" customHeight="false" outlineLevel="0" collapsed="false">
      <c r="A172" s="3" t="n">
        <v>45533</v>
      </c>
      <c r="B172" s="1" t="s">
        <v>2506</v>
      </c>
      <c r="H172" s="1" t="s">
        <v>54</v>
      </c>
      <c r="I172" s="1" t="s">
        <v>45</v>
      </c>
      <c r="J172" s="1" t="s">
        <v>2508</v>
      </c>
      <c r="L172" s="1" t="s">
        <v>47</v>
      </c>
      <c r="M172" s="1" t="n">
        <v>5</v>
      </c>
      <c r="N172" s="2" t="b">
        <f aca="false">TRUE()</f>
        <v>1</v>
      </c>
      <c r="O172" s="1" t="n">
        <v>200</v>
      </c>
    </row>
    <row r="173" customFormat="false" ht="15.75" hidden="false" customHeight="false" outlineLevel="0" collapsed="false">
      <c r="A173" s="3" t="n">
        <v>45533</v>
      </c>
      <c r="B173" s="1" t="s">
        <v>2506</v>
      </c>
      <c r="P173" s="1" t="n">
        <v>5</v>
      </c>
      <c r="S173" s="1" t="n">
        <v>10663</v>
      </c>
      <c r="T173" s="1" t="n">
        <v>2624</v>
      </c>
      <c r="U173" s="1" t="n">
        <v>15405</v>
      </c>
      <c r="V173" s="1" t="n">
        <v>9507</v>
      </c>
      <c r="W173" s="1" t="n">
        <v>3395</v>
      </c>
      <c r="X173" s="1" t="n">
        <v>2887</v>
      </c>
      <c r="Y173" s="1" t="n">
        <v>5682</v>
      </c>
      <c r="AA173" s="1" t="n">
        <v>6070</v>
      </c>
      <c r="AB173" s="1" t="n">
        <v>53984</v>
      </c>
      <c r="AC173" s="1" t="n">
        <v>2</v>
      </c>
      <c r="AD173" s="1" t="n">
        <v>0.276693742470887</v>
      </c>
      <c r="AI173" s="1" t="n">
        <v>640</v>
      </c>
      <c r="AJ173" s="1" t="n">
        <v>0</v>
      </c>
      <c r="AK173" s="1" t="n">
        <v>0</v>
      </c>
      <c r="AL173" s="1" t="n">
        <v>5</v>
      </c>
      <c r="AM173" s="1" t="s">
        <v>2553</v>
      </c>
      <c r="AN173" s="1" t="n">
        <v>2</v>
      </c>
      <c r="AO173" s="1" t="n">
        <v>114</v>
      </c>
      <c r="AP173" s="1" t="n">
        <v>21</v>
      </c>
      <c r="AQ173" s="1" t="n">
        <v>4</v>
      </c>
      <c r="AR173" s="1" t="n">
        <v>4</v>
      </c>
      <c r="AS173" s="1" t="n">
        <v>0.238095238095238</v>
      </c>
      <c r="AT173" s="1" t="n">
        <v>4</v>
      </c>
      <c r="AU173" s="1" t="n">
        <v>0.761904761904762</v>
      </c>
      <c r="AV173" s="1" t="n">
        <v>0.19047619047619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2554</v>
      </c>
      <c r="C1" s="7" t="s">
        <v>0</v>
      </c>
      <c r="D1" s="8" t="n">
        <v>46140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2555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SUM(RestiaCSV!C:C) - SUMIFS(RestiaCSV!C:C, RestiaCSV!B:B, "canceled")</f>
        <v>0</v>
      </c>
      <c r="J2" s="12"/>
      <c r="K2" s="12"/>
      <c r="L2" s="13" t="s">
        <v>2556</v>
      </c>
      <c r="M2" s="14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Úterý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2557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2558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2559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2560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2561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2562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24" t="s">
        <v>23</v>
      </c>
      <c r="M9" s="25"/>
    </row>
    <row r="10" customFormat="false" ht="18.55" hidden="false" customHeight="false" outlineLevel="0" collapsed="false">
      <c r="A10" s="5"/>
      <c r="B10" s="26" t="s">
        <v>2563</v>
      </c>
      <c r="C10" s="26"/>
      <c r="D10" s="26"/>
      <c r="E10" s="26"/>
      <c r="F10" s="26"/>
      <c r="G10" s="27" t="s">
        <v>15</v>
      </c>
      <c r="H10" s="27"/>
      <c r="I10" s="27"/>
      <c r="J10" s="26" t="s">
        <v>2564</v>
      </c>
      <c r="K10" s="26"/>
      <c r="L10" s="28" t="s">
        <v>24</v>
      </c>
      <c r="M10" s="29"/>
    </row>
    <row r="11" customFormat="false" ht="15.75" hidden="false" customHeight="false" outlineLevel="0" collapsed="false">
      <c r="A11" s="5"/>
      <c r="B11" s="30" t="s">
        <v>2565</v>
      </c>
      <c r="C11" s="31" t="s">
        <v>2566</v>
      </c>
      <c r="D11" s="31" t="s">
        <v>2567</v>
      </c>
      <c r="E11" s="31" t="s">
        <v>2568</v>
      </c>
      <c r="F11" s="32" t="s">
        <v>2569</v>
      </c>
      <c r="G11" s="33" t="s">
        <v>2570</v>
      </c>
      <c r="H11" s="33"/>
      <c r="I11" s="33"/>
      <c r="J11" s="34" t="n">
        <f aca="false">M2+M3+M4+M5+M6+M13+M14+M15+M16+M17+M9+M10+M11-I2</f>
        <v>0</v>
      </c>
      <c r="K11" s="34"/>
      <c r="L11" s="35" t="s">
        <v>25</v>
      </c>
      <c r="M11" s="36"/>
    </row>
    <row r="12" customFormat="false" ht="17.35" hidden="false" customHeight="false" outlineLevel="0" collapsed="false">
      <c r="A12" s="37" t="n">
        <f aca="false" t="array" ref="A12:A12">IF(ISBLANK(B12), 0, IF(ISNUMBER(MATCH(B12, HR!A:A, 0)), 0, IF(ISNUMBER(MATCH(B12, HR!B:B, 0)), INDEX(HR!V:V, MATCH(B12, HR!B:B, 0)) * (F12 * 24), 0)))</f>
        <v>0</v>
      </c>
      <c r="B12" s="38" t="s">
        <v>2570</v>
      </c>
      <c r="C12" s="39" t="s">
        <v>41</v>
      </c>
      <c r="D12" s="39"/>
      <c r="E12" s="40"/>
      <c r="F12" s="41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0:00</v>
      </c>
      <c r="G12" s="33"/>
      <c r="H12" s="33"/>
      <c r="I12" s="33"/>
      <c r="J12" s="34"/>
      <c r="K12" s="34"/>
      <c r="L12" s="42" t="s">
        <v>2571</v>
      </c>
      <c r="M12" s="42"/>
    </row>
    <row r="13" customFormat="false" ht="15.75" hidden="false" customHeight="false" outlineLevel="0" collapsed="false">
      <c r="A13" s="37" t="n">
        <f aca="false" t="array" ref="A13:A13">IF(ISBLANK(B13), 0, IF(ISNUMBER(MATCH(B13, HR!A:A, 0)), 0, IF(ISNUMBER(MATCH(B13, HR!B:B, 0)), INDEX(HR!V:V, MATCH(B13, HR!B:B, 0)) * (F13 * 24), 0)))</f>
        <v>0</v>
      </c>
      <c r="B13" s="38" t="s">
        <v>2572</v>
      </c>
      <c r="C13" s="39" t="s">
        <v>45</v>
      </c>
      <c r="D13" s="39"/>
      <c r="E13" s="40"/>
      <c r="F13" s="41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0:00</v>
      </c>
      <c r="G13" s="33"/>
      <c r="H13" s="33"/>
      <c r="I13" s="33"/>
      <c r="J13" s="34"/>
      <c r="K13" s="34"/>
      <c r="L13" s="13" t="s">
        <v>29</v>
      </c>
      <c r="M13" s="43"/>
    </row>
    <row r="14" customFormat="false" ht="15.75" hidden="false" customHeight="false" outlineLevel="0" collapsed="false">
      <c r="A14" s="37" t="n">
        <f aca="false" t="array" ref="A14:A14">IF(ISBLANK(B14), 0, IF(ISNUMBER(MATCH(B14, HR!A:A, 0)), 0, IF(ISNUMBER(MATCH(B14, HR!B:B, 0)), INDEX(HR!V:V, MATCH(B14, HR!B:B, 0)) * (F14 * 24), 0)))</f>
        <v>0</v>
      </c>
      <c r="B14" s="38"/>
      <c r="C14" s="39"/>
      <c r="D14" s="39"/>
      <c r="E14" s="40"/>
      <c r="F14" s="41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0:00</v>
      </c>
      <c r="G14" s="44"/>
      <c r="H14" s="44"/>
      <c r="I14" s="44"/>
      <c r="J14" s="34"/>
      <c r="K14" s="34"/>
      <c r="L14" s="45" t="s">
        <v>30</v>
      </c>
      <c r="M14" s="43"/>
    </row>
    <row r="15" customFormat="false" ht="15.75" hidden="false" customHeight="false" outlineLevel="0" collapsed="false">
      <c r="A15" s="37" t="n">
        <f aca="false" t="array" ref="A15:A15">IF(ISBLANK(B15), 0, IF(ISNUMBER(MATCH(B15, HR!A:A, 0)), 0, IF(ISNUMBER(MATCH(B15, HR!B:B, 0)), INDEX(HR!V:V, MATCH(B15, HR!B:B, 0)) * (F15 * 24), 0)))</f>
        <v>0</v>
      </c>
      <c r="B15" s="38"/>
      <c r="C15" s="39"/>
      <c r="D15" s="39"/>
      <c r="E15" s="46"/>
      <c r="F15" s="41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4"/>
      <c r="H15" s="44"/>
      <c r="I15" s="44"/>
      <c r="J15" s="34"/>
      <c r="K15" s="34"/>
      <c r="L15" s="45" t="s">
        <v>31</v>
      </c>
      <c r="M15" s="43"/>
    </row>
    <row r="16" customFormat="false" ht="15.75" hidden="false" customHeight="false" outlineLevel="0" collapsed="false">
      <c r="A16" s="37" t="n">
        <f aca="false" t="array" ref="A16:A16">IF(ISBLANK(B16), 0, IF(ISNUMBER(MATCH(B16, HR!A:A, 0)), 0, IF(ISNUMBER(MATCH(B16, HR!B:B, 0)), INDEX(HR!V:V, MATCH(B16, HR!B:B, 0)) * (F16 * 24), 0)))</f>
        <v>0</v>
      </c>
      <c r="B16" s="38"/>
      <c r="C16" s="39"/>
      <c r="D16" s="39"/>
      <c r="E16" s="46"/>
      <c r="F16" s="41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4"/>
      <c r="H16" s="44"/>
      <c r="I16" s="44"/>
      <c r="J16" s="34"/>
      <c r="K16" s="34"/>
      <c r="L16" s="45" t="s">
        <v>32</v>
      </c>
      <c r="M16" s="43"/>
    </row>
    <row r="17" customFormat="false" ht="15.75" hidden="false" customHeight="false" outlineLevel="0" collapsed="false">
      <c r="A17" s="37" t="n">
        <f aca="false" t="array" ref="A17:A17">IF(ISBLANK(B17), 0, IF(ISNUMBER(MATCH(B17, HR!A:A, 0)), 0, IF(ISNUMBER(MATCH(B17, HR!B:B, 0)), INDEX(HR!V:V, MATCH(B17, HR!B:B, 0)) * (F17 * 24), 0)))</f>
        <v>0</v>
      </c>
      <c r="B17" s="38"/>
      <c r="C17" s="39"/>
      <c r="D17" s="39"/>
      <c r="E17" s="40"/>
      <c r="F17" s="41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4"/>
      <c r="H17" s="44"/>
      <c r="I17" s="44"/>
      <c r="J17" s="34"/>
      <c r="K17" s="34"/>
      <c r="L17" s="47" t="s">
        <v>33</v>
      </c>
      <c r="M17" s="48" t="n">
        <f aca="false">SUM(I25:I31)</f>
        <v>0</v>
      </c>
    </row>
    <row r="18" customFormat="false" ht="21.75" hidden="false" customHeight="true" outlineLevel="0" collapsed="false">
      <c r="A18" s="37" t="n">
        <f aca="false" t="array" ref="A18:A18">IF(ISBLANK(B18), 0, IF(ISNUMBER(MATCH(B18, HR!A:A, 0)), 0, IF(ISNUMBER(MATCH(B18, HR!B:B, 0)), INDEX(HR!V:V, MATCH(B18, HR!B:B, 0)) * (F18 * 24), 0)))</f>
        <v>0</v>
      </c>
      <c r="B18" s="38"/>
      <c r="C18" s="39"/>
      <c r="D18" s="39"/>
      <c r="E18" s="46"/>
      <c r="F18" s="41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7" t="s">
        <v>16</v>
      </c>
      <c r="H18" s="27"/>
      <c r="I18" s="27"/>
      <c r="J18" s="49"/>
      <c r="K18" s="49"/>
      <c r="L18" s="49"/>
      <c r="M18" s="49"/>
    </row>
    <row r="19" customFormat="false" ht="15.75" hidden="false" customHeight="false" outlineLevel="0" collapsed="false">
      <c r="A19" s="37" t="n">
        <f aca="false" t="array" ref="A19:A19">IF(ISBLANK(B19), 0, IF(ISNUMBER(MATCH(B19, HR!A:A, 0)), 0, IF(ISNUMBER(MATCH(B19, HR!B:B, 0)), INDEX(HR!V:V, MATCH(B19, HR!B:B, 0)) * (F19 * 24), 0)))</f>
        <v>0</v>
      </c>
      <c r="B19" s="38"/>
      <c r="C19" s="39"/>
      <c r="D19" s="39"/>
      <c r="E19" s="46"/>
      <c r="F19" s="41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3" t="s">
        <v>2572</v>
      </c>
      <c r="H19" s="33"/>
      <c r="I19" s="33"/>
      <c r="J19" s="49"/>
      <c r="K19" s="49"/>
      <c r="L19" s="49"/>
      <c r="M19" s="49"/>
    </row>
    <row r="20" customFormat="false" ht="15.75" hidden="false" customHeight="false" outlineLevel="0" collapsed="false">
      <c r="A20" s="37" t="n">
        <f aca="false" t="array" ref="A20:A20">IF(ISBLANK(B20), 0, IF(ISNUMBER(MATCH(B20, HR!A:A, 0)), 0, IF(ISNUMBER(MATCH(B20, HR!B:B, 0)), INDEX(HR!V:V, MATCH(B20, HR!B:B, 0)) * (F20 * 24), 0)))</f>
        <v>0</v>
      </c>
      <c r="B20" s="38"/>
      <c r="C20" s="50"/>
      <c r="D20" s="50"/>
      <c r="E20" s="46"/>
      <c r="F20" s="41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3"/>
      <c r="H20" s="33"/>
      <c r="I20" s="33"/>
      <c r="J20" s="49"/>
      <c r="K20" s="49"/>
      <c r="L20" s="49"/>
      <c r="M20" s="49"/>
    </row>
    <row r="21" customFormat="false" ht="23.25" hidden="false" customHeight="true" outlineLevel="0" collapsed="false">
      <c r="A21" s="37" t="n">
        <f aca="false" t="array" ref="A21:A21">IF(ISBLANK(B21), 0, IF(ISNUMBER(MATCH(B21, HR!A:A, 0)), 0, IF(ISNUMBER(MATCH(B21, HR!B:B, 0)), INDEX(HR!V:V, MATCH(B21, HR!B:B, 0)) * (F21 * 24), 0)))</f>
        <v>0</v>
      </c>
      <c r="B21" s="51"/>
      <c r="C21" s="52"/>
      <c r="D21" s="52"/>
      <c r="E21" s="53"/>
      <c r="F21" s="54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3"/>
      <c r="H21" s="33"/>
      <c r="I21" s="33"/>
      <c r="J21" s="49"/>
      <c r="K21" s="49"/>
      <c r="L21" s="49"/>
      <c r="M21" s="49"/>
    </row>
    <row r="22" customFormat="false" ht="52.2" hidden="false" customHeight="false" outlineLevel="0" collapsed="false">
      <c r="A22" s="55"/>
      <c r="B22" s="56"/>
      <c r="C22" s="56"/>
      <c r="D22" s="56"/>
      <c r="E22" s="56"/>
      <c r="F22" s="56"/>
      <c r="G22" s="56"/>
      <c r="H22" s="56"/>
      <c r="I22" s="56"/>
      <c r="J22" s="57" t="s">
        <v>34</v>
      </c>
      <c r="K22" s="57" t="s">
        <v>35</v>
      </c>
      <c r="L22" s="58" t="s">
        <v>2573</v>
      </c>
      <c r="M22" s="58" t="s">
        <v>37</v>
      </c>
    </row>
    <row r="23" customFormat="false" ht="18.55" hidden="false" customHeight="false" outlineLevel="0" collapsed="false">
      <c r="A23" s="55"/>
      <c r="B23" s="59" t="s">
        <v>78</v>
      </c>
      <c r="C23" s="59"/>
      <c r="D23" s="59"/>
      <c r="E23" s="59"/>
      <c r="F23" s="59"/>
      <c r="G23" s="59"/>
      <c r="H23" s="59"/>
      <c r="I23" s="59"/>
      <c r="J23" s="60" t="n">
        <f aca="false">COUNTIF(RestiaCSV!B:B, "canceled")</f>
        <v>0</v>
      </c>
      <c r="K23" s="61" t="n">
        <f aca="false">SUMIF(RestiaCSV!B:B, "canceled", RestiaCSV!C:C)</f>
        <v>0</v>
      </c>
      <c r="L23" s="62" t="n">
        <f aca="false">COUNTIFS(RestiaCSV!L:L, "&gt;5", RestiaCSV!F:F, "delivery")</f>
        <v>0</v>
      </c>
      <c r="M23" s="60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5"/>
      <c r="B24" s="63" t="s">
        <v>2565</v>
      </c>
      <c r="C24" s="64" t="s">
        <v>2566</v>
      </c>
      <c r="D24" s="64" t="s">
        <v>2567</v>
      </c>
      <c r="E24" s="64" t="s">
        <v>2568</v>
      </c>
      <c r="F24" s="65" t="s">
        <v>2569</v>
      </c>
      <c r="G24" s="65" t="s">
        <v>2574</v>
      </c>
      <c r="H24" s="65" t="s">
        <v>2575</v>
      </c>
      <c r="I24" s="66" t="s">
        <v>13</v>
      </c>
      <c r="J24" s="58" t="s">
        <v>2576</v>
      </c>
      <c r="K24" s="57" t="s">
        <v>2498</v>
      </c>
      <c r="L24" s="58" t="s">
        <v>2499</v>
      </c>
      <c r="M24" s="57" t="s">
        <v>2500</v>
      </c>
    </row>
    <row r="25" customFormat="false" ht="15.75" hidden="false" customHeight="false" outlineLevel="0" collapsed="false">
      <c r="A25" s="37" t="n">
        <f aca="false" t="array" ref="A25:A25">IF(ISBLANK(B25), 0, IF(ISNUMBER(MATCH(B25, HR!A:A, 0)), 0, IF(ISNUMBER(MATCH(B25, HR!B:B, 0)), INDEX(HR!V:V, MATCH(B25, HR!B:B, 0)) * (F25 * 24), 0)))</f>
        <v>420</v>
      </c>
      <c r="B25" s="38" t="s">
        <v>2577</v>
      </c>
      <c r="C25" s="67" t="s">
        <v>43</v>
      </c>
      <c r="D25" s="67" t="s">
        <v>2510</v>
      </c>
      <c r="E25" s="67"/>
      <c r="F25" s="41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03:00</v>
      </c>
      <c r="G25" s="68" t="n">
        <f aca="false">COUNTIF(RestiaCSV!E:E, B25)</f>
        <v>0</v>
      </c>
      <c r="H25" s="69" t="b">
        <f aca="false">TRUE()</f>
        <v>1</v>
      </c>
      <c r="I25" s="70" t="n">
        <f aca="false">IF(H25,G25*45, 0)</f>
        <v>0</v>
      </c>
      <c r="J25" s="58"/>
      <c r="K25" s="58"/>
      <c r="L25" s="58"/>
      <c r="M25" s="58"/>
    </row>
    <row r="26" customFormat="false" ht="15.75" hidden="false" customHeight="false" outlineLevel="0" collapsed="false">
      <c r="A26" s="37" t="n">
        <f aca="false" t="array" ref="A26:A26">IF(ISBLANK(B26), 0, IF(ISNUMBER(MATCH(B26, HR!A:A, 0)), 0, IF(ISNUMBER(MATCH(B26, HR!B:B, 0)), INDEX(HR!V:V, MATCH(B26, HR!B:B, 0)) * (F26 * 24), 0)))</f>
        <v>0</v>
      </c>
      <c r="B26" s="38" t="s">
        <v>2578</v>
      </c>
      <c r="C26" s="67" t="s">
        <v>2536</v>
      </c>
      <c r="D26" s="67"/>
      <c r="E26" s="67"/>
      <c r="F26" s="41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0:00</v>
      </c>
      <c r="G26" s="68" t="n">
        <f aca="false">COUNTIF(RestiaCSV!E:E, B26)</f>
        <v>0</v>
      </c>
      <c r="H26" s="69" t="b">
        <f aca="false">TRUE()</f>
        <v>1</v>
      </c>
      <c r="I26" s="70" t="n">
        <f aca="false">IF(H26,G26*45, 0)</f>
        <v>0</v>
      </c>
      <c r="J26" s="71" t="n">
        <f aca="false">COUNTIF(I25:I31, "&gt;0")</f>
        <v>0</v>
      </c>
      <c r="K26" s="62" t="n">
        <f aca="false">IFERROR(__xludf.dummyfunction("COUNTA(FILTER(RestiaCSV!B2:B32, RestiaCSV!B2:B32 &lt;&gt; ""canceled""))"),0)</f>
        <v>0</v>
      </c>
      <c r="L26" s="62" t="n">
        <f aca="false">COUNTIF(RestiaCSV!F1:F32, "delivery")</f>
        <v>0</v>
      </c>
      <c r="M26" s="72" t="n">
        <f aca="false">COUNTIFS(RestiaCSV!M:M, "&gt;5",RestiaCSV!A:A, "&lt;&gt;wolt")</f>
        <v>0</v>
      </c>
    </row>
    <row r="27" customFormat="false" ht="15.75" hidden="false" customHeight="true" outlineLevel="0" collapsed="false">
      <c r="A27" s="37" t="n">
        <f aca="false" t="array" ref="A27:A27">IF(ISBLANK(B27), 0, IF(ISNUMBER(MATCH(B27, HR!A:A, 0)), 0, IF(ISNUMBER(MATCH(B27, HR!B:B, 0)), INDEX(HR!V:V, MATCH(B27, HR!B:B, 0)) * (F27 * 24), 0)))</f>
        <v>0</v>
      </c>
      <c r="B27" s="38"/>
      <c r="C27" s="67"/>
      <c r="D27" s="67"/>
      <c r="E27" s="73"/>
      <c r="F27" s="41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8" t="n">
        <f aca="false">COUNTIF(RestiaCSV!E:E, B27)</f>
        <v>0</v>
      </c>
      <c r="H27" s="69" t="b">
        <f aca="false">TRUE()</f>
        <v>1</v>
      </c>
      <c r="I27" s="70" t="n">
        <f aca="false">IF(H27,G27*45, 0)</f>
        <v>0</v>
      </c>
      <c r="J27" s="58" t="s">
        <v>2579</v>
      </c>
      <c r="K27" s="58"/>
      <c r="L27" s="58" t="s">
        <v>2502</v>
      </c>
      <c r="M27" s="57" t="s">
        <v>2503</v>
      </c>
    </row>
    <row r="28" customFormat="false" ht="15.75" hidden="false" customHeight="false" outlineLevel="0" collapsed="false">
      <c r="A28" s="37" t="n">
        <f aca="false" t="array" ref="A28:A28">IF(ISBLANK(B28), 0, IF(ISNUMBER(MATCH(B28, HR!A:A, 0)), 0, IF(ISNUMBER(MATCH(B28, HR!B:B, 0)), INDEX(HR!V:V, MATCH(B28, HR!B:B, 0)) * (F28 * 24), 0)))</f>
        <v>0</v>
      </c>
      <c r="B28" s="38"/>
      <c r="C28" s="67"/>
      <c r="D28" s="67"/>
      <c r="E28" s="73"/>
      <c r="F28" s="41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8" t="n">
        <f aca="false">COUNTIF(RestiaCSV!E:E, B28)</f>
        <v>0</v>
      </c>
      <c r="H28" s="69" t="b">
        <f aca="false">FALSE()</f>
        <v>0</v>
      </c>
      <c r="I28" s="70" t="n">
        <f aca="false">IF(H28,G28*45, 0)</f>
        <v>0</v>
      </c>
      <c r="J28" s="58"/>
      <c r="K28" s="58"/>
      <c r="L28" s="58"/>
      <c r="M28" s="58"/>
    </row>
    <row r="29" customFormat="false" ht="15.75" hidden="false" customHeight="false" outlineLevel="0" collapsed="false">
      <c r="A29" s="37" t="n">
        <f aca="false" t="array" ref="A29:A29">IF(ISBLANK(B29), 0, IF(ISNUMBER(MATCH(B29, HR!A:A, 0)), 0, IF(ISNUMBER(MATCH(B29, HR!B:B, 0)), INDEX(HR!V:V, MATCH(B29, HR!B:B, 0)) * (F29 * 24), 0)))</f>
        <v>0</v>
      </c>
      <c r="B29" s="38"/>
      <c r="C29" s="67"/>
      <c r="D29" s="67"/>
      <c r="E29" s="73"/>
      <c r="F29" s="41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8" t="n">
        <f aca="false">COUNTIF(RestiaCSV!E:E, B29)</f>
        <v>0</v>
      </c>
      <c r="H29" s="69" t="b">
        <f aca="false">FALSE()</f>
        <v>0</v>
      </c>
      <c r="I29" s="70" t="n">
        <f aca="false">IF(H29,G29*45, 0)</f>
        <v>0</v>
      </c>
      <c r="J29" s="74" t="n">
        <f aca="false">COUNTIFS(RestiaCSV!M:M, "&gt;5", RestiaCSV!L:L, "&gt;5")</f>
        <v>0</v>
      </c>
      <c r="K29" s="74"/>
      <c r="L29" s="75" t="e">
        <f aca="false">L23/L26</f>
        <v>#DIV/0!</v>
      </c>
      <c r="M29" s="62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7" t="n">
        <f aca="false" t="array" ref="A30:A30">IF(ISBLANK(B30), 0, IF(ISNUMBER(MATCH(B30, HR!A:A, 0)), 0, IF(ISNUMBER(MATCH(B30, HR!B:B, 0)), INDEX(HR!V:V, MATCH(B30, HR!B:B, 0)) * (F30 * 24), 0)))</f>
        <v>0</v>
      </c>
      <c r="B30" s="38"/>
      <c r="C30" s="73"/>
      <c r="D30" s="67"/>
      <c r="E30" s="73"/>
      <c r="F30" s="41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8" t="n">
        <f aca="false">COUNTIF(RestiaCSV!E:E, B30)</f>
        <v>0</v>
      </c>
      <c r="H30" s="69" t="b">
        <f aca="false">FALSE()</f>
        <v>0</v>
      </c>
      <c r="I30" s="70" t="n">
        <f aca="false">IF(H30,G30*45, 0)</f>
        <v>0</v>
      </c>
      <c r="J30" s="76"/>
      <c r="K30" s="76"/>
      <c r="L30" s="57" t="s">
        <v>2504</v>
      </c>
      <c r="M30" s="57" t="s">
        <v>2505</v>
      </c>
    </row>
    <row r="31" customFormat="false" ht="15.75" hidden="false" customHeight="false" outlineLevel="0" collapsed="false">
      <c r="A31" s="37" t="n">
        <f aca="false" t="array" ref="A31:A31">IF(ISBLANK(B31), 0, IF(ISNUMBER(MATCH(B31, HR!A:A, 0)), 0, IF(ISNUMBER(MATCH(B31, HR!B:B, 0)), INDEX(HR!V:V, MATCH(B31, HR!B:B, 0)) * (F31 * 24), 0)))</f>
        <v>0</v>
      </c>
      <c r="B31" s="38"/>
      <c r="C31" s="73"/>
      <c r="D31" s="73"/>
      <c r="E31" s="73"/>
      <c r="F31" s="41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8" t="n">
        <f aca="false">COUNTIF(RestiaCSV!E:E, B31)</f>
        <v>0</v>
      </c>
      <c r="H31" s="69" t="b">
        <f aca="false">FALSE()</f>
        <v>0</v>
      </c>
      <c r="I31" s="70" t="n">
        <f aca="false">IF(H31,G31*45, 0)</f>
        <v>0</v>
      </c>
      <c r="J31" s="76"/>
      <c r="K31" s="76"/>
      <c r="L31" s="57"/>
      <c r="M31" s="57"/>
    </row>
    <row r="32" customFormat="false" ht="15.75" hidden="false" customHeight="false" outlineLevel="0" collapsed="false">
      <c r="A32" s="77"/>
      <c r="B32" s="78" t="s">
        <v>90</v>
      </c>
      <c r="C32" s="78" t="s">
        <v>14</v>
      </c>
      <c r="D32" s="78"/>
      <c r="E32" s="78"/>
      <c r="F32" s="78"/>
      <c r="G32" s="79" t="n">
        <f aca="false">COUNTIFS(RestiaCSV!E:E, "wolt kurýr", RestiaCSV!A:A, "&lt;&gt;wolt")</f>
        <v>0</v>
      </c>
      <c r="H32" s="80" t="b">
        <f aca="false">TRUE()</f>
        <v>1</v>
      </c>
      <c r="I32" s="81" t="n">
        <f aca="false">G32*127</f>
        <v>0</v>
      </c>
      <c r="J32" s="82"/>
      <c r="K32" s="82"/>
      <c r="L32" s="75" t="e">
        <f aca="false">100%-L29</f>
        <v>#DIV/0!</v>
      </c>
      <c r="M32" s="75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2">
      <formula>"30%"</formula>
    </cfRule>
  </conditionalFormatting>
  <conditionalFormatting sqref="F2:H4">
    <cfRule type="containsText" priority="3" operator="containsText" aboveAverage="0" equalAverage="0" bottom="0" percent="0" rank="0" text="Zadej" dxfId="3">
      <formula>NOT(ISERROR(SEARCH("Zadej",F2)))</formula>
    </cfRule>
  </conditionalFormatting>
  <conditionalFormatting sqref="J11:K17">
    <cfRule type="cellIs" priority="4" operator="lessThan" aboveAverage="0" equalAverage="0" bottom="0" percent="0" rank="0" text="" dxfId="2">
      <formula>0</formula>
    </cfRule>
  </conditionalFormatting>
  <dataValidations count="3">
    <dataValidation allowBlank="true" errorStyle="stop" operator="between" showDropDown="false" showErrorMessage="false" showInputMessage="false" sqref="B25:B31" type="list">
      <formula1>"Mikešová Adéla,Kaločai Rudolf,Vopatová Anna,Vopatová Šárka,Světlík František,Ženíšek Lukáš,Roth Stanislav st.,Irena Kovacsova"</formula1>
      <formula2>0</formula2>
    </dataValidation>
    <dataValidation allowBlank="true" errorStyle="stop" operator="between" showDropDown="false" showErrorMessage="false" showInputMessage="false" sqref="B12:B21" type="list">
      <formula1>"Rothová Anastasia,Roth Stanislav ml.,Raboch Tomáš,Kratochvíl Kryštof,Tůma Vladimír"</formula1>
      <formula2>0</formula2>
    </dataValidation>
    <dataValidation allowBlank="true" errorStyle="stop" operator="between" showDropDown="false" showErrorMessage="false" showInputMessage="false" sqref="G11 G19" type="list">
      <formula1>"Rothová Anastasia,Tůma Vladimír"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</cols>
  <sheetData>
    <row r="1" customFormat="false" ht="31.5" hidden="false" customHeight="true" outlineLevel="0" collapsed="false">
      <c r="A1" s="83"/>
      <c r="B1" s="6" t="str">
        <f aca="false">Report!B1</f>
        <v>Bolevec</v>
      </c>
      <c r="C1" s="84" t="n">
        <v>46113</v>
      </c>
      <c r="D1" s="85" t="s">
        <v>2580</v>
      </c>
      <c r="E1" s="86" t="n">
        <v>46142</v>
      </c>
      <c r="F1" s="87" t="s">
        <v>28</v>
      </c>
      <c r="G1" s="87"/>
      <c r="H1" s="87"/>
      <c r="I1" s="87" t="s">
        <v>26</v>
      </c>
      <c r="J1" s="87"/>
      <c r="K1" s="87"/>
      <c r="L1" s="88" t="s">
        <v>2555</v>
      </c>
      <c r="M1" s="88"/>
      <c r="N1" s="89"/>
    </row>
    <row r="2" customFormat="false" ht="19.5" hidden="false" customHeight="true" outlineLevel="0" collapsed="false">
      <c r="A2" s="83"/>
      <c r="B2" s="6"/>
      <c r="C2" s="84"/>
      <c r="D2" s="85"/>
      <c r="E2" s="86"/>
      <c r="F2" s="90" t="n">
        <v>0.907721220162396</v>
      </c>
      <c r="G2" s="90"/>
      <c r="H2" s="90"/>
      <c r="I2" s="91" t="n">
        <v>330254.17</v>
      </c>
      <c r="J2" s="91"/>
      <c r="K2" s="91"/>
      <c r="L2" s="92" t="s">
        <v>2556</v>
      </c>
      <c r="M2" s="93" t="n">
        <v>16152.95</v>
      </c>
      <c r="N2" s="94"/>
    </row>
    <row r="3" customFormat="false" ht="25.6" hidden="false" customHeight="false" outlineLevel="0" collapsed="false">
      <c r="A3" s="95"/>
      <c r="B3" s="96" t="str">
        <f aca="false">CHOOSE(WEEKDAY(C1), "Neděle", "Pondělí", "Úterý", "Středa", "Čtvrtek", "Pátek", "Sobota")</f>
        <v>Středa</v>
      </c>
      <c r="C3" s="96"/>
      <c r="D3" s="96" t="str">
        <f aca="false">CHOOSE(WEEKDAY(E1), "Neděle", "Pondělí", "Úterý", "Středa", "Čtvrtek", "Pátek", "Sobota")</f>
        <v>Čtvrtek</v>
      </c>
      <c r="E3" s="96"/>
      <c r="F3" s="90"/>
      <c r="G3" s="90"/>
      <c r="H3" s="90"/>
      <c r="I3" s="91"/>
      <c r="J3" s="91"/>
      <c r="K3" s="91"/>
      <c r="L3" s="97" t="s">
        <v>2557</v>
      </c>
      <c r="M3" s="98" t="n">
        <v>23801</v>
      </c>
      <c r="N3" s="94"/>
    </row>
    <row r="4" customFormat="false" ht="25.6" hidden="false" customHeight="false" outlineLevel="0" collapsed="false">
      <c r="A4" s="95"/>
      <c r="B4" s="96"/>
      <c r="C4" s="96"/>
      <c r="D4" s="96"/>
      <c r="E4" s="96"/>
      <c r="F4" s="90"/>
      <c r="G4" s="90"/>
      <c r="H4" s="90"/>
      <c r="I4" s="91"/>
      <c r="J4" s="91"/>
      <c r="K4" s="91"/>
      <c r="L4" s="97" t="s">
        <v>2558</v>
      </c>
      <c r="M4" s="98" t="n">
        <v>104292.22</v>
      </c>
      <c r="N4" s="94"/>
    </row>
    <row r="5" customFormat="false" ht="31.5" hidden="false" customHeight="false" outlineLevel="0" collapsed="false">
      <c r="A5" s="99"/>
      <c r="B5" s="100" t="s">
        <v>2581</v>
      </c>
      <c r="C5" s="100"/>
      <c r="D5" s="100"/>
      <c r="E5" s="100"/>
      <c r="F5" s="101" t="s">
        <v>2582</v>
      </c>
      <c r="G5" s="101"/>
      <c r="H5" s="101"/>
      <c r="I5" s="101"/>
      <c r="J5" s="101"/>
      <c r="K5" s="101"/>
      <c r="L5" s="97" t="s">
        <v>2560</v>
      </c>
      <c r="M5" s="98" t="n">
        <v>34483</v>
      </c>
      <c r="N5" s="94"/>
    </row>
    <row r="6" customFormat="false" ht="31.5" hidden="false" customHeight="false" outlineLevel="0" collapsed="false">
      <c r="A6" s="99"/>
      <c r="B6" s="100"/>
      <c r="C6" s="100"/>
      <c r="D6" s="100"/>
      <c r="E6" s="100"/>
      <c r="F6" s="101"/>
      <c r="G6" s="101"/>
      <c r="H6" s="101"/>
      <c r="I6" s="101"/>
      <c r="J6" s="101"/>
      <c r="K6" s="101"/>
      <c r="L6" s="97" t="s">
        <v>2561</v>
      </c>
      <c r="M6" s="98" t="n">
        <v>0</v>
      </c>
      <c r="N6" s="94"/>
    </row>
    <row r="7" customFormat="false" ht="17.35" hidden="false" customHeight="false" outlineLevel="0" collapsed="false">
      <c r="A7" s="89"/>
      <c r="B7" s="102" t="n">
        <f aca="false">TEXT(SUMPRODUCT((IFERROR(LEFT(D10:D30, FIND(":", D10:D30) - 1) * 60, 0) + IFERROR(MID(D10:D30, FIND(":", D10:D30) + 1, LEN(D10:D30) - FIND(":", D10:D30)), 0))), "[h]:mm")/60</f>
        <v>508</v>
      </c>
      <c r="C7" s="102"/>
      <c r="D7" s="102"/>
      <c r="E7" s="102"/>
      <c r="F7" s="103" t="n">
        <f aca="false">TEXT(SUMPRODUCT((IFERROR(LEFT(H10:H30, FIND(":", H10:H30) - 1) * 60, 0) + IFERROR(MID(H10:H30, FIND(":", H10:H30) + 1, LEN(H10:H30) - FIND(":", H10:H30)), 0))), "[h]:mm")/60</f>
        <v>333</v>
      </c>
      <c r="G7" s="103"/>
      <c r="H7" s="103"/>
      <c r="I7" s="103"/>
      <c r="J7" s="104"/>
      <c r="K7" s="104"/>
      <c r="L7" s="105" t="s">
        <v>2562</v>
      </c>
      <c r="M7" s="106" t="n">
        <v>13009.2</v>
      </c>
      <c r="N7" s="94"/>
    </row>
    <row r="8" customFormat="false" ht="18.55" hidden="false" customHeight="false" outlineLevel="0" collapsed="false">
      <c r="A8" s="107"/>
      <c r="B8" s="108" t="s">
        <v>2563</v>
      </c>
      <c r="C8" s="108"/>
      <c r="D8" s="108"/>
      <c r="E8" s="108"/>
      <c r="F8" s="109" t="s">
        <v>78</v>
      </c>
      <c r="G8" s="109"/>
      <c r="H8" s="109"/>
      <c r="I8" s="109"/>
      <c r="J8" s="110" t="s">
        <v>2564</v>
      </c>
      <c r="K8" s="110"/>
      <c r="L8" s="111" t="s">
        <v>25</v>
      </c>
      <c r="M8" s="111"/>
      <c r="N8" s="89"/>
    </row>
    <row r="9" customFormat="false" ht="15.75" hidden="false" customHeight="false" outlineLevel="0" collapsed="false">
      <c r="A9" s="112"/>
      <c r="B9" s="113" t="s">
        <v>2565</v>
      </c>
      <c r="C9" s="114" t="s">
        <v>2583</v>
      </c>
      <c r="D9" s="114" t="s">
        <v>2569</v>
      </c>
      <c r="E9" s="115"/>
      <c r="F9" s="113" t="s">
        <v>2565</v>
      </c>
      <c r="G9" s="114" t="s">
        <v>2583</v>
      </c>
      <c r="H9" s="114" t="s">
        <v>2569</v>
      </c>
      <c r="I9" s="116" t="s">
        <v>2574</v>
      </c>
      <c r="J9" s="117" t="n">
        <v>1</v>
      </c>
      <c r="K9" s="117"/>
      <c r="L9" s="118" t="s">
        <v>23</v>
      </c>
      <c r="M9" s="98" t="n">
        <v>86867</v>
      </c>
      <c r="N9" s="94"/>
    </row>
    <row r="10" customFormat="false" ht="18.75" hidden="false" customHeight="true" outlineLevel="0" collapsed="false">
      <c r="A10" s="119"/>
      <c r="B10" s="120" t="s">
        <v>2584</v>
      </c>
      <c r="C10" s="121" t="n">
        <v>19</v>
      </c>
      <c r="D10" s="121" t="s">
        <v>2585</v>
      </c>
      <c r="E10" s="122" t="s">
        <v>2586</v>
      </c>
      <c r="F10" s="120" t="s">
        <v>2587</v>
      </c>
      <c r="G10" s="121" t="n">
        <v>4</v>
      </c>
      <c r="H10" s="121" t="s">
        <v>2588</v>
      </c>
      <c r="I10" s="123" t="n">
        <v>9</v>
      </c>
      <c r="J10" s="117"/>
      <c r="K10" s="117"/>
      <c r="L10" s="118" t="s">
        <v>24</v>
      </c>
      <c r="M10" s="98" t="n">
        <v>300</v>
      </c>
      <c r="N10" s="94"/>
    </row>
    <row r="11" customFormat="false" ht="18.75" hidden="false" customHeight="true" outlineLevel="0" collapsed="false">
      <c r="A11" s="119"/>
      <c r="B11" s="120" t="s">
        <v>2572</v>
      </c>
      <c r="C11" s="121" t="n">
        <v>18</v>
      </c>
      <c r="D11" s="121" t="s">
        <v>2589</v>
      </c>
      <c r="E11" s="122" t="s">
        <v>49</v>
      </c>
      <c r="F11" s="120" t="s">
        <v>2578</v>
      </c>
      <c r="G11" s="121" t="n">
        <v>11</v>
      </c>
      <c r="H11" s="121" t="s">
        <v>2590</v>
      </c>
      <c r="I11" s="123" t="n">
        <v>32</v>
      </c>
      <c r="J11" s="117"/>
      <c r="K11" s="117"/>
      <c r="L11" s="124" t="s">
        <v>25</v>
      </c>
      <c r="M11" s="125" t="n">
        <v>57370</v>
      </c>
      <c r="N11" s="94"/>
    </row>
    <row r="12" customFormat="false" ht="18.75" hidden="false" customHeight="true" outlineLevel="0" collapsed="false">
      <c r="A12" s="119"/>
      <c r="B12" s="120" t="s">
        <v>2591</v>
      </c>
      <c r="C12" s="121" t="n">
        <v>10</v>
      </c>
      <c r="D12" s="121" t="s">
        <v>2592</v>
      </c>
      <c r="E12" s="122" t="s">
        <v>50</v>
      </c>
      <c r="F12" s="120" t="s">
        <v>2593</v>
      </c>
      <c r="G12" s="121" t="n">
        <v>7</v>
      </c>
      <c r="H12" s="121" t="s">
        <v>2594</v>
      </c>
      <c r="I12" s="123" t="n">
        <v>29</v>
      </c>
      <c r="J12" s="117"/>
      <c r="K12" s="117"/>
      <c r="L12" s="126" t="s">
        <v>2571</v>
      </c>
      <c r="M12" s="126"/>
      <c r="N12" s="89"/>
    </row>
    <row r="13" customFormat="false" ht="18.75" hidden="false" customHeight="true" outlineLevel="0" collapsed="false">
      <c r="A13" s="119"/>
      <c r="B13" s="120" t="s">
        <v>2595</v>
      </c>
      <c r="C13" s="121" t="n">
        <v>2</v>
      </c>
      <c r="D13" s="121" t="s">
        <v>2596</v>
      </c>
      <c r="E13" s="122" t="s">
        <v>50</v>
      </c>
      <c r="F13" s="120" t="s">
        <v>2597</v>
      </c>
      <c r="G13" s="121" t="n">
        <v>2</v>
      </c>
      <c r="H13" s="121" t="s">
        <v>2598</v>
      </c>
      <c r="I13" s="123" t="n">
        <v>5</v>
      </c>
      <c r="J13" s="117"/>
      <c r="K13" s="117"/>
      <c r="L13" s="118" t="s">
        <v>29</v>
      </c>
      <c r="M13" s="98" t="n">
        <v>1000</v>
      </c>
      <c r="N13" s="94"/>
    </row>
    <row r="14" customFormat="false" ht="18.75" hidden="false" customHeight="true" outlineLevel="0" collapsed="false">
      <c r="A14" s="119"/>
      <c r="B14" s="120" t="s">
        <v>2570</v>
      </c>
      <c r="C14" s="121" t="n">
        <v>15</v>
      </c>
      <c r="D14" s="121" t="s">
        <v>2599</v>
      </c>
      <c r="E14" s="122" t="s">
        <v>2600</v>
      </c>
      <c r="F14" s="120" t="s">
        <v>2601</v>
      </c>
      <c r="G14" s="121" t="n">
        <v>3</v>
      </c>
      <c r="H14" s="121" t="s">
        <v>41</v>
      </c>
      <c r="I14" s="123" t="n">
        <v>3</v>
      </c>
      <c r="J14" s="117"/>
      <c r="K14" s="117"/>
      <c r="L14" s="114" t="s">
        <v>30</v>
      </c>
      <c r="M14" s="98" t="n">
        <v>0</v>
      </c>
      <c r="N14" s="94"/>
    </row>
    <row r="15" customFormat="false" ht="18.75" hidden="false" customHeight="true" outlineLevel="0" collapsed="false">
      <c r="A15" s="119"/>
      <c r="B15" s="120"/>
      <c r="C15" s="121"/>
      <c r="D15" s="121"/>
      <c r="E15" s="122" t="s">
        <v>2600</v>
      </c>
      <c r="F15" s="120" t="s">
        <v>2577</v>
      </c>
      <c r="G15" s="121" t="n">
        <v>15</v>
      </c>
      <c r="H15" s="121" t="s">
        <v>2602</v>
      </c>
      <c r="I15" s="123" t="n">
        <v>39</v>
      </c>
      <c r="J15" s="117"/>
      <c r="K15" s="117"/>
      <c r="L15" s="114" t="s">
        <v>31</v>
      </c>
      <c r="M15" s="98" t="n">
        <v>0</v>
      </c>
      <c r="N15" s="94"/>
    </row>
    <row r="16" customFormat="false" ht="18.75" hidden="false" customHeight="true" outlineLevel="0" collapsed="false">
      <c r="A16" s="119"/>
      <c r="B16" s="120"/>
      <c r="C16" s="121"/>
      <c r="D16" s="121"/>
      <c r="E16" s="122"/>
      <c r="F16" s="120"/>
      <c r="G16" s="121"/>
      <c r="H16" s="121"/>
      <c r="I16" s="123"/>
      <c r="J16" s="117"/>
      <c r="K16" s="117"/>
      <c r="L16" s="114" t="s">
        <v>32</v>
      </c>
      <c r="M16" s="98" t="n">
        <v>724</v>
      </c>
      <c r="N16" s="94"/>
    </row>
    <row r="17" customFormat="false" ht="18.75" hidden="false" customHeight="true" outlineLevel="0" collapsed="false">
      <c r="A17" s="119"/>
      <c r="B17" s="120"/>
      <c r="C17" s="121"/>
      <c r="D17" s="121"/>
      <c r="E17" s="122"/>
      <c r="F17" s="120"/>
      <c r="G17" s="121"/>
      <c r="H17" s="121"/>
      <c r="I17" s="123"/>
      <c r="J17" s="117"/>
      <c r="K17" s="117"/>
      <c r="L17" s="127" t="s">
        <v>33</v>
      </c>
      <c r="M17" s="128" t="n">
        <v>5265</v>
      </c>
      <c r="N17" s="94"/>
    </row>
    <row r="18" customFormat="false" ht="18.75" hidden="false" customHeight="true" outlineLevel="0" collapsed="false">
      <c r="A18" s="119"/>
      <c r="B18" s="120"/>
      <c r="C18" s="121"/>
      <c r="D18" s="121"/>
      <c r="E18" s="122"/>
      <c r="F18" s="120"/>
      <c r="G18" s="121"/>
      <c r="H18" s="121"/>
      <c r="I18" s="123"/>
      <c r="J18" s="129"/>
      <c r="K18" s="129"/>
      <c r="L18" s="129"/>
      <c r="M18" s="129"/>
      <c r="N18" s="130"/>
    </row>
    <row r="19" customFormat="false" ht="18.75" hidden="false" customHeight="true" outlineLevel="0" collapsed="false">
      <c r="A19" s="119"/>
      <c r="B19" s="120"/>
      <c r="C19" s="121"/>
      <c r="D19" s="121"/>
      <c r="E19" s="122"/>
      <c r="F19" s="120"/>
      <c r="G19" s="121"/>
      <c r="H19" s="121"/>
      <c r="I19" s="123"/>
      <c r="J19" s="131" t="s">
        <v>34</v>
      </c>
      <c r="K19" s="132" t="s">
        <v>35</v>
      </c>
      <c r="L19" s="133" t="s">
        <v>2573</v>
      </c>
      <c r="M19" s="134" t="s">
        <v>37</v>
      </c>
    </row>
    <row r="20" customFormat="false" ht="18.75" hidden="false" customHeight="true" outlineLevel="0" collapsed="false">
      <c r="A20" s="119"/>
      <c r="B20" s="120"/>
      <c r="C20" s="121"/>
      <c r="D20" s="121"/>
      <c r="E20" s="122"/>
      <c r="F20" s="120"/>
      <c r="G20" s="121"/>
      <c r="H20" s="121"/>
      <c r="I20" s="123"/>
      <c r="J20" s="131"/>
      <c r="K20" s="132"/>
      <c r="L20" s="132"/>
      <c r="M20" s="134"/>
    </row>
    <row r="21" customFormat="false" ht="18.75" hidden="false" customHeight="true" outlineLevel="0" collapsed="false">
      <c r="A21" s="119"/>
      <c r="B21" s="120"/>
      <c r="C21" s="121"/>
      <c r="D21" s="121"/>
      <c r="E21" s="122"/>
      <c r="F21" s="120"/>
      <c r="G21" s="121"/>
      <c r="H21" s="121"/>
      <c r="I21" s="135"/>
      <c r="J21" s="136" t="n">
        <v>25</v>
      </c>
      <c r="K21" s="61" t="n">
        <v>7440.6</v>
      </c>
      <c r="L21" s="62" t="n">
        <v>14</v>
      </c>
      <c r="M21" s="137" t="s">
        <v>2603</v>
      </c>
      <c r="N21" s="130"/>
    </row>
    <row r="22" customFormat="false" ht="18.75" hidden="false" customHeight="true" outlineLevel="0" collapsed="false">
      <c r="A22" s="119"/>
      <c r="B22" s="120"/>
      <c r="C22" s="121"/>
      <c r="D22" s="121"/>
      <c r="E22" s="122"/>
      <c r="F22" s="120"/>
      <c r="G22" s="121"/>
      <c r="H22" s="121"/>
      <c r="I22" s="123"/>
      <c r="J22" s="138" t="s">
        <v>2576</v>
      </c>
      <c r="K22" s="57" t="s">
        <v>2498</v>
      </c>
      <c r="L22" s="58" t="s">
        <v>2499</v>
      </c>
      <c r="M22" s="139" t="s">
        <v>2500</v>
      </c>
      <c r="N22" s="130"/>
    </row>
    <row r="23" customFormat="false" ht="18.75" hidden="false" customHeight="true" outlineLevel="0" collapsed="false">
      <c r="A23" s="119"/>
      <c r="B23" s="120"/>
      <c r="C23" s="121"/>
      <c r="D23" s="121"/>
      <c r="E23" s="122"/>
      <c r="F23" s="120"/>
      <c r="G23" s="121"/>
      <c r="H23" s="121"/>
      <c r="I23" s="123"/>
      <c r="J23" s="138"/>
      <c r="K23" s="57"/>
      <c r="L23" s="57"/>
      <c r="M23" s="139"/>
      <c r="N23" s="130"/>
    </row>
    <row r="24" customFormat="false" ht="18.75" hidden="false" customHeight="true" outlineLevel="0" collapsed="false">
      <c r="A24" s="119"/>
      <c r="B24" s="120"/>
      <c r="C24" s="121"/>
      <c r="D24" s="121"/>
      <c r="E24" s="122"/>
      <c r="F24" s="120"/>
      <c r="G24" s="121"/>
      <c r="H24" s="121"/>
      <c r="I24" s="123"/>
      <c r="J24" s="140" t="n">
        <v>37</v>
      </c>
      <c r="K24" s="62" t="n">
        <v>989</v>
      </c>
      <c r="L24" s="62" t="n">
        <v>131</v>
      </c>
      <c r="M24" s="141" t="n">
        <v>47</v>
      </c>
      <c r="N24" s="130"/>
    </row>
    <row r="25" customFormat="false" ht="18.75" hidden="false" customHeight="true" outlineLevel="0" collapsed="false">
      <c r="A25" s="119"/>
      <c r="B25" s="120"/>
      <c r="C25" s="121"/>
      <c r="D25" s="121"/>
      <c r="E25" s="122"/>
      <c r="F25" s="120"/>
      <c r="G25" s="121"/>
      <c r="H25" s="121"/>
      <c r="I25" s="123"/>
      <c r="J25" s="138" t="s">
        <v>2579</v>
      </c>
      <c r="K25" s="138"/>
      <c r="L25" s="142" t="s">
        <v>2502</v>
      </c>
      <c r="M25" s="143" t="s">
        <v>2503</v>
      </c>
      <c r="N25" s="130"/>
    </row>
    <row r="26" customFormat="false" ht="18.75" hidden="false" customHeight="true" outlineLevel="0" collapsed="false">
      <c r="A26" s="119"/>
      <c r="B26" s="120"/>
      <c r="C26" s="121"/>
      <c r="D26" s="121"/>
      <c r="E26" s="122"/>
      <c r="F26" s="120"/>
      <c r="G26" s="121"/>
      <c r="H26" s="121"/>
      <c r="I26" s="123"/>
      <c r="J26" s="138"/>
      <c r="K26" s="138"/>
      <c r="L26" s="142"/>
      <c r="M26" s="143"/>
      <c r="N26" s="130"/>
    </row>
    <row r="27" customFormat="false" ht="18.75" hidden="false" customHeight="true" outlineLevel="0" collapsed="false">
      <c r="A27" s="119"/>
      <c r="B27" s="120"/>
      <c r="C27" s="121"/>
      <c r="D27" s="121"/>
      <c r="E27" s="122"/>
      <c r="F27" s="120"/>
      <c r="G27" s="121"/>
      <c r="H27" s="121"/>
      <c r="I27" s="123"/>
      <c r="J27" s="144" t="n">
        <v>9</v>
      </c>
      <c r="K27" s="144"/>
      <c r="L27" s="75" t="n">
        <v>0.0779541446208113</v>
      </c>
      <c r="M27" s="145" t="n">
        <v>0</v>
      </c>
      <c r="N27" s="130"/>
    </row>
    <row r="28" customFormat="false" ht="18.75" hidden="false" customHeight="true" outlineLevel="0" collapsed="false">
      <c r="A28" s="119"/>
      <c r="B28" s="120"/>
      <c r="C28" s="121"/>
      <c r="D28" s="121"/>
      <c r="E28" s="122"/>
      <c r="F28" s="120"/>
      <c r="G28" s="121"/>
      <c r="H28" s="121"/>
      <c r="I28" s="123"/>
      <c r="J28" s="146"/>
      <c r="K28" s="147" t="s">
        <v>2604</v>
      </c>
      <c r="L28" s="148" t="s">
        <v>2504</v>
      </c>
      <c r="M28" s="143" t="s">
        <v>2505</v>
      </c>
      <c r="N28" s="130"/>
    </row>
    <row r="29" customFormat="false" ht="18.75" hidden="false" customHeight="true" outlineLevel="0" collapsed="false">
      <c r="A29" s="119"/>
      <c r="B29" s="120"/>
      <c r="C29" s="121"/>
      <c r="D29" s="121"/>
      <c r="E29" s="122"/>
      <c r="F29" s="120"/>
      <c r="G29" s="121"/>
      <c r="H29" s="121"/>
      <c r="I29" s="123"/>
      <c r="J29" s="146"/>
      <c r="K29" s="147"/>
      <c r="L29" s="147"/>
      <c r="M29" s="143"/>
      <c r="N29" s="130"/>
    </row>
    <row r="30" customFormat="false" ht="18.75" hidden="false" customHeight="true" outlineLevel="0" collapsed="false">
      <c r="A30" s="119"/>
      <c r="B30" s="120"/>
      <c r="C30" s="121"/>
      <c r="D30" s="121"/>
      <c r="E30" s="122"/>
      <c r="F30" s="120"/>
      <c r="G30" s="121"/>
      <c r="H30" s="121"/>
      <c r="I30" s="123"/>
      <c r="J30" s="146"/>
      <c r="K30" s="149"/>
      <c r="L30" s="150" t="n">
        <v>0.922045855379189</v>
      </c>
      <c r="M30" s="151" t="n">
        <v>0</v>
      </c>
      <c r="N30" s="130"/>
    </row>
  </sheetData>
  <mergeCells count="38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J30"/>
    <mergeCell ref="K28:K29"/>
    <mergeCell ref="L28:L29"/>
    <mergeCell ref="M28:M29"/>
  </mergeCells>
  <conditionalFormatting sqref="F2">
    <cfRule type="cellIs" priority="2" operator="greaterThan" aboveAverage="0" equalAverage="0" bottom="0" percent="0" rank="0" text="" dxfId="2">
      <formula>"30%"</formula>
    </cfRule>
  </conditionalFormatting>
  <conditionalFormatting sqref="F2:H4">
    <cfRule type="containsText" priority="3" operator="containsText" aboveAverage="0" equalAverage="0" bottom="0" percent="0" rank="0" text="Zadej" dxfId="4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false" zeroHeight="false" outlineLevelRow="0" outlineLevelCol="0"/>
  <cols>
    <col collapsed="false" customWidth="true" hidden="false" outlineLevel="0" max="10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customFormat="false" ht="15.75" hidden="false" customHeight="false" outlineLevel="0" collapsed="false">
      <c r="A2" s="1"/>
      <c r="B2" s="1"/>
      <c r="C2" s="153"/>
      <c r="D2" s="1"/>
      <c r="E2" s="1"/>
      <c r="F2" s="1"/>
      <c r="G2" s="1"/>
      <c r="H2" s="1"/>
      <c r="I2" s="1"/>
      <c r="J2" s="152"/>
      <c r="K2" s="1"/>
      <c r="L2" s="1"/>
      <c r="M2" s="1"/>
      <c r="N2" s="1"/>
      <c r="O2" s="1"/>
      <c r="P2" s="1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 customFormat="false" ht="15.75" hidden="false" customHeight="false" outlineLevel="0" collapsed="false">
      <c r="A3" s="1"/>
      <c r="B3" s="153"/>
      <c r="C3" s="1"/>
      <c r="D3" s="1"/>
      <c r="E3" s="1"/>
      <c r="F3" s="1"/>
      <c r="G3" s="1"/>
      <c r="H3" s="1"/>
      <c r="I3" s="1"/>
      <c r="J3" s="1"/>
      <c r="K3" s="152"/>
      <c r="L3" s="1"/>
      <c r="M3" s="1"/>
      <c r="N3" s="1"/>
      <c r="O3" s="1"/>
      <c r="P3" s="1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 customFormat="false" ht="15.75" hidden="false" customHeight="false" outlineLevel="0" collapsed="false">
      <c r="A4" s="1"/>
      <c r="B4" s="1"/>
      <c r="C4" s="153"/>
      <c r="D4" s="1"/>
      <c r="E4" s="1"/>
      <c r="F4" s="1"/>
      <c r="G4" s="1"/>
      <c r="H4" s="1"/>
      <c r="I4" s="1"/>
      <c r="J4" s="1"/>
      <c r="K4" s="152"/>
      <c r="L4" s="1"/>
      <c r="M4" s="1"/>
      <c r="N4" s="1"/>
      <c r="O4" s="1"/>
      <c r="P4" s="1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 customFormat="false" ht="15.75" hidden="false" customHeight="false" outlineLevel="0" collapsed="false">
      <c r="A5" s="1"/>
      <c r="B5" s="1"/>
      <c r="C5" s="153"/>
      <c r="D5" s="1"/>
      <c r="E5" s="1"/>
      <c r="F5" s="1"/>
      <c r="G5" s="1"/>
      <c r="H5" s="1"/>
      <c r="I5" s="1"/>
      <c r="J5" s="1"/>
      <c r="K5" s="152"/>
      <c r="L5" s="1"/>
      <c r="M5" s="1"/>
      <c r="N5" s="1"/>
      <c r="O5" s="1"/>
      <c r="P5" s="1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 customFormat="false" ht="15.75" hidden="false" customHeight="false" outlineLevel="0" collapsed="false">
      <c r="A6" s="1"/>
      <c r="B6" s="1"/>
      <c r="C6" s="153"/>
      <c r="D6" s="1"/>
      <c r="E6" s="1"/>
      <c r="F6" s="1"/>
      <c r="G6" s="1"/>
      <c r="H6" s="1"/>
      <c r="I6" s="1"/>
      <c r="J6" s="1"/>
      <c r="K6" s="152"/>
      <c r="L6" s="1"/>
      <c r="M6" s="1"/>
      <c r="N6" s="1"/>
      <c r="O6" s="1"/>
      <c r="P6" s="1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 customFormat="false" ht="15.75" hidden="false" customHeight="false" outlineLevel="0" collapsed="false">
      <c r="A7" s="1"/>
      <c r="B7" s="1"/>
      <c r="C7" s="153"/>
      <c r="D7" s="1"/>
      <c r="E7" s="152"/>
      <c r="F7" s="1"/>
      <c r="G7" s="1"/>
      <c r="H7" s="1"/>
      <c r="I7" s="1"/>
      <c r="J7" s="1"/>
      <c r="K7" s="152"/>
      <c r="L7" s="1"/>
      <c r="M7" s="1"/>
      <c r="N7" s="1"/>
      <c r="O7" s="1"/>
      <c r="P7" s="1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 customFormat="false" ht="15.75" hidden="false" customHeight="false" outlineLevel="0" collapsed="false">
      <c r="A8" s="1"/>
      <c r="B8" s="1"/>
      <c r="C8" s="153"/>
      <c r="D8" s="1"/>
      <c r="E8" s="152"/>
      <c r="F8" s="1"/>
      <c r="G8" s="1"/>
      <c r="H8" s="1"/>
      <c r="I8" s="1"/>
      <c r="J8" s="1"/>
      <c r="K8" s="152"/>
      <c r="L8" s="1"/>
      <c r="M8" s="1"/>
      <c r="N8" s="1"/>
      <c r="O8" s="1"/>
      <c r="P8" s="1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customFormat="false" ht="15.75" hidden="false" customHeight="false" outlineLevel="0" collapsed="false">
      <c r="A9" s="1"/>
      <c r="B9" s="1"/>
      <c r="C9" s="15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 customFormat="false" ht="15.75" hidden="false" customHeight="false" outlineLevel="0" collapsed="false">
      <c r="A10" s="1"/>
      <c r="B10" s="1"/>
      <c r="C10" s="153"/>
      <c r="D10" s="1"/>
      <c r="E10" s="1"/>
      <c r="F10" s="1"/>
      <c r="G10" s="1"/>
      <c r="H10" s="1"/>
      <c r="I10" s="1"/>
      <c r="J10" s="1"/>
      <c r="K10" s="152"/>
      <c r="L10" s="1"/>
      <c r="M10" s="1"/>
      <c r="N10" s="1"/>
      <c r="O10" s="1"/>
      <c r="P10" s="1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 customFormat="false" ht="15.75" hidden="false" customHeight="false" outlineLevel="0" collapsed="false">
      <c r="A11" s="1"/>
      <c r="B11" s="1"/>
      <c r="C11" s="153"/>
      <c r="D11" s="1"/>
      <c r="E11" s="152"/>
      <c r="F11" s="1"/>
      <c r="G11" s="1"/>
      <c r="H11" s="1"/>
      <c r="I11" s="1"/>
      <c r="J11" s="1"/>
      <c r="K11" s="152"/>
      <c r="L11" s="1"/>
      <c r="M11" s="1"/>
      <c r="N11" s="1"/>
      <c r="O11" s="1"/>
      <c r="P11" s="1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 customFormat="false" ht="15.75" hidden="false" customHeight="false" outlineLevel="0" collapsed="false">
      <c r="A12" s="1"/>
      <c r="B12" s="1"/>
      <c r="C12" s="153"/>
      <c r="D12" s="1"/>
      <c r="E12" s="1"/>
      <c r="F12" s="1"/>
      <c r="G12" s="1"/>
      <c r="H12" s="1"/>
      <c r="I12" s="1"/>
      <c r="J12" s="1"/>
      <c r="K12" s="152"/>
      <c r="L12" s="1"/>
      <c r="M12" s="1"/>
      <c r="N12" s="1"/>
      <c r="O12" s="1"/>
      <c r="P12" s="1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 customFormat="false" ht="15.75" hidden="false" customHeight="false" outlineLevel="0" collapsed="false">
      <c r="A13" s="1"/>
      <c r="B13" s="1"/>
      <c r="C13" s="153"/>
      <c r="D13" s="1"/>
      <c r="E13" s="152"/>
      <c r="F13" s="1"/>
      <c r="G13" s="1"/>
      <c r="H13" s="1"/>
      <c r="I13" s="1"/>
      <c r="J13" s="1"/>
      <c r="K13" s="152"/>
      <c r="L13" s="1"/>
      <c r="M13" s="1"/>
      <c r="N13" s="1"/>
      <c r="O13" s="1"/>
      <c r="P13" s="1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 customFormat="false" ht="15.75" hidden="false" customHeight="false" outlineLevel="0" collapsed="false">
      <c r="A14" s="1"/>
      <c r="B14" s="1"/>
      <c r="C14" s="153"/>
      <c r="D14" s="1"/>
      <c r="E14" s="1"/>
      <c r="F14" s="1"/>
      <c r="G14" s="1"/>
      <c r="H14" s="1"/>
      <c r="I14" s="1"/>
      <c r="J14" s="1"/>
      <c r="K14" s="152"/>
      <c r="L14" s="1"/>
      <c r="M14" s="1"/>
      <c r="N14" s="1"/>
      <c r="O14" s="1"/>
      <c r="P14" s="1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 customFormat="false" ht="15.75" hidden="false" customHeight="false" outlineLevel="0" collapsed="false">
      <c r="A15" s="1"/>
      <c r="B15" s="1"/>
      <c r="C15" s="153"/>
      <c r="D15" s="1"/>
      <c r="E15" s="152"/>
      <c r="F15" s="1"/>
      <c r="G15" s="1"/>
      <c r="H15" s="1"/>
      <c r="I15" s="1"/>
      <c r="J15" s="1"/>
      <c r="K15" s="152"/>
      <c r="L15" s="1"/>
      <c r="M15" s="1"/>
      <c r="N15" s="1"/>
      <c r="O15" s="1"/>
      <c r="P15" s="1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 customFormat="false" ht="15.75" hidden="false" customHeight="false" outlineLevel="0" collapsed="false">
      <c r="A16" s="1"/>
      <c r="B16" s="1"/>
      <c r="C16" s="153"/>
      <c r="D16" s="1"/>
      <c r="E16" s="152"/>
      <c r="F16" s="1"/>
      <c r="G16" s="1"/>
      <c r="H16" s="1"/>
      <c r="I16" s="1"/>
      <c r="J16" s="1"/>
      <c r="K16" s="152"/>
      <c r="L16" s="1"/>
      <c r="M16" s="1"/>
      <c r="N16" s="1"/>
      <c r="O16" s="1"/>
      <c r="P16" s="1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 customFormat="false" ht="15.75" hidden="false" customHeight="false" outlineLevel="0" collapsed="false">
      <c r="A17" s="1"/>
      <c r="B17" s="153"/>
      <c r="C17" s="153"/>
      <c r="D17" s="1"/>
      <c r="E17" s="152"/>
      <c r="F17" s="1"/>
      <c r="G17" s="1"/>
      <c r="H17" s="1"/>
      <c r="I17" s="1"/>
      <c r="J17" s="1"/>
      <c r="K17" s="152"/>
      <c r="L17" s="1"/>
      <c r="M17" s="1"/>
      <c r="N17" s="1"/>
      <c r="O17" s="1"/>
      <c r="P17" s="1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 customFormat="false" ht="15.75" hidden="false" customHeight="false" outlineLevel="0" collapsed="false">
      <c r="A18" s="1"/>
      <c r="B18" s="1"/>
      <c r="C18" s="153"/>
      <c r="D18" s="1"/>
      <c r="E18" s="152"/>
      <c r="F18" s="1"/>
      <c r="G18" s="1"/>
      <c r="H18" s="1"/>
      <c r="I18" s="1"/>
      <c r="J18" s="1"/>
      <c r="K18" s="152"/>
      <c r="L18" s="1"/>
      <c r="M18" s="1"/>
      <c r="N18" s="1"/>
      <c r="O18" s="1"/>
      <c r="P18" s="1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 customFormat="false" ht="15.75" hidden="false" customHeight="false" outlineLevel="0" collapsed="false">
      <c r="A19" s="1"/>
      <c r="B19" s="1"/>
      <c r="C19" s="153"/>
      <c r="D19" s="1"/>
      <c r="E19" s="1"/>
      <c r="F19" s="1"/>
      <c r="G19" s="1"/>
      <c r="H19" s="1"/>
      <c r="I19" s="1"/>
      <c r="J19" s="1"/>
      <c r="K19" s="152"/>
      <c r="L19" s="1"/>
      <c r="M19" s="1"/>
      <c r="N19" s="1"/>
      <c r="O19" s="1"/>
      <c r="P19" s="1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 customFormat="false" ht="15.75" hidden="false" customHeight="false" outlineLevel="0" collapsed="false">
      <c r="A20" s="1"/>
      <c r="B20" s="1"/>
      <c r="C20" s="153"/>
      <c r="D20" s="1"/>
      <c r="E20" s="152"/>
      <c r="F20" s="1"/>
      <c r="G20" s="1"/>
      <c r="H20" s="1"/>
      <c r="I20" s="1"/>
      <c r="J20" s="1"/>
      <c r="K20" s="152"/>
      <c r="L20" s="1"/>
      <c r="M20" s="1"/>
      <c r="N20" s="1"/>
      <c r="O20" s="1"/>
      <c r="P20" s="1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 customFormat="false" ht="15.75" hidden="false" customHeight="false" outlineLevel="0" collapsed="false">
      <c r="A21" s="1"/>
      <c r="B21" s="1"/>
      <c r="C21" s="153"/>
      <c r="D21" s="1"/>
      <c r="E21" s="152"/>
      <c r="F21" s="1"/>
      <c r="G21" s="1"/>
      <c r="H21" s="1"/>
      <c r="I21" s="1"/>
      <c r="J21" s="1"/>
      <c r="K21" s="152"/>
      <c r="L21" s="1"/>
      <c r="M21" s="1"/>
      <c r="N21" s="1"/>
      <c r="O21" s="1"/>
      <c r="P21" s="1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 customFormat="false" ht="15.75" hidden="false" customHeight="false" outlineLevel="0" collapsed="false">
      <c r="A22" s="1"/>
      <c r="B22" s="153"/>
      <c r="C22" s="153"/>
      <c r="D22" s="1"/>
      <c r="E22" s="1"/>
      <c r="F22" s="1"/>
      <c r="G22" s="1"/>
      <c r="H22" s="1"/>
      <c r="I22" s="1"/>
      <c r="J22" s="1"/>
      <c r="K22" s="152"/>
      <c r="L22" s="1"/>
      <c r="M22" s="1"/>
      <c r="N22" s="1"/>
      <c r="O22" s="1"/>
      <c r="P22" s="1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 customFormat="false" ht="15.75" hidden="false" customHeight="false" outlineLevel="0" collapsed="false">
      <c r="A23" s="1"/>
      <c r="B23" s="153"/>
      <c r="C23" s="153"/>
      <c r="D23" s="1"/>
      <c r="E23" s="152"/>
      <c r="F23" s="1"/>
      <c r="G23" s="1"/>
      <c r="H23" s="1"/>
      <c r="I23" s="1"/>
      <c r="J23" s="1"/>
      <c r="K23" s="152"/>
      <c r="L23" s="1"/>
      <c r="M23" s="1"/>
      <c r="N23" s="1"/>
      <c r="O23" s="1"/>
      <c r="P23" s="1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 customFormat="false" ht="15.75" hidden="false" customHeight="false" outlineLevel="0" collapsed="false">
      <c r="A24" s="1"/>
      <c r="B24" s="1"/>
      <c r="C24" s="153"/>
      <c r="D24" s="1"/>
      <c r="E24" s="152"/>
      <c r="F24" s="1"/>
      <c r="G24" s="1"/>
      <c r="H24" s="1"/>
      <c r="I24" s="1"/>
      <c r="J24" s="1"/>
      <c r="K24" s="152"/>
      <c r="L24" s="1"/>
      <c r="M24" s="1"/>
      <c r="N24" s="1"/>
      <c r="O24" s="1"/>
      <c r="P24" s="1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 customFormat="false" ht="15.75" hidden="false" customHeight="false" outlineLevel="0" collapsed="false">
      <c r="A25" s="1"/>
      <c r="B25" s="1"/>
      <c r="C25" s="153"/>
      <c r="D25" s="1"/>
      <c r="E25" s="152"/>
      <c r="F25" s="1"/>
      <c r="G25" s="1"/>
      <c r="H25" s="1"/>
      <c r="I25" s="1"/>
      <c r="J25" s="1"/>
      <c r="K25" s="152"/>
      <c r="L25" s="1"/>
      <c r="M25" s="1"/>
      <c r="N25" s="1"/>
      <c r="O25" s="1"/>
      <c r="P25" s="1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 customFormat="false" ht="15.75" hidden="false" customHeight="false" outlineLevel="0" collapsed="false">
      <c r="A26" s="1"/>
      <c r="B26" s="1"/>
      <c r="C26" s="153"/>
      <c r="D26" s="1"/>
      <c r="E26" s="152"/>
      <c r="F26" s="1"/>
      <c r="G26" s="1"/>
      <c r="H26" s="1"/>
      <c r="I26" s="1"/>
      <c r="J26" s="1"/>
      <c r="K26" s="152"/>
      <c r="L26" s="1"/>
      <c r="M26" s="1"/>
      <c r="N26" s="1"/>
      <c r="O26" s="1"/>
      <c r="P26" s="1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 customFormat="false" ht="15.75" hidden="false" customHeight="false" outlineLevel="0" collapsed="false">
      <c r="A27" s="1"/>
      <c r="B27" s="1"/>
      <c r="C27" s="153"/>
      <c r="D27" s="1"/>
      <c r="E27" s="152"/>
      <c r="F27" s="1"/>
      <c r="G27" s="1"/>
      <c r="H27" s="1"/>
      <c r="I27" s="1"/>
      <c r="J27" s="1"/>
      <c r="K27" s="152"/>
      <c r="L27" s="1"/>
      <c r="M27" s="1"/>
      <c r="N27" s="1"/>
      <c r="O27" s="1"/>
      <c r="P27" s="1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 customFormat="false" ht="15.75" hidden="false" customHeight="false" outlineLevel="0" collapsed="false">
      <c r="A28" s="1"/>
      <c r="B28" s="1"/>
      <c r="C28" s="153"/>
      <c r="D28" s="1"/>
      <c r="E28" s="152"/>
      <c r="F28" s="1"/>
      <c r="G28" s="1"/>
      <c r="H28" s="1"/>
      <c r="I28" s="1"/>
      <c r="J28" s="1"/>
      <c r="K28" s="152"/>
      <c r="L28" s="1"/>
      <c r="M28" s="1"/>
      <c r="N28" s="1"/>
      <c r="O28" s="1"/>
      <c r="P28" s="1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 customFormat="false" ht="15.75" hidden="false" customHeight="false" outlineLevel="0" collapsed="false">
      <c r="A29" s="1"/>
      <c r="B29" s="153"/>
      <c r="C29" s="153"/>
      <c r="D29" s="1"/>
      <c r="E29" s="152"/>
      <c r="F29" s="1"/>
      <c r="G29" s="1"/>
      <c r="H29" s="1"/>
      <c r="I29" s="1"/>
      <c r="J29" s="1"/>
      <c r="K29" s="152"/>
      <c r="L29" s="1"/>
      <c r="M29" s="1"/>
      <c r="N29" s="1"/>
      <c r="O29" s="1"/>
      <c r="P29" s="1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 customFormat="false" ht="15.75" hidden="false" customHeight="false" outlineLevel="0" collapsed="false">
      <c r="A30" s="1"/>
      <c r="B30" s="153"/>
      <c r="C30" s="153"/>
      <c r="D30" s="1"/>
      <c r="E30" s="152"/>
      <c r="F30" s="1"/>
      <c r="G30" s="1"/>
      <c r="H30" s="1"/>
      <c r="I30" s="1"/>
      <c r="J30" s="1"/>
      <c r="K30" s="152"/>
      <c r="L30" s="1"/>
      <c r="M30" s="1"/>
      <c r="N30" s="1"/>
      <c r="O30" s="1"/>
      <c r="P30" s="1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</row>
    <row r="31" customFormat="false" ht="15.75" hidden="false" customHeight="false" outlineLevel="0" collapsed="false">
      <c r="A31" s="1"/>
      <c r="B31" s="153"/>
      <c r="C31" s="153"/>
      <c r="D31" s="1"/>
      <c r="E31" s="152"/>
      <c r="F31" s="1"/>
      <c r="G31" s="1"/>
      <c r="H31" s="1"/>
      <c r="I31" s="1"/>
      <c r="J31" s="1"/>
      <c r="K31" s="152"/>
      <c r="L31" s="1"/>
      <c r="M31" s="1"/>
      <c r="N31" s="1"/>
      <c r="O31" s="1"/>
      <c r="P31" s="1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</row>
    <row r="32" customFormat="false" ht="15.75" hidden="false" customHeight="false" outlineLevel="0" collapsed="false">
      <c r="A32" s="1"/>
      <c r="B32" s="153"/>
      <c r="C32" s="153"/>
      <c r="D32" s="1"/>
      <c r="E32" s="152"/>
      <c r="F32" s="1"/>
      <c r="G32" s="1"/>
      <c r="H32" s="1"/>
      <c r="I32" s="1"/>
      <c r="J32" s="1"/>
      <c r="K32" s="152"/>
      <c r="L32" s="1"/>
      <c r="M32" s="1"/>
      <c r="N32" s="1"/>
      <c r="O32" s="1"/>
      <c r="P32" s="1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</row>
    <row r="33" customFormat="false" ht="15.75" hidden="false" customHeight="false" outlineLevel="0" collapsed="false">
      <c r="A33" s="1"/>
      <c r="B33" s="1"/>
      <c r="C33" s="153"/>
      <c r="D33" s="1"/>
      <c r="E33" s="152"/>
      <c r="F33" s="1"/>
      <c r="G33" s="1"/>
      <c r="H33" s="1"/>
      <c r="I33" s="1"/>
      <c r="J33" s="1"/>
      <c r="K33" s="152"/>
      <c r="L33" s="1"/>
      <c r="M33" s="1"/>
      <c r="N33" s="1"/>
      <c r="O33" s="1"/>
      <c r="P33" s="1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</row>
    <row r="34" customFormat="false" ht="15.75" hidden="false" customHeight="false" outlineLevel="0" collapsed="false">
      <c r="A34" s="1"/>
      <c r="B34" s="1"/>
      <c r="C34" s="153"/>
      <c r="D34" s="1"/>
      <c r="E34" s="152"/>
      <c r="F34" s="1"/>
      <c r="G34" s="1"/>
      <c r="H34" s="1"/>
      <c r="I34" s="1"/>
      <c r="J34" s="1"/>
      <c r="K34" s="152"/>
      <c r="L34" s="1"/>
      <c r="M34" s="1"/>
      <c r="N34" s="1"/>
      <c r="O34" s="1"/>
      <c r="P34" s="1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</row>
    <row r="35" customFormat="false" ht="15.75" hidden="false" customHeight="false" outlineLevel="0" collapsed="false">
      <c r="A35" s="1"/>
      <c r="B35" s="1"/>
      <c r="C35" s="153"/>
      <c r="D35" s="1"/>
      <c r="E35" s="152"/>
      <c r="F35" s="1"/>
      <c r="G35" s="1"/>
      <c r="H35" s="1"/>
      <c r="I35" s="1"/>
      <c r="J35" s="1"/>
      <c r="K35" s="152"/>
      <c r="L35" s="1"/>
      <c r="M35" s="1"/>
      <c r="N35" s="1"/>
      <c r="O35" s="1"/>
      <c r="P35" s="1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</row>
    <row r="36" customFormat="false" ht="15.75" hidden="false" customHeight="false" outlineLevel="0" collapsed="false">
      <c r="A36" s="1"/>
      <c r="B36" s="1"/>
      <c r="C36" s="153"/>
      <c r="D36" s="1"/>
      <c r="E36" s="152"/>
      <c r="F36" s="1"/>
      <c r="G36" s="1"/>
      <c r="H36" s="1"/>
      <c r="I36" s="1"/>
      <c r="J36" s="1"/>
      <c r="K36" s="152"/>
      <c r="L36" s="1"/>
      <c r="M36" s="1"/>
      <c r="N36" s="1"/>
      <c r="O36" s="1"/>
      <c r="P36" s="1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</row>
    <row r="37" customFormat="false" ht="15.75" hidden="false" customHeight="false" outlineLevel="0" collapsed="false">
      <c r="A37" s="1"/>
      <c r="B37" s="1"/>
      <c r="C37" s="153"/>
      <c r="D37" s="1"/>
      <c r="E37" s="1"/>
      <c r="F37" s="1"/>
      <c r="G37" s="1"/>
      <c r="H37" s="1"/>
      <c r="I37" s="1"/>
      <c r="J37" s="1"/>
      <c r="K37" s="152"/>
      <c r="L37" s="1"/>
      <c r="M37" s="1"/>
      <c r="N37" s="1"/>
      <c r="O37" s="1"/>
      <c r="P37" s="1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</row>
    <row r="38" customFormat="false" ht="15.75" hidden="false" customHeight="false" outlineLevel="0" collapsed="false">
      <c r="A38" s="1"/>
      <c r="B38" s="1"/>
      <c r="C38" s="153"/>
      <c r="D38" s="1"/>
      <c r="E38" s="1"/>
      <c r="F38" s="1"/>
      <c r="G38" s="1"/>
      <c r="H38" s="1"/>
      <c r="I38" s="1"/>
      <c r="J38" s="1"/>
      <c r="K38" s="152"/>
      <c r="L38" s="1"/>
      <c r="M38" s="1"/>
      <c r="N38" s="1"/>
      <c r="O38" s="1"/>
      <c r="P38" s="1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</row>
    <row r="39" customFormat="false" ht="15.75" hidden="false" customHeight="false" outlineLevel="0" collapsed="false">
      <c r="A39" s="1"/>
      <c r="B39" s="153"/>
      <c r="C39" s="153"/>
      <c r="D39" s="1"/>
      <c r="E39" s="152"/>
      <c r="F39" s="1"/>
      <c r="G39" s="1"/>
      <c r="H39" s="1"/>
      <c r="I39" s="1"/>
      <c r="J39" s="1"/>
      <c r="K39" s="152"/>
      <c r="L39" s="1"/>
      <c r="M39" s="1"/>
      <c r="N39" s="1"/>
      <c r="O39" s="1"/>
      <c r="P39" s="1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</row>
    <row r="40" customFormat="false" ht="15.75" hidden="false" customHeight="false" outlineLevel="0" collapsed="false">
      <c r="A40" s="1"/>
      <c r="B40" s="1"/>
      <c r="C40" s="153"/>
      <c r="D40" s="1"/>
      <c r="E40" s="152"/>
      <c r="F40" s="1"/>
      <c r="G40" s="1"/>
      <c r="H40" s="1"/>
      <c r="I40" s="1"/>
      <c r="J40" s="1"/>
      <c r="K40" s="152"/>
      <c r="L40" s="1"/>
      <c r="M40" s="1"/>
      <c r="N40" s="1"/>
      <c r="O40" s="1"/>
      <c r="P40" s="1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</row>
    <row r="41" customFormat="false" ht="15.75" hidden="false" customHeight="false" outlineLevel="0" collapsed="false">
      <c r="A41" s="1"/>
      <c r="B41" s="1"/>
      <c r="C41" s="153"/>
      <c r="D41" s="1"/>
      <c r="E41" s="152"/>
      <c r="F41" s="1"/>
      <c r="G41" s="1"/>
      <c r="H41" s="1"/>
      <c r="I41" s="1"/>
      <c r="J41" s="1"/>
      <c r="K41" s="152"/>
      <c r="L41" s="1"/>
      <c r="M41" s="1"/>
      <c r="N41" s="1"/>
      <c r="O41" s="1"/>
      <c r="P41" s="1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</row>
    <row r="42" customFormat="false" ht="15.75" hidden="false" customHeight="false" outlineLevel="0" collapsed="false">
      <c r="A42" s="1"/>
      <c r="B42" s="1"/>
      <c r="C42" s="153"/>
      <c r="D42" s="1"/>
      <c r="E42" s="152"/>
      <c r="F42" s="1"/>
      <c r="G42" s="1"/>
      <c r="H42" s="1"/>
      <c r="I42" s="1"/>
      <c r="J42" s="1"/>
      <c r="K42" s="152"/>
      <c r="L42" s="1"/>
      <c r="M42" s="1"/>
      <c r="N42" s="1"/>
      <c r="O42" s="1"/>
      <c r="P42" s="1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</row>
    <row r="43" customFormat="false" ht="15.75" hidden="false" customHeight="false" outlineLevel="0" collapsed="false">
      <c r="A43" s="1"/>
      <c r="B43" s="1"/>
      <c r="C43" s="153"/>
      <c r="D43" s="1"/>
      <c r="E43" s="1"/>
      <c r="F43" s="1"/>
      <c r="G43" s="1"/>
      <c r="H43" s="1"/>
      <c r="I43" s="1"/>
      <c r="J43" s="1"/>
      <c r="K43" s="152"/>
      <c r="L43" s="1"/>
      <c r="M43" s="1"/>
      <c r="N43" s="1"/>
      <c r="O43" s="1"/>
      <c r="P43" s="1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</row>
    <row r="44" customFormat="false" ht="15.75" hidden="false" customHeight="false" outlineLevel="0" collapsed="false">
      <c r="A44" s="1"/>
      <c r="B44" s="1"/>
      <c r="C44" s="153"/>
      <c r="D44" s="1"/>
      <c r="E44" s="152"/>
      <c r="F44" s="1"/>
      <c r="G44" s="1"/>
      <c r="H44" s="1"/>
      <c r="I44" s="1"/>
      <c r="J44" s="1"/>
      <c r="K44" s="152"/>
      <c r="L44" s="1"/>
      <c r="M44" s="1"/>
      <c r="N44" s="1"/>
      <c r="O44" s="1"/>
      <c r="P44" s="1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</row>
    <row r="45" customFormat="false" ht="15.75" hidden="false" customHeight="false" outlineLevel="0" collapsed="false">
      <c r="A45" s="1"/>
      <c r="B45" s="1"/>
      <c r="C45" s="153"/>
      <c r="D45" s="1"/>
      <c r="E45" s="152"/>
      <c r="F45" s="1"/>
      <c r="G45" s="1"/>
      <c r="H45" s="1"/>
      <c r="I45" s="1"/>
      <c r="J45" s="1"/>
      <c r="K45" s="152"/>
      <c r="L45" s="1"/>
      <c r="M45" s="1"/>
      <c r="N45" s="1"/>
      <c r="O45" s="1"/>
      <c r="P45" s="1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</row>
    <row r="46" customFormat="false" ht="15.75" hidden="false" customHeight="false" outlineLevel="0" collapsed="false">
      <c r="A46" s="152"/>
      <c r="B46" s="152"/>
      <c r="C46" s="154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</row>
    <row r="47" customFormat="false" ht="15.75" hidden="false" customHeight="false" outlineLevel="0" collapsed="false">
      <c r="A47" s="152"/>
      <c r="B47" s="152"/>
      <c r="C47" s="154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</row>
    <row r="48" customFormat="false" ht="15.75" hidden="false" customHeight="false" outlineLevel="0" collapsed="false">
      <c r="A48" s="152"/>
      <c r="B48" s="152"/>
      <c r="C48" s="154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</row>
    <row r="49" customFormat="false" ht="15.75" hidden="false" customHeight="false" outlineLevel="0" collapsed="false">
      <c r="A49" s="152"/>
      <c r="B49" s="152"/>
      <c r="C49" s="154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</row>
    <row r="50" customFormat="false" ht="15.75" hidden="false" customHeight="false" outlineLevel="0" collapsed="false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</row>
    <row r="51" customFormat="false" ht="15.75" hidden="false" customHeight="false" outlineLevel="0" collapsed="false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</row>
    <row r="52" customFormat="false" ht="15.75" hidden="false" customHeight="false" outlineLevel="0" collapsed="false">
      <c r="A52" s="152"/>
      <c r="B52" s="152"/>
      <c r="C52" s="154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</row>
    <row r="53" customFormat="false" ht="15.75" hidden="false" customHeight="false" outlineLevel="0" collapsed="false">
      <c r="A53" s="152"/>
      <c r="B53" s="152"/>
      <c r="C53" s="154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</row>
    <row r="54" customFormat="false" ht="15.75" hidden="false" customHeight="false" outlineLevel="0" collapsed="false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</row>
    <row r="55" customFormat="false" ht="15.75" hidden="false" customHeight="false" outlineLevel="0" collapsed="false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</row>
    <row r="56" customFormat="false" ht="15.75" hidden="false" customHeight="false" outlineLevel="0" collapsed="false">
      <c r="A56" s="152"/>
      <c r="B56" s="152"/>
      <c r="C56" s="154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</row>
    <row r="57" customFormat="false" ht="15.75" hidden="false" customHeight="false" outlineLevel="0" collapsed="false">
      <c r="A57" s="152"/>
      <c r="B57" s="152"/>
      <c r="C57" s="154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</row>
    <row r="58" customFormat="false" ht="15.75" hidden="false" customHeight="false" outlineLevel="0" collapsed="false">
      <c r="A58" s="152"/>
      <c r="B58" s="152"/>
      <c r="C58" s="154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</row>
    <row r="59" customFormat="false" ht="15.75" hidden="false" customHeight="false" outlineLevel="0" collapsed="false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</row>
    <row r="60" customFormat="false" ht="15.75" hidden="false" customHeight="false" outlineLevel="0" collapsed="false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</row>
    <row r="61" customFormat="false" ht="15.75" hidden="false" customHeight="false" outlineLevel="0" collapsed="false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</row>
    <row r="62" customFormat="false" ht="15.75" hidden="false" customHeight="false" outlineLevel="0" collapsed="false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</row>
    <row r="63" customFormat="false" ht="15.75" hidden="false" customHeight="false" outlineLevel="0" collapsed="false">
      <c r="A63" s="152"/>
      <c r="B63" s="152"/>
      <c r="C63" s="154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</row>
    <row r="64" customFormat="false" ht="15.75" hidden="false" customHeight="false" outlineLevel="0" collapsed="false">
      <c r="A64" s="152"/>
      <c r="B64" s="152"/>
      <c r="C64" s="154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</row>
    <row r="65" customFormat="false" ht="15.75" hidden="false" customHeight="false" outlineLevel="0" collapsed="false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</row>
    <row r="66" customFormat="false" ht="15.75" hidden="false" customHeight="false" outlineLevel="0" collapsed="false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</row>
    <row r="67" customFormat="false" ht="15.75" hidden="false" customHeight="false" outlineLevel="0" collapsed="false">
      <c r="A67" s="152"/>
      <c r="B67" s="154"/>
      <c r="C67" s="154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</row>
    <row r="68" customFormat="false" ht="15.75" hidden="false" customHeight="false" outlineLevel="0" collapsed="false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</row>
    <row r="69" customFormat="false" ht="15.75" hidden="false" customHeight="false" outlineLevel="0" collapsed="false">
      <c r="A69" s="152"/>
      <c r="B69" s="152"/>
      <c r="C69" s="154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</row>
    <row r="70" customFormat="false" ht="15.75" hidden="false" customHeight="false" outlineLevel="0" collapsed="false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</row>
    <row r="71" customFormat="false" ht="15.75" hidden="false" customHeight="false" outlineLevel="0" collapsed="false">
      <c r="A71" s="152"/>
      <c r="B71" s="152"/>
      <c r="C71" s="154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</row>
    <row r="72" customFormat="false" ht="15.75" hidden="false" customHeight="false" outlineLevel="0" collapsed="false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  <c r="AI72" s="152"/>
      <c r="AJ72" s="152"/>
      <c r="AK72" s="152"/>
      <c r="AL72" s="152"/>
      <c r="AM72" s="152"/>
      <c r="AN72" s="152"/>
      <c r="AO72" s="152"/>
      <c r="AP72" s="152"/>
      <c r="AQ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</row>
    <row r="73" customFormat="false" ht="15.75" hidden="false" customHeight="false" outlineLevel="0" collapsed="false">
      <c r="A73" s="152"/>
      <c r="B73" s="152"/>
      <c r="C73" s="154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</row>
    <row r="74" customFormat="false" ht="15.75" hidden="false" customHeight="false" outlineLevel="0" collapsed="false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</row>
    <row r="75" customFormat="false" ht="15.75" hidden="false" customHeight="false" outlineLevel="0" collapsed="false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2"/>
      <c r="AI75" s="152"/>
      <c r="AJ75" s="152"/>
      <c r="AK75" s="152"/>
      <c r="AL75" s="152"/>
      <c r="AM75" s="152"/>
      <c r="AN75" s="152"/>
      <c r="AO75" s="152"/>
      <c r="AP75" s="152"/>
      <c r="AQ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</row>
    <row r="76" customFormat="false" ht="15.75" hidden="false" customHeight="false" outlineLevel="0" collapsed="false">
      <c r="A76" s="152"/>
      <c r="B76" s="154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2"/>
      <c r="AI76" s="152"/>
      <c r="AJ76" s="152"/>
      <c r="AK76" s="152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</row>
    <row r="77" customFormat="false" ht="15.75" hidden="false" customHeight="false" outlineLevel="0" collapsed="false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2"/>
      <c r="AI77" s="152"/>
      <c r="AJ77" s="152"/>
      <c r="AK77" s="152"/>
      <c r="AL77" s="152"/>
      <c r="AM77" s="152"/>
      <c r="AN77" s="152"/>
      <c r="AO77" s="152"/>
      <c r="AP77" s="152"/>
      <c r="AQ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</row>
    <row r="78" customFormat="false" ht="15.75" hidden="false" customHeight="false" outlineLevel="0" collapsed="false">
      <c r="A78" s="152"/>
      <c r="B78" s="152"/>
      <c r="C78" s="154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2"/>
      <c r="AI78" s="152"/>
      <c r="AJ78" s="152"/>
      <c r="AK78" s="152"/>
      <c r="AL78" s="152"/>
      <c r="AM78" s="152"/>
      <c r="AN78" s="152"/>
      <c r="AO78" s="152"/>
      <c r="AP78" s="152"/>
      <c r="AQ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</row>
    <row r="79" customFormat="false" ht="15.75" hidden="false" customHeight="false" outlineLevel="0" collapsed="false">
      <c r="A79" s="152"/>
      <c r="B79" s="152"/>
      <c r="C79" s="154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</row>
    <row r="80" customFormat="false" ht="15.75" hidden="false" customHeight="false" outlineLevel="0" collapsed="false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</row>
    <row r="81" customFormat="false" ht="15.75" hidden="false" customHeight="false" outlineLevel="0" collapsed="false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2"/>
      <c r="AI81" s="152"/>
      <c r="AJ81" s="152"/>
      <c r="AK81" s="152"/>
      <c r="AL81" s="152"/>
      <c r="AM81" s="152"/>
      <c r="AN81" s="152"/>
      <c r="AO81" s="152"/>
      <c r="AP81" s="152"/>
      <c r="AQ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</row>
    <row r="82" customFormat="false" ht="15.75" hidden="false" customHeight="false" outlineLevel="0" collapsed="false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2"/>
      <c r="AI82" s="152"/>
      <c r="AJ82" s="152"/>
      <c r="AK82" s="152"/>
      <c r="AL82" s="152"/>
      <c r="AM82" s="152"/>
      <c r="AN82" s="152"/>
      <c r="AO82" s="152"/>
      <c r="AP82" s="152"/>
      <c r="AQ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</row>
    <row r="83" customFormat="false" ht="15.75" hidden="false" customHeight="false" outlineLevel="0" collapsed="false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2"/>
      <c r="AI83" s="152"/>
      <c r="AJ83" s="152"/>
      <c r="AK83" s="152"/>
      <c r="AL83" s="152"/>
      <c r="AM83" s="152"/>
      <c r="AN83" s="152"/>
      <c r="AO83" s="152"/>
      <c r="AP83" s="152"/>
      <c r="AQ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</row>
    <row r="84" customFormat="false" ht="15.75" hidden="false" customHeight="false" outlineLevel="0" collapsed="false">
      <c r="A84" s="152"/>
      <c r="B84" s="152"/>
      <c r="C84" s="154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2"/>
      <c r="AI84" s="152"/>
      <c r="AJ84" s="152"/>
      <c r="AK84" s="152"/>
      <c r="AL84" s="152"/>
      <c r="AM84" s="152"/>
      <c r="AN84" s="152"/>
      <c r="AO84" s="152"/>
      <c r="AP84" s="152"/>
      <c r="AQ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</row>
    <row r="85" customFormat="false" ht="15.75" hidden="false" customHeight="false" outlineLevel="0" collapsed="false">
      <c r="A85" s="152"/>
      <c r="B85" s="152"/>
      <c r="C85" s="154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2"/>
      <c r="AI85" s="152"/>
      <c r="AJ85" s="152"/>
      <c r="AK85" s="152"/>
      <c r="AL85" s="152"/>
      <c r="AM85" s="152"/>
      <c r="AN85" s="152"/>
      <c r="AO85" s="152"/>
      <c r="AP85" s="152"/>
      <c r="AQ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</row>
    <row r="86" customFormat="false" ht="15.75" hidden="false" customHeight="false" outlineLevel="0" collapsed="false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2"/>
      <c r="AI86" s="152"/>
      <c r="AJ86" s="152"/>
      <c r="AK86" s="152"/>
      <c r="AL86" s="152"/>
      <c r="AM86" s="152"/>
      <c r="AN86" s="152"/>
      <c r="AO86" s="152"/>
      <c r="AP86" s="152"/>
      <c r="AQ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</row>
    <row r="87" customFormat="false" ht="15.75" hidden="false" customHeight="false" outlineLevel="0" collapsed="false">
      <c r="A87" s="152"/>
      <c r="B87" s="152"/>
      <c r="C87" s="154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2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</row>
    <row r="88" customFormat="false" ht="15.75" hidden="false" customHeight="false" outlineLevel="0" collapsed="false">
      <c r="A88" s="152"/>
      <c r="B88" s="152"/>
      <c r="C88" s="154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2"/>
      <c r="AI88" s="152"/>
      <c r="AJ88" s="152"/>
      <c r="AK88" s="152"/>
      <c r="AL88" s="152"/>
      <c r="AM88" s="152"/>
      <c r="AN88" s="152"/>
      <c r="AO88" s="152"/>
      <c r="AP88" s="152"/>
      <c r="AQ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</row>
    <row r="89" customFormat="false" ht="15.75" hidden="false" customHeight="false" outlineLevel="0" collapsed="false">
      <c r="A89" s="152"/>
      <c r="B89" s="152"/>
      <c r="C89" s="154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2"/>
      <c r="AI89" s="152"/>
      <c r="AJ89" s="152"/>
      <c r="AK89" s="152"/>
      <c r="AL89" s="152"/>
      <c r="AM89" s="152"/>
      <c r="AN89" s="152"/>
      <c r="AO89" s="152"/>
      <c r="AP89" s="152"/>
      <c r="AQ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</row>
    <row r="90" customFormat="false" ht="15.75" hidden="false" customHeight="false" outlineLevel="0" collapsed="false">
      <c r="A90" s="152"/>
      <c r="B90" s="152"/>
      <c r="C90" s="154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2"/>
      <c r="AI90" s="152"/>
      <c r="AJ90" s="152"/>
      <c r="AK90" s="152"/>
      <c r="AL90" s="152"/>
      <c r="AM90" s="152"/>
      <c r="AN90" s="152"/>
      <c r="AO90" s="152"/>
      <c r="AP90" s="152"/>
      <c r="AQ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</row>
    <row r="91" customFormat="false" ht="15.75" hidden="false" customHeight="false" outlineLevel="0" collapsed="false">
      <c r="A91" s="152"/>
      <c r="B91" s="152"/>
      <c r="C91" s="154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2"/>
      <c r="AI91" s="152"/>
      <c r="AJ91" s="152"/>
      <c r="AK91" s="152"/>
      <c r="AL91" s="152"/>
      <c r="AM91" s="152"/>
      <c r="AN91" s="152"/>
      <c r="AO91" s="152"/>
      <c r="AP91" s="152"/>
      <c r="AQ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</row>
    <row r="92" customFormat="false" ht="15.75" hidden="false" customHeight="false" outlineLevel="0" collapsed="false">
      <c r="A92" s="152"/>
      <c r="B92" s="152"/>
      <c r="C92" s="154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</row>
    <row r="93" customFormat="false" ht="15.75" hidden="false" customHeight="false" outlineLevel="0" collapsed="false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2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</row>
    <row r="94" customFormat="false" ht="15.75" hidden="false" customHeight="false" outlineLevel="0" collapsed="false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2"/>
      <c r="AI94" s="152"/>
      <c r="AJ94" s="152"/>
      <c r="AK94" s="152"/>
      <c r="AL94" s="152"/>
      <c r="AM94" s="152"/>
      <c r="AN94" s="152"/>
      <c r="AO94" s="152"/>
      <c r="AP94" s="152"/>
      <c r="AQ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</row>
    <row r="95" customFormat="false" ht="15.75" hidden="false" customHeight="false" outlineLevel="0" collapsed="false">
      <c r="A95" s="152"/>
      <c r="B95" s="152"/>
      <c r="C95" s="154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2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</row>
    <row r="96" customFormat="false" ht="15.75" hidden="false" customHeight="false" outlineLevel="0" collapsed="false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2"/>
      <c r="AI96" s="152"/>
      <c r="AJ96" s="152"/>
      <c r="AK96" s="152"/>
      <c r="AL96" s="152"/>
      <c r="AM96" s="152"/>
      <c r="AN96" s="152"/>
      <c r="AO96" s="152"/>
      <c r="AP96" s="152"/>
      <c r="AQ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</row>
    <row r="97" customFormat="false" ht="15.75" hidden="false" customHeight="false" outlineLevel="0" collapsed="false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2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</row>
    <row r="98" customFormat="false" ht="15.75" hidden="false" customHeight="false" outlineLevel="0" collapsed="false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2"/>
      <c r="AI98" s="152"/>
      <c r="AJ98" s="152"/>
      <c r="AK98" s="152"/>
      <c r="AL98" s="152"/>
      <c r="AM98" s="152"/>
      <c r="AN98" s="152"/>
      <c r="AO98" s="152"/>
      <c r="AP98" s="152"/>
      <c r="AQ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</row>
    <row r="99" customFormat="false" ht="15.75" hidden="false" customHeight="false" outlineLevel="0" collapsed="false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2"/>
      <c r="AI99" s="152"/>
      <c r="AJ99" s="152"/>
      <c r="AK99" s="152"/>
      <c r="AL99" s="152"/>
      <c r="AM99" s="152"/>
      <c r="AN99" s="152"/>
      <c r="AO99" s="152"/>
      <c r="AP99" s="152"/>
      <c r="AQ99" s="152"/>
      <c r="AR99" s="152"/>
      <c r="AS99" s="152"/>
      <c r="AT99" s="152"/>
      <c r="AU99" s="152"/>
      <c r="AV99" s="152"/>
      <c r="AW99" s="152"/>
      <c r="AX99" s="152"/>
      <c r="AY99" s="152"/>
      <c r="AZ99" s="152"/>
      <c r="BA99" s="152"/>
      <c r="BB99" s="152"/>
      <c r="BC99" s="152"/>
    </row>
    <row r="100" customFormat="false" ht="15.75" hidden="false" customHeight="false" outlineLevel="0" collapsed="false">
      <c r="A100" s="152"/>
      <c r="B100" s="152"/>
      <c r="C100" s="154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2"/>
      <c r="AI100" s="152"/>
      <c r="AJ100" s="152"/>
      <c r="AK100" s="152"/>
      <c r="AL100" s="152"/>
      <c r="AM100" s="152"/>
      <c r="AN100" s="152"/>
      <c r="AO100" s="152"/>
      <c r="AP100" s="152"/>
      <c r="AQ100" s="152"/>
      <c r="AR100" s="152"/>
      <c r="AS100" s="152"/>
      <c r="AT100" s="152"/>
      <c r="AU100" s="152"/>
      <c r="AV100" s="152"/>
      <c r="AW100" s="152"/>
      <c r="AX100" s="152"/>
      <c r="AY100" s="152"/>
      <c r="AZ100" s="152"/>
      <c r="BA100" s="152"/>
      <c r="BB100" s="152"/>
      <c r="BC100" s="152"/>
    </row>
    <row r="101" customFormat="false" ht="15.75" hidden="false" customHeight="false" outlineLevel="0" collapsed="false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2"/>
      <c r="AI101" s="152"/>
      <c r="AJ101" s="152"/>
      <c r="AK101" s="152"/>
      <c r="AL101" s="152"/>
      <c r="AM101" s="152"/>
      <c r="AN101" s="152"/>
      <c r="AO101" s="152"/>
      <c r="AP101" s="152"/>
      <c r="AQ101" s="152"/>
      <c r="AR101" s="152"/>
      <c r="AS101" s="152"/>
      <c r="AT101" s="152"/>
      <c r="AU101" s="152"/>
      <c r="AV101" s="152"/>
      <c r="AW101" s="152"/>
      <c r="AX101" s="152"/>
      <c r="AY101" s="152"/>
      <c r="AZ101" s="152"/>
      <c r="BA101" s="152"/>
      <c r="BB101" s="152"/>
      <c r="BC101" s="152"/>
    </row>
    <row r="102" customFormat="false" ht="15.75" hidden="false" customHeight="false" outlineLevel="0" collapsed="false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2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  <c r="AS102" s="152"/>
      <c r="AT102" s="152"/>
      <c r="AU102" s="152"/>
      <c r="AV102" s="152"/>
      <c r="AW102" s="152"/>
      <c r="AX102" s="152"/>
      <c r="AY102" s="152"/>
      <c r="AZ102" s="152"/>
      <c r="BA102" s="152"/>
      <c r="BB102" s="152"/>
      <c r="BC102" s="152"/>
    </row>
    <row r="103" customFormat="false" ht="15.75" hidden="false" customHeight="false" outlineLevel="0" collapsed="false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2"/>
      <c r="AI103" s="152"/>
      <c r="AJ103" s="152"/>
      <c r="AK103" s="152"/>
      <c r="AL103" s="152"/>
      <c r="AM103" s="152"/>
      <c r="AN103" s="152"/>
      <c r="AO103" s="152"/>
      <c r="AP103" s="152"/>
      <c r="AQ103" s="152"/>
      <c r="AR103" s="152"/>
      <c r="AS103" s="152"/>
      <c r="AT103" s="152"/>
      <c r="AU103" s="152"/>
      <c r="AV103" s="152"/>
      <c r="AW103" s="152"/>
      <c r="AX103" s="152"/>
      <c r="AY103" s="152"/>
      <c r="AZ103" s="152"/>
      <c r="BA103" s="152"/>
      <c r="BB103" s="152"/>
      <c r="BC103" s="152"/>
    </row>
    <row r="104" customFormat="false" ht="15.75" hidden="false" customHeight="false" outlineLevel="0" collapsed="false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2"/>
      <c r="AI104" s="152"/>
      <c r="AJ104" s="152"/>
      <c r="AK104" s="152"/>
      <c r="AL104" s="152"/>
      <c r="AM104" s="152"/>
      <c r="AN104" s="152"/>
      <c r="AO104" s="152"/>
      <c r="AP104" s="152"/>
      <c r="AQ104" s="152"/>
      <c r="AR104" s="152"/>
      <c r="AS104" s="152"/>
      <c r="AT104" s="152"/>
      <c r="AU104" s="152"/>
      <c r="AV104" s="152"/>
      <c r="AW104" s="152"/>
      <c r="AX104" s="152"/>
      <c r="AY104" s="152"/>
      <c r="AZ104" s="152"/>
      <c r="BA104" s="152"/>
      <c r="BB104" s="152"/>
      <c r="BC104" s="152"/>
    </row>
    <row r="105" customFormat="false" ht="15.75" hidden="false" customHeight="false" outlineLevel="0" collapsed="false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2"/>
      <c r="AI105" s="152"/>
      <c r="AJ105" s="152"/>
      <c r="AK105" s="152"/>
      <c r="AL105" s="152"/>
      <c r="AM105" s="152"/>
      <c r="AN105" s="152"/>
      <c r="AO105" s="152"/>
      <c r="AP105" s="152"/>
      <c r="AQ105" s="152"/>
      <c r="AR105" s="152"/>
      <c r="AS105" s="152"/>
      <c r="AT105" s="152"/>
      <c r="AU105" s="152"/>
      <c r="AV105" s="152"/>
      <c r="AW105" s="152"/>
      <c r="AX105" s="152"/>
      <c r="AY105" s="152"/>
      <c r="AZ105" s="152"/>
      <c r="BA105" s="152"/>
      <c r="BB105" s="152"/>
      <c r="BC105" s="152"/>
    </row>
    <row r="106" customFormat="false" ht="15.75" hidden="false" customHeight="false" outlineLevel="0" collapsed="false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2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  <c r="AS106" s="152"/>
      <c r="AT106" s="152"/>
      <c r="AU106" s="152"/>
      <c r="AV106" s="152"/>
      <c r="AW106" s="152"/>
      <c r="AX106" s="152"/>
      <c r="AY106" s="152"/>
      <c r="AZ106" s="152"/>
      <c r="BA106" s="152"/>
      <c r="BB106" s="152"/>
      <c r="BC106" s="152"/>
    </row>
    <row r="107" customFormat="false" ht="15.75" hidden="false" customHeight="false" outlineLevel="0" collapsed="false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2"/>
      <c r="AI107" s="152"/>
      <c r="AJ107" s="152"/>
      <c r="AK107" s="152"/>
      <c r="AL107" s="152"/>
      <c r="AM107" s="152"/>
      <c r="AN107" s="152"/>
      <c r="AO107" s="152"/>
      <c r="AP107" s="152"/>
      <c r="AQ107" s="152"/>
      <c r="AR107" s="152"/>
      <c r="AS107" s="152"/>
      <c r="AT107" s="152"/>
      <c r="AU107" s="152"/>
      <c r="AV107" s="152"/>
      <c r="AW107" s="152"/>
      <c r="AX107" s="152"/>
      <c r="AY107" s="152"/>
      <c r="AZ107" s="152"/>
      <c r="BA107" s="152"/>
      <c r="BB107" s="152"/>
      <c r="BC107" s="152"/>
    </row>
    <row r="108" customFormat="false" ht="15.75" hidden="false" customHeight="false" outlineLevel="0" collapsed="false">
      <c r="A108" s="152"/>
      <c r="B108" s="152"/>
      <c r="C108" s="154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2"/>
      <c r="AI108" s="152"/>
      <c r="AJ108" s="152"/>
      <c r="AK108" s="152"/>
      <c r="AL108" s="152"/>
      <c r="AM108" s="152"/>
      <c r="AN108" s="152"/>
      <c r="AO108" s="152"/>
      <c r="AP108" s="152"/>
      <c r="AQ108" s="152"/>
      <c r="AR108" s="152"/>
      <c r="AS108" s="152"/>
      <c r="AT108" s="152"/>
      <c r="AU108" s="152"/>
      <c r="AV108" s="152"/>
      <c r="AW108" s="152"/>
      <c r="AX108" s="152"/>
      <c r="AY108" s="152"/>
      <c r="AZ108" s="152"/>
      <c r="BA108" s="152"/>
      <c r="BB108" s="152"/>
      <c r="BC108" s="152"/>
    </row>
    <row r="109" customFormat="false" ht="15.75" hidden="false" customHeight="false" outlineLevel="0" collapsed="false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52"/>
      <c r="AY109" s="152"/>
      <c r="AZ109" s="152"/>
      <c r="BA109" s="152"/>
      <c r="BB109" s="152"/>
      <c r="BC109" s="152"/>
    </row>
    <row r="110" customFormat="false" ht="15.75" hidden="false" customHeight="false" outlineLevel="0" collapsed="false">
      <c r="A110" s="152"/>
      <c r="B110" s="152"/>
      <c r="C110" s="154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2"/>
      <c r="AI110" s="152"/>
      <c r="AJ110" s="152"/>
      <c r="AK110" s="152"/>
      <c r="AL110" s="152"/>
      <c r="AM110" s="152"/>
      <c r="AN110" s="152"/>
      <c r="AO110" s="152"/>
      <c r="AP110" s="152"/>
      <c r="AQ110" s="152"/>
      <c r="AR110" s="152"/>
      <c r="AS110" s="152"/>
      <c r="AT110" s="152"/>
      <c r="AU110" s="152"/>
      <c r="AV110" s="152"/>
      <c r="AW110" s="152"/>
      <c r="AX110" s="152"/>
      <c r="AY110" s="152"/>
      <c r="AZ110" s="152"/>
      <c r="BA110" s="152"/>
      <c r="BB110" s="152"/>
      <c r="BC110" s="152"/>
    </row>
    <row r="111" customFormat="false" ht="15.75" hidden="false" customHeight="false" outlineLevel="0" collapsed="false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2"/>
      <c r="AI111" s="152"/>
      <c r="AJ111" s="152"/>
      <c r="AK111" s="152"/>
      <c r="AL111" s="152"/>
      <c r="AM111" s="152"/>
      <c r="AN111" s="152"/>
      <c r="AO111" s="152"/>
      <c r="AP111" s="152"/>
      <c r="AQ111" s="152"/>
      <c r="AR111" s="152"/>
      <c r="AS111" s="152"/>
      <c r="AT111" s="152"/>
      <c r="AU111" s="152"/>
      <c r="AV111" s="152"/>
      <c r="AW111" s="152"/>
      <c r="AX111" s="152"/>
      <c r="AY111" s="152"/>
      <c r="AZ111" s="152"/>
      <c r="BA111" s="152"/>
      <c r="BB111" s="152"/>
      <c r="BC111" s="152"/>
    </row>
    <row r="112" customFormat="false" ht="15.75" hidden="false" customHeight="false" outlineLevel="0" collapsed="false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2"/>
      <c r="AI112" s="152"/>
      <c r="AJ112" s="152"/>
      <c r="AK112" s="152"/>
      <c r="AL112" s="152"/>
      <c r="AM112" s="152"/>
      <c r="AN112" s="152"/>
      <c r="AO112" s="152"/>
      <c r="AP112" s="152"/>
      <c r="AQ112" s="152"/>
      <c r="AR112" s="152"/>
      <c r="AS112" s="152"/>
      <c r="AT112" s="152"/>
      <c r="AU112" s="152"/>
      <c r="AV112" s="152"/>
      <c r="AW112" s="152"/>
      <c r="AX112" s="152"/>
      <c r="AY112" s="152"/>
      <c r="AZ112" s="152"/>
      <c r="BA112" s="152"/>
      <c r="BB112" s="152"/>
      <c r="BC112" s="152"/>
    </row>
    <row r="113" customFormat="false" ht="15.75" hidden="false" customHeight="false" outlineLevel="0" collapsed="false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2"/>
      <c r="AI113" s="152"/>
      <c r="AJ113" s="152"/>
      <c r="AK113" s="152"/>
      <c r="AL113" s="152"/>
      <c r="AM113" s="152"/>
      <c r="AN113" s="152"/>
      <c r="AO113" s="152"/>
      <c r="AP113" s="152"/>
      <c r="AQ113" s="152"/>
      <c r="AR113" s="152"/>
      <c r="AS113" s="152"/>
      <c r="AT113" s="152"/>
      <c r="AU113" s="152"/>
      <c r="AV113" s="152"/>
      <c r="AW113" s="152"/>
      <c r="AX113" s="152"/>
      <c r="AY113" s="152"/>
      <c r="AZ113" s="152"/>
      <c r="BA113" s="152"/>
      <c r="BB113" s="152"/>
      <c r="BC113" s="152"/>
    </row>
    <row r="114" customFormat="false" ht="15.75" hidden="false" customHeight="false" outlineLevel="0" collapsed="false">
      <c r="A114" s="152"/>
      <c r="B114" s="152"/>
      <c r="C114" s="154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2"/>
      <c r="AI114" s="152"/>
      <c r="AJ114" s="152"/>
      <c r="AK114" s="152"/>
      <c r="AL114" s="152"/>
      <c r="AM114" s="152"/>
      <c r="AN114" s="152"/>
      <c r="AO114" s="152"/>
      <c r="AP114" s="152"/>
      <c r="AQ114" s="152"/>
      <c r="AR114" s="152"/>
      <c r="AS114" s="152"/>
      <c r="AT114" s="152"/>
      <c r="AU114" s="152"/>
      <c r="AV114" s="152"/>
      <c r="AW114" s="152"/>
      <c r="AX114" s="152"/>
      <c r="AY114" s="152"/>
      <c r="AZ114" s="152"/>
      <c r="BA114" s="152"/>
      <c r="BB114" s="152"/>
      <c r="BC114" s="152"/>
    </row>
    <row r="115" customFormat="false" ht="15.75" hidden="false" customHeight="false" outlineLevel="0" collapsed="false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2"/>
      <c r="AI115" s="152"/>
      <c r="AJ115" s="152"/>
      <c r="AK115" s="152"/>
      <c r="AL115" s="152"/>
      <c r="AM115" s="152"/>
      <c r="AN115" s="152"/>
      <c r="AO115" s="152"/>
      <c r="AP115" s="152"/>
      <c r="AQ115" s="152"/>
      <c r="AR115" s="152"/>
      <c r="AS115" s="152"/>
      <c r="AT115" s="152"/>
      <c r="AU115" s="152"/>
      <c r="AV115" s="152"/>
      <c r="AW115" s="152"/>
      <c r="AX115" s="152"/>
      <c r="AY115" s="152"/>
      <c r="AZ115" s="152"/>
      <c r="BA115" s="152"/>
      <c r="BB115" s="152"/>
      <c r="BC115" s="152"/>
    </row>
    <row r="116" customFormat="false" ht="15.75" hidden="false" customHeight="false" outlineLevel="0" collapsed="false">
      <c r="A116" s="152"/>
      <c r="B116" s="152"/>
      <c r="C116" s="154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2"/>
      <c r="AI116" s="152"/>
      <c r="AJ116" s="152"/>
      <c r="AK116" s="152"/>
      <c r="AL116" s="152"/>
      <c r="AM116" s="152"/>
      <c r="AN116" s="152"/>
      <c r="AO116" s="152"/>
      <c r="AP116" s="152"/>
      <c r="AQ116" s="152"/>
      <c r="AR116" s="152"/>
      <c r="AS116" s="152"/>
      <c r="AT116" s="152"/>
      <c r="AU116" s="152"/>
      <c r="AV116" s="152"/>
      <c r="AW116" s="152"/>
      <c r="AX116" s="152"/>
      <c r="AY116" s="152"/>
      <c r="AZ116" s="152"/>
      <c r="BA116" s="152"/>
      <c r="BB116" s="152"/>
      <c r="BC116" s="152"/>
    </row>
    <row r="117" customFormat="false" ht="15.75" hidden="false" customHeight="false" outlineLevel="0" collapsed="false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2"/>
      <c r="AI117" s="152"/>
      <c r="AJ117" s="152"/>
      <c r="AK117" s="152"/>
      <c r="AL117" s="152"/>
      <c r="AM117" s="152"/>
      <c r="AN117" s="152"/>
      <c r="AO117" s="152"/>
      <c r="AP117" s="152"/>
      <c r="AQ117" s="152"/>
      <c r="AR117" s="152"/>
      <c r="AS117" s="152"/>
      <c r="AT117" s="152"/>
      <c r="AU117" s="152"/>
      <c r="AV117" s="152"/>
      <c r="AW117" s="152"/>
      <c r="AX117" s="152"/>
      <c r="AY117" s="152"/>
      <c r="AZ117" s="152"/>
      <c r="BA117" s="152"/>
      <c r="BB117" s="152"/>
      <c r="BC117" s="152"/>
    </row>
    <row r="118" customFormat="false" ht="15.75" hidden="false" customHeight="false" outlineLevel="0" collapsed="false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2"/>
      <c r="AI118" s="152"/>
      <c r="AJ118" s="152"/>
      <c r="AK118" s="152"/>
      <c r="AL118" s="152"/>
      <c r="AM118" s="152"/>
      <c r="AN118" s="152"/>
      <c r="AO118" s="152"/>
      <c r="AP118" s="152"/>
      <c r="AQ118" s="152"/>
      <c r="AR118" s="152"/>
      <c r="AS118" s="152"/>
      <c r="AT118" s="152"/>
      <c r="AU118" s="152"/>
      <c r="AV118" s="152"/>
      <c r="AW118" s="152"/>
      <c r="AX118" s="152"/>
      <c r="AY118" s="152"/>
      <c r="AZ118" s="152"/>
      <c r="BA118" s="152"/>
      <c r="BB118" s="152"/>
      <c r="BC118" s="152"/>
    </row>
    <row r="119" customFormat="false" ht="15.75" hidden="false" customHeight="false" outlineLevel="0" collapsed="false">
      <c r="A119" s="152"/>
      <c r="B119" s="152"/>
      <c r="C119" s="154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52"/>
      <c r="AV119" s="152"/>
      <c r="AW119" s="152"/>
      <c r="AX119" s="152"/>
      <c r="AY119" s="152"/>
      <c r="AZ119" s="152"/>
      <c r="BA119" s="152"/>
      <c r="BB119" s="152"/>
      <c r="BC119" s="152"/>
    </row>
    <row r="120" customFormat="false" ht="15.75" hidden="false" customHeight="false" outlineLevel="0" collapsed="false">
      <c r="A120" s="152"/>
      <c r="B120" s="152"/>
      <c r="C120" s="154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2"/>
      <c r="AI120" s="152"/>
      <c r="AJ120" s="152"/>
      <c r="AK120" s="152"/>
      <c r="AL120" s="152"/>
      <c r="AM120" s="152"/>
      <c r="AN120" s="152"/>
      <c r="AO120" s="152"/>
      <c r="AP120" s="152"/>
      <c r="AQ120" s="152"/>
      <c r="AR120" s="152"/>
      <c r="AS120" s="152"/>
      <c r="AT120" s="152"/>
      <c r="AU120" s="152"/>
      <c r="AV120" s="152"/>
      <c r="AW120" s="152"/>
      <c r="AX120" s="152"/>
      <c r="AY120" s="152"/>
      <c r="AZ120" s="152"/>
      <c r="BA120" s="152"/>
      <c r="BB120" s="152"/>
      <c r="BC120" s="152"/>
    </row>
    <row r="121" customFormat="false" ht="15.75" hidden="false" customHeight="false" outlineLevel="0" collapsed="false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2"/>
      <c r="AI121" s="152"/>
      <c r="AJ121" s="152"/>
      <c r="AK121" s="152"/>
      <c r="AL121" s="152"/>
      <c r="AM121" s="152"/>
      <c r="AN121" s="152"/>
      <c r="AO121" s="152"/>
      <c r="AP121" s="152"/>
      <c r="AQ121" s="152"/>
      <c r="AR121" s="152"/>
      <c r="AS121" s="152"/>
      <c r="AT121" s="152"/>
      <c r="AU121" s="152"/>
      <c r="AV121" s="152"/>
      <c r="AW121" s="152"/>
      <c r="AX121" s="152"/>
      <c r="AY121" s="152"/>
      <c r="AZ121" s="152"/>
      <c r="BA121" s="152"/>
      <c r="BB121" s="152"/>
      <c r="BC121" s="152"/>
    </row>
    <row r="122" customFormat="false" ht="15.75" hidden="false" customHeight="false" outlineLevel="0" collapsed="false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2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  <c r="AS122" s="152"/>
      <c r="AT122" s="152"/>
      <c r="AU122" s="152"/>
      <c r="AV122" s="152"/>
      <c r="AW122" s="152"/>
      <c r="AX122" s="152"/>
      <c r="AY122" s="152"/>
      <c r="AZ122" s="152"/>
      <c r="BA122" s="152"/>
      <c r="BB122" s="152"/>
      <c r="BC122" s="152"/>
    </row>
    <row r="123" customFormat="false" ht="15.75" hidden="false" customHeight="false" outlineLevel="0" collapsed="false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2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  <c r="AS123" s="152"/>
      <c r="AT123" s="152"/>
      <c r="AU123" s="152"/>
      <c r="AV123" s="152"/>
      <c r="AW123" s="152"/>
      <c r="AX123" s="152"/>
      <c r="AY123" s="152"/>
      <c r="AZ123" s="152"/>
      <c r="BA123" s="152"/>
      <c r="BB123" s="152"/>
      <c r="BC123" s="152"/>
    </row>
    <row r="124" customFormat="false" ht="15.75" hidden="false" customHeight="false" outlineLevel="0" collapsed="false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2"/>
      <c r="AI124" s="152"/>
      <c r="AJ124" s="152"/>
      <c r="AK124" s="152"/>
      <c r="AL124" s="152"/>
      <c r="AM124" s="152"/>
      <c r="AN124" s="152"/>
      <c r="AO124" s="152"/>
      <c r="AP124" s="152"/>
      <c r="AQ124" s="152"/>
      <c r="AR124" s="152"/>
      <c r="AS124" s="152"/>
      <c r="AT124" s="152"/>
      <c r="AU124" s="152"/>
      <c r="AV124" s="152"/>
      <c r="AW124" s="152"/>
      <c r="AX124" s="152"/>
      <c r="AY124" s="152"/>
      <c r="AZ124" s="152"/>
      <c r="BA124" s="152"/>
      <c r="BB124" s="152"/>
      <c r="BC124" s="152"/>
    </row>
    <row r="125" customFormat="false" ht="15.75" hidden="false" customHeight="false" outlineLevel="0" collapsed="false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2"/>
      <c r="AI125" s="152"/>
      <c r="AJ125" s="152"/>
      <c r="AK125" s="152"/>
      <c r="AL125" s="152"/>
      <c r="AM125" s="152"/>
      <c r="AN125" s="152"/>
      <c r="AO125" s="152"/>
      <c r="AP125" s="152"/>
      <c r="AQ125" s="152"/>
      <c r="AR125" s="152"/>
      <c r="AS125" s="152"/>
      <c r="AT125" s="152"/>
      <c r="AU125" s="152"/>
      <c r="AV125" s="152"/>
      <c r="AW125" s="152"/>
      <c r="AX125" s="152"/>
      <c r="AY125" s="152"/>
      <c r="AZ125" s="152"/>
      <c r="BA125" s="152"/>
      <c r="BB125" s="152"/>
      <c r="BC125" s="152"/>
    </row>
    <row r="126" customFormat="false" ht="15.75" hidden="false" customHeight="false" outlineLevel="0" collapsed="false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2"/>
      <c r="AI126" s="152"/>
      <c r="AJ126" s="152"/>
      <c r="AK126" s="152"/>
      <c r="AL126" s="152"/>
      <c r="AM126" s="152"/>
      <c r="AN126" s="152"/>
      <c r="AO126" s="152"/>
      <c r="AP126" s="152"/>
      <c r="AQ126" s="152"/>
      <c r="AR126" s="152"/>
      <c r="AS126" s="152"/>
      <c r="AT126" s="152"/>
      <c r="AU126" s="152"/>
      <c r="AV126" s="152"/>
      <c r="AW126" s="152"/>
      <c r="AX126" s="152"/>
      <c r="AY126" s="152"/>
      <c r="AZ126" s="152"/>
      <c r="BA126" s="152"/>
      <c r="BB126" s="152"/>
      <c r="BC126" s="152"/>
    </row>
    <row r="127" customFormat="false" ht="15.75" hidden="false" customHeight="false" outlineLevel="0" collapsed="false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2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  <c r="AS127" s="152"/>
      <c r="AT127" s="152"/>
      <c r="AU127" s="152"/>
      <c r="AV127" s="152"/>
      <c r="AW127" s="152"/>
      <c r="AX127" s="152"/>
      <c r="AY127" s="152"/>
      <c r="AZ127" s="152"/>
      <c r="BA127" s="152"/>
      <c r="BB127" s="152"/>
      <c r="BC127" s="152"/>
    </row>
    <row r="128" customFormat="false" ht="15.75" hidden="false" customHeight="false" outlineLevel="0" collapsed="false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2"/>
      <c r="AI128" s="152"/>
      <c r="AJ128" s="152"/>
      <c r="AK128" s="152"/>
      <c r="AL128" s="152"/>
      <c r="AM128" s="152"/>
      <c r="AN128" s="152"/>
      <c r="AO128" s="152"/>
      <c r="AP128" s="152"/>
      <c r="AQ128" s="152"/>
      <c r="AR128" s="152"/>
      <c r="AS128" s="152"/>
      <c r="AT128" s="152"/>
      <c r="AU128" s="152"/>
      <c r="AV128" s="152"/>
      <c r="AW128" s="152"/>
      <c r="AX128" s="152"/>
      <c r="AY128" s="152"/>
      <c r="AZ128" s="152"/>
      <c r="BA128" s="152"/>
      <c r="BB128" s="152"/>
      <c r="BC128" s="152"/>
    </row>
    <row r="129" customFormat="false" ht="15.75" hidden="false" customHeight="false" outlineLevel="0" collapsed="false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2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  <c r="AS129" s="152"/>
      <c r="AT129" s="152"/>
      <c r="AU129" s="152"/>
      <c r="AV129" s="152"/>
      <c r="AW129" s="152"/>
      <c r="AX129" s="152"/>
      <c r="AY129" s="152"/>
      <c r="AZ129" s="152"/>
      <c r="BA129" s="152"/>
      <c r="BB129" s="152"/>
      <c r="BC129" s="152"/>
    </row>
    <row r="130" customFormat="false" ht="15.75" hidden="false" customHeight="false" outlineLevel="0" collapsed="false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2"/>
      <c r="AI130" s="152"/>
      <c r="AJ130" s="152"/>
      <c r="AK130" s="152"/>
      <c r="AL130" s="152"/>
      <c r="AM130" s="152"/>
      <c r="AN130" s="152"/>
      <c r="AO130" s="152"/>
      <c r="AP130" s="152"/>
      <c r="AQ130" s="152"/>
      <c r="AR130" s="152"/>
      <c r="AS130" s="152"/>
      <c r="AT130" s="152"/>
      <c r="AU130" s="152"/>
      <c r="AV130" s="152"/>
      <c r="AW130" s="152"/>
      <c r="AX130" s="152"/>
      <c r="AY130" s="152"/>
      <c r="AZ130" s="152"/>
      <c r="BA130" s="152"/>
      <c r="BB130" s="152"/>
      <c r="BC130" s="152"/>
    </row>
    <row r="131" customFormat="false" ht="15.75" hidden="false" customHeight="false" outlineLevel="0" collapsed="false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2"/>
      <c r="AI131" s="152"/>
      <c r="AJ131" s="152"/>
      <c r="AK131" s="152"/>
      <c r="AL131" s="152"/>
      <c r="AM131" s="152"/>
      <c r="AN131" s="152"/>
      <c r="AO131" s="152"/>
      <c r="AP131" s="152"/>
      <c r="AQ131" s="152"/>
      <c r="AR131" s="152"/>
      <c r="AS131" s="152"/>
      <c r="AT131" s="152"/>
      <c r="AU131" s="152"/>
      <c r="AV131" s="152"/>
      <c r="AW131" s="152"/>
      <c r="AX131" s="152"/>
      <c r="AY131" s="152"/>
      <c r="AZ131" s="152"/>
      <c r="BA131" s="152"/>
      <c r="BB131" s="152"/>
      <c r="BC131" s="152"/>
    </row>
    <row r="132" customFormat="false" ht="15.75" hidden="false" customHeight="false" outlineLevel="0" collapsed="false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2"/>
      <c r="AI132" s="152"/>
      <c r="AJ132" s="152"/>
      <c r="AK132" s="152"/>
      <c r="AL132" s="152"/>
      <c r="AM132" s="152"/>
      <c r="AN132" s="152"/>
      <c r="AO132" s="152"/>
      <c r="AP132" s="152"/>
      <c r="AQ132" s="152"/>
      <c r="AR132" s="152"/>
      <c r="AS132" s="152"/>
      <c r="AT132" s="152"/>
      <c r="AU132" s="152"/>
      <c r="AV132" s="152"/>
      <c r="AW132" s="152"/>
      <c r="AX132" s="152"/>
      <c r="AY132" s="152"/>
      <c r="AZ132" s="152"/>
      <c r="BA132" s="152"/>
      <c r="BB132" s="152"/>
      <c r="BC132" s="152"/>
    </row>
    <row r="133" customFormat="false" ht="15.75" hidden="false" customHeight="false" outlineLevel="0" collapsed="false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2"/>
      <c r="AI133" s="152"/>
      <c r="AJ133" s="152"/>
      <c r="AK133" s="152"/>
      <c r="AL133" s="152"/>
      <c r="AM133" s="152"/>
      <c r="AN133" s="152"/>
      <c r="AO133" s="152"/>
      <c r="AP133" s="152"/>
      <c r="AQ133" s="152"/>
      <c r="AR133" s="152"/>
      <c r="AS133" s="152"/>
      <c r="AT133" s="152"/>
      <c r="AU133" s="152"/>
      <c r="AV133" s="152"/>
      <c r="AW133" s="152"/>
      <c r="AX133" s="152"/>
      <c r="AY133" s="152"/>
      <c r="AZ133" s="152"/>
      <c r="BA133" s="152"/>
      <c r="BB133" s="152"/>
      <c r="BC133" s="152"/>
    </row>
    <row r="134" customFormat="false" ht="15.75" hidden="false" customHeight="false" outlineLevel="0" collapsed="false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52"/>
      <c r="AV134" s="152"/>
      <c r="AW134" s="152"/>
      <c r="AX134" s="152"/>
      <c r="AY134" s="152"/>
      <c r="AZ134" s="152"/>
      <c r="BA134" s="152"/>
      <c r="BB134" s="152"/>
      <c r="BC134" s="152"/>
    </row>
    <row r="135" customFormat="false" ht="15.75" hidden="false" customHeight="false" outlineLevel="0" collapsed="false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2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</row>
    <row r="136" customFormat="false" ht="15.75" hidden="false" customHeight="false" outlineLevel="0" collapsed="false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2"/>
      <c r="AI136" s="152"/>
      <c r="AJ136" s="152"/>
      <c r="AK136" s="152"/>
      <c r="AL136" s="152"/>
      <c r="AM136" s="152"/>
      <c r="AN136" s="152"/>
      <c r="AO136" s="152"/>
      <c r="AP136" s="152"/>
      <c r="AQ136" s="152"/>
      <c r="AR136" s="152"/>
      <c r="AS136" s="152"/>
      <c r="AT136" s="152"/>
      <c r="AU136" s="152"/>
      <c r="AV136" s="152"/>
      <c r="AW136" s="152"/>
      <c r="AX136" s="152"/>
      <c r="AY136" s="152"/>
      <c r="AZ136" s="152"/>
      <c r="BA136" s="152"/>
      <c r="BB136" s="152"/>
      <c r="BC136" s="152"/>
    </row>
    <row r="137" customFormat="false" ht="15.75" hidden="false" customHeight="false" outlineLevel="0" collapsed="false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2"/>
      <c r="AI137" s="152"/>
      <c r="AJ137" s="152"/>
      <c r="AK137" s="152"/>
      <c r="AL137" s="152"/>
      <c r="AM137" s="152"/>
      <c r="AN137" s="152"/>
      <c r="AO137" s="152"/>
      <c r="AP137" s="152"/>
      <c r="AQ137" s="152"/>
      <c r="AR137" s="152"/>
      <c r="AS137" s="152"/>
      <c r="AT137" s="152"/>
      <c r="AU137" s="152"/>
      <c r="AV137" s="152"/>
      <c r="AW137" s="152"/>
      <c r="AX137" s="152"/>
      <c r="AY137" s="152"/>
      <c r="AZ137" s="152"/>
      <c r="BA137" s="152"/>
      <c r="BB137" s="152"/>
      <c r="BC137" s="152"/>
    </row>
    <row r="138" customFormat="false" ht="15.75" hidden="false" customHeight="false" outlineLevel="0" collapsed="false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2"/>
      <c r="AI138" s="152"/>
      <c r="AJ138" s="152"/>
      <c r="AK138" s="152"/>
      <c r="AL138" s="152"/>
      <c r="AM138" s="152"/>
      <c r="AN138" s="152"/>
      <c r="AO138" s="152"/>
      <c r="AP138" s="152"/>
      <c r="AQ138" s="152"/>
      <c r="AR138" s="152"/>
      <c r="AS138" s="152"/>
      <c r="AT138" s="152"/>
      <c r="AU138" s="152"/>
      <c r="AV138" s="152"/>
      <c r="AW138" s="152"/>
      <c r="AX138" s="152"/>
      <c r="AY138" s="152"/>
      <c r="AZ138" s="152"/>
      <c r="BA138" s="152"/>
      <c r="BB138" s="152"/>
      <c r="BC138" s="152"/>
    </row>
    <row r="139" customFormat="false" ht="15.75" hidden="false" customHeight="false" outlineLevel="0" collapsed="false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2"/>
      <c r="AI139" s="152"/>
      <c r="AJ139" s="152"/>
      <c r="AK139" s="152"/>
      <c r="AL139" s="152"/>
      <c r="AM139" s="152"/>
      <c r="AN139" s="152"/>
      <c r="AO139" s="152"/>
      <c r="AP139" s="152"/>
      <c r="AQ139" s="152"/>
      <c r="AR139" s="152"/>
      <c r="AS139" s="152"/>
      <c r="AT139" s="152"/>
      <c r="AU139" s="152"/>
      <c r="AV139" s="152"/>
      <c r="AW139" s="152"/>
      <c r="AX139" s="152"/>
      <c r="AY139" s="152"/>
      <c r="AZ139" s="152"/>
      <c r="BA139" s="152"/>
      <c r="BB139" s="152"/>
      <c r="BC139" s="152"/>
    </row>
    <row r="140" customFormat="false" ht="15.75" hidden="false" customHeight="false" outlineLevel="0" collapsed="false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2"/>
      <c r="AI140" s="152"/>
      <c r="AJ140" s="152"/>
      <c r="AK140" s="152"/>
      <c r="AL140" s="152"/>
      <c r="AM140" s="152"/>
      <c r="AN140" s="152"/>
      <c r="AO140" s="152"/>
      <c r="AP140" s="152"/>
      <c r="AQ140" s="152"/>
      <c r="AR140" s="152"/>
      <c r="AS140" s="152"/>
      <c r="AT140" s="152"/>
      <c r="AU140" s="152"/>
      <c r="AV140" s="152"/>
      <c r="AW140" s="152"/>
      <c r="AX140" s="152"/>
      <c r="AY140" s="152"/>
      <c r="AZ140" s="152"/>
      <c r="BA140" s="152"/>
      <c r="BB140" s="152"/>
      <c r="BC140" s="152"/>
    </row>
    <row r="141" customFormat="false" ht="15.75" hidden="false" customHeight="false" outlineLevel="0" collapsed="false">
      <c r="A141" s="152"/>
      <c r="B141" s="152"/>
      <c r="C141" s="154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2"/>
      <c r="AI141" s="152"/>
      <c r="AJ141" s="152"/>
      <c r="AK141" s="152"/>
      <c r="AL141" s="152"/>
      <c r="AM141" s="152"/>
      <c r="AN141" s="152"/>
      <c r="AO141" s="152"/>
      <c r="AP141" s="152"/>
      <c r="AQ141" s="152"/>
      <c r="AR141" s="152"/>
      <c r="AS141" s="152"/>
      <c r="AT141" s="152"/>
      <c r="AU141" s="152"/>
      <c r="AV141" s="152"/>
      <c r="AW141" s="152"/>
      <c r="AX141" s="152"/>
      <c r="AY141" s="152"/>
      <c r="AZ141" s="152"/>
      <c r="BA141" s="152"/>
      <c r="BB141" s="152"/>
      <c r="BC141" s="152"/>
    </row>
    <row r="142" customFormat="false" ht="15.75" hidden="false" customHeight="false" outlineLevel="0" collapsed="false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2"/>
      <c r="AI142" s="152"/>
      <c r="AJ142" s="152"/>
      <c r="AK142" s="152"/>
      <c r="AL142" s="152"/>
      <c r="AM142" s="152"/>
      <c r="AN142" s="152"/>
      <c r="AO142" s="152"/>
      <c r="AP142" s="152"/>
      <c r="AQ142" s="152"/>
      <c r="AR142" s="152"/>
      <c r="AS142" s="152"/>
      <c r="AT142" s="152"/>
      <c r="AU142" s="152"/>
      <c r="AV142" s="152"/>
      <c r="AW142" s="152"/>
      <c r="AX142" s="152"/>
      <c r="AY142" s="152"/>
      <c r="AZ142" s="152"/>
      <c r="BA142" s="152"/>
      <c r="BB142" s="152"/>
      <c r="BC142" s="152"/>
    </row>
    <row r="143" customFormat="false" ht="15.75" hidden="false" customHeight="false" outlineLevel="0" collapsed="false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2"/>
      <c r="AI143" s="152"/>
      <c r="AJ143" s="152"/>
      <c r="AK143" s="152"/>
      <c r="AL143" s="152"/>
      <c r="AM143" s="152"/>
      <c r="AN143" s="152"/>
      <c r="AO143" s="152"/>
      <c r="AP143" s="152"/>
      <c r="AQ143" s="152"/>
      <c r="AR143" s="152"/>
      <c r="AS143" s="152"/>
      <c r="AT143" s="152"/>
      <c r="AU143" s="152"/>
      <c r="AV143" s="152"/>
      <c r="AW143" s="152"/>
      <c r="AX143" s="152"/>
      <c r="AY143" s="152"/>
      <c r="AZ143" s="152"/>
      <c r="BA143" s="152"/>
      <c r="BB143" s="152"/>
      <c r="BC143" s="152"/>
    </row>
    <row r="144" customFormat="false" ht="15.75" hidden="false" customHeight="false" outlineLevel="0" collapsed="false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2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  <c r="AS144" s="152"/>
      <c r="AT144" s="152"/>
      <c r="AU144" s="152"/>
      <c r="AV144" s="152"/>
      <c r="AW144" s="152"/>
      <c r="AX144" s="152"/>
      <c r="AY144" s="152"/>
      <c r="AZ144" s="152"/>
      <c r="BA144" s="152"/>
      <c r="BB144" s="152"/>
      <c r="BC144" s="152"/>
    </row>
    <row r="145" customFormat="false" ht="15.75" hidden="false" customHeight="false" outlineLevel="0" collapsed="false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52"/>
      <c r="AV145" s="152"/>
      <c r="AW145" s="152"/>
      <c r="AX145" s="152"/>
      <c r="AY145" s="152"/>
      <c r="AZ145" s="152"/>
      <c r="BA145" s="152"/>
      <c r="BB145" s="152"/>
      <c r="BC145" s="152"/>
    </row>
    <row r="146" customFormat="false" ht="15.75" hidden="false" customHeight="false" outlineLevel="0" collapsed="false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2"/>
      <c r="AI146" s="152"/>
      <c r="AJ146" s="152"/>
      <c r="AK146" s="152"/>
      <c r="AL146" s="152"/>
      <c r="AM146" s="152"/>
      <c r="AN146" s="152"/>
      <c r="AO146" s="152"/>
      <c r="AP146" s="152"/>
      <c r="AQ146" s="152"/>
      <c r="AR146" s="152"/>
      <c r="AS146" s="152"/>
      <c r="AT146" s="152"/>
      <c r="AU146" s="152"/>
      <c r="AV146" s="152"/>
      <c r="AW146" s="152"/>
      <c r="AX146" s="152"/>
      <c r="AY146" s="152"/>
      <c r="AZ146" s="152"/>
      <c r="BA146" s="152"/>
      <c r="BB146" s="152"/>
      <c r="BC146" s="152"/>
    </row>
    <row r="147" customFormat="false" ht="15.75" hidden="false" customHeight="false" outlineLevel="0" collapsed="false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2"/>
      <c r="AI147" s="152"/>
      <c r="AJ147" s="152"/>
      <c r="AK147" s="152"/>
      <c r="AL147" s="152"/>
      <c r="AM147" s="152"/>
      <c r="AN147" s="152"/>
      <c r="AO147" s="152"/>
      <c r="AP147" s="152"/>
      <c r="AQ147" s="152"/>
      <c r="AR147" s="152"/>
      <c r="AS147" s="152"/>
      <c r="AT147" s="152"/>
      <c r="AU147" s="152"/>
      <c r="AV147" s="152"/>
      <c r="AW147" s="152"/>
      <c r="AX147" s="152"/>
      <c r="AY147" s="152"/>
      <c r="AZ147" s="152"/>
      <c r="BA147" s="152"/>
      <c r="BB147" s="152"/>
      <c r="BC147" s="152"/>
    </row>
    <row r="148" customFormat="false" ht="15.75" hidden="false" customHeight="false" outlineLevel="0" collapsed="false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2"/>
      <c r="AI148" s="152"/>
      <c r="AJ148" s="152"/>
      <c r="AK148" s="152"/>
      <c r="AL148" s="152"/>
      <c r="AM148" s="152"/>
      <c r="AN148" s="152"/>
      <c r="AO148" s="152"/>
      <c r="AP148" s="152"/>
      <c r="AQ148" s="152"/>
      <c r="AR148" s="152"/>
      <c r="AS148" s="152"/>
      <c r="AT148" s="152"/>
      <c r="AU148" s="152"/>
      <c r="AV148" s="152"/>
      <c r="AW148" s="152"/>
      <c r="AX148" s="152"/>
      <c r="AY148" s="152"/>
      <c r="AZ148" s="152"/>
      <c r="BA148" s="152"/>
      <c r="BB148" s="152"/>
      <c r="BC148" s="152"/>
    </row>
    <row r="149" customFormat="false" ht="15.75" hidden="false" customHeight="false" outlineLevel="0" collapsed="false">
      <c r="A149" s="152"/>
      <c r="B149" s="152"/>
      <c r="C149" s="154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2"/>
      <c r="AI149" s="152"/>
      <c r="AJ149" s="152"/>
      <c r="AK149" s="152"/>
      <c r="AL149" s="152"/>
      <c r="AM149" s="152"/>
      <c r="AN149" s="152"/>
      <c r="AO149" s="152"/>
      <c r="AP149" s="152"/>
      <c r="AQ149" s="152"/>
      <c r="AR149" s="152"/>
      <c r="AS149" s="152"/>
      <c r="AT149" s="152"/>
      <c r="AU149" s="152"/>
      <c r="AV149" s="152"/>
      <c r="AW149" s="152"/>
      <c r="AX149" s="152"/>
      <c r="AY149" s="152"/>
      <c r="AZ149" s="152"/>
      <c r="BA149" s="152"/>
      <c r="BB149" s="152"/>
      <c r="BC149" s="152"/>
    </row>
    <row r="150" customFormat="false" ht="15.75" hidden="false" customHeight="false" outlineLevel="0" collapsed="false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2"/>
      <c r="AI150" s="152"/>
      <c r="AJ150" s="152"/>
      <c r="AK150" s="152"/>
      <c r="AL150" s="152"/>
      <c r="AM150" s="152"/>
      <c r="AN150" s="152"/>
      <c r="AO150" s="152"/>
      <c r="AP150" s="152"/>
      <c r="AQ150" s="152"/>
      <c r="AR150" s="152"/>
      <c r="AS150" s="152"/>
      <c r="AT150" s="152"/>
      <c r="AU150" s="152"/>
      <c r="AV150" s="152"/>
      <c r="AW150" s="152"/>
      <c r="AX150" s="152"/>
      <c r="AY150" s="152"/>
      <c r="AZ150" s="152"/>
      <c r="BA150" s="152"/>
      <c r="BB150" s="152"/>
      <c r="BC150" s="152"/>
    </row>
    <row r="151" customFormat="false" ht="15.75" hidden="false" customHeight="false" outlineLevel="0" collapsed="false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2"/>
      <c r="AI151" s="152"/>
      <c r="AJ151" s="152"/>
      <c r="AK151" s="152"/>
      <c r="AL151" s="152"/>
      <c r="AM151" s="152"/>
      <c r="AN151" s="152"/>
      <c r="AO151" s="152"/>
      <c r="AP151" s="152"/>
      <c r="AQ151" s="152"/>
      <c r="AR151" s="152"/>
      <c r="AS151" s="152"/>
      <c r="AT151" s="152"/>
      <c r="AU151" s="152"/>
      <c r="AV151" s="152"/>
      <c r="AW151" s="152"/>
      <c r="AX151" s="152"/>
      <c r="AY151" s="152"/>
      <c r="AZ151" s="152"/>
      <c r="BA151" s="152"/>
      <c r="BB151" s="152"/>
      <c r="BC151" s="152"/>
    </row>
    <row r="152" customFormat="false" ht="15.75" hidden="false" customHeight="false" outlineLevel="0" collapsed="false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2"/>
      <c r="AI152" s="152"/>
      <c r="AJ152" s="152"/>
      <c r="AK152" s="152"/>
      <c r="AL152" s="152"/>
      <c r="AM152" s="152"/>
      <c r="AN152" s="152"/>
      <c r="AO152" s="152"/>
      <c r="AP152" s="152"/>
      <c r="AQ152" s="152"/>
      <c r="AR152" s="152"/>
      <c r="AS152" s="152"/>
      <c r="AT152" s="152"/>
      <c r="AU152" s="152"/>
      <c r="AV152" s="152"/>
      <c r="AW152" s="152"/>
      <c r="AX152" s="152"/>
      <c r="AY152" s="152"/>
      <c r="AZ152" s="152"/>
      <c r="BA152" s="152"/>
      <c r="BB152" s="152"/>
      <c r="BC152" s="152"/>
    </row>
    <row r="153" customFormat="false" ht="15.75" hidden="false" customHeight="false" outlineLevel="0" collapsed="false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2"/>
      <c r="AI153" s="152"/>
      <c r="AJ153" s="152"/>
      <c r="AK153" s="152"/>
      <c r="AL153" s="152"/>
      <c r="AM153" s="152"/>
      <c r="AN153" s="152"/>
      <c r="AO153" s="152"/>
      <c r="AP153" s="152"/>
      <c r="AQ153" s="152"/>
      <c r="AR153" s="152"/>
      <c r="AS153" s="152"/>
      <c r="AT153" s="152"/>
      <c r="AU153" s="152"/>
      <c r="AV153" s="152"/>
      <c r="AW153" s="152"/>
      <c r="AX153" s="152"/>
      <c r="AY153" s="152"/>
      <c r="AZ153" s="152"/>
      <c r="BA153" s="152"/>
      <c r="BB153" s="152"/>
      <c r="BC153" s="152"/>
    </row>
    <row r="154" customFormat="false" ht="15.75" hidden="false" customHeight="false" outlineLevel="0" collapsed="false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2"/>
      <c r="AI154" s="152"/>
      <c r="AJ154" s="152"/>
      <c r="AK154" s="152"/>
      <c r="AL154" s="152"/>
      <c r="AM154" s="152"/>
      <c r="AN154" s="152"/>
      <c r="AO154" s="152"/>
      <c r="AP154" s="152"/>
      <c r="AQ154" s="152"/>
      <c r="AR154" s="152"/>
      <c r="AS154" s="152"/>
      <c r="AT154" s="152"/>
      <c r="AU154" s="152"/>
      <c r="AV154" s="152"/>
      <c r="AW154" s="152"/>
      <c r="AX154" s="152"/>
      <c r="AY154" s="152"/>
      <c r="AZ154" s="152"/>
      <c r="BA154" s="152"/>
      <c r="BB154" s="152"/>
      <c r="BC154" s="152"/>
    </row>
    <row r="155" customFormat="false" ht="15.75" hidden="false" customHeight="false" outlineLevel="0" collapsed="false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2"/>
      <c r="AI155" s="152"/>
      <c r="AJ155" s="152"/>
      <c r="AK155" s="152"/>
      <c r="AL155" s="152"/>
      <c r="AM155" s="152"/>
      <c r="AN155" s="152"/>
      <c r="AO155" s="152"/>
      <c r="AP155" s="152"/>
      <c r="AQ155" s="152"/>
      <c r="AR155" s="152"/>
      <c r="AS155" s="152"/>
      <c r="AT155" s="152"/>
      <c r="AU155" s="152"/>
      <c r="AV155" s="152"/>
      <c r="AW155" s="152"/>
      <c r="AX155" s="152"/>
      <c r="AY155" s="152"/>
      <c r="AZ155" s="152"/>
      <c r="BA155" s="152"/>
      <c r="BB155" s="152"/>
      <c r="BC155" s="152"/>
    </row>
    <row r="156" customFormat="false" ht="15.75" hidden="false" customHeight="false" outlineLevel="0" collapsed="false">
      <c r="A156" s="152"/>
      <c r="B156" s="154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2"/>
      <c r="AI156" s="152"/>
      <c r="AJ156" s="152"/>
      <c r="AK156" s="152"/>
      <c r="AL156" s="152"/>
      <c r="AM156" s="152"/>
      <c r="AN156" s="152"/>
      <c r="AO156" s="152"/>
      <c r="AP156" s="152"/>
      <c r="AQ156" s="152"/>
      <c r="AR156" s="152"/>
      <c r="AS156" s="152"/>
      <c r="AT156" s="152"/>
      <c r="AU156" s="152"/>
      <c r="AV156" s="152"/>
      <c r="AW156" s="152"/>
      <c r="AX156" s="152"/>
      <c r="AY156" s="152"/>
      <c r="AZ156" s="152"/>
      <c r="BA156" s="152"/>
      <c r="BB156" s="152"/>
      <c r="BC156" s="152"/>
    </row>
    <row r="157" customFormat="false" ht="15.75" hidden="false" customHeight="false" outlineLevel="0" collapsed="false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2"/>
      <c r="AI157" s="152"/>
      <c r="AJ157" s="152"/>
      <c r="AK157" s="152"/>
      <c r="AL157" s="152"/>
      <c r="AM157" s="152"/>
      <c r="AN157" s="152"/>
      <c r="AO157" s="152"/>
      <c r="AP157" s="152"/>
      <c r="AQ157" s="152"/>
      <c r="AR157" s="152"/>
      <c r="AS157" s="152"/>
      <c r="AT157" s="152"/>
      <c r="AU157" s="152"/>
      <c r="AV157" s="152"/>
      <c r="AW157" s="152"/>
      <c r="AX157" s="152"/>
      <c r="AY157" s="152"/>
      <c r="AZ157" s="152"/>
      <c r="BA157" s="152"/>
      <c r="BB157" s="152"/>
      <c r="BC157" s="152"/>
    </row>
    <row r="158" customFormat="false" ht="15.75" hidden="false" customHeight="false" outlineLevel="0" collapsed="false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2"/>
      <c r="AI158" s="152"/>
      <c r="AJ158" s="152"/>
      <c r="AK158" s="152"/>
      <c r="AL158" s="152"/>
      <c r="AM158" s="152"/>
      <c r="AN158" s="152"/>
      <c r="AO158" s="152"/>
      <c r="AP158" s="152"/>
      <c r="AQ158" s="152"/>
      <c r="AR158" s="152"/>
      <c r="AS158" s="152"/>
      <c r="AT158" s="152"/>
      <c r="AU158" s="152"/>
      <c r="AV158" s="152"/>
      <c r="AW158" s="152"/>
      <c r="AX158" s="152"/>
      <c r="AY158" s="152"/>
      <c r="AZ158" s="152"/>
      <c r="BA158" s="152"/>
      <c r="BB158" s="152"/>
      <c r="BC158" s="152"/>
    </row>
    <row r="159" customFormat="false" ht="15.75" hidden="false" customHeight="false" outlineLevel="0" collapsed="false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2"/>
      <c r="AI159" s="152"/>
      <c r="AJ159" s="152"/>
      <c r="AK159" s="152"/>
      <c r="AL159" s="152"/>
      <c r="AM159" s="152"/>
      <c r="AN159" s="152"/>
      <c r="AO159" s="152"/>
      <c r="AP159" s="152"/>
      <c r="AQ159" s="152"/>
      <c r="AR159" s="152"/>
      <c r="AS159" s="152"/>
      <c r="AT159" s="152"/>
      <c r="AU159" s="152"/>
      <c r="AV159" s="152"/>
      <c r="AW159" s="152"/>
      <c r="AX159" s="152"/>
      <c r="AY159" s="152"/>
      <c r="AZ159" s="152"/>
      <c r="BA159" s="152"/>
      <c r="BB159" s="152"/>
      <c r="BC159" s="152"/>
    </row>
    <row r="160" customFormat="false" ht="15.75" hidden="false" customHeight="false" outlineLevel="0" collapsed="false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2"/>
      <c r="AI160" s="152"/>
      <c r="AJ160" s="152"/>
      <c r="AK160" s="152"/>
      <c r="AL160" s="152"/>
      <c r="AM160" s="152"/>
      <c r="AN160" s="152"/>
      <c r="AO160" s="152"/>
      <c r="AP160" s="152"/>
      <c r="AQ160" s="152"/>
      <c r="AR160" s="152"/>
      <c r="AS160" s="152"/>
      <c r="AT160" s="152"/>
      <c r="AU160" s="152"/>
      <c r="AV160" s="152"/>
      <c r="AW160" s="152"/>
      <c r="AX160" s="152"/>
      <c r="AY160" s="152"/>
      <c r="AZ160" s="152"/>
      <c r="BA160" s="152"/>
      <c r="BB160" s="152"/>
      <c r="BC160" s="152"/>
    </row>
    <row r="161" customFormat="false" ht="15.75" hidden="false" customHeight="false" outlineLevel="0" collapsed="false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2"/>
      <c r="AI161" s="152"/>
      <c r="AJ161" s="152"/>
      <c r="AK161" s="152"/>
      <c r="AL161" s="152"/>
      <c r="AM161" s="152"/>
      <c r="AN161" s="152"/>
      <c r="AO161" s="152"/>
      <c r="AP161" s="152"/>
      <c r="AQ161" s="152"/>
      <c r="AR161" s="152"/>
      <c r="AS161" s="152"/>
      <c r="AT161" s="152"/>
      <c r="AU161" s="152"/>
      <c r="AV161" s="152"/>
      <c r="AW161" s="152"/>
      <c r="AX161" s="152"/>
      <c r="AY161" s="152"/>
      <c r="AZ161" s="152"/>
      <c r="BA161" s="152"/>
      <c r="BB161" s="152"/>
      <c r="BC161" s="152"/>
    </row>
    <row r="162" customFormat="false" ht="15.75" hidden="false" customHeight="false" outlineLevel="0" collapsed="false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2"/>
      <c r="AI162" s="152"/>
      <c r="AJ162" s="152"/>
      <c r="AK162" s="152"/>
      <c r="AL162" s="152"/>
      <c r="AM162" s="152"/>
      <c r="AN162" s="152"/>
      <c r="AO162" s="152"/>
      <c r="AP162" s="152"/>
      <c r="AQ162" s="152"/>
      <c r="AR162" s="152"/>
      <c r="AS162" s="152"/>
      <c r="AT162" s="152"/>
      <c r="AU162" s="152"/>
      <c r="AV162" s="152"/>
      <c r="AW162" s="152"/>
      <c r="AX162" s="152"/>
      <c r="AY162" s="152"/>
      <c r="AZ162" s="152"/>
      <c r="BA162" s="152"/>
      <c r="BB162" s="152"/>
      <c r="BC162" s="152"/>
    </row>
    <row r="163" customFormat="false" ht="15.75" hidden="false" customHeight="false" outlineLevel="0" collapsed="false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2"/>
      <c r="AI163" s="152"/>
      <c r="AJ163" s="152"/>
      <c r="AK163" s="152"/>
      <c r="AL163" s="152"/>
      <c r="AM163" s="152"/>
      <c r="AN163" s="152"/>
      <c r="AO163" s="152"/>
      <c r="AP163" s="152"/>
      <c r="AQ163" s="152"/>
      <c r="AR163" s="152"/>
      <c r="AS163" s="152"/>
      <c r="AT163" s="152"/>
      <c r="AU163" s="152"/>
      <c r="AV163" s="152"/>
      <c r="AW163" s="152"/>
      <c r="AX163" s="152"/>
      <c r="AY163" s="152"/>
      <c r="AZ163" s="152"/>
      <c r="BA163" s="152"/>
      <c r="BB163" s="152"/>
      <c r="BC163" s="152"/>
    </row>
    <row r="164" customFormat="false" ht="15.75" hidden="false" customHeight="false" outlineLevel="0" collapsed="false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2"/>
      <c r="AI164" s="152"/>
      <c r="AJ164" s="152"/>
      <c r="AK164" s="152"/>
      <c r="AL164" s="152"/>
      <c r="AM164" s="152"/>
      <c r="AN164" s="152"/>
      <c r="AO164" s="152"/>
      <c r="AP164" s="152"/>
      <c r="AQ164" s="152"/>
      <c r="AR164" s="152"/>
      <c r="AS164" s="152"/>
      <c r="AT164" s="152"/>
      <c r="AU164" s="152"/>
      <c r="AV164" s="152"/>
      <c r="AW164" s="152"/>
      <c r="AX164" s="152"/>
      <c r="AY164" s="152"/>
      <c r="AZ164" s="152"/>
      <c r="BA164" s="152"/>
      <c r="BB164" s="152"/>
      <c r="BC164" s="152"/>
    </row>
    <row r="165" customFormat="false" ht="15.75" hidden="false" customHeight="false" outlineLevel="0" collapsed="false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2"/>
      <c r="AI165" s="152"/>
      <c r="AJ165" s="152"/>
      <c r="AK165" s="152"/>
      <c r="AL165" s="152"/>
      <c r="AM165" s="152"/>
      <c r="AN165" s="152"/>
      <c r="AO165" s="152"/>
      <c r="AP165" s="152"/>
      <c r="AQ165" s="152"/>
      <c r="AR165" s="152"/>
      <c r="AS165" s="152"/>
      <c r="AT165" s="152"/>
      <c r="AU165" s="152"/>
      <c r="AV165" s="152"/>
      <c r="AW165" s="152"/>
      <c r="AX165" s="152"/>
      <c r="AY165" s="152"/>
      <c r="AZ165" s="152"/>
      <c r="BA165" s="152"/>
      <c r="BB165" s="152"/>
      <c r="BC165" s="152"/>
    </row>
    <row r="166" customFormat="false" ht="15.75" hidden="false" customHeight="false" outlineLevel="0" collapsed="false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2"/>
      <c r="AI166" s="152"/>
      <c r="AJ166" s="152"/>
      <c r="AK166" s="152"/>
      <c r="AL166" s="152"/>
      <c r="AM166" s="152"/>
      <c r="AN166" s="152"/>
      <c r="AO166" s="152"/>
      <c r="AP166" s="152"/>
      <c r="AQ166" s="152"/>
      <c r="AR166" s="152"/>
      <c r="AS166" s="152"/>
      <c r="AT166" s="152"/>
      <c r="AU166" s="152"/>
      <c r="AV166" s="152"/>
      <c r="AW166" s="152"/>
      <c r="AX166" s="152"/>
      <c r="AY166" s="152"/>
      <c r="AZ166" s="152"/>
      <c r="BA166" s="152"/>
      <c r="BB166" s="152"/>
      <c r="BC166" s="152"/>
    </row>
    <row r="167" customFormat="false" ht="15.75" hidden="false" customHeight="false" outlineLevel="0" collapsed="false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  <c r="AG167" s="152"/>
      <c r="AH167" s="152"/>
      <c r="AI167" s="152"/>
      <c r="AJ167" s="152"/>
      <c r="AK167" s="152"/>
      <c r="AL167" s="152"/>
      <c r="AM167" s="152"/>
      <c r="AN167" s="152"/>
      <c r="AO167" s="152"/>
      <c r="AP167" s="152"/>
      <c r="AQ167" s="152"/>
      <c r="AR167" s="152"/>
      <c r="AS167" s="152"/>
      <c r="AT167" s="152"/>
      <c r="AU167" s="152"/>
      <c r="AV167" s="152"/>
      <c r="AW167" s="152"/>
      <c r="AX167" s="152"/>
      <c r="AY167" s="152"/>
      <c r="AZ167" s="152"/>
      <c r="BA167" s="152"/>
      <c r="BB167" s="152"/>
      <c r="BC167" s="152"/>
    </row>
    <row r="168" customFormat="false" ht="15.75" hidden="false" customHeight="false" outlineLevel="0" collapsed="false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2"/>
      <c r="AI168" s="152"/>
      <c r="AJ168" s="152"/>
      <c r="AK168" s="152"/>
      <c r="AL168" s="152"/>
      <c r="AM168" s="152"/>
      <c r="AN168" s="152"/>
      <c r="AO168" s="152"/>
      <c r="AP168" s="152"/>
      <c r="AQ168" s="152"/>
      <c r="AR168" s="152"/>
      <c r="AS168" s="152"/>
      <c r="AT168" s="152"/>
      <c r="AU168" s="152"/>
      <c r="AV168" s="152"/>
      <c r="AW168" s="152"/>
      <c r="AX168" s="152"/>
      <c r="AY168" s="152"/>
      <c r="AZ168" s="152"/>
      <c r="BA168" s="152"/>
      <c r="BB168" s="152"/>
      <c r="BC168" s="152"/>
    </row>
    <row r="169" customFormat="false" ht="15.75" hidden="false" customHeight="false" outlineLevel="0" collapsed="false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2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  <c r="AS169" s="152"/>
      <c r="AT169" s="152"/>
      <c r="AU169" s="152"/>
      <c r="AV169" s="152"/>
      <c r="AW169" s="152"/>
      <c r="AX169" s="152"/>
      <c r="AY169" s="152"/>
      <c r="AZ169" s="152"/>
      <c r="BA169" s="152"/>
      <c r="BB169" s="152"/>
      <c r="BC169" s="152"/>
    </row>
    <row r="170" customFormat="false" ht="15.75" hidden="false" customHeight="false" outlineLevel="0" collapsed="false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2"/>
      <c r="AI170" s="152"/>
      <c r="AJ170" s="152"/>
      <c r="AK170" s="152"/>
      <c r="AL170" s="152"/>
      <c r="AM170" s="152"/>
      <c r="AN170" s="152"/>
      <c r="AO170" s="152"/>
      <c r="AP170" s="152"/>
      <c r="AQ170" s="152"/>
      <c r="AR170" s="152"/>
      <c r="AS170" s="152"/>
      <c r="AT170" s="152"/>
      <c r="AU170" s="152"/>
      <c r="AV170" s="152"/>
      <c r="AW170" s="152"/>
      <c r="AX170" s="152"/>
      <c r="AY170" s="152"/>
      <c r="AZ170" s="152"/>
      <c r="BA170" s="152"/>
      <c r="BB170" s="152"/>
      <c r="BC170" s="152"/>
    </row>
    <row r="171" customFormat="false" ht="15.75" hidden="false" customHeight="false" outlineLevel="0" collapsed="false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2"/>
      <c r="AI171" s="152"/>
      <c r="AJ171" s="152"/>
      <c r="AK171" s="152"/>
      <c r="AL171" s="152"/>
      <c r="AM171" s="152"/>
      <c r="AN171" s="152"/>
      <c r="AO171" s="152"/>
      <c r="AP171" s="152"/>
      <c r="AQ171" s="152"/>
      <c r="AR171" s="152"/>
      <c r="AS171" s="152"/>
      <c r="AT171" s="152"/>
      <c r="AU171" s="152"/>
      <c r="AV171" s="152"/>
      <c r="AW171" s="152"/>
      <c r="AX171" s="152"/>
      <c r="AY171" s="152"/>
      <c r="AZ171" s="152"/>
      <c r="BA171" s="152"/>
      <c r="BB171" s="152"/>
      <c r="BC171" s="152"/>
    </row>
    <row r="172" customFormat="false" ht="15.75" hidden="false" customHeight="false" outlineLevel="0" collapsed="false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2"/>
      <c r="AI172" s="152"/>
      <c r="AJ172" s="152"/>
      <c r="AK172" s="152"/>
      <c r="AL172" s="152"/>
      <c r="AM172" s="152"/>
      <c r="AN172" s="152"/>
      <c r="AO172" s="152"/>
      <c r="AP172" s="152"/>
      <c r="AQ172" s="152"/>
      <c r="AR172" s="152"/>
      <c r="AS172" s="152"/>
      <c r="AT172" s="152"/>
      <c r="AU172" s="152"/>
      <c r="AV172" s="152"/>
      <c r="AW172" s="152"/>
      <c r="AX172" s="152"/>
      <c r="AY172" s="152"/>
      <c r="AZ172" s="152"/>
      <c r="BA172" s="152"/>
      <c r="BB172" s="152"/>
      <c r="BC172" s="152"/>
    </row>
    <row r="173" customFormat="false" ht="15.75" hidden="false" customHeight="false" outlineLevel="0" collapsed="false">
      <c r="A173" s="152"/>
      <c r="B173" s="152"/>
      <c r="C173" s="154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2"/>
      <c r="AI173" s="152"/>
      <c r="AJ173" s="152"/>
      <c r="AK173" s="152"/>
      <c r="AL173" s="152"/>
      <c r="AM173" s="152"/>
      <c r="AN173" s="152"/>
      <c r="AO173" s="152"/>
      <c r="AP173" s="152"/>
      <c r="AQ173" s="152"/>
      <c r="AR173" s="152"/>
      <c r="AS173" s="152"/>
      <c r="AT173" s="152"/>
      <c r="AU173" s="152"/>
      <c r="AV173" s="152"/>
      <c r="AW173" s="152"/>
      <c r="AX173" s="152"/>
      <c r="AY173" s="152"/>
      <c r="AZ173" s="152"/>
      <c r="BA173" s="152"/>
      <c r="BB173" s="152"/>
      <c r="BC173" s="152"/>
    </row>
    <row r="174" customFormat="false" ht="15.75" hidden="false" customHeight="false" outlineLevel="0" collapsed="false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2"/>
      <c r="AI174" s="152"/>
      <c r="AJ174" s="152"/>
      <c r="AK174" s="152"/>
      <c r="AL174" s="152"/>
      <c r="AM174" s="152"/>
      <c r="AN174" s="152"/>
      <c r="AO174" s="152"/>
      <c r="AP174" s="152"/>
      <c r="AQ174" s="152"/>
      <c r="AR174" s="152"/>
      <c r="AS174" s="152"/>
      <c r="AT174" s="152"/>
      <c r="AU174" s="152"/>
      <c r="AV174" s="152"/>
      <c r="AW174" s="152"/>
      <c r="AX174" s="152"/>
      <c r="AY174" s="152"/>
      <c r="AZ174" s="152"/>
      <c r="BA174" s="152"/>
      <c r="BB174" s="152"/>
      <c r="BC174" s="152"/>
    </row>
    <row r="175" customFormat="false" ht="15.75" hidden="false" customHeight="false" outlineLevel="0" collapsed="false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2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  <c r="AS175" s="152"/>
      <c r="AT175" s="152"/>
      <c r="AU175" s="152"/>
      <c r="AV175" s="152"/>
      <c r="AW175" s="152"/>
      <c r="AX175" s="152"/>
      <c r="AY175" s="152"/>
      <c r="AZ175" s="152"/>
      <c r="BA175" s="152"/>
      <c r="BB175" s="152"/>
      <c r="BC175" s="152"/>
    </row>
    <row r="176" customFormat="false" ht="15.75" hidden="false" customHeight="false" outlineLevel="0" collapsed="false">
      <c r="A176" s="152"/>
      <c r="B176" s="154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2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  <c r="AS176" s="152"/>
      <c r="AT176" s="152"/>
      <c r="AU176" s="152"/>
      <c r="AV176" s="152"/>
      <c r="AW176" s="152"/>
      <c r="AX176" s="152"/>
      <c r="AY176" s="152"/>
      <c r="AZ176" s="152"/>
      <c r="BA176" s="152"/>
      <c r="BB176" s="152"/>
      <c r="BC176" s="152"/>
    </row>
    <row r="177" customFormat="false" ht="15.75" hidden="false" customHeight="false" outlineLevel="0" collapsed="false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2"/>
      <c r="AI177" s="152"/>
      <c r="AJ177" s="152"/>
      <c r="AK177" s="152"/>
      <c r="AL177" s="152"/>
      <c r="AM177" s="152"/>
      <c r="AN177" s="152"/>
      <c r="AO177" s="152"/>
      <c r="AP177" s="152"/>
      <c r="AQ177" s="152"/>
      <c r="AR177" s="152"/>
      <c r="AS177" s="152"/>
      <c r="AT177" s="152"/>
      <c r="AU177" s="152"/>
      <c r="AV177" s="152"/>
      <c r="AW177" s="152"/>
      <c r="AX177" s="152"/>
      <c r="AY177" s="152"/>
      <c r="AZ177" s="152"/>
      <c r="BA177" s="152"/>
      <c r="BB177" s="152"/>
      <c r="BC177" s="152"/>
    </row>
    <row r="178" customFormat="false" ht="15.75" hidden="false" customHeight="false" outlineLevel="0" collapsed="false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2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  <c r="AS178" s="152"/>
      <c r="AT178" s="152"/>
      <c r="AU178" s="152"/>
      <c r="AV178" s="152"/>
      <c r="AW178" s="152"/>
      <c r="AX178" s="152"/>
      <c r="AY178" s="152"/>
      <c r="AZ178" s="152"/>
      <c r="BA178" s="152"/>
      <c r="BB178" s="152"/>
      <c r="BC178" s="152"/>
    </row>
    <row r="179" customFormat="false" ht="15.75" hidden="false" customHeight="false" outlineLevel="0" collapsed="false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2"/>
      <c r="AI179" s="152"/>
      <c r="AJ179" s="152"/>
      <c r="AK179" s="152"/>
      <c r="AL179" s="152"/>
      <c r="AM179" s="152"/>
      <c r="AN179" s="152"/>
      <c r="AO179" s="152"/>
      <c r="AP179" s="152"/>
      <c r="AQ179" s="152"/>
      <c r="AR179" s="152"/>
      <c r="AS179" s="152"/>
      <c r="AT179" s="152"/>
      <c r="AU179" s="152"/>
      <c r="AV179" s="152"/>
      <c r="AW179" s="152"/>
      <c r="AX179" s="152"/>
      <c r="AY179" s="152"/>
      <c r="AZ179" s="152"/>
      <c r="BA179" s="152"/>
      <c r="BB179" s="152"/>
      <c r="BC179" s="152"/>
    </row>
    <row r="180" customFormat="false" ht="15.75" hidden="false" customHeight="false" outlineLevel="0" collapsed="false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2"/>
      <c r="AI180" s="152"/>
      <c r="AJ180" s="152"/>
      <c r="AK180" s="152"/>
      <c r="AL180" s="152"/>
      <c r="AM180" s="152"/>
      <c r="AN180" s="152"/>
      <c r="AO180" s="152"/>
      <c r="AP180" s="152"/>
      <c r="AQ180" s="152"/>
      <c r="AR180" s="152"/>
      <c r="AS180" s="152"/>
      <c r="AT180" s="152"/>
      <c r="AU180" s="152"/>
      <c r="AV180" s="152"/>
      <c r="AW180" s="152"/>
      <c r="AX180" s="152"/>
      <c r="AY180" s="152"/>
      <c r="AZ180" s="152"/>
      <c r="BA180" s="152"/>
      <c r="BB180" s="152"/>
      <c r="BC180" s="152"/>
    </row>
    <row r="181" customFormat="false" ht="15.75" hidden="false" customHeight="false" outlineLevel="0" collapsed="false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2"/>
      <c r="AI181" s="152"/>
      <c r="AJ181" s="152"/>
      <c r="AK181" s="152"/>
      <c r="AL181" s="152"/>
      <c r="AM181" s="152"/>
      <c r="AN181" s="152"/>
      <c r="AO181" s="152"/>
      <c r="AP181" s="152"/>
      <c r="AQ181" s="152"/>
      <c r="AR181" s="152"/>
      <c r="AS181" s="152"/>
      <c r="AT181" s="152"/>
      <c r="AU181" s="152"/>
      <c r="AV181" s="152"/>
      <c r="AW181" s="152"/>
      <c r="AX181" s="152"/>
      <c r="AY181" s="152"/>
      <c r="AZ181" s="152"/>
      <c r="BA181" s="152"/>
      <c r="BB181" s="152"/>
      <c r="BC181" s="152"/>
    </row>
    <row r="182" customFormat="false" ht="15.75" hidden="false" customHeight="false" outlineLevel="0" collapsed="false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2"/>
      <c r="AI182" s="152"/>
      <c r="AJ182" s="152"/>
      <c r="AK182" s="152"/>
      <c r="AL182" s="152"/>
      <c r="AM182" s="152"/>
      <c r="AN182" s="152"/>
      <c r="AO182" s="152"/>
      <c r="AP182" s="152"/>
      <c r="AQ182" s="152"/>
      <c r="AR182" s="152"/>
      <c r="AS182" s="152"/>
      <c r="AT182" s="152"/>
      <c r="AU182" s="152"/>
      <c r="AV182" s="152"/>
      <c r="AW182" s="152"/>
      <c r="AX182" s="152"/>
      <c r="AY182" s="152"/>
      <c r="AZ182" s="152"/>
      <c r="BA182" s="152"/>
      <c r="BB182" s="152"/>
      <c r="BC182" s="152"/>
    </row>
    <row r="183" customFormat="false" ht="15.75" hidden="false" customHeight="false" outlineLevel="0" collapsed="false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2"/>
      <c r="AI183" s="152"/>
      <c r="AJ183" s="152"/>
      <c r="AK183" s="152"/>
      <c r="AL183" s="152"/>
      <c r="AM183" s="152"/>
      <c r="AN183" s="152"/>
      <c r="AO183" s="152"/>
      <c r="AP183" s="152"/>
      <c r="AQ183" s="152"/>
      <c r="AR183" s="152"/>
      <c r="AS183" s="152"/>
      <c r="AT183" s="152"/>
      <c r="AU183" s="152"/>
      <c r="AV183" s="152"/>
      <c r="AW183" s="152"/>
      <c r="AX183" s="152"/>
      <c r="AY183" s="152"/>
      <c r="AZ183" s="152"/>
      <c r="BA183" s="152"/>
      <c r="BB183" s="152"/>
      <c r="BC183" s="152"/>
    </row>
    <row r="184" customFormat="false" ht="15.75" hidden="false" customHeight="false" outlineLevel="0" collapsed="false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2"/>
      <c r="AI184" s="152"/>
      <c r="AJ184" s="152"/>
      <c r="AK184" s="152"/>
      <c r="AL184" s="152"/>
      <c r="AM184" s="152"/>
      <c r="AN184" s="152"/>
      <c r="AO184" s="152"/>
      <c r="AP184" s="152"/>
      <c r="AQ184" s="152"/>
      <c r="AR184" s="152"/>
      <c r="AS184" s="152"/>
      <c r="AT184" s="152"/>
      <c r="AU184" s="152"/>
      <c r="AV184" s="152"/>
      <c r="AW184" s="152"/>
      <c r="AX184" s="152"/>
      <c r="AY184" s="152"/>
      <c r="AZ184" s="152"/>
      <c r="BA184" s="152"/>
      <c r="BB184" s="152"/>
      <c r="BC184" s="152"/>
    </row>
    <row r="185" customFormat="false" ht="15.75" hidden="false" customHeight="false" outlineLevel="0" collapsed="false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2"/>
      <c r="AI185" s="152"/>
      <c r="AJ185" s="152"/>
      <c r="AK185" s="152"/>
      <c r="AL185" s="152"/>
      <c r="AM185" s="152"/>
      <c r="AN185" s="152"/>
      <c r="AO185" s="152"/>
      <c r="AP185" s="152"/>
      <c r="AQ185" s="152"/>
      <c r="AR185" s="152"/>
      <c r="AS185" s="152"/>
      <c r="AT185" s="152"/>
      <c r="AU185" s="152"/>
      <c r="AV185" s="152"/>
      <c r="AW185" s="152"/>
      <c r="AX185" s="152"/>
      <c r="AY185" s="152"/>
      <c r="AZ185" s="152"/>
      <c r="BA185" s="152"/>
      <c r="BB185" s="152"/>
      <c r="BC185" s="152"/>
    </row>
    <row r="186" customFormat="false" ht="15.75" hidden="false" customHeight="false" outlineLevel="0" collapsed="false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2"/>
      <c r="AI186" s="152"/>
      <c r="AJ186" s="152"/>
      <c r="AK186" s="152"/>
      <c r="AL186" s="152"/>
      <c r="AM186" s="152"/>
      <c r="AN186" s="152"/>
      <c r="AO186" s="152"/>
      <c r="AP186" s="152"/>
      <c r="AQ186" s="152"/>
      <c r="AR186" s="152"/>
      <c r="AS186" s="152"/>
      <c r="AT186" s="152"/>
      <c r="AU186" s="152"/>
      <c r="AV186" s="152"/>
      <c r="AW186" s="152"/>
      <c r="AX186" s="152"/>
      <c r="AY186" s="152"/>
      <c r="AZ186" s="152"/>
      <c r="BA186" s="152"/>
      <c r="BB186" s="152"/>
      <c r="BC186" s="152"/>
    </row>
    <row r="187" customFormat="false" ht="15.75" hidden="false" customHeight="false" outlineLevel="0" collapsed="false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2"/>
      <c r="AI187" s="152"/>
      <c r="AJ187" s="152"/>
      <c r="AK187" s="152"/>
      <c r="AL187" s="152"/>
      <c r="AM187" s="152"/>
      <c r="AN187" s="152"/>
      <c r="AO187" s="152"/>
      <c r="AP187" s="152"/>
      <c r="AQ187" s="152"/>
      <c r="AR187" s="152"/>
      <c r="AS187" s="152"/>
      <c r="AT187" s="152"/>
      <c r="AU187" s="152"/>
      <c r="AV187" s="152"/>
      <c r="AW187" s="152"/>
      <c r="AX187" s="152"/>
      <c r="AY187" s="152"/>
      <c r="AZ187" s="152"/>
      <c r="BA187" s="152"/>
      <c r="BB187" s="152"/>
      <c r="BC187" s="152"/>
    </row>
    <row r="188" customFormat="false" ht="15.75" hidden="false" customHeight="false" outlineLevel="0" collapsed="false">
      <c r="A188" s="152"/>
      <c r="B188" s="154"/>
      <c r="C188" s="154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2"/>
      <c r="AI188" s="152"/>
      <c r="AJ188" s="152"/>
      <c r="AK188" s="152"/>
      <c r="AL188" s="152"/>
      <c r="AM188" s="152"/>
      <c r="AN188" s="152"/>
      <c r="AO188" s="152"/>
      <c r="AP188" s="152"/>
      <c r="AQ188" s="152"/>
      <c r="AR188" s="152"/>
      <c r="AS188" s="152"/>
      <c r="AT188" s="152"/>
      <c r="AU188" s="152"/>
      <c r="AV188" s="152"/>
      <c r="AW188" s="152"/>
      <c r="AX188" s="152"/>
      <c r="AY188" s="152"/>
      <c r="AZ188" s="152"/>
      <c r="BA188" s="152"/>
      <c r="BB188" s="152"/>
      <c r="BC188" s="152"/>
    </row>
    <row r="189" customFormat="false" ht="15.75" hidden="false" customHeight="false" outlineLevel="0" collapsed="false">
      <c r="A189" s="152"/>
      <c r="B189" s="152"/>
      <c r="C189" s="154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2"/>
      <c r="AI189" s="152"/>
      <c r="AJ189" s="152"/>
      <c r="AK189" s="152"/>
      <c r="AL189" s="152"/>
      <c r="AM189" s="152"/>
      <c r="AN189" s="152"/>
      <c r="AO189" s="152"/>
      <c r="AP189" s="152"/>
      <c r="AQ189" s="152"/>
      <c r="AR189" s="152"/>
      <c r="AS189" s="152"/>
      <c r="AT189" s="152"/>
      <c r="AU189" s="152"/>
      <c r="AV189" s="152"/>
      <c r="AW189" s="152"/>
      <c r="AX189" s="152"/>
      <c r="AY189" s="152"/>
      <c r="AZ189" s="152"/>
      <c r="BA189" s="152"/>
      <c r="BB189" s="152"/>
      <c r="BC189" s="152"/>
    </row>
    <row r="190" customFormat="false" ht="15.75" hidden="false" customHeight="false" outlineLevel="0" collapsed="false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2"/>
      <c r="AI190" s="152"/>
      <c r="AJ190" s="152"/>
      <c r="AK190" s="152"/>
      <c r="AL190" s="152"/>
      <c r="AM190" s="152"/>
      <c r="AN190" s="152"/>
      <c r="AO190" s="152"/>
      <c r="AP190" s="152"/>
      <c r="AQ190" s="152"/>
      <c r="AR190" s="152"/>
      <c r="AS190" s="152"/>
      <c r="AT190" s="152"/>
      <c r="AU190" s="152"/>
      <c r="AV190" s="152"/>
      <c r="AW190" s="152"/>
      <c r="AX190" s="152"/>
      <c r="AY190" s="152"/>
      <c r="AZ190" s="152"/>
      <c r="BA190" s="152"/>
      <c r="BB190" s="152"/>
      <c r="BC190" s="152"/>
    </row>
    <row r="191" customFormat="false" ht="15.75" hidden="false" customHeight="false" outlineLevel="0" collapsed="false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2"/>
      <c r="AI191" s="152"/>
      <c r="AJ191" s="152"/>
      <c r="AK191" s="152"/>
      <c r="AL191" s="152"/>
      <c r="AM191" s="152"/>
      <c r="AN191" s="152"/>
      <c r="AO191" s="152"/>
      <c r="AP191" s="152"/>
      <c r="AQ191" s="152"/>
      <c r="AR191" s="152"/>
      <c r="AS191" s="152"/>
      <c r="AT191" s="152"/>
      <c r="AU191" s="152"/>
      <c r="AV191" s="152"/>
      <c r="AW191" s="152"/>
      <c r="AX191" s="152"/>
      <c r="AY191" s="152"/>
      <c r="AZ191" s="152"/>
      <c r="BA191" s="152"/>
      <c r="BB191" s="152"/>
      <c r="BC191" s="152"/>
    </row>
    <row r="192" customFormat="false" ht="15.75" hidden="false" customHeight="false" outlineLevel="0" collapsed="false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2"/>
      <c r="AI192" s="152"/>
      <c r="AJ192" s="152"/>
      <c r="AK192" s="152"/>
      <c r="AL192" s="152"/>
      <c r="AM192" s="152"/>
      <c r="AN192" s="152"/>
      <c r="AO192" s="152"/>
      <c r="AP192" s="152"/>
      <c r="AQ192" s="152"/>
      <c r="AR192" s="152"/>
      <c r="AS192" s="152"/>
      <c r="AT192" s="152"/>
      <c r="AU192" s="152"/>
      <c r="AV192" s="152"/>
      <c r="AW192" s="152"/>
      <c r="AX192" s="152"/>
      <c r="AY192" s="152"/>
      <c r="AZ192" s="152"/>
      <c r="BA192" s="152"/>
      <c r="BB192" s="152"/>
      <c r="BC192" s="152"/>
    </row>
    <row r="193" customFormat="false" ht="15.75" hidden="false" customHeight="false" outlineLevel="0" collapsed="false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2"/>
      <c r="AI193" s="152"/>
      <c r="AJ193" s="152"/>
      <c r="AK193" s="152"/>
      <c r="AL193" s="152"/>
      <c r="AM193" s="152"/>
      <c r="AN193" s="152"/>
      <c r="AO193" s="152"/>
      <c r="AP193" s="152"/>
      <c r="AQ193" s="152"/>
      <c r="AR193" s="152"/>
      <c r="AS193" s="152"/>
      <c r="AT193" s="152"/>
      <c r="AU193" s="152"/>
      <c r="AV193" s="152"/>
      <c r="AW193" s="152"/>
      <c r="AX193" s="152"/>
      <c r="AY193" s="152"/>
      <c r="AZ193" s="152"/>
      <c r="BA193" s="152"/>
      <c r="BB193" s="152"/>
      <c r="BC193" s="152"/>
    </row>
    <row r="194" customFormat="false" ht="15.75" hidden="false" customHeight="false" outlineLevel="0" collapsed="false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2"/>
      <c r="AI194" s="152"/>
      <c r="AJ194" s="152"/>
      <c r="AK194" s="152"/>
      <c r="AL194" s="152"/>
      <c r="AM194" s="152"/>
      <c r="AN194" s="152"/>
      <c r="AO194" s="152"/>
      <c r="AP194" s="152"/>
      <c r="AQ194" s="152"/>
      <c r="AR194" s="152"/>
      <c r="AS194" s="152"/>
      <c r="AT194" s="152"/>
      <c r="AU194" s="152"/>
      <c r="AV194" s="152"/>
      <c r="AW194" s="152"/>
      <c r="AX194" s="152"/>
      <c r="AY194" s="152"/>
      <c r="AZ194" s="152"/>
      <c r="BA194" s="152"/>
      <c r="BB194" s="152"/>
      <c r="BC194" s="152"/>
    </row>
    <row r="195" customFormat="false" ht="15.75" hidden="false" customHeight="false" outlineLevel="0" collapsed="false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2"/>
      <c r="AI195" s="152"/>
      <c r="AJ195" s="152"/>
      <c r="AK195" s="152"/>
      <c r="AL195" s="152"/>
      <c r="AM195" s="152"/>
      <c r="AN195" s="152"/>
      <c r="AO195" s="152"/>
      <c r="AP195" s="152"/>
      <c r="AQ195" s="152"/>
      <c r="AR195" s="152"/>
      <c r="AS195" s="152"/>
      <c r="AT195" s="152"/>
      <c r="AU195" s="152"/>
      <c r="AV195" s="152"/>
      <c r="AW195" s="152"/>
      <c r="AX195" s="152"/>
      <c r="AY195" s="152"/>
      <c r="AZ195" s="152"/>
      <c r="BA195" s="152"/>
      <c r="BB195" s="152"/>
      <c r="BC195" s="152"/>
    </row>
    <row r="196" customFormat="false" ht="15.75" hidden="false" customHeight="false" outlineLevel="0" collapsed="false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2"/>
      <c r="AI196" s="152"/>
      <c r="AJ196" s="152"/>
      <c r="AK196" s="152"/>
      <c r="AL196" s="152"/>
      <c r="AM196" s="152"/>
      <c r="AN196" s="152"/>
      <c r="AO196" s="152"/>
      <c r="AP196" s="152"/>
      <c r="AQ196" s="152"/>
      <c r="AR196" s="152"/>
      <c r="AS196" s="152"/>
      <c r="AT196" s="152"/>
      <c r="AU196" s="152"/>
      <c r="AV196" s="152"/>
      <c r="AW196" s="152"/>
      <c r="AX196" s="152"/>
      <c r="AY196" s="152"/>
      <c r="AZ196" s="152"/>
      <c r="BA196" s="152"/>
      <c r="BB196" s="152"/>
      <c r="BC196" s="152"/>
    </row>
    <row r="197" customFormat="false" ht="15.75" hidden="false" customHeight="false" outlineLevel="0" collapsed="false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2"/>
      <c r="AI197" s="152"/>
      <c r="AJ197" s="152"/>
      <c r="AK197" s="152"/>
      <c r="AL197" s="152"/>
      <c r="AM197" s="152"/>
      <c r="AN197" s="152"/>
      <c r="AO197" s="152"/>
      <c r="AP197" s="152"/>
      <c r="AQ197" s="152"/>
      <c r="AR197" s="152"/>
      <c r="AS197" s="152"/>
      <c r="AT197" s="152"/>
      <c r="AU197" s="152"/>
      <c r="AV197" s="152"/>
      <c r="AW197" s="152"/>
      <c r="AX197" s="152"/>
      <c r="AY197" s="152"/>
      <c r="AZ197" s="152"/>
      <c r="BA197" s="152"/>
      <c r="BB197" s="152"/>
      <c r="BC197" s="152"/>
    </row>
    <row r="198" customFormat="false" ht="15.75" hidden="false" customHeight="false" outlineLevel="0" collapsed="false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2"/>
      <c r="AI198" s="152"/>
      <c r="AJ198" s="152"/>
      <c r="AK198" s="152"/>
      <c r="AL198" s="152"/>
      <c r="AM198" s="152"/>
      <c r="AN198" s="152"/>
      <c r="AO198" s="152"/>
      <c r="AP198" s="152"/>
      <c r="AQ198" s="152"/>
      <c r="AR198" s="152"/>
      <c r="AS198" s="152"/>
      <c r="AT198" s="152"/>
      <c r="AU198" s="152"/>
      <c r="AV198" s="152"/>
      <c r="AW198" s="152"/>
      <c r="AX198" s="152"/>
      <c r="AY198" s="152"/>
      <c r="AZ198" s="152"/>
      <c r="BA198" s="152"/>
      <c r="BB198" s="152"/>
      <c r="BC198" s="152"/>
    </row>
    <row r="199" customFormat="false" ht="15.75" hidden="false" customHeight="false" outlineLevel="0" collapsed="false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2"/>
      <c r="AI199" s="152"/>
      <c r="AJ199" s="152"/>
      <c r="AK199" s="152"/>
      <c r="AL199" s="152"/>
      <c r="AM199" s="152"/>
      <c r="AN199" s="152"/>
      <c r="AO199" s="152"/>
      <c r="AP199" s="152"/>
      <c r="AQ199" s="152"/>
      <c r="AR199" s="152"/>
      <c r="AS199" s="152"/>
      <c r="AT199" s="152"/>
      <c r="AU199" s="152"/>
      <c r="AV199" s="152"/>
      <c r="AW199" s="152"/>
      <c r="AX199" s="152"/>
      <c r="AY199" s="152"/>
      <c r="AZ199" s="152"/>
      <c r="BA199" s="152"/>
      <c r="BB199" s="152"/>
      <c r="BC199" s="152"/>
    </row>
    <row r="200" customFormat="false" ht="15.75" hidden="false" customHeight="false" outlineLevel="0" collapsed="false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2"/>
      <c r="AI200" s="152"/>
      <c r="AJ200" s="152"/>
      <c r="AK200" s="152"/>
      <c r="AL200" s="152"/>
      <c r="AM200" s="152"/>
      <c r="AN200" s="152"/>
      <c r="AO200" s="152"/>
      <c r="AP200" s="152"/>
      <c r="AQ200" s="152"/>
      <c r="AR200" s="152"/>
      <c r="AS200" s="152"/>
      <c r="AT200" s="152"/>
      <c r="AU200" s="152"/>
      <c r="AV200" s="152"/>
      <c r="AW200" s="152"/>
      <c r="AX200" s="152"/>
      <c r="AY200" s="152"/>
      <c r="AZ200" s="152"/>
      <c r="BA200" s="152"/>
      <c r="BB200" s="152"/>
      <c r="BC200" s="152"/>
    </row>
    <row r="201" customFormat="false" ht="15.75" hidden="false" customHeight="false" outlineLevel="0" collapsed="false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2"/>
      <c r="AI201" s="152"/>
      <c r="AJ201" s="152"/>
      <c r="AK201" s="152"/>
      <c r="AL201" s="152"/>
      <c r="AM201" s="152"/>
      <c r="AN201" s="152"/>
      <c r="AO201" s="152"/>
      <c r="AP201" s="152"/>
      <c r="AQ201" s="152"/>
      <c r="AR201" s="152"/>
      <c r="AS201" s="152"/>
      <c r="AT201" s="152"/>
      <c r="AU201" s="152"/>
      <c r="AV201" s="152"/>
      <c r="AW201" s="152"/>
      <c r="AX201" s="152"/>
      <c r="AY201" s="152"/>
      <c r="AZ201" s="152"/>
      <c r="BA201" s="152"/>
      <c r="BB201" s="152"/>
      <c r="BC201" s="152"/>
    </row>
    <row r="202" customFormat="false" ht="15.75" hidden="false" customHeight="false" outlineLevel="0" collapsed="false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2"/>
      <c r="AI202" s="152"/>
      <c r="AJ202" s="152"/>
      <c r="AK202" s="152"/>
      <c r="AL202" s="152"/>
      <c r="AM202" s="152"/>
      <c r="AN202" s="152"/>
      <c r="AO202" s="152"/>
      <c r="AP202" s="152"/>
      <c r="AQ202" s="152"/>
      <c r="AR202" s="152"/>
      <c r="AS202" s="152"/>
      <c r="AT202" s="152"/>
      <c r="AU202" s="152"/>
      <c r="AV202" s="152"/>
      <c r="AW202" s="152"/>
      <c r="AX202" s="152"/>
      <c r="AY202" s="152"/>
      <c r="AZ202" s="152"/>
      <c r="BA202" s="152"/>
      <c r="BB202" s="152"/>
      <c r="BC202" s="152"/>
    </row>
    <row r="203" customFormat="false" ht="15.75" hidden="false" customHeight="false" outlineLevel="0" collapsed="false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2"/>
      <c r="AI203" s="152"/>
      <c r="AJ203" s="152"/>
      <c r="AK203" s="152"/>
      <c r="AL203" s="152"/>
      <c r="AM203" s="152"/>
      <c r="AN203" s="152"/>
      <c r="AO203" s="152"/>
      <c r="AP203" s="152"/>
      <c r="AQ203" s="152"/>
      <c r="AR203" s="152"/>
      <c r="AS203" s="152"/>
      <c r="AT203" s="152"/>
      <c r="AU203" s="152"/>
      <c r="AV203" s="152"/>
      <c r="AW203" s="152"/>
      <c r="AX203" s="152"/>
      <c r="AY203" s="152"/>
      <c r="AZ203" s="152"/>
      <c r="BA203" s="152"/>
      <c r="BB203" s="152"/>
      <c r="BC203" s="152"/>
    </row>
    <row r="204" customFormat="false" ht="15.75" hidden="false" customHeight="false" outlineLevel="0" collapsed="false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2"/>
      <c r="AI204" s="152"/>
      <c r="AJ204" s="152"/>
      <c r="AK204" s="152"/>
      <c r="AL204" s="152"/>
      <c r="AM204" s="152"/>
      <c r="AN204" s="152"/>
      <c r="AO204" s="152"/>
      <c r="AP204" s="152"/>
      <c r="AQ204" s="152"/>
      <c r="AR204" s="152"/>
      <c r="AS204" s="152"/>
      <c r="AT204" s="152"/>
      <c r="AU204" s="152"/>
      <c r="AV204" s="152"/>
      <c r="AW204" s="152"/>
      <c r="AX204" s="152"/>
      <c r="AY204" s="152"/>
      <c r="AZ204" s="152"/>
      <c r="BA204" s="152"/>
      <c r="BB204" s="152"/>
      <c r="BC204" s="152"/>
    </row>
    <row r="205" customFormat="false" ht="15.75" hidden="false" customHeight="false" outlineLevel="0" collapsed="false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2"/>
      <c r="AI205" s="152"/>
      <c r="AJ205" s="152"/>
      <c r="AK205" s="152"/>
      <c r="AL205" s="152"/>
      <c r="AM205" s="152"/>
      <c r="AN205" s="152"/>
      <c r="AO205" s="152"/>
      <c r="AP205" s="152"/>
      <c r="AQ205" s="152"/>
      <c r="AR205" s="152"/>
      <c r="AS205" s="152"/>
      <c r="AT205" s="152"/>
      <c r="AU205" s="152"/>
      <c r="AV205" s="152"/>
      <c r="AW205" s="152"/>
      <c r="AX205" s="152"/>
      <c r="AY205" s="152"/>
      <c r="AZ205" s="152"/>
      <c r="BA205" s="152"/>
      <c r="BB205" s="152"/>
      <c r="BC205" s="152"/>
    </row>
    <row r="206" customFormat="false" ht="15.75" hidden="false" customHeight="false" outlineLevel="0" collapsed="false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2"/>
      <c r="AI206" s="152"/>
      <c r="AJ206" s="152"/>
      <c r="AK206" s="152"/>
      <c r="AL206" s="152"/>
      <c r="AM206" s="152"/>
      <c r="AN206" s="152"/>
      <c r="AO206" s="152"/>
      <c r="AP206" s="152"/>
      <c r="AQ206" s="152"/>
      <c r="AR206" s="152"/>
      <c r="AS206" s="152"/>
      <c r="AT206" s="152"/>
      <c r="AU206" s="152"/>
      <c r="AV206" s="152"/>
      <c r="AW206" s="152"/>
      <c r="AX206" s="152"/>
      <c r="AY206" s="152"/>
      <c r="AZ206" s="152"/>
      <c r="BA206" s="152"/>
      <c r="BB206" s="152"/>
      <c r="BC206" s="152"/>
    </row>
    <row r="207" customFormat="false" ht="15.75" hidden="false" customHeight="false" outlineLevel="0" collapsed="false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2"/>
      <c r="AI207" s="152"/>
      <c r="AJ207" s="152"/>
      <c r="AK207" s="152"/>
      <c r="AL207" s="152"/>
      <c r="AM207" s="152"/>
      <c r="AN207" s="152"/>
      <c r="AO207" s="152"/>
      <c r="AP207" s="152"/>
      <c r="AQ207" s="152"/>
      <c r="AR207" s="152"/>
      <c r="AS207" s="152"/>
      <c r="AT207" s="152"/>
      <c r="AU207" s="152"/>
      <c r="AV207" s="152"/>
      <c r="AW207" s="152"/>
      <c r="AX207" s="152"/>
      <c r="AY207" s="152"/>
      <c r="AZ207" s="152"/>
      <c r="BA207" s="152"/>
      <c r="BB207" s="152"/>
      <c r="BC207" s="152"/>
    </row>
    <row r="208" customFormat="false" ht="15.75" hidden="false" customHeight="false" outlineLevel="0" collapsed="false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2"/>
      <c r="AI208" s="152"/>
      <c r="AJ208" s="152"/>
      <c r="AK208" s="152"/>
      <c r="AL208" s="152"/>
      <c r="AM208" s="152"/>
      <c r="AN208" s="152"/>
      <c r="AO208" s="152"/>
      <c r="AP208" s="152"/>
      <c r="AQ208" s="152"/>
      <c r="AR208" s="152"/>
      <c r="AS208" s="152"/>
      <c r="AT208" s="152"/>
      <c r="AU208" s="152"/>
      <c r="AV208" s="152"/>
      <c r="AW208" s="152"/>
      <c r="AX208" s="152"/>
      <c r="AY208" s="152"/>
      <c r="AZ208" s="152"/>
      <c r="BA208" s="152"/>
      <c r="BB208" s="152"/>
      <c r="BC208" s="152"/>
    </row>
    <row r="209" customFormat="false" ht="15.75" hidden="false" customHeight="false" outlineLevel="0" collapsed="false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2"/>
      <c r="AI209" s="152"/>
      <c r="AJ209" s="152"/>
      <c r="AK209" s="152"/>
      <c r="AL209" s="152"/>
      <c r="AM209" s="152"/>
      <c r="AN209" s="152"/>
      <c r="AO209" s="152"/>
      <c r="AP209" s="152"/>
      <c r="AQ209" s="152"/>
      <c r="AR209" s="152"/>
      <c r="AS209" s="152"/>
      <c r="AT209" s="152"/>
      <c r="AU209" s="152"/>
      <c r="AV209" s="152"/>
      <c r="AW209" s="152"/>
      <c r="AX209" s="152"/>
      <c r="AY209" s="152"/>
      <c r="AZ209" s="152"/>
      <c r="BA209" s="152"/>
      <c r="BB209" s="152"/>
      <c r="BC209" s="152"/>
    </row>
    <row r="210" customFormat="false" ht="15.75" hidden="false" customHeight="false" outlineLevel="0" collapsed="false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2"/>
      <c r="AI210" s="152"/>
      <c r="AJ210" s="152"/>
      <c r="AK210" s="152"/>
      <c r="AL210" s="152"/>
      <c r="AM210" s="152"/>
      <c r="AN210" s="152"/>
      <c r="AO210" s="152"/>
      <c r="AP210" s="152"/>
      <c r="AQ210" s="152"/>
      <c r="AR210" s="152"/>
      <c r="AS210" s="152"/>
      <c r="AT210" s="152"/>
      <c r="AU210" s="152"/>
      <c r="AV210" s="152"/>
      <c r="AW210" s="152"/>
      <c r="AX210" s="152"/>
      <c r="AY210" s="152"/>
      <c r="AZ210" s="152"/>
      <c r="BA210" s="152"/>
      <c r="BB210" s="152"/>
      <c r="BC210" s="152"/>
    </row>
    <row r="211" customFormat="false" ht="15.75" hidden="false" customHeight="false" outlineLevel="0" collapsed="false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2"/>
      <c r="AI211" s="152"/>
      <c r="AJ211" s="152"/>
      <c r="AK211" s="152"/>
      <c r="AL211" s="152"/>
      <c r="AM211" s="152"/>
      <c r="AN211" s="152"/>
      <c r="AO211" s="152"/>
      <c r="AP211" s="152"/>
      <c r="AQ211" s="152"/>
      <c r="AR211" s="152"/>
      <c r="AS211" s="152"/>
      <c r="AT211" s="152"/>
      <c r="AU211" s="152"/>
      <c r="AV211" s="152"/>
      <c r="AW211" s="152"/>
      <c r="AX211" s="152"/>
      <c r="AY211" s="152"/>
      <c r="AZ211" s="152"/>
      <c r="BA211" s="152"/>
      <c r="BB211" s="152"/>
      <c r="BC211" s="152"/>
    </row>
    <row r="212" customFormat="false" ht="15.75" hidden="false" customHeight="false" outlineLevel="0" collapsed="false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2"/>
      <c r="AI212" s="152"/>
      <c r="AJ212" s="152"/>
      <c r="AK212" s="152"/>
      <c r="AL212" s="152"/>
      <c r="AM212" s="152"/>
      <c r="AN212" s="152"/>
      <c r="AO212" s="152"/>
      <c r="AP212" s="152"/>
      <c r="AQ212" s="152"/>
      <c r="AR212" s="152"/>
      <c r="AS212" s="152"/>
      <c r="AT212" s="152"/>
      <c r="AU212" s="152"/>
      <c r="AV212" s="152"/>
      <c r="AW212" s="152"/>
      <c r="AX212" s="152"/>
      <c r="AY212" s="152"/>
      <c r="AZ212" s="152"/>
      <c r="BA212" s="152"/>
      <c r="BB212" s="152"/>
      <c r="BC212" s="152"/>
    </row>
    <row r="213" customFormat="false" ht="15.75" hidden="false" customHeight="false" outlineLevel="0" collapsed="false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2"/>
      <c r="AI213" s="152"/>
      <c r="AJ213" s="152"/>
      <c r="AK213" s="152"/>
      <c r="AL213" s="152"/>
      <c r="AM213" s="152"/>
      <c r="AN213" s="152"/>
      <c r="AO213" s="152"/>
      <c r="AP213" s="152"/>
      <c r="AQ213" s="152"/>
      <c r="AR213" s="152"/>
      <c r="AS213" s="152"/>
      <c r="AT213" s="152"/>
      <c r="AU213" s="152"/>
      <c r="AV213" s="152"/>
      <c r="AW213" s="152"/>
      <c r="AX213" s="152"/>
      <c r="AY213" s="152"/>
      <c r="AZ213" s="152"/>
      <c r="BA213" s="152"/>
      <c r="BB213" s="152"/>
      <c r="BC213" s="152"/>
    </row>
    <row r="214" customFormat="false" ht="15.75" hidden="false" customHeight="false" outlineLevel="0" collapsed="false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2"/>
      <c r="AI214" s="152"/>
      <c r="AJ214" s="152"/>
      <c r="AK214" s="152"/>
      <c r="AL214" s="152"/>
      <c r="AM214" s="152"/>
      <c r="AN214" s="152"/>
      <c r="AO214" s="152"/>
      <c r="AP214" s="152"/>
      <c r="AQ214" s="152"/>
      <c r="AR214" s="152"/>
      <c r="AS214" s="152"/>
      <c r="AT214" s="152"/>
      <c r="AU214" s="152"/>
      <c r="AV214" s="152"/>
      <c r="AW214" s="152"/>
      <c r="AX214" s="152"/>
      <c r="AY214" s="152"/>
      <c r="AZ214" s="152"/>
      <c r="BA214" s="152"/>
      <c r="BB214" s="152"/>
      <c r="BC214" s="152"/>
    </row>
    <row r="215" customFormat="false" ht="15.75" hidden="false" customHeight="false" outlineLevel="0" collapsed="false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2"/>
      <c r="AI215" s="152"/>
      <c r="AJ215" s="152"/>
      <c r="AK215" s="152"/>
      <c r="AL215" s="152"/>
      <c r="AM215" s="152"/>
      <c r="AN215" s="152"/>
      <c r="AO215" s="152"/>
      <c r="AP215" s="152"/>
      <c r="AQ215" s="152"/>
      <c r="AR215" s="152"/>
      <c r="AS215" s="152"/>
      <c r="AT215" s="152"/>
      <c r="AU215" s="152"/>
      <c r="AV215" s="152"/>
      <c r="AW215" s="152"/>
      <c r="AX215" s="152"/>
      <c r="AY215" s="152"/>
      <c r="AZ215" s="152"/>
      <c r="BA215" s="152"/>
      <c r="BB215" s="152"/>
      <c r="BC215" s="152"/>
    </row>
    <row r="216" customFormat="false" ht="15.75" hidden="false" customHeight="false" outlineLevel="0" collapsed="false">
      <c r="A216" s="152"/>
      <c r="B216" s="152"/>
      <c r="C216" s="154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2"/>
      <c r="AI216" s="152"/>
      <c r="AJ216" s="152"/>
      <c r="AK216" s="152"/>
      <c r="AL216" s="152"/>
      <c r="AM216" s="152"/>
      <c r="AN216" s="152"/>
      <c r="AO216" s="152"/>
      <c r="AP216" s="152"/>
      <c r="AQ216" s="152"/>
      <c r="AR216" s="152"/>
      <c r="AS216" s="152"/>
      <c r="AT216" s="152"/>
      <c r="AU216" s="152"/>
      <c r="AV216" s="152"/>
      <c r="AW216" s="152"/>
      <c r="AX216" s="152"/>
      <c r="AY216" s="152"/>
      <c r="AZ216" s="152"/>
      <c r="BA216" s="152"/>
      <c r="BB216" s="152"/>
      <c r="BC216" s="152"/>
    </row>
    <row r="217" customFormat="false" ht="15.75" hidden="false" customHeight="false" outlineLevel="0" collapsed="false">
      <c r="A217" s="152"/>
      <c r="B217" s="152"/>
      <c r="C217" s="154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2"/>
      <c r="AI217" s="152"/>
      <c r="AJ217" s="152"/>
      <c r="AK217" s="152"/>
      <c r="AL217" s="152"/>
      <c r="AM217" s="152"/>
      <c r="AN217" s="152"/>
      <c r="AO217" s="152"/>
      <c r="AP217" s="152"/>
      <c r="AQ217" s="152"/>
      <c r="AR217" s="152"/>
      <c r="AS217" s="152"/>
      <c r="AT217" s="152"/>
      <c r="AU217" s="152"/>
      <c r="AV217" s="152"/>
      <c r="AW217" s="152"/>
      <c r="AX217" s="152"/>
      <c r="AY217" s="152"/>
      <c r="AZ217" s="152"/>
      <c r="BA217" s="152"/>
      <c r="BB217" s="152"/>
      <c r="BC217" s="152"/>
    </row>
    <row r="218" customFormat="false" ht="15.75" hidden="false" customHeight="false" outlineLevel="0" collapsed="false">
      <c r="A218" s="152"/>
      <c r="B218" s="152"/>
      <c r="C218" s="154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2"/>
      <c r="AI218" s="152"/>
      <c r="AJ218" s="152"/>
      <c r="AK218" s="152"/>
      <c r="AL218" s="152"/>
      <c r="AM218" s="152"/>
      <c r="AN218" s="152"/>
      <c r="AO218" s="152"/>
      <c r="AP218" s="152"/>
      <c r="AQ218" s="152"/>
      <c r="AR218" s="152"/>
      <c r="AS218" s="152"/>
      <c r="AT218" s="152"/>
      <c r="AU218" s="152"/>
      <c r="AV218" s="152"/>
      <c r="AW218" s="152"/>
      <c r="AX218" s="152"/>
      <c r="AY218" s="152"/>
      <c r="AZ218" s="152"/>
      <c r="BA218" s="152"/>
      <c r="BB218" s="152"/>
      <c r="BC218" s="152"/>
    </row>
    <row r="219" customFormat="false" ht="15.75" hidden="false" customHeight="false" outlineLevel="0" collapsed="false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2"/>
      <c r="AI219" s="152"/>
      <c r="AJ219" s="152"/>
      <c r="AK219" s="152"/>
      <c r="AL219" s="152"/>
      <c r="AM219" s="152"/>
      <c r="AN219" s="152"/>
      <c r="AO219" s="152"/>
      <c r="AP219" s="152"/>
      <c r="AQ219" s="152"/>
      <c r="AR219" s="152"/>
      <c r="AS219" s="152"/>
      <c r="AT219" s="152"/>
      <c r="AU219" s="152"/>
      <c r="AV219" s="152"/>
      <c r="AW219" s="152"/>
      <c r="AX219" s="152"/>
      <c r="AY219" s="152"/>
      <c r="AZ219" s="152"/>
      <c r="BA219" s="152"/>
      <c r="BB219" s="152"/>
      <c r="BC219" s="152"/>
    </row>
    <row r="220" customFormat="false" ht="15.75" hidden="false" customHeight="false" outlineLevel="0" collapsed="false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2"/>
      <c r="AI220" s="152"/>
      <c r="AJ220" s="152"/>
      <c r="AK220" s="152"/>
      <c r="AL220" s="152"/>
      <c r="AM220" s="152"/>
      <c r="AN220" s="152"/>
      <c r="AO220" s="152"/>
      <c r="AP220" s="152"/>
      <c r="AQ220" s="152"/>
      <c r="AR220" s="152"/>
      <c r="AS220" s="152"/>
      <c r="AT220" s="152"/>
      <c r="AU220" s="152"/>
      <c r="AV220" s="152"/>
      <c r="AW220" s="152"/>
      <c r="AX220" s="152"/>
      <c r="AY220" s="152"/>
      <c r="AZ220" s="152"/>
      <c r="BA220" s="152"/>
      <c r="BB220" s="152"/>
      <c r="BC220" s="152"/>
    </row>
    <row r="221" customFormat="false" ht="15.75" hidden="false" customHeight="false" outlineLevel="0" collapsed="false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2"/>
      <c r="AI221" s="152"/>
      <c r="AJ221" s="152"/>
      <c r="AK221" s="152"/>
      <c r="AL221" s="152"/>
      <c r="AM221" s="152"/>
      <c r="AN221" s="152"/>
      <c r="AO221" s="152"/>
      <c r="AP221" s="152"/>
      <c r="AQ221" s="152"/>
      <c r="AR221" s="152"/>
      <c r="AS221" s="152"/>
      <c r="AT221" s="152"/>
      <c r="AU221" s="152"/>
      <c r="AV221" s="152"/>
      <c r="AW221" s="152"/>
      <c r="AX221" s="152"/>
      <c r="AY221" s="152"/>
      <c r="AZ221" s="152"/>
      <c r="BA221" s="152"/>
      <c r="BB221" s="152"/>
      <c r="BC221" s="152"/>
    </row>
    <row r="222" customFormat="false" ht="15.75" hidden="false" customHeight="false" outlineLevel="0" collapsed="false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2"/>
      <c r="AI222" s="152"/>
      <c r="AJ222" s="152"/>
      <c r="AK222" s="152"/>
      <c r="AL222" s="152"/>
      <c r="AM222" s="152"/>
      <c r="AN222" s="152"/>
      <c r="AO222" s="152"/>
      <c r="AP222" s="152"/>
      <c r="AQ222" s="152"/>
      <c r="AR222" s="152"/>
      <c r="AS222" s="152"/>
      <c r="AT222" s="152"/>
      <c r="AU222" s="152"/>
      <c r="AV222" s="152"/>
      <c r="AW222" s="152"/>
      <c r="AX222" s="152"/>
      <c r="AY222" s="152"/>
      <c r="AZ222" s="152"/>
      <c r="BA222" s="152"/>
      <c r="BB222" s="152"/>
      <c r="BC222" s="152"/>
    </row>
    <row r="223" customFormat="false" ht="15.75" hidden="false" customHeight="false" outlineLevel="0" collapsed="false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2"/>
      <c r="AI223" s="152"/>
      <c r="AJ223" s="152"/>
      <c r="AK223" s="152"/>
      <c r="AL223" s="152"/>
      <c r="AM223" s="152"/>
      <c r="AN223" s="152"/>
      <c r="AO223" s="152"/>
      <c r="AP223" s="152"/>
      <c r="AQ223" s="152"/>
      <c r="AR223" s="152"/>
      <c r="AS223" s="152"/>
      <c r="AT223" s="152"/>
      <c r="AU223" s="152"/>
      <c r="AV223" s="152"/>
      <c r="AW223" s="152"/>
      <c r="AX223" s="152"/>
      <c r="AY223" s="152"/>
      <c r="AZ223" s="152"/>
      <c r="BA223" s="152"/>
      <c r="BB223" s="152"/>
      <c r="BC223" s="152"/>
    </row>
    <row r="224" customFormat="false" ht="15.75" hidden="false" customHeight="false" outlineLevel="0" collapsed="false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2"/>
      <c r="AI224" s="152"/>
      <c r="AJ224" s="152"/>
      <c r="AK224" s="152"/>
      <c r="AL224" s="152"/>
      <c r="AM224" s="152"/>
      <c r="AN224" s="152"/>
      <c r="AO224" s="152"/>
      <c r="AP224" s="152"/>
      <c r="AQ224" s="152"/>
      <c r="AR224" s="152"/>
      <c r="AS224" s="152"/>
      <c r="AT224" s="152"/>
      <c r="AU224" s="152"/>
      <c r="AV224" s="152"/>
      <c r="AW224" s="152"/>
      <c r="AX224" s="152"/>
      <c r="AY224" s="152"/>
      <c r="AZ224" s="152"/>
      <c r="BA224" s="152"/>
      <c r="BB224" s="152"/>
      <c r="BC224" s="152"/>
    </row>
    <row r="225" customFormat="false" ht="15.75" hidden="false" customHeight="false" outlineLevel="0" collapsed="false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2"/>
      <c r="AI225" s="152"/>
      <c r="AJ225" s="152"/>
      <c r="AK225" s="152"/>
      <c r="AL225" s="152"/>
      <c r="AM225" s="152"/>
      <c r="AN225" s="152"/>
      <c r="AO225" s="152"/>
      <c r="AP225" s="152"/>
      <c r="AQ225" s="152"/>
      <c r="AR225" s="152"/>
      <c r="AS225" s="152"/>
      <c r="AT225" s="152"/>
      <c r="AU225" s="152"/>
      <c r="AV225" s="152"/>
      <c r="AW225" s="152"/>
      <c r="AX225" s="152"/>
      <c r="AY225" s="152"/>
      <c r="AZ225" s="152"/>
      <c r="BA225" s="152"/>
      <c r="BB225" s="152"/>
      <c r="BC225" s="152"/>
    </row>
    <row r="226" customFormat="false" ht="15.75" hidden="false" customHeight="false" outlineLevel="0" collapsed="false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2"/>
      <c r="AI226" s="152"/>
      <c r="AJ226" s="152"/>
      <c r="AK226" s="152"/>
      <c r="AL226" s="152"/>
      <c r="AM226" s="152"/>
      <c r="AN226" s="152"/>
      <c r="AO226" s="152"/>
      <c r="AP226" s="152"/>
      <c r="AQ226" s="152"/>
      <c r="AR226" s="152"/>
      <c r="AS226" s="152"/>
      <c r="AT226" s="152"/>
      <c r="AU226" s="152"/>
      <c r="AV226" s="152"/>
      <c r="AW226" s="152"/>
      <c r="AX226" s="152"/>
      <c r="AY226" s="152"/>
      <c r="AZ226" s="152"/>
      <c r="BA226" s="152"/>
      <c r="BB226" s="152"/>
      <c r="BC226" s="152"/>
    </row>
    <row r="227" customFormat="false" ht="15.75" hidden="false" customHeight="false" outlineLevel="0" collapsed="false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2"/>
      <c r="AI227" s="152"/>
      <c r="AJ227" s="152"/>
      <c r="AK227" s="152"/>
      <c r="AL227" s="152"/>
      <c r="AM227" s="152"/>
      <c r="AN227" s="152"/>
      <c r="AO227" s="152"/>
      <c r="AP227" s="152"/>
      <c r="AQ227" s="152"/>
      <c r="AR227" s="152"/>
      <c r="AS227" s="152"/>
      <c r="AT227" s="152"/>
      <c r="AU227" s="152"/>
      <c r="AV227" s="152"/>
      <c r="AW227" s="152"/>
      <c r="AX227" s="152"/>
      <c r="AY227" s="152"/>
      <c r="AZ227" s="152"/>
      <c r="BA227" s="152"/>
      <c r="BB227" s="152"/>
      <c r="BC227" s="152"/>
    </row>
    <row r="228" customFormat="false" ht="15.75" hidden="false" customHeight="false" outlineLevel="0" collapsed="false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2"/>
      <c r="AI228" s="152"/>
      <c r="AJ228" s="152"/>
      <c r="AK228" s="152"/>
      <c r="AL228" s="152"/>
      <c r="AM228" s="152"/>
      <c r="AN228" s="152"/>
      <c r="AO228" s="152"/>
      <c r="AP228" s="152"/>
      <c r="AQ228" s="152"/>
      <c r="AR228" s="152"/>
      <c r="AS228" s="152"/>
      <c r="AT228" s="152"/>
      <c r="AU228" s="152"/>
      <c r="AV228" s="152"/>
      <c r="AW228" s="152"/>
      <c r="AX228" s="152"/>
      <c r="AY228" s="152"/>
      <c r="AZ228" s="152"/>
      <c r="BA228" s="152"/>
      <c r="BB228" s="152"/>
      <c r="BC228" s="152"/>
    </row>
    <row r="229" customFormat="false" ht="15.75" hidden="false" customHeight="false" outlineLevel="0" collapsed="false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2"/>
      <c r="AI229" s="152"/>
      <c r="AJ229" s="152"/>
      <c r="AK229" s="152"/>
      <c r="AL229" s="152"/>
      <c r="AM229" s="152"/>
      <c r="AN229" s="152"/>
      <c r="AO229" s="152"/>
      <c r="AP229" s="152"/>
      <c r="AQ229" s="152"/>
      <c r="AR229" s="152"/>
      <c r="AS229" s="152"/>
      <c r="AT229" s="152"/>
      <c r="AU229" s="152"/>
      <c r="AV229" s="152"/>
      <c r="AW229" s="152"/>
      <c r="AX229" s="152"/>
      <c r="AY229" s="152"/>
      <c r="AZ229" s="152"/>
      <c r="BA229" s="152"/>
      <c r="BB229" s="152"/>
      <c r="BC229" s="152"/>
    </row>
    <row r="230" customFormat="false" ht="15.75" hidden="false" customHeight="false" outlineLevel="0" collapsed="false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2"/>
      <c r="AI230" s="152"/>
      <c r="AJ230" s="152"/>
      <c r="AK230" s="152"/>
      <c r="AL230" s="152"/>
      <c r="AM230" s="152"/>
      <c r="AN230" s="152"/>
      <c r="AO230" s="152"/>
      <c r="AP230" s="152"/>
      <c r="AQ230" s="152"/>
      <c r="AR230" s="152"/>
      <c r="AS230" s="152"/>
      <c r="AT230" s="152"/>
      <c r="AU230" s="152"/>
      <c r="AV230" s="152"/>
      <c r="AW230" s="152"/>
      <c r="AX230" s="152"/>
      <c r="AY230" s="152"/>
      <c r="AZ230" s="152"/>
      <c r="BA230" s="152"/>
      <c r="BB230" s="152"/>
      <c r="BC230" s="152"/>
    </row>
    <row r="231" customFormat="false" ht="15.75" hidden="false" customHeight="false" outlineLevel="0" collapsed="false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2"/>
      <c r="AI231" s="152"/>
      <c r="AJ231" s="152"/>
      <c r="AK231" s="152"/>
      <c r="AL231" s="152"/>
      <c r="AM231" s="152"/>
      <c r="AN231" s="152"/>
      <c r="AO231" s="152"/>
      <c r="AP231" s="152"/>
      <c r="AQ231" s="152"/>
      <c r="AR231" s="152"/>
      <c r="AS231" s="152"/>
      <c r="AT231" s="152"/>
      <c r="AU231" s="152"/>
      <c r="AV231" s="152"/>
      <c r="AW231" s="152"/>
      <c r="AX231" s="152"/>
      <c r="AY231" s="152"/>
      <c r="AZ231" s="152"/>
      <c r="BA231" s="152"/>
      <c r="BB231" s="152"/>
      <c r="BC231" s="152"/>
    </row>
    <row r="232" customFormat="false" ht="15.75" hidden="false" customHeight="false" outlineLevel="0" collapsed="false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2"/>
      <c r="AI232" s="152"/>
      <c r="AJ232" s="152"/>
      <c r="AK232" s="152"/>
      <c r="AL232" s="152"/>
      <c r="AM232" s="152"/>
      <c r="AN232" s="152"/>
      <c r="AO232" s="152"/>
      <c r="AP232" s="152"/>
      <c r="AQ232" s="152"/>
      <c r="AR232" s="152"/>
      <c r="AS232" s="152"/>
      <c r="AT232" s="152"/>
      <c r="AU232" s="152"/>
      <c r="AV232" s="152"/>
      <c r="AW232" s="152"/>
      <c r="AX232" s="152"/>
      <c r="AY232" s="152"/>
      <c r="AZ232" s="152"/>
      <c r="BA232" s="152"/>
      <c r="BB232" s="152"/>
      <c r="BC232" s="152"/>
    </row>
    <row r="233" customFormat="false" ht="15.75" hidden="false" customHeight="false" outlineLevel="0" collapsed="false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2"/>
      <c r="AI233" s="152"/>
      <c r="AJ233" s="152"/>
      <c r="AK233" s="152"/>
      <c r="AL233" s="152"/>
      <c r="AM233" s="152"/>
      <c r="AN233" s="152"/>
      <c r="AO233" s="152"/>
      <c r="AP233" s="152"/>
      <c r="AQ233" s="152"/>
      <c r="AR233" s="152"/>
      <c r="AS233" s="152"/>
      <c r="AT233" s="152"/>
      <c r="AU233" s="152"/>
      <c r="AV233" s="152"/>
      <c r="AW233" s="152"/>
      <c r="AX233" s="152"/>
      <c r="AY233" s="152"/>
      <c r="AZ233" s="152"/>
      <c r="BA233" s="152"/>
      <c r="BB233" s="152"/>
      <c r="BC233" s="152"/>
    </row>
    <row r="234" customFormat="false" ht="15.75" hidden="false" customHeight="false" outlineLevel="0" collapsed="false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2"/>
      <c r="AI234" s="152"/>
      <c r="AJ234" s="152"/>
      <c r="AK234" s="152"/>
      <c r="AL234" s="152"/>
      <c r="AM234" s="152"/>
      <c r="AN234" s="152"/>
      <c r="AO234" s="152"/>
      <c r="AP234" s="152"/>
      <c r="AQ234" s="152"/>
      <c r="AR234" s="152"/>
      <c r="AS234" s="152"/>
      <c r="AT234" s="152"/>
      <c r="AU234" s="152"/>
      <c r="AV234" s="152"/>
      <c r="AW234" s="152"/>
      <c r="AX234" s="152"/>
      <c r="AY234" s="152"/>
      <c r="AZ234" s="152"/>
      <c r="BA234" s="152"/>
      <c r="BB234" s="152"/>
      <c r="BC234" s="152"/>
    </row>
    <row r="235" customFormat="false" ht="15.75" hidden="false" customHeight="false" outlineLevel="0" collapsed="false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2"/>
      <c r="AI235" s="152"/>
      <c r="AJ235" s="152"/>
      <c r="AK235" s="152"/>
      <c r="AL235" s="152"/>
      <c r="AM235" s="152"/>
      <c r="AN235" s="152"/>
      <c r="AO235" s="152"/>
      <c r="AP235" s="152"/>
      <c r="AQ235" s="152"/>
      <c r="AR235" s="152"/>
      <c r="AS235" s="152"/>
      <c r="AT235" s="152"/>
      <c r="AU235" s="152"/>
      <c r="AV235" s="152"/>
      <c r="AW235" s="152"/>
      <c r="AX235" s="152"/>
      <c r="AY235" s="152"/>
      <c r="AZ235" s="152"/>
      <c r="BA235" s="152"/>
      <c r="BB235" s="152"/>
      <c r="BC235" s="152"/>
    </row>
    <row r="236" customFormat="false" ht="15.75" hidden="false" customHeight="false" outlineLevel="0" collapsed="false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2"/>
      <c r="AI236" s="152"/>
      <c r="AJ236" s="152"/>
      <c r="AK236" s="152"/>
      <c r="AL236" s="152"/>
      <c r="AM236" s="152"/>
      <c r="AN236" s="152"/>
      <c r="AO236" s="152"/>
      <c r="AP236" s="152"/>
      <c r="AQ236" s="152"/>
      <c r="AR236" s="152"/>
      <c r="AS236" s="152"/>
      <c r="AT236" s="152"/>
      <c r="AU236" s="152"/>
      <c r="AV236" s="152"/>
      <c r="AW236" s="152"/>
      <c r="AX236" s="152"/>
      <c r="AY236" s="152"/>
      <c r="AZ236" s="152"/>
      <c r="BA236" s="152"/>
      <c r="BB236" s="152"/>
      <c r="BC236" s="152"/>
    </row>
    <row r="237" customFormat="false" ht="15.75" hidden="false" customHeight="false" outlineLevel="0" collapsed="false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2"/>
      <c r="AI237" s="152"/>
      <c r="AJ237" s="152"/>
      <c r="AK237" s="152"/>
      <c r="AL237" s="152"/>
      <c r="AM237" s="152"/>
      <c r="AN237" s="152"/>
      <c r="AO237" s="152"/>
      <c r="AP237" s="152"/>
      <c r="AQ237" s="152"/>
      <c r="AR237" s="152"/>
      <c r="AS237" s="152"/>
      <c r="AT237" s="152"/>
      <c r="AU237" s="152"/>
      <c r="AV237" s="152"/>
      <c r="AW237" s="152"/>
      <c r="AX237" s="152"/>
      <c r="AY237" s="152"/>
      <c r="AZ237" s="152"/>
      <c r="BA237" s="152"/>
      <c r="BB237" s="152"/>
      <c r="BC237" s="152"/>
    </row>
    <row r="238" customFormat="false" ht="15.75" hidden="false" customHeight="false" outlineLevel="0" collapsed="false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2"/>
      <c r="AI238" s="152"/>
      <c r="AJ238" s="152"/>
      <c r="AK238" s="152"/>
      <c r="AL238" s="152"/>
      <c r="AM238" s="152"/>
      <c r="AN238" s="152"/>
      <c r="AO238" s="152"/>
      <c r="AP238" s="152"/>
      <c r="AQ238" s="152"/>
      <c r="AR238" s="152"/>
      <c r="AS238" s="152"/>
      <c r="AT238" s="152"/>
      <c r="AU238" s="152"/>
      <c r="AV238" s="152"/>
      <c r="AW238" s="152"/>
      <c r="AX238" s="152"/>
      <c r="AY238" s="152"/>
      <c r="AZ238" s="152"/>
      <c r="BA238" s="152"/>
      <c r="BB238" s="152"/>
      <c r="BC238" s="152"/>
    </row>
    <row r="239" customFormat="false" ht="15.75" hidden="false" customHeight="false" outlineLevel="0" collapsed="false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2"/>
      <c r="AI239" s="152"/>
      <c r="AJ239" s="152"/>
      <c r="AK239" s="152"/>
      <c r="AL239" s="152"/>
      <c r="AM239" s="152"/>
      <c r="AN239" s="152"/>
      <c r="AO239" s="152"/>
      <c r="AP239" s="152"/>
      <c r="AQ239" s="152"/>
      <c r="AR239" s="152"/>
      <c r="AS239" s="152"/>
      <c r="AT239" s="152"/>
      <c r="AU239" s="152"/>
      <c r="AV239" s="152"/>
      <c r="AW239" s="152"/>
      <c r="AX239" s="152"/>
      <c r="AY239" s="152"/>
      <c r="AZ239" s="152"/>
      <c r="BA239" s="152"/>
      <c r="BB239" s="152"/>
      <c r="BC239" s="152"/>
    </row>
    <row r="240" customFormat="false" ht="15.75" hidden="false" customHeight="false" outlineLevel="0" collapsed="false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2"/>
      <c r="AI240" s="152"/>
      <c r="AJ240" s="152"/>
      <c r="AK240" s="152"/>
      <c r="AL240" s="152"/>
      <c r="AM240" s="152"/>
      <c r="AN240" s="152"/>
      <c r="AO240" s="152"/>
      <c r="AP240" s="152"/>
      <c r="AQ240" s="152"/>
      <c r="AR240" s="152"/>
      <c r="AS240" s="152"/>
      <c r="AT240" s="152"/>
      <c r="AU240" s="152"/>
      <c r="AV240" s="152"/>
      <c r="AW240" s="152"/>
      <c r="AX240" s="152"/>
      <c r="AY240" s="152"/>
      <c r="AZ240" s="152"/>
      <c r="BA240" s="152"/>
      <c r="BB240" s="152"/>
      <c r="BC240" s="152"/>
    </row>
    <row r="241" customFormat="false" ht="15.75" hidden="false" customHeight="false" outlineLevel="0" collapsed="false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2"/>
      <c r="AI241" s="152"/>
      <c r="AJ241" s="152"/>
      <c r="AK241" s="152"/>
      <c r="AL241" s="152"/>
      <c r="AM241" s="152"/>
      <c r="AN241" s="152"/>
      <c r="AO241" s="152"/>
      <c r="AP241" s="152"/>
      <c r="AQ241" s="152"/>
      <c r="AR241" s="152"/>
      <c r="AS241" s="152"/>
      <c r="AT241" s="152"/>
      <c r="AU241" s="152"/>
      <c r="AV241" s="152"/>
      <c r="AW241" s="152"/>
      <c r="AX241" s="152"/>
      <c r="AY241" s="152"/>
      <c r="AZ241" s="152"/>
      <c r="BA241" s="152"/>
      <c r="BB241" s="152"/>
      <c r="BC241" s="152"/>
    </row>
    <row r="242" customFormat="false" ht="15.75" hidden="false" customHeight="false" outlineLevel="0" collapsed="false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2"/>
      <c r="AI242" s="152"/>
      <c r="AJ242" s="152"/>
      <c r="AK242" s="152"/>
      <c r="AL242" s="152"/>
      <c r="AM242" s="152"/>
      <c r="AN242" s="152"/>
      <c r="AO242" s="152"/>
      <c r="AP242" s="152"/>
      <c r="AQ242" s="152"/>
      <c r="AR242" s="152"/>
      <c r="AS242" s="152"/>
      <c r="AT242" s="152"/>
      <c r="AU242" s="152"/>
      <c r="AV242" s="152"/>
      <c r="AW242" s="152"/>
      <c r="AX242" s="152"/>
      <c r="AY242" s="152"/>
      <c r="AZ242" s="152"/>
      <c r="BA242" s="152"/>
      <c r="BB242" s="152"/>
      <c r="BC242" s="152"/>
    </row>
    <row r="243" customFormat="false" ht="15.75" hidden="false" customHeight="false" outlineLevel="0" collapsed="false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2"/>
      <c r="AI243" s="152"/>
      <c r="AJ243" s="152"/>
      <c r="AK243" s="152"/>
      <c r="AL243" s="152"/>
      <c r="AM243" s="152"/>
      <c r="AN243" s="152"/>
      <c r="AO243" s="152"/>
      <c r="AP243" s="152"/>
      <c r="AQ243" s="152"/>
      <c r="AR243" s="152"/>
      <c r="AS243" s="152"/>
      <c r="AT243" s="152"/>
      <c r="AU243" s="152"/>
      <c r="AV243" s="152"/>
      <c r="AW243" s="152"/>
      <c r="AX243" s="152"/>
      <c r="AY243" s="152"/>
      <c r="AZ243" s="152"/>
      <c r="BA243" s="152"/>
      <c r="BB243" s="152"/>
      <c r="BC243" s="152"/>
    </row>
    <row r="244" customFormat="false" ht="15.75" hidden="false" customHeight="false" outlineLevel="0" collapsed="false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2"/>
      <c r="AI244" s="152"/>
      <c r="AJ244" s="152"/>
      <c r="AK244" s="152"/>
      <c r="AL244" s="152"/>
      <c r="AM244" s="152"/>
      <c r="AN244" s="152"/>
      <c r="AO244" s="152"/>
      <c r="AP244" s="152"/>
      <c r="AQ244" s="152"/>
      <c r="AR244" s="152"/>
      <c r="AS244" s="152"/>
      <c r="AT244" s="152"/>
      <c r="AU244" s="152"/>
      <c r="AV244" s="152"/>
      <c r="AW244" s="152"/>
      <c r="AX244" s="152"/>
      <c r="AY244" s="152"/>
      <c r="AZ244" s="152"/>
      <c r="BA244" s="152"/>
      <c r="BB244" s="152"/>
      <c r="BC244" s="152"/>
    </row>
    <row r="245" customFormat="false" ht="15.75" hidden="false" customHeight="false" outlineLevel="0" collapsed="false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2"/>
      <c r="AI245" s="152"/>
      <c r="AJ245" s="152"/>
      <c r="AK245" s="152"/>
      <c r="AL245" s="152"/>
      <c r="AM245" s="152"/>
      <c r="AN245" s="152"/>
      <c r="AO245" s="152"/>
      <c r="AP245" s="152"/>
      <c r="AQ245" s="152"/>
      <c r="AR245" s="152"/>
      <c r="AS245" s="152"/>
      <c r="AT245" s="152"/>
      <c r="AU245" s="152"/>
      <c r="AV245" s="152"/>
      <c r="AW245" s="152"/>
      <c r="AX245" s="152"/>
      <c r="AY245" s="152"/>
      <c r="AZ245" s="152"/>
      <c r="BA245" s="152"/>
      <c r="BB245" s="152"/>
      <c r="BC245" s="152"/>
    </row>
    <row r="246" customFormat="false" ht="15.75" hidden="false" customHeight="false" outlineLevel="0" collapsed="false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2"/>
      <c r="AI246" s="152"/>
      <c r="AJ246" s="152"/>
      <c r="AK246" s="152"/>
      <c r="AL246" s="152"/>
      <c r="AM246" s="152"/>
      <c r="AN246" s="152"/>
      <c r="AO246" s="152"/>
      <c r="AP246" s="152"/>
      <c r="AQ246" s="152"/>
      <c r="AR246" s="152"/>
      <c r="AS246" s="152"/>
      <c r="AT246" s="152"/>
      <c r="AU246" s="152"/>
      <c r="AV246" s="152"/>
      <c r="AW246" s="152"/>
      <c r="AX246" s="152"/>
      <c r="AY246" s="152"/>
      <c r="AZ246" s="152"/>
      <c r="BA246" s="152"/>
      <c r="BB246" s="152"/>
      <c r="BC246" s="152"/>
    </row>
    <row r="247" customFormat="false" ht="15.75" hidden="false" customHeight="false" outlineLevel="0" collapsed="false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2"/>
      <c r="AI247" s="152"/>
      <c r="AJ247" s="152"/>
      <c r="AK247" s="152"/>
      <c r="AL247" s="152"/>
      <c r="AM247" s="152"/>
      <c r="AN247" s="152"/>
      <c r="AO247" s="152"/>
      <c r="AP247" s="152"/>
      <c r="AQ247" s="152"/>
      <c r="AR247" s="152"/>
      <c r="AS247" s="152"/>
      <c r="AT247" s="152"/>
      <c r="AU247" s="152"/>
      <c r="AV247" s="152"/>
      <c r="AW247" s="152"/>
      <c r="AX247" s="152"/>
      <c r="AY247" s="152"/>
      <c r="AZ247" s="152"/>
      <c r="BA247" s="152"/>
      <c r="BB247" s="152"/>
      <c r="BC247" s="152"/>
    </row>
    <row r="248" customFormat="false" ht="15.75" hidden="false" customHeight="false" outlineLevel="0" collapsed="false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2"/>
      <c r="AI248" s="152"/>
      <c r="AJ248" s="152"/>
      <c r="AK248" s="152"/>
      <c r="AL248" s="152"/>
      <c r="AM248" s="152"/>
      <c r="AN248" s="152"/>
      <c r="AO248" s="152"/>
      <c r="AP248" s="152"/>
      <c r="AQ248" s="152"/>
      <c r="AR248" s="152"/>
      <c r="AS248" s="152"/>
      <c r="AT248" s="152"/>
      <c r="AU248" s="152"/>
      <c r="AV248" s="152"/>
      <c r="AW248" s="152"/>
      <c r="AX248" s="152"/>
      <c r="AY248" s="152"/>
      <c r="AZ248" s="152"/>
      <c r="BA248" s="152"/>
      <c r="BB248" s="152"/>
      <c r="BC248" s="152"/>
    </row>
    <row r="249" customFormat="false" ht="15.75" hidden="false" customHeight="false" outlineLevel="0" collapsed="false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2"/>
      <c r="AI249" s="152"/>
      <c r="AJ249" s="152"/>
      <c r="AK249" s="152"/>
      <c r="AL249" s="152"/>
      <c r="AM249" s="152"/>
      <c r="AN249" s="152"/>
      <c r="AO249" s="152"/>
      <c r="AP249" s="152"/>
      <c r="AQ249" s="152"/>
      <c r="AR249" s="152"/>
      <c r="AS249" s="152"/>
      <c r="AT249" s="152"/>
      <c r="AU249" s="152"/>
      <c r="AV249" s="152"/>
      <c r="AW249" s="152"/>
      <c r="AX249" s="152"/>
      <c r="AY249" s="152"/>
      <c r="AZ249" s="152"/>
      <c r="BA249" s="152"/>
      <c r="BB249" s="152"/>
      <c r="BC249" s="152"/>
    </row>
    <row r="250" customFormat="false" ht="15.75" hidden="false" customHeight="false" outlineLevel="0" collapsed="false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2"/>
      <c r="AI250" s="152"/>
      <c r="AJ250" s="152"/>
      <c r="AK250" s="152"/>
      <c r="AL250" s="152"/>
      <c r="AM250" s="152"/>
      <c r="AN250" s="152"/>
      <c r="AO250" s="152"/>
      <c r="AP250" s="152"/>
      <c r="AQ250" s="152"/>
      <c r="AR250" s="152"/>
      <c r="AS250" s="152"/>
      <c r="AT250" s="152"/>
      <c r="AU250" s="152"/>
      <c r="AV250" s="152"/>
      <c r="AW250" s="152"/>
      <c r="AX250" s="152"/>
      <c r="AY250" s="152"/>
      <c r="AZ250" s="152"/>
      <c r="BA250" s="152"/>
      <c r="BB250" s="152"/>
      <c r="BC250" s="152"/>
    </row>
    <row r="251" customFormat="false" ht="15.75" hidden="false" customHeight="false" outlineLevel="0" collapsed="false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2"/>
      <c r="AI251" s="152"/>
      <c r="AJ251" s="152"/>
      <c r="AK251" s="152"/>
      <c r="AL251" s="152"/>
      <c r="AM251" s="152"/>
      <c r="AN251" s="152"/>
      <c r="AO251" s="152"/>
      <c r="AP251" s="152"/>
      <c r="AQ251" s="152"/>
      <c r="AR251" s="152"/>
      <c r="AS251" s="152"/>
      <c r="AT251" s="152"/>
      <c r="AU251" s="152"/>
      <c r="AV251" s="152"/>
      <c r="AW251" s="152"/>
      <c r="AX251" s="152"/>
      <c r="AY251" s="152"/>
      <c r="AZ251" s="152"/>
      <c r="BA251" s="152"/>
      <c r="BB251" s="152"/>
      <c r="BC251" s="152"/>
    </row>
    <row r="252" customFormat="false" ht="15.75" hidden="false" customHeight="false" outlineLevel="0" collapsed="false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2"/>
      <c r="AI252" s="152"/>
      <c r="AJ252" s="152"/>
      <c r="AK252" s="152"/>
      <c r="AL252" s="152"/>
      <c r="AM252" s="152"/>
      <c r="AN252" s="152"/>
      <c r="AO252" s="152"/>
      <c r="AP252" s="152"/>
      <c r="AQ252" s="152"/>
      <c r="AR252" s="152"/>
      <c r="AS252" s="152"/>
      <c r="AT252" s="152"/>
      <c r="AU252" s="152"/>
      <c r="AV252" s="152"/>
      <c r="AW252" s="152"/>
      <c r="AX252" s="152"/>
      <c r="AY252" s="152"/>
      <c r="AZ252" s="152"/>
      <c r="BA252" s="152"/>
      <c r="BB252" s="152"/>
      <c r="BC252" s="152"/>
    </row>
    <row r="253" customFormat="false" ht="15.75" hidden="false" customHeight="false" outlineLevel="0" collapsed="false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2"/>
      <c r="AI253" s="152"/>
      <c r="AJ253" s="152"/>
      <c r="AK253" s="152"/>
      <c r="AL253" s="152"/>
      <c r="AM253" s="152"/>
      <c r="AN253" s="152"/>
      <c r="AO253" s="152"/>
      <c r="AP253" s="152"/>
      <c r="AQ253" s="152"/>
      <c r="AR253" s="152"/>
      <c r="AS253" s="152"/>
      <c r="AT253" s="152"/>
      <c r="AU253" s="152"/>
      <c r="AV253" s="152"/>
      <c r="AW253" s="152"/>
      <c r="AX253" s="152"/>
      <c r="AY253" s="152"/>
      <c r="AZ253" s="152"/>
      <c r="BA253" s="152"/>
      <c r="BB253" s="152"/>
      <c r="BC253" s="152"/>
    </row>
    <row r="254" customFormat="false" ht="15.75" hidden="false" customHeight="false" outlineLevel="0" collapsed="false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2"/>
      <c r="AI254" s="152"/>
      <c r="AJ254" s="152"/>
      <c r="AK254" s="152"/>
      <c r="AL254" s="152"/>
      <c r="AM254" s="152"/>
      <c r="AN254" s="152"/>
      <c r="AO254" s="152"/>
      <c r="AP254" s="152"/>
      <c r="AQ254" s="152"/>
      <c r="AR254" s="152"/>
      <c r="AS254" s="152"/>
      <c r="AT254" s="152"/>
      <c r="AU254" s="152"/>
      <c r="AV254" s="152"/>
      <c r="AW254" s="152"/>
      <c r="AX254" s="152"/>
      <c r="AY254" s="152"/>
      <c r="AZ254" s="152"/>
      <c r="BA254" s="152"/>
      <c r="BB254" s="152"/>
      <c r="BC254" s="152"/>
    </row>
    <row r="255" customFormat="false" ht="15.75" hidden="false" customHeight="false" outlineLevel="0" collapsed="false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2"/>
      <c r="AI255" s="152"/>
      <c r="AJ255" s="152"/>
      <c r="AK255" s="152"/>
      <c r="AL255" s="152"/>
      <c r="AM255" s="152"/>
      <c r="AN255" s="152"/>
      <c r="AO255" s="152"/>
      <c r="AP255" s="152"/>
      <c r="AQ255" s="152"/>
      <c r="AR255" s="152"/>
      <c r="AS255" s="152"/>
      <c r="AT255" s="152"/>
      <c r="AU255" s="152"/>
      <c r="AV255" s="152"/>
      <c r="AW255" s="152"/>
      <c r="AX255" s="152"/>
      <c r="AY255" s="152"/>
      <c r="AZ255" s="152"/>
      <c r="BA255" s="152"/>
      <c r="BB255" s="152"/>
      <c r="BC255" s="152"/>
    </row>
    <row r="256" customFormat="false" ht="15.75" hidden="false" customHeight="false" outlineLevel="0" collapsed="false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S256" s="152"/>
      <c r="T256" s="152"/>
      <c r="U256" s="152"/>
      <c r="V256" s="152"/>
      <c r="W256" s="152"/>
      <c r="X256" s="152"/>
      <c r="Y256" s="152"/>
      <c r="Z256" s="152"/>
      <c r="AB256" s="152"/>
      <c r="AC256" s="152"/>
      <c r="AD256" s="152"/>
      <c r="AE256" s="152"/>
      <c r="AF256" s="152"/>
      <c r="AG256" s="152"/>
      <c r="AH256" s="152"/>
      <c r="AI256" s="152"/>
      <c r="AJ256" s="152"/>
      <c r="AK256" s="152"/>
      <c r="AL256" s="152"/>
      <c r="AM256" s="152"/>
      <c r="AN256" s="152"/>
      <c r="AO256" s="152"/>
      <c r="AP256" s="152"/>
      <c r="AQ256" s="152"/>
      <c r="AR256" s="152"/>
      <c r="AS256" s="152"/>
      <c r="AT256" s="152"/>
      <c r="AU256" s="152"/>
      <c r="AV256" s="152"/>
      <c r="AW256" s="152"/>
      <c r="AX256" s="152"/>
      <c r="AY256" s="152"/>
      <c r="AZ256" s="152"/>
      <c r="BA256" s="152"/>
      <c r="BB256" s="152"/>
      <c r="BC256" s="152"/>
    </row>
    <row r="257" customFormat="false" ht="15.75" hidden="false" customHeight="false" outlineLevel="0" collapsed="false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2"/>
      <c r="AI257" s="152"/>
      <c r="AJ257" s="152"/>
      <c r="AK257" s="152"/>
      <c r="AL257" s="152"/>
      <c r="AM257" s="152"/>
      <c r="AN257" s="152"/>
      <c r="AO257" s="152"/>
      <c r="AP257" s="152"/>
      <c r="AQ257" s="152"/>
      <c r="AR257" s="152"/>
      <c r="AS257" s="152"/>
      <c r="AT257" s="152"/>
      <c r="AU257" s="152"/>
      <c r="AV257" s="152"/>
      <c r="AW257" s="152"/>
      <c r="AX257" s="152"/>
      <c r="AY257" s="152"/>
      <c r="AZ257" s="152"/>
      <c r="BA257" s="152"/>
      <c r="BB257" s="152"/>
      <c r="BC257" s="152"/>
    </row>
    <row r="258" customFormat="false" ht="15.75" hidden="false" customHeight="false" outlineLevel="0" collapsed="false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2"/>
      <c r="AI258" s="152"/>
      <c r="AJ258" s="152"/>
      <c r="AK258" s="152"/>
      <c r="AL258" s="152"/>
      <c r="AM258" s="152"/>
      <c r="AN258" s="152"/>
      <c r="AO258" s="152"/>
      <c r="AP258" s="152"/>
      <c r="AQ258" s="152"/>
      <c r="AR258" s="152"/>
      <c r="AS258" s="152"/>
      <c r="AT258" s="152"/>
      <c r="AU258" s="152"/>
      <c r="AV258" s="152"/>
      <c r="AW258" s="152"/>
      <c r="AX258" s="152"/>
      <c r="AY258" s="152"/>
      <c r="AZ258" s="152"/>
      <c r="BA258" s="152"/>
      <c r="BB258" s="152"/>
      <c r="BC258" s="152"/>
    </row>
    <row r="259" customFormat="false" ht="15.75" hidden="false" customHeight="false" outlineLevel="0" collapsed="false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2"/>
      <c r="AI259" s="152"/>
      <c r="AJ259" s="152"/>
      <c r="AK259" s="152"/>
      <c r="AL259" s="152"/>
      <c r="AM259" s="152"/>
      <c r="AN259" s="152"/>
      <c r="AO259" s="152"/>
      <c r="AP259" s="152"/>
      <c r="AQ259" s="152"/>
      <c r="AR259" s="152"/>
      <c r="AS259" s="152"/>
      <c r="AT259" s="152"/>
      <c r="AU259" s="152"/>
      <c r="AV259" s="152"/>
      <c r="AW259" s="152"/>
      <c r="AX259" s="152"/>
      <c r="AY259" s="152"/>
      <c r="AZ259" s="152"/>
      <c r="BA259" s="152"/>
      <c r="BB259" s="152"/>
      <c r="BC259" s="152"/>
    </row>
    <row r="260" customFormat="false" ht="15.75" hidden="false" customHeight="false" outlineLevel="0" collapsed="false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S260" s="152"/>
      <c r="T260" s="152"/>
      <c r="U260" s="152"/>
      <c r="V260" s="152"/>
      <c r="W260" s="152"/>
      <c r="X260" s="152"/>
      <c r="Y260" s="152"/>
      <c r="Z260" s="152"/>
      <c r="AB260" s="152"/>
      <c r="AC260" s="152"/>
      <c r="AD260" s="152"/>
      <c r="AE260" s="152"/>
      <c r="AF260" s="152"/>
      <c r="AG260" s="152"/>
      <c r="AH260" s="152"/>
      <c r="AI260" s="152"/>
      <c r="AJ260" s="152"/>
      <c r="AK260" s="152"/>
      <c r="AL260" s="152"/>
      <c r="AM260" s="152"/>
      <c r="AN260" s="152"/>
      <c r="AO260" s="152"/>
      <c r="AP260" s="152"/>
      <c r="AQ260" s="152"/>
      <c r="AR260" s="152"/>
      <c r="AS260" s="152"/>
      <c r="AT260" s="152"/>
      <c r="AU260" s="152"/>
      <c r="AV260" s="152"/>
      <c r="AW260" s="152"/>
      <c r="AX260" s="152"/>
      <c r="AY260" s="152"/>
      <c r="AZ260" s="152"/>
      <c r="BA260" s="152"/>
      <c r="BB260" s="152"/>
      <c r="BC260" s="152"/>
    </row>
    <row r="261" customFormat="false" ht="15.75" hidden="false" customHeight="false" outlineLevel="0" collapsed="false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2"/>
      <c r="AI261" s="152"/>
      <c r="AJ261" s="152"/>
      <c r="AK261" s="152"/>
      <c r="AL261" s="152"/>
      <c r="AM261" s="152"/>
      <c r="AN261" s="152"/>
      <c r="AO261" s="152"/>
      <c r="AP261" s="152"/>
      <c r="AQ261" s="152"/>
      <c r="AR261" s="152"/>
      <c r="AS261" s="152"/>
      <c r="AT261" s="152"/>
      <c r="AU261" s="152"/>
      <c r="AV261" s="152"/>
      <c r="AW261" s="152"/>
      <c r="AX261" s="152"/>
      <c r="AY261" s="152"/>
      <c r="AZ261" s="152"/>
      <c r="BA261" s="152"/>
      <c r="BB261" s="152"/>
      <c r="BC261" s="152"/>
    </row>
    <row r="262" customFormat="false" ht="15.75" hidden="false" customHeight="false" outlineLevel="0" collapsed="false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2"/>
      <c r="AI262" s="152"/>
      <c r="AJ262" s="152"/>
      <c r="AK262" s="152"/>
      <c r="AL262" s="152"/>
      <c r="AM262" s="152"/>
      <c r="AN262" s="152"/>
      <c r="AO262" s="152"/>
      <c r="AP262" s="152"/>
      <c r="AQ262" s="152"/>
      <c r="AR262" s="152"/>
      <c r="AS262" s="152"/>
      <c r="AT262" s="152"/>
      <c r="AU262" s="152"/>
      <c r="AV262" s="152"/>
      <c r="AW262" s="152"/>
      <c r="AX262" s="152"/>
      <c r="AY262" s="152"/>
      <c r="AZ262" s="152"/>
      <c r="BA262" s="152"/>
      <c r="BB262" s="152"/>
      <c r="BC262" s="152"/>
    </row>
    <row r="263" customFormat="false" ht="15.75" hidden="false" customHeight="false" outlineLevel="0" collapsed="false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2"/>
      <c r="AI263" s="152"/>
      <c r="AJ263" s="152"/>
      <c r="AK263" s="152"/>
      <c r="AL263" s="152"/>
      <c r="AM263" s="152"/>
      <c r="AN263" s="152"/>
      <c r="AO263" s="152"/>
      <c r="AP263" s="152"/>
      <c r="AQ263" s="152"/>
      <c r="AR263" s="152"/>
      <c r="AS263" s="152"/>
      <c r="AT263" s="152"/>
      <c r="AU263" s="152"/>
      <c r="AV263" s="152"/>
      <c r="AW263" s="152"/>
      <c r="AX263" s="152"/>
      <c r="AY263" s="152"/>
      <c r="AZ263" s="152"/>
      <c r="BA263" s="152"/>
      <c r="BB263" s="152"/>
      <c r="BC263" s="152"/>
    </row>
    <row r="264" customFormat="false" ht="15.75" hidden="false" customHeight="false" outlineLevel="0" collapsed="false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2"/>
      <c r="AI264" s="152"/>
      <c r="AJ264" s="152"/>
      <c r="AK264" s="152"/>
      <c r="AL264" s="152"/>
      <c r="AM264" s="152"/>
      <c r="AN264" s="152"/>
      <c r="AO264" s="152"/>
      <c r="AP264" s="152"/>
      <c r="AQ264" s="152"/>
      <c r="AR264" s="152"/>
      <c r="AS264" s="152"/>
      <c r="AT264" s="152"/>
      <c r="AU264" s="152"/>
      <c r="AV264" s="152"/>
      <c r="AW264" s="152"/>
      <c r="AX264" s="152"/>
      <c r="AY264" s="152"/>
      <c r="AZ264" s="152"/>
      <c r="BA264" s="152"/>
      <c r="BB264" s="152"/>
      <c r="BC264" s="152"/>
    </row>
    <row r="265" customFormat="false" ht="15.75" hidden="false" customHeight="false" outlineLevel="0" collapsed="false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2"/>
      <c r="AI265" s="152"/>
      <c r="AJ265" s="152"/>
      <c r="AK265" s="152"/>
      <c r="AL265" s="152"/>
      <c r="AM265" s="152"/>
      <c r="AN265" s="152"/>
      <c r="AO265" s="152"/>
      <c r="AP265" s="152"/>
      <c r="AQ265" s="152"/>
      <c r="AR265" s="152"/>
      <c r="AS265" s="152"/>
      <c r="AT265" s="152"/>
      <c r="AU265" s="152"/>
      <c r="AV265" s="152"/>
      <c r="AW265" s="152"/>
      <c r="AX265" s="152"/>
      <c r="AY265" s="152"/>
      <c r="AZ265" s="152"/>
      <c r="BA265" s="152"/>
      <c r="BB265" s="152"/>
      <c r="BC265" s="152"/>
    </row>
    <row r="266" customFormat="false" ht="15.75" hidden="false" customHeight="false" outlineLevel="0" collapsed="false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2"/>
      <c r="AI266" s="152"/>
      <c r="AJ266" s="152"/>
      <c r="AK266" s="152"/>
      <c r="AL266" s="152"/>
      <c r="AM266" s="152"/>
      <c r="AN266" s="152"/>
      <c r="AO266" s="152"/>
      <c r="AP266" s="152"/>
      <c r="AQ266" s="152"/>
      <c r="AR266" s="152"/>
      <c r="AS266" s="152"/>
      <c r="AT266" s="152"/>
      <c r="AU266" s="152"/>
      <c r="AV266" s="152"/>
      <c r="AW266" s="152"/>
      <c r="AX266" s="152"/>
      <c r="AY266" s="152"/>
      <c r="AZ266" s="152"/>
      <c r="BA266" s="152"/>
      <c r="BB266" s="152"/>
      <c r="BC266" s="152"/>
    </row>
    <row r="267" customFormat="false" ht="15.75" hidden="false" customHeight="false" outlineLevel="0" collapsed="false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2"/>
      <c r="AI267" s="152"/>
      <c r="AJ267" s="152"/>
      <c r="AK267" s="152"/>
      <c r="AL267" s="152"/>
      <c r="AM267" s="152"/>
      <c r="AN267" s="152"/>
      <c r="AO267" s="152"/>
      <c r="AP267" s="152"/>
      <c r="AQ267" s="152"/>
      <c r="AR267" s="152"/>
      <c r="AS267" s="152"/>
      <c r="AT267" s="152"/>
      <c r="AU267" s="152"/>
      <c r="AV267" s="152"/>
      <c r="AW267" s="152"/>
      <c r="AX267" s="152"/>
      <c r="AY267" s="152"/>
      <c r="AZ267" s="152"/>
      <c r="BA267" s="152"/>
      <c r="BB267" s="152"/>
      <c r="BC267" s="152"/>
    </row>
    <row r="268" customFormat="false" ht="15.75" hidden="false" customHeight="false" outlineLevel="0" collapsed="false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2"/>
      <c r="AI268" s="152"/>
      <c r="AJ268" s="152"/>
      <c r="AK268" s="152"/>
      <c r="AL268" s="152"/>
      <c r="AM268" s="152"/>
      <c r="AN268" s="152"/>
      <c r="AO268" s="152"/>
      <c r="AP268" s="152"/>
      <c r="AQ268" s="152"/>
      <c r="AR268" s="152"/>
      <c r="AS268" s="152"/>
      <c r="AT268" s="152"/>
      <c r="AU268" s="152"/>
      <c r="AV268" s="152"/>
      <c r="AW268" s="152"/>
      <c r="AX268" s="152"/>
      <c r="AY268" s="152"/>
      <c r="AZ268" s="152"/>
      <c r="BA268" s="152"/>
      <c r="BB268" s="152"/>
      <c r="BC268" s="152"/>
    </row>
    <row r="269" customFormat="false" ht="15.75" hidden="false" customHeight="false" outlineLevel="0" collapsed="false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2"/>
      <c r="AI269" s="152"/>
      <c r="AJ269" s="152"/>
      <c r="AK269" s="152"/>
      <c r="AL269" s="152"/>
      <c r="AM269" s="152"/>
      <c r="AN269" s="152"/>
      <c r="AO269" s="152"/>
      <c r="AP269" s="152"/>
      <c r="AQ269" s="152"/>
      <c r="AR269" s="152"/>
      <c r="AS269" s="152"/>
      <c r="AT269" s="152"/>
      <c r="AU269" s="152"/>
      <c r="AV269" s="152"/>
      <c r="AW269" s="152"/>
      <c r="AX269" s="152"/>
      <c r="AY269" s="152"/>
      <c r="AZ269" s="152"/>
      <c r="BA269" s="152"/>
      <c r="BB269" s="152"/>
      <c r="BC269" s="152"/>
    </row>
    <row r="270" customFormat="false" ht="15.75" hidden="false" customHeight="false" outlineLevel="0" collapsed="false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2"/>
      <c r="AI270" s="152"/>
      <c r="AJ270" s="152"/>
      <c r="AK270" s="152"/>
      <c r="AL270" s="152"/>
      <c r="AM270" s="152"/>
      <c r="AN270" s="152"/>
      <c r="AO270" s="152"/>
      <c r="AP270" s="152"/>
      <c r="AQ270" s="152"/>
      <c r="AR270" s="152"/>
      <c r="AS270" s="152"/>
      <c r="AT270" s="152"/>
      <c r="AU270" s="152"/>
      <c r="AV270" s="152"/>
      <c r="AW270" s="152"/>
      <c r="AX270" s="152"/>
      <c r="AY270" s="152"/>
      <c r="AZ270" s="152"/>
      <c r="BA270" s="152"/>
      <c r="BB270" s="152"/>
      <c r="BC270" s="152"/>
    </row>
    <row r="271" customFormat="false" ht="15.75" hidden="false" customHeight="false" outlineLevel="0" collapsed="false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2"/>
      <c r="AI271" s="152"/>
      <c r="AJ271" s="152"/>
      <c r="AK271" s="152"/>
      <c r="AL271" s="152"/>
      <c r="AM271" s="152"/>
      <c r="AN271" s="152"/>
      <c r="AO271" s="152"/>
      <c r="AP271" s="152"/>
      <c r="AQ271" s="152"/>
      <c r="AR271" s="152"/>
      <c r="AS271" s="152"/>
      <c r="AT271" s="152"/>
      <c r="AU271" s="152"/>
      <c r="AV271" s="152"/>
      <c r="AW271" s="152"/>
      <c r="AX271" s="152"/>
      <c r="AY271" s="152"/>
      <c r="AZ271" s="152"/>
      <c r="BA271" s="152"/>
      <c r="BB271" s="152"/>
      <c r="BC271" s="152"/>
    </row>
    <row r="272" customFormat="false" ht="15.75" hidden="false" customHeight="false" outlineLevel="0" collapsed="false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2"/>
      <c r="AI272" s="152"/>
      <c r="AJ272" s="152"/>
      <c r="AK272" s="152"/>
      <c r="AL272" s="152"/>
      <c r="AM272" s="152"/>
      <c r="AN272" s="152"/>
      <c r="AO272" s="152"/>
      <c r="AP272" s="152"/>
      <c r="AQ272" s="152"/>
      <c r="AR272" s="152"/>
      <c r="AS272" s="152"/>
      <c r="AT272" s="152"/>
      <c r="AU272" s="152"/>
      <c r="AV272" s="152"/>
      <c r="AW272" s="152"/>
      <c r="AX272" s="152"/>
      <c r="AY272" s="152"/>
      <c r="AZ272" s="152"/>
      <c r="BA272" s="152"/>
      <c r="BB272" s="152"/>
      <c r="BC272" s="152"/>
    </row>
    <row r="273" customFormat="false" ht="15.75" hidden="false" customHeight="false" outlineLevel="0" collapsed="false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S273" s="152"/>
      <c r="T273" s="152"/>
      <c r="U273" s="152"/>
      <c r="V273" s="152"/>
      <c r="W273" s="152"/>
      <c r="X273" s="152"/>
      <c r="Y273" s="152"/>
      <c r="Z273" s="152"/>
      <c r="AB273" s="152"/>
      <c r="AC273" s="152"/>
      <c r="AD273" s="152"/>
      <c r="AE273" s="152"/>
      <c r="AF273" s="152"/>
      <c r="AG273" s="152"/>
      <c r="AH273" s="152"/>
      <c r="AI273" s="152"/>
      <c r="AJ273" s="152"/>
      <c r="AK273" s="152"/>
      <c r="AL273" s="152"/>
      <c r="AM273" s="152"/>
      <c r="AN273" s="152"/>
      <c r="AO273" s="152"/>
      <c r="AP273" s="152"/>
      <c r="AQ273" s="152"/>
      <c r="AR273" s="152"/>
      <c r="AS273" s="152"/>
      <c r="AT273" s="152"/>
      <c r="AU273" s="152"/>
      <c r="AV273" s="152"/>
      <c r="AW273" s="152"/>
      <c r="AX273" s="152"/>
      <c r="AY273" s="152"/>
      <c r="AZ273" s="152"/>
      <c r="BA273" s="152"/>
      <c r="BB273" s="152"/>
      <c r="BC273" s="152"/>
    </row>
    <row r="274" customFormat="false" ht="15.75" hidden="false" customHeight="false" outlineLevel="0" collapsed="false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2"/>
      <c r="AI274" s="152"/>
      <c r="AJ274" s="152"/>
      <c r="AK274" s="152"/>
      <c r="AL274" s="152"/>
      <c r="AM274" s="152"/>
      <c r="AN274" s="152"/>
      <c r="AO274" s="152"/>
      <c r="AP274" s="152"/>
      <c r="AQ274" s="152"/>
      <c r="AR274" s="152"/>
      <c r="AS274" s="152"/>
      <c r="AT274" s="152"/>
      <c r="AU274" s="152"/>
      <c r="AV274" s="152"/>
      <c r="AW274" s="152"/>
      <c r="AX274" s="152"/>
      <c r="AY274" s="152"/>
      <c r="AZ274" s="152"/>
      <c r="BA274" s="152"/>
      <c r="BB274" s="152"/>
      <c r="BC274" s="152"/>
    </row>
    <row r="275" customFormat="false" ht="15.75" hidden="false" customHeight="false" outlineLevel="0" collapsed="false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2"/>
      <c r="AI275" s="152"/>
      <c r="AJ275" s="152"/>
      <c r="AK275" s="152"/>
      <c r="AL275" s="152"/>
      <c r="AM275" s="152"/>
      <c r="AN275" s="152"/>
      <c r="AO275" s="152"/>
      <c r="AP275" s="152"/>
      <c r="AQ275" s="152"/>
      <c r="AR275" s="152"/>
      <c r="AS275" s="152"/>
      <c r="AT275" s="152"/>
      <c r="AU275" s="152"/>
      <c r="AV275" s="152"/>
      <c r="AW275" s="152"/>
      <c r="AX275" s="152"/>
      <c r="AY275" s="152"/>
      <c r="AZ275" s="152"/>
      <c r="BA275" s="152"/>
      <c r="BB275" s="152"/>
      <c r="BC275" s="152"/>
    </row>
    <row r="276" customFormat="false" ht="15.75" hidden="false" customHeight="false" outlineLevel="0" collapsed="false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2"/>
      <c r="AI276" s="152"/>
      <c r="AJ276" s="152"/>
      <c r="AK276" s="152"/>
      <c r="AL276" s="152"/>
      <c r="AM276" s="152"/>
      <c r="AN276" s="152"/>
      <c r="AO276" s="152"/>
      <c r="AP276" s="152"/>
      <c r="AQ276" s="152"/>
      <c r="AR276" s="152"/>
      <c r="AS276" s="152"/>
      <c r="AT276" s="152"/>
      <c r="AU276" s="152"/>
      <c r="AV276" s="152"/>
      <c r="AW276" s="152"/>
      <c r="AX276" s="152"/>
      <c r="AY276" s="152"/>
      <c r="AZ276" s="152"/>
      <c r="BA276" s="152"/>
      <c r="BB276" s="152"/>
      <c r="BC276" s="152"/>
    </row>
    <row r="277" customFormat="false" ht="15.75" hidden="false" customHeight="false" outlineLevel="0" collapsed="false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2"/>
      <c r="AI277" s="152"/>
      <c r="AJ277" s="152"/>
      <c r="AK277" s="152"/>
      <c r="AL277" s="152"/>
      <c r="AM277" s="152"/>
      <c r="AN277" s="152"/>
      <c r="AO277" s="152"/>
      <c r="AP277" s="152"/>
      <c r="AQ277" s="152"/>
      <c r="AR277" s="152"/>
      <c r="AS277" s="152"/>
      <c r="AT277" s="152"/>
      <c r="AU277" s="152"/>
      <c r="AV277" s="152"/>
      <c r="AW277" s="152"/>
      <c r="AX277" s="152"/>
      <c r="AY277" s="152"/>
      <c r="AZ277" s="152"/>
      <c r="BA277" s="152"/>
      <c r="BB277" s="152"/>
      <c r="BC277" s="152"/>
    </row>
    <row r="278" customFormat="false" ht="15.75" hidden="false" customHeight="false" outlineLevel="0" collapsed="false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2"/>
      <c r="AI278" s="152"/>
      <c r="AJ278" s="152"/>
      <c r="AK278" s="152"/>
      <c r="AL278" s="152"/>
      <c r="AM278" s="152"/>
      <c r="AN278" s="152"/>
      <c r="AO278" s="152"/>
      <c r="AP278" s="152"/>
      <c r="AQ278" s="152"/>
      <c r="AR278" s="152"/>
      <c r="AS278" s="152"/>
      <c r="AT278" s="152"/>
      <c r="AU278" s="152"/>
      <c r="AV278" s="152"/>
      <c r="AW278" s="152"/>
      <c r="AX278" s="152"/>
      <c r="AY278" s="152"/>
      <c r="AZ278" s="152"/>
      <c r="BA278" s="152"/>
      <c r="BB278" s="152"/>
      <c r="BC278" s="152"/>
    </row>
    <row r="279" customFormat="false" ht="15.75" hidden="false" customHeight="false" outlineLevel="0" collapsed="false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2"/>
      <c r="AI279" s="152"/>
      <c r="AJ279" s="152"/>
      <c r="AK279" s="152"/>
      <c r="AL279" s="152"/>
      <c r="AM279" s="152"/>
      <c r="AN279" s="152"/>
      <c r="AO279" s="152"/>
      <c r="AP279" s="152"/>
      <c r="AQ279" s="152"/>
      <c r="AR279" s="152"/>
      <c r="AS279" s="152"/>
      <c r="AT279" s="152"/>
      <c r="AU279" s="152"/>
      <c r="AV279" s="152"/>
      <c r="AW279" s="152"/>
      <c r="AX279" s="152"/>
      <c r="AY279" s="152"/>
      <c r="AZ279" s="152"/>
      <c r="BA279" s="152"/>
      <c r="BB279" s="152"/>
      <c r="BC279" s="152"/>
    </row>
    <row r="280" customFormat="false" ht="15.75" hidden="false" customHeight="false" outlineLevel="0" collapsed="false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2"/>
      <c r="AI280" s="152"/>
      <c r="AJ280" s="152"/>
      <c r="AK280" s="152"/>
      <c r="AL280" s="152"/>
      <c r="AM280" s="152"/>
      <c r="AN280" s="152"/>
      <c r="AO280" s="152"/>
      <c r="AP280" s="152"/>
      <c r="AQ280" s="152"/>
      <c r="AR280" s="152"/>
      <c r="AS280" s="152"/>
      <c r="AT280" s="152"/>
      <c r="AU280" s="152"/>
      <c r="AV280" s="152"/>
      <c r="AW280" s="152"/>
      <c r="AX280" s="152"/>
      <c r="AY280" s="152"/>
      <c r="AZ280" s="152"/>
      <c r="BA280" s="152"/>
      <c r="BB280" s="152"/>
      <c r="BC280" s="152"/>
    </row>
    <row r="281" customFormat="false" ht="15.75" hidden="false" customHeight="false" outlineLevel="0" collapsed="false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2"/>
      <c r="AI281" s="152"/>
      <c r="AJ281" s="152"/>
      <c r="AK281" s="152"/>
      <c r="AL281" s="152"/>
      <c r="AM281" s="152"/>
      <c r="AN281" s="152"/>
      <c r="AO281" s="152"/>
      <c r="AP281" s="152"/>
      <c r="AQ281" s="152"/>
      <c r="AR281" s="152"/>
      <c r="AS281" s="152"/>
      <c r="AT281" s="152"/>
      <c r="AU281" s="152"/>
      <c r="AV281" s="152"/>
      <c r="AW281" s="152"/>
      <c r="AX281" s="152"/>
      <c r="AY281" s="152"/>
      <c r="AZ281" s="152"/>
      <c r="BA281" s="152"/>
      <c r="BB281" s="152"/>
      <c r="BC281" s="152"/>
    </row>
    <row r="282" customFormat="false" ht="15.75" hidden="false" customHeight="false" outlineLevel="0" collapsed="false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2"/>
      <c r="AI282" s="152"/>
      <c r="AJ282" s="152"/>
      <c r="AK282" s="152"/>
      <c r="AL282" s="152"/>
      <c r="AM282" s="152"/>
      <c r="AN282" s="152"/>
      <c r="AO282" s="152"/>
      <c r="AP282" s="152"/>
      <c r="AQ282" s="152"/>
      <c r="AR282" s="152"/>
      <c r="AS282" s="152"/>
      <c r="AT282" s="152"/>
      <c r="AU282" s="152"/>
      <c r="AV282" s="152"/>
      <c r="AW282" s="152"/>
      <c r="AX282" s="152"/>
      <c r="AY282" s="152"/>
      <c r="AZ282" s="152"/>
      <c r="BA282" s="152"/>
      <c r="BB282" s="152"/>
      <c r="BC282" s="152"/>
    </row>
    <row r="283" customFormat="false" ht="15.75" hidden="false" customHeight="false" outlineLevel="0" collapsed="false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2"/>
      <c r="AI283" s="152"/>
      <c r="AJ283" s="152"/>
      <c r="AK283" s="152"/>
      <c r="AL283" s="152"/>
      <c r="AM283" s="152"/>
      <c r="AN283" s="152"/>
      <c r="AO283" s="152"/>
      <c r="AP283" s="152"/>
      <c r="AQ283" s="152"/>
      <c r="AR283" s="152"/>
      <c r="AS283" s="152"/>
      <c r="AT283" s="152"/>
      <c r="AU283" s="152"/>
      <c r="AV283" s="152"/>
      <c r="AW283" s="152"/>
      <c r="AX283" s="152"/>
      <c r="AY283" s="152"/>
      <c r="AZ283" s="152"/>
      <c r="BA283" s="152"/>
      <c r="BB283" s="152"/>
      <c r="BC283" s="152"/>
    </row>
    <row r="284" customFormat="false" ht="15.75" hidden="false" customHeight="false" outlineLevel="0" collapsed="false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2"/>
      <c r="AI284" s="152"/>
      <c r="AJ284" s="152"/>
      <c r="AK284" s="152"/>
      <c r="AL284" s="152"/>
      <c r="AM284" s="152"/>
      <c r="AN284" s="152"/>
      <c r="AO284" s="152"/>
      <c r="AP284" s="152"/>
      <c r="AQ284" s="152"/>
      <c r="AR284" s="152"/>
      <c r="AS284" s="152"/>
      <c r="AT284" s="152"/>
      <c r="AU284" s="152"/>
      <c r="AV284" s="152"/>
      <c r="AW284" s="152"/>
      <c r="AX284" s="152"/>
      <c r="AY284" s="152"/>
      <c r="AZ284" s="152"/>
      <c r="BA284" s="152"/>
      <c r="BB284" s="152"/>
      <c r="BC284" s="152"/>
    </row>
    <row r="285" customFormat="false" ht="15.75" hidden="false" customHeight="false" outlineLevel="0" collapsed="false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2"/>
      <c r="AI285" s="152"/>
      <c r="AJ285" s="152"/>
      <c r="AK285" s="152"/>
      <c r="AL285" s="152"/>
      <c r="AM285" s="152"/>
      <c r="AN285" s="152"/>
      <c r="AO285" s="152"/>
      <c r="AP285" s="152"/>
      <c r="AQ285" s="152"/>
      <c r="AR285" s="152"/>
      <c r="AS285" s="152"/>
      <c r="AT285" s="152"/>
      <c r="AU285" s="152"/>
      <c r="AV285" s="152"/>
      <c r="AW285" s="152"/>
      <c r="AX285" s="152"/>
      <c r="AY285" s="152"/>
      <c r="AZ285" s="152"/>
      <c r="BA285" s="152"/>
      <c r="BB285" s="152"/>
      <c r="BC285" s="152"/>
    </row>
    <row r="286" customFormat="false" ht="15.75" hidden="false" customHeight="false" outlineLevel="0" collapsed="false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2"/>
      <c r="AI286" s="152"/>
      <c r="AJ286" s="152"/>
      <c r="AK286" s="152"/>
      <c r="AL286" s="152"/>
      <c r="AM286" s="152"/>
      <c r="AN286" s="152"/>
      <c r="AO286" s="152"/>
      <c r="AP286" s="152"/>
      <c r="AQ286" s="152"/>
      <c r="AR286" s="152"/>
      <c r="AS286" s="152"/>
      <c r="AT286" s="152"/>
      <c r="AU286" s="152"/>
      <c r="AV286" s="152"/>
      <c r="AW286" s="152"/>
      <c r="AX286" s="152"/>
      <c r="AY286" s="152"/>
      <c r="AZ286" s="152"/>
      <c r="BA286" s="152"/>
      <c r="BB286" s="152"/>
      <c r="BC286" s="152"/>
    </row>
    <row r="287" customFormat="false" ht="15.75" hidden="false" customHeight="false" outlineLevel="0" collapsed="false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2"/>
      <c r="AI287" s="152"/>
      <c r="AJ287" s="152"/>
      <c r="AK287" s="152"/>
      <c r="AL287" s="152"/>
      <c r="AM287" s="152"/>
      <c r="AN287" s="152"/>
      <c r="AO287" s="152"/>
      <c r="AP287" s="152"/>
      <c r="AQ287" s="152"/>
      <c r="AR287" s="152"/>
      <c r="AS287" s="152"/>
      <c r="AT287" s="152"/>
      <c r="AU287" s="152"/>
      <c r="AV287" s="152"/>
      <c r="AW287" s="152"/>
      <c r="AX287" s="152"/>
      <c r="AY287" s="152"/>
      <c r="AZ287" s="152"/>
      <c r="BA287" s="152"/>
      <c r="BB287" s="152"/>
      <c r="BC287" s="152"/>
    </row>
    <row r="288" customFormat="false" ht="15.75" hidden="false" customHeight="false" outlineLevel="0" collapsed="false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2"/>
      <c r="AI288" s="152"/>
      <c r="AJ288" s="152"/>
      <c r="AK288" s="152"/>
      <c r="AL288" s="152"/>
      <c r="AM288" s="152"/>
      <c r="AN288" s="152"/>
      <c r="AO288" s="152"/>
      <c r="AP288" s="152"/>
      <c r="AQ288" s="152"/>
      <c r="AR288" s="152"/>
      <c r="AS288" s="152"/>
      <c r="AT288" s="152"/>
      <c r="AU288" s="152"/>
      <c r="AV288" s="152"/>
      <c r="AW288" s="152"/>
      <c r="AX288" s="152"/>
      <c r="AY288" s="152"/>
      <c r="AZ288" s="152"/>
      <c r="BA288" s="152"/>
      <c r="BB288" s="152"/>
      <c r="BC288" s="152"/>
    </row>
    <row r="289" customFormat="false" ht="15.75" hidden="false" customHeight="false" outlineLevel="0" collapsed="false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2"/>
      <c r="AI289" s="152"/>
      <c r="AJ289" s="152"/>
      <c r="AK289" s="152"/>
      <c r="AL289" s="152"/>
      <c r="AM289" s="152"/>
      <c r="AN289" s="152"/>
      <c r="AO289" s="152"/>
      <c r="AP289" s="152"/>
      <c r="AQ289" s="152"/>
      <c r="AR289" s="152"/>
      <c r="AS289" s="152"/>
      <c r="AT289" s="152"/>
      <c r="AU289" s="152"/>
      <c r="AV289" s="152"/>
      <c r="AW289" s="152"/>
      <c r="AX289" s="152"/>
      <c r="AY289" s="152"/>
      <c r="AZ289" s="152"/>
      <c r="BA289" s="152"/>
      <c r="BB289" s="152"/>
      <c r="BC289" s="152"/>
    </row>
    <row r="290" customFormat="false" ht="15.75" hidden="false" customHeight="false" outlineLevel="0" collapsed="false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2"/>
      <c r="AI290" s="152"/>
      <c r="AJ290" s="152"/>
      <c r="AK290" s="152"/>
      <c r="AL290" s="152"/>
      <c r="AM290" s="152"/>
      <c r="AN290" s="152"/>
      <c r="AO290" s="152"/>
      <c r="AP290" s="152"/>
      <c r="AQ290" s="152"/>
      <c r="AR290" s="152"/>
      <c r="AS290" s="152"/>
      <c r="AT290" s="152"/>
      <c r="AU290" s="152"/>
      <c r="AV290" s="152"/>
      <c r="AW290" s="152"/>
      <c r="AX290" s="152"/>
      <c r="AY290" s="152"/>
      <c r="AZ290" s="152"/>
      <c r="BA290" s="152"/>
      <c r="BB290" s="152"/>
      <c r="BC290" s="152"/>
    </row>
    <row r="291" customFormat="false" ht="15.75" hidden="false" customHeight="false" outlineLevel="0" collapsed="false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2"/>
      <c r="AI291" s="152"/>
      <c r="AJ291" s="152"/>
      <c r="AK291" s="152"/>
      <c r="AL291" s="152"/>
      <c r="AM291" s="152"/>
      <c r="AN291" s="152"/>
      <c r="AO291" s="152"/>
      <c r="AP291" s="152"/>
      <c r="AQ291" s="152"/>
      <c r="AR291" s="152"/>
      <c r="AS291" s="152"/>
      <c r="AT291" s="152"/>
      <c r="AU291" s="152"/>
      <c r="AV291" s="152"/>
      <c r="AW291" s="152"/>
      <c r="AX291" s="152"/>
      <c r="AY291" s="152"/>
      <c r="AZ291" s="152"/>
      <c r="BA291" s="152"/>
      <c r="BB291" s="152"/>
      <c r="BC291" s="152"/>
    </row>
    <row r="292" customFormat="false" ht="15.75" hidden="false" customHeight="false" outlineLevel="0" collapsed="false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2"/>
      <c r="AI292" s="152"/>
      <c r="AJ292" s="152"/>
      <c r="AK292" s="152"/>
      <c r="AL292" s="152"/>
      <c r="AM292" s="152"/>
      <c r="AN292" s="152"/>
      <c r="AO292" s="152"/>
      <c r="AP292" s="152"/>
      <c r="AQ292" s="152"/>
      <c r="AR292" s="152"/>
      <c r="AS292" s="152"/>
      <c r="AT292" s="152"/>
      <c r="AU292" s="152"/>
      <c r="AV292" s="152"/>
      <c r="AW292" s="152"/>
      <c r="AX292" s="152"/>
      <c r="AY292" s="152"/>
      <c r="AZ292" s="152"/>
      <c r="BA292" s="152"/>
      <c r="BB292" s="152"/>
      <c r="BC292" s="152"/>
    </row>
    <row r="293" customFormat="false" ht="15.75" hidden="false" customHeight="false" outlineLevel="0" collapsed="false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2"/>
      <c r="AI293" s="152"/>
      <c r="AJ293" s="152"/>
      <c r="AK293" s="152"/>
      <c r="AL293" s="152"/>
      <c r="AM293" s="152"/>
      <c r="AN293" s="152"/>
      <c r="AO293" s="152"/>
      <c r="AP293" s="152"/>
      <c r="AQ293" s="152"/>
      <c r="AR293" s="152"/>
      <c r="AS293" s="152"/>
      <c r="AT293" s="152"/>
      <c r="AU293" s="152"/>
      <c r="AV293" s="152"/>
      <c r="AW293" s="152"/>
      <c r="AX293" s="152"/>
      <c r="AY293" s="152"/>
      <c r="AZ293" s="152"/>
      <c r="BA293" s="152"/>
      <c r="BB293" s="152"/>
      <c r="BC293" s="152"/>
    </row>
    <row r="294" customFormat="false" ht="15.75" hidden="false" customHeight="false" outlineLevel="0" collapsed="false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2"/>
      <c r="AI294" s="152"/>
      <c r="AJ294" s="152"/>
      <c r="AK294" s="152"/>
      <c r="AL294" s="152"/>
      <c r="AM294" s="152"/>
      <c r="AN294" s="152"/>
      <c r="AO294" s="152"/>
      <c r="AP294" s="152"/>
      <c r="AQ294" s="152"/>
      <c r="AR294" s="152"/>
      <c r="AS294" s="152"/>
      <c r="AT294" s="152"/>
      <c r="AU294" s="152"/>
      <c r="AV294" s="152"/>
      <c r="AW294" s="152"/>
      <c r="AX294" s="152"/>
      <c r="AY294" s="152"/>
      <c r="AZ294" s="152"/>
      <c r="BA294" s="152"/>
      <c r="BB294" s="152"/>
      <c r="BC294" s="152"/>
    </row>
    <row r="295" customFormat="false" ht="15.75" hidden="false" customHeight="false" outlineLevel="0" collapsed="false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2"/>
      <c r="AI295" s="152"/>
      <c r="AJ295" s="152"/>
      <c r="AK295" s="152"/>
      <c r="AL295" s="152"/>
      <c r="AM295" s="152"/>
      <c r="AN295" s="152"/>
      <c r="AO295" s="152"/>
      <c r="AP295" s="152"/>
      <c r="AQ295" s="152"/>
      <c r="AR295" s="152"/>
      <c r="AS295" s="152"/>
      <c r="AT295" s="152"/>
      <c r="AU295" s="152"/>
      <c r="AV295" s="152"/>
      <c r="AW295" s="152"/>
      <c r="AX295" s="152"/>
      <c r="AY295" s="152"/>
      <c r="AZ295" s="152"/>
      <c r="BA295" s="152"/>
      <c r="BB295" s="152"/>
      <c r="BC295" s="152"/>
    </row>
    <row r="296" customFormat="false" ht="15.75" hidden="false" customHeight="false" outlineLevel="0" collapsed="false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2"/>
      <c r="AI296" s="152"/>
      <c r="AJ296" s="152"/>
      <c r="AK296" s="152"/>
      <c r="AL296" s="152"/>
      <c r="AM296" s="152"/>
      <c r="AN296" s="152"/>
      <c r="AO296" s="152"/>
      <c r="AP296" s="152"/>
      <c r="AQ296" s="152"/>
      <c r="AR296" s="152"/>
      <c r="AS296" s="152"/>
      <c r="AT296" s="152"/>
      <c r="AU296" s="152"/>
      <c r="AV296" s="152"/>
      <c r="AW296" s="152"/>
      <c r="AX296" s="152"/>
      <c r="AY296" s="152"/>
      <c r="AZ296" s="152"/>
      <c r="BA296" s="152"/>
      <c r="BB296" s="152"/>
      <c r="BC296" s="152"/>
    </row>
    <row r="297" customFormat="false" ht="15.75" hidden="false" customHeight="false" outlineLevel="0" collapsed="false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2"/>
      <c r="AI297" s="152"/>
      <c r="AJ297" s="152"/>
      <c r="AK297" s="152"/>
      <c r="AL297" s="152"/>
      <c r="AM297" s="152"/>
      <c r="AN297" s="152"/>
      <c r="AO297" s="152"/>
      <c r="AP297" s="152"/>
      <c r="AQ297" s="152"/>
      <c r="AR297" s="152"/>
      <c r="AS297" s="152"/>
      <c r="AT297" s="152"/>
      <c r="AU297" s="152"/>
      <c r="AV297" s="152"/>
      <c r="AW297" s="152"/>
      <c r="AX297" s="152"/>
      <c r="AY297" s="152"/>
      <c r="AZ297" s="152"/>
      <c r="BA297" s="152"/>
      <c r="BB297" s="152"/>
      <c r="BC297" s="152"/>
    </row>
    <row r="298" customFormat="false" ht="15.75" hidden="false" customHeight="false" outlineLevel="0" collapsed="false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2"/>
      <c r="AI298" s="152"/>
      <c r="AJ298" s="152"/>
      <c r="AK298" s="152"/>
      <c r="AL298" s="152"/>
      <c r="AM298" s="152"/>
      <c r="AN298" s="152"/>
      <c r="AO298" s="152"/>
      <c r="AP298" s="152"/>
      <c r="AQ298" s="152"/>
      <c r="AR298" s="152"/>
      <c r="AS298" s="152"/>
      <c r="AT298" s="152"/>
      <c r="AU298" s="152"/>
      <c r="AV298" s="152"/>
      <c r="AW298" s="152"/>
      <c r="AX298" s="152"/>
      <c r="AY298" s="152"/>
      <c r="AZ298" s="152"/>
      <c r="BA298" s="152"/>
      <c r="BB298" s="152"/>
      <c r="BC298" s="152"/>
    </row>
    <row r="299" customFormat="false" ht="15.75" hidden="false" customHeight="false" outlineLevel="0" collapsed="false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2"/>
      <c r="AI299" s="152"/>
      <c r="AJ299" s="152"/>
      <c r="AK299" s="152"/>
      <c r="AL299" s="152"/>
      <c r="AM299" s="152"/>
      <c r="AN299" s="152"/>
      <c r="AO299" s="152"/>
      <c r="AP299" s="152"/>
      <c r="AQ299" s="152"/>
      <c r="AR299" s="152"/>
      <c r="AS299" s="152"/>
      <c r="AT299" s="152"/>
      <c r="AU299" s="152"/>
      <c r="AV299" s="152"/>
      <c r="AW299" s="152"/>
      <c r="AX299" s="152"/>
      <c r="AY299" s="152"/>
      <c r="AZ299" s="152"/>
      <c r="BA299" s="152"/>
      <c r="BB299" s="152"/>
      <c r="BC299" s="152"/>
    </row>
    <row r="300" customFormat="false" ht="15.75" hidden="false" customHeight="false" outlineLevel="0" collapsed="false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2"/>
      <c r="AI300" s="152"/>
      <c r="AJ300" s="152"/>
      <c r="AK300" s="152"/>
      <c r="AL300" s="152"/>
      <c r="AM300" s="152"/>
      <c r="AN300" s="152"/>
      <c r="AO300" s="152"/>
      <c r="AP300" s="152"/>
      <c r="AQ300" s="152"/>
      <c r="AR300" s="152"/>
      <c r="AS300" s="152"/>
      <c r="AT300" s="152"/>
      <c r="AU300" s="152"/>
      <c r="AV300" s="152"/>
      <c r="AW300" s="152"/>
      <c r="AX300" s="152"/>
      <c r="AY300" s="152"/>
      <c r="AZ300" s="152"/>
      <c r="BA300" s="152"/>
      <c r="BB300" s="152"/>
      <c r="BC300" s="152"/>
    </row>
    <row r="301" customFormat="false" ht="15.75" hidden="false" customHeight="false" outlineLevel="0" collapsed="false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2"/>
      <c r="AI301" s="152"/>
      <c r="AJ301" s="152"/>
      <c r="AK301" s="152"/>
      <c r="AL301" s="152"/>
      <c r="AM301" s="152"/>
      <c r="AN301" s="152"/>
      <c r="AO301" s="152"/>
      <c r="AP301" s="152"/>
      <c r="AQ301" s="152"/>
      <c r="AR301" s="152"/>
      <c r="AS301" s="152"/>
      <c r="AT301" s="152"/>
      <c r="AU301" s="152"/>
      <c r="AV301" s="152"/>
      <c r="AW301" s="152"/>
      <c r="AX301" s="152"/>
      <c r="AY301" s="152"/>
      <c r="AZ301" s="152"/>
      <c r="BA301" s="152"/>
      <c r="BB301" s="152"/>
      <c r="BC301" s="152"/>
    </row>
    <row r="302" customFormat="false" ht="15.75" hidden="false" customHeight="false" outlineLevel="0" collapsed="false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2"/>
      <c r="AI302" s="152"/>
      <c r="AJ302" s="152"/>
      <c r="AK302" s="152"/>
      <c r="AL302" s="152"/>
      <c r="AM302" s="152"/>
      <c r="AN302" s="152"/>
      <c r="AO302" s="152"/>
      <c r="AP302" s="152"/>
      <c r="AQ302" s="152"/>
      <c r="AR302" s="152"/>
      <c r="AS302" s="152"/>
      <c r="AT302" s="152"/>
      <c r="AU302" s="152"/>
      <c r="AV302" s="152"/>
      <c r="AW302" s="152"/>
      <c r="AX302" s="152"/>
      <c r="AY302" s="152"/>
      <c r="AZ302" s="152"/>
      <c r="BA302" s="152"/>
      <c r="BB302" s="152"/>
      <c r="BC302" s="152"/>
    </row>
    <row r="303" customFormat="false" ht="15.75" hidden="false" customHeight="false" outlineLevel="0" collapsed="false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2"/>
      <c r="AI303" s="152"/>
      <c r="AJ303" s="152"/>
      <c r="AK303" s="152"/>
      <c r="AL303" s="152"/>
      <c r="AM303" s="152"/>
      <c r="AN303" s="152"/>
      <c r="AO303" s="152"/>
      <c r="AP303" s="152"/>
      <c r="AQ303" s="152"/>
      <c r="AR303" s="152"/>
      <c r="AS303" s="152"/>
      <c r="AT303" s="152"/>
      <c r="AU303" s="152"/>
      <c r="AV303" s="152"/>
      <c r="AW303" s="152"/>
      <c r="AX303" s="152"/>
      <c r="AY303" s="152"/>
      <c r="AZ303" s="152"/>
      <c r="BA303" s="152"/>
      <c r="BB303" s="152"/>
      <c r="BC303" s="152"/>
    </row>
    <row r="304" customFormat="false" ht="15.75" hidden="false" customHeight="false" outlineLevel="0" collapsed="false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2"/>
      <c r="AI304" s="152"/>
      <c r="AJ304" s="152"/>
      <c r="AK304" s="152"/>
      <c r="AL304" s="152"/>
      <c r="AM304" s="152"/>
      <c r="AN304" s="152"/>
      <c r="AO304" s="152"/>
      <c r="AP304" s="152"/>
      <c r="AQ304" s="152"/>
      <c r="AR304" s="152"/>
      <c r="AS304" s="152"/>
      <c r="AT304" s="152"/>
      <c r="AU304" s="152"/>
      <c r="AV304" s="152"/>
      <c r="AW304" s="152"/>
      <c r="AX304" s="152"/>
      <c r="AY304" s="152"/>
      <c r="AZ304" s="152"/>
      <c r="BA304" s="152"/>
      <c r="BB304" s="152"/>
      <c r="BC304" s="152"/>
    </row>
    <row r="305" customFormat="false" ht="15.75" hidden="false" customHeight="false" outlineLevel="0" collapsed="false">
      <c r="A305" s="152"/>
      <c r="B305" s="152"/>
      <c r="C305" s="154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2"/>
      <c r="AI305" s="152"/>
      <c r="AJ305" s="152"/>
      <c r="AK305" s="152"/>
      <c r="AL305" s="152"/>
      <c r="AM305" s="152"/>
      <c r="AN305" s="152"/>
      <c r="AO305" s="152"/>
      <c r="AP305" s="152"/>
      <c r="AQ305" s="152"/>
      <c r="AR305" s="152"/>
      <c r="AS305" s="152"/>
      <c r="AT305" s="152"/>
      <c r="AU305" s="152"/>
      <c r="AV305" s="152"/>
      <c r="AW305" s="152"/>
      <c r="AX305" s="152"/>
      <c r="AY305" s="152"/>
      <c r="AZ305" s="152"/>
      <c r="BA305" s="152"/>
      <c r="BB305" s="152"/>
      <c r="BC305" s="152"/>
    </row>
    <row r="306" customFormat="false" ht="15.75" hidden="false" customHeight="false" outlineLevel="0" collapsed="false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2"/>
      <c r="AI306" s="152"/>
      <c r="AJ306" s="152"/>
      <c r="AK306" s="152"/>
      <c r="AL306" s="152"/>
      <c r="AM306" s="152"/>
      <c r="AN306" s="152"/>
      <c r="AO306" s="152"/>
      <c r="AP306" s="152"/>
      <c r="AQ306" s="152"/>
      <c r="AR306" s="152"/>
      <c r="AS306" s="152"/>
      <c r="AT306" s="152"/>
      <c r="AU306" s="152"/>
      <c r="AV306" s="152"/>
      <c r="AW306" s="152"/>
      <c r="AX306" s="152"/>
      <c r="AY306" s="152"/>
      <c r="AZ306" s="152"/>
      <c r="BA306" s="152"/>
      <c r="BB306" s="152"/>
      <c r="BC306" s="152"/>
    </row>
    <row r="307" customFormat="false" ht="15.75" hidden="false" customHeight="false" outlineLevel="0" collapsed="false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2"/>
      <c r="AI307" s="152"/>
      <c r="AJ307" s="152"/>
      <c r="AK307" s="152"/>
      <c r="AL307" s="152"/>
      <c r="AM307" s="152"/>
      <c r="AN307" s="152"/>
      <c r="AO307" s="152"/>
      <c r="AP307" s="152"/>
      <c r="AQ307" s="152"/>
      <c r="AR307" s="152"/>
      <c r="AS307" s="152"/>
      <c r="AT307" s="152"/>
      <c r="AU307" s="152"/>
      <c r="AV307" s="152"/>
      <c r="AW307" s="152"/>
      <c r="AX307" s="152"/>
      <c r="AY307" s="152"/>
      <c r="AZ307" s="152"/>
      <c r="BA307" s="152"/>
      <c r="BB307" s="152"/>
      <c r="BC307" s="152"/>
    </row>
    <row r="308" customFormat="false" ht="15.75" hidden="false" customHeight="false" outlineLevel="0" collapsed="false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2"/>
      <c r="AI308" s="152"/>
      <c r="AJ308" s="152"/>
      <c r="AK308" s="152"/>
      <c r="AL308" s="152"/>
      <c r="AM308" s="152"/>
      <c r="AN308" s="152"/>
      <c r="AO308" s="152"/>
      <c r="AP308" s="152"/>
      <c r="AQ308" s="152"/>
      <c r="AR308" s="152"/>
      <c r="AS308" s="152"/>
      <c r="AT308" s="152"/>
      <c r="AU308" s="152"/>
      <c r="AV308" s="152"/>
      <c r="AW308" s="152"/>
      <c r="AX308" s="152"/>
      <c r="AY308" s="152"/>
      <c r="AZ308" s="152"/>
      <c r="BA308" s="152"/>
      <c r="BB308" s="152"/>
      <c r="BC308" s="152"/>
    </row>
    <row r="309" customFormat="false" ht="15.75" hidden="false" customHeight="false" outlineLevel="0" collapsed="false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2"/>
      <c r="AI309" s="152"/>
      <c r="AJ309" s="152"/>
      <c r="AK309" s="152"/>
      <c r="AL309" s="152"/>
      <c r="AM309" s="152"/>
      <c r="AN309" s="152"/>
      <c r="AO309" s="152"/>
      <c r="AP309" s="152"/>
      <c r="AQ309" s="152"/>
      <c r="AR309" s="152"/>
      <c r="AS309" s="152"/>
      <c r="AT309" s="152"/>
      <c r="AU309" s="152"/>
      <c r="AV309" s="152"/>
      <c r="AW309" s="152"/>
      <c r="AX309" s="152"/>
      <c r="AY309" s="152"/>
      <c r="AZ309" s="152"/>
      <c r="BA309" s="152"/>
      <c r="BB309" s="152"/>
      <c r="BC309" s="152"/>
    </row>
    <row r="310" customFormat="false" ht="15.75" hidden="false" customHeight="false" outlineLevel="0" collapsed="false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2"/>
      <c r="AI310" s="152"/>
      <c r="AJ310" s="152"/>
      <c r="AK310" s="152"/>
      <c r="AL310" s="152"/>
      <c r="AM310" s="152"/>
      <c r="AN310" s="152"/>
      <c r="AO310" s="152"/>
      <c r="AP310" s="152"/>
      <c r="AQ310" s="152"/>
      <c r="AR310" s="152"/>
      <c r="AS310" s="152"/>
      <c r="AT310" s="152"/>
      <c r="AU310" s="152"/>
      <c r="AV310" s="152"/>
      <c r="AW310" s="152"/>
      <c r="AX310" s="152"/>
      <c r="AY310" s="152"/>
      <c r="AZ310" s="152"/>
      <c r="BA310" s="152"/>
      <c r="BB310" s="152"/>
      <c r="BC310" s="152"/>
    </row>
    <row r="311" customFormat="false" ht="15.75" hidden="false" customHeight="false" outlineLevel="0" collapsed="false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S311" s="152"/>
      <c r="T311" s="152"/>
      <c r="U311" s="152"/>
      <c r="V311" s="152"/>
      <c r="W311" s="152"/>
      <c r="X311" s="152"/>
      <c r="Y311" s="152"/>
      <c r="Z311" s="152"/>
      <c r="AB311" s="152"/>
      <c r="AC311" s="152"/>
      <c r="AD311" s="152"/>
      <c r="AE311" s="152"/>
      <c r="AF311" s="152"/>
      <c r="AG311" s="152"/>
      <c r="AH311" s="152"/>
      <c r="AI311" s="152"/>
      <c r="AJ311" s="152"/>
      <c r="AK311" s="152"/>
      <c r="AL311" s="152"/>
      <c r="AM311" s="152"/>
      <c r="AN311" s="152"/>
      <c r="AO311" s="152"/>
      <c r="AP311" s="152"/>
      <c r="AQ311" s="152"/>
      <c r="AR311" s="152"/>
      <c r="AS311" s="152"/>
      <c r="AT311" s="152"/>
      <c r="AU311" s="152"/>
      <c r="AV311" s="152"/>
      <c r="AW311" s="152"/>
      <c r="AX311" s="152"/>
      <c r="AY311" s="152"/>
      <c r="AZ311" s="152"/>
      <c r="BA311" s="152"/>
      <c r="BB311" s="152"/>
      <c r="BC311" s="152"/>
    </row>
    <row r="312" customFormat="false" ht="15.75" hidden="false" customHeight="false" outlineLevel="0" collapsed="false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2"/>
      <c r="AI312" s="152"/>
      <c r="AJ312" s="152"/>
      <c r="AK312" s="152"/>
      <c r="AL312" s="152"/>
      <c r="AM312" s="152"/>
      <c r="AN312" s="152"/>
      <c r="AO312" s="152"/>
      <c r="AP312" s="152"/>
      <c r="AQ312" s="152"/>
      <c r="AR312" s="152"/>
      <c r="AS312" s="152"/>
      <c r="AT312" s="152"/>
      <c r="AU312" s="152"/>
      <c r="AV312" s="152"/>
      <c r="AW312" s="152"/>
      <c r="AX312" s="152"/>
      <c r="AY312" s="152"/>
      <c r="AZ312" s="152"/>
      <c r="BA312" s="152"/>
      <c r="BB312" s="152"/>
      <c r="BC312" s="152"/>
    </row>
    <row r="313" customFormat="false" ht="15.75" hidden="false" customHeight="false" outlineLevel="0" collapsed="false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2"/>
      <c r="AI313" s="152"/>
      <c r="AJ313" s="152"/>
      <c r="AK313" s="152"/>
      <c r="AL313" s="152"/>
      <c r="AM313" s="152"/>
      <c r="AN313" s="152"/>
      <c r="AO313" s="152"/>
      <c r="AP313" s="152"/>
      <c r="AQ313" s="152"/>
      <c r="AR313" s="152"/>
      <c r="AS313" s="152"/>
      <c r="AT313" s="152"/>
      <c r="AU313" s="152"/>
      <c r="AV313" s="152"/>
      <c r="AW313" s="152"/>
      <c r="AX313" s="152"/>
      <c r="AY313" s="152"/>
      <c r="AZ313" s="152"/>
      <c r="BA313" s="152"/>
      <c r="BB313" s="152"/>
      <c r="BC313" s="152"/>
    </row>
    <row r="314" customFormat="false" ht="15.75" hidden="false" customHeight="false" outlineLevel="0" collapsed="false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2"/>
      <c r="AI314" s="152"/>
      <c r="AJ314" s="152"/>
      <c r="AK314" s="152"/>
      <c r="AL314" s="152"/>
      <c r="AM314" s="152"/>
      <c r="AN314" s="152"/>
      <c r="AO314" s="152"/>
      <c r="AP314" s="152"/>
      <c r="AQ314" s="152"/>
      <c r="AR314" s="152"/>
      <c r="AS314" s="152"/>
      <c r="AT314" s="152"/>
      <c r="AU314" s="152"/>
      <c r="AV314" s="152"/>
      <c r="AW314" s="152"/>
      <c r="AX314" s="152"/>
      <c r="AY314" s="152"/>
      <c r="AZ314" s="152"/>
      <c r="BA314" s="152"/>
      <c r="BB314" s="152"/>
      <c r="BC314" s="152"/>
    </row>
    <row r="315" customFormat="false" ht="15.75" hidden="false" customHeight="false" outlineLevel="0" collapsed="false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2"/>
      <c r="AI315" s="152"/>
      <c r="AJ315" s="152"/>
      <c r="AK315" s="152"/>
      <c r="AL315" s="152"/>
      <c r="AM315" s="152"/>
      <c r="AN315" s="152"/>
      <c r="AO315" s="152"/>
      <c r="AP315" s="152"/>
      <c r="AQ315" s="152"/>
      <c r="AR315" s="152"/>
      <c r="AS315" s="152"/>
      <c r="AT315" s="152"/>
      <c r="AU315" s="152"/>
      <c r="AV315" s="152"/>
      <c r="AW315" s="152"/>
      <c r="AX315" s="152"/>
      <c r="AY315" s="152"/>
      <c r="AZ315" s="152"/>
      <c r="BA315" s="152"/>
      <c r="BB315" s="152"/>
      <c r="BC315" s="152"/>
    </row>
    <row r="316" customFormat="false" ht="15.75" hidden="false" customHeight="false" outlineLevel="0" collapsed="false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2"/>
      <c r="AI316" s="152"/>
      <c r="AJ316" s="152"/>
      <c r="AK316" s="152"/>
      <c r="AL316" s="152"/>
      <c r="AM316" s="152"/>
      <c r="AN316" s="152"/>
      <c r="AO316" s="152"/>
      <c r="AP316" s="152"/>
      <c r="AQ316" s="152"/>
      <c r="AR316" s="152"/>
      <c r="AS316" s="152"/>
      <c r="AT316" s="152"/>
      <c r="AU316" s="152"/>
      <c r="AV316" s="152"/>
      <c r="AW316" s="152"/>
      <c r="AX316" s="152"/>
      <c r="AY316" s="152"/>
      <c r="AZ316" s="152"/>
      <c r="BA316" s="152"/>
      <c r="BB316" s="152"/>
      <c r="BC316" s="152"/>
    </row>
    <row r="317" customFormat="false" ht="15.75" hidden="false" customHeight="false" outlineLevel="0" collapsed="false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2"/>
      <c r="AI317" s="152"/>
      <c r="AJ317" s="152"/>
      <c r="AK317" s="152"/>
      <c r="AL317" s="152"/>
      <c r="AM317" s="152"/>
      <c r="AN317" s="152"/>
      <c r="AO317" s="152"/>
      <c r="AP317" s="152"/>
      <c r="AQ317" s="152"/>
      <c r="AR317" s="152"/>
      <c r="AS317" s="152"/>
      <c r="AT317" s="152"/>
      <c r="AU317" s="152"/>
      <c r="AV317" s="152"/>
      <c r="AW317" s="152"/>
      <c r="AX317" s="152"/>
      <c r="AY317" s="152"/>
      <c r="AZ317" s="152"/>
      <c r="BA317" s="152"/>
      <c r="BB317" s="152"/>
      <c r="BC317" s="152"/>
    </row>
    <row r="318" customFormat="false" ht="15.75" hidden="false" customHeight="false" outlineLevel="0" collapsed="false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2"/>
      <c r="AI318" s="152"/>
      <c r="AJ318" s="152"/>
      <c r="AK318" s="152"/>
      <c r="AL318" s="152"/>
      <c r="AM318" s="152"/>
      <c r="AN318" s="152"/>
      <c r="AO318" s="152"/>
      <c r="AP318" s="152"/>
      <c r="AQ318" s="152"/>
      <c r="AR318" s="152"/>
      <c r="AS318" s="152"/>
      <c r="AT318" s="152"/>
      <c r="AU318" s="152"/>
      <c r="AV318" s="152"/>
      <c r="AW318" s="152"/>
      <c r="AX318" s="152"/>
      <c r="AY318" s="152"/>
      <c r="AZ318" s="152"/>
      <c r="BA318" s="152"/>
      <c r="BB318" s="152"/>
      <c r="BC318" s="152"/>
    </row>
    <row r="319" customFormat="false" ht="15.75" hidden="false" customHeight="false" outlineLevel="0" collapsed="false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2"/>
      <c r="AI319" s="152"/>
      <c r="AJ319" s="152"/>
      <c r="AK319" s="152"/>
      <c r="AL319" s="152"/>
      <c r="AM319" s="152"/>
      <c r="AN319" s="152"/>
      <c r="AO319" s="152"/>
      <c r="AP319" s="152"/>
      <c r="AQ319" s="152"/>
      <c r="AR319" s="152"/>
      <c r="AS319" s="152"/>
      <c r="AT319" s="152"/>
      <c r="AU319" s="152"/>
      <c r="AV319" s="152"/>
      <c r="AW319" s="152"/>
      <c r="AX319" s="152"/>
      <c r="AY319" s="152"/>
      <c r="AZ319" s="152"/>
      <c r="BA319" s="152"/>
      <c r="BB319" s="152"/>
      <c r="BC319" s="152"/>
    </row>
    <row r="320" customFormat="false" ht="15.75" hidden="false" customHeight="false" outlineLevel="0" collapsed="false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2"/>
      <c r="AI320" s="152"/>
      <c r="AJ320" s="152"/>
      <c r="AK320" s="152"/>
      <c r="AL320" s="152"/>
      <c r="AM320" s="152"/>
      <c r="AN320" s="152"/>
      <c r="AO320" s="152"/>
      <c r="AP320" s="152"/>
      <c r="AQ320" s="152"/>
      <c r="AR320" s="152"/>
      <c r="AS320" s="152"/>
      <c r="AT320" s="152"/>
      <c r="AU320" s="152"/>
      <c r="AV320" s="152"/>
      <c r="AW320" s="152"/>
      <c r="AX320" s="152"/>
      <c r="AY320" s="152"/>
      <c r="AZ320" s="152"/>
      <c r="BA320" s="152"/>
      <c r="BB320" s="152"/>
      <c r="BC320" s="152"/>
    </row>
    <row r="321" customFormat="false" ht="15.75" hidden="false" customHeight="false" outlineLevel="0" collapsed="false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2"/>
      <c r="AI321" s="152"/>
      <c r="AJ321" s="152"/>
      <c r="AK321" s="152"/>
      <c r="AL321" s="152"/>
      <c r="AM321" s="152"/>
      <c r="AN321" s="152"/>
      <c r="AO321" s="152"/>
      <c r="AP321" s="152"/>
      <c r="AQ321" s="152"/>
      <c r="AR321" s="152"/>
      <c r="AS321" s="152"/>
      <c r="AT321" s="152"/>
      <c r="AU321" s="152"/>
      <c r="AV321" s="152"/>
      <c r="AW321" s="152"/>
      <c r="AX321" s="152"/>
      <c r="AY321" s="152"/>
      <c r="AZ321" s="152"/>
      <c r="BA321" s="152"/>
      <c r="BB321" s="152"/>
      <c r="BC321" s="152"/>
    </row>
    <row r="322" customFormat="false" ht="15.75" hidden="false" customHeight="false" outlineLevel="0" collapsed="false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2"/>
      <c r="AI322" s="152"/>
      <c r="AJ322" s="152"/>
      <c r="AK322" s="152"/>
      <c r="AL322" s="152"/>
      <c r="AM322" s="152"/>
      <c r="AN322" s="152"/>
      <c r="AO322" s="152"/>
      <c r="AP322" s="152"/>
      <c r="AQ322" s="152"/>
      <c r="AR322" s="152"/>
      <c r="AS322" s="152"/>
      <c r="AT322" s="152"/>
      <c r="AU322" s="152"/>
      <c r="AV322" s="152"/>
      <c r="AW322" s="152"/>
      <c r="AX322" s="152"/>
      <c r="AY322" s="152"/>
      <c r="AZ322" s="152"/>
      <c r="BA322" s="152"/>
      <c r="BB322" s="152"/>
      <c r="BC322" s="152"/>
    </row>
    <row r="323" customFormat="false" ht="15.75" hidden="false" customHeight="false" outlineLevel="0" collapsed="false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2"/>
      <c r="AI323" s="152"/>
      <c r="AJ323" s="152"/>
      <c r="AK323" s="152"/>
      <c r="AL323" s="152"/>
      <c r="AM323" s="152"/>
      <c r="AN323" s="152"/>
      <c r="AO323" s="152"/>
      <c r="AP323" s="152"/>
      <c r="AQ323" s="152"/>
      <c r="AR323" s="152"/>
      <c r="AS323" s="152"/>
      <c r="AT323" s="152"/>
      <c r="AU323" s="152"/>
      <c r="AV323" s="152"/>
      <c r="AW323" s="152"/>
      <c r="AX323" s="152"/>
      <c r="AY323" s="152"/>
      <c r="AZ323" s="152"/>
      <c r="BA323" s="152"/>
      <c r="BB323" s="152"/>
      <c r="BC323" s="152"/>
    </row>
    <row r="324" customFormat="false" ht="15.75" hidden="false" customHeight="false" outlineLevel="0" collapsed="false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2"/>
      <c r="AI324" s="152"/>
      <c r="AJ324" s="152"/>
      <c r="AK324" s="152"/>
      <c r="AL324" s="152"/>
      <c r="AM324" s="152"/>
      <c r="AN324" s="152"/>
      <c r="AO324" s="152"/>
      <c r="AP324" s="152"/>
      <c r="AQ324" s="152"/>
      <c r="AR324" s="152"/>
      <c r="AS324" s="152"/>
      <c r="AT324" s="152"/>
      <c r="AU324" s="152"/>
      <c r="AV324" s="152"/>
      <c r="AW324" s="152"/>
      <c r="AX324" s="152"/>
      <c r="AY324" s="152"/>
      <c r="AZ324" s="152"/>
      <c r="BA324" s="152"/>
      <c r="BB324" s="152"/>
      <c r="BC324" s="152"/>
    </row>
    <row r="325" customFormat="false" ht="15.75" hidden="false" customHeight="false" outlineLevel="0" collapsed="false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2"/>
      <c r="AI325" s="152"/>
      <c r="AJ325" s="152"/>
      <c r="AK325" s="152"/>
      <c r="AL325" s="152"/>
      <c r="AM325" s="152"/>
      <c r="AN325" s="152"/>
      <c r="AO325" s="152"/>
      <c r="AP325" s="152"/>
      <c r="AQ325" s="152"/>
      <c r="AR325" s="152"/>
      <c r="AS325" s="152"/>
      <c r="AT325" s="152"/>
      <c r="AU325" s="152"/>
      <c r="AV325" s="152"/>
      <c r="AW325" s="152"/>
      <c r="AX325" s="152"/>
      <c r="AY325" s="152"/>
      <c r="AZ325" s="152"/>
      <c r="BA325" s="152"/>
      <c r="BB325" s="152"/>
      <c r="BC325" s="152"/>
    </row>
    <row r="326" customFormat="false" ht="15.75" hidden="false" customHeight="false" outlineLevel="0" collapsed="false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2"/>
      <c r="AI326" s="152"/>
      <c r="AJ326" s="152"/>
      <c r="AK326" s="152"/>
      <c r="AL326" s="152"/>
      <c r="AM326" s="152"/>
      <c r="AN326" s="152"/>
      <c r="AO326" s="152"/>
      <c r="AP326" s="152"/>
      <c r="AQ326" s="152"/>
      <c r="AR326" s="152"/>
      <c r="AS326" s="152"/>
      <c r="AT326" s="152"/>
      <c r="AU326" s="152"/>
      <c r="AV326" s="152"/>
      <c r="AW326" s="152"/>
      <c r="AX326" s="152"/>
      <c r="AY326" s="152"/>
      <c r="AZ326" s="152"/>
      <c r="BA326" s="152"/>
      <c r="BB326" s="152"/>
      <c r="BC326" s="152"/>
    </row>
    <row r="327" customFormat="false" ht="15.75" hidden="false" customHeight="false" outlineLevel="0" collapsed="false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2"/>
      <c r="AI327" s="152"/>
      <c r="AJ327" s="152"/>
      <c r="AK327" s="152"/>
      <c r="AL327" s="152"/>
      <c r="AM327" s="152"/>
      <c r="AN327" s="152"/>
      <c r="AO327" s="152"/>
      <c r="AP327" s="152"/>
      <c r="AQ327" s="152"/>
      <c r="AR327" s="152"/>
      <c r="AS327" s="152"/>
      <c r="AT327" s="152"/>
      <c r="AU327" s="152"/>
      <c r="AV327" s="152"/>
      <c r="AW327" s="152"/>
      <c r="AX327" s="152"/>
      <c r="AY327" s="152"/>
      <c r="AZ327" s="152"/>
      <c r="BA327" s="152"/>
      <c r="BB327" s="152"/>
      <c r="BC327" s="152"/>
    </row>
    <row r="328" customFormat="false" ht="15.75" hidden="false" customHeight="false" outlineLevel="0" collapsed="false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S328" s="152"/>
      <c r="T328" s="152"/>
      <c r="U328" s="152"/>
      <c r="V328" s="152"/>
      <c r="W328" s="152"/>
      <c r="X328" s="152"/>
      <c r="Y328" s="152"/>
      <c r="Z328" s="152"/>
      <c r="AB328" s="152"/>
      <c r="AC328" s="152"/>
      <c r="AD328" s="152"/>
      <c r="AE328" s="152"/>
      <c r="AF328" s="152"/>
      <c r="AG328" s="152"/>
      <c r="AH328" s="152"/>
      <c r="AI328" s="152"/>
      <c r="AJ328" s="152"/>
      <c r="AK328" s="152"/>
      <c r="AL328" s="152"/>
      <c r="AM328" s="152"/>
      <c r="AN328" s="152"/>
      <c r="AO328" s="152"/>
      <c r="AP328" s="152"/>
      <c r="AQ328" s="152"/>
      <c r="AR328" s="152"/>
      <c r="AS328" s="152"/>
      <c r="AT328" s="152"/>
      <c r="AU328" s="152"/>
      <c r="AV328" s="152"/>
      <c r="AW328" s="152"/>
      <c r="AX328" s="152"/>
      <c r="AY328" s="152"/>
      <c r="AZ328" s="152"/>
      <c r="BA328" s="152"/>
      <c r="BB328" s="152"/>
      <c r="BC328" s="152"/>
    </row>
    <row r="329" customFormat="false" ht="15.75" hidden="false" customHeight="false" outlineLevel="0" collapsed="false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2"/>
      <c r="AI329" s="152"/>
      <c r="AJ329" s="152"/>
      <c r="AK329" s="152"/>
      <c r="AL329" s="152"/>
      <c r="AM329" s="152"/>
      <c r="AN329" s="152"/>
      <c r="AO329" s="152"/>
      <c r="AP329" s="152"/>
      <c r="AQ329" s="152"/>
      <c r="AR329" s="152"/>
      <c r="AS329" s="152"/>
      <c r="AT329" s="152"/>
      <c r="AU329" s="152"/>
      <c r="AV329" s="152"/>
      <c r="AW329" s="152"/>
      <c r="AX329" s="152"/>
      <c r="AY329" s="152"/>
      <c r="AZ329" s="152"/>
      <c r="BA329" s="152"/>
      <c r="BB329" s="152"/>
      <c r="BC329" s="152"/>
    </row>
    <row r="330" customFormat="false" ht="15.75" hidden="false" customHeight="false" outlineLevel="0" collapsed="false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2"/>
      <c r="AI330" s="152"/>
      <c r="AJ330" s="152"/>
      <c r="AK330" s="152"/>
      <c r="AL330" s="152"/>
      <c r="AM330" s="152"/>
      <c r="AN330" s="152"/>
      <c r="AO330" s="152"/>
      <c r="AP330" s="152"/>
      <c r="AQ330" s="152"/>
      <c r="AR330" s="152"/>
      <c r="AS330" s="152"/>
      <c r="AT330" s="152"/>
      <c r="AU330" s="152"/>
      <c r="AV330" s="152"/>
      <c r="AW330" s="152"/>
      <c r="AX330" s="152"/>
      <c r="AY330" s="152"/>
      <c r="AZ330" s="152"/>
      <c r="BA330" s="152"/>
      <c r="BB330" s="152"/>
      <c r="BC330" s="152"/>
    </row>
    <row r="331" customFormat="false" ht="15.75" hidden="false" customHeight="false" outlineLevel="0" collapsed="false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S331" s="152"/>
      <c r="T331" s="152"/>
      <c r="U331" s="152"/>
      <c r="V331" s="152"/>
      <c r="W331" s="152"/>
      <c r="X331" s="152"/>
      <c r="Y331" s="152"/>
      <c r="Z331" s="152"/>
      <c r="AB331" s="152"/>
      <c r="AC331" s="152"/>
      <c r="AD331" s="152"/>
      <c r="AE331" s="152"/>
      <c r="AF331" s="152"/>
      <c r="AG331" s="152"/>
      <c r="AH331" s="152"/>
      <c r="AI331" s="152"/>
      <c r="AJ331" s="152"/>
      <c r="AK331" s="152"/>
      <c r="AL331" s="152"/>
      <c r="AM331" s="152"/>
      <c r="AN331" s="152"/>
      <c r="AO331" s="152"/>
      <c r="AP331" s="152"/>
      <c r="AQ331" s="152"/>
      <c r="AR331" s="152"/>
      <c r="AS331" s="152"/>
      <c r="AT331" s="152"/>
      <c r="AU331" s="152"/>
      <c r="AV331" s="152"/>
      <c r="AW331" s="152"/>
      <c r="AX331" s="152"/>
      <c r="AY331" s="152"/>
      <c r="AZ331" s="152"/>
      <c r="BA331" s="152"/>
      <c r="BB331" s="152"/>
      <c r="BC331" s="152"/>
    </row>
    <row r="332" customFormat="false" ht="15.75" hidden="false" customHeight="false" outlineLevel="0" collapsed="false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2"/>
      <c r="AI332" s="152"/>
      <c r="AJ332" s="152"/>
      <c r="AK332" s="152"/>
      <c r="AL332" s="152"/>
      <c r="AM332" s="152"/>
      <c r="AN332" s="152"/>
      <c r="AO332" s="152"/>
      <c r="AP332" s="152"/>
      <c r="AQ332" s="152"/>
      <c r="AR332" s="152"/>
      <c r="AS332" s="152"/>
      <c r="AT332" s="152"/>
      <c r="AU332" s="152"/>
      <c r="AV332" s="152"/>
      <c r="AW332" s="152"/>
      <c r="AX332" s="152"/>
      <c r="AY332" s="152"/>
      <c r="AZ332" s="152"/>
      <c r="BA332" s="152"/>
      <c r="BB332" s="152"/>
      <c r="BC332" s="152"/>
    </row>
    <row r="333" customFormat="false" ht="15.75" hidden="false" customHeight="false" outlineLevel="0" collapsed="false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2"/>
      <c r="AI333" s="152"/>
      <c r="AJ333" s="152"/>
      <c r="AK333" s="152"/>
      <c r="AL333" s="152"/>
      <c r="AM333" s="152"/>
      <c r="AN333" s="152"/>
      <c r="AO333" s="152"/>
      <c r="AP333" s="152"/>
      <c r="AQ333" s="152"/>
      <c r="AR333" s="152"/>
      <c r="AS333" s="152"/>
      <c r="AT333" s="152"/>
      <c r="AU333" s="152"/>
      <c r="AV333" s="152"/>
      <c r="AW333" s="152"/>
      <c r="AX333" s="152"/>
      <c r="AY333" s="152"/>
      <c r="AZ333" s="152"/>
      <c r="BA333" s="152"/>
      <c r="BB333" s="152"/>
      <c r="BC333" s="152"/>
    </row>
    <row r="334" customFormat="false" ht="15.75" hidden="false" customHeight="false" outlineLevel="0" collapsed="false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2"/>
      <c r="AI334" s="152"/>
      <c r="AJ334" s="152"/>
      <c r="AK334" s="152"/>
      <c r="AL334" s="152"/>
      <c r="AM334" s="152"/>
      <c r="AN334" s="152"/>
      <c r="AO334" s="152"/>
      <c r="AP334" s="152"/>
      <c r="AQ334" s="152"/>
      <c r="AR334" s="152"/>
      <c r="AS334" s="152"/>
      <c r="AT334" s="152"/>
      <c r="AU334" s="152"/>
      <c r="AV334" s="152"/>
      <c r="AW334" s="152"/>
      <c r="AX334" s="152"/>
      <c r="AY334" s="152"/>
      <c r="AZ334" s="152"/>
      <c r="BA334" s="152"/>
      <c r="BB334" s="152"/>
      <c r="BC334" s="152"/>
    </row>
    <row r="335" customFormat="false" ht="15.75" hidden="false" customHeight="false" outlineLevel="0" collapsed="false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2"/>
      <c r="AI335" s="152"/>
      <c r="AJ335" s="152"/>
      <c r="AK335" s="152"/>
      <c r="AL335" s="152"/>
      <c r="AM335" s="152"/>
      <c r="AN335" s="152"/>
      <c r="AO335" s="152"/>
      <c r="AP335" s="152"/>
      <c r="AQ335" s="152"/>
      <c r="AR335" s="152"/>
      <c r="AS335" s="152"/>
      <c r="AT335" s="152"/>
      <c r="AU335" s="152"/>
      <c r="AV335" s="152"/>
      <c r="AW335" s="152"/>
      <c r="AX335" s="152"/>
      <c r="AY335" s="152"/>
      <c r="AZ335" s="152"/>
      <c r="BA335" s="152"/>
      <c r="BB335" s="152"/>
      <c r="BC335" s="152"/>
    </row>
    <row r="336" customFormat="false" ht="15.75" hidden="false" customHeight="false" outlineLevel="0" collapsed="false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2"/>
      <c r="AI336" s="152"/>
      <c r="AJ336" s="152"/>
      <c r="AK336" s="152"/>
      <c r="AL336" s="152"/>
      <c r="AM336" s="152"/>
      <c r="AN336" s="152"/>
      <c r="AO336" s="152"/>
      <c r="AP336" s="152"/>
      <c r="AQ336" s="152"/>
      <c r="AR336" s="152"/>
      <c r="AS336" s="152"/>
      <c r="AT336" s="152"/>
      <c r="AU336" s="152"/>
      <c r="AV336" s="152"/>
      <c r="AW336" s="152"/>
      <c r="AX336" s="152"/>
      <c r="AY336" s="152"/>
      <c r="AZ336" s="152"/>
      <c r="BA336" s="152"/>
      <c r="BB336" s="152"/>
      <c r="BC336" s="152"/>
    </row>
    <row r="337" customFormat="false" ht="15.75" hidden="false" customHeight="false" outlineLevel="0" collapsed="false">
      <c r="A337" s="152"/>
      <c r="B337" s="152"/>
      <c r="C337" s="154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2"/>
      <c r="AI337" s="152"/>
      <c r="AJ337" s="152"/>
      <c r="AK337" s="152"/>
      <c r="AL337" s="152"/>
      <c r="AM337" s="152"/>
      <c r="AN337" s="152"/>
      <c r="AO337" s="152"/>
      <c r="AP337" s="152"/>
      <c r="AQ337" s="152"/>
      <c r="AR337" s="152"/>
      <c r="AS337" s="152"/>
      <c r="AT337" s="152"/>
      <c r="AU337" s="152"/>
      <c r="AV337" s="152"/>
      <c r="AW337" s="152"/>
      <c r="AX337" s="152"/>
      <c r="AY337" s="152"/>
      <c r="AZ337" s="152"/>
      <c r="BA337" s="152"/>
      <c r="BB337" s="152"/>
      <c r="BC337" s="152"/>
    </row>
    <row r="338" customFormat="false" ht="15.75" hidden="false" customHeight="false" outlineLevel="0" collapsed="false">
      <c r="A338" s="152"/>
      <c r="B338" s="152"/>
      <c r="C338" s="154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2"/>
      <c r="AI338" s="152"/>
      <c r="AJ338" s="152"/>
      <c r="AK338" s="152"/>
      <c r="AL338" s="152"/>
      <c r="AM338" s="152"/>
      <c r="AN338" s="152"/>
      <c r="AO338" s="152"/>
      <c r="AP338" s="152"/>
      <c r="AQ338" s="152"/>
      <c r="AR338" s="152"/>
      <c r="AS338" s="152"/>
      <c r="AT338" s="152"/>
      <c r="AU338" s="152"/>
      <c r="AV338" s="152"/>
      <c r="AW338" s="152"/>
      <c r="AX338" s="152"/>
      <c r="AY338" s="152"/>
      <c r="AZ338" s="152"/>
      <c r="BA338" s="152"/>
      <c r="BB338" s="152"/>
      <c r="BC338" s="152"/>
    </row>
    <row r="339" customFormat="false" ht="15.75" hidden="false" customHeight="false" outlineLevel="0" collapsed="false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2"/>
      <c r="AI339" s="152"/>
      <c r="AJ339" s="152"/>
      <c r="AK339" s="152"/>
      <c r="AL339" s="152"/>
      <c r="AM339" s="152"/>
      <c r="AN339" s="152"/>
      <c r="AO339" s="152"/>
      <c r="AP339" s="152"/>
      <c r="AQ339" s="152"/>
      <c r="AR339" s="152"/>
      <c r="AS339" s="152"/>
      <c r="AT339" s="152"/>
      <c r="AU339" s="152"/>
      <c r="AV339" s="152"/>
      <c r="AW339" s="152"/>
      <c r="AX339" s="152"/>
      <c r="AY339" s="152"/>
      <c r="AZ339" s="152"/>
      <c r="BA339" s="152"/>
      <c r="BB339" s="152"/>
      <c r="BC339" s="152"/>
    </row>
    <row r="340" customFormat="false" ht="15.75" hidden="false" customHeight="false" outlineLevel="0" collapsed="false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2"/>
      <c r="AI340" s="152"/>
      <c r="AJ340" s="152"/>
      <c r="AK340" s="152"/>
      <c r="AL340" s="152"/>
      <c r="AM340" s="152"/>
      <c r="AN340" s="152"/>
      <c r="AO340" s="152"/>
      <c r="AP340" s="152"/>
      <c r="AQ340" s="152"/>
      <c r="AR340" s="152"/>
      <c r="AS340" s="152"/>
      <c r="AT340" s="152"/>
      <c r="AU340" s="152"/>
      <c r="AV340" s="152"/>
      <c r="AW340" s="152"/>
      <c r="AX340" s="152"/>
      <c r="AY340" s="152"/>
      <c r="AZ340" s="152"/>
      <c r="BA340" s="152"/>
      <c r="BB340" s="152"/>
      <c r="BC340" s="152"/>
    </row>
    <row r="341" customFormat="false" ht="15.75" hidden="false" customHeight="false" outlineLevel="0" collapsed="false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2"/>
      <c r="AI341" s="152"/>
      <c r="AJ341" s="152"/>
      <c r="AK341" s="152"/>
      <c r="AL341" s="152"/>
      <c r="AM341" s="152"/>
      <c r="AN341" s="152"/>
      <c r="AO341" s="152"/>
      <c r="AP341" s="152"/>
      <c r="AQ341" s="152"/>
      <c r="AR341" s="152"/>
      <c r="AS341" s="152"/>
      <c r="AT341" s="152"/>
      <c r="AU341" s="152"/>
      <c r="AV341" s="152"/>
      <c r="AW341" s="152"/>
      <c r="AX341" s="152"/>
      <c r="AY341" s="152"/>
      <c r="AZ341" s="152"/>
      <c r="BA341" s="152"/>
      <c r="BB341" s="152"/>
      <c r="BC341" s="152"/>
    </row>
    <row r="342" customFormat="false" ht="15.75" hidden="false" customHeight="false" outlineLevel="0" collapsed="false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2"/>
      <c r="AI342" s="152"/>
      <c r="AJ342" s="152"/>
      <c r="AK342" s="152"/>
      <c r="AL342" s="152"/>
      <c r="AM342" s="152"/>
      <c r="AN342" s="152"/>
      <c r="AO342" s="152"/>
      <c r="AP342" s="152"/>
      <c r="AQ342" s="152"/>
      <c r="AR342" s="152"/>
      <c r="AS342" s="152"/>
      <c r="AT342" s="152"/>
      <c r="AU342" s="152"/>
      <c r="AV342" s="152"/>
      <c r="AW342" s="152"/>
      <c r="AX342" s="152"/>
      <c r="AY342" s="152"/>
      <c r="AZ342" s="152"/>
      <c r="BA342" s="152"/>
      <c r="BB342" s="152"/>
      <c r="BC342" s="152"/>
    </row>
    <row r="343" customFormat="false" ht="15.75" hidden="false" customHeight="false" outlineLevel="0" collapsed="false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2"/>
      <c r="AI343" s="152"/>
      <c r="AJ343" s="152"/>
      <c r="AK343" s="152"/>
      <c r="AL343" s="152"/>
      <c r="AM343" s="152"/>
      <c r="AN343" s="152"/>
      <c r="AO343" s="152"/>
      <c r="AP343" s="152"/>
      <c r="AQ343" s="152"/>
      <c r="AR343" s="152"/>
      <c r="AS343" s="152"/>
      <c r="AT343" s="152"/>
      <c r="AU343" s="152"/>
      <c r="AV343" s="152"/>
      <c r="AW343" s="152"/>
      <c r="AX343" s="152"/>
      <c r="AY343" s="152"/>
      <c r="AZ343" s="152"/>
      <c r="BA343" s="152"/>
      <c r="BB343" s="152"/>
      <c r="BC343" s="152"/>
    </row>
    <row r="344" customFormat="false" ht="15.75" hidden="false" customHeight="false" outlineLevel="0" collapsed="false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S344" s="152"/>
      <c r="T344" s="152"/>
      <c r="U344" s="152"/>
      <c r="V344" s="152"/>
      <c r="W344" s="152"/>
      <c r="X344" s="152"/>
      <c r="Y344" s="152"/>
      <c r="Z344" s="152"/>
      <c r="AB344" s="152"/>
      <c r="AC344" s="152"/>
      <c r="AD344" s="152"/>
      <c r="AE344" s="152"/>
      <c r="AF344" s="152"/>
      <c r="AG344" s="152"/>
      <c r="AH344" s="152"/>
      <c r="AI344" s="152"/>
      <c r="AJ344" s="152"/>
      <c r="AK344" s="152"/>
      <c r="AL344" s="152"/>
      <c r="AM344" s="152"/>
      <c r="AN344" s="152"/>
      <c r="AO344" s="152"/>
      <c r="AP344" s="152"/>
      <c r="AQ344" s="152"/>
      <c r="AR344" s="152"/>
      <c r="AS344" s="152"/>
      <c r="AT344" s="152"/>
      <c r="AU344" s="152"/>
      <c r="AV344" s="152"/>
      <c r="AW344" s="152"/>
      <c r="AX344" s="152"/>
      <c r="AY344" s="152"/>
      <c r="AZ344" s="152"/>
      <c r="BA344" s="152"/>
      <c r="BB344" s="152"/>
      <c r="BC344" s="152"/>
    </row>
    <row r="345" customFormat="false" ht="15.75" hidden="false" customHeight="false" outlineLevel="0" collapsed="false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S345" s="152"/>
      <c r="T345" s="152"/>
      <c r="U345" s="152"/>
      <c r="V345" s="152"/>
      <c r="W345" s="152"/>
      <c r="X345" s="152"/>
      <c r="Y345" s="152"/>
      <c r="Z345" s="152"/>
      <c r="AB345" s="152"/>
      <c r="AC345" s="152"/>
      <c r="AD345" s="152"/>
      <c r="AE345" s="152"/>
      <c r="AF345" s="152"/>
      <c r="AG345" s="152"/>
      <c r="AH345" s="152"/>
      <c r="AI345" s="152"/>
      <c r="AJ345" s="152"/>
      <c r="AK345" s="152"/>
      <c r="AL345" s="152"/>
      <c r="AM345" s="152"/>
      <c r="AN345" s="152"/>
      <c r="AO345" s="152"/>
      <c r="AP345" s="152"/>
      <c r="AQ345" s="152"/>
      <c r="AR345" s="152"/>
      <c r="AS345" s="152"/>
      <c r="AT345" s="152"/>
      <c r="AU345" s="152"/>
      <c r="AV345" s="152"/>
      <c r="AW345" s="152"/>
      <c r="AX345" s="152"/>
      <c r="AY345" s="152"/>
      <c r="AZ345" s="152"/>
      <c r="BA345" s="152"/>
      <c r="BB345" s="152"/>
      <c r="BC345" s="152"/>
    </row>
    <row r="346" customFormat="false" ht="15.75" hidden="false" customHeight="false" outlineLevel="0" collapsed="false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2"/>
      <c r="AI346" s="152"/>
      <c r="AJ346" s="152"/>
      <c r="AK346" s="152"/>
      <c r="AL346" s="152"/>
      <c r="AM346" s="152"/>
      <c r="AN346" s="152"/>
      <c r="AO346" s="152"/>
      <c r="AP346" s="152"/>
      <c r="AQ346" s="152"/>
      <c r="AR346" s="152"/>
      <c r="AS346" s="152"/>
      <c r="AT346" s="152"/>
      <c r="AU346" s="152"/>
      <c r="AV346" s="152"/>
      <c r="AW346" s="152"/>
      <c r="AX346" s="152"/>
      <c r="AY346" s="152"/>
      <c r="AZ346" s="152"/>
      <c r="BA346" s="152"/>
      <c r="BB346" s="152"/>
      <c r="BC346" s="152"/>
    </row>
    <row r="347" customFormat="false" ht="15.75" hidden="false" customHeight="false" outlineLevel="0" collapsed="false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2"/>
      <c r="AI347" s="152"/>
      <c r="AJ347" s="152"/>
      <c r="AK347" s="152"/>
      <c r="AL347" s="152"/>
      <c r="AM347" s="152"/>
      <c r="AN347" s="152"/>
      <c r="AO347" s="152"/>
      <c r="AP347" s="152"/>
      <c r="AQ347" s="152"/>
      <c r="AR347" s="152"/>
      <c r="AS347" s="152"/>
      <c r="AT347" s="152"/>
      <c r="AU347" s="152"/>
      <c r="AV347" s="152"/>
      <c r="AW347" s="152"/>
      <c r="AX347" s="152"/>
      <c r="AY347" s="152"/>
      <c r="AZ347" s="152"/>
      <c r="BA347" s="152"/>
      <c r="BB347" s="152"/>
      <c r="BC347" s="152"/>
    </row>
    <row r="348" customFormat="false" ht="15.75" hidden="false" customHeight="false" outlineLevel="0" collapsed="false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S348" s="152"/>
      <c r="T348" s="152"/>
      <c r="U348" s="152"/>
      <c r="V348" s="152"/>
      <c r="W348" s="152"/>
      <c r="X348" s="152"/>
      <c r="Y348" s="152"/>
      <c r="Z348" s="152"/>
      <c r="AB348" s="152"/>
      <c r="AC348" s="152"/>
      <c r="AD348" s="152"/>
      <c r="AE348" s="152"/>
      <c r="AF348" s="152"/>
      <c r="AG348" s="152"/>
      <c r="AH348" s="152"/>
      <c r="AI348" s="152"/>
      <c r="AJ348" s="152"/>
      <c r="AK348" s="152"/>
      <c r="AL348" s="152"/>
      <c r="AM348" s="152"/>
      <c r="AN348" s="152"/>
      <c r="AO348" s="152"/>
      <c r="AP348" s="152"/>
      <c r="AQ348" s="152"/>
      <c r="AR348" s="152"/>
      <c r="AS348" s="152"/>
      <c r="AT348" s="152"/>
      <c r="AU348" s="152"/>
      <c r="AV348" s="152"/>
      <c r="AW348" s="152"/>
      <c r="AX348" s="152"/>
      <c r="AY348" s="152"/>
      <c r="AZ348" s="152"/>
      <c r="BA348" s="152"/>
      <c r="BB348" s="152"/>
      <c r="BC348" s="152"/>
    </row>
    <row r="349" customFormat="false" ht="15.75" hidden="false" customHeight="false" outlineLevel="0" collapsed="false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S349" s="152"/>
      <c r="T349" s="152"/>
      <c r="U349" s="152"/>
      <c r="V349" s="152"/>
      <c r="W349" s="152"/>
      <c r="X349" s="152"/>
      <c r="Y349" s="152"/>
      <c r="Z349" s="152"/>
      <c r="AB349" s="152"/>
      <c r="AC349" s="152"/>
      <c r="AD349" s="152"/>
      <c r="AE349" s="152"/>
      <c r="AF349" s="152"/>
      <c r="AG349" s="152"/>
      <c r="AH349" s="152"/>
      <c r="AI349" s="152"/>
      <c r="AJ349" s="152"/>
      <c r="AK349" s="152"/>
      <c r="AL349" s="152"/>
      <c r="AM349" s="152"/>
      <c r="AN349" s="152"/>
      <c r="AO349" s="152"/>
      <c r="AP349" s="152"/>
      <c r="AQ349" s="152"/>
      <c r="AR349" s="152"/>
      <c r="AS349" s="152"/>
      <c r="AT349" s="152"/>
      <c r="AU349" s="152"/>
      <c r="AV349" s="152"/>
      <c r="AW349" s="152"/>
      <c r="AX349" s="152"/>
      <c r="AY349" s="152"/>
      <c r="AZ349" s="152"/>
      <c r="BA349" s="152"/>
      <c r="BB349" s="152"/>
      <c r="BC349" s="152"/>
    </row>
    <row r="350" customFormat="false" ht="15.75" hidden="false" customHeight="false" outlineLevel="0" collapsed="false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S350" s="152"/>
      <c r="T350" s="152"/>
      <c r="U350" s="152"/>
      <c r="V350" s="152"/>
      <c r="W350" s="152"/>
      <c r="X350" s="152"/>
      <c r="Y350" s="152"/>
      <c r="Z350" s="152"/>
      <c r="AB350" s="152"/>
      <c r="AC350" s="152"/>
      <c r="AD350" s="152"/>
      <c r="AE350" s="152"/>
      <c r="AF350" s="152"/>
      <c r="AG350" s="152"/>
      <c r="AH350" s="152"/>
      <c r="AI350" s="152"/>
      <c r="AJ350" s="152"/>
      <c r="AK350" s="152"/>
      <c r="AL350" s="152"/>
      <c r="AM350" s="152"/>
      <c r="AN350" s="152"/>
      <c r="AO350" s="152"/>
      <c r="AP350" s="152"/>
      <c r="AQ350" s="152"/>
      <c r="AR350" s="152"/>
      <c r="AS350" s="152"/>
      <c r="AT350" s="152"/>
      <c r="AU350" s="152"/>
      <c r="AV350" s="152"/>
      <c r="AW350" s="152"/>
      <c r="AX350" s="152"/>
      <c r="AY350" s="152"/>
      <c r="AZ350" s="152"/>
      <c r="BA350" s="152"/>
      <c r="BB350" s="152"/>
      <c r="BC350" s="152"/>
    </row>
    <row r="351" customFormat="false" ht="15.75" hidden="false" customHeight="false" outlineLevel="0" collapsed="false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2"/>
      <c r="AI351" s="152"/>
      <c r="AJ351" s="152"/>
      <c r="AK351" s="152"/>
      <c r="AL351" s="152"/>
      <c r="AM351" s="152"/>
      <c r="AN351" s="152"/>
      <c r="AO351" s="152"/>
      <c r="AP351" s="152"/>
      <c r="AQ351" s="152"/>
      <c r="AR351" s="152"/>
      <c r="AS351" s="152"/>
      <c r="AT351" s="152"/>
      <c r="AU351" s="152"/>
      <c r="AV351" s="152"/>
      <c r="AW351" s="152"/>
      <c r="AX351" s="152"/>
      <c r="AY351" s="152"/>
      <c r="AZ351" s="152"/>
      <c r="BA351" s="152"/>
      <c r="BB351" s="152"/>
      <c r="BC351" s="152"/>
    </row>
    <row r="352" customFormat="false" ht="15.75" hidden="false" customHeight="false" outlineLevel="0" collapsed="false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S352" s="152"/>
      <c r="T352" s="152"/>
      <c r="U352" s="152"/>
      <c r="V352" s="152"/>
      <c r="W352" s="152"/>
      <c r="X352" s="152"/>
      <c r="Y352" s="152"/>
      <c r="Z352" s="152"/>
      <c r="AB352" s="152"/>
      <c r="AC352" s="152"/>
      <c r="AD352" s="152"/>
      <c r="AE352" s="152"/>
      <c r="AF352" s="152"/>
      <c r="AG352" s="152"/>
      <c r="AH352" s="152"/>
      <c r="AI352" s="152"/>
      <c r="AJ352" s="152"/>
      <c r="AK352" s="152"/>
      <c r="AL352" s="152"/>
      <c r="AM352" s="152"/>
      <c r="AN352" s="152"/>
      <c r="AO352" s="152"/>
      <c r="AP352" s="152"/>
      <c r="AQ352" s="152"/>
      <c r="AR352" s="152"/>
      <c r="AS352" s="152"/>
      <c r="AT352" s="152"/>
      <c r="AU352" s="152"/>
      <c r="AV352" s="152"/>
      <c r="AW352" s="152"/>
      <c r="AX352" s="152"/>
      <c r="AY352" s="152"/>
      <c r="AZ352" s="152"/>
      <c r="BA352" s="152"/>
      <c r="BB352" s="152"/>
      <c r="BC352" s="152"/>
    </row>
    <row r="353" customFormat="false" ht="15.75" hidden="false" customHeight="false" outlineLevel="0" collapsed="false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S353" s="152"/>
      <c r="T353" s="152"/>
      <c r="U353" s="152"/>
      <c r="V353" s="152"/>
      <c r="W353" s="152"/>
      <c r="X353" s="152"/>
      <c r="Y353" s="152"/>
      <c r="Z353" s="152"/>
      <c r="AB353" s="152"/>
      <c r="AC353" s="152"/>
      <c r="AD353" s="152"/>
      <c r="AE353" s="152"/>
      <c r="AF353" s="152"/>
      <c r="AG353" s="152"/>
      <c r="AH353" s="152"/>
      <c r="AI353" s="152"/>
      <c r="AJ353" s="152"/>
      <c r="AK353" s="152"/>
      <c r="AL353" s="152"/>
      <c r="AM353" s="152"/>
      <c r="AN353" s="152"/>
      <c r="AO353" s="152"/>
      <c r="AP353" s="152"/>
      <c r="AQ353" s="152"/>
      <c r="AR353" s="152"/>
      <c r="AS353" s="152"/>
      <c r="AT353" s="152"/>
      <c r="AU353" s="152"/>
      <c r="AV353" s="152"/>
      <c r="AW353" s="152"/>
      <c r="AX353" s="152"/>
      <c r="AY353" s="152"/>
      <c r="AZ353" s="152"/>
      <c r="BA353" s="152"/>
      <c r="BB353" s="152"/>
      <c r="BC353" s="152"/>
    </row>
    <row r="354" customFormat="false" ht="15.75" hidden="false" customHeight="false" outlineLevel="0" collapsed="false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S354" s="152"/>
      <c r="T354" s="152"/>
      <c r="U354" s="152"/>
      <c r="V354" s="152"/>
      <c r="W354" s="152"/>
      <c r="X354" s="152"/>
      <c r="Y354" s="152"/>
      <c r="Z354" s="152"/>
      <c r="AB354" s="152"/>
      <c r="AC354" s="152"/>
      <c r="AD354" s="152"/>
      <c r="AE354" s="152"/>
      <c r="AF354" s="152"/>
      <c r="AG354" s="152"/>
      <c r="AH354" s="152"/>
      <c r="AI354" s="152"/>
      <c r="AJ354" s="152"/>
      <c r="AK354" s="152"/>
      <c r="AL354" s="152"/>
      <c r="AM354" s="152"/>
      <c r="AN354" s="152"/>
      <c r="AO354" s="152"/>
      <c r="AP354" s="152"/>
      <c r="AQ354" s="152"/>
      <c r="AR354" s="152"/>
      <c r="AS354" s="152"/>
      <c r="AT354" s="152"/>
      <c r="AU354" s="152"/>
      <c r="AV354" s="152"/>
      <c r="AW354" s="152"/>
      <c r="AX354" s="152"/>
      <c r="AY354" s="152"/>
      <c r="AZ354" s="152"/>
      <c r="BA354" s="152"/>
      <c r="BB354" s="152"/>
      <c r="BC354" s="152"/>
    </row>
    <row r="355" customFormat="false" ht="15.75" hidden="false" customHeight="false" outlineLevel="0" collapsed="false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2"/>
      <c r="AI355" s="152"/>
      <c r="AJ355" s="152"/>
      <c r="AK355" s="152"/>
      <c r="AL355" s="152"/>
      <c r="AM355" s="152"/>
      <c r="AN355" s="152"/>
      <c r="AO355" s="152"/>
      <c r="AP355" s="152"/>
      <c r="AQ355" s="152"/>
      <c r="AR355" s="152"/>
      <c r="AS355" s="152"/>
      <c r="AT355" s="152"/>
      <c r="AU355" s="152"/>
      <c r="AV355" s="152"/>
      <c r="AW355" s="152"/>
      <c r="AX355" s="152"/>
      <c r="AY355" s="152"/>
      <c r="AZ355" s="152"/>
      <c r="BA355" s="152"/>
      <c r="BB355" s="152"/>
      <c r="BC355" s="152"/>
    </row>
    <row r="356" customFormat="false" ht="15.75" hidden="false" customHeight="false" outlineLevel="0" collapsed="false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O356" s="152"/>
      <c r="P356" s="152"/>
      <c r="Q356" s="152"/>
      <c r="S356" s="152"/>
      <c r="T356" s="152"/>
      <c r="U356" s="152"/>
      <c r="V356" s="152"/>
      <c r="W356" s="152"/>
      <c r="X356" s="152"/>
      <c r="Y356" s="152"/>
      <c r="Z356" s="152"/>
      <c r="AB356" s="152"/>
      <c r="AC356" s="152"/>
      <c r="AD356" s="152"/>
      <c r="AE356" s="152"/>
      <c r="AF356" s="152"/>
      <c r="AG356" s="152"/>
      <c r="AH356" s="152"/>
      <c r="AI356" s="152"/>
      <c r="AJ356" s="152"/>
      <c r="AK356" s="152"/>
      <c r="AL356" s="152"/>
      <c r="AM356" s="152"/>
      <c r="AN356" s="152"/>
      <c r="AO356" s="152"/>
      <c r="AP356" s="152"/>
      <c r="AQ356" s="152"/>
      <c r="AR356" s="152"/>
      <c r="AS356" s="152"/>
      <c r="AT356" s="152"/>
      <c r="AU356" s="152"/>
      <c r="AV356" s="152"/>
      <c r="AW356" s="152"/>
      <c r="AX356" s="152"/>
      <c r="AY356" s="152"/>
      <c r="AZ356" s="152"/>
      <c r="BA356" s="152"/>
      <c r="BB356" s="152"/>
      <c r="BC356" s="152"/>
    </row>
    <row r="357" customFormat="false" ht="15.75" hidden="false" customHeight="false" outlineLevel="0" collapsed="false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2"/>
      <c r="AI357" s="152"/>
      <c r="AJ357" s="152"/>
      <c r="AK357" s="152"/>
      <c r="AL357" s="152"/>
      <c r="AM357" s="152"/>
      <c r="AN357" s="152"/>
      <c r="AO357" s="152"/>
      <c r="AP357" s="152"/>
      <c r="AQ357" s="152"/>
      <c r="AR357" s="152"/>
      <c r="AS357" s="152"/>
      <c r="AT357" s="152"/>
      <c r="AU357" s="152"/>
      <c r="AV357" s="152"/>
      <c r="AW357" s="152"/>
      <c r="AX357" s="152"/>
      <c r="AY357" s="152"/>
      <c r="AZ357" s="152"/>
      <c r="BA357" s="152"/>
      <c r="BB357" s="152"/>
      <c r="BC357" s="152"/>
    </row>
    <row r="358" customFormat="false" ht="15.75" hidden="false" customHeight="false" outlineLevel="0" collapsed="false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2"/>
      <c r="AI358" s="152"/>
      <c r="AJ358" s="152"/>
      <c r="AK358" s="152"/>
      <c r="AL358" s="152"/>
      <c r="AM358" s="152"/>
      <c r="AN358" s="152"/>
      <c r="AO358" s="152"/>
      <c r="AP358" s="152"/>
      <c r="AQ358" s="152"/>
      <c r="AR358" s="152"/>
      <c r="AS358" s="152"/>
      <c r="AT358" s="152"/>
      <c r="AU358" s="152"/>
      <c r="AV358" s="152"/>
      <c r="AW358" s="152"/>
      <c r="AX358" s="152"/>
      <c r="AY358" s="152"/>
      <c r="AZ358" s="152"/>
      <c r="BA358" s="152"/>
      <c r="BB358" s="152"/>
      <c r="BC358" s="152"/>
    </row>
    <row r="359" customFormat="false" ht="15.75" hidden="false" customHeight="false" outlineLevel="0" collapsed="false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2"/>
      <c r="AI359" s="152"/>
      <c r="AJ359" s="152"/>
      <c r="AK359" s="152"/>
      <c r="AL359" s="152"/>
      <c r="AM359" s="152"/>
      <c r="AN359" s="152"/>
      <c r="AO359" s="152"/>
      <c r="AP359" s="152"/>
      <c r="AQ359" s="152"/>
      <c r="AR359" s="152"/>
      <c r="AS359" s="152"/>
      <c r="AT359" s="152"/>
      <c r="AU359" s="152"/>
      <c r="AV359" s="152"/>
      <c r="AW359" s="152"/>
      <c r="AX359" s="152"/>
      <c r="AY359" s="152"/>
      <c r="AZ359" s="152"/>
      <c r="BA359" s="152"/>
      <c r="BB359" s="152"/>
      <c r="BC359" s="152"/>
    </row>
    <row r="360" customFormat="false" ht="15.75" hidden="false" customHeight="false" outlineLevel="0" collapsed="false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2"/>
      <c r="AI360" s="152"/>
      <c r="AJ360" s="152"/>
      <c r="AK360" s="152"/>
      <c r="AL360" s="152"/>
      <c r="AM360" s="152"/>
      <c r="AN360" s="152"/>
      <c r="AO360" s="152"/>
      <c r="AP360" s="152"/>
      <c r="AQ360" s="152"/>
      <c r="AR360" s="152"/>
      <c r="AS360" s="152"/>
      <c r="AT360" s="152"/>
      <c r="AU360" s="152"/>
      <c r="AV360" s="152"/>
      <c r="AW360" s="152"/>
      <c r="AX360" s="152"/>
      <c r="AY360" s="152"/>
      <c r="AZ360" s="152"/>
      <c r="BA360" s="152"/>
      <c r="BB360" s="152"/>
      <c r="BC360" s="152"/>
    </row>
    <row r="361" customFormat="false" ht="15.75" hidden="false" customHeight="false" outlineLevel="0" collapsed="false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S361" s="152"/>
      <c r="T361" s="152"/>
      <c r="U361" s="152"/>
      <c r="V361" s="152"/>
      <c r="W361" s="152"/>
      <c r="X361" s="152"/>
      <c r="Y361" s="152"/>
      <c r="Z361" s="152"/>
      <c r="AB361" s="152"/>
      <c r="AC361" s="152"/>
      <c r="AD361" s="152"/>
      <c r="AE361" s="152"/>
      <c r="AF361" s="152"/>
      <c r="AG361" s="152"/>
      <c r="AH361" s="152"/>
      <c r="AI361" s="152"/>
      <c r="AJ361" s="152"/>
      <c r="AK361" s="152"/>
      <c r="AL361" s="152"/>
      <c r="AM361" s="152"/>
      <c r="AN361" s="152"/>
      <c r="AO361" s="152"/>
      <c r="AP361" s="152"/>
      <c r="AQ361" s="152"/>
      <c r="AR361" s="152"/>
      <c r="AS361" s="152"/>
      <c r="AT361" s="152"/>
      <c r="AU361" s="152"/>
      <c r="AV361" s="152"/>
      <c r="AW361" s="152"/>
      <c r="AX361" s="152"/>
      <c r="AY361" s="152"/>
      <c r="AZ361" s="152"/>
      <c r="BA361" s="152"/>
      <c r="BB361" s="152"/>
      <c r="BC361" s="152"/>
    </row>
    <row r="362" customFormat="false" ht="15.75" hidden="false" customHeight="false" outlineLevel="0" collapsed="false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O362" s="152"/>
      <c r="P362" s="152"/>
      <c r="Q362" s="152"/>
      <c r="S362" s="152"/>
      <c r="T362" s="152"/>
      <c r="U362" s="152"/>
      <c r="V362" s="152"/>
      <c r="W362" s="152"/>
      <c r="X362" s="152"/>
      <c r="Y362" s="152"/>
      <c r="Z362" s="152"/>
      <c r="AB362" s="152"/>
      <c r="AC362" s="152"/>
      <c r="AD362" s="152"/>
      <c r="AE362" s="152"/>
      <c r="AF362" s="152"/>
      <c r="AG362" s="152"/>
      <c r="AH362" s="152"/>
      <c r="AI362" s="152"/>
      <c r="AJ362" s="152"/>
      <c r="AK362" s="152"/>
      <c r="AL362" s="152"/>
      <c r="AM362" s="152"/>
      <c r="AN362" s="152"/>
      <c r="AO362" s="152"/>
      <c r="AP362" s="152"/>
      <c r="AQ362" s="152"/>
      <c r="AR362" s="152"/>
      <c r="AS362" s="152"/>
      <c r="AT362" s="152"/>
      <c r="AU362" s="152"/>
      <c r="AV362" s="152"/>
      <c r="AW362" s="152"/>
      <c r="AX362" s="152"/>
      <c r="AY362" s="152"/>
      <c r="AZ362" s="152"/>
      <c r="BA362" s="152"/>
      <c r="BB362" s="152"/>
      <c r="BC362" s="152"/>
    </row>
    <row r="363" customFormat="false" ht="15.75" hidden="false" customHeight="false" outlineLevel="0" collapsed="false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O363" s="152"/>
      <c r="P363" s="152"/>
      <c r="Q363" s="152"/>
      <c r="S363" s="152"/>
      <c r="T363" s="152"/>
      <c r="U363" s="152"/>
      <c r="V363" s="152"/>
      <c r="W363" s="152"/>
      <c r="X363" s="152"/>
      <c r="Y363" s="152"/>
      <c r="Z363" s="152"/>
      <c r="AB363" s="152"/>
      <c r="AC363" s="152"/>
      <c r="AD363" s="152"/>
      <c r="AE363" s="152"/>
      <c r="AF363" s="152"/>
      <c r="AG363" s="152"/>
      <c r="AH363" s="152"/>
      <c r="AI363" s="152"/>
      <c r="AJ363" s="152"/>
      <c r="AK363" s="152"/>
      <c r="AL363" s="152"/>
      <c r="AM363" s="152"/>
      <c r="AN363" s="152"/>
      <c r="AO363" s="152"/>
      <c r="AP363" s="152"/>
      <c r="AQ363" s="152"/>
      <c r="AR363" s="152"/>
      <c r="AS363" s="152"/>
      <c r="AT363" s="152"/>
      <c r="AU363" s="152"/>
      <c r="AV363" s="152"/>
      <c r="AW363" s="152"/>
      <c r="AX363" s="152"/>
      <c r="AY363" s="152"/>
      <c r="AZ363" s="152"/>
      <c r="BA363" s="152"/>
      <c r="BB363" s="152"/>
      <c r="BC363" s="152"/>
    </row>
    <row r="364" customFormat="false" ht="15.75" hidden="false" customHeight="false" outlineLevel="0" collapsed="false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2"/>
      <c r="AI364" s="152"/>
      <c r="AJ364" s="152"/>
      <c r="AK364" s="152"/>
      <c r="AL364" s="152"/>
      <c r="AM364" s="152"/>
      <c r="AN364" s="152"/>
      <c r="AO364" s="152"/>
      <c r="AP364" s="152"/>
      <c r="AQ364" s="152"/>
      <c r="AR364" s="152"/>
      <c r="AS364" s="152"/>
      <c r="AT364" s="152"/>
      <c r="AU364" s="152"/>
      <c r="AV364" s="152"/>
      <c r="AW364" s="152"/>
      <c r="AX364" s="152"/>
      <c r="AY364" s="152"/>
      <c r="AZ364" s="152"/>
      <c r="BA364" s="152"/>
      <c r="BB364" s="152"/>
      <c r="BC364" s="152"/>
    </row>
    <row r="365" customFormat="false" ht="15.75" hidden="false" customHeight="false" outlineLevel="0" collapsed="false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2"/>
      <c r="AI365" s="152"/>
      <c r="AJ365" s="152"/>
      <c r="AK365" s="152"/>
      <c r="AL365" s="152"/>
      <c r="AM365" s="152"/>
      <c r="AN365" s="152"/>
      <c r="AO365" s="152"/>
      <c r="AP365" s="152"/>
      <c r="AQ365" s="152"/>
      <c r="AR365" s="152"/>
      <c r="AS365" s="152"/>
      <c r="AT365" s="152"/>
      <c r="AU365" s="152"/>
      <c r="AV365" s="152"/>
      <c r="AW365" s="152"/>
      <c r="AX365" s="152"/>
      <c r="AY365" s="152"/>
      <c r="AZ365" s="152"/>
      <c r="BA365" s="152"/>
      <c r="BB365" s="152"/>
      <c r="BC365" s="152"/>
    </row>
    <row r="366" customFormat="false" ht="15.75" hidden="false" customHeight="false" outlineLevel="0" collapsed="false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S366" s="152"/>
      <c r="T366" s="152"/>
      <c r="U366" s="152"/>
      <c r="V366" s="152"/>
      <c r="W366" s="152"/>
      <c r="X366" s="152"/>
      <c r="Y366" s="152"/>
      <c r="Z366" s="152"/>
      <c r="AB366" s="152"/>
      <c r="AC366" s="152"/>
      <c r="AD366" s="152"/>
      <c r="AE366" s="152"/>
      <c r="AF366" s="152"/>
      <c r="AG366" s="152"/>
      <c r="AH366" s="152"/>
      <c r="AI366" s="152"/>
      <c r="AJ366" s="152"/>
      <c r="AK366" s="152"/>
      <c r="AL366" s="152"/>
      <c r="AM366" s="152"/>
      <c r="AN366" s="152"/>
      <c r="AO366" s="152"/>
      <c r="AP366" s="152"/>
      <c r="AQ366" s="152"/>
      <c r="AR366" s="152"/>
      <c r="AS366" s="152"/>
      <c r="AT366" s="152"/>
      <c r="AU366" s="152"/>
      <c r="AV366" s="152"/>
      <c r="AW366" s="152"/>
      <c r="AX366" s="152"/>
      <c r="AY366" s="152"/>
      <c r="AZ366" s="152"/>
      <c r="BA366" s="152"/>
      <c r="BB366" s="152"/>
      <c r="BC366" s="152"/>
    </row>
    <row r="367" customFormat="false" ht="15.75" hidden="false" customHeight="false" outlineLevel="0" collapsed="false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S367" s="152"/>
      <c r="T367" s="152"/>
      <c r="U367" s="152"/>
      <c r="V367" s="152"/>
      <c r="W367" s="152"/>
      <c r="X367" s="152"/>
      <c r="Y367" s="152"/>
      <c r="Z367" s="152"/>
      <c r="AB367" s="152"/>
      <c r="AC367" s="152"/>
      <c r="AD367" s="152"/>
      <c r="AE367" s="152"/>
      <c r="AF367" s="152"/>
      <c r="AG367" s="152"/>
      <c r="AH367" s="152"/>
      <c r="AI367" s="152"/>
      <c r="AJ367" s="152"/>
      <c r="AK367" s="152"/>
      <c r="AL367" s="152"/>
      <c r="AM367" s="152"/>
      <c r="AN367" s="152"/>
      <c r="AO367" s="152"/>
      <c r="AP367" s="152"/>
      <c r="AQ367" s="152"/>
      <c r="AR367" s="152"/>
      <c r="AS367" s="152"/>
      <c r="AT367" s="152"/>
      <c r="AU367" s="152"/>
      <c r="AV367" s="152"/>
      <c r="AW367" s="152"/>
      <c r="AX367" s="152"/>
      <c r="AY367" s="152"/>
      <c r="AZ367" s="152"/>
      <c r="BA367" s="152"/>
      <c r="BB367" s="152"/>
      <c r="BC367" s="152"/>
    </row>
    <row r="368" customFormat="false" ht="15.75" hidden="false" customHeight="false" outlineLevel="0" collapsed="false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S368" s="152"/>
      <c r="T368" s="152"/>
      <c r="U368" s="152"/>
      <c r="V368" s="152"/>
      <c r="W368" s="152"/>
      <c r="X368" s="152"/>
      <c r="Y368" s="152"/>
      <c r="Z368" s="152"/>
      <c r="AB368" s="152"/>
      <c r="AC368" s="152"/>
      <c r="AD368" s="152"/>
      <c r="AE368" s="152"/>
      <c r="AF368" s="152"/>
      <c r="AG368" s="152"/>
      <c r="AH368" s="152"/>
      <c r="AI368" s="152"/>
      <c r="AJ368" s="152"/>
      <c r="AK368" s="152"/>
      <c r="AL368" s="152"/>
      <c r="AM368" s="152"/>
      <c r="AN368" s="152"/>
      <c r="AO368" s="152"/>
      <c r="AP368" s="152"/>
      <c r="AQ368" s="152"/>
      <c r="AR368" s="152"/>
      <c r="AS368" s="152"/>
      <c r="AT368" s="152"/>
      <c r="AU368" s="152"/>
      <c r="AV368" s="152"/>
      <c r="AW368" s="152"/>
      <c r="AX368" s="152"/>
      <c r="AY368" s="152"/>
      <c r="AZ368" s="152"/>
      <c r="BA368" s="152"/>
      <c r="BB368" s="152"/>
      <c r="BC368" s="152"/>
    </row>
    <row r="369" customFormat="false" ht="15.75" hidden="false" customHeight="false" outlineLevel="0" collapsed="false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S369" s="152"/>
      <c r="T369" s="152"/>
      <c r="U369" s="152"/>
      <c r="V369" s="152"/>
      <c r="W369" s="152"/>
      <c r="X369" s="152"/>
      <c r="Y369" s="152"/>
      <c r="Z369" s="152"/>
      <c r="AB369" s="152"/>
      <c r="AC369" s="152"/>
      <c r="AD369" s="152"/>
      <c r="AE369" s="152"/>
      <c r="AF369" s="152"/>
      <c r="AG369" s="152"/>
      <c r="AH369" s="152"/>
      <c r="AI369" s="152"/>
      <c r="AJ369" s="152"/>
      <c r="AK369" s="152"/>
      <c r="AL369" s="152"/>
      <c r="AM369" s="152"/>
      <c r="AN369" s="152"/>
      <c r="AO369" s="152"/>
      <c r="AP369" s="152"/>
      <c r="AQ369" s="152"/>
      <c r="AR369" s="152"/>
      <c r="AS369" s="152"/>
      <c r="AT369" s="152"/>
      <c r="AU369" s="152"/>
      <c r="AV369" s="152"/>
      <c r="AW369" s="152"/>
      <c r="AX369" s="152"/>
      <c r="AY369" s="152"/>
      <c r="AZ369" s="152"/>
      <c r="BA369" s="152"/>
      <c r="BB369" s="152"/>
      <c r="BC369" s="152"/>
    </row>
    <row r="370" customFormat="false" ht="15.75" hidden="false" customHeight="false" outlineLevel="0" collapsed="false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2"/>
      <c r="AI370" s="152"/>
      <c r="AJ370" s="152"/>
      <c r="AK370" s="152"/>
      <c r="AL370" s="152"/>
      <c r="AM370" s="152"/>
      <c r="AN370" s="152"/>
      <c r="AO370" s="152"/>
      <c r="AP370" s="152"/>
      <c r="AQ370" s="152"/>
      <c r="AR370" s="152"/>
      <c r="AS370" s="152"/>
      <c r="AT370" s="152"/>
      <c r="AU370" s="152"/>
      <c r="AV370" s="152"/>
      <c r="AW370" s="152"/>
      <c r="AX370" s="152"/>
      <c r="AY370" s="152"/>
      <c r="AZ370" s="152"/>
      <c r="BA370" s="152"/>
      <c r="BB370" s="152"/>
      <c r="BC370" s="152"/>
    </row>
    <row r="371" customFormat="false" ht="15.75" hidden="false" customHeight="false" outlineLevel="0" collapsed="false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S371" s="152"/>
      <c r="T371" s="152"/>
      <c r="U371" s="152"/>
      <c r="V371" s="152"/>
      <c r="W371" s="152"/>
      <c r="X371" s="152"/>
      <c r="Y371" s="152"/>
      <c r="Z371" s="152"/>
      <c r="AB371" s="152"/>
      <c r="AC371" s="152"/>
      <c r="AD371" s="152"/>
      <c r="AE371" s="152"/>
      <c r="AF371" s="152"/>
      <c r="AG371" s="152"/>
      <c r="AH371" s="152"/>
      <c r="AI371" s="152"/>
      <c r="AJ371" s="152"/>
      <c r="AK371" s="152"/>
      <c r="AL371" s="152"/>
      <c r="AM371" s="152"/>
      <c r="AN371" s="152"/>
      <c r="AO371" s="152"/>
      <c r="AP371" s="152"/>
      <c r="AQ371" s="152"/>
      <c r="AR371" s="152"/>
      <c r="AS371" s="152"/>
      <c r="AT371" s="152"/>
      <c r="AU371" s="152"/>
      <c r="AV371" s="152"/>
      <c r="AW371" s="152"/>
      <c r="AX371" s="152"/>
      <c r="AY371" s="152"/>
      <c r="AZ371" s="152"/>
      <c r="BA371" s="152"/>
      <c r="BB371" s="152"/>
      <c r="BC371" s="152"/>
    </row>
    <row r="372" customFormat="false" ht="15.75" hidden="false" customHeight="false" outlineLevel="0" collapsed="false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2"/>
      <c r="AI372" s="152"/>
      <c r="AJ372" s="152"/>
      <c r="AK372" s="152"/>
      <c r="AL372" s="152"/>
      <c r="AM372" s="152"/>
      <c r="AN372" s="152"/>
      <c r="AO372" s="152"/>
      <c r="AP372" s="152"/>
      <c r="AQ372" s="152"/>
      <c r="AR372" s="152"/>
      <c r="AS372" s="152"/>
      <c r="AT372" s="152"/>
      <c r="AU372" s="152"/>
      <c r="AV372" s="152"/>
      <c r="AW372" s="152"/>
      <c r="AX372" s="152"/>
      <c r="AY372" s="152"/>
      <c r="AZ372" s="152"/>
      <c r="BA372" s="152"/>
      <c r="BB372" s="152"/>
      <c r="BC372" s="152"/>
    </row>
    <row r="373" customFormat="false" ht="15.75" hidden="false" customHeight="false" outlineLevel="0" collapsed="false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S373" s="152"/>
      <c r="T373" s="152"/>
      <c r="U373" s="152"/>
      <c r="V373" s="152"/>
      <c r="W373" s="152"/>
      <c r="X373" s="152"/>
      <c r="Y373" s="152"/>
      <c r="Z373" s="152"/>
      <c r="AB373" s="152"/>
      <c r="AC373" s="152"/>
      <c r="AD373" s="152"/>
      <c r="AE373" s="152"/>
      <c r="AF373" s="152"/>
      <c r="AG373" s="152"/>
      <c r="AH373" s="152"/>
      <c r="AI373" s="152"/>
      <c r="AJ373" s="152"/>
      <c r="AK373" s="152"/>
      <c r="AL373" s="152"/>
      <c r="AM373" s="152"/>
      <c r="AN373" s="152"/>
      <c r="AO373" s="152"/>
      <c r="AP373" s="152"/>
      <c r="AQ373" s="152"/>
      <c r="AR373" s="152"/>
      <c r="AS373" s="152"/>
      <c r="AT373" s="152"/>
      <c r="AU373" s="152"/>
      <c r="AV373" s="152"/>
      <c r="AW373" s="152"/>
      <c r="AX373" s="152"/>
      <c r="AY373" s="152"/>
      <c r="AZ373" s="152"/>
      <c r="BA373" s="152"/>
      <c r="BB373" s="152"/>
      <c r="BC373" s="152"/>
    </row>
    <row r="374" customFormat="false" ht="15.75" hidden="false" customHeight="false" outlineLevel="0" collapsed="false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2"/>
      <c r="AI374" s="152"/>
      <c r="AJ374" s="152"/>
      <c r="AK374" s="152"/>
      <c r="AL374" s="152"/>
      <c r="AM374" s="152"/>
      <c r="AN374" s="152"/>
      <c r="AO374" s="152"/>
      <c r="AP374" s="152"/>
      <c r="AQ374" s="152"/>
      <c r="AR374" s="152"/>
      <c r="AS374" s="152"/>
      <c r="AT374" s="152"/>
      <c r="AU374" s="152"/>
      <c r="AV374" s="152"/>
      <c r="AW374" s="152"/>
      <c r="AX374" s="152"/>
      <c r="AY374" s="152"/>
      <c r="AZ374" s="152"/>
      <c r="BA374" s="152"/>
      <c r="BB374" s="152"/>
      <c r="BC374" s="152"/>
    </row>
    <row r="375" customFormat="false" ht="15.75" hidden="false" customHeight="false" outlineLevel="0" collapsed="false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S375" s="152"/>
      <c r="T375" s="152"/>
      <c r="U375" s="152"/>
      <c r="V375" s="152"/>
      <c r="W375" s="152"/>
      <c r="X375" s="152"/>
      <c r="Y375" s="152"/>
      <c r="Z375" s="152"/>
      <c r="AB375" s="152"/>
      <c r="AC375" s="152"/>
      <c r="AD375" s="152"/>
      <c r="AE375" s="152"/>
      <c r="AF375" s="152"/>
      <c r="AG375" s="152"/>
      <c r="AH375" s="152"/>
      <c r="AI375" s="152"/>
      <c r="AJ375" s="152"/>
      <c r="AK375" s="152"/>
      <c r="AL375" s="152"/>
      <c r="AM375" s="152"/>
      <c r="AN375" s="152"/>
      <c r="AO375" s="152"/>
      <c r="AP375" s="152"/>
      <c r="AQ375" s="152"/>
      <c r="AR375" s="152"/>
      <c r="AS375" s="152"/>
      <c r="AT375" s="152"/>
      <c r="AU375" s="152"/>
      <c r="AV375" s="152"/>
      <c r="AW375" s="152"/>
      <c r="AX375" s="152"/>
      <c r="AY375" s="152"/>
      <c r="AZ375" s="152"/>
      <c r="BA375" s="152"/>
      <c r="BB375" s="152"/>
      <c r="BC375" s="152"/>
    </row>
    <row r="376" customFormat="false" ht="15.75" hidden="false" customHeight="false" outlineLevel="0" collapsed="false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2"/>
      <c r="AI376" s="152"/>
      <c r="AJ376" s="152"/>
      <c r="AK376" s="152"/>
      <c r="AL376" s="152"/>
      <c r="AM376" s="152"/>
      <c r="AN376" s="152"/>
      <c r="AO376" s="152"/>
      <c r="AP376" s="152"/>
      <c r="AQ376" s="152"/>
      <c r="AR376" s="152"/>
      <c r="AS376" s="152"/>
      <c r="AT376" s="152"/>
      <c r="AU376" s="152"/>
      <c r="AV376" s="152"/>
      <c r="AW376" s="152"/>
      <c r="AX376" s="152"/>
      <c r="AY376" s="152"/>
      <c r="AZ376" s="152"/>
      <c r="BA376" s="152"/>
      <c r="BB376" s="152"/>
      <c r="BC376" s="152"/>
    </row>
    <row r="377" customFormat="false" ht="15.75" hidden="false" customHeight="false" outlineLevel="0" collapsed="false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S377" s="152"/>
      <c r="T377" s="152"/>
      <c r="U377" s="152"/>
      <c r="V377" s="152"/>
      <c r="W377" s="152"/>
      <c r="X377" s="152"/>
      <c r="Y377" s="152"/>
      <c r="Z377" s="152"/>
      <c r="AB377" s="152"/>
      <c r="AC377" s="152"/>
      <c r="AD377" s="152"/>
      <c r="AE377" s="152"/>
      <c r="AF377" s="152"/>
      <c r="AG377" s="152"/>
      <c r="AH377" s="152"/>
      <c r="AI377" s="152"/>
      <c r="AJ377" s="152"/>
      <c r="AK377" s="152"/>
      <c r="AL377" s="152"/>
      <c r="AM377" s="152"/>
      <c r="AN377" s="152"/>
      <c r="AO377" s="152"/>
      <c r="AP377" s="152"/>
      <c r="AQ377" s="152"/>
      <c r="AR377" s="152"/>
      <c r="AS377" s="152"/>
      <c r="AT377" s="152"/>
      <c r="AU377" s="152"/>
      <c r="AV377" s="152"/>
      <c r="AW377" s="152"/>
      <c r="AX377" s="152"/>
      <c r="AY377" s="152"/>
      <c r="AZ377" s="152"/>
      <c r="BA377" s="152"/>
      <c r="BB377" s="152"/>
      <c r="BC377" s="152"/>
    </row>
    <row r="378" customFormat="false" ht="15.75" hidden="false" customHeight="false" outlineLevel="0" collapsed="false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S378" s="152"/>
      <c r="T378" s="152"/>
      <c r="U378" s="152"/>
      <c r="V378" s="152"/>
      <c r="W378" s="152"/>
      <c r="X378" s="152"/>
      <c r="Y378" s="152"/>
      <c r="Z378" s="152"/>
      <c r="AB378" s="152"/>
      <c r="AC378" s="152"/>
      <c r="AD378" s="152"/>
      <c r="AE378" s="152"/>
      <c r="AF378" s="152"/>
      <c r="AG378" s="152"/>
      <c r="AH378" s="152"/>
      <c r="AI378" s="152"/>
      <c r="AJ378" s="152"/>
      <c r="AK378" s="152"/>
      <c r="AL378" s="152"/>
      <c r="AM378" s="152"/>
      <c r="AN378" s="152"/>
      <c r="AO378" s="152"/>
      <c r="AP378" s="152"/>
      <c r="AQ378" s="152"/>
      <c r="AR378" s="152"/>
      <c r="AS378" s="152"/>
      <c r="AT378" s="152"/>
      <c r="AU378" s="152"/>
      <c r="AV378" s="152"/>
      <c r="AW378" s="152"/>
      <c r="AX378" s="152"/>
      <c r="AY378" s="152"/>
      <c r="AZ378" s="152"/>
      <c r="BA378" s="152"/>
      <c r="BB378" s="152"/>
      <c r="BC378" s="152"/>
    </row>
    <row r="379" customFormat="false" ht="15.75" hidden="false" customHeight="false" outlineLevel="0" collapsed="false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2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</row>
    <row r="380" customFormat="false" ht="15.75" hidden="false" customHeight="false" outlineLevel="0" collapsed="false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2"/>
      <c r="AI380" s="152"/>
      <c r="AJ380" s="152"/>
      <c r="AK380" s="152"/>
      <c r="AL380" s="152"/>
      <c r="AM380" s="152"/>
      <c r="AN380" s="152"/>
      <c r="AO380" s="152"/>
      <c r="AP380" s="152"/>
      <c r="AQ380" s="152"/>
      <c r="AR380" s="152"/>
      <c r="AS380" s="152"/>
      <c r="AT380" s="152"/>
      <c r="AU380" s="152"/>
      <c r="AV380" s="152"/>
      <c r="AW380" s="152"/>
      <c r="AX380" s="152"/>
      <c r="AY380" s="152"/>
      <c r="AZ380" s="152"/>
      <c r="BA380" s="152"/>
      <c r="BB380" s="152"/>
      <c r="BC380" s="152"/>
    </row>
    <row r="381" customFormat="false" ht="15.75" hidden="false" customHeight="false" outlineLevel="0" collapsed="false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2"/>
      <c r="AI381" s="152"/>
      <c r="AJ381" s="152"/>
      <c r="AK381" s="152"/>
      <c r="AL381" s="152"/>
      <c r="AM381" s="152"/>
      <c r="AN381" s="152"/>
      <c r="AO381" s="152"/>
      <c r="AP381" s="152"/>
      <c r="AQ381" s="152"/>
      <c r="AR381" s="152"/>
      <c r="AS381" s="152"/>
      <c r="AT381" s="152"/>
      <c r="AU381" s="152"/>
      <c r="AV381" s="152"/>
      <c r="AW381" s="152"/>
      <c r="AX381" s="152"/>
      <c r="AY381" s="152"/>
      <c r="AZ381" s="152"/>
      <c r="BA381" s="152"/>
      <c r="BB381" s="152"/>
      <c r="BC381" s="152"/>
    </row>
    <row r="382" customFormat="false" ht="15.75" hidden="false" customHeight="false" outlineLevel="0" collapsed="false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2"/>
      <c r="AI382" s="152"/>
      <c r="AJ382" s="152"/>
      <c r="AK382" s="152"/>
      <c r="AL382" s="152"/>
      <c r="AM382" s="152"/>
      <c r="AN382" s="152"/>
      <c r="AO382" s="152"/>
      <c r="AP382" s="152"/>
      <c r="AQ382" s="152"/>
      <c r="AR382" s="152"/>
      <c r="AS382" s="152"/>
      <c r="AT382" s="152"/>
      <c r="AU382" s="152"/>
      <c r="AV382" s="152"/>
      <c r="AW382" s="152"/>
      <c r="AX382" s="152"/>
      <c r="AY382" s="152"/>
      <c r="AZ382" s="152"/>
      <c r="BA382" s="152"/>
      <c r="BB382" s="152"/>
      <c r="BC382" s="152"/>
    </row>
    <row r="383" customFormat="false" ht="15.75" hidden="false" customHeight="false" outlineLevel="0" collapsed="false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O383" s="152"/>
      <c r="P383" s="152"/>
      <c r="Q383" s="152"/>
      <c r="S383" s="152"/>
      <c r="T383" s="152"/>
      <c r="U383" s="152"/>
      <c r="V383" s="152"/>
      <c r="W383" s="152"/>
      <c r="X383" s="152"/>
      <c r="Y383" s="152"/>
      <c r="Z383" s="152"/>
      <c r="AB383" s="152"/>
      <c r="AC383" s="152"/>
      <c r="AD383" s="152"/>
      <c r="AE383" s="152"/>
      <c r="AF383" s="152"/>
      <c r="AG383" s="152"/>
      <c r="AH383" s="152"/>
      <c r="AI383" s="152"/>
      <c r="AJ383" s="152"/>
      <c r="AK383" s="152"/>
      <c r="AL383" s="152"/>
      <c r="AM383" s="152"/>
      <c r="AN383" s="152"/>
      <c r="AO383" s="152"/>
      <c r="AP383" s="152"/>
      <c r="AQ383" s="152"/>
      <c r="AR383" s="152"/>
      <c r="AS383" s="152"/>
      <c r="AT383" s="152"/>
      <c r="AU383" s="152"/>
      <c r="AV383" s="152"/>
      <c r="AW383" s="152"/>
      <c r="AX383" s="152"/>
      <c r="AY383" s="152"/>
      <c r="AZ383" s="152"/>
      <c r="BA383" s="152"/>
      <c r="BB383" s="152"/>
      <c r="BC383" s="152"/>
    </row>
    <row r="384" customFormat="false" ht="15.75" hidden="false" customHeight="false" outlineLevel="0" collapsed="false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O384" s="152"/>
      <c r="P384" s="152"/>
      <c r="Q384" s="152"/>
      <c r="S384" s="152"/>
      <c r="T384" s="152"/>
      <c r="U384" s="152"/>
      <c r="V384" s="152"/>
      <c r="W384" s="152"/>
      <c r="X384" s="152"/>
      <c r="Y384" s="152"/>
      <c r="Z384" s="152"/>
      <c r="AB384" s="152"/>
      <c r="AC384" s="152"/>
      <c r="AD384" s="152"/>
      <c r="AE384" s="152"/>
      <c r="AF384" s="152"/>
      <c r="AG384" s="152"/>
      <c r="AH384" s="152"/>
      <c r="AI384" s="152"/>
      <c r="AJ384" s="152"/>
      <c r="AK384" s="152"/>
      <c r="AL384" s="152"/>
      <c r="AM384" s="152"/>
      <c r="AN384" s="152"/>
      <c r="AO384" s="152"/>
      <c r="AP384" s="152"/>
      <c r="AQ384" s="152"/>
      <c r="AR384" s="152"/>
      <c r="AS384" s="152"/>
      <c r="AT384" s="152"/>
      <c r="AU384" s="152"/>
      <c r="AV384" s="152"/>
      <c r="AW384" s="152"/>
      <c r="AX384" s="152"/>
      <c r="AY384" s="152"/>
      <c r="AZ384" s="152"/>
      <c r="BA384" s="152"/>
      <c r="BB384" s="152"/>
      <c r="BC384" s="152"/>
    </row>
    <row r="385" customFormat="false" ht="15.75" hidden="false" customHeight="false" outlineLevel="0" collapsed="false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2"/>
      <c r="AI385" s="152"/>
      <c r="AJ385" s="152"/>
      <c r="AK385" s="152"/>
      <c r="AL385" s="152"/>
      <c r="AM385" s="152"/>
      <c r="AN385" s="152"/>
      <c r="AO385" s="152"/>
      <c r="AP385" s="152"/>
      <c r="AQ385" s="152"/>
      <c r="AR385" s="152"/>
      <c r="AS385" s="152"/>
      <c r="AT385" s="152"/>
      <c r="AU385" s="152"/>
      <c r="AV385" s="152"/>
      <c r="AW385" s="152"/>
      <c r="AX385" s="152"/>
      <c r="AY385" s="152"/>
      <c r="AZ385" s="152"/>
      <c r="BA385" s="152"/>
      <c r="BB385" s="152"/>
      <c r="BC385" s="152"/>
    </row>
    <row r="386" customFormat="false" ht="15.75" hidden="false" customHeight="false" outlineLevel="0" collapsed="false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S386" s="152"/>
      <c r="T386" s="152"/>
      <c r="U386" s="152"/>
      <c r="V386" s="152"/>
      <c r="W386" s="152"/>
      <c r="X386" s="152"/>
      <c r="Y386" s="152"/>
      <c r="Z386" s="152"/>
      <c r="AB386" s="152"/>
      <c r="AC386" s="152"/>
      <c r="AD386" s="152"/>
      <c r="AE386" s="152"/>
      <c r="AF386" s="152"/>
      <c r="AG386" s="152"/>
      <c r="AH386" s="152"/>
      <c r="AI386" s="152"/>
      <c r="AJ386" s="152"/>
      <c r="AK386" s="152"/>
      <c r="AL386" s="152"/>
      <c r="AM386" s="152"/>
      <c r="AN386" s="152"/>
      <c r="AO386" s="152"/>
      <c r="AP386" s="152"/>
      <c r="AQ386" s="152"/>
      <c r="AR386" s="152"/>
      <c r="AS386" s="152"/>
      <c r="AT386" s="152"/>
      <c r="AU386" s="152"/>
      <c r="AV386" s="152"/>
      <c r="AW386" s="152"/>
      <c r="AX386" s="152"/>
      <c r="AY386" s="152"/>
      <c r="AZ386" s="152"/>
      <c r="BA386" s="152"/>
      <c r="BB386" s="152"/>
      <c r="BC386" s="152"/>
    </row>
    <row r="387" customFormat="false" ht="15.75" hidden="false" customHeight="false" outlineLevel="0" collapsed="false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S387" s="152"/>
      <c r="T387" s="152"/>
      <c r="U387" s="152"/>
      <c r="V387" s="152"/>
      <c r="W387" s="152"/>
      <c r="X387" s="152"/>
      <c r="Y387" s="152"/>
      <c r="Z387" s="152"/>
      <c r="AB387" s="152"/>
      <c r="AC387" s="152"/>
      <c r="AD387" s="152"/>
      <c r="AE387" s="152"/>
      <c r="AF387" s="152"/>
      <c r="AG387" s="152"/>
      <c r="AH387" s="152"/>
      <c r="AI387" s="152"/>
      <c r="AJ387" s="152"/>
      <c r="AK387" s="152"/>
      <c r="AL387" s="152"/>
      <c r="AM387" s="152"/>
      <c r="AN387" s="152"/>
      <c r="AO387" s="152"/>
      <c r="AP387" s="152"/>
      <c r="AQ387" s="152"/>
      <c r="AR387" s="152"/>
      <c r="AS387" s="152"/>
      <c r="AT387" s="152"/>
      <c r="AU387" s="152"/>
      <c r="AV387" s="152"/>
      <c r="AW387" s="152"/>
      <c r="AX387" s="152"/>
      <c r="AY387" s="152"/>
      <c r="AZ387" s="152"/>
      <c r="BA387" s="152"/>
      <c r="BB387" s="152"/>
      <c r="BC387" s="152"/>
    </row>
    <row r="388" customFormat="false" ht="15.75" hidden="false" customHeight="false" outlineLevel="0" collapsed="false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S388" s="152"/>
      <c r="T388" s="152"/>
      <c r="U388" s="152"/>
      <c r="V388" s="152"/>
      <c r="W388" s="152"/>
      <c r="X388" s="152"/>
      <c r="Y388" s="152"/>
      <c r="Z388" s="152"/>
      <c r="AB388" s="152"/>
      <c r="AC388" s="152"/>
      <c r="AD388" s="152"/>
      <c r="AE388" s="152"/>
      <c r="AF388" s="152"/>
      <c r="AG388" s="152"/>
      <c r="AH388" s="152"/>
      <c r="AI388" s="152"/>
      <c r="AJ388" s="152"/>
      <c r="AK388" s="152"/>
      <c r="AL388" s="152"/>
      <c r="AM388" s="152"/>
      <c r="AN388" s="152"/>
      <c r="AO388" s="152"/>
      <c r="AP388" s="152"/>
      <c r="AQ388" s="152"/>
      <c r="AR388" s="152"/>
      <c r="AS388" s="152"/>
      <c r="AT388" s="152"/>
      <c r="AU388" s="152"/>
      <c r="AV388" s="152"/>
      <c r="AW388" s="152"/>
      <c r="AX388" s="152"/>
      <c r="AY388" s="152"/>
      <c r="AZ388" s="152"/>
      <c r="BA388" s="152"/>
      <c r="BB388" s="152"/>
      <c r="BC388" s="152"/>
    </row>
    <row r="389" customFormat="false" ht="15.75" hidden="false" customHeight="false" outlineLevel="0" collapsed="false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2"/>
      <c r="AI389" s="152"/>
      <c r="AJ389" s="152"/>
      <c r="AK389" s="152"/>
      <c r="AL389" s="152"/>
      <c r="AM389" s="152"/>
      <c r="AN389" s="152"/>
      <c r="AO389" s="152"/>
      <c r="AP389" s="152"/>
      <c r="AQ389" s="152"/>
      <c r="AR389" s="152"/>
      <c r="AS389" s="152"/>
      <c r="AT389" s="152"/>
      <c r="AU389" s="152"/>
      <c r="AV389" s="152"/>
      <c r="AW389" s="152"/>
      <c r="AX389" s="152"/>
      <c r="AY389" s="152"/>
      <c r="AZ389" s="152"/>
      <c r="BA389" s="152"/>
      <c r="BB389" s="152"/>
      <c r="BC389" s="152"/>
    </row>
    <row r="390" customFormat="false" ht="15.75" hidden="false" customHeight="false" outlineLevel="0" collapsed="false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S390" s="152"/>
      <c r="T390" s="152"/>
      <c r="U390" s="152"/>
      <c r="V390" s="152"/>
      <c r="W390" s="152"/>
      <c r="X390" s="152"/>
      <c r="Y390" s="152"/>
      <c r="Z390" s="152"/>
      <c r="AB390" s="152"/>
      <c r="AC390" s="152"/>
      <c r="AD390" s="152"/>
      <c r="AE390" s="152"/>
      <c r="AF390" s="152"/>
      <c r="AG390" s="152"/>
      <c r="AH390" s="152"/>
      <c r="AI390" s="152"/>
      <c r="AJ390" s="152"/>
      <c r="AK390" s="152"/>
      <c r="AL390" s="152"/>
      <c r="AM390" s="152"/>
      <c r="AN390" s="152"/>
      <c r="AO390" s="152"/>
      <c r="AP390" s="152"/>
      <c r="AQ390" s="152"/>
      <c r="AR390" s="152"/>
      <c r="AS390" s="152"/>
      <c r="AT390" s="152"/>
      <c r="AU390" s="152"/>
      <c r="AV390" s="152"/>
      <c r="AW390" s="152"/>
      <c r="AX390" s="152"/>
      <c r="AY390" s="152"/>
      <c r="AZ390" s="152"/>
      <c r="BA390" s="152"/>
      <c r="BB390" s="152"/>
      <c r="BC390" s="152"/>
    </row>
    <row r="391" customFormat="false" ht="15.75" hidden="false" customHeight="false" outlineLevel="0" collapsed="false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2"/>
      <c r="AI391" s="152"/>
      <c r="AJ391" s="152"/>
      <c r="AK391" s="152"/>
      <c r="AL391" s="152"/>
      <c r="AM391" s="152"/>
      <c r="AN391" s="152"/>
      <c r="AO391" s="152"/>
      <c r="AP391" s="152"/>
      <c r="AQ391" s="152"/>
      <c r="AR391" s="152"/>
      <c r="AS391" s="152"/>
      <c r="AT391" s="152"/>
      <c r="AU391" s="152"/>
      <c r="AV391" s="152"/>
      <c r="AW391" s="152"/>
      <c r="AX391" s="152"/>
      <c r="AY391" s="152"/>
      <c r="AZ391" s="152"/>
      <c r="BA391" s="152"/>
      <c r="BB391" s="152"/>
      <c r="BC391" s="152"/>
    </row>
    <row r="392" customFormat="false" ht="15.75" hidden="false" customHeight="false" outlineLevel="0" collapsed="false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2"/>
      <c r="AI392" s="152"/>
      <c r="AJ392" s="152"/>
      <c r="AK392" s="152"/>
      <c r="AL392" s="152"/>
      <c r="AM392" s="152"/>
      <c r="AN392" s="152"/>
      <c r="AO392" s="152"/>
      <c r="AP392" s="152"/>
      <c r="AQ392" s="152"/>
      <c r="AR392" s="152"/>
      <c r="AS392" s="152"/>
      <c r="AT392" s="152"/>
      <c r="AU392" s="152"/>
      <c r="AV392" s="152"/>
      <c r="AW392" s="152"/>
      <c r="AX392" s="152"/>
      <c r="AY392" s="152"/>
      <c r="AZ392" s="152"/>
      <c r="BA392" s="152"/>
      <c r="BB392" s="152"/>
      <c r="BC392" s="152"/>
    </row>
    <row r="393" customFormat="false" ht="15.75" hidden="false" customHeight="false" outlineLevel="0" collapsed="false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2"/>
      <c r="AI393" s="152"/>
      <c r="AJ393" s="152"/>
      <c r="AK393" s="152"/>
      <c r="AL393" s="152"/>
      <c r="AM393" s="152"/>
      <c r="AN393" s="152"/>
      <c r="AO393" s="152"/>
      <c r="AP393" s="152"/>
      <c r="AQ393" s="152"/>
      <c r="AR393" s="152"/>
      <c r="AS393" s="152"/>
      <c r="AT393" s="152"/>
      <c r="AU393" s="152"/>
      <c r="AV393" s="152"/>
      <c r="AW393" s="152"/>
      <c r="AX393" s="152"/>
      <c r="AY393" s="152"/>
      <c r="AZ393" s="152"/>
      <c r="BA393" s="152"/>
      <c r="BB393" s="152"/>
      <c r="BC393" s="152"/>
    </row>
    <row r="394" customFormat="false" ht="15.75" hidden="false" customHeight="false" outlineLevel="0" collapsed="false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2"/>
      <c r="AI394" s="152"/>
      <c r="AJ394" s="152"/>
      <c r="AK394" s="152"/>
      <c r="AL394" s="152"/>
      <c r="AM394" s="152"/>
      <c r="AN394" s="152"/>
      <c r="AO394" s="152"/>
      <c r="AP394" s="152"/>
      <c r="AQ394" s="152"/>
      <c r="AR394" s="152"/>
      <c r="AS394" s="152"/>
      <c r="AT394" s="152"/>
      <c r="AU394" s="152"/>
      <c r="AV394" s="152"/>
      <c r="AW394" s="152"/>
      <c r="AX394" s="152"/>
      <c r="AY394" s="152"/>
      <c r="AZ394" s="152"/>
      <c r="BA394" s="152"/>
      <c r="BB394" s="152"/>
      <c r="BC394" s="152"/>
    </row>
    <row r="395" customFormat="false" ht="15.75" hidden="false" customHeight="false" outlineLevel="0" collapsed="false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2"/>
      <c r="AI395" s="152"/>
      <c r="AJ395" s="152"/>
      <c r="AK395" s="152"/>
      <c r="AL395" s="152"/>
      <c r="AM395" s="152"/>
      <c r="AN395" s="152"/>
      <c r="AO395" s="152"/>
      <c r="AP395" s="152"/>
      <c r="AQ395" s="152"/>
      <c r="AR395" s="152"/>
      <c r="AS395" s="152"/>
      <c r="AT395" s="152"/>
      <c r="AU395" s="152"/>
      <c r="AV395" s="152"/>
      <c r="AW395" s="152"/>
      <c r="AX395" s="152"/>
      <c r="AY395" s="152"/>
      <c r="AZ395" s="152"/>
      <c r="BA395" s="152"/>
      <c r="BB395" s="152"/>
      <c r="BC395" s="152"/>
    </row>
    <row r="396" customFormat="false" ht="15.75" hidden="false" customHeight="false" outlineLevel="0" collapsed="false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M396" s="152"/>
      <c r="AN396" s="152"/>
      <c r="AO396" s="152"/>
      <c r="AP396" s="152"/>
      <c r="AQ396" s="152"/>
      <c r="AR396" s="152"/>
      <c r="AS396" s="152"/>
      <c r="AT396" s="152"/>
      <c r="AU396" s="152"/>
      <c r="AV396" s="152"/>
      <c r="AW396" s="152"/>
      <c r="AX396" s="152"/>
      <c r="AY396" s="152"/>
      <c r="AZ396" s="152"/>
      <c r="BA396" s="152"/>
      <c r="BB396" s="152"/>
      <c r="BC396" s="152"/>
    </row>
    <row r="397" customFormat="false" ht="15.75" hidden="false" customHeight="false" outlineLevel="0" collapsed="false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2"/>
      <c r="AI397" s="152"/>
      <c r="AJ397" s="152"/>
      <c r="AK397" s="152"/>
      <c r="AL397" s="152"/>
      <c r="AM397" s="152"/>
      <c r="AN397" s="152"/>
      <c r="AO397" s="152"/>
      <c r="AP397" s="152"/>
      <c r="AQ397" s="152"/>
      <c r="AR397" s="152"/>
      <c r="AS397" s="152"/>
      <c r="AT397" s="152"/>
      <c r="AU397" s="152"/>
      <c r="AV397" s="152"/>
      <c r="AW397" s="152"/>
      <c r="AX397" s="152"/>
      <c r="AY397" s="152"/>
      <c r="AZ397" s="152"/>
      <c r="BA397" s="152"/>
      <c r="BB397" s="152"/>
      <c r="BC397" s="152"/>
    </row>
    <row r="398" customFormat="false" ht="15.75" hidden="false" customHeight="false" outlineLevel="0" collapsed="false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2"/>
      <c r="AI398" s="152"/>
      <c r="AJ398" s="152"/>
      <c r="AK398" s="152"/>
      <c r="AL398" s="152"/>
      <c r="AM398" s="152"/>
      <c r="AN398" s="152"/>
      <c r="AO398" s="152"/>
      <c r="AP398" s="152"/>
      <c r="AQ398" s="152"/>
      <c r="AR398" s="152"/>
      <c r="AS398" s="152"/>
      <c r="AT398" s="152"/>
      <c r="AU398" s="152"/>
      <c r="AV398" s="152"/>
      <c r="AW398" s="152"/>
      <c r="AX398" s="152"/>
      <c r="AY398" s="152"/>
      <c r="AZ398" s="152"/>
      <c r="BA398" s="152"/>
      <c r="BB398" s="152"/>
      <c r="BC398" s="152"/>
    </row>
    <row r="399" customFormat="false" ht="15.75" hidden="false" customHeight="false" outlineLevel="0" collapsed="false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2"/>
      <c r="AI399" s="152"/>
      <c r="AJ399" s="152"/>
      <c r="AK399" s="152"/>
      <c r="AL399" s="152"/>
      <c r="AM399" s="152"/>
      <c r="AN399" s="152"/>
      <c r="AO399" s="152"/>
      <c r="AP399" s="152"/>
      <c r="AQ399" s="152"/>
      <c r="AR399" s="152"/>
      <c r="AS399" s="152"/>
      <c r="AT399" s="152"/>
      <c r="AU399" s="152"/>
      <c r="AV399" s="152"/>
      <c r="AW399" s="152"/>
      <c r="AX399" s="152"/>
      <c r="AY399" s="152"/>
      <c r="AZ399" s="152"/>
      <c r="BA399" s="152"/>
      <c r="BB399" s="152"/>
      <c r="BC399" s="152"/>
    </row>
    <row r="400" customFormat="false" ht="15.75" hidden="false" customHeight="false" outlineLevel="0" collapsed="false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S400" s="152"/>
      <c r="T400" s="152"/>
      <c r="U400" s="152"/>
      <c r="V400" s="152"/>
      <c r="W400" s="152"/>
      <c r="X400" s="152"/>
      <c r="Y400" s="152"/>
      <c r="Z400" s="152"/>
      <c r="AB400" s="152"/>
      <c r="AC400" s="152"/>
      <c r="AD400" s="152"/>
      <c r="AE400" s="152"/>
      <c r="AF400" s="152"/>
      <c r="AG400" s="152"/>
      <c r="AH400" s="152"/>
      <c r="AI400" s="152"/>
      <c r="AJ400" s="152"/>
      <c r="AK400" s="152"/>
      <c r="AL400" s="152"/>
      <c r="AM400" s="152"/>
      <c r="AN400" s="152"/>
      <c r="AO400" s="152"/>
      <c r="AP400" s="152"/>
      <c r="AQ400" s="152"/>
      <c r="AR400" s="152"/>
      <c r="AS400" s="152"/>
      <c r="AT400" s="152"/>
      <c r="AU400" s="152"/>
      <c r="AV400" s="152"/>
      <c r="AW400" s="152"/>
      <c r="AX400" s="152"/>
      <c r="AY400" s="152"/>
      <c r="AZ400" s="152"/>
      <c r="BA400" s="152"/>
      <c r="BB400" s="152"/>
      <c r="BC400" s="152"/>
    </row>
    <row r="401" customFormat="false" ht="15.75" hidden="false" customHeight="false" outlineLevel="0" collapsed="false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O401" s="152"/>
      <c r="P401" s="152"/>
      <c r="Q401" s="152"/>
      <c r="S401" s="152"/>
      <c r="T401" s="152"/>
      <c r="U401" s="152"/>
      <c r="V401" s="152"/>
      <c r="W401" s="152"/>
      <c r="X401" s="152"/>
      <c r="Y401" s="152"/>
      <c r="Z401" s="152"/>
      <c r="AB401" s="152"/>
      <c r="AC401" s="152"/>
      <c r="AD401" s="152"/>
      <c r="AE401" s="152"/>
      <c r="AF401" s="152"/>
      <c r="AG401" s="152"/>
      <c r="AH401" s="152"/>
      <c r="AI401" s="152"/>
      <c r="AJ401" s="152"/>
      <c r="AK401" s="152"/>
      <c r="AL401" s="152"/>
      <c r="AM401" s="152"/>
      <c r="AN401" s="152"/>
      <c r="AO401" s="152"/>
      <c r="AP401" s="152"/>
      <c r="AQ401" s="152"/>
      <c r="AR401" s="152"/>
      <c r="AS401" s="152"/>
      <c r="AT401" s="152"/>
      <c r="AU401" s="152"/>
      <c r="AV401" s="152"/>
      <c r="AW401" s="152"/>
      <c r="AX401" s="152"/>
      <c r="AY401" s="152"/>
      <c r="AZ401" s="152"/>
      <c r="BA401" s="152"/>
      <c r="BB401" s="152"/>
      <c r="BC401" s="152"/>
    </row>
    <row r="402" customFormat="false" ht="15.75" hidden="false" customHeight="false" outlineLevel="0" collapsed="false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2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</row>
    <row r="403" customFormat="false" ht="15.75" hidden="false" customHeight="false" outlineLevel="0" collapsed="false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2"/>
      <c r="AI403" s="152"/>
      <c r="AJ403" s="152"/>
      <c r="AK403" s="152"/>
      <c r="AL403" s="152"/>
      <c r="AM403" s="152"/>
      <c r="AN403" s="152"/>
      <c r="AO403" s="152"/>
      <c r="AP403" s="152"/>
      <c r="AQ403" s="152"/>
      <c r="AR403" s="152"/>
      <c r="AS403" s="152"/>
      <c r="AT403" s="152"/>
      <c r="AU403" s="152"/>
      <c r="AV403" s="152"/>
      <c r="AW403" s="152"/>
      <c r="AX403" s="152"/>
      <c r="AY403" s="152"/>
      <c r="AZ403" s="152"/>
      <c r="BA403" s="152"/>
      <c r="BB403" s="152"/>
      <c r="BC403" s="152"/>
    </row>
    <row r="404" customFormat="false" ht="15.75" hidden="false" customHeight="false" outlineLevel="0" collapsed="false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S404" s="152"/>
      <c r="T404" s="152"/>
      <c r="U404" s="152"/>
      <c r="V404" s="152"/>
      <c r="W404" s="152"/>
      <c r="X404" s="152"/>
      <c r="Y404" s="152"/>
      <c r="Z404" s="152"/>
      <c r="AB404" s="152"/>
      <c r="AC404" s="152"/>
      <c r="AD404" s="152"/>
      <c r="AE404" s="152"/>
      <c r="AF404" s="152"/>
      <c r="AG404" s="152"/>
      <c r="AH404" s="152"/>
      <c r="AI404" s="152"/>
      <c r="AJ404" s="152"/>
      <c r="AK404" s="152"/>
      <c r="AL404" s="152"/>
      <c r="AM404" s="152"/>
      <c r="AN404" s="152"/>
      <c r="AO404" s="152"/>
      <c r="AP404" s="152"/>
      <c r="AQ404" s="152"/>
      <c r="AR404" s="152"/>
      <c r="AS404" s="152"/>
      <c r="AT404" s="152"/>
      <c r="AU404" s="152"/>
      <c r="AV404" s="152"/>
      <c r="AW404" s="152"/>
      <c r="AX404" s="152"/>
      <c r="AY404" s="152"/>
      <c r="AZ404" s="152"/>
      <c r="BA404" s="152"/>
      <c r="BB404" s="152"/>
      <c r="BC404" s="152"/>
    </row>
    <row r="405" customFormat="false" ht="15.75" hidden="false" customHeight="false" outlineLevel="0" collapsed="false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S405" s="152"/>
      <c r="T405" s="152"/>
      <c r="U405" s="152"/>
      <c r="V405" s="152"/>
      <c r="W405" s="152"/>
      <c r="X405" s="152"/>
      <c r="Y405" s="152"/>
      <c r="Z405" s="152"/>
      <c r="AB405" s="152"/>
      <c r="AC405" s="152"/>
      <c r="AD405" s="152"/>
      <c r="AE405" s="152"/>
      <c r="AF405" s="152"/>
      <c r="AG405" s="152"/>
      <c r="AH405" s="152"/>
      <c r="AI405" s="152"/>
      <c r="AJ405" s="152"/>
      <c r="AK405" s="152"/>
      <c r="AL405" s="152"/>
      <c r="AM405" s="152"/>
      <c r="AN405" s="152"/>
      <c r="AO405" s="152"/>
      <c r="AP405" s="152"/>
      <c r="AQ405" s="152"/>
      <c r="AR405" s="152"/>
      <c r="AS405" s="152"/>
      <c r="AT405" s="152"/>
      <c r="AU405" s="152"/>
      <c r="AV405" s="152"/>
      <c r="AW405" s="152"/>
      <c r="AX405" s="152"/>
      <c r="AY405" s="152"/>
      <c r="AZ405" s="152"/>
      <c r="BA405" s="152"/>
      <c r="BB405" s="152"/>
      <c r="BC405" s="152"/>
    </row>
    <row r="406" customFormat="false" ht="15.75" hidden="false" customHeight="false" outlineLevel="0" collapsed="false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2"/>
      <c r="AI406" s="152"/>
      <c r="AJ406" s="152"/>
      <c r="AK406" s="152"/>
      <c r="AL406" s="152"/>
      <c r="AM406" s="152"/>
      <c r="AN406" s="152"/>
      <c r="AO406" s="152"/>
      <c r="AP406" s="152"/>
      <c r="AQ406" s="152"/>
      <c r="AR406" s="152"/>
      <c r="AS406" s="152"/>
      <c r="AT406" s="152"/>
      <c r="AU406" s="152"/>
      <c r="AV406" s="152"/>
      <c r="AW406" s="152"/>
      <c r="AX406" s="152"/>
      <c r="AY406" s="152"/>
      <c r="AZ406" s="152"/>
      <c r="BA406" s="152"/>
      <c r="BB406" s="152"/>
      <c r="BC406" s="152"/>
    </row>
    <row r="407" customFormat="false" ht="15.75" hidden="false" customHeight="false" outlineLevel="0" collapsed="false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2"/>
      <c r="AI407" s="152"/>
      <c r="AJ407" s="152"/>
      <c r="AK407" s="152"/>
      <c r="AL407" s="152"/>
      <c r="AM407" s="152"/>
      <c r="AN407" s="152"/>
      <c r="AO407" s="152"/>
      <c r="AP407" s="152"/>
      <c r="AQ407" s="152"/>
      <c r="AR407" s="152"/>
      <c r="AS407" s="152"/>
      <c r="AT407" s="152"/>
      <c r="AU407" s="152"/>
      <c r="AV407" s="152"/>
      <c r="AW407" s="152"/>
      <c r="AX407" s="152"/>
      <c r="AY407" s="152"/>
      <c r="AZ407" s="152"/>
      <c r="BA407" s="152"/>
      <c r="BB407" s="152"/>
      <c r="BC407" s="152"/>
    </row>
    <row r="408" customFormat="false" ht="15.75" hidden="false" customHeight="false" outlineLevel="0" collapsed="false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S408" s="152"/>
      <c r="T408" s="152"/>
      <c r="U408" s="152"/>
      <c r="V408" s="152"/>
      <c r="W408" s="152"/>
      <c r="X408" s="152"/>
      <c r="Y408" s="152"/>
      <c r="Z408" s="152"/>
      <c r="AB408" s="152"/>
      <c r="AC408" s="152"/>
      <c r="AD408" s="152"/>
      <c r="AE408" s="152"/>
      <c r="AF408" s="152"/>
      <c r="AG408" s="152"/>
      <c r="AH408" s="152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</row>
    <row r="409" customFormat="false" ht="15.75" hidden="false" customHeight="false" outlineLevel="0" collapsed="false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O409" s="152"/>
      <c r="P409" s="152"/>
      <c r="Q409" s="152"/>
      <c r="S409" s="152"/>
      <c r="T409" s="152"/>
      <c r="U409" s="152"/>
      <c r="V409" s="152"/>
      <c r="W409" s="152"/>
      <c r="X409" s="152"/>
      <c r="Y409" s="152"/>
      <c r="Z409" s="152"/>
      <c r="AB409" s="152"/>
      <c r="AC409" s="152"/>
      <c r="AD409" s="152"/>
      <c r="AE409" s="152"/>
      <c r="AF409" s="152"/>
      <c r="AG409" s="152"/>
      <c r="AH409" s="152"/>
      <c r="AI409" s="152"/>
      <c r="AJ409" s="152"/>
      <c r="AK409" s="152"/>
      <c r="AL409" s="152"/>
      <c r="AM409" s="152"/>
      <c r="AN409" s="152"/>
      <c r="AO409" s="152"/>
      <c r="AP409" s="152"/>
      <c r="AQ409" s="152"/>
      <c r="AR409" s="152"/>
      <c r="AS409" s="152"/>
      <c r="AT409" s="152"/>
      <c r="AU409" s="152"/>
      <c r="AV409" s="152"/>
      <c r="AW409" s="152"/>
      <c r="AX409" s="152"/>
      <c r="AY409" s="152"/>
      <c r="AZ409" s="152"/>
      <c r="BA409" s="152"/>
      <c r="BB409" s="152"/>
      <c r="BC409" s="152"/>
    </row>
    <row r="410" customFormat="false" ht="15.75" hidden="false" customHeight="false" outlineLevel="0" collapsed="false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2"/>
      <c r="AI410" s="152"/>
      <c r="AJ410" s="152"/>
      <c r="AK410" s="152"/>
      <c r="AL410" s="152"/>
      <c r="AM410" s="152"/>
      <c r="AN410" s="152"/>
      <c r="AO410" s="152"/>
      <c r="AP410" s="152"/>
      <c r="AQ410" s="152"/>
      <c r="AR410" s="152"/>
      <c r="AS410" s="152"/>
      <c r="AT410" s="152"/>
      <c r="AU410" s="152"/>
      <c r="AV410" s="152"/>
      <c r="AW410" s="152"/>
      <c r="AX410" s="152"/>
      <c r="AY410" s="152"/>
      <c r="AZ410" s="152"/>
      <c r="BA410" s="152"/>
      <c r="BB410" s="152"/>
      <c r="BC410" s="152"/>
    </row>
    <row r="411" customFormat="false" ht="15.75" hidden="false" customHeight="false" outlineLevel="0" collapsed="false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O411" s="152"/>
      <c r="P411" s="152"/>
      <c r="Q411" s="152"/>
      <c r="S411" s="152"/>
      <c r="T411" s="152"/>
      <c r="U411" s="152"/>
      <c r="V411" s="152"/>
      <c r="W411" s="152"/>
      <c r="X411" s="152"/>
      <c r="Y411" s="152"/>
      <c r="Z411" s="152"/>
      <c r="AB411" s="152"/>
      <c r="AC411" s="152"/>
      <c r="AD411" s="152"/>
      <c r="AE411" s="152"/>
      <c r="AF411" s="152"/>
      <c r="AG411" s="152"/>
      <c r="AH411" s="152"/>
      <c r="AI411" s="152"/>
      <c r="AJ411" s="152"/>
      <c r="AK411" s="152"/>
      <c r="AL411" s="152"/>
      <c r="AM411" s="152"/>
      <c r="AN411" s="152"/>
      <c r="AO411" s="152"/>
      <c r="AP411" s="152"/>
      <c r="AQ411" s="152"/>
      <c r="AR411" s="152"/>
      <c r="AS411" s="152"/>
      <c r="AT411" s="152"/>
      <c r="AU411" s="152"/>
      <c r="AV411" s="152"/>
      <c r="AW411" s="152"/>
      <c r="AX411" s="152"/>
      <c r="AY411" s="152"/>
      <c r="AZ411" s="152"/>
      <c r="BA411" s="152"/>
      <c r="BB411" s="152"/>
      <c r="BC411" s="152"/>
    </row>
    <row r="412" customFormat="false" ht="15.75" hidden="false" customHeight="false" outlineLevel="0" collapsed="false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O412" s="152"/>
      <c r="P412" s="152"/>
      <c r="Q412" s="152"/>
      <c r="S412" s="152"/>
      <c r="T412" s="152"/>
      <c r="U412" s="152"/>
      <c r="V412" s="152"/>
      <c r="W412" s="152"/>
      <c r="X412" s="152"/>
      <c r="Y412" s="152"/>
      <c r="Z412" s="152"/>
      <c r="AB412" s="152"/>
      <c r="AC412" s="152"/>
      <c r="AD412" s="152"/>
      <c r="AE412" s="152"/>
      <c r="AF412" s="152"/>
      <c r="AG412" s="152"/>
      <c r="AH412" s="152"/>
      <c r="AI412" s="152"/>
      <c r="AJ412" s="152"/>
      <c r="AK412" s="152"/>
      <c r="AL412" s="152"/>
      <c r="AM412" s="152"/>
      <c r="AN412" s="152"/>
      <c r="AO412" s="152"/>
      <c r="AP412" s="152"/>
      <c r="AQ412" s="152"/>
      <c r="AR412" s="152"/>
      <c r="AS412" s="152"/>
      <c r="AT412" s="152"/>
      <c r="AU412" s="152"/>
      <c r="AV412" s="152"/>
      <c r="AW412" s="152"/>
      <c r="AX412" s="152"/>
      <c r="AY412" s="152"/>
      <c r="AZ412" s="152"/>
      <c r="BA412" s="152"/>
      <c r="BB412" s="152"/>
      <c r="BC412" s="152"/>
    </row>
    <row r="413" customFormat="false" ht="15.75" hidden="false" customHeight="false" outlineLevel="0" collapsed="false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O413" s="152"/>
      <c r="P413" s="152"/>
      <c r="Q413" s="152"/>
      <c r="S413" s="152"/>
      <c r="T413" s="152"/>
      <c r="U413" s="152"/>
      <c r="V413" s="152"/>
      <c r="W413" s="152"/>
      <c r="X413" s="152"/>
      <c r="Y413" s="152"/>
      <c r="Z413" s="152"/>
      <c r="AB413" s="152"/>
      <c r="AC413" s="152"/>
      <c r="AD413" s="152"/>
      <c r="AE413" s="152"/>
      <c r="AF413" s="152"/>
      <c r="AG413" s="152"/>
      <c r="AH413" s="152"/>
      <c r="AI413" s="152"/>
      <c r="AJ413" s="152"/>
      <c r="AK413" s="152"/>
      <c r="AL413" s="152"/>
      <c r="AM413" s="152"/>
      <c r="AN413" s="152"/>
      <c r="AO413" s="152"/>
      <c r="AP413" s="152"/>
      <c r="AQ413" s="152"/>
      <c r="AR413" s="152"/>
      <c r="AS413" s="152"/>
      <c r="AT413" s="152"/>
      <c r="AU413" s="152"/>
      <c r="AV413" s="152"/>
      <c r="AW413" s="152"/>
      <c r="AX413" s="152"/>
      <c r="AY413" s="152"/>
      <c r="AZ413" s="152"/>
      <c r="BA413" s="152"/>
      <c r="BB413" s="152"/>
      <c r="BC413" s="152"/>
    </row>
    <row r="414" customFormat="false" ht="15.75" hidden="false" customHeight="false" outlineLevel="0" collapsed="false">
      <c r="A414" s="152"/>
      <c r="B414" s="152"/>
      <c r="C414" s="154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O414" s="152"/>
      <c r="P414" s="152"/>
      <c r="Q414" s="152"/>
      <c r="S414" s="152"/>
      <c r="T414" s="152"/>
      <c r="U414" s="152"/>
      <c r="V414" s="152"/>
      <c r="W414" s="152"/>
      <c r="X414" s="152"/>
      <c r="Y414" s="152"/>
      <c r="Z414" s="152"/>
      <c r="AB414" s="152"/>
      <c r="AC414" s="152"/>
      <c r="AD414" s="152"/>
      <c r="AE414" s="152"/>
      <c r="AF414" s="152"/>
      <c r="AG414" s="152"/>
      <c r="AH414" s="152"/>
      <c r="AI414" s="152"/>
      <c r="AJ414" s="152"/>
      <c r="AK414" s="152"/>
      <c r="AL414" s="152"/>
      <c r="AM414" s="152"/>
      <c r="AN414" s="152"/>
      <c r="AO414" s="152"/>
      <c r="AP414" s="152"/>
      <c r="AQ414" s="152"/>
      <c r="AR414" s="152"/>
      <c r="AS414" s="152"/>
      <c r="AT414" s="152"/>
      <c r="AU414" s="152"/>
      <c r="AV414" s="152"/>
      <c r="AW414" s="152"/>
      <c r="AX414" s="152"/>
      <c r="AY414" s="152"/>
      <c r="AZ414" s="152"/>
      <c r="BA414" s="152"/>
      <c r="BB414" s="152"/>
      <c r="BC414" s="152"/>
    </row>
    <row r="415" customFormat="false" ht="15.75" hidden="false" customHeight="false" outlineLevel="0" collapsed="false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O415" s="152"/>
      <c r="P415" s="152"/>
      <c r="Q415" s="152"/>
      <c r="S415" s="152"/>
      <c r="T415" s="152"/>
      <c r="U415" s="152"/>
      <c r="V415" s="152"/>
      <c r="W415" s="152"/>
      <c r="X415" s="152"/>
      <c r="Y415" s="152"/>
      <c r="Z415" s="152"/>
      <c r="AB415" s="152"/>
      <c r="AC415" s="152"/>
      <c r="AD415" s="152"/>
      <c r="AE415" s="152"/>
      <c r="AF415" s="152"/>
      <c r="AG415" s="152"/>
      <c r="AH415" s="152"/>
      <c r="AI415" s="152"/>
      <c r="AJ415" s="152"/>
      <c r="AK415" s="152"/>
      <c r="AL415" s="152"/>
      <c r="AM415" s="152"/>
      <c r="AN415" s="152"/>
      <c r="AO415" s="152"/>
      <c r="AP415" s="152"/>
      <c r="AQ415" s="152"/>
      <c r="AR415" s="152"/>
      <c r="AS415" s="152"/>
      <c r="AT415" s="152"/>
      <c r="AU415" s="152"/>
      <c r="AV415" s="152"/>
      <c r="AW415" s="152"/>
      <c r="AX415" s="152"/>
      <c r="AY415" s="152"/>
      <c r="AZ415" s="152"/>
      <c r="BA415" s="152"/>
      <c r="BB415" s="152"/>
      <c r="BC415" s="152"/>
    </row>
    <row r="416" customFormat="false" ht="15.75" hidden="false" customHeight="false" outlineLevel="0" collapsed="false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2"/>
      <c r="AI416" s="152"/>
      <c r="AJ416" s="152"/>
      <c r="AK416" s="152"/>
      <c r="AL416" s="152"/>
      <c r="AM416" s="152"/>
      <c r="AN416" s="152"/>
      <c r="AO416" s="152"/>
      <c r="AP416" s="152"/>
      <c r="AQ416" s="152"/>
      <c r="AR416" s="152"/>
      <c r="AS416" s="152"/>
      <c r="AT416" s="152"/>
      <c r="AU416" s="152"/>
      <c r="AV416" s="152"/>
      <c r="AW416" s="152"/>
      <c r="AX416" s="152"/>
      <c r="AY416" s="152"/>
      <c r="AZ416" s="152"/>
      <c r="BA416" s="152"/>
      <c r="BB416" s="152"/>
      <c r="BC416" s="152"/>
    </row>
    <row r="417" customFormat="false" ht="15.75" hidden="false" customHeight="false" outlineLevel="0" collapsed="false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2"/>
      <c r="AI417" s="152"/>
      <c r="AJ417" s="152"/>
      <c r="AK417" s="152"/>
      <c r="AL417" s="152"/>
      <c r="AM417" s="152"/>
      <c r="AN417" s="152"/>
      <c r="AO417" s="152"/>
      <c r="AP417" s="152"/>
      <c r="AQ417" s="152"/>
      <c r="AR417" s="152"/>
      <c r="AS417" s="152"/>
      <c r="AT417" s="152"/>
      <c r="AU417" s="152"/>
      <c r="AV417" s="152"/>
      <c r="AW417" s="152"/>
      <c r="AX417" s="152"/>
      <c r="AY417" s="152"/>
      <c r="AZ417" s="152"/>
      <c r="BA417" s="152"/>
      <c r="BB417" s="152"/>
      <c r="BC417" s="152"/>
    </row>
    <row r="418" customFormat="false" ht="15.75" hidden="false" customHeight="false" outlineLevel="0" collapsed="false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2"/>
      <c r="AI418" s="152"/>
      <c r="AJ418" s="152"/>
      <c r="AK418" s="152"/>
      <c r="AL418" s="152"/>
      <c r="AM418" s="152"/>
      <c r="AN418" s="152"/>
      <c r="AO418" s="152"/>
      <c r="AP418" s="152"/>
      <c r="AQ418" s="152"/>
      <c r="AR418" s="152"/>
      <c r="AS418" s="152"/>
      <c r="AT418" s="152"/>
      <c r="AU418" s="152"/>
      <c r="AV418" s="152"/>
      <c r="AW418" s="152"/>
      <c r="AX418" s="152"/>
      <c r="AY418" s="152"/>
      <c r="AZ418" s="152"/>
      <c r="BA418" s="152"/>
      <c r="BB418" s="152"/>
      <c r="BC418" s="152"/>
    </row>
    <row r="419" customFormat="false" ht="15.75" hidden="false" customHeight="false" outlineLevel="0" collapsed="false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2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</row>
    <row r="420" customFormat="false" ht="15.75" hidden="false" customHeight="false" outlineLevel="0" collapsed="false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2"/>
      <c r="AI420" s="152"/>
      <c r="AJ420" s="152"/>
      <c r="AK420" s="152"/>
      <c r="AL420" s="152"/>
      <c r="AM420" s="152"/>
      <c r="AN420" s="152"/>
      <c r="AO420" s="152"/>
      <c r="AP420" s="152"/>
      <c r="AQ420" s="152"/>
      <c r="AR420" s="152"/>
      <c r="AS420" s="152"/>
      <c r="AT420" s="152"/>
      <c r="AU420" s="152"/>
      <c r="AV420" s="152"/>
      <c r="AW420" s="152"/>
      <c r="AX420" s="152"/>
      <c r="AY420" s="152"/>
      <c r="AZ420" s="152"/>
      <c r="BA420" s="152"/>
      <c r="BB420" s="152"/>
      <c r="BC420" s="152"/>
    </row>
    <row r="421" customFormat="false" ht="15.75" hidden="false" customHeight="false" outlineLevel="0" collapsed="false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2"/>
      <c r="AI421" s="152"/>
      <c r="AJ421" s="152"/>
      <c r="AK421" s="152"/>
      <c r="AL421" s="152"/>
      <c r="AM421" s="152"/>
      <c r="AN421" s="152"/>
      <c r="AO421" s="152"/>
      <c r="AP421" s="152"/>
      <c r="AQ421" s="152"/>
      <c r="AR421" s="152"/>
      <c r="AS421" s="152"/>
      <c r="AT421" s="152"/>
      <c r="AU421" s="152"/>
      <c r="AV421" s="152"/>
      <c r="AW421" s="152"/>
      <c r="AX421" s="152"/>
      <c r="AY421" s="152"/>
      <c r="AZ421" s="152"/>
      <c r="BA421" s="152"/>
      <c r="BB421" s="152"/>
      <c r="BC421" s="152"/>
    </row>
    <row r="422" customFormat="false" ht="15.75" hidden="false" customHeight="false" outlineLevel="0" collapsed="false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2"/>
      <c r="AI422" s="152"/>
      <c r="AJ422" s="152"/>
      <c r="AK422" s="152"/>
      <c r="AL422" s="152"/>
      <c r="AM422" s="152"/>
      <c r="AN422" s="152"/>
      <c r="AO422" s="152"/>
      <c r="AP422" s="152"/>
      <c r="AQ422" s="152"/>
      <c r="AR422" s="152"/>
      <c r="AS422" s="152"/>
      <c r="AT422" s="152"/>
      <c r="AU422" s="152"/>
      <c r="AV422" s="152"/>
      <c r="AW422" s="152"/>
      <c r="AX422" s="152"/>
      <c r="AY422" s="152"/>
      <c r="AZ422" s="152"/>
      <c r="BA422" s="152"/>
      <c r="BB422" s="152"/>
      <c r="BC422" s="152"/>
    </row>
    <row r="423" customFormat="false" ht="15.75" hidden="false" customHeight="false" outlineLevel="0" collapsed="false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2"/>
      <c r="AI423" s="152"/>
      <c r="AJ423" s="152"/>
      <c r="AK423" s="152"/>
      <c r="AL423" s="152"/>
      <c r="AM423" s="152"/>
      <c r="AN423" s="152"/>
      <c r="AO423" s="152"/>
      <c r="AP423" s="152"/>
      <c r="AQ423" s="152"/>
      <c r="AR423" s="152"/>
      <c r="AS423" s="152"/>
      <c r="AT423" s="152"/>
      <c r="AU423" s="152"/>
      <c r="AV423" s="152"/>
      <c r="AW423" s="152"/>
      <c r="AX423" s="152"/>
      <c r="AY423" s="152"/>
      <c r="AZ423" s="152"/>
      <c r="BA423" s="152"/>
      <c r="BB423" s="152"/>
      <c r="BC423" s="152"/>
    </row>
    <row r="424" customFormat="false" ht="15.75" hidden="false" customHeight="false" outlineLevel="0" collapsed="false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2"/>
      <c r="AI424" s="152"/>
      <c r="AJ424" s="152"/>
      <c r="AK424" s="152"/>
      <c r="AL424" s="152"/>
      <c r="AM424" s="152"/>
      <c r="AN424" s="152"/>
      <c r="AO424" s="152"/>
      <c r="AP424" s="152"/>
      <c r="AQ424" s="152"/>
      <c r="AR424" s="152"/>
      <c r="AS424" s="152"/>
      <c r="AT424" s="152"/>
      <c r="AU424" s="152"/>
      <c r="AV424" s="152"/>
      <c r="AW424" s="152"/>
      <c r="AX424" s="152"/>
      <c r="AY424" s="152"/>
      <c r="AZ424" s="152"/>
      <c r="BA424" s="152"/>
      <c r="BB424" s="152"/>
      <c r="BC424" s="152"/>
    </row>
    <row r="425" customFormat="false" ht="15.75" hidden="false" customHeight="false" outlineLevel="0" collapsed="false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2"/>
      <c r="AI425" s="152"/>
      <c r="AJ425" s="152"/>
      <c r="AK425" s="152"/>
      <c r="AL425" s="152"/>
      <c r="AM425" s="152"/>
      <c r="AN425" s="152"/>
      <c r="AO425" s="152"/>
      <c r="AP425" s="152"/>
      <c r="AQ425" s="152"/>
      <c r="AR425" s="152"/>
      <c r="AS425" s="152"/>
      <c r="AT425" s="152"/>
      <c r="AU425" s="152"/>
      <c r="AV425" s="152"/>
      <c r="AW425" s="152"/>
      <c r="AX425" s="152"/>
      <c r="AY425" s="152"/>
      <c r="AZ425" s="152"/>
      <c r="BA425" s="152"/>
      <c r="BB425" s="152"/>
      <c r="BC425" s="152"/>
    </row>
    <row r="426" customFormat="false" ht="15.75" hidden="false" customHeight="false" outlineLevel="0" collapsed="false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2"/>
      <c r="AI426" s="152"/>
      <c r="AJ426" s="152"/>
      <c r="AK426" s="152"/>
      <c r="AL426" s="152"/>
      <c r="AM426" s="152"/>
      <c r="AN426" s="152"/>
      <c r="AO426" s="152"/>
      <c r="AP426" s="152"/>
      <c r="AQ426" s="152"/>
      <c r="AR426" s="152"/>
      <c r="AS426" s="152"/>
      <c r="AT426" s="152"/>
      <c r="AU426" s="152"/>
      <c r="AV426" s="152"/>
      <c r="AW426" s="152"/>
      <c r="AX426" s="152"/>
      <c r="AY426" s="152"/>
      <c r="AZ426" s="152"/>
      <c r="BA426" s="152"/>
      <c r="BB426" s="152"/>
      <c r="BC426" s="152"/>
    </row>
    <row r="427" customFormat="false" ht="15.75" hidden="false" customHeight="false" outlineLevel="0" collapsed="false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2"/>
      <c r="AI427" s="152"/>
      <c r="AJ427" s="152"/>
      <c r="AK427" s="152"/>
      <c r="AL427" s="152"/>
      <c r="AM427" s="152"/>
      <c r="AN427" s="152"/>
      <c r="AO427" s="152"/>
      <c r="AP427" s="152"/>
      <c r="AQ427" s="152"/>
      <c r="AR427" s="152"/>
      <c r="AS427" s="152"/>
      <c r="AT427" s="152"/>
      <c r="AU427" s="152"/>
      <c r="AV427" s="152"/>
      <c r="AW427" s="152"/>
      <c r="AX427" s="152"/>
      <c r="AY427" s="152"/>
      <c r="AZ427" s="152"/>
      <c r="BA427" s="152"/>
      <c r="BB427" s="152"/>
      <c r="BC427" s="152"/>
    </row>
    <row r="428" customFormat="false" ht="15.75" hidden="false" customHeight="false" outlineLevel="0" collapsed="false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2"/>
      <c r="AI428" s="152"/>
      <c r="AJ428" s="152"/>
      <c r="AK428" s="152"/>
      <c r="AL428" s="152"/>
      <c r="AM428" s="152"/>
      <c r="AN428" s="152"/>
      <c r="AO428" s="152"/>
      <c r="AP428" s="152"/>
      <c r="AQ428" s="152"/>
      <c r="AR428" s="152"/>
      <c r="AS428" s="152"/>
      <c r="AT428" s="152"/>
      <c r="AU428" s="152"/>
      <c r="AV428" s="152"/>
      <c r="AW428" s="152"/>
      <c r="AX428" s="152"/>
      <c r="AY428" s="152"/>
      <c r="AZ428" s="152"/>
      <c r="BA428" s="152"/>
      <c r="BB428" s="152"/>
      <c r="BC428" s="152"/>
    </row>
    <row r="429" customFormat="false" ht="15.75" hidden="false" customHeight="false" outlineLevel="0" collapsed="false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2"/>
      <c r="AI429" s="152"/>
      <c r="AJ429" s="152"/>
      <c r="AK429" s="152"/>
      <c r="AL429" s="152"/>
      <c r="AM429" s="152"/>
      <c r="AN429" s="152"/>
      <c r="AO429" s="152"/>
      <c r="AP429" s="152"/>
      <c r="AQ429" s="152"/>
      <c r="AR429" s="152"/>
      <c r="AS429" s="152"/>
      <c r="AT429" s="152"/>
      <c r="AU429" s="152"/>
      <c r="AV429" s="152"/>
      <c r="AW429" s="152"/>
      <c r="AX429" s="152"/>
      <c r="AY429" s="152"/>
      <c r="AZ429" s="152"/>
      <c r="BA429" s="152"/>
      <c r="BB429" s="152"/>
      <c r="BC429" s="152"/>
    </row>
    <row r="430" customFormat="false" ht="15.75" hidden="false" customHeight="false" outlineLevel="0" collapsed="false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2"/>
      <c r="AI430" s="152"/>
      <c r="AJ430" s="152"/>
      <c r="AK430" s="152"/>
      <c r="AL430" s="152"/>
      <c r="AM430" s="152"/>
      <c r="AN430" s="152"/>
      <c r="AO430" s="152"/>
      <c r="AP430" s="152"/>
      <c r="AQ430" s="152"/>
      <c r="AR430" s="152"/>
      <c r="AS430" s="152"/>
      <c r="AT430" s="152"/>
      <c r="AU430" s="152"/>
      <c r="AV430" s="152"/>
      <c r="AW430" s="152"/>
      <c r="AX430" s="152"/>
      <c r="AY430" s="152"/>
      <c r="AZ430" s="152"/>
      <c r="BA430" s="152"/>
      <c r="BB430" s="152"/>
      <c r="BC430" s="152"/>
    </row>
    <row r="431" customFormat="false" ht="15.75" hidden="false" customHeight="false" outlineLevel="0" collapsed="false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2"/>
      <c r="AI431" s="152"/>
      <c r="AJ431" s="152"/>
      <c r="AK431" s="152"/>
      <c r="AL431" s="152"/>
      <c r="AM431" s="152"/>
      <c r="AN431" s="152"/>
      <c r="AO431" s="152"/>
      <c r="AP431" s="152"/>
      <c r="AQ431" s="152"/>
      <c r="AR431" s="152"/>
      <c r="AS431" s="152"/>
      <c r="AT431" s="152"/>
      <c r="AU431" s="152"/>
      <c r="AV431" s="152"/>
      <c r="AW431" s="152"/>
      <c r="AX431" s="152"/>
      <c r="AY431" s="152"/>
      <c r="AZ431" s="152"/>
      <c r="BA431" s="152"/>
      <c r="BB431" s="152"/>
      <c r="BC431" s="152"/>
    </row>
    <row r="432" customFormat="false" ht="15.75" hidden="false" customHeight="false" outlineLevel="0" collapsed="false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2"/>
      <c r="AI432" s="152"/>
      <c r="AJ432" s="152"/>
      <c r="AK432" s="152"/>
      <c r="AL432" s="152"/>
      <c r="AM432" s="152"/>
      <c r="AN432" s="152"/>
      <c r="AO432" s="152"/>
      <c r="AP432" s="152"/>
      <c r="AQ432" s="152"/>
      <c r="AR432" s="152"/>
      <c r="AS432" s="152"/>
      <c r="AT432" s="152"/>
      <c r="AU432" s="152"/>
      <c r="AV432" s="152"/>
      <c r="AW432" s="152"/>
      <c r="AX432" s="152"/>
      <c r="AY432" s="152"/>
      <c r="AZ432" s="152"/>
      <c r="BA432" s="152"/>
      <c r="BB432" s="152"/>
      <c r="BC432" s="152"/>
    </row>
    <row r="433" customFormat="false" ht="15.75" hidden="false" customHeight="false" outlineLevel="0" collapsed="false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2"/>
      <c r="AI433" s="152"/>
      <c r="AJ433" s="152"/>
      <c r="AK433" s="152"/>
      <c r="AL433" s="152"/>
      <c r="AM433" s="152"/>
      <c r="AN433" s="152"/>
      <c r="AO433" s="152"/>
      <c r="AP433" s="152"/>
      <c r="AQ433" s="152"/>
      <c r="AR433" s="152"/>
      <c r="AS433" s="152"/>
      <c r="AT433" s="152"/>
      <c r="AU433" s="152"/>
      <c r="AV433" s="152"/>
      <c r="AW433" s="152"/>
      <c r="AX433" s="152"/>
      <c r="AY433" s="152"/>
      <c r="AZ433" s="152"/>
      <c r="BA433" s="152"/>
      <c r="BB433" s="152"/>
      <c r="BC433" s="152"/>
    </row>
    <row r="434" customFormat="false" ht="15.75" hidden="false" customHeight="false" outlineLevel="0" collapsed="false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2"/>
      <c r="AI434" s="152"/>
      <c r="AJ434" s="152"/>
      <c r="AK434" s="152"/>
      <c r="AL434" s="152"/>
      <c r="AM434" s="152"/>
      <c r="AN434" s="152"/>
      <c r="AO434" s="152"/>
      <c r="AP434" s="152"/>
      <c r="AQ434" s="152"/>
      <c r="AR434" s="152"/>
      <c r="AS434" s="152"/>
      <c r="AT434" s="152"/>
      <c r="AU434" s="152"/>
      <c r="AV434" s="152"/>
      <c r="AW434" s="152"/>
      <c r="AX434" s="152"/>
      <c r="AY434" s="152"/>
      <c r="AZ434" s="152"/>
      <c r="BA434" s="152"/>
      <c r="BB434" s="152"/>
      <c r="BC434" s="152"/>
    </row>
    <row r="435" customFormat="false" ht="15.75" hidden="false" customHeight="false" outlineLevel="0" collapsed="false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2"/>
      <c r="AI435" s="152"/>
      <c r="AJ435" s="152"/>
      <c r="AK435" s="152"/>
      <c r="AL435" s="152"/>
      <c r="AM435" s="152"/>
      <c r="AN435" s="152"/>
      <c r="AO435" s="152"/>
      <c r="AP435" s="152"/>
      <c r="AQ435" s="152"/>
      <c r="AR435" s="152"/>
      <c r="AS435" s="152"/>
      <c r="AT435" s="152"/>
      <c r="AU435" s="152"/>
      <c r="AV435" s="152"/>
      <c r="AW435" s="152"/>
      <c r="AX435" s="152"/>
      <c r="AY435" s="152"/>
      <c r="AZ435" s="152"/>
      <c r="BA435" s="152"/>
      <c r="BB435" s="152"/>
      <c r="BC435" s="152"/>
    </row>
    <row r="436" customFormat="false" ht="15.75" hidden="false" customHeight="false" outlineLevel="0" collapsed="false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2"/>
      <c r="AI436" s="152"/>
      <c r="AJ436" s="152"/>
      <c r="AK436" s="152"/>
      <c r="AL436" s="152"/>
      <c r="AM436" s="152"/>
      <c r="AN436" s="152"/>
      <c r="AO436" s="152"/>
      <c r="AP436" s="152"/>
      <c r="AQ436" s="152"/>
      <c r="AR436" s="152"/>
      <c r="AS436" s="152"/>
      <c r="AT436" s="152"/>
      <c r="AU436" s="152"/>
      <c r="AV436" s="152"/>
      <c r="AW436" s="152"/>
      <c r="AX436" s="152"/>
      <c r="AY436" s="152"/>
      <c r="AZ436" s="152"/>
      <c r="BA436" s="152"/>
      <c r="BB436" s="152"/>
      <c r="BC436" s="152"/>
    </row>
    <row r="437" customFormat="false" ht="15.75" hidden="false" customHeight="false" outlineLevel="0" collapsed="false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2"/>
      <c r="AI437" s="152"/>
      <c r="AJ437" s="152"/>
      <c r="AK437" s="152"/>
      <c r="AL437" s="152"/>
      <c r="AM437" s="152"/>
      <c r="AN437" s="152"/>
      <c r="AO437" s="152"/>
      <c r="AP437" s="152"/>
      <c r="AQ437" s="152"/>
      <c r="AR437" s="152"/>
      <c r="AS437" s="152"/>
      <c r="AT437" s="152"/>
      <c r="AU437" s="152"/>
      <c r="AV437" s="152"/>
      <c r="AW437" s="152"/>
      <c r="AX437" s="152"/>
      <c r="AY437" s="152"/>
      <c r="AZ437" s="152"/>
      <c r="BA437" s="152"/>
      <c r="BB437" s="152"/>
      <c r="BC437" s="152"/>
    </row>
    <row r="438" customFormat="false" ht="15.75" hidden="false" customHeight="false" outlineLevel="0" collapsed="false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2"/>
      <c r="AI438" s="152"/>
      <c r="AJ438" s="152"/>
      <c r="AK438" s="152"/>
      <c r="AL438" s="152"/>
      <c r="AM438" s="152"/>
      <c r="AN438" s="152"/>
      <c r="AO438" s="152"/>
      <c r="AP438" s="152"/>
      <c r="AQ438" s="152"/>
      <c r="AR438" s="152"/>
      <c r="AS438" s="152"/>
      <c r="AT438" s="152"/>
      <c r="AU438" s="152"/>
      <c r="AV438" s="152"/>
      <c r="AW438" s="152"/>
      <c r="AX438" s="152"/>
      <c r="AY438" s="152"/>
      <c r="AZ438" s="152"/>
      <c r="BA438" s="152"/>
      <c r="BB438" s="152"/>
      <c r="BC438" s="152"/>
    </row>
    <row r="439" customFormat="false" ht="15.75" hidden="false" customHeight="false" outlineLevel="0" collapsed="false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2"/>
      <c r="AI439" s="152"/>
      <c r="AJ439" s="152"/>
      <c r="AK439" s="152"/>
      <c r="AL439" s="152"/>
      <c r="AM439" s="152"/>
      <c r="AN439" s="152"/>
      <c r="AO439" s="152"/>
      <c r="AP439" s="152"/>
      <c r="AQ439" s="152"/>
      <c r="AR439" s="152"/>
      <c r="AS439" s="152"/>
      <c r="AT439" s="152"/>
      <c r="AU439" s="152"/>
      <c r="AV439" s="152"/>
      <c r="AW439" s="152"/>
      <c r="AX439" s="152"/>
      <c r="AY439" s="152"/>
      <c r="AZ439" s="152"/>
      <c r="BA439" s="152"/>
      <c r="BB439" s="152"/>
      <c r="BC439" s="152"/>
    </row>
    <row r="440" customFormat="false" ht="15.75" hidden="false" customHeight="false" outlineLevel="0" collapsed="false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2"/>
      <c r="AI440" s="152"/>
      <c r="AJ440" s="152"/>
      <c r="AK440" s="152"/>
      <c r="AL440" s="152"/>
      <c r="AM440" s="152"/>
      <c r="AN440" s="152"/>
      <c r="AO440" s="152"/>
      <c r="AP440" s="152"/>
      <c r="AQ440" s="152"/>
      <c r="AR440" s="152"/>
      <c r="AS440" s="152"/>
      <c r="AT440" s="152"/>
      <c r="AU440" s="152"/>
      <c r="AV440" s="152"/>
      <c r="AW440" s="152"/>
      <c r="AX440" s="152"/>
      <c r="AY440" s="152"/>
      <c r="AZ440" s="152"/>
      <c r="BA440" s="152"/>
      <c r="BB440" s="152"/>
      <c r="BC440" s="152"/>
    </row>
    <row r="441" customFormat="false" ht="15.75" hidden="false" customHeight="false" outlineLevel="0" collapsed="false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2"/>
      <c r="AI441" s="152"/>
      <c r="AJ441" s="152"/>
      <c r="AK441" s="152"/>
      <c r="AL441" s="152"/>
      <c r="AM441" s="152"/>
      <c r="AN441" s="152"/>
      <c r="AO441" s="152"/>
      <c r="AP441" s="152"/>
      <c r="AQ441" s="152"/>
      <c r="AR441" s="152"/>
      <c r="AS441" s="152"/>
      <c r="AT441" s="152"/>
      <c r="AU441" s="152"/>
      <c r="AV441" s="152"/>
      <c r="AW441" s="152"/>
      <c r="AX441" s="152"/>
      <c r="AY441" s="152"/>
      <c r="AZ441" s="152"/>
      <c r="BA441" s="152"/>
      <c r="BB441" s="152"/>
      <c r="BC441" s="152"/>
    </row>
    <row r="442" customFormat="false" ht="15.75" hidden="false" customHeight="false" outlineLevel="0" collapsed="false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2"/>
      <c r="AI442" s="152"/>
      <c r="AJ442" s="152"/>
      <c r="AK442" s="152"/>
      <c r="AL442" s="152"/>
      <c r="AM442" s="152"/>
      <c r="AN442" s="152"/>
      <c r="AO442" s="152"/>
      <c r="AP442" s="152"/>
      <c r="AQ442" s="152"/>
      <c r="AR442" s="152"/>
      <c r="AS442" s="152"/>
      <c r="AT442" s="152"/>
      <c r="AU442" s="152"/>
      <c r="AV442" s="152"/>
      <c r="AW442" s="152"/>
      <c r="AX442" s="152"/>
      <c r="AY442" s="152"/>
      <c r="AZ442" s="152"/>
      <c r="BA442" s="152"/>
      <c r="BB442" s="152"/>
      <c r="BC442" s="152"/>
    </row>
    <row r="443" customFormat="false" ht="15.75" hidden="false" customHeight="false" outlineLevel="0" collapsed="false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2"/>
      <c r="AI443" s="152"/>
      <c r="AJ443" s="152"/>
      <c r="AK443" s="152"/>
      <c r="AL443" s="152"/>
      <c r="AM443" s="152"/>
      <c r="AN443" s="152"/>
      <c r="AO443" s="152"/>
      <c r="AP443" s="152"/>
      <c r="AQ443" s="152"/>
      <c r="AR443" s="152"/>
      <c r="AS443" s="152"/>
      <c r="AT443" s="152"/>
      <c r="AU443" s="152"/>
      <c r="AV443" s="152"/>
      <c r="AW443" s="152"/>
      <c r="AX443" s="152"/>
      <c r="AY443" s="152"/>
      <c r="AZ443" s="152"/>
      <c r="BA443" s="152"/>
      <c r="BB443" s="152"/>
      <c r="BC443" s="152"/>
    </row>
    <row r="444" customFormat="false" ht="15.75" hidden="false" customHeight="false" outlineLevel="0" collapsed="false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2"/>
      <c r="AI444" s="152"/>
      <c r="AJ444" s="152"/>
      <c r="AK444" s="152"/>
      <c r="AL444" s="152"/>
      <c r="AM444" s="152"/>
      <c r="AN444" s="152"/>
      <c r="AO444" s="152"/>
      <c r="AP444" s="152"/>
      <c r="AQ444" s="152"/>
      <c r="AR444" s="152"/>
      <c r="AS444" s="152"/>
      <c r="AT444" s="152"/>
      <c r="AU444" s="152"/>
      <c r="AV444" s="152"/>
      <c r="AW444" s="152"/>
      <c r="AX444" s="152"/>
      <c r="AY444" s="152"/>
      <c r="AZ444" s="152"/>
      <c r="BA444" s="152"/>
      <c r="BB444" s="152"/>
      <c r="BC444" s="152"/>
    </row>
    <row r="445" customFormat="false" ht="15.75" hidden="false" customHeight="false" outlineLevel="0" collapsed="false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  <c r="AG445" s="152"/>
      <c r="AH445" s="152"/>
      <c r="AI445" s="152"/>
      <c r="AJ445" s="152"/>
      <c r="AK445" s="152"/>
      <c r="AL445" s="152"/>
      <c r="AM445" s="152"/>
      <c r="AN445" s="152"/>
      <c r="AO445" s="152"/>
      <c r="AP445" s="152"/>
      <c r="AQ445" s="152"/>
      <c r="AR445" s="152"/>
      <c r="AS445" s="152"/>
      <c r="AT445" s="152"/>
      <c r="AU445" s="152"/>
      <c r="AV445" s="152"/>
      <c r="AW445" s="152"/>
      <c r="AX445" s="152"/>
      <c r="AY445" s="152"/>
      <c r="AZ445" s="152"/>
      <c r="BA445" s="152"/>
      <c r="BB445" s="152"/>
      <c r="BC445" s="152"/>
    </row>
    <row r="446" customFormat="false" ht="15.75" hidden="false" customHeight="false" outlineLevel="0" collapsed="false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2"/>
      <c r="AI446" s="152"/>
      <c r="AJ446" s="152"/>
      <c r="AK446" s="152"/>
      <c r="AL446" s="152"/>
      <c r="AM446" s="152"/>
      <c r="AN446" s="152"/>
      <c r="AO446" s="152"/>
      <c r="AP446" s="152"/>
      <c r="AQ446" s="152"/>
      <c r="AR446" s="152"/>
      <c r="AS446" s="152"/>
      <c r="AT446" s="152"/>
      <c r="AU446" s="152"/>
      <c r="AV446" s="152"/>
      <c r="AW446" s="152"/>
      <c r="AX446" s="152"/>
      <c r="AY446" s="152"/>
      <c r="AZ446" s="152"/>
      <c r="BA446" s="152"/>
      <c r="BB446" s="152"/>
      <c r="BC446" s="152"/>
    </row>
    <row r="447" customFormat="false" ht="15.75" hidden="false" customHeight="false" outlineLevel="0" collapsed="false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2"/>
      <c r="AI447" s="152"/>
      <c r="AJ447" s="152"/>
      <c r="AK447" s="152"/>
      <c r="AL447" s="152"/>
      <c r="AM447" s="152"/>
      <c r="AN447" s="152"/>
      <c r="AO447" s="152"/>
      <c r="AP447" s="152"/>
      <c r="AQ447" s="152"/>
      <c r="AR447" s="152"/>
      <c r="AS447" s="152"/>
      <c r="AT447" s="152"/>
      <c r="AU447" s="152"/>
      <c r="AV447" s="152"/>
      <c r="AW447" s="152"/>
      <c r="AX447" s="152"/>
      <c r="AY447" s="152"/>
      <c r="AZ447" s="152"/>
      <c r="BA447" s="152"/>
      <c r="BB447" s="152"/>
      <c r="BC447" s="152"/>
    </row>
    <row r="448" customFormat="false" ht="15.75" hidden="false" customHeight="false" outlineLevel="0" collapsed="false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2"/>
      <c r="AI448" s="152"/>
      <c r="AJ448" s="152"/>
      <c r="AK448" s="152"/>
      <c r="AL448" s="152"/>
      <c r="AM448" s="152"/>
      <c r="AN448" s="152"/>
      <c r="AO448" s="152"/>
      <c r="AP448" s="152"/>
      <c r="AQ448" s="152"/>
      <c r="AR448" s="152"/>
      <c r="AS448" s="152"/>
      <c r="AT448" s="152"/>
      <c r="AU448" s="152"/>
      <c r="AV448" s="152"/>
      <c r="AW448" s="152"/>
      <c r="AX448" s="152"/>
      <c r="AY448" s="152"/>
      <c r="AZ448" s="152"/>
      <c r="BA448" s="152"/>
      <c r="BB448" s="152"/>
      <c r="BC448" s="152"/>
    </row>
    <row r="449" customFormat="false" ht="15.75" hidden="false" customHeight="false" outlineLevel="0" collapsed="false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2"/>
      <c r="AI449" s="152"/>
      <c r="AJ449" s="152"/>
      <c r="AK449" s="152"/>
      <c r="AL449" s="152"/>
      <c r="AM449" s="152"/>
      <c r="AN449" s="152"/>
      <c r="AO449" s="152"/>
      <c r="AP449" s="152"/>
      <c r="AQ449" s="152"/>
      <c r="AR449" s="152"/>
      <c r="AS449" s="152"/>
      <c r="AT449" s="152"/>
      <c r="AU449" s="152"/>
      <c r="AV449" s="152"/>
      <c r="AW449" s="152"/>
      <c r="AX449" s="152"/>
      <c r="AY449" s="152"/>
      <c r="AZ449" s="152"/>
      <c r="BA449" s="152"/>
      <c r="BB449" s="152"/>
      <c r="BC449" s="152"/>
    </row>
    <row r="450" customFormat="false" ht="15.75" hidden="false" customHeight="false" outlineLevel="0" collapsed="false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2"/>
      <c r="AI450" s="152"/>
      <c r="AJ450" s="152"/>
      <c r="AK450" s="152"/>
      <c r="AL450" s="152"/>
      <c r="AM450" s="152"/>
      <c r="AN450" s="152"/>
      <c r="AO450" s="152"/>
      <c r="AP450" s="152"/>
      <c r="AQ450" s="152"/>
      <c r="AR450" s="152"/>
      <c r="AS450" s="152"/>
      <c r="AT450" s="152"/>
      <c r="AU450" s="152"/>
      <c r="AV450" s="152"/>
      <c r="AW450" s="152"/>
      <c r="AX450" s="152"/>
      <c r="AY450" s="152"/>
      <c r="AZ450" s="152"/>
      <c r="BA450" s="152"/>
      <c r="BB450" s="152"/>
      <c r="BC450" s="152"/>
    </row>
    <row r="451" customFormat="false" ht="15.75" hidden="false" customHeight="false" outlineLevel="0" collapsed="false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2"/>
      <c r="AI451" s="152"/>
      <c r="AJ451" s="152"/>
      <c r="AK451" s="152"/>
      <c r="AL451" s="152"/>
      <c r="AM451" s="152"/>
      <c r="AN451" s="152"/>
      <c r="AO451" s="152"/>
      <c r="AP451" s="152"/>
      <c r="AQ451" s="152"/>
      <c r="AR451" s="152"/>
      <c r="AS451" s="152"/>
      <c r="AT451" s="152"/>
      <c r="AU451" s="152"/>
      <c r="AV451" s="152"/>
      <c r="AW451" s="152"/>
      <c r="AX451" s="152"/>
      <c r="AY451" s="152"/>
      <c r="AZ451" s="152"/>
      <c r="BA451" s="152"/>
      <c r="BB451" s="152"/>
      <c r="BC451" s="152"/>
    </row>
    <row r="452" customFormat="false" ht="15.75" hidden="false" customHeight="false" outlineLevel="0" collapsed="false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2"/>
      <c r="AI452" s="152"/>
      <c r="AJ452" s="152"/>
      <c r="AK452" s="152"/>
      <c r="AL452" s="152"/>
      <c r="AM452" s="152"/>
      <c r="AN452" s="152"/>
      <c r="AO452" s="152"/>
      <c r="AP452" s="152"/>
      <c r="AQ452" s="152"/>
      <c r="AR452" s="152"/>
      <c r="AS452" s="152"/>
      <c r="AT452" s="152"/>
      <c r="AU452" s="152"/>
      <c r="AV452" s="152"/>
      <c r="AW452" s="152"/>
      <c r="AX452" s="152"/>
      <c r="AY452" s="152"/>
      <c r="AZ452" s="152"/>
      <c r="BA452" s="152"/>
      <c r="BB452" s="152"/>
      <c r="BC452" s="152"/>
    </row>
    <row r="453" customFormat="false" ht="15.75" hidden="false" customHeight="false" outlineLevel="0" collapsed="false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2"/>
      <c r="AI453" s="152"/>
      <c r="AJ453" s="152"/>
      <c r="AK453" s="152"/>
      <c r="AL453" s="152"/>
      <c r="AM453" s="152"/>
      <c r="AN453" s="152"/>
      <c r="AO453" s="152"/>
      <c r="AP453" s="152"/>
      <c r="AQ453" s="152"/>
      <c r="AR453" s="152"/>
      <c r="AS453" s="152"/>
      <c r="AT453" s="152"/>
      <c r="AU453" s="152"/>
      <c r="AV453" s="152"/>
      <c r="AW453" s="152"/>
      <c r="AX453" s="152"/>
      <c r="AY453" s="152"/>
      <c r="AZ453" s="152"/>
      <c r="BA453" s="152"/>
      <c r="BB453" s="152"/>
      <c r="BC453" s="152"/>
    </row>
    <row r="454" customFormat="false" ht="15.75" hidden="false" customHeight="false" outlineLevel="0" collapsed="false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2"/>
      <c r="AI454" s="152"/>
      <c r="AJ454" s="152"/>
      <c r="AK454" s="152"/>
      <c r="AL454" s="152"/>
      <c r="AM454" s="152"/>
      <c r="AN454" s="152"/>
      <c r="AO454" s="152"/>
      <c r="AP454" s="152"/>
      <c r="AQ454" s="152"/>
      <c r="AR454" s="152"/>
      <c r="AS454" s="152"/>
      <c r="AT454" s="152"/>
      <c r="AU454" s="152"/>
      <c r="AV454" s="152"/>
      <c r="AW454" s="152"/>
      <c r="AX454" s="152"/>
      <c r="AY454" s="152"/>
      <c r="AZ454" s="152"/>
      <c r="BA454" s="152"/>
      <c r="BB454" s="152"/>
      <c r="BC454" s="152"/>
    </row>
    <row r="455" customFormat="false" ht="15.75" hidden="false" customHeight="false" outlineLevel="0" collapsed="false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2"/>
      <c r="AI455" s="152"/>
      <c r="AJ455" s="152"/>
      <c r="AK455" s="152"/>
      <c r="AL455" s="152"/>
      <c r="AM455" s="152"/>
      <c r="AN455" s="152"/>
      <c r="AO455" s="152"/>
      <c r="AP455" s="152"/>
      <c r="AQ455" s="152"/>
      <c r="AR455" s="152"/>
      <c r="AS455" s="152"/>
      <c r="AT455" s="152"/>
      <c r="AU455" s="152"/>
      <c r="AV455" s="152"/>
      <c r="AW455" s="152"/>
      <c r="AX455" s="152"/>
      <c r="AY455" s="152"/>
      <c r="AZ455" s="152"/>
      <c r="BA455" s="152"/>
      <c r="BB455" s="152"/>
      <c r="BC455" s="152"/>
    </row>
    <row r="456" customFormat="false" ht="15.75" hidden="false" customHeight="false" outlineLevel="0" collapsed="false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2"/>
      <c r="AI456" s="152"/>
      <c r="AJ456" s="152"/>
      <c r="AK456" s="152"/>
      <c r="AL456" s="152"/>
      <c r="AM456" s="152"/>
      <c r="AN456" s="152"/>
      <c r="AO456" s="152"/>
      <c r="AP456" s="152"/>
      <c r="AQ456" s="152"/>
      <c r="AR456" s="152"/>
      <c r="AS456" s="152"/>
      <c r="AT456" s="152"/>
      <c r="AU456" s="152"/>
      <c r="AV456" s="152"/>
      <c r="AW456" s="152"/>
      <c r="AX456" s="152"/>
      <c r="AY456" s="152"/>
      <c r="AZ456" s="152"/>
      <c r="BA456" s="152"/>
      <c r="BB456" s="152"/>
      <c r="BC456" s="152"/>
    </row>
    <row r="457" customFormat="false" ht="15.75" hidden="false" customHeight="false" outlineLevel="0" collapsed="false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2"/>
      <c r="AI457" s="152"/>
      <c r="AJ457" s="152"/>
      <c r="AK457" s="152"/>
      <c r="AL457" s="152"/>
      <c r="AM457" s="152"/>
      <c r="AN457" s="152"/>
      <c r="AO457" s="152"/>
      <c r="AP457" s="152"/>
      <c r="AQ457" s="152"/>
      <c r="AR457" s="152"/>
      <c r="AS457" s="152"/>
      <c r="AT457" s="152"/>
      <c r="AU457" s="152"/>
      <c r="AV457" s="152"/>
      <c r="AW457" s="152"/>
      <c r="AX457" s="152"/>
      <c r="AY457" s="152"/>
      <c r="AZ457" s="152"/>
      <c r="BA457" s="152"/>
      <c r="BB457" s="152"/>
      <c r="BC457" s="152"/>
    </row>
    <row r="458" customFormat="false" ht="15.75" hidden="false" customHeight="false" outlineLevel="0" collapsed="false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2"/>
      <c r="AI458" s="152"/>
      <c r="AJ458" s="152"/>
      <c r="AK458" s="152"/>
      <c r="AL458" s="152"/>
      <c r="AM458" s="152"/>
      <c r="AN458" s="152"/>
      <c r="AO458" s="152"/>
      <c r="AP458" s="152"/>
      <c r="AQ458" s="152"/>
      <c r="AR458" s="152"/>
      <c r="AS458" s="152"/>
      <c r="AT458" s="152"/>
      <c r="AU458" s="152"/>
      <c r="AV458" s="152"/>
      <c r="AW458" s="152"/>
      <c r="AX458" s="152"/>
      <c r="AY458" s="152"/>
      <c r="AZ458" s="152"/>
      <c r="BA458" s="152"/>
      <c r="BB458" s="152"/>
      <c r="BC458" s="152"/>
    </row>
    <row r="459" customFormat="false" ht="15.75" hidden="false" customHeight="false" outlineLevel="0" collapsed="false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2"/>
      <c r="AI459" s="152"/>
      <c r="AJ459" s="152"/>
      <c r="AK459" s="152"/>
      <c r="AL459" s="152"/>
      <c r="AM459" s="152"/>
      <c r="AN459" s="152"/>
      <c r="AO459" s="152"/>
      <c r="AP459" s="152"/>
      <c r="AQ459" s="152"/>
      <c r="AR459" s="152"/>
      <c r="AS459" s="152"/>
      <c r="AT459" s="152"/>
      <c r="AU459" s="152"/>
      <c r="AV459" s="152"/>
      <c r="AW459" s="152"/>
      <c r="AX459" s="152"/>
      <c r="AY459" s="152"/>
      <c r="AZ459" s="152"/>
      <c r="BA459" s="152"/>
      <c r="BB459" s="152"/>
      <c r="BC459" s="152"/>
    </row>
    <row r="460" customFormat="false" ht="15.75" hidden="false" customHeight="false" outlineLevel="0" collapsed="false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2"/>
      <c r="AI460" s="152"/>
      <c r="AJ460" s="152"/>
      <c r="AK460" s="152"/>
      <c r="AL460" s="152"/>
      <c r="AM460" s="152"/>
      <c r="AN460" s="152"/>
      <c r="AO460" s="152"/>
      <c r="AP460" s="152"/>
      <c r="AQ460" s="152"/>
      <c r="AR460" s="152"/>
      <c r="AS460" s="152"/>
      <c r="AT460" s="152"/>
      <c r="AU460" s="152"/>
      <c r="AV460" s="152"/>
      <c r="AW460" s="152"/>
      <c r="AX460" s="152"/>
      <c r="AY460" s="152"/>
      <c r="AZ460" s="152"/>
      <c r="BA460" s="152"/>
      <c r="BB460" s="152"/>
      <c r="BC460" s="152"/>
    </row>
    <row r="461" customFormat="false" ht="15.75" hidden="false" customHeight="false" outlineLevel="0" collapsed="false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2"/>
      <c r="AI461" s="152"/>
      <c r="AJ461" s="152"/>
      <c r="AK461" s="152"/>
      <c r="AL461" s="152"/>
      <c r="AM461" s="152"/>
      <c r="AN461" s="152"/>
      <c r="AO461" s="152"/>
      <c r="AP461" s="152"/>
      <c r="AQ461" s="152"/>
      <c r="AR461" s="152"/>
      <c r="AS461" s="152"/>
      <c r="AT461" s="152"/>
      <c r="AU461" s="152"/>
      <c r="AV461" s="152"/>
      <c r="AW461" s="152"/>
      <c r="AX461" s="152"/>
      <c r="AY461" s="152"/>
      <c r="AZ461" s="152"/>
      <c r="BA461" s="152"/>
      <c r="BB461" s="152"/>
      <c r="BC461" s="152"/>
    </row>
    <row r="462" customFormat="false" ht="15.75" hidden="false" customHeight="false" outlineLevel="0" collapsed="false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2"/>
      <c r="AI462" s="152"/>
      <c r="AJ462" s="152"/>
      <c r="AK462" s="152"/>
      <c r="AL462" s="152"/>
      <c r="AM462" s="152"/>
      <c r="AN462" s="152"/>
      <c r="AO462" s="152"/>
      <c r="AP462" s="152"/>
      <c r="AQ462" s="152"/>
      <c r="AR462" s="152"/>
      <c r="AS462" s="152"/>
      <c r="AT462" s="152"/>
      <c r="AU462" s="152"/>
      <c r="AV462" s="152"/>
      <c r="AW462" s="152"/>
      <c r="AX462" s="152"/>
      <c r="AY462" s="152"/>
      <c r="AZ462" s="152"/>
      <c r="BA462" s="152"/>
      <c r="BB462" s="152"/>
      <c r="BC462" s="152"/>
    </row>
    <row r="463" customFormat="false" ht="15.75" hidden="false" customHeight="false" outlineLevel="0" collapsed="false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2"/>
      <c r="AI463" s="152"/>
      <c r="AJ463" s="152"/>
      <c r="AK463" s="152"/>
      <c r="AL463" s="152"/>
      <c r="AM463" s="152"/>
      <c r="AN463" s="152"/>
      <c r="AO463" s="152"/>
      <c r="AP463" s="152"/>
      <c r="AQ463" s="152"/>
      <c r="AR463" s="152"/>
      <c r="AS463" s="152"/>
      <c r="AT463" s="152"/>
      <c r="AU463" s="152"/>
      <c r="AV463" s="152"/>
      <c r="AW463" s="152"/>
      <c r="AX463" s="152"/>
      <c r="AY463" s="152"/>
      <c r="AZ463" s="152"/>
      <c r="BA463" s="152"/>
      <c r="BB463" s="152"/>
      <c r="BC463" s="152"/>
    </row>
    <row r="464" customFormat="false" ht="15.75" hidden="false" customHeight="false" outlineLevel="0" collapsed="false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2"/>
      <c r="AI464" s="152"/>
      <c r="AJ464" s="152"/>
      <c r="AK464" s="152"/>
      <c r="AL464" s="152"/>
      <c r="AM464" s="152"/>
      <c r="AN464" s="152"/>
      <c r="AO464" s="152"/>
      <c r="AP464" s="152"/>
      <c r="AQ464" s="152"/>
      <c r="AR464" s="152"/>
      <c r="AS464" s="152"/>
      <c r="AT464" s="152"/>
      <c r="AU464" s="152"/>
      <c r="AV464" s="152"/>
      <c r="AW464" s="152"/>
      <c r="AX464" s="152"/>
      <c r="AY464" s="152"/>
      <c r="AZ464" s="152"/>
      <c r="BA464" s="152"/>
      <c r="BB464" s="152"/>
      <c r="BC464" s="152"/>
    </row>
    <row r="465" customFormat="false" ht="15.75" hidden="false" customHeight="false" outlineLevel="0" collapsed="false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2"/>
      <c r="AI465" s="152"/>
      <c r="AJ465" s="152"/>
      <c r="AK465" s="152"/>
      <c r="AL465" s="152"/>
      <c r="AM465" s="152"/>
      <c r="AN465" s="152"/>
      <c r="AO465" s="152"/>
      <c r="AP465" s="152"/>
      <c r="AQ465" s="152"/>
      <c r="AR465" s="152"/>
      <c r="AS465" s="152"/>
      <c r="AT465" s="152"/>
      <c r="AU465" s="152"/>
      <c r="AV465" s="152"/>
      <c r="AW465" s="152"/>
      <c r="AX465" s="152"/>
      <c r="AY465" s="152"/>
      <c r="AZ465" s="152"/>
      <c r="BA465" s="152"/>
      <c r="BB465" s="152"/>
      <c r="BC465" s="152"/>
    </row>
    <row r="466" customFormat="false" ht="15.75" hidden="false" customHeight="false" outlineLevel="0" collapsed="false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2"/>
      <c r="AI466" s="152"/>
      <c r="AJ466" s="152"/>
      <c r="AK466" s="152"/>
      <c r="AL466" s="152"/>
      <c r="AM466" s="152"/>
      <c r="AN466" s="152"/>
      <c r="AO466" s="152"/>
      <c r="AP466" s="152"/>
      <c r="AQ466" s="152"/>
      <c r="AR466" s="152"/>
      <c r="AS466" s="152"/>
      <c r="AT466" s="152"/>
      <c r="AU466" s="152"/>
      <c r="AV466" s="152"/>
      <c r="AW466" s="152"/>
      <c r="AX466" s="152"/>
      <c r="AY466" s="152"/>
      <c r="AZ466" s="152"/>
      <c r="BA466" s="152"/>
      <c r="BB466" s="152"/>
      <c r="BC466" s="152"/>
    </row>
    <row r="467" customFormat="false" ht="15.75" hidden="false" customHeight="false" outlineLevel="0" collapsed="false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2"/>
      <c r="AI467" s="152"/>
      <c r="AJ467" s="152"/>
      <c r="AK467" s="152"/>
      <c r="AL467" s="152"/>
      <c r="AM467" s="152"/>
      <c r="AN467" s="152"/>
      <c r="AO467" s="152"/>
      <c r="AP467" s="152"/>
      <c r="AQ467" s="152"/>
      <c r="AR467" s="152"/>
      <c r="AS467" s="152"/>
      <c r="AT467" s="152"/>
      <c r="AU467" s="152"/>
      <c r="AV467" s="152"/>
      <c r="AW467" s="152"/>
      <c r="AX467" s="152"/>
      <c r="AY467" s="152"/>
      <c r="AZ467" s="152"/>
      <c r="BA467" s="152"/>
      <c r="BB467" s="152"/>
      <c r="BC467" s="152"/>
    </row>
    <row r="468" customFormat="false" ht="15.75" hidden="false" customHeight="false" outlineLevel="0" collapsed="false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2"/>
      <c r="AI468" s="152"/>
      <c r="AJ468" s="152"/>
      <c r="AK468" s="152"/>
      <c r="AL468" s="152"/>
      <c r="AM468" s="152"/>
      <c r="AN468" s="152"/>
      <c r="AO468" s="152"/>
      <c r="AP468" s="152"/>
      <c r="AQ468" s="152"/>
      <c r="AR468" s="152"/>
      <c r="AS468" s="152"/>
      <c r="AT468" s="152"/>
      <c r="AU468" s="152"/>
      <c r="AV468" s="152"/>
      <c r="AW468" s="152"/>
      <c r="AX468" s="152"/>
      <c r="AY468" s="152"/>
      <c r="AZ468" s="152"/>
      <c r="BA468" s="152"/>
      <c r="BB468" s="152"/>
      <c r="BC468" s="152"/>
    </row>
    <row r="469" customFormat="false" ht="15.75" hidden="false" customHeight="false" outlineLevel="0" collapsed="false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2"/>
      <c r="AI469" s="152"/>
      <c r="AJ469" s="152"/>
      <c r="AK469" s="152"/>
      <c r="AL469" s="152"/>
      <c r="AM469" s="152"/>
      <c r="AN469" s="152"/>
      <c r="AO469" s="152"/>
      <c r="AP469" s="152"/>
      <c r="AQ469" s="152"/>
      <c r="AR469" s="152"/>
      <c r="AS469" s="152"/>
      <c r="AT469" s="152"/>
      <c r="AU469" s="152"/>
      <c r="AV469" s="152"/>
      <c r="AW469" s="152"/>
      <c r="AX469" s="152"/>
      <c r="AY469" s="152"/>
      <c r="AZ469" s="152"/>
      <c r="BA469" s="152"/>
      <c r="BB469" s="152"/>
      <c r="BC469" s="152"/>
    </row>
    <row r="470" customFormat="false" ht="15.75" hidden="false" customHeight="false" outlineLevel="0" collapsed="false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2"/>
      <c r="AI470" s="152"/>
      <c r="AJ470" s="152"/>
      <c r="AK470" s="152"/>
      <c r="AL470" s="152"/>
      <c r="AM470" s="152"/>
      <c r="AN470" s="152"/>
      <c r="AO470" s="152"/>
      <c r="AP470" s="152"/>
      <c r="AQ470" s="152"/>
      <c r="AR470" s="152"/>
      <c r="AS470" s="152"/>
      <c r="AT470" s="152"/>
      <c r="AU470" s="152"/>
      <c r="AV470" s="152"/>
      <c r="AW470" s="152"/>
      <c r="AX470" s="152"/>
      <c r="AY470" s="152"/>
      <c r="AZ470" s="152"/>
      <c r="BA470" s="152"/>
      <c r="BB470" s="152"/>
      <c r="BC470" s="152"/>
    </row>
    <row r="471" customFormat="false" ht="15.75" hidden="false" customHeight="false" outlineLevel="0" collapsed="false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2"/>
      <c r="AI471" s="152"/>
      <c r="AJ471" s="152"/>
      <c r="AK471" s="152"/>
      <c r="AL471" s="152"/>
      <c r="AM471" s="152"/>
      <c r="AN471" s="152"/>
      <c r="AO471" s="152"/>
      <c r="AP471" s="152"/>
      <c r="AQ471" s="152"/>
      <c r="AR471" s="152"/>
      <c r="AS471" s="152"/>
      <c r="AT471" s="152"/>
      <c r="AU471" s="152"/>
      <c r="AV471" s="152"/>
      <c r="AW471" s="152"/>
      <c r="AX471" s="152"/>
      <c r="AY471" s="152"/>
      <c r="AZ471" s="152"/>
      <c r="BA471" s="152"/>
      <c r="BB471" s="152"/>
      <c r="BC471" s="152"/>
    </row>
    <row r="472" customFormat="false" ht="15.75" hidden="false" customHeight="false" outlineLevel="0" collapsed="false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2"/>
      <c r="AI472" s="152"/>
      <c r="AJ472" s="152"/>
      <c r="AK472" s="152"/>
      <c r="AL472" s="152"/>
      <c r="AM472" s="152"/>
      <c r="AN472" s="152"/>
      <c r="AO472" s="152"/>
      <c r="AP472" s="152"/>
      <c r="AQ472" s="152"/>
      <c r="AR472" s="152"/>
      <c r="AS472" s="152"/>
      <c r="AT472" s="152"/>
      <c r="AU472" s="152"/>
      <c r="AV472" s="152"/>
      <c r="AW472" s="152"/>
      <c r="AX472" s="152"/>
      <c r="AY472" s="152"/>
      <c r="AZ472" s="152"/>
      <c r="BA472" s="152"/>
      <c r="BB472" s="152"/>
      <c r="BC472" s="152"/>
    </row>
    <row r="473" customFormat="false" ht="15.75" hidden="false" customHeight="false" outlineLevel="0" collapsed="false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2"/>
      <c r="AI473" s="152"/>
      <c r="AJ473" s="152"/>
      <c r="AK473" s="152"/>
      <c r="AL473" s="152"/>
      <c r="AM473" s="152"/>
      <c r="AN473" s="152"/>
      <c r="AO473" s="152"/>
      <c r="AP473" s="152"/>
      <c r="AQ473" s="152"/>
      <c r="AR473" s="152"/>
      <c r="AS473" s="152"/>
      <c r="AT473" s="152"/>
      <c r="AU473" s="152"/>
      <c r="AV473" s="152"/>
      <c r="AW473" s="152"/>
      <c r="AX473" s="152"/>
      <c r="AY473" s="152"/>
      <c r="AZ473" s="152"/>
      <c r="BA473" s="152"/>
      <c r="BB473" s="152"/>
      <c r="BC473" s="152"/>
    </row>
    <row r="474" customFormat="false" ht="15.75" hidden="false" customHeight="false" outlineLevel="0" collapsed="false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2"/>
      <c r="AI474" s="152"/>
      <c r="AJ474" s="152"/>
      <c r="AK474" s="152"/>
      <c r="AL474" s="152"/>
      <c r="AM474" s="152"/>
      <c r="AN474" s="152"/>
      <c r="AO474" s="152"/>
      <c r="AP474" s="152"/>
      <c r="AQ474" s="152"/>
      <c r="AR474" s="152"/>
      <c r="AS474" s="152"/>
      <c r="AT474" s="152"/>
      <c r="AU474" s="152"/>
      <c r="AV474" s="152"/>
      <c r="AW474" s="152"/>
      <c r="AX474" s="152"/>
      <c r="AY474" s="152"/>
      <c r="AZ474" s="152"/>
      <c r="BA474" s="152"/>
      <c r="BB474" s="152"/>
      <c r="BC474" s="152"/>
    </row>
    <row r="475" customFormat="false" ht="15.75" hidden="false" customHeight="false" outlineLevel="0" collapsed="false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2"/>
      <c r="AI475" s="152"/>
      <c r="AJ475" s="152"/>
      <c r="AK475" s="152"/>
      <c r="AL475" s="152"/>
      <c r="AM475" s="152"/>
      <c r="AN475" s="152"/>
      <c r="AO475" s="152"/>
      <c r="AP475" s="152"/>
      <c r="AQ475" s="152"/>
      <c r="AR475" s="152"/>
      <c r="AS475" s="152"/>
      <c r="AT475" s="152"/>
      <c r="AU475" s="152"/>
      <c r="AV475" s="152"/>
      <c r="AW475" s="152"/>
      <c r="AX475" s="152"/>
      <c r="AY475" s="152"/>
      <c r="AZ475" s="152"/>
      <c r="BA475" s="152"/>
      <c r="BB475" s="152"/>
      <c r="BC475" s="152"/>
    </row>
    <row r="476" customFormat="false" ht="15.75" hidden="false" customHeight="false" outlineLevel="0" collapsed="false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2"/>
      <c r="AI476" s="152"/>
      <c r="AJ476" s="152"/>
      <c r="AK476" s="152"/>
      <c r="AL476" s="152"/>
      <c r="AM476" s="152"/>
      <c r="AN476" s="152"/>
      <c r="AO476" s="152"/>
      <c r="AP476" s="152"/>
      <c r="AQ476" s="152"/>
      <c r="AR476" s="152"/>
      <c r="AS476" s="152"/>
      <c r="AT476" s="152"/>
      <c r="AU476" s="152"/>
      <c r="AV476" s="152"/>
      <c r="AW476" s="152"/>
      <c r="AX476" s="152"/>
      <c r="AY476" s="152"/>
      <c r="AZ476" s="152"/>
      <c r="BA476" s="152"/>
      <c r="BB476" s="152"/>
      <c r="BC476" s="152"/>
    </row>
    <row r="477" customFormat="false" ht="15.75" hidden="false" customHeight="false" outlineLevel="0" collapsed="false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2"/>
      <c r="AI477" s="152"/>
      <c r="AJ477" s="152"/>
      <c r="AK477" s="152"/>
      <c r="AL477" s="152"/>
      <c r="AM477" s="152"/>
      <c r="AN477" s="152"/>
      <c r="AO477" s="152"/>
      <c r="AP477" s="152"/>
      <c r="AQ477" s="152"/>
      <c r="AR477" s="152"/>
      <c r="AS477" s="152"/>
      <c r="AT477" s="152"/>
      <c r="AU477" s="152"/>
      <c r="AV477" s="152"/>
      <c r="AW477" s="152"/>
      <c r="AX477" s="152"/>
      <c r="AY477" s="152"/>
      <c r="AZ477" s="152"/>
      <c r="BA477" s="152"/>
      <c r="BB477" s="152"/>
      <c r="BC477" s="152"/>
    </row>
    <row r="478" customFormat="false" ht="15.75" hidden="false" customHeight="false" outlineLevel="0" collapsed="false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2"/>
      <c r="AI478" s="152"/>
      <c r="AJ478" s="152"/>
      <c r="AK478" s="152"/>
      <c r="AL478" s="152"/>
      <c r="AM478" s="152"/>
      <c r="AN478" s="152"/>
      <c r="AO478" s="152"/>
      <c r="AP478" s="152"/>
      <c r="AQ478" s="152"/>
      <c r="AR478" s="152"/>
      <c r="AS478" s="152"/>
      <c r="AT478" s="152"/>
      <c r="AU478" s="152"/>
      <c r="AV478" s="152"/>
      <c r="AW478" s="152"/>
      <c r="AX478" s="152"/>
      <c r="AY478" s="152"/>
      <c r="AZ478" s="152"/>
      <c r="BA478" s="152"/>
      <c r="BB478" s="152"/>
      <c r="BC478" s="152"/>
    </row>
    <row r="479" customFormat="false" ht="15.75" hidden="false" customHeight="false" outlineLevel="0" collapsed="false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2"/>
      <c r="AI479" s="152"/>
      <c r="AJ479" s="152"/>
      <c r="AK479" s="152"/>
      <c r="AL479" s="152"/>
      <c r="AM479" s="152"/>
      <c r="AN479" s="152"/>
      <c r="AO479" s="152"/>
      <c r="AP479" s="152"/>
      <c r="AQ479" s="152"/>
      <c r="AR479" s="152"/>
      <c r="AS479" s="152"/>
      <c r="AT479" s="152"/>
      <c r="AU479" s="152"/>
      <c r="AV479" s="152"/>
      <c r="AW479" s="152"/>
      <c r="AX479" s="152"/>
      <c r="AY479" s="152"/>
      <c r="AZ479" s="152"/>
      <c r="BA479" s="152"/>
      <c r="BB479" s="152"/>
      <c r="BC479" s="152"/>
    </row>
    <row r="480" customFormat="false" ht="15.75" hidden="false" customHeight="false" outlineLevel="0" collapsed="false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2"/>
      <c r="AI480" s="152"/>
      <c r="AJ480" s="152"/>
      <c r="AK480" s="152"/>
      <c r="AL480" s="152"/>
      <c r="AM480" s="152"/>
      <c r="AN480" s="152"/>
      <c r="AO480" s="152"/>
      <c r="AP480" s="152"/>
      <c r="AQ480" s="152"/>
      <c r="AR480" s="152"/>
      <c r="AS480" s="152"/>
      <c r="AT480" s="152"/>
      <c r="AU480" s="152"/>
      <c r="AV480" s="152"/>
      <c r="AW480" s="152"/>
      <c r="AX480" s="152"/>
      <c r="AY480" s="152"/>
      <c r="AZ480" s="152"/>
      <c r="BA480" s="152"/>
      <c r="BB480" s="152"/>
      <c r="BC480" s="152"/>
    </row>
    <row r="481" customFormat="false" ht="15.75" hidden="false" customHeight="false" outlineLevel="0" collapsed="false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2"/>
      <c r="AI481" s="152"/>
      <c r="AJ481" s="152"/>
      <c r="AK481" s="152"/>
      <c r="AL481" s="152"/>
      <c r="AM481" s="152"/>
      <c r="AN481" s="152"/>
      <c r="AO481" s="152"/>
      <c r="AP481" s="152"/>
      <c r="AQ481" s="152"/>
      <c r="AR481" s="152"/>
      <c r="AS481" s="152"/>
      <c r="AT481" s="152"/>
      <c r="AU481" s="152"/>
      <c r="AV481" s="152"/>
      <c r="AW481" s="152"/>
      <c r="AX481" s="152"/>
      <c r="AY481" s="152"/>
      <c r="AZ481" s="152"/>
      <c r="BA481" s="152"/>
      <c r="BB481" s="152"/>
      <c r="BC481" s="152"/>
    </row>
    <row r="482" customFormat="false" ht="15.75" hidden="false" customHeight="false" outlineLevel="0" collapsed="false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2"/>
      <c r="AI482" s="152"/>
      <c r="AJ482" s="152"/>
      <c r="AK482" s="152"/>
      <c r="AL482" s="152"/>
      <c r="AM482" s="152"/>
      <c r="AN482" s="152"/>
      <c r="AO482" s="152"/>
      <c r="AP482" s="152"/>
      <c r="AQ482" s="152"/>
      <c r="AR482" s="152"/>
      <c r="AS482" s="152"/>
      <c r="AT482" s="152"/>
      <c r="AU482" s="152"/>
      <c r="AV482" s="152"/>
      <c r="AW482" s="152"/>
      <c r="AX482" s="152"/>
      <c r="AY482" s="152"/>
      <c r="AZ482" s="152"/>
      <c r="BA482" s="152"/>
      <c r="BB482" s="152"/>
      <c r="BC482" s="152"/>
    </row>
    <row r="483" customFormat="false" ht="15.75" hidden="false" customHeight="false" outlineLevel="0" collapsed="false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2"/>
      <c r="AI483" s="152"/>
      <c r="AJ483" s="152"/>
      <c r="AK483" s="152"/>
      <c r="AL483" s="152"/>
      <c r="AM483" s="152"/>
      <c r="AN483" s="152"/>
      <c r="AO483" s="152"/>
      <c r="AP483" s="152"/>
      <c r="AQ483" s="152"/>
      <c r="AR483" s="152"/>
      <c r="AS483" s="152"/>
      <c r="AT483" s="152"/>
      <c r="AU483" s="152"/>
      <c r="AV483" s="152"/>
      <c r="AW483" s="152"/>
      <c r="AX483" s="152"/>
      <c r="AY483" s="152"/>
      <c r="AZ483" s="152"/>
      <c r="BA483" s="152"/>
      <c r="BB483" s="152"/>
      <c r="BC483" s="152"/>
    </row>
    <row r="484" customFormat="false" ht="15.75" hidden="false" customHeight="false" outlineLevel="0" collapsed="false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2"/>
      <c r="AI484" s="152"/>
      <c r="AJ484" s="152"/>
      <c r="AK484" s="152"/>
      <c r="AL484" s="152"/>
      <c r="AM484" s="152"/>
      <c r="AN484" s="152"/>
      <c r="AO484" s="152"/>
      <c r="AP484" s="152"/>
      <c r="AQ484" s="152"/>
      <c r="AR484" s="152"/>
      <c r="AS484" s="152"/>
      <c r="AT484" s="152"/>
      <c r="AU484" s="152"/>
      <c r="AV484" s="152"/>
      <c r="AW484" s="152"/>
      <c r="AX484" s="152"/>
      <c r="AY484" s="152"/>
      <c r="AZ484" s="152"/>
      <c r="BA484" s="152"/>
      <c r="BB484" s="152"/>
      <c r="BC484" s="152"/>
    </row>
    <row r="485" customFormat="false" ht="15.75" hidden="false" customHeight="false" outlineLevel="0" collapsed="false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2"/>
      <c r="AI485" s="152"/>
      <c r="AJ485" s="152"/>
      <c r="AK485" s="152"/>
      <c r="AL485" s="152"/>
      <c r="AM485" s="152"/>
      <c r="AN485" s="152"/>
      <c r="AO485" s="152"/>
      <c r="AP485" s="152"/>
      <c r="AQ485" s="152"/>
      <c r="AR485" s="152"/>
      <c r="AS485" s="152"/>
      <c r="AT485" s="152"/>
      <c r="AU485" s="152"/>
      <c r="AV485" s="152"/>
      <c r="AW485" s="152"/>
      <c r="AX485" s="152"/>
      <c r="AY485" s="152"/>
      <c r="AZ485" s="152"/>
      <c r="BA485" s="152"/>
      <c r="BB485" s="152"/>
      <c r="BC485" s="152"/>
    </row>
    <row r="486" customFormat="false" ht="15.75" hidden="false" customHeight="false" outlineLevel="0" collapsed="false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2"/>
      <c r="AI486" s="152"/>
      <c r="AJ486" s="152"/>
      <c r="AK486" s="152"/>
      <c r="AL486" s="152"/>
      <c r="AM486" s="152"/>
      <c r="AN486" s="152"/>
      <c r="AO486" s="152"/>
      <c r="AP486" s="152"/>
      <c r="AQ486" s="152"/>
      <c r="AR486" s="152"/>
      <c r="AS486" s="152"/>
      <c r="AT486" s="152"/>
      <c r="AU486" s="152"/>
      <c r="AV486" s="152"/>
      <c r="AW486" s="152"/>
      <c r="AX486" s="152"/>
      <c r="AY486" s="152"/>
      <c r="AZ486" s="152"/>
      <c r="BA486" s="152"/>
      <c r="BB486" s="152"/>
      <c r="BC486" s="152"/>
    </row>
    <row r="487" customFormat="false" ht="15.75" hidden="false" customHeight="false" outlineLevel="0" collapsed="false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2"/>
      <c r="AI487" s="152"/>
      <c r="AJ487" s="152"/>
      <c r="AK487" s="152"/>
      <c r="AL487" s="152"/>
      <c r="AM487" s="152"/>
      <c r="AN487" s="152"/>
      <c r="AO487" s="152"/>
      <c r="AP487" s="152"/>
      <c r="AQ487" s="152"/>
      <c r="AR487" s="152"/>
      <c r="AS487" s="152"/>
      <c r="AT487" s="152"/>
      <c r="AU487" s="152"/>
      <c r="AV487" s="152"/>
      <c r="AW487" s="152"/>
      <c r="AX487" s="152"/>
      <c r="AY487" s="152"/>
      <c r="AZ487" s="152"/>
      <c r="BA487" s="152"/>
      <c r="BB487" s="152"/>
      <c r="BC487" s="152"/>
    </row>
    <row r="488" customFormat="false" ht="15.75" hidden="false" customHeight="false" outlineLevel="0" collapsed="false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2"/>
      <c r="AI488" s="152"/>
      <c r="AJ488" s="152"/>
      <c r="AK488" s="152"/>
      <c r="AL488" s="152"/>
      <c r="AM488" s="152"/>
      <c r="AN488" s="152"/>
      <c r="AO488" s="152"/>
      <c r="AP488" s="152"/>
      <c r="AQ488" s="152"/>
      <c r="AR488" s="152"/>
      <c r="AS488" s="152"/>
      <c r="AT488" s="152"/>
      <c r="AU488" s="152"/>
      <c r="AV488" s="152"/>
      <c r="AW488" s="152"/>
      <c r="AX488" s="152"/>
      <c r="AY488" s="152"/>
      <c r="AZ488" s="152"/>
      <c r="BA488" s="152"/>
      <c r="BB488" s="152"/>
      <c r="BC488" s="152"/>
    </row>
    <row r="489" customFormat="false" ht="15.75" hidden="false" customHeight="false" outlineLevel="0" collapsed="false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2"/>
      <c r="AI489" s="152"/>
      <c r="AJ489" s="152"/>
      <c r="AK489" s="152"/>
      <c r="AL489" s="152"/>
      <c r="AM489" s="152"/>
      <c r="AN489" s="152"/>
      <c r="AO489" s="152"/>
      <c r="AP489" s="152"/>
      <c r="AQ489" s="152"/>
      <c r="AR489" s="152"/>
      <c r="AS489" s="152"/>
      <c r="AT489" s="152"/>
      <c r="AU489" s="152"/>
      <c r="AV489" s="152"/>
      <c r="AW489" s="152"/>
      <c r="AX489" s="152"/>
      <c r="AY489" s="152"/>
      <c r="AZ489" s="152"/>
      <c r="BA489" s="152"/>
      <c r="BB489" s="152"/>
      <c r="BC489" s="152"/>
    </row>
    <row r="490" customFormat="false" ht="15.75" hidden="false" customHeight="false" outlineLevel="0" collapsed="false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2"/>
      <c r="AI490" s="152"/>
      <c r="AJ490" s="152"/>
      <c r="AK490" s="152"/>
      <c r="AL490" s="152"/>
      <c r="AM490" s="152"/>
      <c r="AN490" s="152"/>
      <c r="AO490" s="152"/>
      <c r="AP490" s="152"/>
      <c r="AQ490" s="152"/>
      <c r="AR490" s="152"/>
      <c r="AS490" s="152"/>
      <c r="AT490" s="152"/>
      <c r="AU490" s="152"/>
      <c r="AV490" s="152"/>
      <c r="AW490" s="152"/>
      <c r="AX490" s="152"/>
      <c r="AY490" s="152"/>
      <c r="AZ490" s="152"/>
      <c r="BA490" s="152"/>
      <c r="BB490" s="152"/>
      <c r="BC490" s="152"/>
    </row>
    <row r="491" customFormat="false" ht="15.75" hidden="false" customHeight="false" outlineLevel="0" collapsed="false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2"/>
      <c r="AI491" s="152"/>
      <c r="AJ491" s="152"/>
      <c r="AK491" s="152"/>
      <c r="AL491" s="152"/>
      <c r="AM491" s="152"/>
      <c r="AN491" s="152"/>
      <c r="AO491" s="152"/>
      <c r="AP491" s="152"/>
      <c r="AQ491" s="152"/>
      <c r="AR491" s="152"/>
      <c r="AS491" s="152"/>
      <c r="AT491" s="152"/>
      <c r="AU491" s="152"/>
      <c r="AV491" s="152"/>
      <c r="AW491" s="152"/>
      <c r="AX491" s="152"/>
      <c r="AY491" s="152"/>
      <c r="AZ491" s="152"/>
      <c r="BA491" s="152"/>
      <c r="BB491" s="152"/>
      <c r="BC491" s="152"/>
    </row>
    <row r="492" customFormat="false" ht="15.75" hidden="false" customHeight="false" outlineLevel="0" collapsed="false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2"/>
      <c r="AI492" s="152"/>
      <c r="AJ492" s="152"/>
      <c r="AK492" s="152"/>
      <c r="AL492" s="152"/>
      <c r="AM492" s="152"/>
      <c r="AN492" s="152"/>
      <c r="AO492" s="152"/>
      <c r="AP492" s="152"/>
      <c r="AQ492" s="152"/>
      <c r="AR492" s="152"/>
      <c r="AS492" s="152"/>
      <c r="AT492" s="152"/>
      <c r="AU492" s="152"/>
      <c r="AV492" s="152"/>
      <c r="AW492" s="152"/>
      <c r="AX492" s="152"/>
      <c r="AY492" s="152"/>
      <c r="AZ492" s="152"/>
      <c r="BA492" s="152"/>
      <c r="BB492" s="152"/>
      <c r="BC492" s="152"/>
    </row>
    <row r="493" customFormat="false" ht="15.75" hidden="false" customHeight="false" outlineLevel="0" collapsed="false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2"/>
      <c r="AI493" s="152"/>
      <c r="AJ493" s="152"/>
      <c r="AK493" s="152"/>
      <c r="AL493" s="152"/>
      <c r="AM493" s="152"/>
      <c r="AN493" s="152"/>
      <c r="AO493" s="152"/>
      <c r="AP493" s="152"/>
      <c r="AQ493" s="152"/>
      <c r="AR493" s="152"/>
      <c r="AS493" s="152"/>
      <c r="AT493" s="152"/>
      <c r="AU493" s="152"/>
      <c r="AV493" s="152"/>
      <c r="AW493" s="152"/>
      <c r="AX493" s="152"/>
      <c r="AY493" s="152"/>
      <c r="AZ493" s="152"/>
      <c r="BA493" s="152"/>
      <c r="BB493" s="152"/>
      <c r="BC493" s="152"/>
    </row>
    <row r="494" customFormat="false" ht="15.75" hidden="false" customHeight="false" outlineLevel="0" collapsed="false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2"/>
      <c r="AI494" s="152"/>
      <c r="AJ494" s="152"/>
      <c r="AK494" s="152"/>
      <c r="AL494" s="152"/>
      <c r="AM494" s="152"/>
      <c r="AN494" s="152"/>
      <c r="AO494" s="152"/>
      <c r="AP494" s="152"/>
      <c r="AQ494" s="152"/>
      <c r="AR494" s="152"/>
      <c r="AS494" s="152"/>
      <c r="AT494" s="152"/>
      <c r="AU494" s="152"/>
      <c r="AV494" s="152"/>
      <c r="AW494" s="152"/>
      <c r="AX494" s="152"/>
      <c r="AY494" s="152"/>
      <c r="AZ494" s="152"/>
      <c r="BA494" s="152"/>
      <c r="BB494" s="152"/>
      <c r="BC494" s="152"/>
    </row>
    <row r="495" customFormat="false" ht="15.75" hidden="false" customHeight="false" outlineLevel="0" collapsed="false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2"/>
      <c r="AI495" s="152"/>
      <c r="AJ495" s="152"/>
      <c r="AK495" s="152"/>
      <c r="AL495" s="152"/>
      <c r="AM495" s="152"/>
      <c r="AN495" s="152"/>
      <c r="AO495" s="152"/>
      <c r="AP495" s="152"/>
      <c r="AQ495" s="152"/>
      <c r="AR495" s="152"/>
      <c r="AS495" s="152"/>
      <c r="AT495" s="152"/>
      <c r="AU495" s="152"/>
      <c r="AV495" s="152"/>
      <c r="AW495" s="152"/>
      <c r="AX495" s="152"/>
      <c r="AY495" s="152"/>
      <c r="AZ495" s="152"/>
      <c r="BA495" s="152"/>
      <c r="BB495" s="152"/>
      <c r="BC495" s="152"/>
    </row>
    <row r="496" customFormat="false" ht="15.75" hidden="false" customHeight="false" outlineLevel="0" collapsed="false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2"/>
      <c r="AI496" s="152"/>
      <c r="AJ496" s="152"/>
      <c r="AK496" s="152"/>
      <c r="AL496" s="152"/>
      <c r="AM496" s="152"/>
      <c r="AN496" s="152"/>
      <c r="AO496" s="152"/>
      <c r="AP496" s="152"/>
      <c r="AQ496" s="152"/>
      <c r="AR496" s="152"/>
      <c r="AS496" s="152"/>
      <c r="AT496" s="152"/>
      <c r="AU496" s="152"/>
      <c r="AV496" s="152"/>
      <c r="AW496" s="152"/>
      <c r="AX496" s="152"/>
      <c r="AY496" s="152"/>
      <c r="AZ496" s="152"/>
      <c r="BA496" s="152"/>
      <c r="BB496" s="152"/>
      <c r="BC496" s="152"/>
    </row>
    <row r="497" customFormat="false" ht="15.75" hidden="false" customHeight="false" outlineLevel="0" collapsed="false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2"/>
      <c r="AI497" s="152"/>
      <c r="AJ497" s="152"/>
      <c r="AK497" s="152"/>
      <c r="AL497" s="152"/>
      <c r="AM497" s="152"/>
      <c r="AN497" s="152"/>
      <c r="AO497" s="152"/>
      <c r="AP497" s="152"/>
      <c r="AQ497" s="152"/>
      <c r="AR497" s="152"/>
      <c r="AS497" s="152"/>
      <c r="AT497" s="152"/>
      <c r="AU497" s="152"/>
      <c r="AV497" s="152"/>
      <c r="AW497" s="152"/>
      <c r="AX497" s="152"/>
      <c r="AY497" s="152"/>
      <c r="AZ497" s="152"/>
      <c r="BA497" s="152"/>
      <c r="BB497" s="152"/>
      <c r="BC497" s="152"/>
    </row>
    <row r="498" customFormat="false" ht="15.75" hidden="false" customHeight="false" outlineLevel="0" collapsed="false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2"/>
      <c r="AI498" s="152"/>
      <c r="AJ498" s="152"/>
      <c r="AK498" s="152"/>
      <c r="AL498" s="152"/>
      <c r="AM498" s="152"/>
      <c r="AN498" s="152"/>
      <c r="AO498" s="152"/>
      <c r="AP498" s="152"/>
      <c r="AQ498" s="152"/>
      <c r="AR498" s="152"/>
      <c r="AS498" s="152"/>
      <c r="AT498" s="152"/>
      <c r="AU498" s="152"/>
      <c r="AV498" s="152"/>
      <c r="AW498" s="152"/>
      <c r="AX498" s="152"/>
      <c r="AY498" s="152"/>
      <c r="AZ498" s="152"/>
      <c r="BA498" s="152"/>
      <c r="BB498" s="152"/>
      <c r="BC498" s="152"/>
    </row>
    <row r="499" customFormat="false" ht="15.75" hidden="false" customHeight="false" outlineLevel="0" collapsed="false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2"/>
      <c r="AI499" s="152"/>
      <c r="AJ499" s="152"/>
      <c r="AK499" s="152"/>
      <c r="AL499" s="152"/>
      <c r="AM499" s="152"/>
      <c r="AN499" s="152"/>
      <c r="AO499" s="152"/>
      <c r="AP499" s="152"/>
      <c r="AQ499" s="152"/>
      <c r="AR499" s="152"/>
      <c r="AS499" s="152"/>
      <c r="AT499" s="152"/>
      <c r="AU499" s="152"/>
      <c r="AV499" s="152"/>
      <c r="AW499" s="152"/>
      <c r="AX499" s="152"/>
      <c r="AY499" s="152"/>
      <c r="AZ499" s="152"/>
      <c r="BA499" s="152"/>
      <c r="BB499" s="152"/>
      <c r="BC499" s="152"/>
    </row>
    <row r="500" customFormat="false" ht="15.75" hidden="false" customHeight="false" outlineLevel="0" collapsed="false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2"/>
      <c r="AI500" s="152"/>
      <c r="AJ500" s="152"/>
      <c r="AK500" s="152"/>
      <c r="AL500" s="152"/>
      <c r="AM500" s="152"/>
      <c r="AN500" s="152"/>
      <c r="AO500" s="152"/>
      <c r="AP500" s="152"/>
      <c r="AQ500" s="152"/>
      <c r="AR500" s="152"/>
      <c r="AS500" s="152"/>
      <c r="AT500" s="152"/>
      <c r="AU500" s="152"/>
      <c r="AV500" s="152"/>
      <c r="AW500" s="152"/>
      <c r="AX500" s="152"/>
      <c r="AY500" s="152"/>
      <c r="AZ500" s="152"/>
      <c r="BA500" s="152"/>
      <c r="BB500" s="152"/>
      <c r="BC500" s="152"/>
    </row>
    <row r="501" customFormat="false" ht="15.75" hidden="false" customHeight="false" outlineLevel="0" collapsed="false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2"/>
      <c r="AI501" s="152"/>
      <c r="AJ501" s="152"/>
      <c r="AK501" s="152"/>
      <c r="AL501" s="152"/>
      <c r="AM501" s="152"/>
      <c r="AN501" s="152"/>
      <c r="AO501" s="152"/>
      <c r="AP501" s="152"/>
      <c r="AQ501" s="152"/>
      <c r="AR501" s="152"/>
      <c r="AS501" s="152"/>
      <c r="AT501" s="152"/>
      <c r="AU501" s="152"/>
      <c r="AV501" s="152"/>
      <c r="AW501" s="152"/>
      <c r="AX501" s="152"/>
      <c r="AY501" s="152"/>
      <c r="AZ501" s="152"/>
      <c r="BA501" s="152"/>
      <c r="BB501" s="152"/>
      <c r="BC501" s="152"/>
    </row>
    <row r="502" customFormat="false" ht="15.75" hidden="false" customHeight="false" outlineLevel="0" collapsed="false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2"/>
      <c r="AI502" s="152"/>
      <c r="AJ502" s="152"/>
      <c r="AK502" s="152"/>
      <c r="AL502" s="152"/>
      <c r="AM502" s="152"/>
      <c r="AN502" s="152"/>
      <c r="AO502" s="152"/>
      <c r="AP502" s="152"/>
      <c r="AQ502" s="152"/>
      <c r="AR502" s="152"/>
      <c r="AS502" s="152"/>
      <c r="AT502" s="152"/>
      <c r="AU502" s="152"/>
      <c r="AV502" s="152"/>
      <c r="AW502" s="152"/>
      <c r="AX502" s="152"/>
      <c r="AY502" s="152"/>
      <c r="AZ502" s="152"/>
      <c r="BA502" s="152"/>
      <c r="BB502" s="152"/>
      <c r="BC502" s="152"/>
    </row>
    <row r="503" customFormat="false" ht="15.75" hidden="false" customHeight="false" outlineLevel="0" collapsed="false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2"/>
      <c r="AI503" s="152"/>
      <c r="AJ503" s="152"/>
      <c r="AK503" s="152"/>
      <c r="AL503" s="152"/>
      <c r="AM503" s="152"/>
      <c r="AN503" s="152"/>
      <c r="AO503" s="152"/>
      <c r="AP503" s="152"/>
      <c r="AQ503" s="152"/>
      <c r="AR503" s="152"/>
      <c r="AS503" s="152"/>
      <c r="AT503" s="152"/>
      <c r="AU503" s="152"/>
      <c r="AV503" s="152"/>
      <c r="AW503" s="152"/>
      <c r="AX503" s="152"/>
      <c r="AY503" s="152"/>
      <c r="AZ503" s="152"/>
      <c r="BA503" s="152"/>
      <c r="BB503" s="152"/>
      <c r="BC503" s="152"/>
    </row>
    <row r="504" customFormat="false" ht="15.75" hidden="false" customHeight="false" outlineLevel="0" collapsed="false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2"/>
      <c r="AI504" s="152"/>
      <c r="AJ504" s="152"/>
      <c r="AK504" s="152"/>
      <c r="AL504" s="152"/>
      <c r="AM504" s="152"/>
      <c r="AN504" s="152"/>
      <c r="AO504" s="152"/>
      <c r="AP504" s="152"/>
      <c r="AQ504" s="152"/>
      <c r="AR504" s="152"/>
      <c r="AS504" s="152"/>
      <c r="AT504" s="152"/>
      <c r="AU504" s="152"/>
      <c r="AV504" s="152"/>
      <c r="AW504" s="152"/>
      <c r="AX504" s="152"/>
      <c r="AY504" s="152"/>
      <c r="AZ504" s="152"/>
      <c r="BA504" s="152"/>
      <c r="BB504" s="152"/>
      <c r="BC504" s="152"/>
    </row>
    <row r="505" customFormat="false" ht="15.75" hidden="false" customHeight="false" outlineLevel="0" collapsed="false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2"/>
      <c r="AI505" s="152"/>
      <c r="AJ505" s="152"/>
      <c r="AK505" s="152"/>
      <c r="AL505" s="152"/>
      <c r="AM505" s="152"/>
      <c r="AN505" s="152"/>
      <c r="AO505" s="152"/>
      <c r="AP505" s="152"/>
      <c r="AQ505" s="152"/>
      <c r="AR505" s="152"/>
      <c r="AS505" s="152"/>
      <c r="AT505" s="152"/>
      <c r="AU505" s="152"/>
      <c r="AV505" s="152"/>
      <c r="AW505" s="152"/>
      <c r="AX505" s="152"/>
      <c r="AY505" s="152"/>
      <c r="AZ505" s="152"/>
      <c r="BA505" s="152"/>
      <c r="BB505" s="152"/>
      <c r="BC505" s="152"/>
    </row>
    <row r="506" customFormat="false" ht="15.75" hidden="false" customHeight="false" outlineLevel="0" collapsed="false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2"/>
      <c r="AI506" s="152"/>
      <c r="AJ506" s="152"/>
      <c r="AK506" s="152"/>
      <c r="AL506" s="152"/>
      <c r="AM506" s="152"/>
      <c r="AN506" s="152"/>
      <c r="AO506" s="152"/>
      <c r="AP506" s="152"/>
      <c r="AQ506" s="152"/>
      <c r="AR506" s="152"/>
      <c r="AS506" s="152"/>
      <c r="AT506" s="152"/>
      <c r="AU506" s="152"/>
      <c r="AV506" s="152"/>
      <c r="AW506" s="152"/>
      <c r="AX506" s="152"/>
      <c r="AY506" s="152"/>
      <c r="AZ506" s="152"/>
      <c r="BA506" s="152"/>
      <c r="BB506" s="152"/>
      <c r="BC506" s="152"/>
    </row>
    <row r="507" customFormat="false" ht="15.75" hidden="false" customHeight="false" outlineLevel="0" collapsed="false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2"/>
      <c r="AI507" s="152"/>
      <c r="AJ507" s="152"/>
      <c r="AK507" s="152"/>
      <c r="AL507" s="152"/>
      <c r="AM507" s="152"/>
      <c r="AN507" s="152"/>
      <c r="AO507" s="152"/>
      <c r="AP507" s="152"/>
      <c r="AQ507" s="152"/>
      <c r="AR507" s="152"/>
      <c r="AS507" s="152"/>
      <c r="AT507" s="152"/>
      <c r="AU507" s="152"/>
      <c r="AV507" s="152"/>
      <c r="AW507" s="152"/>
      <c r="AX507" s="152"/>
      <c r="AY507" s="152"/>
      <c r="AZ507" s="152"/>
      <c r="BA507" s="152"/>
      <c r="BB507" s="152"/>
      <c r="BC507" s="152"/>
    </row>
    <row r="508" customFormat="false" ht="15.75" hidden="false" customHeight="false" outlineLevel="0" collapsed="false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2"/>
      <c r="AI508" s="152"/>
      <c r="AJ508" s="152"/>
      <c r="AK508" s="152"/>
      <c r="AL508" s="152"/>
      <c r="AM508" s="152"/>
      <c r="AN508" s="152"/>
      <c r="AO508" s="152"/>
      <c r="AP508" s="152"/>
      <c r="AQ508" s="152"/>
      <c r="AR508" s="152"/>
      <c r="AS508" s="152"/>
      <c r="AT508" s="152"/>
      <c r="AU508" s="152"/>
      <c r="AV508" s="152"/>
      <c r="AW508" s="152"/>
      <c r="AX508" s="152"/>
      <c r="AY508" s="152"/>
      <c r="AZ508" s="152"/>
      <c r="BA508" s="152"/>
      <c r="BB508" s="152"/>
      <c r="BC508" s="152"/>
    </row>
    <row r="509" customFormat="false" ht="15.75" hidden="false" customHeight="false" outlineLevel="0" collapsed="false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2"/>
      <c r="AI509" s="152"/>
      <c r="AJ509" s="152"/>
      <c r="AK509" s="152"/>
      <c r="AL509" s="152"/>
      <c r="AM509" s="152"/>
      <c r="AN509" s="152"/>
      <c r="AO509" s="152"/>
      <c r="AP509" s="152"/>
      <c r="AQ509" s="152"/>
      <c r="AR509" s="152"/>
      <c r="AS509" s="152"/>
      <c r="AT509" s="152"/>
      <c r="AU509" s="152"/>
      <c r="AV509" s="152"/>
      <c r="AW509" s="152"/>
      <c r="AX509" s="152"/>
      <c r="AY509" s="152"/>
      <c r="AZ509" s="152"/>
      <c r="BA509" s="152"/>
      <c r="BB509" s="152"/>
      <c r="BC509" s="152"/>
    </row>
    <row r="510" customFormat="false" ht="15.75" hidden="false" customHeight="false" outlineLevel="0" collapsed="false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2"/>
      <c r="AI510" s="152"/>
      <c r="AJ510" s="152"/>
      <c r="AK510" s="152"/>
      <c r="AL510" s="152"/>
      <c r="AM510" s="152"/>
      <c r="AN510" s="152"/>
      <c r="AO510" s="152"/>
      <c r="AP510" s="152"/>
      <c r="AQ510" s="152"/>
      <c r="AR510" s="152"/>
      <c r="AS510" s="152"/>
      <c r="AT510" s="152"/>
      <c r="AU510" s="152"/>
      <c r="AV510" s="152"/>
      <c r="AW510" s="152"/>
      <c r="AX510" s="152"/>
      <c r="AY510" s="152"/>
      <c r="AZ510" s="152"/>
      <c r="BA510" s="152"/>
      <c r="BB510" s="152"/>
      <c r="BC510" s="152"/>
    </row>
    <row r="511" customFormat="false" ht="15.75" hidden="false" customHeight="false" outlineLevel="0" collapsed="false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2"/>
      <c r="AI511" s="152"/>
      <c r="AJ511" s="152"/>
      <c r="AK511" s="152"/>
      <c r="AL511" s="152"/>
      <c r="AM511" s="152"/>
      <c r="AN511" s="152"/>
      <c r="AO511" s="152"/>
      <c r="AP511" s="152"/>
      <c r="AQ511" s="152"/>
      <c r="AR511" s="152"/>
      <c r="AS511" s="152"/>
      <c r="AT511" s="152"/>
      <c r="AU511" s="152"/>
      <c r="AV511" s="152"/>
      <c r="AW511" s="152"/>
      <c r="AX511" s="152"/>
      <c r="AY511" s="152"/>
      <c r="AZ511" s="152"/>
      <c r="BA511" s="152"/>
      <c r="BB511" s="152"/>
      <c r="BC511" s="152"/>
    </row>
    <row r="512" customFormat="false" ht="15.75" hidden="false" customHeight="false" outlineLevel="0" collapsed="false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  <c r="AG512" s="152"/>
      <c r="AH512" s="152"/>
      <c r="AI512" s="152"/>
      <c r="AJ512" s="152"/>
      <c r="AK512" s="152"/>
      <c r="AL512" s="152"/>
      <c r="AM512" s="152"/>
      <c r="AN512" s="152"/>
      <c r="AO512" s="152"/>
      <c r="AP512" s="152"/>
      <c r="AQ512" s="152"/>
      <c r="AR512" s="152"/>
      <c r="AS512" s="152"/>
      <c r="AT512" s="152"/>
      <c r="AU512" s="152"/>
      <c r="AV512" s="152"/>
      <c r="AW512" s="152"/>
      <c r="AX512" s="152"/>
      <c r="AY512" s="152"/>
      <c r="AZ512" s="152"/>
      <c r="BA512" s="152"/>
      <c r="BB512" s="152"/>
      <c r="BC512" s="152"/>
    </row>
    <row r="513" customFormat="false" ht="15.75" hidden="false" customHeight="false" outlineLevel="0" collapsed="false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2"/>
      <c r="AI513" s="152"/>
      <c r="AJ513" s="152"/>
      <c r="AK513" s="152"/>
      <c r="AL513" s="152"/>
      <c r="AM513" s="152"/>
      <c r="AN513" s="152"/>
      <c r="AO513" s="152"/>
      <c r="AP513" s="152"/>
      <c r="AQ513" s="152"/>
      <c r="AR513" s="152"/>
      <c r="AS513" s="152"/>
      <c r="AT513" s="152"/>
      <c r="AU513" s="152"/>
      <c r="AV513" s="152"/>
      <c r="AW513" s="152"/>
      <c r="AX513" s="152"/>
      <c r="AY513" s="152"/>
      <c r="AZ513" s="152"/>
      <c r="BA513" s="152"/>
      <c r="BB513" s="152"/>
      <c r="BC513" s="152"/>
    </row>
    <row r="514" customFormat="false" ht="15.75" hidden="false" customHeight="false" outlineLevel="0" collapsed="false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2"/>
      <c r="AI514" s="152"/>
      <c r="AJ514" s="152"/>
      <c r="AK514" s="152"/>
      <c r="AL514" s="152"/>
      <c r="AM514" s="152"/>
      <c r="AN514" s="152"/>
      <c r="AO514" s="152"/>
      <c r="AP514" s="152"/>
      <c r="AQ514" s="152"/>
      <c r="AR514" s="152"/>
      <c r="AS514" s="152"/>
      <c r="AT514" s="152"/>
      <c r="AU514" s="152"/>
      <c r="AV514" s="152"/>
      <c r="AW514" s="152"/>
      <c r="AX514" s="152"/>
      <c r="AY514" s="152"/>
      <c r="AZ514" s="152"/>
      <c r="BA514" s="152"/>
      <c r="BB514" s="152"/>
      <c r="BC514" s="152"/>
    </row>
    <row r="515" customFormat="false" ht="15.75" hidden="false" customHeight="false" outlineLevel="0" collapsed="false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2"/>
      <c r="AI515" s="152"/>
      <c r="AJ515" s="152"/>
      <c r="AK515" s="152"/>
      <c r="AL515" s="152"/>
      <c r="AM515" s="152"/>
      <c r="AN515" s="152"/>
      <c r="AO515" s="152"/>
      <c r="AP515" s="152"/>
      <c r="AQ515" s="152"/>
      <c r="AR515" s="152"/>
      <c r="AS515" s="152"/>
      <c r="AT515" s="152"/>
      <c r="AU515" s="152"/>
      <c r="AV515" s="152"/>
      <c r="AW515" s="152"/>
      <c r="AX515" s="152"/>
      <c r="AY515" s="152"/>
      <c r="AZ515" s="152"/>
      <c r="BA515" s="152"/>
      <c r="BB515" s="152"/>
      <c r="BC515" s="152"/>
    </row>
    <row r="516" customFormat="false" ht="15.75" hidden="false" customHeight="false" outlineLevel="0" collapsed="false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2"/>
      <c r="AI516" s="152"/>
      <c r="AJ516" s="152"/>
      <c r="AK516" s="152"/>
      <c r="AL516" s="152"/>
      <c r="AM516" s="152"/>
      <c r="AN516" s="152"/>
      <c r="AO516" s="152"/>
      <c r="AP516" s="152"/>
      <c r="AQ516" s="152"/>
      <c r="AR516" s="152"/>
      <c r="AS516" s="152"/>
      <c r="AT516" s="152"/>
      <c r="AU516" s="152"/>
      <c r="AV516" s="152"/>
      <c r="AW516" s="152"/>
      <c r="AX516" s="152"/>
      <c r="AY516" s="152"/>
      <c r="AZ516" s="152"/>
      <c r="BA516" s="152"/>
      <c r="BB516" s="152"/>
      <c r="BC516" s="152"/>
    </row>
    <row r="517" customFormat="false" ht="15.75" hidden="false" customHeight="false" outlineLevel="0" collapsed="false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2"/>
      <c r="AI517" s="152"/>
      <c r="AJ517" s="152"/>
      <c r="AK517" s="152"/>
      <c r="AL517" s="152"/>
      <c r="AM517" s="152"/>
      <c r="AN517" s="152"/>
      <c r="AO517" s="152"/>
      <c r="AP517" s="152"/>
      <c r="AQ517" s="152"/>
      <c r="AR517" s="152"/>
      <c r="AS517" s="152"/>
      <c r="AT517" s="152"/>
      <c r="AU517" s="152"/>
      <c r="AV517" s="152"/>
      <c r="AW517" s="152"/>
      <c r="AX517" s="152"/>
      <c r="AY517" s="152"/>
      <c r="AZ517" s="152"/>
      <c r="BA517" s="152"/>
      <c r="BB517" s="152"/>
      <c r="BC517" s="152"/>
    </row>
    <row r="518" customFormat="false" ht="15.75" hidden="false" customHeight="false" outlineLevel="0" collapsed="false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2"/>
      <c r="AI518" s="152"/>
      <c r="AJ518" s="152"/>
      <c r="AK518" s="152"/>
      <c r="AL518" s="152"/>
      <c r="AM518" s="152"/>
      <c r="AN518" s="152"/>
      <c r="AO518" s="152"/>
      <c r="AP518" s="152"/>
      <c r="AQ518" s="152"/>
      <c r="AR518" s="152"/>
      <c r="AS518" s="152"/>
      <c r="AT518" s="152"/>
      <c r="AU518" s="152"/>
      <c r="AV518" s="152"/>
      <c r="AW518" s="152"/>
      <c r="AX518" s="152"/>
      <c r="AY518" s="152"/>
      <c r="AZ518" s="152"/>
      <c r="BA518" s="152"/>
      <c r="BB518" s="152"/>
      <c r="BC518" s="152"/>
    </row>
    <row r="519" customFormat="false" ht="15.75" hidden="false" customHeight="false" outlineLevel="0" collapsed="false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2"/>
      <c r="AI519" s="152"/>
      <c r="AJ519" s="152"/>
      <c r="AK519" s="152"/>
      <c r="AL519" s="152"/>
      <c r="AM519" s="152"/>
      <c r="AN519" s="152"/>
      <c r="AO519" s="152"/>
      <c r="AP519" s="152"/>
      <c r="AQ519" s="152"/>
      <c r="AR519" s="152"/>
      <c r="AS519" s="152"/>
      <c r="AT519" s="152"/>
      <c r="AU519" s="152"/>
      <c r="AV519" s="152"/>
      <c r="AW519" s="152"/>
      <c r="AX519" s="152"/>
      <c r="AY519" s="152"/>
      <c r="AZ519" s="152"/>
      <c r="BA519" s="152"/>
      <c r="BB519" s="152"/>
      <c r="BC519" s="152"/>
    </row>
    <row r="520" customFormat="false" ht="15.75" hidden="false" customHeight="false" outlineLevel="0" collapsed="false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2"/>
      <c r="AI520" s="152"/>
      <c r="AJ520" s="152"/>
      <c r="AK520" s="152"/>
      <c r="AL520" s="152"/>
      <c r="AM520" s="152"/>
      <c r="AN520" s="152"/>
      <c r="AO520" s="152"/>
      <c r="AP520" s="152"/>
      <c r="AQ520" s="152"/>
      <c r="AR520" s="152"/>
      <c r="AS520" s="152"/>
      <c r="AT520" s="152"/>
      <c r="AU520" s="152"/>
      <c r="AV520" s="152"/>
      <c r="AW520" s="152"/>
      <c r="AX520" s="152"/>
      <c r="AY520" s="152"/>
      <c r="AZ520" s="152"/>
      <c r="BA520" s="152"/>
      <c r="BB520" s="152"/>
      <c r="BC520" s="152"/>
    </row>
    <row r="521" customFormat="false" ht="15.75" hidden="false" customHeight="false" outlineLevel="0" collapsed="false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2"/>
      <c r="AI521" s="152"/>
      <c r="AJ521" s="152"/>
      <c r="AK521" s="152"/>
      <c r="AL521" s="152"/>
      <c r="AM521" s="152"/>
      <c r="AN521" s="152"/>
      <c r="AO521" s="152"/>
      <c r="AP521" s="152"/>
      <c r="AQ521" s="152"/>
      <c r="AR521" s="152"/>
      <c r="AS521" s="152"/>
      <c r="AT521" s="152"/>
      <c r="AU521" s="152"/>
      <c r="AV521" s="152"/>
      <c r="AW521" s="152"/>
      <c r="AX521" s="152"/>
      <c r="AY521" s="152"/>
      <c r="AZ521" s="152"/>
      <c r="BA521" s="152"/>
      <c r="BB521" s="152"/>
      <c r="BC521" s="152"/>
    </row>
    <row r="522" customFormat="false" ht="15.75" hidden="false" customHeight="false" outlineLevel="0" collapsed="false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2"/>
      <c r="AI522" s="152"/>
      <c r="AJ522" s="152"/>
      <c r="AK522" s="152"/>
      <c r="AL522" s="152"/>
      <c r="AM522" s="152"/>
      <c r="AN522" s="152"/>
      <c r="AO522" s="152"/>
      <c r="AP522" s="152"/>
      <c r="AQ522" s="152"/>
      <c r="AR522" s="152"/>
      <c r="AS522" s="152"/>
      <c r="AT522" s="152"/>
      <c r="AU522" s="152"/>
      <c r="AV522" s="152"/>
      <c r="AW522" s="152"/>
      <c r="AX522" s="152"/>
      <c r="AY522" s="152"/>
      <c r="AZ522" s="152"/>
      <c r="BA522" s="152"/>
      <c r="BB522" s="152"/>
      <c r="BC522" s="152"/>
    </row>
    <row r="523" customFormat="false" ht="15.75" hidden="false" customHeight="false" outlineLevel="0" collapsed="false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2"/>
      <c r="AI523" s="152"/>
      <c r="AJ523" s="152"/>
      <c r="AK523" s="152"/>
      <c r="AL523" s="152"/>
      <c r="AM523" s="152"/>
      <c r="AN523" s="152"/>
      <c r="AO523" s="152"/>
      <c r="AP523" s="152"/>
      <c r="AQ523" s="152"/>
      <c r="AR523" s="152"/>
      <c r="AS523" s="152"/>
      <c r="AT523" s="152"/>
      <c r="AU523" s="152"/>
      <c r="AV523" s="152"/>
      <c r="AW523" s="152"/>
      <c r="AX523" s="152"/>
      <c r="AY523" s="152"/>
      <c r="AZ523" s="152"/>
      <c r="BA523" s="152"/>
      <c r="BB523" s="152"/>
      <c r="BC523" s="152"/>
    </row>
    <row r="524" customFormat="false" ht="15.75" hidden="false" customHeight="false" outlineLevel="0" collapsed="false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2"/>
      <c r="AI524" s="152"/>
      <c r="AJ524" s="152"/>
      <c r="AK524" s="152"/>
      <c r="AL524" s="152"/>
      <c r="AM524" s="152"/>
      <c r="AN524" s="152"/>
      <c r="AO524" s="152"/>
      <c r="AP524" s="152"/>
      <c r="AQ524" s="152"/>
      <c r="AR524" s="152"/>
      <c r="AS524" s="152"/>
      <c r="AT524" s="152"/>
      <c r="AU524" s="152"/>
      <c r="AV524" s="152"/>
      <c r="AW524" s="152"/>
      <c r="AX524" s="152"/>
      <c r="AY524" s="152"/>
      <c r="AZ524" s="152"/>
      <c r="BA524" s="152"/>
      <c r="BB524" s="152"/>
      <c r="BC524" s="152"/>
    </row>
    <row r="525" customFormat="false" ht="15.75" hidden="false" customHeight="false" outlineLevel="0" collapsed="false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2"/>
      <c r="AI525" s="152"/>
      <c r="AJ525" s="152"/>
      <c r="AK525" s="152"/>
      <c r="AL525" s="152"/>
      <c r="AM525" s="152"/>
      <c r="AN525" s="152"/>
      <c r="AO525" s="152"/>
      <c r="AP525" s="152"/>
      <c r="AQ525" s="152"/>
      <c r="AR525" s="152"/>
      <c r="AS525" s="152"/>
      <c r="AT525" s="152"/>
      <c r="AU525" s="152"/>
      <c r="AV525" s="152"/>
      <c r="AW525" s="152"/>
      <c r="AX525" s="152"/>
      <c r="AY525" s="152"/>
      <c r="AZ525" s="152"/>
      <c r="BA525" s="152"/>
      <c r="BB525" s="152"/>
      <c r="BC525" s="152"/>
    </row>
    <row r="526" customFormat="false" ht="15.75" hidden="false" customHeight="false" outlineLevel="0" collapsed="false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2"/>
      <c r="AI526" s="152"/>
      <c r="AJ526" s="152"/>
      <c r="AK526" s="152"/>
      <c r="AL526" s="152"/>
      <c r="AM526" s="152"/>
      <c r="AN526" s="152"/>
      <c r="AO526" s="152"/>
      <c r="AP526" s="152"/>
      <c r="AQ526" s="152"/>
      <c r="AR526" s="152"/>
      <c r="AS526" s="152"/>
      <c r="AT526" s="152"/>
      <c r="AU526" s="152"/>
      <c r="AV526" s="152"/>
      <c r="AW526" s="152"/>
      <c r="AX526" s="152"/>
      <c r="AY526" s="152"/>
      <c r="AZ526" s="152"/>
      <c r="BA526" s="152"/>
      <c r="BB526" s="152"/>
      <c r="BC526" s="152"/>
    </row>
    <row r="527" customFormat="false" ht="15.75" hidden="false" customHeight="false" outlineLevel="0" collapsed="false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2"/>
      <c r="AI527" s="152"/>
      <c r="AJ527" s="152"/>
      <c r="AK527" s="152"/>
      <c r="AL527" s="152"/>
      <c r="AM527" s="152"/>
      <c r="AN527" s="152"/>
      <c r="AO527" s="152"/>
      <c r="AP527" s="152"/>
      <c r="AQ527" s="152"/>
      <c r="AR527" s="152"/>
      <c r="AS527" s="152"/>
      <c r="AT527" s="152"/>
      <c r="AU527" s="152"/>
      <c r="AV527" s="152"/>
      <c r="AW527" s="152"/>
      <c r="AX527" s="152"/>
      <c r="AY527" s="152"/>
      <c r="AZ527" s="152"/>
      <c r="BA527" s="152"/>
      <c r="BB527" s="152"/>
      <c r="BC527" s="152"/>
    </row>
    <row r="528" customFormat="false" ht="15.75" hidden="false" customHeight="false" outlineLevel="0" collapsed="false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2"/>
      <c r="AI528" s="152"/>
      <c r="AJ528" s="152"/>
      <c r="AK528" s="152"/>
      <c r="AL528" s="152"/>
      <c r="AM528" s="152"/>
      <c r="AN528" s="152"/>
      <c r="AO528" s="152"/>
      <c r="AP528" s="152"/>
      <c r="AQ528" s="152"/>
      <c r="AR528" s="152"/>
      <c r="AS528" s="152"/>
      <c r="AT528" s="152"/>
      <c r="AU528" s="152"/>
      <c r="AV528" s="152"/>
      <c r="AW528" s="152"/>
      <c r="AX528" s="152"/>
      <c r="AY528" s="152"/>
      <c r="AZ528" s="152"/>
      <c r="BA528" s="152"/>
      <c r="BB528" s="152"/>
      <c r="BC528" s="152"/>
    </row>
    <row r="529" customFormat="false" ht="15.75" hidden="false" customHeight="false" outlineLevel="0" collapsed="false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2"/>
      <c r="AI529" s="152"/>
      <c r="AJ529" s="152"/>
      <c r="AK529" s="152"/>
      <c r="AL529" s="152"/>
      <c r="AM529" s="152"/>
      <c r="AN529" s="152"/>
      <c r="AO529" s="152"/>
      <c r="AP529" s="152"/>
      <c r="AQ529" s="152"/>
      <c r="AR529" s="152"/>
      <c r="AS529" s="152"/>
      <c r="AT529" s="152"/>
      <c r="AU529" s="152"/>
      <c r="AV529" s="152"/>
      <c r="AW529" s="152"/>
      <c r="AX529" s="152"/>
      <c r="AY529" s="152"/>
      <c r="AZ529" s="152"/>
      <c r="BA529" s="152"/>
      <c r="BB529" s="152"/>
      <c r="BC529" s="152"/>
    </row>
    <row r="530" customFormat="false" ht="15.75" hidden="false" customHeight="false" outlineLevel="0" collapsed="false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2"/>
      <c r="AI530" s="152"/>
      <c r="AJ530" s="152"/>
      <c r="AK530" s="152"/>
      <c r="AL530" s="152"/>
      <c r="AM530" s="152"/>
      <c r="AN530" s="152"/>
      <c r="AO530" s="152"/>
      <c r="AP530" s="152"/>
      <c r="AQ530" s="152"/>
      <c r="AR530" s="152"/>
      <c r="AS530" s="152"/>
      <c r="AT530" s="152"/>
      <c r="AU530" s="152"/>
      <c r="AV530" s="152"/>
      <c r="AW530" s="152"/>
      <c r="AX530" s="152"/>
      <c r="AY530" s="152"/>
      <c r="AZ530" s="152"/>
      <c r="BA530" s="152"/>
      <c r="BB530" s="152"/>
      <c r="BC530" s="152"/>
    </row>
    <row r="531" customFormat="false" ht="15.75" hidden="false" customHeight="false" outlineLevel="0" collapsed="false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2"/>
      <c r="AI531" s="152"/>
      <c r="AJ531" s="152"/>
      <c r="AK531" s="152"/>
      <c r="AL531" s="152"/>
      <c r="AM531" s="152"/>
      <c r="AN531" s="152"/>
      <c r="AO531" s="152"/>
      <c r="AP531" s="152"/>
      <c r="AQ531" s="152"/>
      <c r="AR531" s="152"/>
      <c r="AS531" s="152"/>
      <c r="AT531" s="152"/>
      <c r="AU531" s="152"/>
      <c r="AV531" s="152"/>
      <c r="AW531" s="152"/>
      <c r="AX531" s="152"/>
      <c r="AY531" s="152"/>
      <c r="AZ531" s="152"/>
      <c r="BA531" s="152"/>
      <c r="BB531" s="152"/>
      <c r="BC531" s="152"/>
    </row>
    <row r="532" customFormat="false" ht="15.75" hidden="false" customHeight="false" outlineLevel="0" collapsed="false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2"/>
      <c r="AI532" s="152"/>
      <c r="AJ532" s="152"/>
      <c r="AK532" s="152"/>
      <c r="AL532" s="152"/>
      <c r="AM532" s="152"/>
      <c r="AN532" s="152"/>
      <c r="AO532" s="152"/>
      <c r="AP532" s="152"/>
      <c r="AQ532" s="152"/>
      <c r="AR532" s="152"/>
      <c r="AS532" s="152"/>
      <c r="AT532" s="152"/>
      <c r="AU532" s="152"/>
      <c r="AV532" s="152"/>
      <c r="AW532" s="152"/>
      <c r="AX532" s="152"/>
      <c r="AY532" s="152"/>
      <c r="AZ532" s="152"/>
      <c r="BA532" s="152"/>
      <c r="BB532" s="152"/>
      <c r="BC532" s="152"/>
    </row>
    <row r="533" customFormat="false" ht="15.75" hidden="false" customHeight="false" outlineLevel="0" collapsed="false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2"/>
      <c r="AI533" s="152"/>
      <c r="AJ533" s="152"/>
      <c r="AK533" s="152"/>
      <c r="AL533" s="152"/>
      <c r="AM533" s="152"/>
      <c r="AN533" s="152"/>
      <c r="AO533" s="152"/>
      <c r="AP533" s="152"/>
      <c r="AQ533" s="152"/>
      <c r="AR533" s="152"/>
      <c r="AS533" s="152"/>
      <c r="AT533" s="152"/>
      <c r="AU533" s="152"/>
      <c r="AV533" s="152"/>
      <c r="AW533" s="152"/>
      <c r="AX533" s="152"/>
      <c r="AY533" s="152"/>
      <c r="AZ533" s="152"/>
      <c r="BA533" s="152"/>
      <c r="BB533" s="152"/>
      <c r="BC533" s="152"/>
    </row>
    <row r="534" customFormat="false" ht="15.75" hidden="false" customHeight="false" outlineLevel="0" collapsed="false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2"/>
      <c r="AI534" s="152"/>
      <c r="AJ534" s="152"/>
      <c r="AK534" s="152"/>
      <c r="AL534" s="152"/>
      <c r="AM534" s="152"/>
      <c r="AN534" s="152"/>
      <c r="AO534" s="152"/>
      <c r="AP534" s="152"/>
      <c r="AQ534" s="152"/>
      <c r="AR534" s="152"/>
      <c r="AS534" s="152"/>
      <c r="AT534" s="152"/>
      <c r="AU534" s="152"/>
      <c r="AV534" s="152"/>
      <c r="AW534" s="152"/>
      <c r="AX534" s="152"/>
      <c r="AY534" s="152"/>
      <c r="AZ534" s="152"/>
      <c r="BA534" s="152"/>
      <c r="BB534" s="152"/>
      <c r="BC534" s="152"/>
    </row>
    <row r="535" customFormat="false" ht="15.75" hidden="false" customHeight="false" outlineLevel="0" collapsed="false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2"/>
      <c r="AI535" s="152"/>
      <c r="AJ535" s="152"/>
      <c r="AK535" s="152"/>
      <c r="AL535" s="152"/>
      <c r="AM535" s="152"/>
      <c r="AN535" s="152"/>
      <c r="AO535" s="152"/>
      <c r="AP535" s="152"/>
      <c r="AQ535" s="152"/>
      <c r="AR535" s="152"/>
      <c r="AS535" s="152"/>
      <c r="AT535" s="152"/>
      <c r="AU535" s="152"/>
      <c r="AV535" s="152"/>
      <c r="AW535" s="152"/>
      <c r="AX535" s="152"/>
      <c r="AY535" s="152"/>
      <c r="AZ535" s="152"/>
      <c r="BA535" s="152"/>
      <c r="BB535" s="152"/>
      <c r="BC535" s="152"/>
    </row>
    <row r="536" customFormat="false" ht="15.75" hidden="false" customHeight="false" outlineLevel="0" collapsed="false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2"/>
      <c r="AI536" s="152"/>
      <c r="AJ536" s="152"/>
      <c r="AK536" s="152"/>
      <c r="AL536" s="152"/>
      <c r="AM536" s="152"/>
      <c r="AN536" s="152"/>
      <c r="AO536" s="152"/>
      <c r="AP536" s="152"/>
      <c r="AQ536" s="152"/>
      <c r="AR536" s="152"/>
      <c r="AS536" s="152"/>
      <c r="AT536" s="152"/>
      <c r="AU536" s="152"/>
      <c r="AV536" s="152"/>
      <c r="AW536" s="152"/>
      <c r="AX536" s="152"/>
      <c r="AY536" s="152"/>
      <c r="AZ536" s="152"/>
      <c r="BA536" s="152"/>
      <c r="BB536" s="152"/>
      <c r="BC536" s="152"/>
    </row>
    <row r="537" customFormat="false" ht="15.75" hidden="false" customHeight="false" outlineLevel="0" collapsed="false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2"/>
      <c r="AI537" s="152"/>
      <c r="AJ537" s="152"/>
      <c r="AK537" s="152"/>
      <c r="AL537" s="152"/>
      <c r="AM537" s="152"/>
      <c r="AN537" s="152"/>
      <c r="AO537" s="152"/>
      <c r="AP537" s="152"/>
      <c r="AQ537" s="152"/>
      <c r="AR537" s="152"/>
      <c r="AS537" s="152"/>
      <c r="AT537" s="152"/>
      <c r="AU537" s="152"/>
      <c r="AV537" s="152"/>
      <c r="AW537" s="152"/>
      <c r="AX537" s="152"/>
      <c r="AY537" s="152"/>
      <c r="AZ537" s="152"/>
      <c r="BA537" s="152"/>
      <c r="BB537" s="152"/>
      <c r="BC537" s="152"/>
    </row>
    <row r="538" customFormat="false" ht="15.75" hidden="false" customHeight="false" outlineLevel="0" collapsed="false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2"/>
      <c r="AI538" s="152"/>
      <c r="AJ538" s="152"/>
      <c r="AK538" s="152"/>
      <c r="AL538" s="152"/>
      <c r="AM538" s="152"/>
      <c r="AN538" s="152"/>
      <c r="AO538" s="152"/>
      <c r="AP538" s="152"/>
      <c r="AQ538" s="152"/>
      <c r="AR538" s="152"/>
      <c r="AS538" s="152"/>
      <c r="AT538" s="152"/>
      <c r="AU538" s="152"/>
      <c r="AV538" s="152"/>
      <c r="AW538" s="152"/>
      <c r="AX538" s="152"/>
      <c r="AY538" s="152"/>
      <c r="AZ538" s="152"/>
      <c r="BA538" s="152"/>
      <c r="BB538" s="152"/>
      <c r="BC538" s="152"/>
    </row>
    <row r="539" customFormat="false" ht="15.75" hidden="false" customHeight="false" outlineLevel="0" collapsed="false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2"/>
      <c r="AI539" s="152"/>
      <c r="AJ539" s="152"/>
      <c r="AK539" s="152"/>
      <c r="AL539" s="152"/>
      <c r="AM539" s="152"/>
      <c r="AN539" s="152"/>
      <c r="AO539" s="152"/>
      <c r="AP539" s="152"/>
      <c r="AQ539" s="152"/>
      <c r="AR539" s="152"/>
      <c r="AS539" s="152"/>
      <c r="AT539" s="152"/>
      <c r="AU539" s="152"/>
      <c r="AV539" s="152"/>
      <c r="AW539" s="152"/>
      <c r="AX539" s="152"/>
      <c r="AY539" s="152"/>
      <c r="AZ539" s="152"/>
      <c r="BA539" s="152"/>
      <c r="BB539" s="152"/>
      <c r="BC539" s="152"/>
    </row>
    <row r="540" customFormat="false" ht="15.75" hidden="false" customHeight="false" outlineLevel="0" collapsed="false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2"/>
      <c r="AI540" s="152"/>
      <c r="AJ540" s="152"/>
      <c r="AK540" s="152"/>
      <c r="AL540" s="152"/>
      <c r="AM540" s="152"/>
      <c r="AN540" s="152"/>
      <c r="AO540" s="152"/>
      <c r="AP540" s="152"/>
      <c r="AQ540" s="152"/>
      <c r="AR540" s="152"/>
      <c r="AS540" s="152"/>
      <c r="AT540" s="152"/>
      <c r="AU540" s="152"/>
      <c r="AV540" s="152"/>
      <c r="AW540" s="152"/>
      <c r="AX540" s="152"/>
      <c r="AY540" s="152"/>
      <c r="AZ540" s="152"/>
      <c r="BA540" s="152"/>
      <c r="BB540" s="152"/>
      <c r="BC540" s="152"/>
    </row>
    <row r="541" customFormat="false" ht="15.75" hidden="false" customHeight="false" outlineLevel="0" collapsed="false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2"/>
      <c r="AI541" s="152"/>
      <c r="AJ541" s="152"/>
      <c r="AK541" s="152"/>
      <c r="AL541" s="152"/>
      <c r="AM541" s="152"/>
      <c r="AN541" s="152"/>
      <c r="AO541" s="152"/>
      <c r="AP541" s="152"/>
      <c r="AQ541" s="152"/>
      <c r="AR541" s="152"/>
      <c r="AS541" s="152"/>
      <c r="AT541" s="152"/>
      <c r="AU541" s="152"/>
      <c r="AV541" s="152"/>
      <c r="AW541" s="152"/>
      <c r="AX541" s="152"/>
      <c r="AY541" s="152"/>
      <c r="AZ541" s="152"/>
      <c r="BA541" s="152"/>
      <c r="BB541" s="152"/>
      <c r="BC541" s="152"/>
    </row>
    <row r="542" customFormat="false" ht="15.75" hidden="false" customHeight="false" outlineLevel="0" collapsed="false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2"/>
      <c r="AI542" s="152"/>
      <c r="AJ542" s="152"/>
      <c r="AK542" s="152"/>
      <c r="AL542" s="152"/>
      <c r="AM542" s="152"/>
      <c r="AN542" s="152"/>
      <c r="AO542" s="152"/>
      <c r="AP542" s="152"/>
      <c r="AQ542" s="152"/>
      <c r="AR542" s="152"/>
      <c r="AS542" s="152"/>
      <c r="AT542" s="152"/>
      <c r="AU542" s="152"/>
      <c r="AV542" s="152"/>
      <c r="AW542" s="152"/>
      <c r="AX542" s="152"/>
      <c r="AY542" s="152"/>
      <c r="AZ542" s="152"/>
      <c r="BA542" s="152"/>
      <c r="BB542" s="152"/>
      <c r="BC542" s="152"/>
    </row>
    <row r="543" customFormat="false" ht="15.75" hidden="false" customHeight="false" outlineLevel="0" collapsed="false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2"/>
      <c r="AI543" s="152"/>
      <c r="AJ543" s="152"/>
      <c r="AK543" s="152"/>
      <c r="AL543" s="152"/>
      <c r="AM543" s="152"/>
      <c r="AN543" s="152"/>
      <c r="AO543" s="152"/>
      <c r="AP543" s="152"/>
      <c r="AQ543" s="152"/>
      <c r="AR543" s="152"/>
      <c r="AS543" s="152"/>
      <c r="AT543" s="152"/>
      <c r="AU543" s="152"/>
      <c r="AV543" s="152"/>
      <c r="AW543" s="152"/>
      <c r="AX543" s="152"/>
      <c r="AY543" s="152"/>
      <c r="AZ543" s="152"/>
      <c r="BA543" s="152"/>
      <c r="BB543" s="152"/>
      <c r="BC543" s="152"/>
    </row>
    <row r="544" customFormat="false" ht="15.75" hidden="false" customHeight="false" outlineLevel="0" collapsed="false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2"/>
      <c r="AI544" s="152"/>
      <c r="AJ544" s="152"/>
      <c r="AK544" s="152"/>
      <c r="AL544" s="152"/>
      <c r="AM544" s="152"/>
      <c r="AN544" s="152"/>
      <c r="AO544" s="152"/>
      <c r="AP544" s="152"/>
      <c r="AQ544" s="152"/>
      <c r="AR544" s="152"/>
      <c r="AS544" s="152"/>
      <c r="AT544" s="152"/>
      <c r="AU544" s="152"/>
      <c r="AV544" s="152"/>
      <c r="AW544" s="152"/>
      <c r="AX544" s="152"/>
      <c r="AY544" s="152"/>
      <c r="AZ544" s="152"/>
      <c r="BA544" s="152"/>
      <c r="BB544" s="152"/>
      <c r="BC544" s="152"/>
    </row>
    <row r="545" customFormat="false" ht="15.75" hidden="false" customHeight="false" outlineLevel="0" collapsed="false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2"/>
      <c r="AI545" s="152"/>
      <c r="AJ545" s="152"/>
      <c r="AK545" s="152"/>
      <c r="AL545" s="152"/>
      <c r="AM545" s="152"/>
      <c r="AN545" s="152"/>
      <c r="AO545" s="152"/>
      <c r="AP545" s="152"/>
      <c r="AQ545" s="152"/>
      <c r="AR545" s="152"/>
      <c r="AS545" s="152"/>
      <c r="AT545" s="152"/>
      <c r="AU545" s="152"/>
      <c r="AV545" s="152"/>
      <c r="AW545" s="152"/>
      <c r="AX545" s="152"/>
      <c r="AY545" s="152"/>
      <c r="AZ545" s="152"/>
      <c r="BA545" s="152"/>
      <c r="BB545" s="152"/>
      <c r="BC545" s="152"/>
    </row>
    <row r="546" customFormat="false" ht="15.75" hidden="false" customHeight="false" outlineLevel="0" collapsed="false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2"/>
      <c r="AI546" s="152"/>
      <c r="AJ546" s="152"/>
      <c r="AK546" s="152"/>
      <c r="AL546" s="152"/>
      <c r="AM546" s="152"/>
      <c r="AN546" s="152"/>
      <c r="AO546" s="152"/>
      <c r="AP546" s="152"/>
      <c r="AQ546" s="152"/>
      <c r="AR546" s="152"/>
      <c r="AS546" s="152"/>
      <c r="AT546" s="152"/>
      <c r="AU546" s="152"/>
      <c r="AV546" s="152"/>
      <c r="AW546" s="152"/>
      <c r="AX546" s="152"/>
      <c r="AY546" s="152"/>
      <c r="AZ546" s="152"/>
      <c r="BA546" s="152"/>
      <c r="BB546" s="152"/>
      <c r="BC546" s="152"/>
    </row>
    <row r="547" customFormat="false" ht="15.75" hidden="false" customHeight="false" outlineLevel="0" collapsed="false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2"/>
      <c r="AI547" s="152"/>
      <c r="AJ547" s="152"/>
      <c r="AK547" s="152"/>
      <c r="AL547" s="152"/>
      <c r="AM547" s="152"/>
      <c r="AN547" s="152"/>
      <c r="AO547" s="152"/>
      <c r="AP547" s="152"/>
      <c r="AQ547" s="152"/>
      <c r="AR547" s="152"/>
      <c r="AS547" s="152"/>
      <c r="AT547" s="152"/>
      <c r="AU547" s="152"/>
      <c r="AV547" s="152"/>
      <c r="AW547" s="152"/>
      <c r="AX547" s="152"/>
      <c r="AY547" s="152"/>
      <c r="AZ547" s="152"/>
      <c r="BA547" s="152"/>
      <c r="BB547" s="152"/>
      <c r="BC547" s="152"/>
    </row>
    <row r="548" customFormat="false" ht="15.75" hidden="false" customHeight="false" outlineLevel="0" collapsed="false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2"/>
      <c r="AI548" s="152"/>
      <c r="AJ548" s="152"/>
      <c r="AK548" s="152"/>
      <c r="AL548" s="152"/>
      <c r="AM548" s="152"/>
      <c r="AN548" s="152"/>
      <c r="AO548" s="152"/>
      <c r="AP548" s="152"/>
      <c r="AQ548" s="152"/>
      <c r="AR548" s="152"/>
      <c r="AS548" s="152"/>
      <c r="AT548" s="152"/>
      <c r="AU548" s="152"/>
      <c r="AV548" s="152"/>
      <c r="AW548" s="152"/>
      <c r="AX548" s="152"/>
      <c r="AY548" s="152"/>
      <c r="AZ548" s="152"/>
      <c r="BA548" s="152"/>
      <c r="BB548" s="152"/>
      <c r="BC548" s="152"/>
    </row>
    <row r="549" customFormat="false" ht="15.75" hidden="false" customHeight="false" outlineLevel="0" collapsed="false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2"/>
      <c r="AI549" s="152"/>
      <c r="AJ549" s="152"/>
      <c r="AK549" s="152"/>
      <c r="AL549" s="152"/>
      <c r="AM549" s="152"/>
      <c r="AN549" s="152"/>
      <c r="AO549" s="152"/>
      <c r="AP549" s="152"/>
      <c r="AQ549" s="152"/>
      <c r="AR549" s="152"/>
      <c r="AS549" s="152"/>
      <c r="AT549" s="152"/>
      <c r="AU549" s="152"/>
      <c r="AV549" s="152"/>
      <c r="AW549" s="152"/>
      <c r="AX549" s="152"/>
      <c r="AY549" s="152"/>
      <c r="AZ549" s="152"/>
      <c r="BA549" s="152"/>
      <c r="BB549" s="152"/>
      <c r="BC549" s="152"/>
    </row>
    <row r="550" customFormat="false" ht="15.75" hidden="false" customHeight="false" outlineLevel="0" collapsed="false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2"/>
      <c r="AI550" s="152"/>
      <c r="AJ550" s="152"/>
      <c r="AK550" s="152"/>
      <c r="AL550" s="152"/>
      <c r="AM550" s="152"/>
      <c r="AN550" s="152"/>
      <c r="AO550" s="152"/>
      <c r="AP550" s="152"/>
      <c r="AQ550" s="152"/>
      <c r="AR550" s="152"/>
      <c r="AS550" s="152"/>
      <c r="AT550" s="152"/>
      <c r="AU550" s="152"/>
      <c r="AV550" s="152"/>
      <c r="AW550" s="152"/>
      <c r="AX550" s="152"/>
      <c r="AY550" s="152"/>
      <c r="AZ550" s="152"/>
      <c r="BA550" s="152"/>
      <c r="BB550" s="152"/>
      <c r="BC550" s="152"/>
    </row>
    <row r="551" customFormat="false" ht="15.75" hidden="false" customHeight="false" outlineLevel="0" collapsed="false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2"/>
      <c r="AI551" s="152"/>
      <c r="AJ551" s="152"/>
      <c r="AK551" s="152"/>
      <c r="AL551" s="152"/>
      <c r="AM551" s="152"/>
      <c r="AN551" s="152"/>
      <c r="AO551" s="152"/>
      <c r="AP551" s="152"/>
      <c r="AQ551" s="152"/>
      <c r="AR551" s="152"/>
      <c r="AS551" s="152"/>
      <c r="AT551" s="152"/>
      <c r="AU551" s="152"/>
      <c r="AV551" s="152"/>
      <c r="AW551" s="152"/>
      <c r="AX551" s="152"/>
      <c r="AY551" s="152"/>
      <c r="AZ551" s="152"/>
      <c r="BA551" s="152"/>
      <c r="BB551" s="152"/>
      <c r="BC551" s="152"/>
    </row>
    <row r="552" customFormat="false" ht="15.75" hidden="false" customHeight="false" outlineLevel="0" collapsed="false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2"/>
      <c r="AI552" s="152"/>
      <c r="AJ552" s="152"/>
      <c r="AK552" s="152"/>
      <c r="AL552" s="152"/>
      <c r="AM552" s="152"/>
      <c r="AN552" s="152"/>
      <c r="AO552" s="152"/>
      <c r="AP552" s="152"/>
      <c r="AQ552" s="152"/>
      <c r="AR552" s="152"/>
      <c r="AS552" s="152"/>
      <c r="AT552" s="152"/>
      <c r="AU552" s="152"/>
      <c r="AV552" s="152"/>
      <c r="AW552" s="152"/>
      <c r="AX552" s="152"/>
      <c r="AY552" s="152"/>
      <c r="AZ552" s="152"/>
      <c r="BA552" s="152"/>
      <c r="BB552" s="152"/>
      <c r="BC552" s="152"/>
    </row>
    <row r="553" customFormat="false" ht="15.75" hidden="false" customHeight="false" outlineLevel="0" collapsed="false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2"/>
      <c r="AI553" s="152"/>
      <c r="AJ553" s="152"/>
      <c r="AK553" s="152"/>
      <c r="AL553" s="152"/>
      <c r="AM553" s="152"/>
      <c r="AN553" s="152"/>
      <c r="AO553" s="152"/>
      <c r="AP553" s="152"/>
      <c r="AQ553" s="152"/>
      <c r="AR553" s="152"/>
      <c r="AS553" s="152"/>
      <c r="AT553" s="152"/>
      <c r="AU553" s="152"/>
      <c r="AV553" s="152"/>
      <c r="AW553" s="152"/>
      <c r="AX553" s="152"/>
      <c r="AY553" s="152"/>
      <c r="AZ553" s="152"/>
      <c r="BA553" s="152"/>
      <c r="BB553" s="152"/>
      <c r="BC553" s="152"/>
    </row>
    <row r="554" customFormat="false" ht="15.75" hidden="false" customHeight="false" outlineLevel="0" collapsed="false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2"/>
      <c r="AI554" s="152"/>
      <c r="AJ554" s="152"/>
      <c r="AK554" s="152"/>
      <c r="AL554" s="152"/>
      <c r="AM554" s="152"/>
      <c r="AN554" s="152"/>
      <c r="AO554" s="152"/>
      <c r="AP554" s="152"/>
      <c r="AQ554" s="152"/>
      <c r="AR554" s="152"/>
      <c r="AS554" s="152"/>
      <c r="AT554" s="152"/>
      <c r="AU554" s="152"/>
      <c r="AV554" s="152"/>
      <c r="AW554" s="152"/>
      <c r="AX554" s="152"/>
      <c r="AY554" s="152"/>
      <c r="AZ554" s="152"/>
      <c r="BA554" s="152"/>
      <c r="BB554" s="152"/>
      <c r="BC554" s="152"/>
    </row>
    <row r="555" customFormat="false" ht="15.75" hidden="false" customHeight="false" outlineLevel="0" collapsed="false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2"/>
      <c r="AI555" s="152"/>
      <c r="AJ555" s="152"/>
      <c r="AK555" s="152"/>
      <c r="AL555" s="152"/>
      <c r="AM555" s="152"/>
      <c r="AN555" s="152"/>
      <c r="AO555" s="152"/>
      <c r="AP555" s="152"/>
      <c r="AQ555" s="152"/>
      <c r="AR555" s="152"/>
      <c r="AS555" s="152"/>
      <c r="AT555" s="152"/>
      <c r="AU555" s="152"/>
      <c r="AV555" s="152"/>
      <c r="AW555" s="152"/>
      <c r="AX555" s="152"/>
      <c r="AY555" s="152"/>
      <c r="AZ555" s="152"/>
      <c r="BA555" s="152"/>
      <c r="BB555" s="152"/>
      <c r="BC555" s="152"/>
    </row>
    <row r="556" customFormat="false" ht="15.75" hidden="false" customHeight="false" outlineLevel="0" collapsed="false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2"/>
      <c r="AI556" s="152"/>
      <c r="AJ556" s="152"/>
      <c r="AK556" s="152"/>
      <c r="AL556" s="152"/>
      <c r="AM556" s="152"/>
      <c r="AN556" s="152"/>
      <c r="AO556" s="152"/>
      <c r="AP556" s="152"/>
      <c r="AQ556" s="152"/>
      <c r="AR556" s="152"/>
      <c r="AS556" s="152"/>
      <c r="AT556" s="152"/>
      <c r="AU556" s="152"/>
      <c r="AV556" s="152"/>
      <c r="AW556" s="152"/>
      <c r="AX556" s="152"/>
      <c r="AY556" s="152"/>
      <c r="AZ556" s="152"/>
      <c r="BA556" s="152"/>
      <c r="BB556" s="152"/>
      <c r="BC556" s="152"/>
    </row>
    <row r="557" customFormat="false" ht="15.75" hidden="false" customHeight="false" outlineLevel="0" collapsed="false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2"/>
      <c r="AI557" s="152"/>
      <c r="AJ557" s="152"/>
      <c r="AK557" s="152"/>
      <c r="AL557" s="152"/>
      <c r="AM557" s="152"/>
      <c r="AN557" s="152"/>
      <c r="AO557" s="152"/>
      <c r="AP557" s="152"/>
      <c r="AQ557" s="152"/>
      <c r="AR557" s="152"/>
      <c r="AS557" s="152"/>
      <c r="AT557" s="152"/>
      <c r="AU557" s="152"/>
      <c r="AV557" s="152"/>
      <c r="AW557" s="152"/>
      <c r="AX557" s="152"/>
      <c r="AY557" s="152"/>
      <c r="AZ557" s="152"/>
      <c r="BA557" s="152"/>
      <c r="BB557" s="152"/>
      <c r="BC557" s="152"/>
    </row>
    <row r="558" customFormat="false" ht="15.75" hidden="false" customHeight="false" outlineLevel="0" collapsed="false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2"/>
      <c r="AI558" s="152"/>
      <c r="AJ558" s="152"/>
      <c r="AK558" s="152"/>
      <c r="AL558" s="152"/>
      <c r="AM558" s="152"/>
      <c r="AN558" s="152"/>
      <c r="AO558" s="152"/>
      <c r="AP558" s="152"/>
      <c r="AQ558" s="152"/>
      <c r="AR558" s="152"/>
      <c r="AS558" s="152"/>
      <c r="AT558" s="152"/>
      <c r="AU558" s="152"/>
      <c r="AV558" s="152"/>
      <c r="AW558" s="152"/>
      <c r="AX558" s="152"/>
      <c r="AY558" s="152"/>
      <c r="AZ558" s="152"/>
      <c r="BA558" s="152"/>
      <c r="BB558" s="152"/>
      <c r="BC558" s="152"/>
    </row>
    <row r="559" customFormat="false" ht="15.75" hidden="false" customHeight="false" outlineLevel="0" collapsed="false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2"/>
      <c r="AI559" s="152"/>
      <c r="AJ559" s="152"/>
      <c r="AK559" s="152"/>
      <c r="AL559" s="152"/>
      <c r="AM559" s="152"/>
      <c r="AN559" s="152"/>
      <c r="AO559" s="152"/>
      <c r="AP559" s="152"/>
      <c r="AQ559" s="152"/>
      <c r="AR559" s="152"/>
      <c r="AS559" s="152"/>
      <c r="AT559" s="152"/>
      <c r="AU559" s="152"/>
      <c r="AV559" s="152"/>
      <c r="AW559" s="152"/>
      <c r="AX559" s="152"/>
      <c r="AY559" s="152"/>
      <c r="AZ559" s="152"/>
      <c r="BA559" s="152"/>
      <c r="BB559" s="152"/>
      <c r="BC559" s="152"/>
    </row>
    <row r="560" customFormat="false" ht="15.75" hidden="false" customHeight="false" outlineLevel="0" collapsed="false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2"/>
      <c r="AI560" s="152"/>
      <c r="AJ560" s="152"/>
      <c r="AK560" s="152"/>
      <c r="AL560" s="152"/>
      <c r="AM560" s="152"/>
      <c r="AN560" s="152"/>
      <c r="AO560" s="152"/>
      <c r="AP560" s="152"/>
      <c r="AQ560" s="152"/>
      <c r="AR560" s="152"/>
      <c r="AS560" s="152"/>
      <c r="AT560" s="152"/>
      <c r="AU560" s="152"/>
      <c r="AV560" s="152"/>
      <c r="AW560" s="152"/>
      <c r="AX560" s="152"/>
      <c r="AY560" s="152"/>
      <c r="AZ560" s="152"/>
      <c r="BA560" s="152"/>
      <c r="BB560" s="152"/>
      <c r="BC560" s="152"/>
    </row>
    <row r="561" customFormat="false" ht="15.75" hidden="false" customHeight="false" outlineLevel="0" collapsed="false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2"/>
      <c r="AI561" s="152"/>
      <c r="AJ561" s="152"/>
      <c r="AK561" s="152"/>
      <c r="AL561" s="152"/>
      <c r="AM561" s="152"/>
      <c r="AN561" s="152"/>
      <c r="AO561" s="152"/>
      <c r="AP561" s="152"/>
      <c r="AQ561" s="152"/>
      <c r="AR561" s="152"/>
      <c r="AS561" s="152"/>
      <c r="AT561" s="152"/>
      <c r="AU561" s="152"/>
      <c r="AV561" s="152"/>
      <c r="AW561" s="152"/>
      <c r="AX561" s="152"/>
      <c r="AY561" s="152"/>
      <c r="AZ561" s="152"/>
      <c r="BA561" s="152"/>
      <c r="BB561" s="152"/>
      <c r="BC561" s="152"/>
    </row>
    <row r="562" customFormat="false" ht="15.75" hidden="false" customHeight="false" outlineLevel="0" collapsed="false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2"/>
      <c r="AI562" s="152"/>
      <c r="AJ562" s="152"/>
      <c r="AK562" s="152"/>
      <c r="AL562" s="152"/>
      <c r="AM562" s="152"/>
      <c r="AN562" s="152"/>
      <c r="AO562" s="152"/>
      <c r="AP562" s="152"/>
      <c r="AQ562" s="152"/>
      <c r="AR562" s="152"/>
      <c r="AS562" s="152"/>
      <c r="AT562" s="152"/>
      <c r="AU562" s="152"/>
      <c r="AV562" s="152"/>
      <c r="AW562" s="152"/>
      <c r="AX562" s="152"/>
      <c r="AY562" s="152"/>
      <c r="AZ562" s="152"/>
      <c r="BA562" s="152"/>
      <c r="BB562" s="152"/>
      <c r="BC562" s="152"/>
    </row>
    <row r="563" customFormat="false" ht="15.75" hidden="false" customHeight="false" outlineLevel="0" collapsed="false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2"/>
      <c r="AI563" s="152"/>
      <c r="AJ563" s="152"/>
      <c r="AK563" s="152"/>
      <c r="AL563" s="152"/>
      <c r="AM563" s="152"/>
      <c r="AN563" s="152"/>
      <c r="AO563" s="152"/>
      <c r="AP563" s="152"/>
      <c r="AQ563" s="152"/>
      <c r="AR563" s="152"/>
      <c r="AS563" s="152"/>
      <c r="AT563" s="152"/>
      <c r="AU563" s="152"/>
      <c r="AV563" s="152"/>
      <c r="AW563" s="152"/>
      <c r="AX563" s="152"/>
      <c r="AY563" s="152"/>
      <c r="AZ563" s="152"/>
      <c r="BA563" s="152"/>
      <c r="BB563" s="152"/>
      <c r="BC563" s="152"/>
    </row>
    <row r="564" customFormat="false" ht="15.75" hidden="false" customHeight="false" outlineLevel="0" collapsed="false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2"/>
      <c r="AI564" s="152"/>
      <c r="AJ564" s="152"/>
      <c r="AK564" s="152"/>
      <c r="AL564" s="152"/>
      <c r="AM564" s="152"/>
      <c r="AN564" s="152"/>
      <c r="AO564" s="152"/>
      <c r="AP564" s="152"/>
      <c r="AQ564" s="152"/>
      <c r="AR564" s="152"/>
      <c r="AS564" s="152"/>
      <c r="AT564" s="152"/>
      <c r="AU564" s="152"/>
      <c r="AV564" s="152"/>
      <c r="AW564" s="152"/>
      <c r="AX564" s="152"/>
      <c r="AY564" s="152"/>
      <c r="AZ564" s="152"/>
      <c r="BA564" s="152"/>
      <c r="BB564" s="152"/>
      <c r="BC564" s="152"/>
    </row>
    <row r="565" customFormat="false" ht="15.75" hidden="false" customHeight="false" outlineLevel="0" collapsed="false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2"/>
      <c r="AI565" s="152"/>
      <c r="AJ565" s="152"/>
      <c r="AK565" s="152"/>
      <c r="AL565" s="152"/>
      <c r="AM565" s="152"/>
      <c r="AN565" s="152"/>
      <c r="AO565" s="152"/>
      <c r="AP565" s="152"/>
      <c r="AQ565" s="152"/>
      <c r="AR565" s="152"/>
      <c r="AS565" s="152"/>
      <c r="AT565" s="152"/>
      <c r="AU565" s="152"/>
      <c r="AV565" s="152"/>
      <c r="AW565" s="152"/>
      <c r="AX565" s="152"/>
      <c r="AY565" s="152"/>
      <c r="AZ565" s="152"/>
      <c r="BA565" s="152"/>
      <c r="BB565" s="152"/>
      <c r="BC565" s="152"/>
    </row>
    <row r="566" customFormat="false" ht="15.75" hidden="false" customHeight="false" outlineLevel="0" collapsed="false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2"/>
      <c r="AI566" s="152"/>
      <c r="AJ566" s="152"/>
      <c r="AK566" s="152"/>
      <c r="AL566" s="152"/>
      <c r="AM566" s="152"/>
      <c r="AN566" s="152"/>
      <c r="AO566" s="152"/>
      <c r="AP566" s="152"/>
      <c r="AQ566" s="152"/>
      <c r="AR566" s="152"/>
      <c r="AS566" s="152"/>
      <c r="AT566" s="152"/>
      <c r="AU566" s="152"/>
      <c r="AV566" s="152"/>
      <c r="AW566" s="152"/>
      <c r="AX566" s="152"/>
      <c r="AY566" s="152"/>
      <c r="AZ566" s="152"/>
      <c r="BA566" s="152"/>
      <c r="BB566" s="152"/>
      <c r="BC566" s="152"/>
    </row>
    <row r="567" customFormat="false" ht="15.75" hidden="false" customHeight="false" outlineLevel="0" collapsed="false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2"/>
      <c r="AI567" s="152"/>
      <c r="AJ567" s="152"/>
      <c r="AK567" s="152"/>
      <c r="AL567" s="152"/>
      <c r="AM567" s="152"/>
      <c r="AN567" s="152"/>
      <c r="AO567" s="152"/>
      <c r="AP567" s="152"/>
      <c r="AQ567" s="152"/>
      <c r="AR567" s="152"/>
      <c r="AS567" s="152"/>
      <c r="AT567" s="152"/>
      <c r="AU567" s="152"/>
      <c r="AV567" s="152"/>
      <c r="AW567" s="152"/>
      <c r="AX567" s="152"/>
      <c r="AY567" s="152"/>
      <c r="AZ567" s="152"/>
      <c r="BA567" s="152"/>
      <c r="BB567" s="152"/>
      <c r="BC567" s="152"/>
    </row>
    <row r="568" customFormat="false" ht="15.75" hidden="false" customHeight="false" outlineLevel="0" collapsed="false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2"/>
      <c r="AI568" s="152"/>
      <c r="AJ568" s="152"/>
      <c r="AK568" s="152"/>
      <c r="AL568" s="152"/>
      <c r="AM568" s="152"/>
      <c r="AN568" s="152"/>
      <c r="AO568" s="152"/>
      <c r="AP568" s="152"/>
      <c r="AQ568" s="152"/>
      <c r="AR568" s="152"/>
      <c r="AS568" s="152"/>
      <c r="AT568" s="152"/>
      <c r="AU568" s="152"/>
      <c r="AV568" s="152"/>
      <c r="AW568" s="152"/>
      <c r="AX568" s="152"/>
      <c r="AY568" s="152"/>
      <c r="AZ568" s="152"/>
      <c r="BA568" s="152"/>
      <c r="BB568" s="152"/>
      <c r="BC568" s="152"/>
    </row>
    <row r="569" customFormat="false" ht="15.75" hidden="false" customHeight="false" outlineLevel="0" collapsed="false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2"/>
      <c r="AI569" s="152"/>
      <c r="AJ569" s="152"/>
      <c r="AK569" s="152"/>
      <c r="AL569" s="152"/>
      <c r="AM569" s="152"/>
      <c r="AN569" s="152"/>
      <c r="AO569" s="152"/>
      <c r="AP569" s="152"/>
      <c r="AQ569" s="152"/>
      <c r="AR569" s="152"/>
      <c r="AS569" s="152"/>
      <c r="AT569" s="152"/>
      <c r="AU569" s="152"/>
      <c r="AV569" s="152"/>
      <c r="AW569" s="152"/>
      <c r="AX569" s="152"/>
      <c r="AY569" s="152"/>
      <c r="AZ569" s="152"/>
      <c r="BA569" s="152"/>
      <c r="BB569" s="152"/>
      <c r="BC569" s="152"/>
    </row>
    <row r="570" customFormat="false" ht="15.75" hidden="false" customHeight="false" outlineLevel="0" collapsed="false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2"/>
      <c r="AI570" s="152"/>
      <c r="AJ570" s="152"/>
      <c r="AK570" s="152"/>
      <c r="AL570" s="152"/>
      <c r="AM570" s="152"/>
      <c r="AN570" s="152"/>
      <c r="AO570" s="152"/>
      <c r="AP570" s="152"/>
      <c r="AQ570" s="152"/>
      <c r="AR570" s="152"/>
      <c r="AS570" s="152"/>
      <c r="AT570" s="152"/>
      <c r="AU570" s="152"/>
      <c r="AV570" s="152"/>
      <c r="AW570" s="152"/>
      <c r="AX570" s="152"/>
      <c r="AY570" s="152"/>
      <c r="AZ570" s="152"/>
      <c r="BA570" s="152"/>
      <c r="BB570" s="152"/>
      <c r="BC570" s="152"/>
    </row>
    <row r="571" customFormat="false" ht="15.75" hidden="false" customHeight="false" outlineLevel="0" collapsed="false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2"/>
      <c r="AI571" s="152"/>
      <c r="AJ571" s="152"/>
      <c r="AK571" s="152"/>
      <c r="AL571" s="152"/>
      <c r="AM571" s="152"/>
      <c r="AN571" s="152"/>
      <c r="AO571" s="152"/>
      <c r="AP571" s="152"/>
      <c r="AQ571" s="152"/>
      <c r="AR571" s="152"/>
      <c r="AS571" s="152"/>
      <c r="AT571" s="152"/>
      <c r="AU571" s="152"/>
      <c r="AV571" s="152"/>
      <c r="AW571" s="152"/>
      <c r="AX571" s="152"/>
      <c r="AY571" s="152"/>
      <c r="AZ571" s="152"/>
      <c r="BA571" s="152"/>
      <c r="BB571" s="152"/>
      <c r="BC571" s="152"/>
    </row>
    <row r="572" customFormat="false" ht="15.75" hidden="false" customHeight="false" outlineLevel="0" collapsed="false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2"/>
      <c r="AI572" s="152"/>
      <c r="AJ572" s="152"/>
      <c r="AK572" s="152"/>
      <c r="AL572" s="152"/>
      <c r="AM572" s="152"/>
      <c r="AN572" s="152"/>
      <c r="AO572" s="152"/>
      <c r="AP572" s="152"/>
      <c r="AQ572" s="152"/>
      <c r="AR572" s="152"/>
      <c r="AS572" s="152"/>
      <c r="AT572" s="152"/>
      <c r="AU572" s="152"/>
      <c r="AV572" s="152"/>
      <c r="AW572" s="152"/>
      <c r="AX572" s="152"/>
      <c r="AY572" s="152"/>
      <c r="AZ572" s="152"/>
      <c r="BA572" s="152"/>
      <c r="BB572" s="152"/>
      <c r="BC572" s="152"/>
    </row>
    <row r="573" customFormat="false" ht="15.75" hidden="false" customHeight="false" outlineLevel="0" collapsed="false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2"/>
      <c r="AI573" s="152"/>
      <c r="AJ573" s="152"/>
      <c r="AK573" s="152"/>
      <c r="AL573" s="152"/>
      <c r="AM573" s="152"/>
      <c r="AN573" s="152"/>
      <c r="AO573" s="152"/>
      <c r="AP573" s="152"/>
      <c r="AQ573" s="152"/>
      <c r="AR573" s="152"/>
      <c r="AS573" s="152"/>
      <c r="AT573" s="152"/>
      <c r="AU573" s="152"/>
      <c r="AV573" s="152"/>
      <c r="AW573" s="152"/>
      <c r="AX573" s="152"/>
      <c r="AY573" s="152"/>
      <c r="AZ573" s="152"/>
      <c r="BA573" s="152"/>
      <c r="BB573" s="152"/>
      <c r="BC573" s="152"/>
    </row>
    <row r="574" customFormat="false" ht="15.75" hidden="false" customHeight="false" outlineLevel="0" collapsed="false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2"/>
      <c r="AI574" s="152"/>
      <c r="AJ574" s="152"/>
      <c r="AK574" s="152"/>
      <c r="AL574" s="152"/>
      <c r="AM574" s="152"/>
      <c r="AN574" s="152"/>
      <c r="AO574" s="152"/>
      <c r="AP574" s="152"/>
      <c r="AQ574" s="152"/>
      <c r="AR574" s="152"/>
      <c r="AS574" s="152"/>
      <c r="AT574" s="152"/>
      <c r="AU574" s="152"/>
      <c r="AV574" s="152"/>
      <c r="AW574" s="152"/>
      <c r="AX574" s="152"/>
      <c r="AY574" s="152"/>
      <c r="AZ574" s="152"/>
      <c r="BA574" s="152"/>
      <c r="BB574" s="152"/>
      <c r="BC574" s="152"/>
    </row>
    <row r="575" customFormat="false" ht="15.75" hidden="false" customHeight="false" outlineLevel="0" collapsed="false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2"/>
      <c r="AI575" s="152"/>
      <c r="AJ575" s="152"/>
      <c r="AK575" s="152"/>
      <c r="AL575" s="152"/>
      <c r="AM575" s="152"/>
      <c r="AN575" s="152"/>
      <c r="AO575" s="152"/>
      <c r="AP575" s="152"/>
      <c r="AQ575" s="152"/>
      <c r="AR575" s="152"/>
      <c r="AS575" s="152"/>
      <c r="AT575" s="152"/>
      <c r="AU575" s="152"/>
      <c r="AV575" s="152"/>
      <c r="AW575" s="152"/>
      <c r="AX575" s="152"/>
      <c r="AY575" s="152"/>
      <c r="AZ575" s="152"/>
      <c r="BA575" s="152"/>
      <c r="BB575" s="152"/>
      <c r="BC575" s="152"/>
    </row>
    <row r="576" customFormat="false" ht="15.75" hidden="false" customHeight="false" outlineLevel="0" collapsed="false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2"/>
      <c r="AI576" s="152"/>
      <c r="AJ576" s="152"/>
      <c r="AK576" s="152"/>
      <c r="AL576" s="152"/>
      <c r="AM576" s="152"/>
      <c r="AN576" s="152"/>
      <c r="AO576" s="152"/>
      <c r="AP576" s="152"/>
      <c r="AQ576" s="152"/>
      <c r="AR576" s="152"/>
      <c r="AS576" s="152"/>
      <c r="AT576" s="152"/>
      <c r="AU576" s="152"/>
      <c r="AV576" s="152"/>
      <c r="AW576" s="152"/>
      <c r="AX576" s="152"/>
      <c r="AY576" s="152"/>
      <c r="AZ576" s="152"/>
      <c r="BA576" s="152"/>
      <c r="BB576" s="152"/>
      <c r="BC576" s="152"/>
    </row>
    <row r="577" customFormat="false" ht="15.75" hidden="false" customHeight="false" outlineLevel="0" collapsed="false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2"/>
      <c r="AI577" s="152"/>
      <c r="AJ577" s="152"/>
      <c r="AK577" s="152"/>
      <c r="AL577" s="152"/>
      <c r="AM577" s="152"/>
      <c r="AN577" s="152"/>
      <c r="AO577" s="152"/>
      <c r="AP577" s="152"/>
      <c r="AQ577" s="152"/>
      <c r="AR577" s="152"/>
      <c r="AS577" s="152"/>
      <c r="AT577" s="152"/>
      <c r="AU577" s="152"/>
      <c r="AV577" s="152"/>
      <c r="AW577" s="152"/>
      <c r="AX577" s="152"/>
      <c r="AY577" s="152"/>
      <c r="AZ577" s="152"/>
      <c r="BA577" s="152"/>
      <c r="BB577" s="152"/>
      <c r="BC577" s="152"/>
    </row>
    <row r="578" customFormat="false" ht="15.75" hidden="false" customHeight="false" outlineLevel="0" collapsed="false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2"/>
      <c r="AI578" s="152"/>
      <c r="AJ578" s="152"/>
      <c r="AK578" s="152"/>
      <c r="AL578" s="152"/>
      <c r="AM578" s="152"/>
      <c r="AN578" s="152"/>
      <c r="AO578" s="152"/>
      <c r="AP578" s="152"/>
      <c r="AQ578" s="152"/>
      <c r="AR578" s="152"/>
      <c r="AS578" s="152"/>
      <c r="AT578" s="152"/>
      <c r="AU578" s="152"/>
      <c r="AV578" s="152"/>
      <c r="AW578" s="152"/>
      <c r="AX578" s="152"/>
      <c r="AY578" s="152"/>
      <c r="AZ578" s="152"/>
      <c r="BA578" s="152"/>
      <c r="BB578" s="152"/>
      <c r="BC578" s="152"/>
    </row>
    <row r="579" customFormat="false" ht="15.75" hidden="false" customHeight="false" outlineLevel="0" collapsed="false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2"/>
      <c r="AI579" s="152"/>
      <c r="AJ579" s="152"/>
      <c r="AK579" s="152"/>
      <c r="AL579" s="152"/>
      <c r="AM579" s="152"/>
      <c r="AN579" s="152"/>
      <c r="AO579" s="152"/>
      <c r="AP579" s="152"/>
      <c r="AQ579" s="152"/>
      <c r="AR579" s="152"/>
      <c r="AS579" s="152"/>
      <c r="AT579" s="152"/>
      <c r="AU579" s="152"/>
      <c r="AV579" s="152"/>
      <c r="AW579" s="152"/>
      <c r="AX579" s="152"/>
      <c r="AY579" s="152"/>
      <c r="AZ579" s="152"/>
      <c r="BA579" s="152"/>
      <c r="BB579" s="152"/>
      <c r="BC579" s="152"/>
    </row>
    <row r="580" customFormat="false" ht="15.75" hidden="false" customHeight="false" outlineLevel="0" collapsed="false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2"/>
      <c r="AI580" s="152"/>
      <c r="AJ580" s="152"/>
      <c r="AK580" s="152"/>
      <c r="AL580" s="152"/>
      <c r="AM580" s="152"/>
      <c r="AN580" s="152"/>
      <c r="AO580" s="152"/>
      <c r="AP580" s="152"/>
      <c r="AQ580" s="152"/>
      <c r="AR580" s="152"/>
      <c r="AS580" s="152"/>
      <c r="AT580" s="152"/>
      <c r="AU580" s="152"/>
      <c r="AV580" s="152"/>
      <c r="AW580" s="152"/>
      <c r="AX580" s="152"/>
      <c r="AY580" s="152"/>
      <c r="AZ580" s="152"/>
      <c r="BA580" s="152"/>
      <c r="BB580" s="152"/>
      <c r="BC580" s="152"/>
    </row>
    <row r="581" customFormat="false" ht="15.75" hidden="false" customHeight="false" outlineLevel="0" collapsed="false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2"/>
      <c r="AI581" s="152"/>
      <c r="AJ581" s="152"/>
      <c r="AK581" s="152"/>
      <c r="AL581" s="152"/>
      <c r="AM581" s="152"/>
      <c r="AN581" s="152"/>
      <c r="AO581" s="152"/>
      <c r="AP581" s="152"/>
      <c r="AQ581" s="152"/>
      <c r="AR581" s="152"/>
      <c r="AS581" s="152"/>
      <c r="AT581" s="152"/>
      <c r="AU581" s="152"/>
      <c r="AV581" s="152"/>
      <c r="AW581" s="152"/>
      <c r="AX581" s="152"/>
      <c r="AY581" s="152"/>
      <c r="AZ581" s="152"/>
      <c r="BA581" s="152"/>
      <c r="BB581" s="152"/>
      <c r="BC581" s="152"/>
    </row>
    <row r="582" customFormat="false" ht="15.75" hidden="false" customHeight="false" outlineLevel="0" collapsed="false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2"/>
      <c r="AI582" s="152"/>
      <c r="AJ582" s="152"/>
      <c r="AK582" s="152"/>
      <c r="AL582" s="152"/>
      <c r="AM582" s="152"/>
      <c r="AN582" s="152"/>
      <c r="AO582" s="152"/>
      <c r="AP582" s="152"/>
      <c r="AQ582" s="152"/>
      <c r="AR582" s="152"/>
      <c r="AS582" s="152"/>
      <c r="AT582" s="152"/>
      <c r="AU582" s="152"/>
      <c r="AV582" s="152"/>
      <c r="AW582" s="152"/>
      <c r="AX582" s="152"/>
      <c r="AY582" s="152"/>
      <c r="AZ582" s="152"/>
      <c r="BA582" s="152"/>
      <c r="BB582" s="152"/>
      <c r="BC582" s="152"/>
    </row>
    <row r="583" customFormat="false" ht="15.75" hidden="false" customHeight="false" outlineLevel="0" collapsed="false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2"/>
      <c r="AI583" s="152"/>
      <c r="AJ583" s="152"/>
      <c r="AK583" s="152"/>
      <c r="AL583" s="152"/>
      <c r="AM583" s="152"/>
      <c r="AN583" s="152"/>
      <c r="AO583" s="152"/>
      <c r="AP583" s="152"/>
      <c r="AQ583" s="152"/>
      <c r="AR583" s="152"/>
      <c r="AS583" s="152"/>
      <c r="AT583" s="152"/>
      <c r="AU583" s="152"/>
      <c r="AV583" s="152"/>
      <c r="AW583" s="152"/>
      <c r="AX583" s="152"/>
      <c r="AY583" s="152"/>
      <c r="AZ583" s="152"/>
      <c r="BA583" s="152"/>
      <c r="BB583" s="152"/>
      <c r="BC583" s="152"/>
    </row>
    <row r="584" customFormat="false" ht="15.75" hidden="false" customHeight="false" outlineLevel="0" collapsed="false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2"/>
      <c r="AI584" s="152"/>
      <c r="AJ584" s="152"/>
      <c r="AK584" s="152"/>
      <c r="AL584" s="152"/>
      <c r="AM584" s="152"/>
      <c r="AN584" s="152"/>
      <c r="AO584" s="152"/>
      <c r="AP584" s="152"/>
      <c r="AQ584" s="152"/>
      <c r="AR584" s="152"/>
      <c r="AS584" s="152"/>
      <c r="AT584" s="152"/>
      <c r="AU584" s="152"/>
      <c r="AV584" s="152"/>
      <c r="AW584" s="152"/>
      <c r="AX584" s="152"/>
      <c r="AY584" s="152"/>
      <c r="AZ584" s="152"/>
      <c r="BA584" s="152"/>
      <c r="BB584" s="152"/>
      <c r="BC584" s="152"/>
    </row>
    <row r="585" customFormat="false" ht="15.75" hidden="false" customHeight="false" outlineLevel="0" collapsed="false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2"/>
      <c r="AI585" s="152"/>
      <c r="AJ585" s="152"/>
      <c r="AK585" s="152"/>
      <c r="AL585" s="152"/>
      <c r="AM585" s="152"/>
      <c r="AN585" s="152"/>
      <c r="AO585" s="152"/>
      <c r="AP585" s="152"/>
      <c r="AQ585" s="152"/>
      <c r="AR585" s="152"/>
      <c r="AS585" s="152"/>
      <c r="AT585" s="152"/>
      <c r="AU585" s="152"/>
      <c r="AV585" s="152"/>
      <c r="AW585" s="152"/>
      <c r="AX585" s="152"/>
      <c r="AY585" s="152"/>
      <c r="AZ585" s="152"/>
      <c r="BA585" s="152"/>
      <c r="BB585" s="152"/>
      <c r="BC585" s="152"/>
    </row>
    <row r="586" customFormat="false" ht="15.75" hidden="false" customHeight="false" outlineLevel="0" collapsed="false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2"/>
      <c r="AI586" s="152"/>
      <c r="AJ586" s="152"/>
      <c r="AK586" s="152"/>
      <c r="AL586" s="152"/>
      <c r="AM586" s="152"/>
      <c r="AN586" s="152"/>
      <c r="AO586" s="152"/>
      <c r="AP586" s="152"/>
      <c r="AQ586" s="152"/>
      <c r="AR586" s="152"/>
      <c r="AS586" s="152"/>
      <c r="AT586" s="152"/>
      <c r="AU586" s="152"/>
      <c r="AV586" s="152"/>
      <c r="AW586" s="152"/>
      <c r="AX586" s="152"/>
      <c r="AY586" s="152"/>
      <c r="AZ586" s="152"/>
      <c r="BA586" s="152"/>
      <c r="BB586" s="152"/>
      <c r="BC586" s="152"/>
    </row>
    <row r="587" customFormat="false" ht="15.75" hidden="false" customHeight="false" outlineLevel="0" collapsed="false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2"/>
      <c r="AI587" s="152"/>
      <c r="AJ587" s="152"/>
      <c r="AK587" s="152"/>
      <c r="AL587" s="152"/>
      <c r="AM587" s="152"/>
      <c r="AN587" s="152"/>
      <c r="AO587" s="152"/>
      <c r="AP587" s="152"/>
      <c r="AQ587" s="152"/>
      <c r="AR587" s="152"/>
      <c r="AS587" s="152"/>
      <c r="AT587" s="152"/>
      <c r="AU587" s="152"/>
      <c r="AV587" s="152"/>
      <c r="AW587" s="152"/>
      <c r="AX587" s="152"/>
      <c r="AY587" s="152"/>
      <c r="AZ587" s="152"/>
      <c r="BA587" s="152"/>
      <c r="BB587" s="152"/>
      <c r="BC587" s="152"/>
    </row>
    <row r="588" customFormat="false" ht="15.75" hidden="false" customHeight="false" outlineLevel="0" collapsed="false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2"/>
      <c r="AI588" s="152"/>
      <c r="AJ588" s="152"/>
      <c r="AK588" s="152"/>
      <c r="AL588" s="152"/>
      <c r="AM588" s="152"/>
      <c r="AN588" s="152"/>
      <c r="AO588" s="152"/>
      <c r="AP588" s="152"/>
      <c r="AQ588" s="152"/>
      <c r="AR588" s="152"/>
      <c r="AS588" s="152"/>
      <c r="AT588" s="152"/>
      <c r="AU588" s="152"/>
      <c r="AV588" s="152"/>
      <c r="AW588" s="152"/>
      <c r="AX588" s="152"/>
      <c r="AY588" s="152"/>
      <c r="AZ588" s="152"/>
      <c r="BA588" s="152"/>
      <c r="BB588" s="152"/>
      <c r="BC588" s="152"/>
    </row>
    <row r="589" customFormat="false" ht="15.75" hidden="false" customHeight="false" outlineLevel="0" collapsed="false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  <c r="AG589" s="152"/>
      <c r="AH589" s="152"/>
      <c r="AI589" s="152"/>
      <c r="AJ589" s="152"/>
      <c r="AK589" s="152"/>
      <c r="AL589" s="152"/>
      <c r="AM589" s="152"/>
      <c r="AN589" s="152"/>
      <c r="AO589" s="152"/>
      <c r="AP589" s="152"/>
      <c r="AQ589" s="152"/>
      <c r="AR589" s="152"/>
      <c r="AS589" s="152"/>
      <c r="AT589" s="152"/>
      <c r="AU589" s="152"/>
      <c r="AV589" s="152"/>
      <c r="AW589" s="152"/>
      <c r="AX589" s="152"/>
      <c r="AY589" s="152"/>
      <c r="AZ589" s="152"/>
      <c r="BA589" s="152"/>
      <c r="BB589" s="152"/>
      <c r="BC589" s="152"/>
    </row>
    <row r="590" customFormat="false" ht="15.75" hidden="false" customHeight="false" outlineLevel="0" collapsed="false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2"/>
      <c r="AI590" s="152"/>
      <c r="AJ590" s="152"/>
      <c r="AK590" s="152"/>
      <c r="AL590" s="152"/>
      <c r="AM590" s="152"/>
      <c r="AN590" s="152"/>
      <c r="AO590" s="152"/>
      <c r="AP590" s="152"/>
      <c r="AQ590" s="152"/>
      <c r="AR590" s="152"/>
      <c r="AS590" s="152"/>
      <c r="AT590" s="152"/>
      <c r="AU590" s="152"/>
      <c r="AV590" s="152"/>
      <c r="AW590" s="152"/>
      <c r="AX590" s="152"/>
      <c r="AY590" s="152"/>
      <c r="AZ590" s="152"/>
      <c r="BA590" s="152"/>
      <c r="BB590" s="152"/>
      <c r="BC590" s="152"/>
    </row>
    <row r="591" customFormat="false" ht="15.75" hidden="false" customHeight="false" outlineLevel="0" collapsed="false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2"/>
      <c r="AI591" s="152"/>
      <c r="AJ591" s="152"/>
      <c r="AK591" s="152"/>
      <c r="AL591" s="152"/>
      <c r="AM591" s="152"/>
      <c r="AN591" s="152"/>
      <c r="AO591" s="152"/>
      <c r="AP591" s="152"/>
      <c r="AQ591" s="152"/>
      <c r="AR591" s="152"/>
      <c r="AS591" s="152"/>
      <c r="AT591" s="152"/>
      <c r="AU591" s="152"/>
      <c r="AV591" s="152"/>
      <c r="AW591" s="152"/>
      <c r="AX591" s="152"/>
      <c r="AY591" s="152"/>
      <c r="AZ591" s="152"/>
      <c r="BA591" s="152"/>
      <c r="BB591" s="152"/>
      <c r="BC591" s="152"/>
    </row>
    <row r="592" customFormat="false" ht="15.75" hidden="false" customHeight="false" outlineLevel="0" collapsed="false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2"/>
      <c r="AI592" s="152"/>
      <c r="AJ592" s="152"/>
      <c r="AK592" s="152"/>
      <c r="AL592" s="152"/>
      <c r="AM592" s="152"/>
      <c r="AN592" s="152"/>
      <c r="AO592" s="152"/>
      <c r="AP592" s="152"/>
      <c r="AQ592" s="152"/>
      <c r="AR592" s="152"/>
      <c r="AS592" s="152"/>
      <c r="AT592" s="152"/>
      <c r="AU592" s="152"/>
      <c r="AV592" s="152"/>
      <c r="AW592" s="152"/>
      <c r="AX592" s="152"/>
      <c r="AY592" s="152"/>
      <c r="AZ592" s="152"/>
      <c r="BA592" s="152"/>
      <c r="BB592" s="152"/>
      <c r="BC592" s="152"/>
    </row>
    <row r="593" customFormat="false" ht="15.75" hidden="false" customHeight="false" outlineLevel="0" collapsed="false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2"/>
      <c r="AI593" s="152"/>
      <c r="AJ593" s="152"/>
      <c r="AK593" s="152"/>
      <c r="AL593" s="152"/>
      <c r="AM593" s="152"/>
      <c r="AN593" s="152"/>
      <c r="AO593" s="152"/>
      <c r="AP593" s="152"/>
      <c r="AQ593" s="152"/>
      <c r="AR593" s="152"/>
      <c r="AS593" s="152"/>
      <c r="AT593" s="152"/>
      <c r="AU593" s="152"/>
      <c r="AV593" s="152"/>
      <c r="AW593" s="152"/>
      <c r="AX593" s="152"/>
      <c r="AY593" s="152"/>
      <c r="AZ593" s="152"/>
      <c r="BA593" s="152"/>
      <c r="BB593" s="152"/>
      <c r="BC593" s="152"/>
    </row>
    <row r="594" customFormat="false" ht="15.75" hidden="false" customHeight="false" outlineLevel="0" collapsed="false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2"/>
      <c r="AI594" s="152"/>
      <c r="AJ594" s="152"/>
      <c r="AK594" s="152"/>
      <c r="AL594" s="152"/>
      <c r="AM594" s="152"/>
      <c r="AN594" s="152"/>
      <c r="AO594" s="152"/>
      <c r="AP594" s="152"/>
      <c r="AQ594" s="152"/>
      <c r="AR594" s="152"/>
      <c r="AS594" s="152"/>
      <c r="AT594" s="152"/>
      <c r="AU594" s="152"/>
      <c r="AV594" s="152"/>
      <c r="AW594" s="152"/>
      <c r="AX594" s="152"/>
      <c r="AY594" s="152"/>
      <c r="AZ594" s="152"/>
      <c r="BA594" s="152"/>
      <c r="BB594" s="152"/>
      <c r="BC594" s="152"/>
    </row>
    <row r="595" customFormat="false" ht="15.75" hidden="false" customHeight="false" outlineLevel="0" collapsed="false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2"/>
      <c r="AI595" s="152"/>
      <c r="AJ595" s="152"/>
      <c r="AK595" s="152"/>
      <c r="AL595" s="152"/>
      <c r="AM595" s="152"/>
      <c r="AN595" s="152"/>
      <c r="AO595" s="152"/>
      <c r="AP595" s="152"/>
      <c r="AQ595" s="152"/>
      <c r="AR595" s="152"/>
      <c r="AS595" s="152"/>
      <c r="AT595" s="152"/>
      <c r="AU595" s="152"/>
      <c r="AV595" s="152"/>
      <c r="AW595" s="152"/>
      <c r="AX595" s="152"/>
      <c r="AY595" s="152"/>
      <c r="AZ595" s="152"/>
      <c r="BA595" s="152"/>
      <c r="BB595" s="152"/>
      <c r="BC595" s="152"/>
    </row>
    <row r="596" customFormat="false" ht="15.75" hidden="false" customHeight="false" outlineLevel="0" collapsed="false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2"/>
      <c r="AI596" s="152"/>
      <c r="AJ596" s="152"/>
      <c r="AK596" s="152"/>
      <c r="AL596" s="152"/>
      <c r="AM596" s="152"/>
      <c r="AN596" s="152"/>
      <c r="AO596" s="152"/>
      <c r="AP596" s="152"/>
      <c r="AQ596" s="152"/>
      <c r="AR596" s="152"/>
      <c r="AS596" s="152"/>
      <c r="AT596" s="152"/>
      <c r="AU596" s="152"/>
      <c r="AV596" s="152"/>
      <c r="AW596" s="152"/>
      <c r="AX596" s="152"/>
      <c r="AY596" s="152"/>
      <c r="AZ596" s="152"/>
      <c r="BA596" s="152"/>
      <c r="BB596" s="152"/>
      <c r="BC596" s="152"/>
    </row>
    <row r="597" customFormat="false" ht="15.75" hidden="false" customHeight="false" outlineLevel="0" collapsed="false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2"/>
      <c r="AI597" s="152"/>
      <c r="AJ597" s="152"/>
      <c r="AK597" s="152"/>
      <c r="AL597" s="152"/>
      <c r="AM597" s="152"/>
      <c r="AN597" s="152"/>
      <c r="AO597" s="152"/>
      <c r="AP597" s="152"/>
      <c r="AQ597" s="152"/>
      <c r="AR597" s="152"/>
      <c r="AS597" s="152"/>
      <c r="AT597" s="152"/>
      <c r="AU597" s="152"/>
      <c r="AV597" s="152"/>
      <c r="AW597" s="152"/>
      <c r="AX597" s="152"/>
      <c r="AY597" s="152"/>
      <c r="AZ597" s="152"/>
      <c r="BA597" s="152"/>
      <c r="BB597" s="152"/>
      <c r="BC597" s="152"/>
    </row>
    <row r="598" customFormat="false" ht="15.75" hidden="false" customHeight="false" outlineLevel="0" collapsed="false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2"/>
      <c r="AI598" s="152"/>
      <c r="AJ598" s="152"/>
      <c r="AK598" s="152"/>
      <c r="AL598" s="152"/>
      <c r="AM598" s="152"/>
      <c r="AN598" s="152"/>
      <c r="AO598" s="152"/>
      <c r="AP598" s="152"/>
      <c r="AQ598" s="152"/>
      <c r="AR598" s="152"/>
      <c r="AS598" s="152"/>
      <c r="AT598" s="152"/>
      <c r="AU598" s="152"/>
      <c r="AV598" s="152"/>
      <c r="AW598" s="152"/>
      <c r="AX598" s="152"/>
      <c r="AY598" s="152"/>
      <c r="AZ598" s="152"/>
      <c r="BA598" s="152"/>
      <c r="BB598" s="152"/>
      <c r="BC598" s="152"/>
    </row>
    <row r="599" customFormat="false" ht="15.75" hidden="false" customHeight="false" outlineLevel="0" collapsed="false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2"/>
      <c r="AI599" s="152"/>
      <c r="AJ599" s="152"/>
      <c r="AK599" s="152"/>
      <c r="AL599" s="152"/>
      <c r="AM599" s="152"/>
      <c r="AN599" s="152"/>
      <c r="AO599" s="152"/>
      <c r="AP599" s="152"/>
      <c r="AQ599" s="152"/>
      <c r="AR599" s="152"/>
      <c r="AS599" s="152"/>
      <c r="AT599" s="152"/>
      <c r="AU599" s="152"/>
      <c r="AV599" s="152"/>
      <c r="AW599" s="152"/>
      <c r="AX599" s="152"/>
      <c r="AY599" s="152"/>
      <c r="AZ599" s="152"/>
      <c r="BA599" s="152"/>
      <c r="BB599" s="152"/>
      <c r="BC599" s="152"/>
    </row>
    <row r="600" customFormat="false" ht="15.75" hidden="false" customHeight="false" outlineLevel="0" collapsed="false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2"/>
      <c r="AI600" s="152"/>
      <c r="AJ600" s="152"/>
      <c r="AK600" s="152"/>
      <c r="AL600" s="152"/>
      <c r="AM600" s="152"/>
      <c r="AN600" s="152"/>
      <c r="AO600" s="152"/>
      <c r="AP600" s="152"/>
      <c r="AQ600" s="152"/>
      <c r="AR600" s="152"/>
      <c r="AS600" s="152"/>
      <c r="AT600" s="152"/>
      <c r="AU600" s="152"/>
      <c r="AV600" s="152"/>
      <c r="AW600" s="152"/>
      <c r="AX600" s="152"/>
      <c r="AY600" s="152"/>
      <c r="AZ600" s="152"/>
      <c r="BA600" s="152"/>
      <c r="BB600" s="152"/>
      <c r="BC600" s="152"/>
    </row>
    <row r="601" customFormat="false" ht="15.75" hidden="false" customHeight="false" outlineLevel="0" collapsed="false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2"/>
      <c r="AI601" s="152"/>
      <c r="AJ601" s="152"/>
      <c r="AK601" s="152"/>
      <c r="AL601" s="152"/>
      <c r="AM601" s="152"/>
      <c r="AN601" s="152"/>
      <c r="AO601" s="152"/>
      <c r="AP601" s="152"/>
      <c r="AQ601" s="152"/>
      <c r="AR601" s="152"/>
      <c r="AS601" s="152"/>
      <c r="AT601" s="152"/>
      <c r="AU601" s="152"/>
      <c r="AV601" s="152"/>
      <c r="AW601" s="152"/>
      <c r="AX601" s="152"/>
      <c r="AY601" s="152"/>
      <c r="AZ601" s="152"/>
      <c r="BA601" s="152"/>
      <c r="BB601" s="152"/>
      <c r="BC601" s="152"/>
    </row>
    <row r="602" customFormat="false" ht="15.75" hidden="false" customHeight="false" outlineLevel="0" collapsed="false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2"/>
      <c r="AI602" s="152"/>
      <c r="AJ602" s="152"/>
      <c r="AK602" s="152"/>
      <c r="AL602" s="152"/>
      <c r="AM602" s="152"/>
      <c r="AN602" s="152"/>
      <c r="AO602" s="152"/>
      <c r="AP602" s="152"/>
      <c r="AQ602" s="152"/>
      <c r="AR602" s="152"/>
      <c r="AS602" s="152"/>
      <c r="AT602" s="152"/>
      <c r="AU602" s="152"/>
      <c r="AV602" s="152"/>
      <c r="AW602" s="152"/>
      <c r="AX602" s="152"/>
      <c r="AY602" s="152"/>
      <c r="AZ602" s="152"/>
      <c r="BA602" s="152"/>
      <c r="BB602" s="152"/>
      <c r="BC602" s="152"/>
    </row>
    <row r="603" customFormat="false" ht="15.75" hidden="false" customHeight="false" outlineLevel="0" collapsed="false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2"/>
      <c r="AI603" s="152"/>
      <c r="AJ603" s="152"/>
      <c r="AK603" s="152"/>
      <c r="AL603" s="152"/>
      <c r="AM603" s="152"/>
      <c r="AN603" s="152"/>
      <c r="AO603" s="152"/>
      <c r="AP603" s="152"/>
      <c r="AQ603" s="152"/>
      <c r="AR603" s="152"/>
      <c r="AS603" s="152"/>
      <c r="AT603" s="152"/>
      <c r="AU603" s="152"/>
      <c r="AV603" s="152"/>
      <c r="AW603" s="152"/>
      <c r="AX603" s="152"/>
      <c r="AY603" s="152"/>
      <c r="AZ603" s="152"/>
      <c r="BA603" s="152"/>
      <c r="BB603" s="152"/>
      <c r="BC603" s="152"/>
    </row>
    <row r="604" customFormat="false" ht="15.75" hidden="false" customHeight="false" outlineLevel="0" collapsed="false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2"/>
      <c r="AI604" s="152"/>
      <c r="AJ604" s="152"/>
      <c r="AK604" s="152"/>
      <c r="AL604" s="152"/>
      <c r="AM604" s="152"/>
      <c r="AN604" s="152"/>
      <c r="AO604" s="152"/>
      <c r="AP604" s="152"/>
      <c r="AQ604" s="152"/>
      <c r="AR604" s="152"/>
      <c r="AS604" s="152"/>
      <c r="AT604" s="152"/>
      <c r="AU604" s="152"/>
      <c r="AV604" s="152"/>
      <c r="AW604" s="152"/>
      <c r="AX604" s="152"/>
      <c r="AY604" s="152"/>
      <c r="AZ604" s="152"/>
      <c r="BA604" s="152"/>
      <c r="BB604" s="152"/>
      <c r="BC604" s="152"/>
    </row>
    <row r="605" customFormat="false" ht="15.75" hidden="false" customHeight="false" outlineLevel="0" collapsed="false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2"/>
      <c r="AI605" s="152"/>
      <c r="AJ605" s="152"/>
      <c r="AK605" s="152"/>
      <c r="AL605" s="152"/>
      <c r="AM605" s="152"/>
      <c r="AN605" s="152"/>
      <c r="AO605" s="152"/>
      <c r="AP605" s="152"/>
      <c r="AQ605" s="152"/>
      <c r="AR605" s="152"/>
      <c r="AS605" s="152"/>
      <c r="AT605" s="152"/>
      <c r="AU605" s="152"/>
      <c r="AV605" s="152"/>
      <c r="AW605" s="152"/>
      <c r="AX605" s="152"/>
      <c r="AY605" s="152"/>
      <c r="AZ605" s="152"/>
      <c r="BA605" s="152"/>
      <c r="BB605" s="152"/>
      <c r="BC605" s="152"/>
    </row>
    <row r="606" customFormat="false" ht="15.75" hidden="false" customHeight="false" outlineLevel="0" collapsed="false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2"/>
      <c r="AI606" s="152"/>
      <c r="AJ606" s="152"/>
      <c r="AK606" s="152"/>
      <c r="AL606" s="152"/>
      <c r="AM606" s="152"/>
      <c r="AN606" s="152"/>
      <c r="AO606" s="152"/>
      <c r="AP606" s="152"/>
      <c r="AQ606" s="152"/>
      <c r="AR606" s="152"/>
      <c r="AS606" s="152"/>
      <c r="AT606" s="152"/>
      <c r="AU606" s="152"/>
      <c r="AV606" s="152"/>
      <c r="AW606" s="152"/>
      <c r="AX606" s="152"/>
      <c r="AY606" s="152"/>
      <c r="AZ606" s="152"/>
      <c r="BA606" s="152"/>
      <c r="BB606" s="152"/>
      <c r="BC606" s="152"/>
    </row>
    <row r="607" customFormat="false" ht="15.75" hidden="false" customHeight="false" outlineLevel="0" collapsed="false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2"/>
      <c r="AI607" s="152"/>
      <c r="AJ607" s="152"/>
      <c r="AK607" s="152"/>
      <c r="AL607" s="152"/>
      <c r="AM607" s="152"/>
      <c r="AN607" s="152"/>
      <c r="AO607" s="152"/>
      <c r="AP607" s="152"/>
      <c r="AQ607" s="152"/>
      <c r="AR607" s="152"/>
      <c r="AS607" s="152"/>
      <c r="AT607" s="152"/>
      <c r="AU607" s="152"/>
      <c r="AV607" s="152"/>
      <c r="AW607" s="152"/>
      <c r="AX607" s="152"/>
      <c r="AY607" s="152"/>
      <c r="AZ607" s="152"/>
      <c r="BA607" s="152"/>
      <c r="BB607" s="152"/>
      <c r="BC607" s="152"/>
    </row>
    <row r="608" customFormat="false" ht="15.75" hidden="false" customHeight="false" outlineLevel="0" collapsed="false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2"/>
      <c r="AI608" s="152"/>
      <c r="AJ608" s="152"/>
      <c r="AK608" s="152"/>
      <c r="AL608" s="152"/>
      <c r="AM608" s="152"/>
      <c r="AN608" s="152"/>
      <c r="AO608" s="152"/>
      <c r="AP608" s="152"/>
      <c r="AQ608" s="152"/>
      <c r="AR608" s="152"/>
      <c r="AS608" s="152"/>
      <c r="AT608" s="152"/>
      <c r="AU608" s="152"/>
      <c r="AV608" s="152"/>
      <c r="AW608" s="152"/>
      <c r="AX608" s="152"/>
      <c r="AY608" s="152"/>
      <c r="AZ608" s="152"/>
      <c r="BA608" s="152"/>
      <c r="BB608" s="152"/>
      <c r="BC608" s="152"/>
    </row>
    <row r="609" customFormat="false" ht="15.75" hidden="false" customHeight="false" outlineLevel="0" collapsed="false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2"/>
      <c r="AI609" s="152"/>
      <c r="AJ609" s="152"/>
      <c r="AK609" s="152"/>
      <c r="AL609" s="152"/>
      <c r="AM609" s="152"/>
      <c r="AN609" s="152"/>
      <c r="AO609" s="152"/>
      <c r="AP609" s="152"/>
      <c r="AQ609" s="152"/>
      <c r="AR609" s="152"/>
      <c r="AS609" s="152"/>
      <c r="AT609" s="152"/>
      <c r="AU609" s="152"/>
      <c r="AV609" s="152"/>
      <c r="AW609" s="152"/>
      <c r="AX609" s="152"/>
      <c r="AY609" s="152"/>
      <c r="AZ609" s="152"/>
      <c r="BA609" s="152"/>
      <c r="BB609" s="152"/>
      <c r="BC609" s="152"/>
    </row>
    <row r="610" customFormat="false" ht="15.75" hidden="false" customHeight="false" outlineLevel="0" collapsed="false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2"/>
      <c r="AI610" s="152"/>
      <c r="AJ610" s="152"/>
      <c r="AK610" s="152"/>
      <c r="AL610" s="152"/>
      <c r="AM610" s="152"/>
      <c r="AN610" s="152"/>
      <c r="AO610" s="152"/>
      <c r="AP610" s="152"/>
      <c r="AQ610" s="152"/>
      <c r="AR610" s="152"/>
      <c r="AS610" s="152"/>
      <c r="AT610" s="152"/>
      <c r="AU610" s="152"/>
      <c r="AV610" s="152"/>
      <c r="AW610" s="152"/>
      <c r="AX610" s="152"/>
      <c r="AY610" s="152"/>
      <c r="AZ610" s="152"/>
      <c r="BA610" s="152"/>
      <c r="BB610" s="152"/>
      <c r="BC610" s="152"/>
    </row>
    <row r="611" customFormat="false" ht="15.75" hidden="false" customHeight="false" outlineLevel="0" collapsed="false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2"/>
      <c r="AI611" s="152"/>
      <c r="AJ611" s="152"/>
      <c r="AK611" s="152"/>
      <c r="AL611" s="152"/>
      <c r="AM611" s="152"/>
      <c r="AN611" s="152"/>
      <c r="AO611" s="152"/>
      <c r="AP611" s="152"/>
      <c r="AQ611" s="152"/>
      <c r="AR611" s="152"/>
      <c r="AS611" s="152"/>
      <c r="AT611" s="152"/>
      <c r="AU611" s="152"/>
      <c r="AV611" s="152"/>
      <c r="AW611" s="152"/>
      <c r="AX611" s="152"/>
      <c r="AY611" s="152"/>
      <c r="AZ611" s="152"/>
      <c r="BA611" s="152"/>
      <c r="BB611" s="152"/>
      <c r="BC611" s="152"/>
    </row>
    <row r="612" customFormat="false" ht="15.75" hidden="false" customHeight="false" outlineLevel="0" collapsed="false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2"/>
      <c r="AI612" s="152"/>
      <c r="AJ612" s="152"/>
      <c r="AK612" s="152"/>
      <c r="AL612" s="152"/>
      <c r="AM612" s="152"/>
      <c r="AN612" s="152"/>
      <c r="AO612" s="152"/>
      <c r="AP612" s="152"/>
      <c r="AQ612" s="152"/>
      <c r="AR612" s="152"/>
      <c r="AS612" s="152"/>
      <c r="AT612" s="152"/>
      <c r="AU612" s="152"/>
      <c r="AV612" s="152"/>
      <c r="AW612" s="152"/>
      <c r="AX612" s="152"/>
      <c r="AY612" s="152"/>
      <c r="AZ612" s="152"/>
      <c r="BA612" s="152"/>
      <c r="BB612" s="152"/>
      <c r="BC612" s="152"/>
    </row>
    <row r="613" customFormat="false" ht="15.75" hidden="false" customHeight="false" outlineLevel="0" collapsed="false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2"/>
      <c r="AI613" s="152"/>
      <c r="AJ613" s="152"/>
      <c r="AK613" s="152"/>
      <c r="AL613" s="152"/>
      <c r="AM613" s="152"/>
      <c r="AN613" s="152"/>
      <c r="AO613" s="152"/>
      <c r="AP613" s="152"/>
      <c r="AQ613" s="152"/>
      <c r="AR613" s="152"/>
      <c r="AS613" s="152"/>
      <c r="AT613" s="152"/>
      <c r="AU613" s="152"/>
      <c r="AV613" s="152"/>
      <c r="AW613" s="152"/>
      <c r="AX613" s="152"/>
      <c r="AY613" s="152"/>
      <c r="AZ613" s="152"/>
      <c r="BA613" s="152"/>
      <c r="BB613" s="152"/>
      <c r="BC613" s="152"/>
    </row>
    <row r="614" customFormat="false" ht="15.75" hidden="false" customHeight="false" outlineLevel="0" collapsed="false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2"/>
      <c r="AI614" s="152"/>
      <c r="AJ614" s="152"/>
      <c r="AK614" s="152"/>
      <c r="AL614" s="152"/>
      <c r="AM614" s="152"/>
      <c r="AN614" s="152"/>
      <c r="AO614" s="152"/>
      <c r="AP614" s="152"/>
      <c r="AQ614" s="152"/>
      <c r="AR614" s="152"/>
      <c r="AS614" s="152"/>
      <c r="AT614" s="152"/>
      <c r="AU614" s="152"/>
      <c r="AV614" s="152"/>
      <c r="AW614" s="152"/>
      <c r="AX614" s="152"/>
      <c r="AY614" s="152"/>
      <c r="AZ614" s="152"/>
      <c r="BA614" s="152"/>
      <c r="BB614" s="152"/>
      <c r="BC614" s="152"/>
    </row>
    <row r="615" customFormat="false" ht="15.75" hidden="false" customHeight="false" outlineLevel="0" collapsed="false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2"/>
      <c r="AI615" s="152"/>
      <c r="AJ615" s="152"/>
      <c r="AK615" s="152"/>
      <c r="AL615" s="152"/>
      <c r="AM615" s="152"/>
      <c r="AN615" s="152"/>
      <c r="AO615" s="152"/>
      <c r="AP615" s="152"/>
      <c r="AQ615" s="152"/>
      <c r="AR615" s="152"/>
      <c r="AS615" s="152"/>
      <c r="AT615" s="152"/>
      <c r="AU615" s="152"/>
      <c r="AV615" s="152"/>
      <c r="AW615" s="152"/>
      <c r="AX615" s="152"/>
      <c r="AY615" s="152"/>
      <c r="AZ615" s="152"/>
      <c r="BA615" s="152"/>
      <c r="BB615" s="152"/>
      <c r="BC615" s="152"/>
    </row>
    <row r="616" customFormat="false" ht="15.75" hidden="false" customHeight="false" outlineLevel="0" collapsed="false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2"/>
      <c r="AI616" s="152"/>
      <c r="AJ616" s="152"/>
      <c r="AK616" s="152"/>
      <c r="AL616" s="152"/>
      <c r="AM616" s="152"/>
      <c r="AN616" s="152"/>
      <c r="AO616" s="152"/>
      <c r="AP616" s="152"/>
      <c r="AQ616" s="152"/>
      <c r="AR616" s="152"/>
      <c r="AS616" s="152"/>
      <c r="AT616" s="152"/>
      <c r="AU616" s="152"/>
      <c r="AV616" s="152"/>
      <c r="AW616" s="152"/>
      <c r="AX616" s="152"/>
      <c r="AY616" s="152"/>
      <c r="AZ616" s="152"/>
      <c r="BA616" s="152"/>
      <c r="BB616" s="152"/>
      <c r="BC616" s="152"/>
    </row>
    <row r="617" customFormat="false" ht="15.75" hidden="false" customHeight="false" outlineLevel="0" collapsed="false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2"/>
      <c r="AI617" s="152"/>
      <c r="AJ617" s="152"/>
      <c r="AK617" s="152"/>
      <c r="AL617" s="152"/>
      <c r="AM617" s="152"/>
      <c r="AN617" s="152"/>
      <c r="AO617" s="152"/>
      <c r="AP617" s="152"/>
      <c r="AQ617" s="152"/>
      <c r="AR617" s="152"/>
      <c r="AS617" s="152"/>
      <c r="AT617" s="152"/>
      <c r="AU617" s="152"/>
      <c r="AV617" s="152"/>
      <c r="AW617" s="152"/>
      <c r="AX617" s="152"/>
      <c r="AY617" s="152"/>
      <c r="AZ617" s="152"/>
      <c r="BA617" s="152"/>
      <c r="BB617" s="152"/>
      <c r="BC617" s="152"/>
    </row>
    <row r="618" customFormat="false" ht="15.75" hidden="false" customHeight="false" outlineLevel="0" collapsed="false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2"/>
      <c r="AI618" s="152"/>
      <c r="AJ618" s="152"/>
      <c r="AK618" s="152"/>
      <c r="AL618" s="152"/>
      <c r="AM618" s="152"/>
      <c r="AN618" s="152"/>
      <c r="AO618" s="152"/>
      <c r="AP618" s="152"/>
      <c r="AQ618" s="152"/>
      <c r="AR618" s="152"/>
      <c r="AS618" s="152"/>
      <c r="AT618" s="152"/>
      <c r="AU618" s="152"/>
      <c r="AV618" s="152"/>
      <c r="AW618" s="152"/>
      <c r="AX618" s="152"/>
      <c r="AY618" s="152"/>
      <c r="AZ618" s="152"/>
      <c r="BA618" s="152"/>
      <c r="BB618" s="152"/>
      <c r="BC618" s="152"/>
    </row>
    <row r="619" customFormat="false" ht="15.75" hidden="false" customHeight="false" outlineLevel="0" collapsed="false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  <c r="AG619" s="152"/>
      <c r="AH619" s="152"/>
      <c r="AI619" s="152"/>
      <c r="AJ619" s="152"/>
      <c r="AK619" s="152"/>
      <c r="AL619" s="152"/>
      <c r="AM619" s="152"/>
      <c r="AN619" s="152"/>
      <c r="AO619" s="152"/>
      <c r="AP619" s="152"/>
      <c r="AQ619" s="152"/>
      <c r="AR619" s="152"/>
      <c r="AS619" s="152"/>
      <c r="AT619" s="152"/>
      <c r="AU619" s="152"/>
      <c r="AV619" s="152"/>
      <c r="AW619" s="152"/>
      <c r="AX619" s="152"/>
      <c r="AY619" s="152"/>
      <c r="AZ619" s="152"/>
      <c r="BA619" s="152"/>
      <c r="BB619" s="152"/>
      <c r="BC619" s="152"/>
    </row>
    <row r="620" customFormat="false" ht="15.75" hidden="false" customHeight="false" outlineLevel="0" collapsed="false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2"/>
      <c r="AI620" s="152"/>
      <c r="AJ620" s="152"/>
      <c r="AK620" s="152"/>
      <c r="AL620" s="152"/>
      <c r="AM620" s="152"/>
      <c r="AN620" s="152"/>
      <c r="AO620" s="152"/>
      <c r="AP620" s="152"/>
      <c r="AQ620" s="152"/>
      <c r="AR620" s="152"/>
      <c r="AS620" s="152"/>
      <c r="AT620" s="152"/>
      <c r="AU620" s="152"/>
      <c r="AV620" s="152"/>
      <c r="AW620" s="152"/>
      <c r="AX620" s="152"/>
      <c r="AY620" s="152"/>
      <c r="AZ620" s="152"/>
      <c r="BA620" s="152"/>
      <c r="BB620" s="152"/>
      <c r="BC620" s="152"/>
    </row>
    <row r="621" customFormat="false" ht="15.75" hidden="false" customHeight="false" outlineLevel="0" collapsed="false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2"/>
      <c r="AI621" s="152"/>
      <c r="AJ621" s="152"/>
      <c r="AK621" s="152"/>
      <c r="AL621" s="152"/>
      <c r="AM621" s="152"/>
      <c r="AN621" s="152"/>
      <c r="AO621" s="152"/>
      <c r="AP621" s="152"/>
      <c r="AQ621" s="152"/>
      <c r="AR621" s="152"/>
      <c r="AS621" s="152"/>
      <c r="AT621" s="152"/>
      <c r="AU621" s="152"/>
      <c r="AV621" s="152"/>
      <c r="AW621" s="152"/>
      <c r="AX621" s="152"/>
      <c r="AY621" s="152"/>
      <c r="AZ621" s="152"/>
      <c r="BA621" s="152"/>
      <c r="BB621" s="152"/>
      <c r="BC621" s="152"/>
    </row>
    <row r="622" customFormat="false" ht="15.75" hidden="false" customHeight="false" outlineLevel="0" collapsed="false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2"/>
      <c r="AI622" s="152"/>
      <c r="AJ622" s="152"/>
      <c r="AK622" s="152"/>
      <c r="AL622" s="152"/>
      <c r="AM622" s="152"/>
      <c r="AN622" s="152"/>
      <c r="AO622" s="152"/>
      <c r="AP622" s="152"/>
      <c r="AQ622" s="152"/>
      <c r="AR622" s="152"/>
      <c r="AS622" s="152"/>
      <c r="AT622" s="152"/>
      <c r="AU622" s="152"/>
      <c r="AV622" s="152"/>
      <c r="AW622" s="152"/>
      <c r="AX622" s="152"/>
      <c r="AY622" s="152"/>
      <c r="AZ622" s="152"/>
      <c r="BA622" s="152"/>
      <c r="BB622" s="152"/>
      <c r="BC622" s="152"/>
    </row>
    <row r="623" customFormat="false" ht="15.75" hidden="false" customHeight="false" outlineLevel="0" collapsed="false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2"/>
      <c r="AI623" s="152"/>
      <c r="AJ623" s="152"/>
      <c r="AK623" s="152"/>
      <c r="AL623" s="152"/>
      <c r="AM623" s="152"/>
      <c r="AN623" s="152"/>
      <c r="AO623" s="152"/>
      <c r="AP623" s="152"/>
      <c r="AQ623" s="152"/>
      <c r="AR623" s="152"/>
      <c r="AS623" s="152"/>
      <c r="AT623" s="152"/>
      <c r="AU623" s="152"/>
      <c r="AV623" s="152"/>
      <c r="AW623" s="152"/>
      <c r="AX623" s="152"/>
      <c r="AY623" s="152"/>
      <c r="AZ623" s="152"/>
      <c r="BA623" s="152"/>
      <c r="BB623" s="152"/>
      <c r="BC623" s="152"/>
    </row>
    <row r="624" customFormat="false" ht="15.75" hidden="false" customHeight="false" outlineLevel="0" collapsed="false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2"/>
      <c r="AI624" s="152"/>
      <c r="AJ624" s="152"/>
      <c r="AK624" s="152"/>
      <c r="AL624" s="152"/>
      <c r="AM624" s="152"/>
      <c r="AN624" s="152"/>
      <c r="AO624" s="152"/>
      <c r="AP624" s="152"/>
      <c r="AQ624" s="152"/>
      <c r="AR624" s="152"/>
      <c r="AS624" s="152"/>
      <c r="AT624" s="152"/>
      <c r="AU624" s="152"/>
      <c r="AV624" s="152"/>
      <c r="AW624" s="152"/>
      <c r="AX624" s="152"/>
      <c r="AY624" s="152"/>
      <c r="AZ624" s="152"/>
      <c r="BA624" s="152"/>
      <c r="BB624" s="152"/>
      <c r="BC624" s="152"/>
    </row>
    <row r="625" customFormat="false" ht="15.75" hidden="false" customHeight="false" outlineLevel="0" collapsed="false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2"/>
      <c r="AI625" s="152"/>
      <c r="AJ625" s="152"/>
      <c r="AK625" s="152"/>
      <c r="AL625" s="152"/>
      <c r="AM625" s="152"/>
      <c r="AN625" s="152"/>
      <c r="AO625" s="152"/>
      <c r="AP625" s="152"/>
      <c r="AQ625" s="152"/>
      <c r="AR625" s="152"/>
      <c r="AS625" s="152"/>
      <c r="AT625" s="152"/>
      <c r="AU625" s="152"/>
      <c r="AV625" s="152"/>
      <c r="AW625" s="152"/>
      <c r="AX625" s="152"/>
      <c r="AY625" s="152"/>
      <c r="AZ625" s="152"/>
      <c r="BA625" s="152"/>
      <c r="BB625" s="152"/>
      <c r="BC625" s="152"/>
    </row>
    <row r="626" customFormat="false" ht="15.75" hidden="false" customHeight="false" outlineLevel="0" collapsed="false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2"/>
      <c r="AI626" s="152"/>
      <c r="AJ626" s="152"/>
      <c r="AK626" s="152"/>
      <c r="AL626" s="152"/>
      <c r="AM626" s="152"/>
      <c r="AN626" s="152"/>
      <c r="AO626" s="152"/>
      <c r="AP626" s="152"/>
      <c r="AQ626" s="152"/>
      <c r="AR626" s="152"/>
      <c r="AS626" s="152"/>
      <c r="AT626" s="152"/>
      <c r="AU626" s="152"/>
      <c r="AV626" s="152"/>
      <c r="AW626" s="152"/>
      <c r="AX626" s="152"/>
      <c r="AY626" s="152"/>
      <c r="AZ626" s="152"/>
      <c r="BA626" s="152"/>
      <c r="BB626" s="152"/>
      <c r="BC626" s="152"/>
    </row>
    <row r="627" customFormat="false" ht="15.75" hidden="false" customHeight="false" outlineLevel="0" collapsed="false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2"/>
      <c r="AI627" s="152"/>
      <c r="AJ627" s="152"/>
      <c r="AK627" s="152"/>
      <c r="AL627" s="152"/>
      <c r="AM627" s="152"/>
      <c r="AN627" s="152"/>
      <c r="AO627" s="152"/>
      <c r="AP627" s="152"/>
      <c r="AQ627" s="152"/>
      <c r="AR627" s="152"/>
      <c r="AS627" s="152"/>
      <c r="AT627" s="152"/>
      <c r="AU627" s="152"/>
      <c r="AV627" s="152"/>
      <c r="AW627" s="152"/>
      <c r="AX627" s="152"/>
      <c r="AY627" s="152"/>
      <c r="AZ627" s="152"/>
      <c r="BA627" s="152"/>
      <c r="BB627" s="152"/>
      <c r="BC627" s="152"/>
    </row>
    <row r="628" customFormat="false" ht="15.75" hidden="false" customHeight="false" outlineLevel="0" collapsed="false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2"/>
      <c r="AI628" s="152"/>
      <c r="AJ628" s="152"/>
      <c r="AK628" s="152"/>
      <c r="AL628" s="152"/>
      <c r="AM628" s="152"/>
      <c r="AN628" s="152"/>
      <c r="AO628" s="152"/>
      <c r="AP628" s="152"/>
      <c r="AQ628" s="152"/>
      <c r="AR628" s="152"/>
      <c r="AS628" s="152"/>
      <c r="AT628" s="152"/>
      <c r="AU628" s="152"/>
      <c r="AV628" s="152"/>
      <c r="AW628" s="152"/>
      <c r="AX628" s="152"/>
      <c r="AY628" s="152"/>
      <c r="AZ628" s="152"/>
      <c r="BA628" s="152"/>
      <c r="BB628" s="152"/>
      <c r="BC628" s="152"/>
    </row>
    <row r="629" customFormat="false" ht="15.75" hidden="false" customHeight="false" outlineLevel="0" collapsed="false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2"/>
      <c r="AI629" s="152"/>
      <c r="AJ629" s="152"/>
      <c r="AK629" s="152"/>
      <c r="AL629" s="152"/>
      <c r="AM629" s="152"/>
      <c r="AN629" s="152"/>
      <c r="AO629" s="152"/>
      <c r="AP629" s="152"/>
      <c r="AQ629" s="152"/>
      <c r="AR629" s="152"/>
      <c r="AS629" s="152"/>
      <c r="AT629" s="152"/>
      <c r="AU629" s="152"/>
      <c r="AV629" s="152"/>
      <c r="AW629" s="152"/>
      <c r="AX629" s="152"/>
      <c r="AY629" s="152"/>
      <c r="AZ629" s="152"/>
      <c r="BA629" s="152"/>
      <c r="BB629" s="152"/>
      <c r="BC629" s="152"/>
    </row>
    <row r="630" customFormat="false" ht="15.75" hidden="false" customHeight="false" outlineLevel="0" collapsed="false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2"/>
      <c r="AI630" s="152"/>
      <c r="AJ630" s="152"/>
      <c r="AK630" s="152"/>
      <c r="AL630" s="152"/>
      <c r="AM630" s="152"/>
      <c r="AN630" s="152"/>
      <c r="AO630" s="152"/>
      <c r="AP630" s="152"/>
      <c r="AQ630" s="152"/>
      <c r="AR630" s="152"/>
      <c r="AS630" s="152"/>
      <c r="AT630" s="152"/>
      <c r="AU630" s="152"/>
      <c r="AV630" s="152"/>
      <c r="AW630" s="152"/>
      <c r="AX630" s="152"/>
      <c r="AY630" s="152"/>
      <c r="AZ630" s="152"/>
      <c r="BA630" s="152"/>
      <c r="BB630" s="152"/>
      <c r="BC630" s="152"/>
    </row>
    <row r="631" customFormat="false" ht="15.75" hidden="false" customHeight="false" outlineLevel="0" collapsed="false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2"/>
      <c r="AI631" s="152"/>
      <c r="AJ631" s="152"/>
      <c r="AK631" s="152"/>
      <c r="AL631" s="152"/>
      <c r="AM631" s="152"/>
      <c r="AN631" s="152"/>
      <c r="AO631" s="152"/>
      <c r="AP631" s="152"/>
      <c r="AQ631" s="152"/>
      <c r="AR631" s="152"/>
      <c r="AS631" s="152"/>
      <c r="AT631" s="152"/>
      <c r="AU631" s="152"/>
      <c r="AV631" s="152"/>
      <c r="AW631" s="152"/>
      <c r="AX631" s="152"/>
      <c r="AY631" s="152"/>
      <c r="AZ631" s="152"/>
      <c r="BA631" s="152"/>
      <c r="BB631" s="152"/>
      <c r="BC631" s="152"/>
    </row>
    <row r="632" customFormat="false" ht="15.75" hidden="false" customHeight="false" outlineLevel="0" collapsed="false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2"/>
      <c r="AI632" s="152"/>
      <c r="AJ632" s="152"/>
      <c r="AK632" s="152"/>
      <c r="AL632" s="152"/>
      <c r="AM632" s="152"/>
      <c r="AN632" s="152"/>
      <c r="AO632" s="152"/>
      <c r="AP632" s="152"/>
      <c r="AQ632" s="152"/>
      <c r="AR632" s="152"/>
      <c r="AS632" s="152"/>
      <c r="AT632" s="152"/>
      <c r="AU632" s="152"/>
      <c r="AV632" s="152"/>
      <c r="AW632" s="152"/>
      <c r="AX632" s="152"/>
      <c r="AY632" s="152"/>
      <c r="AZ632" s="152"/>
      <c r="BA632" s="152"/>
      <c r="BB632" s="152"/>
      <c r="BC632" s="152"/>
    </row>
    <row r="633" customFormat="false" ht="15.75" hidden="false" customHeight="false" outlineLevel="0" collapsed="false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2"/>
      <c r="AI633" s="152"/>
      <c r="AJ633" s="152"/>
      <c r="AK633" s="152"/>
      <c r="AL633" s="152"/>
      <c r="AM633" s="152"/>
      <c r="AN633" s="152"/>
      <c r="AO633" s="152"/>
      <c r="AP633" s="152"/>
      <c r="AQ633" s="152"/>
      <c r="AR633" s="152"/>
      <c r="AS633" s="152"/>
      <c r="AT633" s="152"/>
      <c r="AU633" s="152"/>
      <c r="AV633" s="152"/>
      <c r="AW633" s="152"/>
      <c r="AX633" s="152"/>
      <c r="AY633" s="152"/>
      <c r="AZ633" s="152"/>
      <c r="BA633" s="152"/>
      <c r="BB633" s="152"/>
      <c r="BC633" s="152"/>
    </row>
    <row r="634" customFormat="false" ht="15.75" hidden="false" customHeight="false" outlineLevel="0" collapsed="false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2"/>
      <c r="AI634" s="152"/>
      <c r="AJ634" s="152"/>
      <c r="AK634" s="152"/>
      <c r="AL634" s="152"/>
      <c r="AM634" s="152"/>
      <c r="AN634" s="152"/>
      <c r="AO634" s="152"/>
      <c r="AP634" s="152"/>
      <c r="AQ634" s="152"/>
      <c r="AR634" s="152"/>
      <c r="AS634" s="152"/>
      <c r="AT634" s="152"/>
      <c r="AU634" s="152"/>
      <c r="AV634" s="152"/>
      <c r="AW634" s="152"/>
      <c r="AX634" s="152"/>
      <c r="AY634" s="152"/>
      <c r="AZ634" s="152"/>
      <c r="BA634" s="152"/>
      <c r="BB634" s="152"/>
      <c r="BC634" s="152"/>
    </row>
    <row r="635" customFormat="false" ht="15.75" hidden="false" customHeight="false" outlineLevel="0" collapsed="false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2"/>
      <c r="AI635" s="152"/>
      <c r="AJ635" s="152"/>
      <c r="AK635" s="152"/>
      <c r="AL635" s="152"/>
      <c r="AM635" s="152"/>
      <c r="AN635" s="152"/>
      <c r="AO635" s="152"/>
      <c r="AP635" s="152"/>
      <c r="AQ635" s="152"/>
      <c r="AR635" s="152"/>
      <c r="AS635" s="152"/>
      <c r="AT635" s="152"/>
      <c r="AU635" s="152"/>
      <c r="AV635" s="152"/>
      <c r="AW635" s="152"/>
      <c r="AX635" s="152"/>
      <c r="AY635" s="152"/>
      <c r="AZ635" s="152"/>
      <c r="BA635" s="152"/>
      <c r="BB635" s="152"/>
      <c r="BC635" s="152"/>
    </row>
    <row r="636" customFormat="false" ht="15.75" hidden="false" customHeight="false" outlineLevel="0" collapsed="false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2"/>
      <c r="AI636" s="152"/>
      <c r="AJ636" s="152"/>
      <c r="AK636" s="152"/>
      <c r="AL636" s="152"/>
      <c r="AM636" s="152"/>
      <c r="AN636" s="152"/>
      <c r="AO636" s="152"/>
      <c r="AP636" s="152"/>
      <c r="AQ636" s="152"/>
      <c r="AR636" s="152"/>
      <c r="AS636" s="152"/>
      <c r="AT636" s="152"/>
      <c r="AU636" s="152"/>
      <c r="AV636" s="152"/>
      <c r="AW636" s="152"/>
      <c r="AX636" s="152"/>
      <c r="AY636" s="152"/>
      <c r="AZ636" s="152"/>
      <c r="BA636" s="152"/>
      <c r="BB636" s="152"/>
      <c r="BC636" s="152"/>
    </row>
    <row r="637" customFormat="false" ht="15.75" hidden="false" customHeight="false" outlineLevel="0" collapsed="false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2"/>
      <c r="AI637" s="152"/>
      <c r="AJ637" s="152"/>
      <c r="AK637" s="152"/>
      <c r="AL637" s="152"/>
      <c r="AM637" s="152"/>
      <c r="AN637" s="152"/>
      <c r="AO637" s="152"/>
      <c r="AP637" s="152"/>
      <c r="AQ637" s="152"/>
      <c r="AR637" s="152"/>
      <c r="AS637" s="152"/>
      <c r="AT637" s="152"/>
      <c r="AU637" s="152"/>
      <c r="AV637" s="152"/>
      <c r="AW637" s="152"/>
      <c r="AX637" s="152"/>
      <c r="AY637" s="152"/>
      <c r="AZ637" s="152"/>
      <c r="BA637" s="152"/>
      <c r="BB637" s="152"/>
      <c r="BC637" s="152"/>
    </row>
    <row r="638" customFormat="false" ht="15.75" hidden="false" customHeight="false" outlineLevel="0" collapsed="false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2"/>
      <c r="AI638" s="152"/>
      <c r="AJ638" s="152"/>
      <c r="AK638" s="152"/>
      <c r="AL638" s="152"/>
      <c r="AM638" s="152"/>
      <c r="AN638" s="152"/>
      <c r="AO638" s="152"/>
      <c r="AP638" s="152"/>
      <c r="AQ638" s="152"/>
      <c r="AR638" s="152"/>
      <c r="AS638" s="152"/>
      <c r="AT638" s="152"/>
      <c r="AU638" s="152"/>
      <c r="AV638" s="152"/>
      <c r="AW638" s="152"/>
      <c r="AX638" s="152"/>
      <c r="AY638" s="152"/>
      <c r="AZ638" s="152"/>
      <c r="BA638" s="152"/>
      <c r="BB638" s="152"/>
      <c r="BC638" s="152"/>
    </row>
    <row r="639" customFormat="false" ht="15.75" hidden="false" customHeight="false" outlineLevel="0" collapsed="false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2"/>
      <c r="AI639" s="152"/>
      <c r="AJ639" s="152"/>
      <c r="AK639" s="152"/>
      <c r="AL639" s="152"/>
      <c r="AM639" s="152"/>
      <c r="AN639" s="152"/>
      <c r="AO639" s="152"/>
      <c r="AP639" s="152"/>
      <c r="AQ639" s="152"/>
      <c r="AR639" s="152"/>
      <c r="AS639" s="152"/>
      <c r="AT639" s="152"/>
      <c r="AU639" s="152"/>
      <c r="AV639" s="152"/>
      <c r="AW639" s="152"/>
      <c r="AX639" s="152"/>
      <c r="AY639" s="152"/>
      <c r="AZ639" s="152"/>
      <c r="BA639" s="152"/>
      <c r="BB639" s="152"/>
      <c r="BC639" s="152"/>
    </row>
    <row r="640" customFormat="false" ht="15.75" hidden="false" customHeight="false" outlineLevel="0" collapsed="false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2"/>
      <c r="AI640" s="152"/>
      <c r="AJ640" s="152"/>
      <c r="AK640" s="152"/>
      <c r="AL640" s="152"/>
      <c r="AM640" s="152"/>
      <c r="AN640" s="152"/>
      <c r="AO640" s="152"/>
      <c r="AP640" s="152"/>
      <c r="AQ640" s="152"/>
      <c r="AR640" s="152"/>
      <c r="AS640" s="152"/>
      <c r="AT640" s="152"/>
      <c r="AU640" s="152"/>
      <c r="AV640" s="152"/>
      <c r="AW640" s="152"/>
      <c r="AX640" s="152"/>
      <c r="AY640" s="152"/>
      <c r="AZ640" s="152"/>
      <c r="BA640" s="152"/>
      <c r="BB640" s="152"/>
      <c r="BC640" s="152"/>
    </row>
    <row r="641" customFormat="false" ht="15.75" hidden="false" customHeight="false" outlineLevel="0" collapsed="false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2"/>
      <c r="AI641" s="152"/>
      <c r="AJ641" s="152"/>
      <c r="AK641" s="152"/>
      <c r="AL641" s="152"/>
      <c r="AM641" s="152"/>
      <c r="AN641" s="152"/>
      <c r="AO641" s="152"/>
      <c r="AP641" s="152"/>
      <c r="AQ641" s="152"/>
      <c r="AR641" s="152"/>
      <c r="AS641" s="152"/>
      <c r="AT641" s="152"/>
      <c r="AU641" s="152"/>
      <c r="AV641" s="152"/>
      <c r="AW641" s="152"/>
      <c r="AX641" s="152"/>
      <c r="AY641" s="152"/>
      <c r="AZ641" s="152"/>
      <c r="BA641" s="152"/>
      <c r="BB641" s="152"/>
      <c r="BC641" s="152"/>
    </row>
    <row r="642" customFormat="false" ht="15.75" hidden="false" customHeight="false" outlineLevel="0" collapsed="false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2"/>
      <c r="AI642" s="152"/>
      <c r="AJ642" s="152"/>
      <c r="AK642" s="152"/>
      <c r="AL642" s="152"/>
      <c r="AM642" s="152"/>
      <c r="AN642" s="152"/>
      <c r="AO642" s="152"/>
      <c r="AP642" s="152"/>
      <c r="AQ642" s="152"/>
      <c r="AR642" s="152"/>
      <c r="AS642" s="152"/>
      <c r="AT642" s="152"/>
      <c r="AU642" s="152"/>
      <c r="AV642" s="152"/>
      <c r="AW642" s="152"/>
      <c r="AX642" s="152"/>
      <c r="AY642" s="152"/>
      <c r="AZ642" s="152"/>
      <c r="BA642" s="152"/>
      <c r="BB642" s="152"/>
      <c r="BC642" s="152"/>
    </row>
    <row r="643" customFormat="false" ht="15.75" hidden="false" customHeight="false" outlineLevel="0" collapsed="false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2"/>
      <c r="AI643" s="152"/>
      <c r="AJ643" s="152"/>
      <c r="AK643" s="152"/>
      <c r="AL643" s="152"/>
      <c r="AM643" s="152"/>
      <c r="AN643" s="152"/>
      <c r="AO643" s="152"/>
      <c r="AP643" s="152"/>
      <c r="AQ643" s="152"/>
      <c r="AR643" s="152"/>
      <c r="AS643" s="152"/>
      <c r="AT643" s="152"/>
      <c r="AU643" s="152"/>
      <c r="AV643" s="152"/>
      <c r="AW643" s="152"/>
      <c r="AX643" s="152"/>
      <c r="AY643" s="152"/>
      <c r="AZ643" s="152"/>
      <c r="BA643" s="152"/>
      <c r="BB643" s="152"/>
      <c r="BC643" s="152"/>
    </row>
    <row r="644" customFormat="false" ht="15.75" hidden="false" customHeight="false" outlineLevel="0" collapsed="false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2"/>
      <c r="AI644" s="152"/>
      <c r="AJ644" s="152"/>
      <c r="AK644" s="152"/>
      <c r="AL644" s="152"/>
      <c r="AM644" s="152"/>
      <c r="AN644" s="152"/>
      <c r="AO644" s="152"/>
      <c r="AP644" s="152"/>
      <c r="AQ644" s="152"/>
      <c r="AR644" s="152"/>
      <c r="AS644" s="152"/>
      <c r="AT644" s="152"/>
      <c r="AU644" s="152"/>
      <c r="AV644" s="152"/>
      <c r="AW644" s="152"/>
      <c r="AX644" s="152"/>
      <c r="AY644" s="152"/>
      <c r="AZ644" s="152"/>
      <c r="BA644" s="152"/>
      <c r="BB644" s="152"/>
      <c r="BC644" s="152"/>
    </row>
    <row r="645" customFormat="false" ht="15.75" hidden="false" customHeight="false" outlineLevel="0" collapsed="false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  <c r="AG645" s="152"/>
      <c r="AH645" s="152"/>
      <c r="AI645" s="152"/>
      <c r="AJ645" s="152"/>
      <c r="AK645" s="152"/>
      <c r="AL645" s="152"/>
      <c r="AM645" s="152"/>
      <c r="AN645" s="152"/>
      <c r="AO645" s="152"/>
      <c r="AP645" s="152"/>
      <c r="AQ645" s="152"/>
      <c r="AR645" s="152"/>
      <c r="AS645" s="152"/>
      <c r="AT645" s="152"/>
      <c r="AU645" s="152"/>
      <c r="AV645" s="152"/>
      <c r="AW645" s="152"/>
      <c r="AX645" s="152"/>
      <c r="AY645" s="152"/>
      <c r="AZ645" s="152"/>
      <c r="BA645" s="152"/>
      <c r="BB645" s="152"/>
      <c r="BC645" s="152"/>
    </row>
    <row r="646" customFormat="false" ht="15.75" hidden="false" customHeight="false" outlineLevel="0" collapsed="false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2"/>
      <c r="AI646" s="152"/>
      <c r="AJ646" s="152"/>
      <c r="AK646" s="152"/>
      <c r="AL646" s="152"/>
      <c r="AM646" s="152"/>
      <c r="AN646" s="152"/>
      <c r="AO646" s="152"/>
      <c r="AP646" s="152"/>
      <c r="AQ646" s="152"/>
      <c r="AR646" s="152"/>
      <c r="AS646" s="152"/>
      <c r="AT646" s="152"/>
      <c r="AU646" s="152"/>
      <c r="AV646" s="152"/>
      <c r="AW646" s="152"/>
      <c r="AX646" s="152"/>
      <c r="AY646" s="152"/>
      <c r="AZ646" s="152"/>
      <c r="BA646" s="152"/>
      <c r="BB646" s="152"/>
      <c r="BC646" s="152"/>
    </row>
    <row r="647" customFormat="false" ht="15.75" hidden="false" customHeight="false" outlineLevel="0" collapsed="false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2"/>
      <c r="AI647" s="152"/>
      <c r="AJ647" s="152"/>
      <c r="AK647" s="152"/>
      <c r="AL647" s="152"/>
      <c r="AM647" s="152"/>
      <c r="AN647" s="152"/>
      <c r="AO647" s="152"/>
      <c r="AP647" s="152"/>
      <c r="AQ647" s="152"/>
      <c r="AR647" s="152"/>
      <c r="AS647" s="152"/>
      <c r="AT647" s="152"/>
      <c r="AU647" s="152"/>
      <c r="AV647" s="152"/>
      <c r="AW647" s="152"/>
      <c r="AX647" s="152"/>
      <c r="AY647" s="152"/>
      <c r="AZ647" s="152"/>
      <c r="BA647" s="152"/>
      <c r="BB647" s="152"/>
      <c r="BC647" s="152"/>
    </row>
    <row r="648" customFormat="false" ht="15.75" hidden="false" customHeight="false" outlineLevel="0" collapsed="false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2"/>
      <c r="AI648" s="152"/>
      <c r="AJ648" s="152"/>
      <c r="AK648" s="152"/>
      <c r="AL648" s="152"/>
      <c r="AM648" s="152"/>
      <c r="AN648" s="152"/>
      <c r="AO648" s="152"/>
      <c r="AP648" s="152"/>
      <c r="AQ648" s="152"/>
      <c r="AR648" s="152"/>
      <c r="AS648" s="152"/>
      <c r="AT648" s="152"/>
      <c r="AU648" s="152"/>
      <c r="AV648" s="152"/>
      <c r="AW648" s="152"/>
      <c r="AX648" s="152"/>
      <c r="AY648" s="152"/>
      <c r="AZ648" s="152"/>
      <c r="BA648" s="152"/>
      <c r="BB648" s="152"/>
      <c r="BC648" s="152"/>
    </row>
    <row r="649" customFormat="false" ht="15.75" hidden="false" customHeight="false" outlineLevel="0" collapsed="false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2"/>
      <c r="AI649" s="152"/>
      <c r="AJ649" s="152"/>
      <c r="AK649" s="152"/>
      <c r="AL649" s="152"/>
      <c r="AM649" s="152"/>
      <c r="AN649" s="152"/>
      <c r="AO649" s="152"/>
      <c r="AP649" s="152"/>
      <c r="AQ649" s="152"/>
      <c r="AR649" s="152"/>
      <c r="AS649" s="152"/>
      <c r="AT649" s="152"/>
      <c r="AU649" s="152"/>
      <c r="AV649" s="152"/>
      <c r="AW649" s="152"/>
      <c r="AX649" s="152"/>
      <c r="AY649" s="152"/>
      <c r="AZ649" s="152"/>
      <c r="BA649" s="152"/>
      <c r="BB649" s="152"/>
      <c r="BC649" s="152"/>
    </row>
    <row r="650" customFormat="false" ht="15.75" hidden="false" customHeight="false" outlineLevel="0" collapsed="false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2"/>
      <c r="AI650" s="152"/>
      <c r="AJ650" s="152"/>
      <c r="AK650" s="152"/>
      <c r="AL650" s="152"/>
      <c r="AM650" s="152"/>
      <c r="AN650" s="152"/>
      <c r="AO650" s="152"/>
      <c r="AP650" s="152"/>
      <c r="AQ650" s="152"/>
      <c r="AR650" s="152"/>
      <c r="AS650" s="152"/>
      <c r="AT650" s="152"/>
      <c r="AU650" s="152"/>
      <c r="AV650" s="152"/>
      <c r="AW650" s="152"/>
      <c r="AX650" s="152"/>
      <c r="AY650" s="152"/>
      <c r="AZ650" s="152"/>
      <c r="BA650" s="152"/>
      <c r="BB650" s="152"/>
      <c r="BC650" s="152"/>
    </row>
    <row r="651" customFormat="false" ht="15.75" hidden="false" customHeight="false" outlineLevel="0" collapsed="false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2"/>
      <c r="AI651" s="152"/>
      <c r="AJ651" s="152"/>
      <c r="AK651" s="152"/>
      <c r="AL651" s="152"/>
      <c r="AM651" s="152"/>
      <c r="AN651" s="152"/>
      <c r="AO651" s="152"/>
      <c r="AP651" s="152"/>
      <c r="AQ651" s="152"/>
      <c r="AR651" s="152"/>
      <c r="AS651" s="152"/>
      <c r="AT651" s="152"/>
      <c r="AU651" s="152"/>
      <c r="AV651" s="152"/>
      <c r="AW651" s="152"/>
      <c r="AX651" s="152"/>
      <c r="AY651" s="152"/>
      <c r="AZ651" s="152"/>
      <c r="BA651" s="152"/>
      <c r="BB651" s="152"/>
      <c r="BC651" s="152"/>
    </row>
    <row r="652" customFormat="false" ht="15.75" hidden="false" customHeight="false" outlineLevel="0" collapsed="false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2"/>
      <c r="AI652" s="152"/>
      <c r="AJ652" s="152"/>
      <c r="AK652" s="152"/>
      <c r="AL652" s="152"/>
      <c r="AM652" s="152"/>
      <c r="AN652" s="152"/>
      <c r="AO652" s="152"/>
      <c r="AP652" s="152"/>
      <c r="AQ652" s="152"/>
      <c r="AR652" s="152"/>
      <c r="AS652" s="152"/>
      <c r="AT652" s="152"/>
      <c r="AU652" s="152"/>
      <c r="AV652" s="152"/>
      <c r="AW652" s="152"/>
      <c r="AX652" s="152"/>
      <c r="AY652" s="152"/>
      <c r="AZ652" s="152"/>
      <c r="BA652" s="152"/>
      <c r="BB652" s="152"/>
      <c r="BC652" s="152"/>
    </row>
    <row r="653" customFormat="false" ht="15.75" hidden="false" customHeight="false" outlineLevel="0" collapsed="false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2"/>
      <c r="AI653" s="152"/>
      <c r="AJ653" s="152"/>
      <c r="AK653" s="152"/>
      <c r="AL653" s="152"/>
      <c r="AM653" s="152"/>
      <c r="AN653" s="152"/>
      <c r="AO653" s="152"/>
      <c r="AP653" s="152"/>
      <c r="AQ653" s="152"/>
      <c r="AR653" s="152"/>
      <c r="AS653" s="152"/>
      <c r="AT653" s="152"/>
      <c r="AU653" s="152"/>
      <c r="AV653" s="152"/>
      <c r="AW653" s="152"/>
      <c r="AX653" s="152"/>
      <c r="AY653" s="152"/>
      <c r="AZ653" s="152"/>
      <c r="BA653" s="152"/>
      <c r="BB653" s="152"/>
      <c r="BC653" s="152"/>
    </row>
    <row r="654" customFormat="false" ht="15.75" hidden="false" customHeight="false" outlineLevel="0" collapsed="false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2"/>
      <c r="AI654" s="152"/>
      <c r="AJ654" s="152"/>
      <c r="AK654" s="152"/>
      <c r="AL654" s="152"/>
      <c r="AM654" s="152"/>
      <c r="AN654" s="152"/>
      <c r="AO654" s="152"/>
      <c r="AP654" s="152"/>
      <c r="AQ654" s="152"/>
      <c r="AR654" s="152"/>
      <c r="AS654" s="152"/>
      <c r="AT654" s="152"/>
      <c r="AU654" s="152"/>
      <c r="AV654" s="152"/>
      <c r="AW654" s="152"/>
      <c r="AX654" s="152"/>
      <c r="AY654" s="152"/>
      <c r="AZ654" s="152"/>
      <c r="BA654" s="152"/>
      <c r="BB654" s="152"/>
      <c r="BC654" s="152"/>
    </row>
    <row r="655" customFormat="false" ht="15.75" hidden="false" customHeight="false" outlineLevel="0" collapsed="false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2"/>
      <c r="AI655" s="152"/>
      <c r="AJ655" s="152"/>
      <c r="AK655" s="152"/>
      <c r="AL655" s="152"/>
      <c r="AM655" s="152"/>
      <c r="AN655" s="152"/>
      <c r="AO655" s="152"/>
      <c r="AP655" s="152"/>
      <c r="AQ655" s="152"/>
      <c r="AR655" s="152"/>
      <c r="AS655" s="152"/>
      <c r="AT655" s="152"/>
      <c r="AU655" s="152"/>
      <c r="AV655" s="152"/>
      <c r="AW655" s="152"/>
      <c r="AX655" s="152"/>
      <c r="AY655" s="152"/>
      <c r="AZ655" s="152"/>
      <c r="BA655" s="152"/>
      <c r="BB655" s="152"/>
      <c r="BC655" s="152"/>
    </row>
    <row r="656" customFormat="false" ht="15.75" hidden="false" customHeight="false" outlineLevel="0" collapsed="false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2"/>
      <c r="AI656" s="152"/>
      <c r="AJ656" s="152"/>
      <c r="AK656" s="152"/>
      <c r="AL656" s="152"/>
      <c r="AM656" s="152"/>
      <c r="AN656" s="152"/>
      <c r="AO656" s="152"/>
      <c r="AP656" s="152"/>
      <c r="AQ656" s="152"/>
      <c r="AR656" s="152"/>
      <c r="AS656" s="152"/>
      <c r="AT656" s="152"/>
      <c r="AU656" s="152"/>
      <c r="AV656" s="152"/>
      <c r="AW656" s="152"/>
      <c r="AX656" s="152"/>
      <c r="AY656" s="152"/>
      <c r="AZ656" s="152"/>
      <c r="BA656" s="152"/>
      <c r="BB656" s="152"/>
      <c r="BC656" s="152"/>
    </row>
    <row r="657" customFormat="false" ht="15.75" hidden="false" customHeight="false" outlineLevel="0" collapsed="false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2"/>
      <c r="AI657" s="152"/>
      <c r="AJ657" s="152"/>
      <c r="AK657" s="152"/>
      <c r="AL657" s="152"/>
      <c r="AM657" s="152"/>
      <c r="AN657" s="152"/>
      <c r="AO657" s="152"/>
      <c r="AP657" s="152"/>
      <c r="AQ657" s="152"/>
      <c r="AR657" s="152"/>
      <c r="AS657" s="152"/>
      <c r="AT657" s="152"/>
      <c r="AU657" s="152"/>
      <c r="AV657" s="152"/>
      <c r="AW657" s="152"/>
      <c r="AX657" s="152"/>
      <c r="AY657" s="152"/>
      <c r="AZ657" s="152"/>
      <c r="BA657" s="152"/>
      <c r="BB657" s="152"/>
      <c r="BC657" s="152"/>
    </row>
    <row r="658" customFormat="false" ht="15.75" hidden="false" customHeight="false" outlineLevel="0" collapsed="false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2"/>
      <c r="AI658" s="152"/>
      <c r="AJ658" s="152"/>
      <c r="AK658" s="152"/>
      <c r="AL658" s="152"/>
      <c r="AM658" s="152"/>
      <c r="AN658" s="152"/>
      <c r="AO658" s="152"/>
      <c r="AP658" s="152"/>
      <c r="AQ658" s="152"/>
      <c r="AR658" s="152"/>
      <c r="AS658" s="152"/>
      <c r="AT658" s="152"/>
      <c r="AU658" s="152"/>
      <c r="AV658" s="152"/>
      <c r="AW658" s="152"/>
      <c r="AX658" s="152"/>
      <c r="AY658" s="152"/>
      <c r="AZ658" s="152"/>
      <c r="BA658" s="152"/>
      <c r="BB658" s="152"/>
      <c r="BC658" s="152"/>
    </row>
    <row r="659" customFormat="false" ht="15.75" hidden="false" customHeight="false" outlineLevel="0" collapsed="false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2"/>
      <c r="AI659" s="152"/>
      <c r="AJ659" s="152"/>
      <c r="AK659" s="152"/>
      <c r="AL659" s="152"/>
      <c r="AM659" s="152"/>
      <c r="AN659" s="152"/>
      <c r="AO659" s="152"/>
      <c r="AP659" s="152"/>
      <c r="AQ659" s="152"/>
      <c r="AR659" s="152"/>
      <c r="AS659" s="152"/>
      <c r="AT659" s="152"/>
      <c r="AU659" s="152"/>
      <c r="AV659" s="152"/>
      <c r="AW659" s="152"/>
      <c r="AX659" s="152"/>
      <c r="AY659" s="152"/>
      <c r="AZ659" s="152"/>
      <c r="BA659" s="152"/>
      <c r="BB659" s="152"/>
      <c r="BC659" s="152"/>
    </row>
    <row r="660" customFormat="false" ht="15.75" hidden="false" customHeight="false" outlineLevel="0" collapsed="false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2"/>
      <c r="AI660" s="152"/>
      <c r="AJ660" s="152"/>
      <c r="AK660" s="152"/>
      <c r="AL660" s="152"/>
      <c r="AM660" s="152"/>
      <c r="AN660" s="152"/>
      <c r="AO660" s="152"/>
      <c r="AP660" s="152"/>
      <c r="AQ660" s="152"/>
      <c r="AR660" s="152"/>
      <c r="AS660" s="152"/>
      <c r="AT660" s="152"/>
      <c r="AU660" s="152"/>
      <c r="AV660" s="152"/>
      <c r="AW660" s="152"/>
      <c r="AX660" s="152"/>
      <c r="AY660" s="152"/>
      <c r="AZ660" s="152"/>
      <c r="BA660" s="152"/>
      <c r="BB660" s="152"/>
      <c r="BC660" s="152"/>
    </row>
    <row r="661" customFormat="false" ht="15.75" hidden="false" customHeight="false" outlineLevel="0" collapsed="false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2"/>
      <c r="AI661" s="152"/>
      <c r="AJ661" s="152"/>
      <c r="AK661" s="152"/>
      <c r="AL661" s="152"/>
      <c r="AM661" s="152"/>
      <c r="AN661" s="152"/>
      <c r="AO661" s="152"/>
      <c r="AP661" s="152"/>
      <c r="AQ661" s="152"/>
      <c r="AR661" s="152"/>
      <c r="AS661" s="152"/>
      <c r="AT661" s="152"/>
      <c r="AU661" s="152"/>
      <c r="AV661" s="152"/>
      <c r="AW661" s="152"/>
      <c r="AX661" s="152"/>
      <c r="AY661" s="152"/>
      <c r="AZ661" s="152"/>
      <c r="BA661" s="152"/>
      <c r="BB661" s="152"/>
      <c r="BC661" s="152"/>
    </row>
    <row r="662" customFormat="false" ht="15.75" hidden="false" customHeight="false" outlineLevel="0" collapsed="false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2"/>
      <c r="AI662" s="152"/>
      <c r="AJ662" s="152"/>
      <c r="AK662" s="152"/>
      <c r="AL662" s="152"/>
      <c r="AM662" s="152"/>
      <c r="AN662" s="152"/>
      <c r="AO662" s="152"/>
      <c r="AP662" s="152"/>
      <c r="AQ662" s="152"/>
      <c r="AR662" s="152"/>
      <c r="AS662" s="152"/>
      <c r="AT662" s="152"/>
      <c r="AU662" s="152"/>
      <c r="AV662" s="152"/>
      <c r="AW662" s="152"/>
      <c r="AX662" s="152"/>
      <c r="AY662" s="152"/>
      <c r="AZ662" s="152"/>
      <c r="BA662" s="152"/>
      <c r="BB662" s="152"/>
      <c r="BC662" s="152"/>
    </row>
    <row r="663" customFormat="false" ht="15.75" hidden="false" customHeight="false" outlineLevel="0" collapsed="false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2"/>
      <c r="AI663" s="152"/>
      <c r="AJ663" s="152"/>
      <c r="AK663" s="152"/>
      <c r="AL663" s="152"/>
      <c r="AM663" s="152"/>
      <c r="AN663" s="152"/>
      <c r="AO663" s="152"/>
      <c r="AP663" s="152"/>
      <c r="AQ663" s="152"/>
      <c r="AR663" s="152"/>
      <c r="AS663" s="152"/>
      <c r="AT663" s="152"/>
      <c r="AU663" s="152"/>
      <c r="AV663" s="152"/>
      <c r="AW663" s="152"/>
      <c r="AX663" s="152"/>
      <c r="AY663" s="152"/>
      <c r="AZ663" s="152"/>
      <c r="BA663" s="152"/>
      <c r="BB663" s="152"/>
      <c r="BC663" s="152"/>
    </row>
    <row r="664" customFormat="false" ht="15.75" hidden="false" customHeight="false" outlineLevel="0" collapsed="false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2"/>
      <c r="AI664" s="152"/>
      <c r="AJ664" s="152"/>
      <c r="AK664" s="152"/>
      <c r="AL664" s="152"/>
      <c r="AM664" s="152"/>
      <c r="AN664" s="152"/>
      <c r="AO664" s="152"/>
      <c r="AP664" s="152"/>
      <c r="AQ664" s="152"/>
      <c r="AR664" s="152"/>
      <c r="AS664" s="152"/>
      <c r="AT664" s="152"/>
      <c r="AU664" s="152"/>
      <c r="AV664" s="152"/>
      <c r="AW664" s="152"/>
      <c r="AX664" s="152"/>
      <c r="AY664" s="152"/>
      <c r="AZ664" s="152"/>
      <c r="BA664" s="152"/>
      <c r="BB664" s="152"/>
      <c r="BC664" s="152"/>
    </row>
    <row r="665" customFormat="false" ht="15.75" hidden="false" customHeight="false" outlineLevel="0" collapsed="false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2"/>
      <c r="AI665" s="152"/>
      <c r="AJ665" s="152"/>
      <c r="AK665" s="152"/>
      <c r="AL665" s="152"/>
      <c r="AM665" s="152"/>
      <c r="AN665" s="152"/>
      <c r="AO665" s="152"/>
      <c r="AP665" s="152"/>
      <c r="AQ665" s="152"/>
      <c r="AR665" s="152"/>
      <c r="AS665" s="152"/>
      <c r="AT665" s="152"/>
      <c r="AU665" s="152"/>
      <c r="AV665" s="152"/>
      <c r="AW665" s="152"/>
      <c r="AX665" s="152"/>
      <c r="AY665" s="152"/>
      <c r="AZ665" s="152"/>
      <c r="BA665" s="152"/>
      <c r="BB665" s="152"/>
      <c r="BC665" s="152"/>
    </row>
    <row r="666" customFormat="false" ht="15.75" hidden="false" customHeight="false" outlineLevel="0" collapsed="false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2"/>
      <c r="AI666" s="152"/>
      <c r="AJ666" s="152"/>
      <c r="AK666" s="152"/>
      <c r="AL666" s="152"/>
      <c r="AM666" s="152"/>
      <c r="AN666" s="152"/>
      <c r="AO666" s="152"/>
      <c r="AP666" s="152"/>
      <c r="AQ666" s="152"/>
      <c r="AR666" s="152"/>
      <c r="AS666" s="152"/>
      <c r="AT666" s="152"/>
      <c r="AU666" s="152"/>
      <c r="AV666" s="152"/>
      <c r="AW666" s="152"/>
      <c r="AX666" s="152"/>
      <c r="AY666" s="152"/>
      <c r="AZ666" s="152"/>
      <c r="BA666" s="152"/>
      <c r="BB666" s="152"/>
      <c r="BC666" s="152"/>
    </row>
    <row r="667" customFormat="false" ht="15.75" hidden="false" customHeight="false" outlineLevel="0" collapsed="false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2"/>
      <c r="AI667" s="152"/>
      <c r="AJ667" s="152"/>
      <c r="AK667" s="152"/>
      <c r="AL667" s="152"/>
      <c r="AM667" s="152"/>
      <c r="AN667" s="152"/>
      <c r="AO667" s="152"/>
      <c r="AP667" s="152"/>
      <c r="AQ667" s="152"/>
      <c r="AR667" s="152"/>
      <c r="AS667" s="152"/>
      <c r="AT667" s="152"/>
      <c r="AU667" s="152"/>
      <c r="AV667" s="152"/>
      <c r="AW667" s="152"/>
      <c r="AX667" s="152"/>
      <c r="AY667" s="152"/>
      <c r="AZ667" s="152"/>
      <c r="BA667" s="152"/>
      <c r="BB667" s="152"/>
      <c r="BC667" s="152"/>
    </row>
    <row r="668" customFormat="false" ht="15.75" hidden="false" customHeight="false" outlineLevel="0" collapsed="false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2"/>
      <c r="AI668" s="152"/>
      <c r="AJ668" s="152"/>
      <c r="AK668" s="152"/>
      <c r="AL668" s="152"/>
      <c r="AM668" s="152"/>
      <c r="AN668" s="152"/>
      <c r="AO668" s="152"/>
      <c r="AP668" s="152"/>
      <c r="AQ668" s="152"/>
      <c r="AR668" s="152"/>
      <c r="AS668" s="152"/>
      <c r="AT668" s="152"/>
      <c r="AU668" s="152"/>
      <c r="AV668" s="152"/>
      <c r="AW668" s="152"/>
      <c r="AX668" s="152"/>
      <c r="AY668" s="152"/>
      <c r="AZ668" s="152"/>
      <c r="BA668" s="152"/>
      <c r="BB668" s="152"/>
      <c r="BC668" s="152"/>
    </row>
    <row r="669" customFormat="false" ht="15.75" hidden="false" customHeight="false" outlineLevel="0" collapsed="false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2"/>
      <c r="AI669" s="152"/>
      <c r="AJ669" s="152"/>
      <c r="AK669" s="152"/>
      <c r="AL669" s="152"/>
      <c r="AM669" s="152"/>
      <c r="AN669" s="152"/>
      <c r="AO669" s="152"/>
      <c r="AP669" s="152"/>
      <c r="AQ669" s="152"/>
      <c r="AR669" s="152"/>
      <c r="AS669" s="152"/>
      <c r="AT669" s="152"/>
      <c r="AU669" s="152"/>
      <c r="AV669" s="152"/>
      <c r="AW669" s="152"/>
      <c r="AX669" s="152"/>
      <c r="AY669" s="152"/>
      <c r="AZ669" s="152"/>
      <c r="BA669" s="152"/>
      <c r="BB669" s="152"/>
      <c r="BC669" s="152"/>
    </row>
    <row r="670" customFormat="false" ht="15.75" hidden="false" customHeight="false" outlineLevel="0" collapsed="false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2"/>
      <c r="AI670" s="152"/>
      <c r="AJ670" s="152"/>
      <c r="AK670" s="152"/>
      <c r="AL670" s="152"/>
      <c r="AM670" s="152"/>
      <c r="AN670" s="152"/>
      <c r="AO670" s="152"/>
      <c r="AP670" s="152"/>
      <c r="AQ670" s="152"/>
      <c r="AR670" s="152"/>
      <c r="AS670" s="152"/>
      <c r="AT670" s="152"/>
      <c r="AU670" s="152"/>
      <c r="AV670" s="152"/>
      <c r="AW670" s="152"/>
      <c r="AX670" s="152"/>
      <c r="AY670" s="152"/>
      <c r="AZ670" s="152"/>
      <c r="BA670" s="152"/>
      <c r="BB670" s="152"/>
      <c r="BC670" s="152"/>
    </row>
    <row r="671" customFormat="false" ht="15.75" hidden="false" customHeight="false" outlineLevel="0" collapsed="false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2"/>
      <c r="AI671" s="152"/>
      <c r="AJ671" s="152"/>
      <c r="AK671" s="152"/>
      <c r="AL671" s="152"/>
      <c r="AM671" s="152"/>
      <c r="AN671" s="152"/>
      <c r="AO671" s="152"/>
      <c r="AP671" s="152"/>
      <c r="AQ671" s="152"/>
      <c r="AR671" s="152"/>
      <c r="AS671" s="152"/>
      <c r="AT671" s="152"/>
      <c r="AU671" s="152"/>
      <c r="AV671" s="152"/>
      <c r="AW671" s="152"/>
      <c r="AX671" s="152"/>
      <c r="AY671" s="152"/>
      <c r="AZ671" s="152"/>
      <c r="BA671" s="152"/>
      <c r="BB671" s="152"/>
      <c r="BC671" s="152"/>
    </row>
    <row r="672" customFormat="false" ht="15.75" hidden="false" customHeight="false" outlineLevel="0" collapsed="false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2"/>
      <c r="AI672" s="152"/>
      <c r="AJ672" s="152"/>
      <c r="AK672" s="152"/>
      <c r="AL672" s="152"/>
      <c r="AM672" s="152"/>
      <c r="AN672" s="152"/>
      <c r="AO672" s="152"/>
      <c r="AP672" s="152"/>
      <c r="AQ672" s="152"/>
      <c r="AR672" s="152"/>
      <c r="AS672" s="152"/>
      <c r="AT672" s="152"/>
      <c r="AU672" s="152"/>
      <c r="AV672" s="152"/>
      <c r="AW672" s="152"/>
      <c r="AX672" s="152"/>
      <c r="AY672" s="152"/>
      <c r="AZ672" s="152"/>
      <c r="BA672" s="152"/>
      <c r="BB672" s="152"/>
      <c r="BC672" s="152"/>
    </row>
    <row r="673" customFormat="false" ht="15.75" hidden="false" customHeight="false" outlineLevel="0" collapsed="false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2"/>
      <c r="AI673" s="152"/>
      <c r="AJ673" s="152"/>
      <c r="AK673" s="152"/>
      <c r="AL673" s="152"/>
      <c r="AM673" s="152"/>
      <c r="AN673" s="152"/>
      <c r="AO673" s="152"/>
      <c r="AP673" s="152"/>
      <c r="AQ673" s="152"/>
      <c r="AR673" s="152"/>
      <c r="AS673" s="152"/>
      <c r="AT673" s="152"/>
      <c r="AU673" s="152"/>
      <c r="AV673" s="152"/>
      <c r="AW673" s="152"/>
      <c r="AX673" s="152"/>
      <c r="AY673" s="152"/>
      <c r="AZ673" s="152"/>
      <c r="BA673" s="152"/>
      <c r="BB673" s="152"/>
      <c r="BC673" s="152"/>
    </row>
    <row r="674" customFormat="false" ht="15.75" hidden="false" customHeight="false" outlineLevel="0" collapsed="false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2"/>
      <c r="AI674" s="152"/>
      <c r="AJ674" s="152"/>
      <c r="AK674" s="152"/>
      <c r="AL674" s="152"/>
      <c r="AM674" s="152"/>
      <c r="AN674" s="152"/>
      <c r="AO674" s="152"/>
      <c r="AP674" s="152"/>
      <c r="AQ674" s="152"/>
      <c r="AR674" s="152"/>
      <c r="AS674" s="152"/>
      <c r="AT674" s="152"/>
      <c r="AU674" s="152"/>
      <c r="AV674" s="152"/>
      <c r="AW674" s="152"/>
      <c r="AX674" s="152"/>
      <c r="AY674" s="152"/>
      <c r="AZ674" s="152"/>
      <c r="BA674" s="152"/>
      <c r="BB674" s="152"/>
      <c r="BC674" s="152"/>
    </row>
    <row r="675" customFormat="false" ht="15.75" hidden="false" customHeight="false" outlineLevel="0" collapsed="false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2"/>
      <c r="AI675" s="152"/>
      <c r="AJ675" s="152"/>
      <c r="AK675" s="152"/>
      <c r="AL675" s="152"/>
      <c r="AM675" s="152"/>
      <c r="AN675" s="152"/>
      <c r="AO675" s="152"/>
      <c r="AP675" s="152"/>
      <c r="AQ675" s="152"/>
      <c r="AR675" s="152"/>
      <c r="AS675" s="152"/>
      <c r="AT675" s="152"/>
      <c r="AU675" s="152"/>
      <c r="AV675" s="152"/>
      <c r="AW675" s="152"/>
      <c r="AX675" s="152"/>
      <c r="AY675" s="152"/>
      <c r="AZ675" s="152"/>
      <c r="BA675" s="152"/>
      <c r="BB675" s="152"/>
      <c r="BC675" s="152"/>
    </row>
    <row r="676" customFormat="false" ht="15.75" hidden="false" customHeight="false" outlineLevel="0" collapsed="false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2"/>
      <c r="AI676" s="152"/>
      <c r="AJ676" s="152"/>
      <c r="AK676" s="152"/>
      <c r="AL676" s="152"/>
      <c r="AM676" s="152"/>
      <c r="AN676" s="152"/>
      <c r="AO676" s="152"/>
      <c r="AP676" s="152"/>
      <c r="AQ676" s="152"/>
      <c r="AR676" s="152"/>
      <c r="AS676" s="152"/>
      <c r="AT676" s="152"/>
      <c r="AU676" s="152"/>
      <c r="AV676" s="152"/>
      <c r="AW676" s="152"/>
      <c r="AX676" s="152"/>
      <c r="AY676" s="152"/>
      <c r="AZ676" s="152"/>
      <c r="BA676" s="152"/>
      <c r="BB676" s="152"/>
      <c r="BC676" s="152"/>
    </row>
    <row r="677" customFormat="false" ht="15.75" hidden="false" customHeight="false" outlineLevel="0" collapsed="false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2"/>
      <c r="AI677" s="152"/>
      <c r="AJ677" s="152"/>
      <c r="AK677" s="152"/>
      <c r="AL677" s="152"/>
      <c r="AM677" s="152"/>
      <c r="AN677" s="152"/>
      <c r="AO677" s="152"/>
      <c r="AP677" s="152"/>
      <c r="AQ677" s="152"/>
      <c r="AR677" s="152"/>
      <c r="AS677" s="152"/>
      <c r="AT677" s="152"/>
      <c r="AU677" s="152"/>
      <c r="AV677" s="152"/>
      <c r="AW677" s="152"/>
      <c r="AX677" s="152"/>
      <c r="AY677" s="152"/>
      <c r="AZ677" s="152"/>
      <c r="BA677" s="152"/>
      <c r="BB677" s="152"/>
      <c r="BC677" s="152"/>
    </row>
    <row r="678" customFormat="false" ht="15.75" hidden="false" customHeight="false" outlineLevel="0" collapsed="false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2"/>
      <c r="AI678" s="152"/>
      <c r="AJ678" s="152"/>
      <c r="AK678" s="152"/>
      <c r="AL678" s="152"/>
      <c r="AM678" s="152"/>
      <c r="AN678" s="152"/>
      <c r="AO678" s="152"/>
      <c r="AP678" s="152"/>
      <c r="AQ678" s="152"/>
      <c r="AR678" s="152"/>
      <c r="AS678" s="152"/>
      <c r="AT678" s="152"/>
      <c r="AU678" s="152"/>
      <c r="AV678" s="152"/>
      <c r="AW678" s="152"/>
      <c r="AX678" s="152"/>
      <c r="AY678" s="152"/>
      <c r="AZ678" s="152"/>
      <c r="BA678" s="152"/>
      <c r="BB678" s="152"/>
      <c r="BC678" s="152"/>
    </row>
    <row r="679" customFormat="false" ht="15.75" hidden="false" customHeight="false" outlineLevel="0" collapsed="false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2"/>
      <c r="AI679" s="152"/>
      <c r="AJ679" s="152"/>
      <c r="AK679" s="152"/>
      <c r="AL679" s="152"/>
      <c r="AM679" s="152"/>
      <c r="AN679" s="152"/>
      <c r="AO679" s="152"/>
      <c r="AP679" s="152"/>
      <c r="AQ679" s="152"/>
      <c r="AR679" s="152"/>
      <c r="AS679" s="152"/>
      <c r="AT679" s="152"/>
      <c r="AU679" s="152"/>
      <c r="AV679" s="152"/>
      <c r="AW679" s="152"/>
      <c r="AX679" s="152"/>
      <c r="AY679" s="152"/>
      <c r="AZ679" s="152"/>
      <c r="BA679" s="152"/>
      <c r="BB679" s="152"/>
      <c r="BC679" s="152"/>
    </row>
    <row r="680" customFormat="false" ht="15.75" hidden="false" customHeight="false" outlineLevel="0" collapsed="false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2"/>
      <c r="AI680" s="152"/>
      <c r="AJ680" s="152"/>
      <c r="AK680" s="152"/>
      <c r="AL680" s="152"/>
      <c r="AM680" s="152"/>
      <c r="AN680" s="152"/>
      <c r="AO680" s="152"/>
      <c r="AP680" s="152"/>
      <c r="AQ680" s="152"/>
      <c r="AR680" s="152"/>
      <c r="AS680" s="152"/>
      <c r="AT680" s="152"/>
      <c r="AU680" s="152"/>
      <c r="AV680" s="152"/>
      <c r="AW680" s="152"/>
      <c r="AX680" s="152"/>
      <c r="AY680" s="152"/>
      <c r="AZ680" s="152"/>
      <c r="BA680" s="152"/>
      <c r="BB680" s="152"/>
      <c r="BC680" s="152"/>
    </row>
    <row r="681" customFormat="false" ht="15.75" hidden="false" customHeight="false" outlineLevel="0" collapsed="false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2"/>
      <c r="AI681" s="152"/>
      <c r="AJ681" s="152"/>
      <c r="AK681" s="152"/>
      <c r="AL681" s="152"/>
      <c r="AM681" s="152"/>
      <c r="AN681" s="152"/>
      <c r="AO681" s="152"/>
      <c r="AP681" s="152"/>
      <c r="AQ681" s="152"/>
      <c r="AR681" s="152"/>
      <c r="AS681" s="152"/>
      <c r="AT681" s="152"/>
      <c r="AU681" s="152"/>
      <c r="AV681" s="152"/>
      <c r="AW681" s="152"/>
      <c r="AX681" s="152"/>
      <c r="AY681" s="152"/>
      <c r="AZ681" s="152"/>
      <c r="BA681" s="152"/>
      <c r="BB681" s="152"/>
      <c r="BC681" s="152"/>
    </row>
    <row r="682" customFormat="false" ht="15.75" hidden="false" customHeight="false" outlineLevel="0" collapsed="false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2"/>
      <c r="AI682" s="152"/>
      <c r="AJ682" s="152"/>
      <c r="AK682" s="152"/>
      <c r="AL682" s="152"/>
      <c r="AM682" s="152"/>
      <c r="AN682" s="152"/>
      <c r="AO682" s="152"/>
      <c r="AP682" s="152"/>
      <c r="AQ682" s="152"/>
      <c r="AR682" s="152"/>
      <c r="AS682" s="152"/>
      <c r="AT682" s="152"/>
      <c r="AU682" s="152"/>
      <c r="AV682" s="152"/>
      <c r="AW682" s="152"/>
      <c r="AX682" s="152"/>
      <c r="AY682" s="152"/>
      <c r="AZ682" s="152"/>
      <c r="BA682" s="152"/>
      <c r="BB682" s="152"/>
      <c r="BC682" s="152"/>
    </row>
    <row r="683" customFormat="false" ht="15.75" hidden="false" customHeight="false" outlineLevel="0" collapsed="false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2"/>
      <c r="AI683" s="152"/>
      <c r="AJ683" s="152"/>
      <c r="AK683" s="152"/>
      <c r="AL683" s="152"/>
      <c r="AM683" s="152"/>
      <c r="AN683" s="152"/>
      <c r="AO683" s="152"/>
      <c r="AP683" s="152"/>
      <c r="AQ683" s="152"/>
      <c r="AR683" s="152"/>
      <c r="AS683" s="152"/>
      <c r="AT683" s="152"/>
      <c r="AU683" s="152"/>
      <c r="AV683" s="152"/>
      <c r="AW683" s="152"/>
      <c r="AX683" s="152"/>
      <c r="AY683" s="152"/>
      <c r="AZ683" s="152"/>
      <c r="BA683" s="152"/>
      <c r="BB683" s="152"/>
      <c r="BC683" s="152"/>
    </row>
    <row r="684" customFormat="false" ht="15.75" hidden="false" customHeight="false" outlineLevel="0" collapsed="false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2"/>
      <c r="AI684" s="152"/>
      <c r="AJ684" s="152"/>
      <c r="AK684" s="152"/>
      <c r="AL684" s="152"/>
      <c r="AM684" s="152"/>
      <c r="AN684" s="152"/>
      <c r="AO684" s="152"/>
      <c r="AP684" s="152"/>
      <c r="AQ684" s="152"/>
      <c r="AR684" s="152"/>
      <c r="AS684" s="152"/>
      <c r="AT684" s="152"/>
      <c r="AU684" s="152"/>
      <c r="AV684" s="152"/>
      <c r="AW684" s="152"/>
      <c r="AX684" s="152"/>
      <c r="AY684" s="152"/>
      <c r="AZ684" s="152"/>
      <c r="BA684" s="152"/>
      <c r="BB684" s="152"/>
      <c r="BC684" s="152"/>
    </row>
    <row r="685" customFormat="false" ht="15.75" hidden="false" customHeight="false" outlineLevel="0" collapsed="false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2"/>
      <c r="AI685" s="152"/>
      <c r="AJ685" s="152"/>
      <c r="AK685" s="152"/>
      <c r="AL685" s="152"/>
      <c r="AM685" s="152"/>
      <c r="AN685" s="152"/>
      <c r="AO685" s="152"/>
      <c r="AP685" s="152"/>
      <c r="AQ685" s="152"/>
      <c r="AR685" s="152"/>
      <c r="AS685" s="152"/>
      <c r="AT685" s="152"/>
      <c r="AU685" s="152"/>
      <c r="AV685" s="152"/>
      <c r="AW685" s="152"/>
      <c r="AX685" s="152"/>
      <c r="AY685" s="152"/>
      <c r="AZ685" s="152"/>
      <c r="BA685" s="152"/>
      <c r="BB685" s="152"/>
      <c r="BC685" s="152"/>
    </row>
    <row r="686" customFormat="false" ht="15.75" hidden="false" customHeight="false" outlineLevel="0" collapsed="false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2"/>
      <c r="AI686" s="152"/>
      <c r="AJ686" s="152"/>
      <c r="AK686" s="152"/>
      <c r="AL686" s="152"/>
      <c r="AM686" s="152"/>
      <c r="AN686" s="152"/>
      <c r="AO686" s="152"/>
      <c r="AP686" s="152"/>
      <c r="AQ686" s="152"/>
      <c r="AR686" s="152"/>
      <c r="AS686" s="152"/>
      <c r="AT686" s="152"/>
      <c r="AU686" s="152"/>
      <c r="AV686" s="152"/>
      <c r="AW686" s="152"/>
      <c r="AX686" s="152"/>
      <c r="AY686" s="152"/>
      <c r="AZ686" s="152"/>
      <c r="BA686" s="152"/>
      <c r="BB686" s="152"/>
      <c r="BC686" s="152"/>
    </row>
    <row r="687" customFormat="false" ht="15.75" hidden="false" customHeight="false" outlineLevel="0" collapsed="false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2"/>
      <c r="AI687" s="152"/>
      <c r="AJ687" s="152"/>
      <c r="AK687" s="152"/>
      <c r="AL687" s="152"/>
      <c r="AM687" s="152"/>
      <c r="AN687" s="152"/>
      <c r="AO687" s="152"/>
      <c r="AP687" s="152"/>
      <c r="AQ687" s="152"/>
      <c r="AR687" s="152"/>
      <c r="AS687" s="152"/>
      <c r="AT687" s="152"/>
      <c r="AU687" s="152"/>
      <c r="AV687" s="152"/>
      <c r="AW687" s="152"/>
      <c r="AX687" s="152"/>
      <c r="AY687" s="152"/>
      <c r="AZ687" s="152"/>
      <c r="BA687" s="152"/>
      <c r="BB687" s="152"/>
      <c r="BC687" s="152"/>
    </row>
    <row r="688" customFormat="false" ht="15.75" hidden="false" customHeight="false" outlineLevel="0" collapsed="false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2"/>
      <c r="AI688" s="152"/>
      <c r="AJ688" s="152"/>
      <c r="AK688" s="152"/>
      <c r="AL688" s="152"/>
      <c r="AM688" s="152"/>
      <c r="AN688" s="152"/>
      <c r="AO688" s="152"/>
      <c r="AP688" s="152"/>
      <c r="AQ688" s="152"/>
      <c r="AR688" s="152"/>
      <c r="AS688" s="152"/>
      <c r="AT688" s="152"/>
      <c r="AU688" s="152"/>
      <c r="AV688" s="152"/>
      <c r="AW688" s="152"/>
      <c r="AX688" s="152"/>
      <c r="AY688" s="152"/>
      <c r="AZ688" s="152"/>
      <c r="BA688" s="152"/>
      <c r="BB688" s="152"/>
      <c r="BC688" s="152"/>
    </row>
    <row r="689" customFormat="false" ht="15.75" hidden="false" customHeight="false" outlineLevel="0" collapsed="false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2"/>
      <c r="AI689" s="152"/>
      <c r="AJ689" s="152"/>
      <c r="AK689" s="152"/>
      <c r="AL689" s="152"/>
      <c r="AM689" s="152"/>
      <c r="AN689" s="152"/>
      <c r="AO689" s="152"/>
      <c r="AP689" s="152"/>
      <c r="AQ689" s="152"/>
      <c r="AR689" s="152"/>
      <c r="AS689" s="152"/>
      <c r="AT689" s="152"/>
      <c r="AU689" s="152"/>
      <c r="AV689" s="152"/>
      <c r="AW689" s="152"/>
      <c r="AX689" s="152"/>
      <c r="AY689" s="152"/>
      <c r="AZ689" s="152"/>
      <c r="BA689" s="152"/>
      <c r="BB689" s="152"/>
      <c r="BC689" s="152"/>
    </row>
    <row r="690" customFormat="false" ht="15.75" hidden="false" customHeight="false" outlineLevel="0" collapsed="false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2"/>
      <c r="AI690" s="152"/>
      <c r="AJ690" s="152"/>
      <c r="AK690" s="152"/>
      <c r="AL690" s="152"/>
      <c r="AM690" s="152"/>
      <c r="AN690" s="152"/>
      <c r="AO690" s="152"/>
      <c r="AP690" s="152"/>
      <c r="AQ690" s="152"/>
      <c r="AR690" s="152"/>
      <c r="AS690" s="152"/>
      <c r="AT690" s="152"/>
      <c r="AU690" s="152"/>
      <c r="AV690" s="152"/>
      <c r="AW690" s="152"/>
      <c r="AX690" s="152"/>
      <c r="AY690" s="152"/>
      <c r="AZ690" s="152"/>
      <c r="BA690" s="152"/>
      <c r="BB690" s="152"/>
      <c r="BC690" s="152"/>
    </row>
    <row r="691" customFormat="false" ht="15.75" hidden="false" customHeight="false" outlineLevel="0" collapsed="false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2"/>
      <c r="AI691" s="152"/>
      <c r="AJ691" s="152"/>
      <c r="AK691" s="152"/>
      <c r="AL691" s="152"/>
      <c r="AM691" s="152"/>
      <c r="AN691" s="152"/>
      <c r="AO691" s="152"/>
      <c r="AP691" s="152"/>
      <c r="AQ691" s="152"/>
      <c r="AR691" s="152"/>
      <c r="AS691" s="152"/>
      <c r="AT691" s="152"/>
      <c r="AU691" s="152"/>
      <c r="AV691" s="152"/>
      <c r="AW691" s="152"/>
      <c r="AX691" s="152"/>
      <c r="AY691" s="152"/>
      <c r="AZ691" s="152"/>
      <c r="BA691" s="152"/>
      <c r="BB691" s="152"/>
      <c r="BC691" s="152"/>
    </row>
    <row r="692" customFormat="false" ht="15.75" hidden="false" customHeight="false" outlineLevel="0" collapsed="false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2"/>
      <c r="AI692" s="152"/>
      <c r="AJ692" s="152"/>
      <c r="AK692" s="152"/>
      <c r="AL692" s="152"/>
      <c r="AM692" s="152"/>
      <c r="AN692" s="152"/>
      <c r="AO692" s="152"/>
      <c r="AP692" s="152"/>
      <c r="AQ692" s="152"/>
      <c r="AR692" s="152"/>
      <c r="AS692" s="152"/>
      <c r="AT692" s="152"/>
      <c r="AU692" s="152"/>
      <c r="AV692" s="152"/>
      <c r="AW692" s="152"/>
      <c r="AX692" s="152"/>
      <c r="AY692" s="152"/>
      <c r="AZ692" s="152"/>
      <c r="BA692" s="152"/>
      <c r="BB692" s="152"/>
      <c r="BC692" s="152"/>
    </row>
    <row r="693" customFormat="false" ht="15.75" hidden="false" customHeight="false" outlineLevel="0" collapsed="false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2"/>
      <c r="AI693" s="152"/>
      <c r="AJ693" s="152"/>
      <c r="AK693" s="152"/>
      <c r="AL693" s="152"/>
      <c r="AM693" s="152"/>
      <c r="AN693" s="152"/>
      <c r="AO693" s="152"/>
      <c r="AP693" s="152"/>
      <c r="AQ693" s="152"/>
      <c r="AR693" s="152"/>
      <c r="AS693" s="152"/>
      <c r="AT693" s="152"/>
      <c r="AU693" s="152"/>
      <c r="AV693" s="152"/>
      <c r="AW693" s="152"/>
      <c r="AX693" s="152"/>
      <c r="AY693" s="152"/>
      <c r="AZ693" s="152"/>
      <c r="BA693" s="152"/>
      <c r="BB693" s="152"/>
      <c r="BC693" s="152"/>
    </row>
    <row r="694" customFormat="false" ht="15.75" hidden="false" customHeight="false" outlineLevel="0" collapsed="false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2"/>
      <c r="AI694" s="152"/>
      <c r="AJ694" s="152"/>
      <c r="AK694" s="152"/>
      <c r="AL694" s="152"/>
      <c r="AM694" s="152"/>
      <c r="AN694" s="152"/>
      <c r="AO694" s="152"/>
      <c r="AP694" s="152"/>
      <c r="AQ694" s="152"/>
      <c r="AR694" s="152"/>
      <c r="AS694" s="152"/>
      <c r="AT694" s="152"/>
      <c r="AU694" s="152"/>
      <c r="AV694" s="152"/>
      <c r="AW694" s="152"/>
      <c r="AX694" s="152"/>
      <c r="AY694" s="152"/>
      <c r="AZ694" s="152"/>
      <c r="BA694" s="152"/>
      <c r="BB694" s="152"/>
      <c r="BC694" s="152"/>
    </row>
    <row r="695" customFormat="false" ht="15.75" hidden="false" customHeight="false" outlineLevel="0" collapsed="false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2"/>
      <c r="AI695" s="152"/>
      <c r="AJ695" s="152"/>
      <c r="AK695" s="152"/>
      <c r="AL695" s="152"/>
      <c r="AM695" s="152"/>
      <c r="AN695" s="152"/>
      <c r="AO695" s="152"/>
      <c r="AP695" s="152"/>
      <c r="AQ695" s="152"/>
      <c r="AR695" s="152"/>
      <c r="AS695" s="152"/>
      <c r="AT695" s="152"/>
      <c r="AU695" s="152"/>
      <c r="AV695" s="152"/>
      <c r="AW695" s="152"/>
      <c r="AX695" s="152"/>
      <c r="AY695" s="152"/>
      <c r="AZ695" s="152"/>
      <c r="BA695" s="152"/>
      <c r="BB695" s="152"/>
      <c r="BC695" s="152"/>
    </row>
    <row r="696" customFormat="false" ht="15.75" hidden="false" customHeight="false" outlineLevel="0" collapsed="false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2"/>
      <c r="AI696" s="152"/>
      <c r="AJ696" s="152"/>
      <c r="AK696" s="152"/>
      <c r="AL696" s="152"/>
      <c r="AM696" s="152"/>
      <c r="AN696" s="152"/>
      <c r="AO696" s="152"/>
      <c r="AP696" s="152"/>
      <c r="AQ696" s="152"/>
      <c r="AR696" s="152"/>
      <c r="AS696" s="152"/>
      <c r="AT696" s="152"/>
      <c r="AU696" s="152"/>
      <c r="AV696" s="152"/>
      <c r="AW696" s="152"/>
      <c r="AX696" s="152"/>
      <c r="AY696" s="152"/>
      <c r="AZ696" s="152"/>
      <c r="BA696" s="152"/>
      <c r="BB696" s="152"/>
      <c r="BC696" s="152"/>
    </row>
    <row r="697" customFormat="false" ht="15.75" hidden="false" customHeight="false" outlineLevel="0" collapsed="false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2"/>
      <c r="AI697" s="152"/>
      <c r="AJ697" s="152"/>
      <c r="AK697" s="152"/>
      <c r="AL697" s="152"/>
      <c r="AM697" s="152"/>
      <c r="AN697" s="152"/>
      <c r="AO697" s="152"/>
      <c r="AP697" s="152"/>
      <c r="AQ697" s="152"/>
      <c r="AR697" s="152"/>
      <c r="AS697" s="152"/>
      <c r="AT697" s="152"/>
      <c r="AU697" s="152"/>
      <c r="AV697" s="152"/>
      <c r="AW697" s="152"/>
      <c r="AX697" s="152"/>
      <c r="AY697" s="152"/>
      <c r="AZ697" s="152"/>
      <c r="BA697" s="152"/>
      <c r="BB697" s="152"/>
      <c r="BC697" s="152"/>
    </row>
    <row r="698" customFormat="false" ht="15.75" hidden="false" customHeight="false" outlineLevel="0" collapsed="false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2"/>
      <c r="AI698" s="152"/>
      <c r="AJ698" s="152"/>
      <c r="AK698" s="152"/>
      <c r="AL698" s="152"/>
      <c r="AM698" s="152"/>
      <c r="AN698" s="152"/>
      <c r="AO698" s="152"/>
      <c r="AP698" s="152"/>
      <c r="AQ698" s="152"/>
      <c r="AR698" s="152"/>
      <c r="AS698" s="152"/>
      <c r="AT698" s="152"/>
      <c r="AU698" s="152"/>
      <c r="AV698" s="152"/>
      <c r="AW698" s="152"/>
      <c r="AX698" s="152"/>
      <c r="AY698" s="152"/>
      <c r="AZ698" s="152"/>
      <c r="BA698" s="152"/>
      <c r="BB698" s="152"/>
      <c r="BC698" s="152"/>
    </row>
    <row r="699" customFormat="false" ht="15.75" hidden="false" customHeight="false" outlineLevel="0" collapsed="false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2"/>
      <c r="AI699" s="152"/>
      <c r="AJ699" s="152"/>
      <c r="AK699" s="152"/>
      <c r="AL699" s="152"/>
      <c r="AM699" s="152"/>
      <c r="AN699" s="152"/>
      <c r="AO699" s="152"/>
      <c r="AP699" s="152"/>
      <c r="AQ699" s="152"/>
      <c r="AR699" s="152"/>
      <c r="AS699" s="152"/>
      <c r="AT699" s="152"/>
      <c r="AU699" s="152"/>
      <c r="AV699" s="152"/>
      <c r="AW699" s="152"/>
      <c r="AX699" s="152"/>
      <c r="AY699" s="152"/>
      <c r="AZ699" s="152"/>
      <c r="BA699" s="152"/>
      <c r="BB699" s="152"/>
      <c r="BC699" s="152"/>
    </row>
    <row r="700" customFormat="false" ht="15.75" hidden="false" customHeight="false" outlineLevel="0" collapsed="false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2"/>
      <c r="AI700" s="152"/>
      <c r="AJ700" s="152"/>
      <c r="AK700" s="152"/>
      <c r="AL700" s="152"/>
      <c r="AM700" s="152"/>
      <c r="AN700" s="152"/>
      <c r="AO700" s="152"/>
      <c r="AP700" s="152"/>
      <c r="AQ700" s="152"/>
      <c r="AR700" s="152"/>
      <c r="AS700" s="152"/>
      <c r="AT700" s="152"/>
      <c r="AU700" s="152"/>
      <c r="AV700" s="152"/>
      <c r="AW700" s="152"/>
      <c r="AX700" s="152"/>
      <c r="AY700" s="152"/>
      <c r="AZ700" s="152"/>
      <c r="BA700" s="152"/>
      <c r="BB700" s="152"/>
      <c r="BC700" s="152"/>
    </row>
    <row r="701" customFormat="false" ht="15.75" hidden="false" customHeight="false" outlineLevel="0" collapsed="false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2"/>
      <c r="AI701" s="152"/>
      <c r="AJ701" s="152"/>
      <c r="AK701" s="152"/>
      <c r="AL701" s="152"/>
      <c r="AM701" s="152"/>
      <c r="AN701" s="152"/>
      <c r="AO701" s="152"/>
      <c r="AP701" s="152"/>
      <c r="AQ701" s="152"/>
      <c r="AR701" s="152"/>
      <c r="AS701" s="152"/>
      <c r="AT701" s="152"/>
      <c r="AU701" s="152"/>
      <c r="AV701" s="152"/>
      <c r="AW701" s="152"/>
      <c r="AX701" s="152"/>
      <c r="AY701" s="152"/>
      <c r="AZ701" s="152"/>
      <c r="BA701" s="152"/>
      <c r="BB701" s="152"/>
      <c r="BC701" s="152"/>
    </row>
    <row r="702" customFormat="false" ht="15.75" hidden="false" customHeight="false" outlineLevel="0" collapsed="false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2"/>
      <c r="AI702" s="152"/>
      <c r="AJ702" s="152"/>
      <c r="AK702" s="152"/>
      <c r="AL702" s="152"/>
      <c r="AM702" s="152"/>
      <c r="AN702" s="152"/>
      <c r="AO702" s="152"/>
      <c r="AP702" s="152"/>
      <c r="AQ702" s="152"/>
      <c r="AR702" s="152"/>
      <c r="AS702" s="152"/>
      <c r="AT702" s="152"/>
      <c r="AU702" s="152"/>
      <c r="AV702" s="152"/>
      <c r="AW702" s="152"/>
      <c r="AX702" s="152"/>
      <c r="AY702" s="152"/>
      <c r="AZ702" s="152"/>
      <c r="BA702" s="152"/>
      <c r="BB702" s="152"/>
      <c r="BC702" s="152"/>
    </row>
    <row r="703" customFormat="false" ht="15.75" hidden="false" customHeight="false" outlineLevel="0" collapsed="false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2"/>
      <c r="AI703" s="152"/>
      <c r="AJ703" s="152"/>
      <c r="AK703" s="152"/>
      <c r="AL703" s="152"/>
      <c r="AM703" s="152"/>
      <c r="AN703" s="152"/>
      <c r="AO703" s="152"/>
      <c r="AP703" s="152"/>
      <c r="AQ703" s="152"/>
      <c r="AR703" s="152"/>
      <c r="AS703" s="152"/>
      <c r="AT703" s="152"/>
      <c r="AU703" s="152"/>
      <c r="AV703" s="152"/>
      <c r="AW703" s="152"/>
      <c r="AX703" s="152"/>
      <c r="AY703" s="152"/>
      <c r="AZ703" s="152"/>
      <c r="BA703" s="152"/>
      <c r="BB703" s="152"/>
      <c r="BC703" s="152"/>
    </row>
    <row r="704" customFormat="false" ht="15.75" hidden="false" customHeight="false" outlineLevel="0" collapsed="false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2"/>
      <c r="AI704" s="152"/>
      <c r="AJ704" s="152"/>
      <c r="AK704" s="152"/>
      <c r="AL704" s="152"/>
      <c r="AM704" s="152"/>
      <c r="AN704" s="152"/>
      <c r="AO704" s="152"/>
      <c r="AP704" s="152"/>
      <c r="AQ704" s="152"/>
      <c r="AR704" s="152"/>
      <c r="AS704" s="152"/>
      <c r="AT704" s="152"/>
      <c r="AU704" s="152"/>
      <c r="AV704" s="152"/>
      <c r="AW704" s="152"/>
      <c r="AX704" s="152"/>
      <c r="AY704" s="152"/>
      <c r="AZ704" s="152"/>
      <c r="BA704" s="152"/>
      <c r="BB704" s="152"/>
      <c r="BC704" s="152"/>
    </row>
    <row r="705" customFormat="false" ht="15.75" hidden="false" customHeight="false" outlineLevel="0" collapsed="false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2"/>
      <c r="AI705" s="152"/>
      <c r="AJ705" s="152"/>
      <c r="AK705" s="152"/>
      <c r="AL705" s="152"/>
      <c r="AM705" s="152"/>
      <c r="AN705" s="152"/>
      <c r="AO705" s="152"/>
      <c r="AP705" s="152"/>
      <c r="AQ705" s="152"/>
      <c r="AR705" s="152"/>
      <c r="AS705" s="152"/>
      <c r="AT705" s="152"/>
      <c r="AU705" s="152"/>
      <c r="AV705" s="152"/>
      <c r="AW705" s="152"/>
      <c r="AX705" s="152"/>
      <c r="AY705" s="152"/>
      <c r="AZ705" s="152"/>
      <c r="BA705" s="152"/>
      <c r="BB705" s="152"/>
      <c r="BC705" s="152"/>
    </row>
    <row r="706" customFormat="false" ht="15.75" hidden="false" customHeight="false" outlineLevel="0" collapsed="false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2"/>
      <c r="AI706" s="152"/>
      <c r="AJ706" s="152"/>
      <c r="AK706" s="152"/>
      <c r="AL706" s="152"/>
      <c r="AM706" s="152"/>
      <c r="AN706" s="152"/>
      <c r="AO706" s="152"/>
      <c r="AP706" s="152"/>
      <c r="AQ706" s="152"/>
      <c r="AR706" s="152"/>
      <c r="AS706" s="152"/>
      <c r="AT706" s="152"/>
      <c r="AU706" s="152"/>
      <c r="AV706" s="152"/>
      <c r="AW706" s="152"/>
      <c r="AX706" s="152"/>
      <c r="AY706" s="152"/>
      <c r="AZ706" s="152"/>
      <c r="BA706" s="152"/>
      <c r="BB706" s="152"/>
      <c r="BC706" s="152"/>
    </row>
    <row r="707" customFormat="false" ht="15.75" hidden="false" customHeight="false" outlineLevel="0" collapsed="false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2"/>
      <c r="AI707" s="152"/>
      <c r="AJ707" s="152"/>
      <c r="AK707" s="152"/>
      <c r="AL707" s="152"/>
      <c r="AM707" s="152"/>
      <c r="AN707" s="152"/>
      <c r="AO707" s="152"/>
      <c r="AP707" s="152"/>
      <c r="AQ707" s="152"/>
      <c r="AR707" s="152"/>
      <c r="AS707" s="152"/>
      <c r="AT707" s="152"/>
      <c r="AU707" s="152"/>
      <c r="AV707" s="152"/>
      <c r="AW707" s="152"/>
      <c r="AX707" s="152"/>
      <c r="AY707" s="152"/>
      <c r="AZ707" s="152"/>
      <c r="BA707" s="152"/>
      <c r="BB707" s="152"/>
      <c r="BC707" s="152"/>
    </row>
    <row r="708" customFormat="false" ht="15.75" hidden="false" customHeight="false" outlineLevel="0" collapsed="false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2"/>
      <c r="AI708" s="152"/>
      <c r="AJ708" s="152"/>
      <c r="AK708" s="152"/>
      <c r="AL708" s="152"/>
      <c r="AM708" s="152"/>
      <c r="AN708" s="152"/>
      <c r="AO708" s="152"/>
      <c r="AP708" s="152"/>
      <c r="AQ708" s="152"/>
      <c r="AR708" s="152"/>
      <c r="AS708" s="152"/>
      <c r="AT708" s="152"/>
      <c r="AU708" s="152"/>
      <c r="AV708" s="152"/>
      <c r="AW708" s="152"/>
      <c r="AX708" s="152"/>
      <c r="AY708" s="152"/>
      <c r="AZ708" s="152"/>
      <c r="BA708" s="152"/>
      <c r="BB708" s="152"/>
      <c r="BC708" s="152"/>
    </row>
    <row r="709" customFormat="false" ht="15.75" hidden="false" customHeight="false" outlineLevel="0" collapsed="false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2"/>
      <c r="AI709" s="152"/>
      <c r="AJ709" s="152"/>
      <c r="AK709" s="152"/>
      <c r="AL709" s="152"/>
      <c r="AM709" s="152"/>
      <c r="AN709" s="152"/>
      <c r="AO709" s="152"/>
      <c r="AP709" s="152"/>
      <c r="AQ709" s="152"/>
      <c r="AR709" s="152"/>
      <c r="AS709" s="152"/>
      <c r="AT709" s="152"/>
      <c r="AU709" s="152"/>
      <c r="AV709" s="152"/>
      <c r="AW709" s="152"/>
      <c r="AX709" s="152"/>
      <c r="AY709" s="152"/>
      <c r="AZ709" s="152"/>
      <c r="BA709" s="152"/>
      <c r="BB709" s="152"/>
      <c r="BC709" s="152"/>
    </row>
    <row r="710" customFormat="false" ht="15.75" hidden="false" customHeight="false" outlineLevel="0" collapsed="false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2"/>
      <c r="AI710" s="152"/>
      <c r="AJ710" s="152"/>
      <c r="AK710" s="152"/>
      <c r="AL710" s="152"/>
      <c r="AM710" s="152"/>
      <c r="AN710" s="152"/>
      <c r="AO710" s="152"/>
      <c r="AP710" s="152"/>
      <c r="AQ710" s="152"/>
      <c r="AR710" s="152"/>
      <c r="AS710" s="152"/>
      <c r="AT710" s="152"/>
      <c r="AU710" s="152"/>
      <c r="AV710" s="152"/>
      <c r="AW710" s="152"/>
      <c r="AX710" s="152"/>
      <c r="AY710" s="152"/>
      <c r="AZ710" s="152"/>
      <c r="BA710" s="152"/>
      <c r="BB710" s="152"/>
      <c r="BC710" s="152"/>
    </row>
    <row r="711" customFormat="false" ht="15.75" hidden="false" customHeight="false" outlineLevel="0" collapsed="false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2"/>
      <c r="AI711" s="152"/>
      <c r="AJ711" s="152"/>
      <c r="AK711" s="152"/>
      <c r="AL711" s="152"/>
      <c r="AM711" s="152"/>
      <c r="AN711" s="152"/>
      <c r="AO711" s="152"/>
      <c r="AP711" s="152"/>
      <c r="AQ711" s="152"/>
      <c r="AR711" s="152"/>
      <c r="AS711" s="152"/>
      <c r="AT711" s="152"/>
      <c r="AU711" s="152"/>
      <c r="AV711" s="152"/>
      <c r="AW711" s="152"/>
      <c r="AX711" s="152"/>
      <c r="AY711" s="152"/>
      <c r="AZ711" s="152"/>
      <c r="BA711" s="152"/>
      <c r="BB711" s="152"/>
      <c r="BC711" s="152"/>
    </row>
    <row r="712" customFormat="false" ht="15.75" hidden="false" customHeight="false" outlineLevel="0" collapsed="false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2"/>
      <c r="AI712" s="152"/>
      <c r="AJ712" s="152"/>
      <c r="AK712" s="152"/>
      <c r="AL712" s="152"/>
      <c r="AM712" s="152"/>
      <c r="AN712" s="152"/>
      <c r="AO712" s="152"/>
      <c r="AP712" s="152"/>
      <c r="AQ712" s="152"/>
      <c r="AR712" s="152"/>
      <c r="AS712" s="152"/>
      <c r="AT712" s="152"/>
      <c r="AU712" s="152"/>
      <c r="AV712" s="152"/>
      <c r="AW712" s="152"/>
      <c r="AX712" s="152"/>
      <c r="AY712" s="152"/>
      <c r="AZ712" s="152"/>
      <c r="BA712" s="152"/>
      <c r="BB712" s="152"/>
      <c r="BC712" s="152"/>
    </row>
    <row r="713" customFormat="false" ht="15.75" hidden="false" customHeight="false" outlineLevel="0" collapsed="false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2"/>
      <c r="AI713" s="152"/>
      <c r="AJ713" s="152"/>
      <c r="AK713" s="152"/>
      <c r="AL713" s="152"/>
      <c r="AM713" s="152"/>
      <c r="AN713" s="152"/>
      <c r="AO713" s="152"/>
      <c r="AP713" s="152"/>
      <c r="AQ713" s="152"/>
      <c r="AR713" s="152"/>
      <c r="AS713" s="152"/>
      <c r="AT713" s="152"/>
      <c r="AU713" s="152"/>
      <c r="AV713" s="152"/>
      <c r="AW713" s="152"/>
      <c r="AX713" s="152"/>
      <c r="AY713" s="152"/>
      <c r="AZ713" s="152"/>
      <c r="BA713" s="152"/>
      <c r="BB713" s="152"/>
      <c r="BC713" s="152"/>
    </row>
    <row r="714" customFormat="false" ht="15.75" hidden="false" customHeight="false" outlineLevel="0" collapsed="false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2"/>
      <c r="AI714" s="152"/>
      <c r="AJ714" s="152"/>
      <c r="AK714" s="152"/>
      <c r="AL714" s="152"/>
      <c r="AM714" s="152"/>
      <c r="AN714" s="152"/>
      <c r="AO714" s="152"/>
      <c r="AP714" s="152"/>
      <c r="AQ714" s="152"/>
      <c r="AR714" s="152"/>
      <c r="AS714" s="152"/>
      <c r="AT714" s="152"/>
      <c r="AU714" s="152"/>
      <c r="AV714" s="152"/>
      <c r="AW714" s="152"/>
      <c r="AX714" s="152"/>
      <c r="AY714" s="152"/>
      <c r="AZ714" s="152"/>
      <c r="BA714" s="152"/>
      <c r="BB714" s="152"/>
      <c r="BC714" s="152"/>
    </row>
    <row r="715" customFormat="false" ht="15.75" hidden="false" customHeight="false" outlineLevel="0" collapsed="false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2"/>
      <c r="AI715" s="152"/>
      <c r="AJ715" s="152"/>
      <c r="AK715" s="152"/>
      <c r="AL715" s="152"/>
      <c r="AM715" s="152"/>
      <c r="AN715" s="152"/>
      <c r="AO715" s="152"/>
      <c r="AP715" s="152"/>
      <c r="AQ715" s="152"/>
      <c r="AR715" s="152"/>
      <c r="AS715" s="152"/>
      <c r="AT715" s="152"/>
      <c r="AU715" s="152"/>
      <c r="AV715" s="152"/>
      <c r="AW715" s="152"/>
      <c r="AX715" s="152"/>
      <c r="AY715" s="152"/>
      <c r="AZ715" s="152"/>
      <c r="BA715" s="152"/>
      <c r="BB715" s="152"/>
      <c r="BC715" s="152"/>
    </row>
    <row r="716" customFormat="false" ht="15.75" hidden="false" customHeight="false" outlineLevel="0" collapsed="false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2"/>
      <c r="AI716" s="152"/>
      <c r="AJ716" s="152"/>
      <c r="AK716" s="152"/>
      <c r="AL716" s="152"/>
      <c r="AM716" s="152"/>
      <c r="AN716" s="152"/>
      <c r="AO716" s="152"/>
      <c r="AP716" s="152"/>
      <c r="AQ716" s="152"/>
      <c r="AR716" s="152"/>
      <c r="AS716" s="152"/>
      <c r="AT716" s="152"/>
      <c r="AU716" s="152"/>
      <c r="AV716" s="152"/>
      <c r="AW716" s="152"/>
      <c r="AX716" s="152"/>
      <c r="AY716" s="152"/>
      <c r="AZ716" s="152"/>
      <c r="BA716" s="152"/>
      <c r="BB716" s="152"/>
      <c r="BC716" s="152"/>
    </row>
    <row r="717" customFormat="false" ht="15.75" hidden="false" customHeight="false" outlineLevel="0" collapsed="false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2"/>
      <c r="AI717" s="152"/>
      <c r="AJ717" s="152"/>
      <c r="AK717" s="152"/>
      <c r="AL717" s="152"/>
      <c r="AM717" s="152"/>
      <c r="AN717" s="152"/>
      <c r="AO717" s="152"/>
      <c r="AP717" s="152"/>
      <c r="AQ717" s="152"/>
      <c r="AR717" s="152"/>
      <c r="AS717" s="152"/>
      <c r="AT717" s="152"/>
      <c r="AU717" s="152"/>
      <c r="AV717" s="152"/>
      <c r="AW717" s="152"/>
      <c r="AX717" s="152"/>
      <c r="AY717" s="152"/>
      <c r="AZ717" s="152"/>
      <c r="BA717" s="152"/>
      <c r="BB717" s="152"/>
      <c r="BC717" s="152"/>
    </row>
    <row r="718" customFormat="false" ht="15.75" hidden="false" customHeight="false" outlineLevel="0" collapsed="false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2"/>
      <c r="AI718" s="152"/>
      <c r="AJ718" s="152"/>
      <c r="AK718" s="152"/>
      <c r="AL718" s="152"/>
      <c r="AM718" s="152"/>
      <c r="AN718" s="152"/>
      <c r="AO718" s="152"/>
      <c r="AP718" s="152"/>
      <c r="AQ718" s="152"/>
      <c r="AR718" s="152"/>
      <c r="AS718" s="152"/>
      <c r="AT718" s="152"/>
      <c r="AU718" s="152"/>
      <c r="AV718" s="152"/>
      <c r="AW718" s="152"/>
      <c r="AX718" s="152"/>
      <c r="AY718" s="152"/>
      <c r="AZ718" s="152"/>
      <c r="BA718" s="152"/>
      <c r="BB718" s="152"/>
      <c r="BC718" s="152"/>
    </row>
    <row r="719" customFormat="false" ht="15.75" hidden="false" customHeight="false" outlineLevel="0" collapsed="false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2"/>
      <c r="AI719" s="152"/>
      <c r="AJ719" s="152"/>
      <c r="AK719" s="152"/>
      <c r="AL719" s="152"/>
      <c r="AM719" s="152"/>
      <c r="AN719" s="152"/>
      <c r="AO719" s="152"/>
      <c r="AP719" s="152"/>
      <c r="AQ719" s="152"/>
      <c r="AR719" s="152"/>
      <c r="AS719" s="152"/>
      <c r="AT719" s="152"/>
      <c r="AU719" s="152"/>
      <c r="AV719" s="152"/>
      <c r="AW719" s="152"/>
      <c r="AX719" s="152"/>
      <c r="AY719" s="152"/>
      <c r="AZ719" s="152"/>
      <c r="BA719" s="152"/>
      <c r="BB719" s="152"/>
      <c r="BC719" s="152"/>
    </row>
    <row r="720" customFormat="false" ht="15.75" hidden="false" customHeight="false" outlineLevel="0" collapsed="false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2"/>
      <c r="AI720" s="152"/>
      <c r="AJ720" s="152"/>
      <c r="AK720" s="152"/>
      <c r="AL720" s="152"/>
      <c r="AM720" s="152"/>
      <c r="AN720" s="152"/>
      <c r="AO720" s="152"/>
      <c r="AP720" s="152"/>
      <c r="AQ720" s="152"/>
      <c r="AR720" s="152"/>
      <c r="AS720" s="152"/>
      <c r="AT720" s="152"/>
      <c r="AU720" s="152"/>
      <c r="AV720" s="152"/>
      <c r="AW720" s="152"/>
      <c r="AX720" s="152"/>
      <c r="AY720" s="152"/>
      <c r="AZ720" s="152"/>
      <c r="BA720" s="152"/>
      <c r="BB720" s="152"/>
      <c r="BC720" s="152"/>
    </row>
    <row r="721" customFormat="false" ht="15.75" hidden="false" customHeight="false" outlineLevel="0" collapsed="false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2"/>
      <c r="AI721" s="152"/>
      <c r="AJ721" s="152"/>
      <c r="AK721" s="152"/>
      <c r="AL721" s="152"/>
      <c r="AM721" s="152"/>
      <c r="AN721" s="152"/>
      <c r="AO721" s="152"/>
      <c r="AP721" s="152"/>
      <c r="AQ721" s="152"/>
      <c r="AR721" s="152"/>
      <c r="AS721" s="152"/>
      <c r="AT721" s="152"/>
      <c r="AU721" s="152"/>
      <c r="AV721" s="152"/>
      <c r="AW721" s="152"/>
      <c r="AX721" s="152"/>
      <c r="AY721" s="152"/>
      <c r="AZ721" s="152"/>
      <c r="BA721" s="152"/>
      <c r="BB721" s="152"/>
      <c r="BC721" s="152"/>
    </row>
    <row r="722" customFormat="false" ht="15.75" hidden="false" customHeight="false" outlineLevel="0" collapsed="false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2"/>
      <c r="AI722" s="152"/>
      <c r="AJ722" s="152"/>
      <c r="AK722" s="152"/>
      <c r="AL722" s="152"/>
      <c r="AM722" s="152"/>
      <c r="AN722" s="152"/>
      <c r="AO722" s="152"/>
      <c r="AP722" s="152"/>
      <c r="AQ722" s="152"/>
      <c r="AR722" s="152"/>
      <c r="AS722" s="152"/>
      <c r="AT722" s="152"/>
      <c r="AU722" s="152"/>
      <c r="AV722" s="152"/>
      <c r="AW722" s="152"/>
      <c r="AX722" s="152"/>
      <c r="AY722" s="152"/>
      <c r="AZ722" s="152"/>
      <c r="BA722" s="152"/>
      <c r="BB722" s="152"/>
      <c r="BC722" s="152"/>
    </row>
    <row r="723" customFormat="false" ht="15.75" hidden="false" customHeight="false" outlineLevel="0" collapsed="false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2"/>
      <c r="AI723" s="152"/>
      <c r="AJ723" s="152"/>
      <c r="AK723" s="152"/>
      <c r="AL723" s="152"/>
      <c r="AM723" s="152"/>
      <c r="AN723" s="152"/>
      <c r="AO723" s="152"/>
      <c r="AP723" s="152"/>
      <c r="AQ723" s="152"/>
      <c r="AR723" s="152"/>
      <c r="AS723" s="152"/>
      <c r="AT723" s="152"/>
      <c r="AU723" s="152"/>
      <c r="AV723" s="152"/>
      <c r="AW723" s="152"/>
      <c r="AX723" s="152"/>
      <c r="AY723" s="152"/>
      <c r="AZ723" s="152"/>
      <c r="BA723" s="152"/>
      <c r="BB723" s="152"/>
      <c r="BC723" s="152"/>
    </row>
    <row r="724" customFormat="false" ht="15.75" hidden="false" customHeight="false" outlineLevel="0" collapsed="false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2"/>
      <c r="AI724" s="152"/>
      <c r="AJ724" s="152"/>
      <c r="AK724" s="152"/>
      <c r="AL724" s="152"/>
      <c r="AM724" s="152"/>
      <c r="AN724" s="152"/>
      <c r="AO724" s="152"/>
      <c r="AP724" s="152"/>
      <c r="AQ724" s="152"/>
      <c r="AR724" s="152"/>
      <c r="AS724" s="152"/>
      <c r="AT724" s="152"/>
      <c r="AU724" s="152"/>
      <c r="AV724" s="152"/>
      <c r="AW724" s="152"/>
      <c r="AX724" s="152"/>
      <c r="AY724" s="152"/>
      <c r="AZ724" s="152"/>
      <c r="BA724" s="152"/>
      <c r="BB724" s="152"/>
      <c r="BC724" s="152"/>
    </row>
    <row r="725" customFormat="false" ht="15.75" hidden="false" customHeight="false" outlineLevel="0" collapsed="false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2"/>
      <c r="AI725" s="152"/>
      <c r="AJ725" s="152"/>
      <c r="AK725" s="152"/>
      <c r="AL725" s="152"/>
      <c r="AM725" s="152"/>
      <c r="AN725" s="152"/>
      <c r="AO725" s="152"/>
      <c r="AP725" s="152"/>
      <c r="AQ725" s="152"/>
      <c r="AR725" s="152"/>
      <c r="AS725" s="152"/>
      <c r="AT725" s="152"/>
      <c r="AU725" s="152"/>
      <c r="AV725" s="152"/>
      <c r="AW725" s="152"/>
      <c r="AX725" s="152"/>
      <c r="AY725" s="152"/>
      <c r="AZ725" s="152"/>
      <c r="BA725" s="152"/>
      <c r="BB725" s="152"/>
      <c r="BC725" s="152"/>
    </row>
    <row r="726" customFormat="false" ht="15.75" hidden="false" customHeight="false" outlineLevel="0" collapsed="false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2"/>
      <c r="AI726" s="152"/>
      <c r="AJ726" s="152"/>
      <c r="AK726" s="152"/>
      <c r="AL726" s="152"/>
      <c r="AM726" s="152"/>
      <c r="AN726" s="152"/>
      <c r="AO726" s="152"/>
      <c r="AP726" s="152"/>
      <c r="AQ726" s="152"/>
      <c r="AR726" s="152"/>
      <c r="AS726" s="152"/>
      <c r="AT726" s="152"/>
      <c r="AU726" s="152"/>
      <c r="AV726" s="152"/>
      <c r="AW726" s="152"/>
      <c r="AX726" s="152"/>
      <c r="AY726" s="152"/>
      <c r="AZ726" s="152"/>
      <c r="BA726" s="152"/>
      <c r="BB726" s="152"/>
      <c r="BC726" s="152"/>
    </row>
    <row r="727" customFormat="false" ht="15.75" hidden="false" customHeight="false" outlineLevel="0" collapsed="false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2"/>
      <c r="AI727" s="152"/>
      <c r="AJ727" s="152"/>
      <c r="AK727" s="152"/>
      <c r="AL727" s="152"/>
      <c r="AM727" s="152"/>
      <c r="AN727" s="152"/>
      <c r="AO727" s="152"/>
      <c r="AP727" s="152"/>
      <c r="AQ727" s="152"/>
      <c r="AR727" s="152"/>
      <c r="AS727" s="152"/>
      <c r="AT727" s="152"/>
      <c r="AU727" s="152"/>
      <c r="AV727" s="152"/>
      <c r="AW727" s="152"/>
      <c r="AX727" s="152"/>
      <c r="AY727" s="152"/>
      <c r="AZ727" s="152"/>
      <c r="BA727" s="152"/>
      <c r="BB727" s="152"/>
      <c r="BC727" s="152"/>
    </row>
    <row r="728" customFormat="false" ht="15.75" hidden="false" customHeight="false" outlineLevel="0" collapsed="false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2"/>
      <c r="AI728" s="152"/>
      <c r="AJ728" s="152"/>
      <c r="AK728" s="152"/>
      <c r="AL728" s="152"/>
      <c r="AM728" s="152"/>
      <c r="AN728" s="152"/>
      <c r="AO728" s="152"/>
      <c r="AP728" s="152"/>
      <c r="AQ728" s="152"/>
      <c r="AR728" s="152"/>
      <c r="AS728" s="152"/>
      <c r="AT728" s="152"/>
      <c r="AU728" s="152"/>
      <c r="AV728" s="152"/>
      <c r="AW728" s="152"/>
      <c r="AX728" s="152"/>
      <c r="AY728" s="152"/>
      <c r="AZ728" s="152"/>
      <c r="BA728" s="152"/>
      <c r="BB728" s="152"/>
      <c r="BC728" s="152"/>
    </row>
    <row r="729" customFormat="false" ht="15.75" hidden="false" customHeight="false" outlineLevel="0" collapsed="false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2"/>
      <c r="AI729" s="152"/>
      <c r="AJ729" s="152"/>
      <c r="AK729" s="152"/>
      <c r="AL729" s="152"/>
      <c r="AM729" s="152"/>
      <c r="AN729" s="152"/>
      <c r="AO729" s="152"/>
      <c r="AP729" s="152"/>
      <c r="AQ729" s="152"/>
      <c r="AR729" s="152"/>
      <c r="AS729" s="152"/>
      <c r="AT729" s="152"/>
      <c r="AU729" s="152"/>
      <c r="AV729" s="152"/>
      <c r="AW729" s="152"/>
      <c r="AX729" s="152"/>
      <c r="AY729" s="152"/>
      <c r="AZ729" s="152"/>
      <c r="BA729" s="152"/>
      <c r="BB729" s="152"/>
      <c r="BC729" s="152"/>
    </row>
    <row r="730" customFormat="false" ht="15.75" hidden="false" customHeight="false" outlineLevel="0" collapsed="false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2"/>
      <c r="AI730" s="152"/>
      <c r="AJ730" s="152"/>
      <c r="AK730" s="152"/>
      <c r="AL730" s="152"/>
      <c r="AM730" s="152"/>
      <c r="AN730" s="152"/>
      <c r="AO730" s="152"/>
      <c r="AP730" s="152"/>
      <c r="AQ730" s="152"/>
      <c r="AR730" s="152"/>
      <c r="AS730" s="152"/>
      <c r="AT730" s="152"/>
      <c r="AU730" s="152"/>
      <c r="AV730" s="152"/>
      <c r="AW730" s="152"/>
      <c r="AX730" s="152"/>
      <c r="AY730" s="152"/>
      <c r="AZ730" s="152"/>
      <c r="BA730" s="152"/>
      <c r="BB730" s="152"/>
      <c r="BC730" s="152"/>
    </row>
    <row r="731" customFormat="false" ht="15.75" hidden="false" customHeight="false" outlineLevel="0" collapsed="false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2"/>
      <c r="AI731" s="152"/>
      <c r="AJ731" s="152"/>
      <c r="AK731" s="152"/>
      <c r="AL731" s="152"/>
      <c r="AM731" s="152"/>
      <c r="AN731" s="152"/>
      <c r="AO731" s="152"/>
      <c r="AP731" s="152"/>
      <c r="AQ731" s="152"/>
      <c r="AR731" s="152"/>
      <c r="AS731" s="152"/>
      <c r="AT731" s="152"/>
      <c r="AU731" s="152"/>
      <c r="AV731" s="152"/>
      <c r="AW731" s="152"/>
      <c r="AX731" s="152"/>
      <c r="AY731" s="152"/>
      <c r="AZ731" s="152"/>
      <c r="BA731" s="152"/>
      <c r="BB731" s="152"/>
      <c r="BC731" s="152"/>
    </row>
    <row r="732" customFormat="false" ht="15.75" hidden="false" customHeight="false" outlineLevel="0" collapsed="false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2"/>
      <c r="AI732" s="152"/>
      <c r="AJ732" s="152"/>
      <c r="AK732" s="152"/>
      <c r="AL732" s="152"/>
      <c r="AM732" s="152"/>
      <c r="AN732" s="152"/>
      <c r="AO732" s="152"/>
      <c r="AP732" s="152"/>
      <c r="AQ732" s="152"/>
      <c r="AR732" s="152"/>
      <c r="AS732" s="152"/>
      <c r="AT732" s="152"/>
      <c r="AU732" s="152"/>
      <c r="AV732" s="152"/>
      <c r="AW732" s="152"/>
      <c r="AX732" s="152"/>
      <c r="AY732" s="152"/>
      <c r="AZ732" s="152"/>
      <c r="BA732" s="152"/>
      <c r="BB732" s="152"/>
      <c r="BC732" s="152"/>
    </row>
    <row r="733" customFormat="false" ht="15.75" hidden="false" customHeight="false" outlineLevel="0" collapsed="false">
      <c r="A733" s="152"/>
      <c r="B733" s="152"/>
      <c r="C733" s="154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2"/>
      <c r="AI733" s="152"/>
      <c r="AJ733" s="152"/>
      <c r="AK733" s="152"/>
      <c r="AL733" s="152"/>
      <c r="AM733" s="152"/>
      <c r="AN733" s="152"/>
      <c r="AO733" s="152"/>
      <c r="AP733" s="152"/>
      <c r="AQ733" s="152"/>
      <c r="AR733" s="152"/>
      <c r="AS733" s="152"/>
      <c r="AT733" s="152"/>
      <c r="AU733" s="152"/>
      <c r="AV733" s="152"/>
      <c r="AW733" s="152"/>
      <c r="AX733" s="152"/>
      <c r="AY733" s="152"/>
      <c r="AZ733" s="152"/>
      <c r="BA733" s="152"/>
      <c r="BB733" s="152"/>
      <c r="BC733" s="152"/>
    </row>
    <row r="734" customFormat="false" ht="15.75" hidden="false" customHeight="false" outlineLevel="0" collapsed="false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2"/>
      <c r="AI734" s="152"/>
      <c r="AJ734" s="152"/>
      <c r="AK734" s="152"/>
      <c r="AL734" s="152"/>
      <c r="AM734" s="152"/>
      <c r="AN734" s="152"/>
      <c r="AO734" s="152"/>
      <c r="AP734" s="152"/>
      <c r="AQ734" s="152"/>
      <c r="AR734" s="152"/>
      <c r="AS734" s="152"/>
      <c r="AT734" s="152"/>
      <c r="AU734" s="152"/>
      <c r="AV734" s="152"/>
      <c r="AW734" s="152"/>
      <c r="AX734" s="152"/>
      <c r="AY734" s="152"/>
      <c r="AZ734" s="152"/>
      <c r="BA734" s="152"/>
      <c r="BB734" s="152"/>
      <c r="BC734" s="152"/>
    </row>
    <row r="735" customFormat="false" ht="15.75" hidden="false" customHeight="false" outlineLevel="0" collapsed="false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2"/>
      <c r="AI735" s="152"/>
      <c r="AJ735" s="152"/>
      <c r="AK735" s="152"/>
      <c r="AL735" s="152"/>
      <c r="AM735" s="152"/>
      <c r="AN735" s="152"/>
      <c r="AO735" s="152"/>
      <c r="AP735" s="152"/>
      <c r="AQ735" s="152"/>
      <c r="AR735" s="152"/>
      <c r="AS735" s="152"/>
      <c r="AT735" s="152"/>
      <c r="AU735" s="152"/>
      <c r="AV735" s="152"/>
      <c r="AW735" s="152"/>
      <c r="AX735" s="152"/>
      <c r="AY735" s="152"/>
      <c r="AZ735" s="152"/>
      <c r="BA735" s="152"/>
      <c r="BB735" s="152"/>
      <c r="BC735" s="152"/>
    </row>
    <row r="736" customFormat="false" ht="15.75" hidden="false" customHeight="false" outlineLevel="0" collapsed="false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2"/>
      <c r="AI736" s="152"/>
      <c r="AJ736" s="152"/>
      <c r="AK736" s="152"/>
      <c r="AL736" s="152"/>
      <c r="AM736" s="152"/>
      <c r="AN736" s="152"/>
      <c r="AO736" s="152"/>
      <c r="AP736" s="152"/>
      <c r="AQ736" s="152"/>
      <c r="AR736" s="152"/>
      <c r="AS736" s="152"/>
      <c r="AT736" s="152"/>
      <c r="AU736" s="152"/>
      <c r="AV736" s="152"/>
      <c r="AW736" s="152"/>
      <c r="AX736" s="152"/>
      <c r="AY736" s="152"/>
      <c r="AZ736" s="152"/>
      <c r="BA736" s="152"/>
      <c r="BB736" s="152"/>
      <c r="BC736" s="152"/>
    </row>
    <row r="737" customFormat="false" ht="15.75" hidden="false" customHeight="false" outlineLevel="0" collapsed="false">
      <c r="A737" s="152"/>
      <c r="B737" s="152"/>
      <c r="C737" s="154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2"/>
      <c r="AI737" s="152"/>
      <c r="AJ737" s="152"/>
      <c r="AK737" s="152"/>
      <c r="AL737" s="152"/>
      <c r="AM737" s="152"/>
      <c r="AN737" s="152"/>
      <c r="AO737" s="152"/>
      <c r="AP737" s="152"/>
      <c r="AQ737" s="152"/>
      <c r="AR737" s="152"/>
      <c r="AS737" s="152"/>
      <c r="AT737" s="152"/>
      <c r="AU737" s="152"/>
      <c r="AV737" s="152"/>
      <c r="AW737" s="152"/>
      <c r="AX737" s="152"/>
      <c r="AY737" s="152"/>
      <c r="AZ737" s="152"/>
      <c r="BA737" s="152"/>
      <c r="BB737" s="152"/>
      <c r="BC737" s="152"/>
    </row>
    <row r="738" customFormat="false" ht="15.75" hidden="false" customHeight="false" outlineLevel="0" collapsed="false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2"/>
      <c r="AI738" s="152"/>
      <c r="AJ738" s="152"/>
      <c r="AK738" s="152"/>
      <c r="AL738" s="152"/>
      <c r="AM738" s="152"/>
      <c r="AN738" s="152"/>
      <c r="AO738" s="152"/>
      <c r="AP738" s="152"/>
      <c r="AQ738" s="152"/>
      <c r="AR738" s="152"/>
      <c r="AS738" s="152"/>
      <c r="AT738" s="152"/>
      <c r="AU738" s="152"/>
      <c r="AV738" s="152"/>
      <c r="AW738" s="152"/>
      <c r="AX738" s="152"/>
      <c r="AY738" s="152"/>
      <c r="AZ738" s="152"/>
      <c r="BA738" s="152"/>
      <c r="BB738" s="152"/>
      <c r="BC738" s="152"/>
    </row>
    <row r="739" customFormat="false" ht="15.75" hidden="false" customHeight="false" outlineLevel="0" collapsed="false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2"/>
      <c r="AI739" s="152"/>
      <c r="AJ739" s="152"/>
      <c r="AK739" s="152"/>
      <c r="AL739" s="152"/>
      <c r="AM739" s="152"/>
      <c r="AN739" s="152"/>
      <c r="AO739" s="152"/>
      <c r="AP739" s="152"/>
      <c r="AQ739" s="152"/>
      <c r="AR739" s="152"/>
      <c r="AS739" s="152"/>
      <c r="AT739" s="152"/>
      <c r="AU739" s="152"/>
      <c r="AV739" s="152"/>
      <c r="AW739" s="152"/>
      <c r="AX739" s="152"/>
      <c r="AY739" s="152"/>
      <c r="AZ739" s="152"/>
      <c r="BA739" s="152"/>
      <c r="BB739" s="152"/>
      <c r="BC739" s="152"/>
    </row>
    <row r="740" customFormat="false" ht="15.75" hidden="false" customHeight="false" outlineLevel="0" collapsed="false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2"/>
      <c r="AI740" s="152"/>
      <c r="AJ740" s="152"/>
      <c r="AK740" s="152"/>
      <c r="AL740" s="152"/>
      <c r="AM740" s="152"/>
      <c r="AN740" s="152"/>
      <c r="AO740" s="152"/>
      <c r="AP740" s="152"/>
      <c r="AQ740" s="152"/>
      <c r="AR740" s="152"/>
      <c r="AS740" s="152"/>
      <c r="AT740" s="152"/>
      <c r="AU740" s="152"/>
      <c r="AV740" s="152"/>
      <c r="AW740" s="152"/>
      <c r="AX740" s="152"/>
      <c r="AY740" s="152"/>
      <c r="AZ740" s="152"/>
      <c r="BA740" s="152"/>
      <c r="BB740" s="152"/>
      <c r="BC740" s="152"/>
    </row>
    <row r="741" customFormat="false" ht="15.75" hidden="false" customHeight="false" outlineLevel="0" collapsed="false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2"/>
      <c r="AI741" s="152"/>
      <c r="AJ741" s="152"/>
      <c r="AK741" s="152"/>
      <c r="AL741" s="152"/>
      <c r="AM741" s="152"/>
      <c r="AN741" s="152"/>
      <c r="AO741" s="152"/>
      <c r="AP741" s="152"/>
      <c r="AQ741" s="152"/>
      <c r="AR741" s="152"/>
      <c r="AS741" s="152"/>
      <c r="AT741" s="152"/>
      <c r="AU741" s="152"/>
      <c r="AV741" s="152"/>
      <c r="AW741" s="152"/>
      <c r="AX741" s="152"/>
      <c r="AY741" s="152"/>
      <c r="AZ741" s="152"/>
      <c r="BA741" s="152"/>
      <c r="BB741" s="152"/>
      <c r="BC741" s="152"/>
    </row>
    <row r="742" customFormat="false" ht="15.75" hidden="false" customHeight="false" outlineLevel="0" collapsed="false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2"/>
      <c r="AI742" s="152"/>
      <c r="AJ742" s="152"/>
      <c r="AK742" s="152"/>
      <c r="AL742" s="152"/>
      <c r="AM742" s="152"/>
      <c r="AN742" s="152"/>
      <c r="AO742" s="152"/>
      <c r="AP742" s="152"/>
      <c r="AQ742" s="152"/>
      <c r="AR742" s="152"/>
      <c r="AS742" s="152"/>
      <c r="AT742" s="152"/>
      <c r="AU742" s="152"/>
      <c r="AV742" s="152"/>
      <c r="AW742" s="152"/>
      <c r="AX742" s="152"/>
      <c r="AY742" s="152"/>
      <c r="AZ742" s="152"/>
      <c r="BA742" s="152"/>
      <c r="BB742" s="152"/>
      <c r="BC742" s="152"/>
    </row>
    <row r="743" customFormat="false" ht="15.75" hidden="false" customHeight="false" outlineLevel="0" collapsed="false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2"/>
      <c r="AI743" s="152"/>
      <c r="AJ743" s="152"/>
      <c r="AK743" s="152"/>
      <c r="AL743" s="152"/>
      <c r="AM743" s="152"/>
      <c r="AN743" s="152"/>
      <c r="AO743" s="152"/>
      <c r="AP743" s="152"/>
      <c r="AQ743" s="152"/>
      <c r="AR743" s="152"/>
      <c r="AS743" s="152"/>
      <c r="AT743" s="152"/>
      <c r="AU743" s="152"/>
      <c r="AV743" s="152"/>
      <c r="AW743" s="152"/>
      <c r="AX743" s="152"/>
      <c r="AY743" s="152"/>
      <c r="AZ743" s="152"/>
      <c r="BA743" s="152"/>
      <c r="BB743" s="152"/>
      <c r="BC743" s="152"/>
    </row>
    <row r="744" customFormat="false" ht="15.75" hidden="false" customHeight="false" outlineLevel="0" collapsed="false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2"/>
      <c r="AI744" s="152"/>
      <c r="AJ744" s="152"/>
      <c r="AK744" s="152"/>
      <c r="AL744" s="152"/>
      <c r="AM744" s="152"/>
      <c r="AN744" s="152"/>
      <c r="AO744" s="152"/>
      <c r="AP744" s="152"/>
      <c r="AQ744" s="152"/>
      <c r="AR744" s="152"/>
      <c r="AS744" s="152"/>
      <c r="AT744" s="152"/>
      <c r="AU744" s="152"/>
      <c r="AV744" s="152"/>
      <c r="AW744" s="152"/>
      <c r="AX744" s="152"/>
      <c r="AY744" s="152"/>
      <c r="AZ744" s="152"/>
      <c r="BA744" s="152"/>
      <c r="BB744" s="152"/>
      <c r="BC744" s="152"/>
    </row>
    <row r="745" customFormat="false" ht="15.75" hidden="false" customHeight="false" outlineLevel="0" collapsed="false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2"/>
      <c r="AI745" s="152"/>
      <c r="AJ745" s="152"/>
      <c r="AK745" s="152"/>
      <c r="AL745" s="152"/>
      <c r="AM745" s="152"/>
      <c r="AN745" s="152"/>
      <c r="AO745" s="152"/>
      <c r="AP745" s="152"/>
      <c r="AQ745" s="152"/>
      <c r="AR745" s="152"/>
      <c r="AS745" s="152"/>
      <c r="AT745" s="152"/>
      <c r="AU745" s="152"/>
      <c r="AV745" s="152"/>
      <c r="AW745" s="152"/>
      <c r="AX745" s="152"/>
      <c r="AY745" s="152"/>
      <c r="AZ745" s="152"/>
      <c r="BA745" s="152"/>
      <c r="BB745" s="152"/>
      <c r="BC745" s="152"/>
    </row>
    <row r="746" customFormat="false" ht="15.75" hidden="false" customHeight="false" outlineLevel="0" collapsed="false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2"/>
      <c r="AI746" s="152"/>
      <c r="AJ746" s="152"/>
      <c r="AK746" s="152"/>
      <c r="AL746" s="152"/>
      <c r="AM746" s="152"/>
      <c r="AN746" s="152"/>
      <c r="AO746" s="152"/>
      <c r="AP746" s="152"/>
      <c r="AQ746" s="152"/>
      <c r="AR746" s="152"/>
      <c r="AS746" s="152"/>
      <c r="AT746" s="152"/>
      <c r="AU746" s="152"/>
      <c r="AV746" s="152"/>
      <c r="AW746" s="152"/>
      <c r="AX746" s="152"/>
      <c r="AY746" s="152"/>
      <c r="AZ746" s="152"/>
      <c r="BA746" s="152"/>
      <c r="BB746" s="152"/>
      <c r="BC746" s="152"/>
    </row>
    <row r="747" customFormat="false" ht="15.75" hidden="false" customHeight="false" outlineLevel="0" collapsed="false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2"/>
      <c r="AI747" s="152"/>
      <c r="AJ747" s="152"/>
      <c r="AK747" s="152"/>
      <c r="AL747" s="152"/>
      <c r="AM747" s="152"/>
      <c r="AN747" s="152"/>
      <c r="AO747" s="152"/>
      <c r="AP747" s="152"/>
      <c r="AQ747" s="152"/>
      <c r="AR747" s="152"/>
      <c r="AS747" s="152"/>
      <c r="AT747" s="152"/>
      <c r="AU747" s="152"/>
      <c r="AV747" s="152"/>
      <c r="AW747" s="152"/>
      <c r="AX747" s="152"/>
      <c r="AY747" s="152"/>
      <c r="AZ747" s="152"/>
      <c r="BA747" s="152"/>
      <c r="BB747" s="152"/>
      <c r="BC747" s="152"/>
    </row>
    <row r="748" customFormat="false" ht="15.75" hidden="false" customHeight="false" outlineLevel="0" collapsed="false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2"/>
      <c r="AI748" s="152"/>
      <c r="AJ748" s="152"/>
      <c r="AK748" s="152"/>
      <c r="AL748" s="152"/>
      <c r="AM748" s="152"/>
      <c r="AN748" s="152"/>
      <c r="AO748" s="152"/>
      <c r="AP748" s="152"/>
      <c r="AQ748" s="152"/>
      <c r="AR748" s="152"/>
      <c r="AS748" s="152"/>
      <c r="AT748" s="152"/>
      <c r="AU748" s="152"/>
      <c r="AV748" s="152"/>
      <c r="AW748" s="152"/>
      <c r="AX748" s="152"/>
      <c r="AY748" s="152"/>
      <c r="AZ748" s="152"/>
      <c r="BA748" s="152"/>
      <c r="BB748" s="152"/>
      <c r="BC748" s="152"/>
    </row>
    <row r="749" customFormat="false" ht="15.75" hidden="false" customHeight="false" outlineLevel="0" collapsed="false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2"/>
      <c r="AI749" s="152"/>
      <c r="AJ749" s="152"/>
      <c r="AK749" s="152"/>
      <c r="AL749" s="152"/>
      <c r="AM749" s="152"/>
      <c r="AN749" s="152"/>
      <c r="AO749" s="152"/>
      <c r="AP749" s="152"/>
      <c r="AQ749" s="152"/>
      <c r="AR749" s="152"/>
      <c r="AS749" s="152"/>
      <c r="AT749" s="152"/>
      <c r="AU749" s="152"/>
      <c r="AV749" s="152"/>
      <c r="AW749" s="152"/>
      <c r="AX749" s="152"/>
      <c r="AY749" s="152"/>
      <c r="AZ749" s="152"/>
      <c r="BA749" s="152"/>
      <c r="BB749" s="152"/>
      <c r="BC749" s="152"/>
    </row>
    <row r="750" customFormat="false" ht="15.75" hidden="false" customHeight="false" outlineLevel="0" collapsed="false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2"/>
      <c r="AI750" s="152"/>
      <c r="AJ750" s="152"/>
      <c r="AK750" s="152"/>
      <c r="AL750" s="152"/>
      <c r="AM750" s="152"/>
      <c r="AN750" s="152"/>
      <c r="AO750" s="152"/>
      <c r="AP750" s="152"/>
      <c r="AQ750" s="152"/>
      <c r="AR750" s="152"/>
      <c r="AS750" s="152"/>
      <c r="AT750" s="152"/>
      <c r="AU750" s="152"/>
      <c r="AV750" s="152"/>
      <c r="AW750" s="152"/>
      <c r="AX750" s="152"/>
      <c r="AY750" s="152"/>
      <c r="AZ750" s="152"/>
      <c r="BA750" s="152"/>
      <c r="BB750" s="152"/>
      <c r="BC750" s="152"/>
    </row>
    <row r="751" customFormat="false" ht="15.75" hidden="false" customHeight="false" outlineLevel="0" collapsed="false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2"/>
      <c r="AI751" s="152"/>
      <c r="AJ751" s="152"/>
      <c r="AK751" s="152"/>
      <c r="AL751" s="152"/>
      <c r="AM751" s="152"/>
      <c r="AN751" s="152"/>
      <c r="AO751" s="152"/>
      <c r="AP751" s="152"/>
      <c r="AQ751" s="152"/>
      <c r="AR751" s="152"/>
      <c r="AS751" s="152"/>
      <c r="AT751" s="152"/>
      <c r="AU751" s="152"/>
      <c r="AV751" s="152"/>
      <c r="AW751" s="152"/>
      <c r="AX751" s="152"/>
      <c r="AY751" s="152"/>
      <c r="AZ751" s="152"/>
      <c r="BA751" s="152"/>
      <c r="BB751" s="152"/>
      <c r="BC751" s="152"/>
    </row>
    <row r="752" customFormat="false" ht="15.75" hidden="false" customHeight="false" outlineLevel="0" collapsed="false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2"/>
      <c r="AI752" s="152"/>
      <c r="AJ752" s="152"/>
      <c r="AK752" s="152"/>
      <c r="AL752" s="152"/>
      <c r="AM752" s="152"/>
      <c r="AN752" s="152"/>
      <c r="AO752" s="152"/>
      <c r="AP752" s="152"/>
      <c r="AQ752" s="152"/>
      <c r="AR752" s="152"/>
      <c r="AS752" s="152"/>
      <c r="AT752" s="152"/>
      <c r="AU752" s="152"/>
      <c r="AV752" s="152"/>
      <c r="AW752" s="152"/>
      <c r="AX752" s="152"/>
      <c r="AY752" s="152"/>
      <c r="AZ752" s="152"/>
      <c r="BA752" s="152"/>
      <c r="BB752" s="152"/>
      <c r="BC752" s="152"/>
    </row>
    <row r="753" customFormat="false" ht="15.75" hidden="false" customHeight="false" outlineLevel="0" collapsed="false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2"/>
      <c r="AI753" s="152"/>
      <c r="AJ753" s="152"/>
      <c r="AK753" s="152"/>
      <c r="AL753" s="152"/>
      <c r="AM753" s="152"/>
      <c r="AN753" s="152"/>
      <c r="AO753" s="152"/>
      <c r="AP753" s="152"/>
      <c r="AQ753" s="152"/>
      <c r="AR753" s="152"/>
      <c r="AS753" s="152"/>
      <c r="AT753" s="152"/>
      <c r="AU753" s="152"/>
      <c r="AV753" s="152"/>
      <c r="AW753" s="152"/>
      <c r="AX753" s="152"/>
      <c r="AY753" s="152"/>
      <c r="AZ753" s="152"/>
      <c r="BA753" s="152"/>
      <c r="BB753" s="152"/>
      <c r="BC753" s="152"/>
    </row>
    <row r="754" customFormat="false" ht="15.75" hidden="false" customHeight="false" outlineLevel="0" collapsed="false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2"/>
      <c r="AI754" s="152"/>
      <c r="AJ754" s="152"/>
      <c r="AK754" s="152"/>
      <c r="AL754" s="152"/>
      <c r="AM754" s="152"/>
      <c r="AN754" s="152"/>
      <c r="AO754" s="152"/>
      <c r="AP754" s="152"/>
      <c r="AQ754" s="152"/>
      <c r="AR754" s="152"/>
      <c r="AS754" s="152"/>
      <c r="AT754" s="152"/>
      <c r="AU754" s="152"/>
      <c r="AV754" s="152"/>
      <c r="AW754" s="152"/>
      <c r="AX754" s="152"/>
      <c r="AY754" s="152"/>
      <c r="AZ754" s="152"/>
      <c r="BA754" s="152"/>
      <c r="BB754" s="152"/>
      <c r="BC754" s="152"/>
    </row>
    <row r="755" customFormat="false" ht="15.75" hidden="false" customHeight="false" outlineLevel="0" collapsed="false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2"/>
      <c r="AI755" s="152"/>
      <c r="AJ755" s="152"/>
      <c r="AK755" s="152"/>
      <c r="AL755" s="152"/>
      <c r="AM755" s="152"/>
      <c r="AN755" s="152"/>
      <c r="AO755" s="152"/>
      <c r="AP755" s="152"/>
      <c r="AQ755" s="152"/>
      <c r="AR755" s="152"/>
      <c r="AS755" s="152"/>
      <c r="AT755" s="152"/>
      <c r="AU755" s="152"/>
      <c r="AV755" s="152"/>
      <c r="AW755" s="152"/>
      <c r="AX755" s="152"/>
      <c r="AY755" s="152"/>
      <c r="AZ755" s="152"/>
      <c r="BA755" s="152"/>
      <c r="BB755" s="152"/>
      <c r="BC755" s="152"/>
    </row>
    <row r="756" customFormat="false" ht="15.75" hidden="false" customHeight="false" outlineLevel="0" collapsed="false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2"/>
      <c r="AI756" s="152"/>
      <c r="AJ756" s="152"/>
      <c r="AK756" s="152"/>
      <c r="AL756" s="152"/>
      <c r="AM756" s="152"/>
      <c r="AN756" s="152"/>
      <c r="AO756" s="152"/>
      <c r="AP756" s="152"/>
      <c r="AQ756" s="152"/>
      <c r="AR756" s="152"/>
      <c r="AS756" s="152"/>
      <c r="AT756" s="152"/>
      <c r="AU756" s="152"/>
      <c r="AV756" s="152"/>
      <c r="AW756" s="152"/>
      <c r="AX756" s="152"/>
      <c r="AY756" s="152"/>
      <c r="AZ756" s="152"/>
      <c r="BA756" s="152"/>
      <c r="BB756" s="152"/>
      <c r="BC756" s="152"/>
    </row>
    <row r="757" customFormat="false" ht="15.75" hidden="false" customHeight="false" outlineLevel="0" collapsed="false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2"/>
      <c r="AI757" s="152"/>
      <c r="AJ757" s="152"/>
      <c r="AK757" s="152"/>
      <c r="AL757" s="152"/>
      <c r="AM757" s="152"/>
      <c r="AN757" s="152"/>
      <c r="AO757" s="152"/>
      <c r="AP757" s="152"/>
      <c r="AQ757" s="152"/>
      <c r="AR757" s="152"/>
      <c r="AS757" s="152"/>
      <c r="AT757" s="152"/>
      <c r="AU757" s="152"/>
      <c r="AV757" s="152"/>
      <c r="AW757" s="152"/>
      <c r="AX757" s="152"/>
      <c r="AY757" s="152"/>
      <c r="AZ757" s="152"/>
      <c r="BA757" s="152"/>
      <c r="BB757" s="152"/>
      <c r="BC757" s="152"/>
    </row>
    <row r="758" customFormat="false" ht="15.75" hidden="false" customHeight="false" outlineLevel="0" collapsed="false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2"/>
      <c r="AI758" s="152"/>
      <c r="AJ758" s="152"/>
      <c r="AK758" s="152"/>
      <c r="AL758" s="152"/>
      <c r="AM758" s="152"/>
      <c r="AN758" s="152"/>
      <c r="AO758" s="152"/>
      <c r="AP758" s="152"/>
      <c r="AQ758" s="152"/>
      <c r="AR758" s="152"/>
      <c r="AS758" s="152"/>
      <c r="AT758" s="152"/>
      <c r="AU758" s="152"/>
      <c r="AV758" s="152"/>
      <c r="AW758" s="152"/>
      <c r="AX758" s="152"/>
      <c r="AY758" s="152"/>
      <c r="AZ758" s="152"/>
      <c r="BA758" s="152"/>
      <c r="BB758" s="152"/>
      <c r="BC758" s="152"/>
    </row>
    <row r="759" customFormat="false" ht="15.75" hidden="false" customHeight="false" outlineLevel="0" collapsed="false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2"/>
      <c r="AI759" s="152"/>
      <c r="AJ759" s="152"/>
      <c r="AK759" s="152"/>
      <c r="AL759" s="152"/>
      <c r="AM759" s="152"/>
      <c r="AN759" s="152"/>
      <c r="AO759" s="152"/>
      <c r="AP759" s="152"/>
      <c r="AQ759" s="152"/>
      <c r="AR759" s="152"/>
      <c r="AS759" s="152"/>
      <c r="AT759" s="152"/>
      <c r="AU759" s="152"/>
      <c r="AV759" s="152"/>
      <c r="AW759" s="152"/>
      <c r="AX759" s="152"/>
      <c r="AY759" s="152"/>
      <c r="AZ759" s="152"/>
      <c r="BA759" s="152"/>
      <c r="BB759" s="152"/>
      <c r="BC759" s="152"/>
    </row>
    <row r="760" customFormat="false" ht="15.75" hidden="false" customHeight="false" outlineLevel="0" collapsed="false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2"/>
      <c r="AI760" s="152"/>
      <c r="AJ760" s="152"/>
      <c r="AK760" s="152"/>
      <c r="AL760" s="152"/>
      <c r="AM760" s="152"/>
      <c r="AN760" s="152"/>
      <c r="AO760" s="152"/>
      <c r="AP760" s="152"/>
      <c r="AQ760" s="152"/>
      <c r="AR760" s="152"/>
      <c r="AS760" s="152"/>
      <c r="AT760" s="152"/>
      <c r="AU760" s="152"/>
      <c r="AV760" s="152"/>
      <c r="AW760" s="152"/>
      <c r="AX760" s="152"/>
      <c r="AY760" s="152"/>
      <c r="AZ760" s="152"/>
      <c r="BA760" s="152"/>
      <c r="BB760" s="152"/>
      <c r="BC760" s="152"/>
    </row>
    <row r="761" customFormat="false" ht="15.75" hidden="false" customHeight="false" outlineLevel="0" collapsed="false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2"/>
      <c r="AI761" s="152"/>
      <c r="AJ761" s="152"/>
      <c r="AK761" s="152"/>
      <c r="AL761" s="152"/>
      <c r="AM761" s="152"/>
      <c r="AN761" s="152"/>
      <c r="AO761" s="152"/>
      <c r="AP761" s="152"/>
      <c r="AQ761" s="152"/>
      <c r="AR761" s="152"/>
      <c r="AS761" s="152"/>
      <c r="AT761" s="152"/>
      <c r="AU761" s="152"/>
      <c r="AV761" s="152"/>
      <c r="AW761" s="152"/>
      <c r="AX761" s="152"/>
      <c r="AY761" s="152"/>
      <c r="AZ761" s="152"/>
      <c r="BA761" s="152"/>
      <c r="BB761" s="152"/>
      <c r="BC761" s="152"/>
    </row>
    <row r="762" customFormat="false" ht="15.75" hidden="false" customHeight="false" outlineLevel="0" collapsed="false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2"/>
      <c r="AI762" s="152"/>
      <c r="AJ762" s="152"/>
      <c r="AK762" s="152"/>
      <c r="AL762" s="152"/>
      <c r="AM762" s="152"/>
      <c r="AN762" s="152"/>
      <c r="AO762" s="152"/>
      <c r="AP762" s="152"/>
      <c r="AQ762" s="152"/>
      <c r="AR762" s="152"/>
      <c r="AS762" s="152"/>
      <c r="AT762" s="152"/>
      <c r="AU762" s="152"/>
      <c r="AV762" s="152"/>
      <c r="AW762" s="152"/>
      <c r="AX762" s="152"/>
      <c r="AY762" s="152"/>
      <c r="AZ762" s="152"/>
      <c r="BA762" s="152"/>
      <c r="BB762" s="152"/>
      <c r="BC762" s="152"/>
    </row>
    <row r="763" customFormat="false" ht="15.75" hidden="false" customHeight="false" outlineLevel="0" collapsed="false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2"/>
      <c r="AI763" s="152"/>
      <c r="AJ763" s="152"/>
      <c r="AK763" s="152"/>
      <c r="AL763" s="152"/>
      <c r="AM763" s="152"/>
      <c r="AN763" s="152"/>
      <c r="AO763" s="152"/>
      <c r="AP763" s="152"/>
      <c r="AQ763" s="152"/>
      <c r="AR763" s="152"/>
      <c r="AS763" s="152"/>
      <c r="AT763" s="152"/>
      <c r="AU763" s="152"/>
      <c r="AV763" s="152"/>
      <c r="AW763" s="152"/>
      <c r="AX763" s="152"/>
      <c r="AY763" s="152"/>
      <c r="AZ763" s="152"/>
      <c r="BA763" s="152"/>
      <c r="BB763" s="152"/>
      <c r="BC763" s="152"/>
    </row>
    <row r="764" customFormat="false" ht="15.75" hidden="false" customHeight="false" outlineLevel="0" collapsed="false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2"/>
      <c r="AI764" s="152"/>
      <c r="AJ764" s="152"/>
      <c r="AK764" s="152"/>
      <c r="AL764" s="152"/>
      <c r="AM764" s="152"/>
      <c r="AN764" s="152"/>
      <c r="AO764" s="152"/>
      <c r="AP764" s="152"/>
      <c r="AQ764" s="152"/>
      <c r="AR764" s="152"/>
      <c r="AS764" s="152"/>
      <c r="AT764" s="152"/>
      <c r="AU764" s="152"/>
      <c r="AV764" s="152"/>
      <c r="AW764" s="152"/>
      <c r="AX764" s="152"/>
      <c r="AY764" s="152"/>
      <c r="AZ764" s="152"/>
      <c r="BA764" s="152"/>
      <c r="BB764" s="152"/>
      <c r="BC764" s="152"/>
    </row>
    <row r="765" customFormat="false" ht="15.75" hidden="false" customHeight="false" outlineLevel="0" collapsed="false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  <c r="AG765" s="152"/>
      <c r="AH765" s="152"/>
      <c r="AI765" s="152"/>
      <c r="AJ765" s="152"/>
      <c r="AK765" s="152"/>
      <c r="AL765" s="152"/>
      <c r="AM765" s="152"/>
      <c r="AN765" s="152"/>
      <c r="AO765" s="152"/>
      <c r="AP765" s="152"/>
      <c r="AQ765" s="152"/>
      <c r="AR765" s="152"/>
      <c r="AS765" s="152"/>
      <c r="AT765" s="152"/>
      <c r="AU765" s="152"/>
      <c r="AV765" s="152"/>
      <c r="AW765" s="152"/>
      <c r="AX765" s="152"/>
      <c r="AY765" s="152"/>
      <c r="AZ765" s="152"/>
      <c r="BA765" s="152"/>
      <c r="BB765" s="152"/>
      <c r="BC765" s="152"/>
    </row>
    <row r="766" customFormat="false" ht="15.75" hidden="false" customHeight="false" outlineLevel="0" collapsed="false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  <c r="AG766" s="152"/>
      <c r="AH766" s="152"/>
      <c r="AI766" s="152"/>
      <c r="AJ766" s="152"/>
      <c r="AK766" s="152"/>
      <c r="AL766" s="152"/>
      <c r="AM766" s="152"/>
      <c r="AN766" s="152"/>
      <c r="AO766" s="152"/>
      <c r="AP766" s="152"/>
      <c r="AQ766" s="152"/>
      <c r="AR766" s="152"/>
      <c r="AS766" s="152"/>
      <c r="AT766" s="152"/>
      <c r="AU766" s="152"/>
      <c r="AV766" s="152"/>
      <c r="AW766" s="152"/>
      <c r="AX766" s="152"/>
      <c r="AY766" s="152"/>
      <c r="AZ766" s="152"/>
      <c r="BA766" s="152"/>
      <c r="BB766" s="152"/>
      <c r="BC766" s="152"/>
    </row>
    <row r="767" customFormat="false" ht="15.75" hidden="false" customHeight="false" outlineLevel="0" collapsed="false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  <c r="AG767" s="152"/>
      <c r="AH767" s="152"/>
      <c r="AI767" s="152"/>
      <c r="AJ767" s="152"/>
      <c r="AK767" s="152"/>
      <c r="AL767" s="152"/>
      <c r="AM767" s="152"/>
      <c r="AN767" s="152"/>
      <c r="AO767" s="152"/>
      <c r="AP767" s="152"/>
      <c r="AQ767" s="152"/>
      <c r="AR767" s="152"/>
      <c r="AS767" s="152"/>
      <c r="AT767" s="152"/>
      <c r="AU767" s="152"/>
      <c r="AV767" s="152"/>
      <c r="AW767" s="152"/>
      <c r="AX767" s="152"/>
      <c r="AY767" s="152"/>
      <c r="AZ767" s="152"/>
      <c r="BA767" s="152"/>
      <c r="BB767" s="152"/>
      <c r="BC767" s="152"/>
    </row>
    <row r="768" customFormat="false" ht="15.75" hidden="false" customHeight="false" outlineLevel="0" collapsed="false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  <c r="AG768" s="152"/>
      <c r="AH768" s="152"/>
      <c r="AI768" s="152"/>
      <c r="AJ768" s="152"/>
      <c r="AK768" s="152"/>
      <c r="AL768" s="152"/>
      <c r="AM768" s="152"/>
      <c r="AN768" s="152"/>
      <c r="AO768" s="152"/>
      <c r="AP768" s="152"/>
      <c r="AQ768" s="152"/>
      <c r="AR768" s="152"/>
      <c r="AS768" s="152"/>
      <c r="AT768" s="152"/>
      <c r="AU768" s="152"/>
      <c r="AV768" s="152"/>
      <c r="AW768" s="152"/>
      <c r="AX768" s="152"/>
      <c r="AY768" s="152"/>
      <c r="AZ768" s="152"/>
      <c r="BA768" s="152"/>
      <c r="BB768" s="152"/>
      <c r="BC768" s="152"/>
    </row>
    <row r="769" customFormat="false" ht="15.75" hidden="false" customHeight="false" outlineLevel="0" collapsed="false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  <c r="AG769" s="152"/>
      <c r="AH769" s="152"/>
      <c r="AI769" s="152"/>
      <c r="AJ769" s="152"/>
      <c r="AK769" s="152"/>
      <c r="AL769" s="152"/>
      <c r="AM769" s="152"/>
      <c r="AN769" s="152"/>
      <c r="AO769" s="152"/>
      <c r="AP769" s="152"/>
      <c r="AQ769" s="152"/>
      <c r="AR769" s="152"/>
      <c r="AS769" s="152"/>
      <c r="AT769" s="152"/>
      <c r="AU769" s="152"/>
      <c r="AV769" s="152"/>
      <c r="AW769" s="152"/>
      <c r="AX769" s="152"/>
      <c r="AY769" s="152"/>
      <c r="AZ769" s="152"/>
      <c r="BA769" s="152"/>
      <c r="BB769" s="152"/>
      <c r="BC769" s="152"/>
    </row>
    <row r="770" customFormat="false" ht="15.75" hidden="false" customHeight="false" outlineLevel="0" collapsed="false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  <c r="AG770" s="152"/>
      <c r="AH770" s="152"/>
      <c r="AI770" s="152"/>
      <c r="AJ770" s="152"/>
      <c r="AK770" s="152"/>
      <c r="AL770" s="152"/>
      <c r="AM770" s="152"/>
      <c r="AN770" s="152"/>
      <c r="AO770" s="152"/>
      <c r="AP770" s="152"/>
      <c r="AQ770" s="152"/>
      <c r="AR770" s="152"/>
      <c r="AS770" s="152"/>
      <c r="AT770" s="152"/>
      <c r="AU770" s="152"/>
      <c r="AV770" s="152"/>
      <c r="AW770" s="152"/>
      <c r="AX770" s="152"/>
      <c r="AY770" s="152"/>
      <c r="AZ770" s="152"/>
      <c r="BA770" s="152"/>
      <c r="BB770" s="152"/>
      <c r="BC770" s="152"/>
    </row>
    <row r="771" customFormat="false" ht="15.75" hidden="false" customHeight="false" outlineLevel="0" collapsed="false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  <c r="AG771" s="152"/>
      <c r="AH771" s="152"/>
      <c r="AI771" s="152"/>
      <c r="AJ771" s="152"/>
      <c r="AK771" s="152"/>
      <c r="AL771" s="152"/>
      <c r="AM771" s="152"/>
      <c r="AN771" s="152"/>
      <c r="AO771" s="152"/>
      <c r="AP771" s="152"/>
      <c r="AQ771" s="152"/>
      <c r="AR771" s="152"/>
      <c r="AS771" s="152"/>
      <c r="AT771" s="152"/>
      <c r="AU771" s="152"/>
      <c r="AV771" s="152"/>
      <c r="AW771" s="152"/>
      <c r="AX771" s="152"/>
      <c r="AY771" s="152"/>
      <c r="AZ771" s="152"/>
      <c r="BA771" s="152"/>
      <c r="BB771" s="152"/>
      <c r="BC771" s="152"/>
    </row>
    <row r="772" customFormat="false" ht="15.75" hidden="false" customHeight="false" outlineLevel="0" collapsed="false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  <c r="AG772" s="152"/>
      <c r="AH772" s="152"/>
      <c r="AI772" s="152"/>
      <c r="AJ772" s="152"/>
      <c r="AK772" s="152"/>
      <c r="AL772" s="152"/>
      <c r="AM772" s="152"/>
      <c r="AN772" s="152"/>
      <c r="AO772" s="152"/>
      <c r="AP772" s="152"/>
      <c r="AQ772" s="152"/>
      <c r="AR772" s="152"/>
      <c r="AS772" s="152"/>
      <c r="AT772" s="152"/>
      <c r="AU772" s="152"/>
      <c r="AV772" s="152"/>
      <c r="AW772" s="152"/>
      <c r="AX772" s="152"/>
      <c r="AY772" s="152"/>
      <c r="AZ772" s="152"/>
      <c r="BA772" s="152"/>
      <c r="BB772" s="152"/>
      <c r="BC772" s="152"/>
    </row>
    <row r="773" customFormat="false" ht="15.75" hidden="false" customHeight="false" outlineLevel="0" collapsed="false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  <c r="AG773" s="152"/>
      <c r="AH773" s="152"/>
      <c r="AI773" s="152"/>
      <c r="AJ773" s="152"/>
      <c r="AK773" s="152"/>
      <c r="AL773" s="152"/>
      <c r="AM773" s="152"/>
      <c r="AN773" s="152"/>
      <c r="AO773" s="152"/>
      <c r="AP773" s="152"/>
      <c r="AQ773" s="152"/>
      <c r="AR773" s="152"/>
      <c r="AS773" s="152"/>
      <c r="AT773" s="152"/>
      <c r="AU773" s="152"/>
      <c r="AV773" s="152"/>
      <c r="AW773" s="152"/>
      <c r="AX773" s="152"/>
      <c r="AY773" s="152"/>
      <c r="AZ773" s="152"/>
      <c r="BA773" s="152"/>
      <c r="BB773" s="152"/>
      <c r="BC773" s="152"/>
    </row>
    <row r="774" customFormat="false" ht="15.75" hidden="false" customHeight="false" outlineLevel="0" collapsed="false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  <c r="AG774" s="152"/>
      <c r="AH774" s="152"/>
      <c r="AI774" s="152"/>
      <c r="AJ774" s="152"/>
      <c r="AK774" s="152"/>
      <c r="AL774" s="152"/>
      <c r="AM774" s="152"/>
      <c r="AN774" s="152"/>
      <c r="AO774" s="152"/>
      <c r="AP774" s="152"/>
      <c r="AQ774" s="152"/>
      <c r="AR774" s="152"/>
      <c r="AS774" s="152"/>
      <c r="AT774" s="152"/>
      <c r="AU774" s="152"/>
      <c r="AV774" s="152"/>
      <c r="AW774" s="152"/>
      <c r="AX774" s="152"/>
      <c r="AY774" s="152"/>
      <c r="AZ774" s="152"/>
      <c r="BA774" s="152"/>
      <c r="BB774" s="152"/>
      <c r="BC774" s="152"/>
    </row>
    <row r="775" customFormat="false" ht="15.75" hidden="false" customHeight="false" outlineLevel="0" collapsed="false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  <c r="AG775" s="152"/>
      <c r="AH775" s="152"/>
      <c r="AI775" s="152"/>
      <c r="AJ775" s="152"/>
      <c r="AK775" s="152"/>
      <c r="AL775" s="152"/>
      <c r="AM775" s="152"/>
      <c r="AN775" s="152"/>
      <c r="AO775" s="152"/>
      <c r="AP775" s="152"/>
      <c r="AQ775" s="152"/>
      <c r="AR775" s="152"/>
      <c r="AS775" s="152"/>
      <c r="AT775" s="152"/>
      <c r="AU775" s="152"/>
      <c r="AV775" s="152"/>
      <c r="AW775" s="152"/>
      <c r="AX775" s="152"/>
      <c r="AY775" s="152"/>
      <c r="AZ775" s="152"/>
      <c r="BA775" s="152"/>
      <c r="BB775" s="152"/>
      <c r="BC775" s="152"/>
    </row>
    <row r="776" customFormat="false" ht="15.75" hidden="false" customHeight="false" outlineLevel="0" collapsed="false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  <c r="AG776" s="152"/>
      <c r="AH776" s="152"/>
      <c r="AI776" s="152"/>
      <c r="AJ776" s="152"/>
      <c r="AK776" s="152"/>
      <c r="AL776" s="152"/>
      <c r="AM776" s="152"/>
      <c r="AN776" s="152"/>
      <c r="AO776" s="152"/>
      <c r="AP776" s="152"/>
      <c r="AQ776" s="152"/>
      <c r="AR776" s="152"/>
      <c r="AS776" s="152"/>
      <c r="AT776" s="152"/>
      <c r="AU776" s="152"/>
      <c r="AV776" s="152"/>
      <c r="AW776" s="152"/>
      <c r="AX776" s="152"/>
      <c r="AY776" s="152"/>
      <c r="AZ776" s="152"/>
      <c r="BA776" s="152"/>
      <c r="BB776" s="152"/>
      <c r="BC776" s="152"/>
    </row>
    <row r="777" customFormat="false" ht="15.75" hidden="false" customHeight="false" outlineLevel="0" collapsed="false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  <c r="AG777" s="152"/>
      <c r="AH777" s="152"/>
      <c r="AI777" s="152"/>
      <c r="AJ777" s="152"/>
      <c r="AK777" s="152"/>
      <c r="AL777" s="152"/>
      <c r="AM777" s="152"/>
      <c r="AN777" s="152"/>
      <c r="AO777" s="152"/>
      <c r="AP777" s="152"/>
      <c r="AQ777" s="152"/>
      <c r="AR777" s="152"/>
      <c r="AS777" s="152"/>
      <c r="AT777" s="152"/>
      <c r="AU777" s="152"/>
      <c r="AV777" s="152"/>
      <c r="AW777" s="152"/>
      <c r="AX777" s="152"/>
      <c r="AY777" s="152"/>
      <c r="AZ777" s="152"/>
      <c r="BA777" s="152"/>
      <c r="BB777" s="152"/>
      <c r="BC777" s="152"/>
    </row>
    <row r="778" customFormat="false" ht="15.75" hidden="false" customHeight="false" outlineLevel="0" collapsed="false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  <c r="AG778" s="152"/>
      <c r="AH778" s="152"/>
      <c r="AI778" s="152"/>
      <c r="AJ778" s="152"/>
      <c r="AK778" s="152"/>
      <c r="AL778" s="152"/>
      <c r="AM778" s="152"/>
      <c r="AN778" s="152"/>
      <c r="AO778" s="152"/>
      <c r="AP778" s="152"/>
      <c r="AQ778" s="152"/>
      <c r="AR778" s="152"/>
      <c r="AS778" s="152"/>
      <c r="AT778" s="152"/>
      <c r="AU778" s="152"/>
      <c r="AV778" s="152"/>
      <c r="AW778" s="152"/>
      <c r="AX778" s="152"/>
      <c r="AY778" s="152"/>
      <c r="AZ778" s="152"/>
      <c r="BA778" s="152"/>
      <c r="BB778" s="152"/>
      <c r="BC778" s="152"/>
    </row>
    <row r="779" customFormat="false" ht="15.75" hidden="false" customHeight="false" outlineLevel="0" collapsed="false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  <c r="AG779" s="152"/>
      <c r="AH779" s="152"/>
      <c r="AI779" s="152"/>
      <c r="AJ779" s="152"/>
      <c r="AK779" s="152"/>
      <c r="AL779" s="152"/>
      <c r="AM779" s="152"/>
      <c r="AN779" s="152"/>
      <c r="AO779" s="152"/>
      <c r="AP779" s="152"/>
      <c r="AQ779" s="152"/>
      <c r="AR779" s="152"/>
      <c r="AS779" s="152"/>
      <c r="AT779" s="152"/>
      <c r="AU779" s="152"/>
      <c r="AV779" s="152"/>
      <c r="AW779" s="152"/>
      <c r="AX779" s="152"/>
      <c r="AY779" s="152"/>
      <c r="AZ779" s="152"/>
      <c r="BA779" s="152"/>
      <c r="BB779" s="152"/>
      <c r="BC779" s="152"/>
    </row>
    <row r="780" customFormat="false" ht="15.75" hidden="false" customHeight="false" outlineLevel="0" collapsed="false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  <c r="AG780" s="152"/>
      <c r="AH780" s="152"/>
      <c r="AI780" s="152"/>
      <c r="AJ780" s="152"/>
      <c r="AK780" s="152"/>
      <c r="AL780" s="152"/>
      <c r="AM780" s="152"/>
      <c r="AN780" s="152"/>
      <c r="AO780" s="152"/>
      <c r="AP780" s="152"/>
      <c r="AQ780" s="152"/>
      <c r="AR780" s="152"/>
      <c r="AS780" s="152"/>
      <c r="AT780" s="152"/>
      <c r="AU780" s="152"/>
      <c r="AV780" s="152"/>
      <c r="AW780" s="152"/>
      <c r="AX780" s="152"/>
      <c r="AY780" s="152"/>
      <c r="AZ780" s="152"/>
      <c r="BA780" s="152"/>
      <c r="BB780" s="152"/>
      <c r="BC780" s="152"/>
    </row>
    <row r="781" customFormat="false" ht="15.75" hidden="false" customHeight="false" outlineLevel="0" collapsed="false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  <c r="AG781" s="152"/>
      <c r="AH781" s="152"/>
      <c r="AI781" s="152"/>
      <c r="AJ781" s="152"/>
      <c r="AK781" s="152"/>
      <c r="AL781" s="152"/>
      <c r="AM781" s="152"/>
      <c r="AN781" s="152"/>
      <c r="AO781" s="152"/>
      <c r="AP781" s="152"/>
      <c r="AQ781" s="152"/>
      <c r="AR781" s="152"/>
      <c r="AS781" s="152"/>
      <c r="AT781" s="152"/>
      <c r="AU781" s="152"/>
      <c r="AV781" s="152"/>
      <c r="AW781" s="152"/>
      <c r="AX781" s="152"/>
      <c r="AY781" s="152"/>
      <c r="AZ781" s="152"/>
      <c r="BA781" s="152"/>
      <c r="BB781" s="152"/>
      <c r="BC781" s="152"/>
    </row>
    <row r="782" customFormat="false" ht="15.75" hidden="false" customHeight="false" outlineLevel="0" collapsed="false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  <c r="AG782" s="152"/>
      <c r="AH782" s="152"/>
      <c r="AI782" s="152"/>
      <c r="AJ782" s="152"/>
      <c r="AK782" s="152"/>
      <c r="AL782" s="152"/>
      <c r="AM782" s="152"/>
      <c r="AN782" s="152"/>
      <c r="AO782" s="152"/>
      <c r="AP782" s="152"/>
      <c r="AQ782" s="152"/>
      <c r="AR782" s="152"/>
      <c r="AS782" s="152"/>
      <c r="AT782" s="152"/>
      <c r="AU782" s="152"/>
      <c r="AV782" s="152"/>
      <c r="AW782" s="152"/>
      <c r="AX782" s="152"/>
      <c r="AY782" s="152"/>
      <c r="AZ782" s="152"/>
      <c r="BA782" s="152"/>
      <c r="BB782" s="152"/>
      <c r="BC782" s="152"/>
    </row>
    <row r="783" customFormat="false" ht="15.75" hidden="false" customHeight="false" outlineLevel="0" collapsed="false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  <c r="AG783" s="152"/>
      <c r="AH783" s="152"/>
      <c r="AI783" s="152"/>
      <c r="AJ783" s="152"/>
      <c r="AK783" s="152"/>
      <c r="AL783" s="152"/>
      <c r="AM783" s="152"/>
      <c r="AN783" s="152"/>
      <c r="AO783" s="152"/>
      <c r="AP783" s="152"/>
      <c r="AQ783" s="152"/>
      <c r="AR783" s="152"/>
      <c r="AS783" s="152"/>
      <c r="AT783" s="152"/>
      <c r="AU783" s="152"/>
      <c r="AV783" s="152"/>
      <c r="AW783" s="152"/>
      <c r="AX783" s="152"/>
      <c r="AY783" s="152"/>
      <c r="AZ783" s="152"/>
      <c r="BA783" s="152"/>
      <c r="BB783" s="152"/>
      <c r="BC783" s="152"/>
    </row>
    <row r="784" customFormat="false" ht="15.75" hidden="false" customHeight="false" outlineLevel="0" collapsed="false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  <c r="AG784" s="152"/>
      <c r="AH784" s="152"/>
      <c r="AI784" s="152"/>
      <c r="AJ784" s="152"/>
      <c r="AK784" s="152"/>
      <c r="AL784" s="152"/>
      <c r="AM784" s="152"/>
      <c r="AN784" s="152"/>
      <c r="AO784" s="152"/>
      <c r="AP784" s="152"/>
      <c r="AQ784" s="152"/>
      <c r="AR784" s="152"/>
      <c r="AS784" s="152"/>
      <c r="AT784" s="152"/>
      <c r="AU784" s="152"/>
      <c r="AV784" s="152"/>
      <c r="AW784" s="152"/>
      <c r="AX784" s="152"/>
      <c r="AY784" s="152"/>
      <c r="AZ784" s="152"/>
      <c r="BA784" s="152"/>
      <c r="BB784" s="152"/>
      <c r="BC784" s="152"/>
    </row>
    <row r="785" customFormat="false" ht="15.75" hidden="false" customHeight="false" outlineLevel="0" collapsed="false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  <c r="AG785" s="152"/>
      <c r="AH785" s="152"/>
      <c r="AI785" s="152"/>
      <c r="AJ785" s="152"/>
      <c r="AK785" s="152"/>
      <c r="AL785" s="152"/>
      <c r="AM785" s="152"/>
      <c r="AN785" s="152"/>
      <c r="AO785" s="152"/>
      <c r="AP785" s="152"/>
      <c r="AQ785" s="152"/>
      <c r="AR785" s="152"/>
      <c r="AS785" s="152"/>
      <c r="AT785" s="152"/>
      <c r="AU785" s="152"/>
      <c r="AV785" s="152"/>
      <c r="AW785" s="152"/>
      <c r="AX785" s="152"/>
      <c r="AY785" s="152"/>
      <c r="AZ785" s="152"/>
      <c r="BA785" s="152"/>
      <c r="BB785" s="152"/>
      <c r="BC785" s="152"/>
    </row>
    <row r="786" customFormat="false" ht="15.75" hidden="false" customHeight="false" outlineLevel="0" collapsed="false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  <c r="AG786" s="152"/>
      <c r="AH786" s="152"/>
      <c r="AI786" s="152"/>
      <c r="AJ786" s="152"/>
      <c r="AK786" s="152"/>
      <c r="AL786" s="152"/>
      <c r="AM786" s="152"/>
      <c r="AN786" s="152"/>
      <c r="AO786" s="152"/>
      <c r="AP786" s="152"/>
      <c r="AQ786" s="152"/>
      <c r="AR786" s="152"/>
      <c r="AS786" s="152"/>
      <c r="AT786" s="152"/>
      <c r="AU786" s="152"/>
      <c r="AV786" s="152"/>
      <c r="AW786" s="152"/>
      <c r="AX786" s="152"/>
      <c r="AY786" s="152"/>
      <c r="AZ786" s="152"/>
      <c r="BA786" s="152"/>
      <c r="BB786" s="152"/>
      <c r="BC786" s="152"/>
    </row>
    <row r="787" customFormat="false" ht="15.75" hidden="false" customHeight="false" outlineLevel="0" collapsed="false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  <c r="AG787" s="152"/>
      <c r="AH787" s="152"/>
      <c r="AI787" s="152"/>
      <c r="AJ787" s="152"/>
      <c r="AK787" s="152"/>
      <c r="AL787" s="152"/>
      <c r="AM787" s="152"/>
      <c r="AN787" s="152"/>
      <c r="AO787" s="152"/>
      <c r="AP787" s="152"/>
      <c r="AQ787" s="152"/>
      <c r="AR787" s="152"/>
      <c r="AS787" s="152"/>
      <c r="AT787" s="152"/>
      <c r="AU787" s="152"/>
      <c r="AV787" s="152"/>
      <c r="AW787" s="152"/>
      <c r="AX787" s="152"/>
      <c r="AY787" s="152"/>
      <c r="AZ787" s="152"/>
      <c r="BA787" s="152"/>
      <c r="BB787" s="152"/>
      <c r="BC787" s="152"/>
    </row>
    <row r="788" customFormat="false" ht="15.75" hidden="false" customHeight="false" outlineLevel="0" collapsed="false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  <c r="AG788" s="152"/>
      <c r="AH788" s="152"/>
      <c r="AI788" s="152"/>
      <c r="AJ788" s="152"/>
      <c r="AK788" s="152"/>
      <c r="AL788" s="152"/>
      <c r="AM788" s="152"/>
      <c r="AN788" s="152"/>
      <c r="AO788" s="152"/>
      <c r="AP788" s="152"/>
      <c r="AQ788" s="152"/>
      <c r="AR788" s="152"/>
      <c r="AS788" s="152"/>
      <c r="AT788" s="152"/>
      <c r="AU788" s="152"/>
      <c r="AV788" s="152"/>
      <c r="AW788" s="152"/>
      <c r="AX788" s="152"/>
      <c r="AY788" s="152"/>
      <c r="AZ788" s="152"/>
      <c r="BA788" s="152"/>
      <c r="BB788" s="152"/>
      <c r="BC788" s="152"/>
    </row>
    <row r="789" customFormat="false" ht="15.75" hidden="false" customHeight="false" outlineLevel="0" collapsed="false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  <c r="AG789" s="152"/>
      <c r="AH789" s="152"/>
      <c r="AI789" s="152"/>
      <c r="AJ789" s="152"/>
      <c r="AK789" s="152"/>
      <c r="AL789" s="152"/>
      <c r="AM789" s="152"/>
      <c r="AN789" s="152"/>
      <c r="AO789" s="152"/>
      <c r="AP789" s="152"/>
      <c r="AQ789" s="152"/>
      <c r="AR789" s="152"/>
      <c r="AS789" s="152"/>
      <c r="AT789" s="152"/>
      <c r="AU789" s="152"/>
      <c r="AV789" s="152"/>
      <c r="AW789" s="152"/>
      <c r="AX789" s="152"/>
      <c r="AY789" s="152"/>
      <c r="AZ789" s="152"/>
      <c r="BA789" s="152"/>
      <c r="BB789" s="152"/>
      <c r="BC789" s="152"/>
    </row>
    <row r="790" customFormat="false" ht="15.75" hidden="false" customHeight="false" outlineLevel="0" collapsed="false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  <c r="AG790" s="152"/>
      <c r="AH790" s="152"/>
      <c r="AI790" s="152"/>
      <c r="AJ790" s="152"/>
      <c r="AK790" s="152"/>
      <c r="AL790" s="152"/>
      <c r="AM790" s="152"/>
      <c r="AN790" s="152"/>
      <c r="AO790" s="152"/>
      <c r="AP790" s="152"/>
      <c r="AQ790" s="152"/>
      <c r="AR790" s="152"/>
      <c r="AS790" s="152"/>
      <c r="AT790" s="152"/>
      <c r="AU790" s="152"/>
      <c r="AV790" s="152"/>
      <c r="AW790" s="152"/>
      <c r="AX790" s="152"/>
      <c r="AY790" s="152"/>
      <c r="AZ790" s="152"/>
      <c r="BA790" s="152"/>
      <c r="BB790" s="152"/>
      <c r="BC790" s="152"/>
    </row>
    <row r="791" customFormat="false" ht="15.75" hidden="false" customHeight="false" outlineLevel="0" collapsed="false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  <c r="AG791" s="152"/>
      <c r="AH791" s="152"/>
      <c r="AI791" s="152"/>
      <c r="AJ791" s="152"/>
      <c r="AK791" s="152"/>
      <c r="AL791" s="152"/>
      <c r="AM791" s="152"/>
      <c r="AN791" s="152"/>
      <c r="AO791" s="152"/>
      <c r="AP791" s="152"/>
      <c r="AQ791" s="152"/>
      <c r="AR791" s="152"/>
      <c r="AS791" s="152"/>
      <c r="AT791" s="152"/>
      <c r="AU791" s="152"/>
      <c r="AV791" s="152"/>
      <c r="AW791" s="152"/>
      <c r="AX791" s="152"/>
      <c r="AY791" s="152"/>
      <c r="AZ791" s="152"/>
      <c r="BA791" s="152"/>
      <c r="BB791" s="152"/>
      <c r="BC791" s="152"/>
    </row>
    <row r="792" customFormat="false" ht="15.75" hidden="false" customHeight="false" outlineLevel="0" collapsed="false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  <c r="AG792" s="152"/>
      <c r="AH792" s="152"/>
      <c r="AI792" s="152"/>
      <c r="AJ792" s="152"/>
      <c r="AK792" s="152"/>
      <c r="AL792" s="152"/>
      <c r="AM792" s="152"/>
      <c r="AN792" s="152"/>
      <c r="AO792" s="152"/>
      <c r="AP792" s="152"/>
      <c r="AQ792" s="152"/>
      <c r="AR792" s="152"/>
      <c r="AS792" s="152"/>
      <c r="AT792" s="152"/>
      <c r="AU792" s="152"/>
      <c r="AV792" s="152"/>
      <c r="AW792" s="152"/>
      <c r="AX792" s="152"/>
      <c r="AY792" s="152"/>
      <c r="AZ792" s="152"/>
      <c r="BA792" s="152"/>
      <c r="BB792" s="152"/>
      <c r="BC792" s="152"/>
    </row>
    <row r="793" customFormat="false" ht="15.75" hidden="false" customHeight="false" outlineLevel="0" collapsed="false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  <c r="AG793" s="152"/>
      <c r="AH793" s="152"/>
      <c r="AI793" s="152"/>
      <c r="AJ793" s="152"/>
      <c r="AK793" s="152"/>
      <c r="AL793" s="152"/>
      <c r="AM793" s="152"/>
      <c r="AN793" s="152"/>
      <c r="AO793" s="152"/>
      <c r="AP793" s="152"/>
      <c r="AQ793" s="152"/>
      <c r="AR793" s="152"/>
      <c r="AS793" s="152"/>
      <c r="AT793" s="152"/>
      <c r="AU793" s="152"/>
      <c r="AV793" s="152"/>
      <c r="AW793" s="152"/>
      <c r="AX793" s="152"/>
      <c r="AY793" s="152"/>
      <c r="AZ793" s="152"/>
      <c r="BA793" s="152"/>
      <c r="BB793" s="152"/>
      <c r="BC793" s="152"/>
    </row>
    <row r="794" customFormat="false" ht="15.75" hidden="false" customHeight="false" outlineLevel="0" collapsed="false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  <c r="AG794" s="152"/>
      <c r="AH794" s="152"/>
      <c r="AI794" s="152"/>
      <c r="AJ794" s="152"/>
      <c r="AK794" s="152"/>
      <c r="AL794" s="152"/>
      <c r="AM794" s="152"/>
      <c r="AN794" s="152"/>
      <c r="AO794" s="152"/>
      <c r="AP794" s="152"/>
      <c r="AQ794" s="152"/>
      <c r="AR794" s="152"/>
      <c r="AS794" s="152"/>
      <c r="AT794" s="152"/>
      <c r="AU794" s="152"/>
      <c r="AV794" s="152"/>
      <c r="AW794" s="152"/>
      <c r="AX794" s="152"/>
      <c r="AY794" s="152"/>
      <c r="AZ794" s="152"/>
      <c r="BA794" s="152"/>
      <c r="BB794" s="152"/>
      <c r="BC794" s="152"/>
    </row>
    <row r="795" customFormat="false" ht="15.75" hidden="false" customHeight="false" outlineLevel="0" collapsed="false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  <c r="AG795" s="152"/>
      <c r="AH795" s="152"/>
      <c r="AI795" s="152"/>
      <c r="AJ795" s="152"/>
      <c r="AK795" s="152"/>
      <c r="AL795" s="152"/>
      <c r="AM795" s="152"/>
      <c r="AN795" s="152"/>
      <c r="AO795" s="152"/>
      <c r="AP795" s="152"/>
      <c r="AQ795" s="152"/>
      <c r="AR795" s="152"/>
      <c r="AS795" s="152"/>
      <c r="AT795" s="152"/>
      <c r="AU795" s="152"/>
      <c r="AV795" s="152"/>
      <c r="AW795" s="152"/>
      <c r="AX795" s="152"/>
      <c r="AY795" s="152"/>
      <c r="AZ795" s="152"/>
      <c r="BA795" s="152"/>
      <c r="BB795" s="152"/>
      <c r="BC795" s="152"/>
    </row>
    <row r="796" customFormat="false" ht="15.75" hidden="false" customHeight="false" outlineLevel="0" collapsed="false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  <c r="AG796" s="152"/>
      <c r="AH796" s="152"/>
      <c r="AI796" s="152"/>
      <c r="AJ796" s="152"/>
      <c r="AK796" s="152"/>
      <c r="AL796" s="152"/>
      <c r="AM796" s="152"/>
      <c r="AN796" s="152"/>
      <c r="AO796" s="152"/>
      <c r="AP796" s="152"/>
      <c r="AQ796" s="152"/>
      <c r="AR796" s="152"/>
      <c r="AS796" s="152"/>
      <c r="AT796" s="152"/>
      <c r="AU796" s="152"/>
      <c r="AV796" s="152"/>
      <c r="AW796" s="152"/>
      <c r="AX796" s="152"/>
      <c r="AY796" s="152"/>
      <c r="AZ796" s="152"/>
      <c r="BA796" s="152"/>
      <c r="BB796" s="152"/>
      <c r="BC796" s="152"/>
    </row>
    <row r="797" customFormat="false" ht="15.75" hidden="false" customHeight="false" outlineLevel="0" collapsed="false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  <c r="AG797" s="152"/>
      <c r="AH797" s="152"/>
      <c r="AI797" s="152"/>
      <c r="AJ797" s="152"/>
      <c r="AK797" s="152"/>
      <c r="AL797" s="152"/>
      <c r="AM797" s="152"/>
      <c r="AN797" s="152"/>
      <c r="AO797" s="152"/>
      <c r="AP797" s="152"/>
      <c r="AQ797" s="152"/>
      <c r="AR797" s="152"/>
      <c r="AS797" s="152"/>
      <c r="AT797" s="152"/>
      <c r="AU797" s="152"/>
      <c r="AV797" s="152"/>
      <c r="AW797" s="152"/>
      <c r="AX797" s="152"/>
      <c r="AY797" s="152"/>
      <c r="AZ797" s="152"/>
      <c r="BA797" s="152"/>
      <c r="BB797" s="152"/>
      <c r="BC797" s="152"/>
    </row>
    <row r="798" customFormat="false" ht="15.75" hidden="false" customHeight="false" outlineLevel="0" collapsed="false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  <c r="AG798" s="152"/>
      <c r="AH798" s="152"/>
      <c r="AI798" s="152"/>
      <c r="AJ798" s="152"/>
      <c r="AK798" s="152"/>
      <c r="AL798" s="152"/>
      <c r="AM798" s="152"/>
      <c r="AN798" s="152"/>
      <c r="AO798" s="152"/>
      <c r="AP798" s="152"/>
      <c r="AQ798" s="152"/>
      <c r="AR798" s="152"/>
      <c r="AS798" s="152"/>
      <c r="AT798" s="152"/>
      <c r="AU798" s="152"/>
      <c r="AV798" s="152"/>
      <c r="AW798" s="152"/>
      <c r="AX798" s="152"/>
      <c r="AY798" s="152"/>
      <c r="AZ798" s="152"/>
      <c r="BA798" s="152"/>
      <c r="BB798" s="152"/>
      <c r="BC798" s="152"/>
    </row>
    <row r="799" customFormat="false" ht="15.75" hidden="false" customHeight="false" outlineLevel="0" collapsed="false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  <c r="AG799" s="152"/>
      <c r="AH799" s="152"/>
      <c r="AI799" s="152"/>
      <c r="AJ799" s="152"/>
      <c r="AK799" s="152"/>
      <c r="AL799" s="152"/>
      <c r="AM799" s="152"/>
      <c r="AN799" s="152"/>
      <c r="AO799" s="152"/>
      <c r="AP799" s="152"/>
      <c r="AQ799" s="152"/>
      <c r="AR799" s="152"/>
      <c r="AS799" s="152"/>
      <c r="AT799" s="152"/>
      <c r="AU799" s="152"/>
      <c r="AV799" s="152"/>
      <c r="AW799" s="152"/>
      <c r="AX799" s="152"/>
      <c r="AY799" s="152"/>
      <c r="AZ799" s="152"/>
      <c r="BA799" s="152"/>
      <c r="BB799" s="152"/>
      <c r="BC799" s="152"/>
    </row>
    <row r="800" customFormat="false" ht="15.75" hidden="false" customHeight="false" outlineLevel="0" collapsed="false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  <c r="AG800" s="152"/>
      <c r="AH800" s="152"/>
      <c r="AI800" s="152"/>
      <c r="AJ800" s="152"/>
      <c r="AK800" s="152"/>
      <c r="AL800" s="152"/>
      <c r="AM800" s="152"/>
      <c r="AN800" s="152"/>
      <c r="AO800" s="152"/>
      <c r="AP800" s="152"/>
      <c r="AQ800" s="152"/>
      <c r="AR800" s="152"/>
      <c r="AS800" s="152"/>
      <c r="AT800" s="152"/>
      <c r="AU800" s="152"/>
      <c r="AV800" s="152"/>
      <c r="AW800" s="152"/>
      <c r="AX800" s="152"/>
      <c r="AY800" s="152"/>
      <c r="AZ800" s="152"/>
      <c r="BA800" s="152"/>
      <c r="BB800" s="152"/>
      <c r="BC800" s="152"/>
    </row>
    <row r="801" customFormat="false" ht="15.75" hidden="false" customHeight="false" outlineLevel="0" collapsed="false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  <c r="AG801" s="152"/>
      <c r="AH801" s="152"/>
      <c r="AI801" s="152"/>
      <c r="AJ801" s="152"/>
      <c r="AK801" s="152"/>
      <c r="AL801" s="152"/>
      <c r="AM801" s="152"/>
      <c r="AN801" s="152"/>
      <c r="AO801" s="152"/>
      <c r="AP801" s="152"/>
      <c r="AQ801" s="152"/>
      <c r="AR801" s="152"/>
      <c r="AS801" s="152"/>
      <c r="AT801" s="152"/>
      <c r="AU801" s="152"/>
      <c r="AV801" s="152"/>
      <c r="AW801" s="152"/>
      <c r="AX801" s="152"/>
      <c r="AY801" s="152"/>
      <c r="AZ801" s="152"/>
      <c r="BA801" s="152"/>
      <c r="BB801" s="152"/>
      <c r="BC801" s="152"/>
    </row>
    <row r="802" customFormat="false" ht="15.75" hidden="false" customHeight="false" outlineLevel="0" collapsed="false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  <c r="AG802" s="152"/>
      <c r="AH802" s="152"/>
      <c r="AI802" s="152"/>
      <c r="AJ802" s="152"/>
      <c r="AK802" s="152"/>
      <c r="AL802" s="152"/>
      <c r="AM802" s="152"/>
      <c r="AN802" s="152"/>
      <c r="AO802" s="152"/>
      <c r="AP802" s="152"/>
      <c r="AQ802" s="152"/>
      <c r="AR802" s="152"/>
      <c r="AS802" s="152"/>
      <c r="AT802" s="152"/>
      <c r="AU802" s="152"/>
      <c r="AV802" s="152"/>
      <c r="AW802" s="152"/>
      <c r="AX802" s="152"/>
      <c r="AY802" s="152"/>
      <c r="AZ802" s="152"/>
      <c r="BA802" s="152"/>
      <c r="BB802" s="152"/>
      <c r="BC802" s="152"/>
    </row>
    <row r="803" customFormat="false" ht="15.75" hidden="false" customHeight="false" outlineLevel="0" collapsed="false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  <c r="AG803" s="152"/>
      <c r="AH803" s="152"/>
      <c r="AI803" s="152"/>
      <c r="AJ803" s="152"/>
      <c r="AK803" s="152"/>
      <c r="AL803" s="152"/>
      <c r="AM803" s="152"/>
      <c r="AN803" s="152"/>
      <c r="AO803" s="152"/>
      <c r="AP803" s="152"/>
      <c r="AQ803" s="152"/>
      <c r="AR803" s="152"/>
      <c r="AS803" s="152"/>
      <c r="AT803" s="152"/>
      <c r="AU803" s="152"/>
      <c r="AV803" s="152"/>
      <c r="AW803" s="152"/>
      <c r="AX803" s="152"/>
      <c r="AY803" s="152"/>
      <c r="AZ803" s="152"/>
      <c r="BA803" s="152"/>
      <c r="BB803" s="152"/>
      <c r="BC803" s="152"/>
    </row>
    <row r="804" customFormat="false" ht="15.75" hidden="false" customHeight="false" outlineLevel="0" collapsed="false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  <c r="AG804" s="152"/>
      <c r="AH804" s="152"/>
      <c r="AI804" s="152"/>
      <c r="AJ804" s="152"/>
      <c r="AK804" s="152"/>
      <c r="AL804" s="152"/>
      <c r="AM804" s="152"/>
      <c r="AN804" s="152"/>
      <c r="AO804" s="152"/>
      <c r="AP804" s="152"/>
      <c r="AQ804" s="152"/>
      <c r="AR804" s="152"/>
      <c r="AS804" s="152"/>
      <c r="AT804" s="152"/>
      <c r="AU804" s="152"/>
      <c r="AV804" s="152"/>
      <c r="AW804" s="152"/>
      <c r="AX804" s="152"/>
      <c r="AY804" s="152"/>
      <c r="AZ804" s="152"/>
      <c r="BA804" s="152"/>
      <c r="BB804" s="152"/>
      <c r="BC804" s="152"/>
    </row>
    <row r="805" customFormat="false" ht="15.75" hidden="false" customHeight="false" outlineLevel="0" collapsed="false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  <c r="AG805" s="152"/>
      <c r="AH805" s="152"/>
      <c r="AI805" s="152"/>
      <c r="AJ805" s="152"/>
      <c r="AK805" s="152"/>
      <c r="AL805" s="152"/>
      <c r="AM805" s="152"/>
      <c r="AN805" s="152"/>
      <c r="AO805" s="152"/>
      <c r="AP805" s="152"/>
      <c r="AQ805" s="152"/>
      <c r="AR805" s="152"/>
      <c r="AS805" s="152"/>
      <c r="AT805" s="152"/>
      <c r="AU805" s="152"/>
      <c r="AV805" s="152"/>
      <c r="AW805" s="152"/>
      <c r="AX805" s="152"/>
      <c r="AY805" s="152"/>
      <c r="AZ805" s="152"/>
      <c r="BA805" s="152"/>
      <c r="BB805" s="152"/>
      <c r="BC805" s="152"/>
    </row>
    <row r="806" customFormat="false" ht="15.75" hidden="false" customHeight="false" outlineLevel="0" collapsed="false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  <c r="AG806" s="152"/>
      <c r="AH806" s="152"/>
      <c r="AI806" s="152"/>
      <c r="AJ806" s="152"/>
      <c r="AK806" s="152"/>
      <c r="AL806" s="152"/>
      <c r="AM806" s="152"/>
      <c r="AN806" s="152"/>
      <c r="AO806" s="152"/>
      <c r="AP806" s="152"/>
      <c r="AQ806" s="152"/>
      <c r="AR806" s="152"/>
      <c r="AS806" s="152"/>
      <c r="AT806" s="152"/>
      <c r="AU806" s="152"/>
      <c r="AV806" s="152"/>
      <c r="AW806" s="152"/>
      <c r="AX806" s="152"/>
      <c r="AY806" s="152"/>
      <c r="AZ806" s="152"/>
      <c r="BA806" s="152"/>
      <c r="BB806" s="152"/>
      <c r="BC806" s="152"/>
    </row>
    <row r="807" customFormat="false" ht="15.75" hidden="false" customHeight="false" outlineLevel="0" collapsed="false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  <c r="AG807" s="152"/>
      <c r="AH807" s="152"/>
      <c r="AI807" s="152"/>
      <c r="AJ807" s="152"/>
      <c r="AK807" s="152"/>
      <c r="AL807" s="152"/>
      <c r="AM807" s="152"/>
      <c r="AN807" s="152"/>
      <c r="AO807" s="152"/>
      <c r="AP807" s="152"/>
      <c r="AQ807" s="152"/>
      <c r="AR807" s="152"/>
      <c r="AS807" s="152"/>
      <c r="AT807" s="152"/>
      <c r="AU807" s="152"/>
      <c r="AV807" s="152"/>
      <c r="AW807" s="152"/>
      <c r="AX807" s="152"/>
      <c r="AY807" s="152"/>
      <c r="AZ807" s="152"/>
      <c r="BA807" s="152"/>
      <c r="BB807" s="152"/>
      <c r="BC807" s="152"/>
    </row>
    <row r="808" customFormat="false" ht="15.75" hidden="false" customHeight="false" outlineLevel="0" collapsed="false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  <c r="AG808" s="152"/>
      <c r="AH808" s="152"/>
      <c r="AI808" s="152"/>
      <c r="AJ808" s="152"/>
      <c r="AK808" s="152"/>
      <c r="AL808" s="152"/>
      <c r="AM808" s="152"/>
      <c r="AN808" s="152"/>
      <c r="AO808" s="152"/>
      <c r="AP808" s="152"/>
      <c r="AQ808" s="152"/>
      <c r="AR808" s="152"/>
      <c r="AS808" s="152"/>
      <c r="AT808" s="152"/>
      <c r="AU808" s="152"/>
      <c r="AV808" s="152"/>
      <c r="AW808" s="152"/>
      <c r="AX808" s="152"/>
      <c r="AY808" s="152"/>
      <c r="AZ808" s="152"/>
      <c r="BA808" s="152"/>
      <c r="BB808" s="152"/>
      <c r="BC808" s="152"/>
    </row>
    <row r="809" customFormat="false" ht="15.75" hidden="false" customHeight="false" outlineLevel="0" collapsed="false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  <c r="AG809" s="152"/>
      <c r="AH809" s="152"/>
      <c r="AI809" s="152"/>
      <c r="AJ809" s="152"/>
      <c r="AK809" s="152"/>
      <c r="AL809" s="152"/>
      <c r="AM809" s="152"/>
      <c r="AN809" s="152"/>
      <c r="AO809" s="152"/>
      <c r="AP809" s="152"/>
      <c r="AQ809" s="152"/>
      <c r="AR809" s="152"/>
      <c r="AS809" s="152"/>
      <c r="AT809" s="152"/>
      <c r="AU809" s="152"/>
      <c r="AV809" s="152"/>
      <c r="AW809" s="152"/>
      <c r="AX809" s="152"/>
      <c r="AY809" s="152"/>
      <c r="AZ809" s="152"/>
      <c r="BA809" s="152"/>
      <c r="BB809" s="152"/>
      <c r="BC809" s="152"/>
    </row>
    <row r="810" customFormat="false" ht="15.75" hidden="false" customHeight="false" outlineLevel="0" collapsed="false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  <c r="AG810" s="152"/>
      <c r="AH810" s="152"/>
      <c r="AI810" s="152"/>
      <c r="AJ810" s="152"/>
      <c r="AK810" s="152"/>
      <c r="AL810" s="152"/>
      <c r="AM810" s="152"/>
      <c r="AN810" s="152"/>
      <c r="AO810" s="152"/>
      <c r="AP810" s="152"/>
      <c r="AQ810" s="152"/>
      <c r="AR810" s="152"/>
      <c r="AS810" s="152"/>
      <c r="AT810" s="152"/>
      <c r="AU810" s="152"/>
      <c r="AV810" s="152"/>
      <c r="AW810" s="152"/>
      <c r="AX810" s="152"/>
      <c r="AY810" s="152"/>
      <c r="AZ810" s="152"/>
      <c r="BA810" s="152"/>
      <c r="BB810" s="152"/>
      <c r="BC810" s="152"/>
    </row>
    <row r="811" customFormat="false" ht="15.75" hidden="false" customHeight="false" outlineLevel="0" collapsed="false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  <c r="AG811" s="152"/>
      <c r="AH811" s="152"/>
      <c r="AI811" s="152"/>
      <c r="AJ811" s="152"/>
      <c r="AK811" s="152"/>
      <c r="AL811" s="152"/>
      <c r="AM811" s="152"/>
      <c r="AN811" s="152"/>
      <c r="AO811" s="152"/>
      <c r="AP811" s="152"/>
      <c r="AQ811" s="152"/>
      <c r="AR811" s="152"/>
      <c r="AS811" s="152"/>
      <c r="AT811" s="152"/>
      <c r="AU811" s="152"/>
      <c r="AV811" s="152"/>
      <c r="AW811" s="152"/>
      <c r="AX811" s="152"/>
      <c r="AY811" s="152"/>
      <c r="AZ811" s="152"/>
      <c r="BA811" s="152"/>
      <c r="BB811" s="152"/>
      <c r="BC811" s="152"/>
    </row>
    <row r="812" customFormat="false" ht="15.75" hidden="false" customHeight="false" outlineLevel="0" collapsed="false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  <c r="AG812" s="152"/>
      <c r="AH812" s="152"/>
      <c r="AI812" s="152"/>
      <c r="AJ812" s="152"/>
      <c r="AK812" s="152"/>
      <c r="AL812" s="152"/>
      <c r="AM812" s="152"/>
      <c r="AN812" s="152"/>
      <c r="AO812" s="152"/>
      <c r="AP812" s="152"/>
      <c r="AQ812" s="152"/>
      <c r="AR812" s="152"/>
      <c r="AS812" s="152"/>
      <c r="AT812" s="152"/>
      <c r="AU812" s="152"/>
      <c r="AV812" s="152"/>
      <c r="AW812" s="152"/>
      <c r="AX812" s="152"/>
      <c r="AY812" s="152"/>
      <c r="AZ812" s="152"/>
      <c r="BA812" s="152"/>
      <c r="BB812" s="152"/>
      <c r="BC812" s="152"/>
    </row>
    <row r="813" customFormat="false" ht="15.75" hidden="false" customHeight="false" outlineLevel="0" collapsed="false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  <c r="AG813" s="152"/>
      <c r="AH813" s="152"/>
      <c r="AI813" s="152"/>
      <c r="AJ813" s="152"/>
      <c r="AK813" s="152"/>
      <c r="AL813" s="152"/>
      <c r="AM813" s="152"/>
      <c r="AN813" s="152"/>
      <c r="AO813" s="152"/>
      <c r="AP813" s="152"/>
      <c r="AQ813" s="152"/>
      <c r="AR813" s="152"/>
      <c r="AS813" s="152"/>
      <c r="AT813" s="152"/>
      <c r="AU813" s="152"/>
      <c r="AV813" s="152"/>
      <c r="AW813" s="152"/>
      <c r="AX813" s="152"/>
      <c r="AY813" s="152"/>
      <c r="AZ813" s="152"/>
      <c r="BA813" s="152"/>
      <c r="BB813" s="152"/>
      <c r="BC813" s="152"/>
    </row>
    <row r="814" customFormat="false" ht="15.75" hidden="false" customHeight="false" outlineLevel="0" collapsed="false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  <c r="AG814" s="152"/>
      <c r="AH814" s="152"/>
      <c r="AI814" s="152"/>
      <c r="AJ814" s="152"/>
      <c r="AK814" s="152"/>
      <c r="AL814" s="152"/>
      <c r="AM814" s="152"/>
      <c r="AN814" s="152"/>
      <c r="AO814" s="152"/>
      <c r="AP814" s="152"/>
      <c r="AQ814" s="152"/>
      <c r="AR814" s="152"/>
      <c r="AS814" s="152"/>
      <c r="AT814" s="152"/>
      <c r="AU814" s="152"/>
      <c r="AV814" s="152"/>
      <c r="AW814" s="152"/>
      <c r="AX814" s="152"/>
      <c r="AY814" s="152"/>
      <c r="AZ814" s="152"/>
      <c r="BA814" s="152"/>
      <c r="BB814" s="152"/>
      <c r="BC814" s="152"/>
    </row>
    <row r="815" customFormat="false" ht="15.75" hidden="false" customHeight="false" outlineLevel="0" collapsed="false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  <c r="AG815" s="152"/>
      <c r="AH815" s="152"/>
      <c r="AI815" s="152"/>
      <c r="AJ815" s="152"/>
      <c r="AK815" s="152"/>
      <c r="AL815" s="152"/>
      <c r="AM815" s="152"/>
      <c r="AN815" s="152"/>
      <c r="AO815" s="152"/>
      <c r="AP815" s="152"/>
      <c r="AQ815" s="152"/>
      <c r="AR815" s="152"/>
      <c r="AS815" s="152"/>
      <c r="AT815" s="152"/>
      <c r="AU815" s="152"/>
      <c r="AV815" s="152"/>
      <c r="AW815" s="152"/>
      <c r="AX815" s="152"/>
      <c r="AY815" s="152"/>
      <c r="AZ815" s="152"/>
      <c r="BA815" s="152"/>
      <c r="BB815" s="152"/>
      <c r="BC815" s="152"/>
    </row>
    <row r="816" customFormat="false" ht="15.75" hidden="false" customHeight="false" outlineLevel="0" collapsed="false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  <c r="AG816" s="152"/>
      <c r="AH816" s="152"/>
      <c r="AI816" s="152"/>
      <c r="AJ816" s="152"/>
      <c r="AK816" s="152"/>
      <c r="AL816" s="152"/>
      <c r="AM816" s="152"/>
      <c r="AN816" s="152"/>
      <c r="AO816" s="152"/>
      <c r="AP816" s="152"/>
      <c r="AQ816" s="152"/>
      <c r="AR816" s="152"/>
      <c r="AS816" s="152"/>
      <c r="AT816" s="152"/>
      <c r="AU816" s="152"/>
      <c r="AV816" s="152"/>
      <c r="AW816" s="152"/>
      <c r="AX816" s="152"/>
      <c r="AY816" s="152"/>
      <c r="AZ816" s="152"/>
      <c r="BA816" s="152"/>
      <c r="BB816" s="152"/>
      <c r="BC816" s="152"/>
    </row>
    <row r="817" customFormat="false" ht="15.75" hidden="false" customHeight="false" outlineLevel="0" collapsed="false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  <c r="AG817" s="152"/>
      <c r="AH817" s="152"/>
      <c r="AI817" s="152"/>
      <c r="AJ817" s="152"/>
      <c r="AK817" s="152"/>
      <c r="AL817" s="152"/>
      <c r="AM817" s="152"/>
      <c r="AN817" s="152"/>
      <c r="AO817" s="152"/>
      <c r="AP817" s="152"/>
      <c r="AQ817" s="152"/>
      <c r="AR817" s="152"/>
      <c r="AS817" s="152"/>
      <c r="AT817" s="152"/>
      <c r="AU817" s="152"/>
      <c r="AV817" s="152"/>
      <c r="AW817" s="152"/>
      <c r="AX817" s="152"/>
      <c r="AY817" s="152"/>
      <c r="AZ817" s="152"/>
      <c r="BA817" s="152"/>
      <c r="BB817" s="152"/>
      <c r="BC817" s="152"/>
    </row>
    <row r="818" customFormat="false" ht="15.75" hidden="false" customHeight="false" outlineLevel="0" collapsed="false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  <c r="AG818" s="152"/>
      <c r="AH818" s="152"/>
      <c r="AI818" s="152"/>
      <c r="AJ818" s="152"/>
      <c r="AK818" s="152"/>
      <c r="AL818" s="152"/>
      <c r="AM818" s="152"/>
      <c r="AN818" s="152"/>
      <c r="AO818" s="152"/>
      <c r="AP818" s="152"/>
      <c r="AQ818" s="152"/>
      <c r="AR818" s="152"/>
      <c r="AS818" s="152"/>
      <c r="AT818" s="152"/>
      <c r="AU818" s="152"/>
      <c r="AV818" s="152"/>
      <c r="AW818" s="152"/>
      <c r="AX818" s="152"/>
      <c r="AY818" s="152"/>
      <c r="AZ818" s="152"/>
      <c r="BA818" s="152"/>
      <c r="BB818" s="152"/>
      <c r="BC818" s="152"/>
    </row>
    <row r="819" customFormat="false" ht="15.75" hidden="false" customHeight="false" outlineLevel="0" collapsed="false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  <c r="AG819" s="152"/>
      <c r="AH819" s="152"/>
      <c r="AI819" s="152"/>
      <c r="AJ819" s="152"/>
      <c r="AK819" s="152"/>
      <c r="AL819" s="152"/>
      <c r="AM819" s="152"/>
      <c r="AN819" s="152"/>
      <c r="AO819" s="152"/>
      <c r="AP819" s="152"/>
      <c r="AQ819" s="152"/>
      <c r="AR819" s="152"/>
      <c r="AS819" s="152"/>
      <c r="AT819" s="152"/>
      <c r="AU819" s="152"/>
      <c r="AV819" s="152"/>
      <c r="AW819" s="152"/>
      <c r="AX819" s="152"/>
      <c r="AY819" s="152"/>
      <c r="AZ819" s="152"/>
      <c r="BA819" s="152"/>
      <c r="BB819" s="152"/>
      <c r="BC819" s="152"/>
    </row>
    <row r="820" customFormat="false" ht="15.75" hidden="false" customHeight="false" outlineLevel="0" collapsed="false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  <c r="AG820" s="152"/>
      <c r="AH820" s="152"/>
      <c r="AI820" s="152"/>
      <c r="AJ820" s="152"/>
      <c r="AK820" s="152"/>
      <c r="AL820" s="152"/>
      <c r="AM820" s="152"/>
      <c r="AN820" s="152"/>
      <c r="AO820" s="152"/>
      <c r="AP820" s="152"/>
      <c r="AQ820" s="152"/>
      <c r="AR820" s="152"/>
      <c r="AS820" s="152"/>
      <c r="AT820" s="152"/>
      <c r="AU820" s="152"/>
      <c r="AV820" s="152"/>
      <c r="AW820" s="152"/>
      <c r="AX820" s="152"/>
      <c r="AY820" s="152"/>
      <c r="AZ820" s="152"/>
      <c r="BA820" s="152"/>
      <c r="BB820" s="152"/>
      <c r="BC820" s="152"/>
    </row>
    <row r="821" customFormat="false" ht="15.75" hidden="false" customHeight="false" outlineLevel="0" collapsed="false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  <c r="AG821" s="152"/>
      <c r="AH821" s="152"/>
      <c r="AI821" s="152"/>
      <c r="AJ821" s="152"/>
      <c r="AK821" s="152"/>
      <c r="AL821" s="152"/>
      <c r="AM821" s="152"/>
      <c r="AN821" s="152"/>
      <c r="AO821" s="152"/>
      <c r="AP821" s="152"/>
      <c r="AQ821" s="152"/>
      <c r="AR821" s="152"/>
      <c r="AS821" s="152"/>
      <c r="AT821" s="152"/>
      <c r="AU821" s="152"/>
      <c r="AV821" s="152"/>
      <c r="AW821" s="152"/>
      <c r="AX821" s="152"/>
      <c r="AY821" s="152"/>
      <c r="AZ821" s="152"/>
      <c r="BA821" s="152"/>
      <c r="BB821" s="152"/>
      <c r="BC821" s="152"/>
    </row>
    <row r="822" customFormat="false" ht="15.75" hidden="false" customHeight="false" outlineLevel="0" collapsed="false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  <c r="AG822" s="152"/>
      <c r="AH822" s="152"/>
      <c r="AI822" s="152"/>
      <c r="AJ822" s="152"/>
      <c r="AK822" s="152"/>
      <c r="AL822" s="152"/>
      <c r="AM822" s="152"/>
      <c r="AN822" s="152"/>
      <c r="AO822" s="152"/>
      <c r="AP822" s="152"/>
      <c r="AQ822" s="152"/>
      <c r="AR822" s="152"/>
      <c r="AS822" s="152"/>
      <c r="AT822" s="152"/>
      <c r="AU822" s="152"/>
      <c r="AV822" s="152"/>
      <c r="AW822" s="152"/>
      <c r="AX822" s="152"/>
      <c r="AY822" s="152"/>
      <c r="AZ822" s="152"/>
      <c r="BA822" s="152"/>
      <c r="BB822" s="152"/>
      <c r="BC822" s="152"/>
    </row>
    <row r="823" customFormat="false" ht="15.75" hidden="false" customHeight="false" outlineLevel="0" collapsed="false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  <c r="AG823" s="152"/>
      <c r="AH823" s="152"/>
      <c r="AI823" s="152"/>
      <c r="AJ823" s="152"/>
      <c r="AK823" s="152"/>
      <c r="AL823" s="152"/>
      <c r="AM823" s="152"/>
      <c r="AN823" s="152"/>
      <c r="AO823" s="152"/>
      <c r="AP823" s="152"/>
      <c r="AQ823" s="152"/>
      <c r="AR823" s="152"/>
      <c r="AS823" s="152"/>
      <c r="AT823" s="152"/>
      <c r="AU823" s="152"/>
      <c r="AV823" s="152"/>
      <c r="AW823" s="152"/>
      <c r="AX823" s="152"/>
      <c r="AY823" s="152"/>
      <c r="AZ823" s="152"/>
      <c r="BA823" s="152"/>
      <c r="BB823" s="152"/>
      <c r="BC823" s="152"/>
    </row>
    <row r="824" customFormat="false" ht="15.75" hidden="false" customHeight="false" outlineLevel="0" collapsed="false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  <c r="AG824" s="152"/>
      <c r="AH824" s="152"/>
      <c r="AI824" s="152"/>
      <c r="AJ824" s="152"/>
      <c r="AK824" s="152"/>
      <c r="AL824" s="152"/>
      <c r="AM824" s="152"/>
      <c r="AN824" s="152"/>
      <c r="AO824" s="152"/>
      <c r="AP824" s="152"/>
      <c r="AQ824" s="152"/>
      <c r="AR824" s="152"/>
      <c r="AS824" s="152"/>
      <c r="AT824" s="152"/>
      <c r="AU824" s="152"/>
      <c r="AV824" s="152"/>
      <c r="AW824" s="152"/>
      <c r="AX824" s="152"/>
      <c r="AY824" s="152"/>
      <c r="AZ824" s="152"/>
      <c r="BA824" s="152"/>
      <c r="BB824" s="152"/>
      <c r="BC824" s="152"/>
    </row>
    <row r="825" customFormat="false" ht="15.75" hidden="false" customHeight="false" outlineLevel="0" collapsed="false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  <c r="AG825" s="152"/>
      <c r="AH825" s="152"/>
      <c r="AI825" s="152"/>
      <c r="AJ825" s="152"/>
      <c r="AK825" s="152"/>
      <c r="AL825" s="152"/>
      <c r="AM825" s="152"/>
      <c r="AN825" s="152"/>
      <c r="AO825" s="152"/>
      <c r="AP825" s="152"/>
      <c r="AQ825" s="152"/>
      <c r="AR825" s="152"/>
      <c r="AS825" s="152"/>
      <c r="AT825" s="152"/>
      <c r="AU825" s="152"/>
      <c r="AV825" s="152"/>
      <c r="AW825" s="152"/>
      <c r="AX825" s="152"/>
      <c r="AY825" s="152"/>
      <c r="AZ825" s="152"/>
      <c r="BA825" s="152"/>
      <c r="BB825" s="152"/>
      <c r="BC825" s="152"/>
    </row>
    <row r="826" customFormat="false" ht="15.75" hidden="false" customHeight="false" outlineLevel="0" collapsed="false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  <c r="AG826" s="152"/>
      <c r="AH826" s="152"/>
      <c r="AI826" s="152"/>
      <c r="AJ826" s="152"/>
      <c r="AK826" s="152"/>
      <c r="AL826" s="152"/>
      <c r="AM826" s="152"/>
      <c r="AN826" s="152"/>
      <c r="AO826" s="152"/>
      <c r="AP826" s="152"/>
      <c r="AQ826" s="152"/>
      <c r="AR826" s="152"/>
      <c r="AS826" s="152"/>
      <c r="AT826" s="152"/>
      <c r="AU826" s="152"/>
      <c r="AV826" s="152"/>
      <c r="AW826" s="152"/>
      <c r="AX826" s="152"/>
      <c r="AY826" s="152"/>
      <c r="AZ826" s="152"/>
      <c r="BA826" s="152"/>
      <c r="BB826" s="152"/>
      <c r="BC826" s="152"/>
    </row>
    <row r="827" customFormat="false" ht="15.75" hidden="false" customHeight="false" outlineLevel="0" collapsed="false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  <c r="AG827" s="152"/>
      <c r="AH827" s="152"/>
      <c r="AI827" s="152"/>
      <c r="AJ827" s="152"/>
      <c r="AK827" s="152"/>
      <c r="AL827" s="152"/>
      <c r="AM827" s="152"/>
      <c r="AN827" s="152"/>
      <c r="AO827" s="152"/>
      <c r="AP827" s="152"/>
      <c r="AQ827" s="152"/>
      <c r="AR827" s="152"/>
      <c r="AS827" s="152"/>
      <c r="AT827" s="152"/>
      <c r="AU827" s="152"/>
      <c r="AV827" s="152"/>
      <c r="AW827" s="152"/>
      <c r="AX827" s="152"/>
      <c r="AY827" s="152"/>
      <c r="AZ827" s="152"/>
      <c r="BA827" s="152"/>
      <c r="BB827" s="152"/>
      <c r="BC827" s="152"/>
    </row>
    <row r="828" customFormat="false" ht="15.75" hidden="false" customHeight="false" outlineLevel="0" collapsed="false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  <c r="AG828" s="152"/>
      <c r="AH828" s="152"/>
      <c r="AI828" s="152"/>
      <c r="AJ828" s="152"/>
      <c r="AK828" s="152"/>
      <c r="AL828" s="152"/>
      <c r="AM828" s="152"/>
      <c r="AN828" s="152"/>
      <c r="AO828" s="152"/>
      <c r="AP828" s="152"/>
      <c r="AQ828" s="152"/>
      <c r="AR828" s="152"/>
      <c r="AS828" s="152"/>
      <c r="AT828" s="152"/>
      <c r="AU828" s="152"/>
      <c r="AV828" s="152"/>
      <c r="AW828" s="152"/>
      <c r="AX828" s="152"/>
      <c r="AY828" s="152"/>
      <c r="AZ828" s="152"/>
      <c r="BA828" s="152"/>
      <c r="BB828" s="152"/>
      <c r="BC828" s="152"/>
    </row>
    <row r="829" customFormat="false" ht="15.75" hidden="false" customHeight="false" outlineLevel="0" collapsed="false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  <c r="AG829" s="152"/>
      <c r="AH829" s="152"/>
      <c r="AI829" s="152"/>
      <c r="AJ829" s="152"/>
      <c r="AK829" s="152"/>
      <c r="AL829" s="152"/>
      <c r="AM829" s="152"/>
      <c r="AN829" s="152"/>
      <c r="AO829" s="152"/>
      <c r="AP829" s="152"/>
      <c r="AQ829" s="152"/>
      <c r="AR829" s="152"/>
      <c r="AS829" s="152"/>
      <c r="AT829" s="152"/>
      <c r="AU829" s="152"/>
      <c r="AV829" s="152"/>
      <c r="AW829" s="152"/>
      <c r="AX829" s="152"/>
      <c r="AY829" s="152"/>
      <c r="AZ829" s="152"/>
      <c r="BA829" s="152"/>
      <c r="BB829" s="152"/>
      <c r="BC829" s="152"/>
    </row>
    <row r="830" customFormat="false" ht="15.75" hidden="false" customHeight="false" outlineLevel="0" collapsed="false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  <c r="AG830" s="152"/>
      <c r="AH830" s="152"/>
      <c r="AI830" s="152"/>
      <c r="AJ830" s="152"/>
      <c r="AK830" s="152"/>
      <c r="AL830" s="152"/>
      <c r="AM830" s="152"/>
      <c r="AN830" s="152"/>
      <c r="AO830" s="152"/>
      <c r="AP830" s="152"/>
      <c r="AQ830" s="152"/>
      <c r="AR830" s="152"/>
      <c r="AS830" s="152"/>
      <c r="AT830" s="152"/>
      <c r="AU830" s="152"/>
      <c r="AV830" s="152"/>
      <c r="AW830" s="152"/>
      <c r="AX830" s="152"/>
      <c r="AY830" s="152"/>
      <c r="AZ830" s="152"/>
      <c r="BA830" s="152"/>
      <c r="BB830" s="152"/>
      <c r="BC830" s="152"/>
    </row>
    <row r="831" customFormat="false" ht="15.75" hidden="false" customHeight="false" outlineLevel="0" collapsed="false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  <c r="AG831" s="152"/>
      <c r="AH831" s="152"/>
      <c r="AI831" s="152"/>
      <c r="AJ831" s="152"/>
      <c r="AK831" s="152"/>
      <c r="AL831" s="152"/>
      <c r="AM831" s="152"/>
      <c r="AN831" s="152"/>
      <c r="AO831" s="152"/>
      <c r="AP831" s="152"/>
      <c r="AQ831" s="152"/>
      <c r="AR831" s="152"/>
      <c r="AS831" s="152"/>
      <c r="AT831" s="152"/>
      <c r="AU831" s="152"/>
      <c r="AV831" s="152"/>
      <c r="AW831" s="152"/>
      <c r="AX831" s="152"/>
      <c r="AY831" s="152"/>
      <c r="AZ831" s="152"/>
      <c r="BA831" s="152"/>
      <c r="BB831" s="152"/>
      <c r="BC831" s="152"/>
    </row>
    <row r="832" customFormat="false" ht="15.75" hidden="false" customHeight="false" outlineLevel="0" collapsed="false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  <c r="AG832" s="152"/>
      <c r="AH832" s="152"/>
      <c r="AI832" s="152"/>
      <c r="AJ832" s="152"/>
      <c r="AK832" s="152"/>
      <c r="AL832" s="152"/>
      <c r="AM832" s="152"/>
      <c r="AN832" s="152"/>
      <c r="AO832" s="152"/>
      <c r="AP832" s="152"/>
      <c r="AQ832" s="152"/>
      <c r="AR832" s="152"/>
      <c r="AS832" s="152"/>
      <c r="AT832" s="152"/>
      <c r="AU832" s="152"/>
      <c r="AV832" s="152"/>
      <c r="AW832" s="152"/>
      <c r="AX832" s="152"/>
      <c r="AY832" s="152"/>
      <c r="AZ832" s="152"/>
      <c r="BA832" s="152"/>
      <c r="BB832" s="152"/>
      <c r="BC832" s="152"/>
    </row>
    <row r="833" customFormat="false" ht="15.75" hidden="false" customHeight="false" outlineLevel="0" collapsed="false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  <c r="AG833" s="152"/>
      <c r="AH833" s="152"/>
      <c r="AI833" s="152"/>
      <c r="AJ833" s="152"/>
      <c r="AK833" s="152"/>
      <c r="AL833" s="152"/>
      <c r="AM833" s="152"/>
      <c r="AN833" s="152"/>
      <c r="AO833" s="152"/>
      <c r="AP833" s="152"/>
      <c r="AQ833" s="152"/>
      <c r="AR833" s="152"/>
      <c r="AS833" s="152"/>
      <c r="AT833" s="152"/>
      <c r="AU833" s="152"/>
      <c r="AV833" s="152"/>
      <c r="AW833" s="152"/>
      <c r="AX833" s="152"/>
      <c r="AY833" s="152"/>
      <c r="AZ833" s="152"/>
      <c r="BA833" s="152"/>
      <c r="BB833" s="152"/>
      <c r="BC833" s="152"/>
    </row>
    <row r="834" customFormat="false" ht="15.75" hidden="false" customHeight="false" outlineLevel="0" collapsed="false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  <c r="AG834" s="152"/>
      <c r="AH834" s="152"/>
      <c r="AI834" s="152"/>
      <c r="AJ834" s="152"/>
      <c r="AK834" s="152"/>
      <c r="AL834" s="152"/>
      <c r="AM834" s="152"/>
      <c r="AN834" s="152"/>
      <c r="AO834" s="152"/>
      <c r="AP834" s="152"/>
      <c r="AQ834" s="152"/>
      <c r="AR834" s="152"/>
      <c r="AS834" s="152"/>
      <c r="AT834" s="152"/>
      <c r="AU834" s="152"/>
      <c r="AV834" s="152"/>
      <c r="AW834" s="152"/>
      <c r="AX834" s="152"/>
      <c r="AY834" s="152"/>
      <c r="AZ834" s="152"/>
      <c r="BA834" s="152"/>
      <c r="BB834" s="152"/>
      <c r="BC834" s="152"/>
    </row>
    <row r="835" customFormat="false" ht="15.75" hidden="false" customHeight="false" outlineLevel="0" collapsed="false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  <c r="AG835" s="152"/>
      <c r="AH835" s="152"/>
      <c r="AI835" s="152"/>
      <c r="AJ835" s="152"/>
      <c r="AK835" s="152"/>
      <c r="AL835" s="152"/>
      <c r="AM835" s="152"/>
      <c r="AN835" s="152"/>
      <c r="AO835" s="152"/>
      <c r="AP835" s="152"/>
      <c r="AQ835" s="152"/>
      <c r="AR835" s="152"/>
      <c r="AS835" s="152"/>
      <c r="AT835" s="152"/>
      <c r="AU835" s="152"/>
      <c r="AV835" s="152"/>
      <c r="AW835" s="152"/>
      <c r="AX835" s="152"/>
      <c r="AY835" s="152"/>
      <c r="AZ835" s="152"/>
      <c r="BA835" s="152"/>
      <c r="BB835" s="152"/>
      <c r="BC835" s="152"/>
    </row>
    <row r="836" customFormat="false" ht="15.75" hidden="false" customHeight="false" outlineLevel="0" collapsed="false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  <c r="AG836" s="152"/>
      <c r="AH836" s="152"/>
      <c r="AI836" s="152"/>
      <c r="AJ836" s="152"/>
      <c r="AK836" s="152"/>
      <c r="AL836" s="152"/>
      <c r="AM836" s="152"/>
      <c r="AN836" s="152"/>
      <c r="AO836" s="152"/>
      <c r="AP836" s="152"/>
      <c r="AQ836" s="152"/>
      <c r="AR836" s="152"/>
      <c r="AS836" s="152"/>
      <c r="AT836" s="152"/>
      <c r="AU836" s="152"/>
      <c r="AV836" s="152"/>
      <c r="AW836" s="152"/>
      <c r="AX836" s="152"/>
      <c r="AY836" s="152"/>
      <c r="AZ836" s="152"/>
      <c r="BA836" s="152"/>
      <c r="BB836" s="152"/>
      <c r="BC836" s="152"/>
    </row>
    <row r="837" customFormat="false" ht="15.75" hidden="false" customHeight="false" outlineLevel="0" collapsed="false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  <c r="AG837" s="152"/>
      <c r="AH837" s="152"/>
      <c r="AI837" s="152"/>
      <c r="AJ837" s="152"/>
      <c r="AK837" s="152"/>
      <c r="AL837" s="152"/>
      <c r="AM837" s="152"/>
      <c r="AN837" s="152"/>
      <c r="AO837" s="152"/>
      <c r="AP837" s="152"/>
      <c r="AQ837" s="152"/>
      <c r="AR837" s="152"/>
      <c r="AS837" s="152"/>
      <c r="AT837" s="152"/>
      <c r="AU837" s="152"/>
      <c r="AV837" s="152"/>
      <c r="AW837" s="152"/>
      <c r="AX837" s="152"/>
      <c r="AY837" s="152"/>
      <c r="AZ837" s="152"/>
      <c r="BA837" s="152"/>
      <c r="BB837" s="152"/>
      <c r="BC837" s="152"/>
    </row>
    <row r="838" customFormat="false" ht="15.75" hidden="false" customHeight="false" outlineLevel="0" collapsed="false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  <c r="AG838" s="152"/>
      <c r="AH838" s="152"/>
      <c r="AI838" s="152"/>
      <c r="AJ838" s="152"/>
      <c r="AK838" s="152"/>
      <c r="AL838" s="152"/>
      <c r="AM838" s="152"/>
      <c r="AN838" s="152"/>
      <c r="AO838" s="152"/>
      <c r="AP838" s="152"/>
      <c r="AQ838" s="152"/>
      <c r="AR838" s="152"/>
      <c r="AS838" s="152"/>
      <c r="AT838" s="152"/>
      <c r="AU838" s="152"/>
      <c r="AV838" s="152"/>
      <c r="AW838" s="152"/>
      <c r="AX838" s="152"/>
      <c r="AY838" s="152"/>
      <c r="AZ838" s="152"/>
      <c r="BA838" s="152"/>
      <c r="BB838" s="152"/>
      <c r="BC838" s="152"/>
    </row>
    <row r="839" customFormat="false" ht="15.75" hidden="false" customHeight="false" outlineLevel="0" collapsed="false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  <c r="AG839" s="152"/>
      <c r="AH839" s="152"/>
      <c r="AI839" s="152"/>
      <c r="AJ839" s="152"/>
      <c r="AK839" s="152"/>
      <c r="AL839" s="152"/>
      <c r="AM839" s="152"/>
      <c r="AN839" s="152"/>
      <c r="AO839" s="152"/>
      <c r="AP839" s="152"/>
      <c r="AQ839" s="152"/>
      <c r="AR839" s="152"/>
      <c r="AS839" s="152"/>
      <c r="AT839" s="152"/>
      <c r="AU839" s="152"/>
      <c r="AV839" s="152"/>
      <c r="AW839" s="152"/>
      <c r="AX839" s="152"/>
      <c r="AY839" s="152"/>
      <c r="AZ839" s="152"/>
      <c r="BA839" s="152"/>
      <c r="BB839" s="152"/>
      <c r="BC839" s="152"/>
    </row>
    <row r="840" customFormat="false" ht="15.75" hidden="false" customHeight="false" outlineLevel="0" collapsed="false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  <c r="AG840" s="152"/>
      <c r="AH840" s="152"/>
      <c r="AI840" s="152"/>
      <c r="AJ840" s="152"/>
      <c r="AK840" s="152"/>
      <c r="AL840" s="152"/>
      <c r="AM840" s="152"/>
      <c r="AN840" s="152"/>
      <c r="AO840" s="152"/>
      <c r="AP840" s="152"/>
      <c r="AQ840" s="152"/>
      <c r="AR840" s="152"/>
      <c r="AS840" s="152"/>
      <c r="AT840" s="152"/>
      <c r="AU840" s="152"/>
      <c r="AV840" s="152"/>
      <c r="AW840" s="152"/>
      <c r="AX840" s="152"/>
      <c r="AY840" s="152"/>
      <c r="AZ840" s="152"/>
      <c r="BA840" s="152"/>
      <c r="BB840" s="152"/>
      <c r="BC840" s="152"/>
    </row>
    <row r="841" customFormat="false" ht="15.75" hidden="false" customHeight="false" outlineLevel="0" collapsed="false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  <c r="AG841" s="152"/>
      <c r="AH841" s="152"/>
      <c r="AI841" s="152"/>
      <c r="AJ841" s="152"/>
      <c r="AK841" s="152"/>
      <c r="AL841" s="152"/>
      <c r="AM841" s="152"/>
      <c r="AN841" s="152"/>
      <c r="AO841" s="152"/>
      <c r="AP841" s="152"/>
      <c r="AQ841" s="152"/>
      <c r="AR841" s="152"/>
      <c r="AS841" s="152"/>
      <c r="AT841" s="152"/>
      <c r="AU841" s="152"/>
      <c r="AV841" s="152"/>
      <c r="AW841" s="152"/>
      <c r="AX841" s="152"/>
      <c r="AY841" s="152"/>
      <c r="AZ841" s="152"/>
      <c r="BA841" s="152"/>
      <c r="BB841" s="152"/>
      <c r="BC841" s="152"/>
    </row>
    <row r="842" customFormat="false" ht="15.75" hidden="false" customHeight="false" outlineLevel="0" collapsed="false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  <c r="AG842" s="152"/>
      <c r="AH842" s="152"/>
      <c r="AI842" s="152"/>
      <c r="AJ842" s="152"/>
      <c r="AK842" s="152"/>
      <c r="AL842" s="152"/>
      <c r="AM842" s="152"/>
      <c r="AN842" s="152"/>
      <c r="AO842" s="152"/>
      <c r="AP842" s="152"/>
      <c r="AQ842" s="152"/>
      <c r="AR842" s="152"/>
      <c r="AS842" s="152"/>
      <c r="AT842" s="152"/>
      <c r="AU842" s="152"/>
      <c r="AV842" s="152"/>
      <c r="AW842" s="152"/>
      <c r="AX842" s="152"/>
      <c r="AY842" s="152"/>
      <c r="AZ842" s="152"/>
      <c r="BA842" s="152"/>
      <c r="BB842" s="152"/>
      <c r="BC842" s="152"/>
    </row>
    <row r="843" customFormat="false" ht="15.75" hidden="false" customHeight="false" outlineLevel="0" collapsed="false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  <c r="AG843" s="152"/>
      <c r="AH843" s="152"/>
      <c r="AI843" s="152"/>
      <c r="AJ843" s="152"/>
      <c r="AK843" s="152"/>
      <c r="AL843" s="152"/>
      <c r="AM843" s="152"/>
      <c r="AN843" s="152"/>
      <c r="AO843" s="152"/>
      <c r="AP843" s="152"/>
      <c r="AQ843" s="152"/>
      <c r="AR843" s="152"/>
      <c r="AS843" s="152"/>
      <c r="AT843" s="152"/>
      <c r="AU843" s="152"/>
      <c r="AV843" s="152"/>
      <c r="AW843" s="152"/>
      <c r="AX843" s="152"/>
      <c r="AY843" s="152"/>
      <c r="AZ843" s="152"/>
      <c r="BA843" s="152"/>
      <c r="BB843" s="152"/>
      <c r="BC843" s="152"/>
    </row>
    <row r="844" customFormat="false" ht="15.75" hidden="false" customHeight="false" outlineLevel="0" collapsed="false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  <c r="AG844" s="152"/>
      <c r="AH844" s="152"/>
      <c r="AI844" s="152"/>
      <c r="AJ844" s="152"/>
      <c r="AK844" s="152"/>
      <c r="AL844" s="152"/>
      <c r="AM844" s="152"/>
      <c r="AN844" s="152"/>
      <c r="AO844" s="152"/>
      <c r="AP844" s="152"/>
      <c r="AQ844" s="152"/>
      <c r="AR844" s="152"/>
      <c r="AS844" s="152"/>
      <c r="AT844" s="152"/>
      <c r="AU844" s="152"/>
      <c r="AV844" s="152"/>
      <c r="AW844" s="152"/>
      <c r="AX844" s="152"/>
      <c r="AY844" s="152"/>
      <c r="AZ844" s="152"/>
      <c r="BA844" s="152"/>
      <c r="BB844" s="152"/>
      <c r="BC844" s="152"/>
    </row>
    <row r="845" customFormat="false" ht="15.75" hidden="false" customHeight="false" outlineLevel="0" collapsed="false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  <c r="AG845" s="152"/>
      <c r="AH845" s="152"/>
      <c r="AI845" s="152"/>
      <c r="AJ845" s="152"/>
      <c r="AK845" s="152"/>
      <c r="AL845" s="152"/>
      <c r="AM845" s="152"/>
      <c r="AN845" s="152"/>
      <c r="AO845" s="152"/>
      <c r="AP845" s="152"/>
      <c r="AQ845" s="152"/>
      <c r="AR845" s="152"/>
      <c r="AS845" s="152"/>
      <c r="AT845" s="152"/>
      <c r="AU845" s="152"/>
      <c r="AV845" s="152"/>
      <c r="AW845" s="152"/>
      <c r="AX845" s="152"/>
      <c r="AY845" s="152"/>
      <c r="AZ845" s="152"/>
      <c r="BA845" s="152"/>
      <c r="BB845" s="152"/>
      <c r="BC845" s="152"/>
    </row>
    <row r="846" customFormat="false" ht="15.75" hidden="false" customHeight="false" outlineLevel="0" collapsed="false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  <c r="AG846" s="152"/>
      <c r="AH846" s="152"/>
      <c r="AI846" s="152"/>
      <c r="AJ846" s="152"/>
      <c r="AK846" s="152"/>
      <c r="AL846" s="152"/>
      <c r="AM846" s="152"/>
      <c r="AN846" s="152"/>
      <c r="AO846" s="152"/>
      <c r="AP846" s="152"/>
      <c r="AQ846" s="152"/>
      <c r="AR846" s="152"/>
      <c r="AS846" s="152"/>
      <c r="AT846" s="152"/>
      <c r="AU846" s="152"/>
      <c r="AV846" s="152"/>
      <c r="AW846" s="152"/>
      <c r="AX846" s="152"/>
      <c r="AY846" s="152"/>
      <c r="AZ846" s="152"/>
      <c r="BA846" s="152"/>
      <c r="BB846" s="152"/>
      <c r="BC846" s="152"/>
    </row>
    <row r="847" customFormat="false" ht="15.75" hidden="false" customHeight="false" outlineLevel="0" collapsed="false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  <c r="AG847" s="152"/>
      <c r="AH847" s="152"/>
      <c r="AI847" s="152"/>
      <c r="AJ847" s="152"/>
      <c r="AK847" s="152"/>
      <c r="AL847" s="152"/>
      <c r="AM847" s="152"/>
      <c r="AN847" s="152"/>
      <c r="AO847" s="152"/>
      <c r="AP847" s="152"/>
      <c r="AQ847" s="152"/>
      <c r="AR847" s="152"/>
      <c r="AS847" s="152"/>
      <c r="AT847" s="152"/>
      <c r="AU847" s="152"/>
      <c r="AV847" s="152"/>
      <c r="AW847" s="152"/>
      <c r="AX847" s="152"/>
      <c r="AY847" s="152"/>
      <c r="AZ847" s="152"/>
      <c r="BA847" s="152"/>
      <c r="BB847" s="152"/>
      <c r="BC847" s="152"/>
    </row>
    <row r="848" customFormat="false" ht="15.75" hidden="false" customHeight="false" outlineLevel="0" collapsed="false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  <c r="AG848" s="152"/>
      <c r="AH848" s="152"/>
      <c r="AI848" s="152"/>
      <c r="AJ848" s="152"/>
      <c r="AK848" s="152"/>
      <c r="AL848" s="152"/>
      <c r="AM848" s="152"/>
      <c r="AN848" s="152"/>
      <c r="AO848" s="152"/>
      <c r="AP848" s="152"/>
      <c r="AQ848" s="152"/>
      <c r="AR848" s="152"/>
      <c r="AS848" s="152"/>
      <c r="AT848" s="152"/>
      <c r="AU848" s="152"/>
      <c r="AV848" s="152"/>
      <c r="AW848" s="152"/>
      <c r="AX848" s="152"/>
      <c r="AY848" s="152"/>
      <c r="AZ848" s="152"/>
      <c r="BA848" s="152"/>
      <c r="BB848" s="152"/>
      <c r="BC848" s="152"/>
    </row>
    <row r="849" customFormat="false" ht="15.75" hidden="false" customHeight="false" outlineLevel="0" collapsed="false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  <c r="AG849" s="152"/>
      <c r="AH849" s="152"/>
      <c r="AI849" s="152"/>
      <c r="AJ849" s="152"/>
      <c r="AK849" s="152"/>
      <c r="AL849" s="152"/>
      <c r="AM849" s="152"/>
      <c r="AN849" s="152"/>
      <c r="AO849" s="152"/>
      <c r="AP849" s="152"/>
      <c r="AQ849" s="152"/>
      <c r="AR849" s="152"/>
      <c r="AS849" s="152"/>
      <c r="AT849" s="152"/>
      <c r="AU849" s="152"/>
      <c r="AV849" s="152"/>
      <c r="AW849" s="152"/>
      <c r="AX849" s="152"/>
      <c r="AY849" s="152"/>
      <c r="AZ849" s="152"/>
      <c r="BA849" s="152"/>
      <c r="BB849" s="152"/>
      <c r="BC849" s="152"/>
    </row>
    <row r="850" customFormat="false" ht="15.75" hidden="false" customHeight="false" outlineLevel="0" collapsed="false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  <c r="AG850" s="152"/>
      <c r="AH850" s="152"/>
      <c r="AI850" s="152"/>
      <c r="AJ850" s="152"/>
      <c r="AK850" s="152"/>
      <c r="AL850" s="152"/>
      <c r="AM850" s="152"/>
      <c r="AN850" s="152"/>
      <c r="AO850" s="152"/>
      <c r="AP850" s="152"/>
      <c r="AQ850" s="152"/>
      <c r="AR850" s="152"/>
      <c r="AS850" s="152"/>
      <c r="AT850" s="152"/>
      <c r="AU850" s="152"/>
      <c r="AV850" s="152"/>
      <c r="AW850" s="152"/>
      <c r="AX850" s="152"/>
      <c r="AY850" s="152"/>
      <c r="AZ850" s="152"/>
      <c r="BA850" s="152"/>
      <c r="BB850" s="152"/>
      <c r="BC850" s="152"/>
    </row>
    <row r="851" customFormat="false" ht="15.75" hidden="false" customHeight="false" outlineLevel="0" collapsed="false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  <c r="AG851" s="152"/>
      <c r="AH851" s="152"/>
      <c r="AI851" s="152"/>
      <c r="AJ851" s="152"/>
      <c r="AK851" s="152"/>
      <c r="AL851" s="152"/>
      <c r="AM851" s="152"/>
      <c r="AN851" s="152"/>
      <c r="AO851" s="152"/>
      <c r="AP851" s="152"/>
      <c r="AQ851" s="152"/>
      <c r="AR851" s="152"/>
      <c r="AS851" s="152"/>
      <c r="AT851" s="152"/>
      <c r="AU851" s="152"/>
      <c r="AV851" s="152"/>
      <c r="AW851" s="152"/>
      <c r="AX851" s="152"/>
      <c r="AY851" s="152"/>
      <c r="AZ851" s="152"/>
      <c r="BA851" s="152"/>
      <c r="BB851" s="152"/>
      <c r="BC851" s="152"/>
    </row>
    <row r="852" customFormat="false" ht="15.75" hidden="false" customHeight="false" outlineLevel="0" collapsed="false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  <c r="AG852" s="152"/>
      <c r="AH852" s="152"/>
      <c r="AI852" s="152"/>
      <c r="AJ852" s="152"/>
      <c r="AK852" s="152"/>
      <c r="AL852" s="152"/>
      <c r="AM852" s="152"/>
      <c r="AN852" s="152"/>
      <c r="AO852" s="152"/>
      <c r="AP852" s="152"/>
      <c r="AQ852" s="152"/>
      <c r="AR852" s="152"/>
      <c r="AS852" s="152"/>
      <c r="AT852" s="152"/>
      <c r="AU852" s="152"/>
      <c r="AV852" s="152"/>
      <c r="AW852" s="152"/>
      <c r="AX852" s="152"/>
      <c r="AY852" s="152"/>
      <c r="AZ852" s="152"/>
      <c r="BA852" s="152"/>
      <c r="BB852" s="152"/>
      <c r="BC852" s="152"/>
    </row>
    <row r="853" customFormat="false" ht="15.75" hidden="false" customHeight="false" outlineLevel="0" collapsed="false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  <c r="AG853" s="152"/>
      <c r="AH853" s="152"/>
      <c r="AI853" s="152"/>
      <c r="AJ853" s="152"/>
      <c r="AK853" s="152"/>
      <c r="AL853" s="152"/>
      <c r="AM853" s="152"/>
      <c r="AN853" s="152"/>
      <c r="AO853" s="152"/>
      <c r="AP853" s="152"/>
      <c r="AQ853" s="152"/>
      <c r="AR853" s="152"/>
      <c r="AS853" s="152"/>
      <c r="AT853" s="152"/>
      <c r="AU853" s="152"/>
      <c r="AV853" s="152"/>
      <c r="AW853" s="152"/>
      <c r="AX853" s="152"/>
      <c r="AY853" s="152"/>
      <c r="AZ853" s="152"/>
      <c r="BA853" s="152"/>
      <c r="BB853" s="152"/>
      <c r="BC853" s="152"/>
    </row>
    <row r="854" customFormat="false" ht="15.75" hidden="false" customHeight="false" outlineLevel="0" collapsed="false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  <c r="AG854" s="152"/>
      <c r="AH854" s="152"/>
      <c r="AI854" s="152"/>
      <c r="AJ854" s="152"/>
      <c r="AK854" s="152"/>
      <c r="AL854" s="152"/>
      <c r="AM854" s="152"/>
      <c r="AN854" s="152"/>
      <c r="AO854" s="152"/>
      <c r="AP854" s="152"/>
      <c r="AQ854" s="152"/>
      <c r="AR854" s="152"/>
      <c r="AS854" s="152"/>
      <c r="AT854" s="152"/>
      <c r="AU854" s="152"/>
      <c r="AV854" s="152"/>
      <c r="AW854" s="152"/>
      <c r="AX854" s="152"/>
      <c r="AY854" s="152"/>
      <c r="AZ854" s="152"/>
      <c r="BA854" s="152"/>
      <c r="BB854" s="152"/>
      <c r="BC854" s="152"/>
    </row>
    <row r="855" customFormat="false" ht="15.75" hidden="false" customHeight="false" outlineLevel="0" collapsed="false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  <c r="AG855" s="152"/>
      <c r="AH855" s="152"/>
      <c r="AI855" s="152"/>
      <c r="AJ855" s="152"/>
      <c r="AK855" s="152"/>
      <c r="AL855" s="152"/>
      <c r="AM855" s="152"/>
      <c r="AN855" s="152"/>
      <c r="AO855" s="152"/>
      <c r="AP855" s="152"/>
      <c r="AQ855" s="152"/>
      <c r="AR855" s="152"/>
      <c r="AS855" s="152"/>
      <c r="AT855" s="152"/>
      <c r="AU855" s="152"/>
      <c r="AV855" s="152"/>
      <c r="AW855" s="152"/>
      <c r="AX855" s="152"/>
      <c r="AY855" s="152"/>
      <c r="AZ855" s="152"/>
      <c r="BA855" s="152"/>
      <c r="BB855" s="152"/>
      <c r="BC855" s="152"/>
    </row>
    <row r="856" customFormat="false" ht="15.75" hidden="false" customHeight="false" outlineLevel="0" collapsed="false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  <c r="AG856" s="152"/>
      <c r="AH856" s="152"/>
      <c r="AI856" s="152"/>
      <c r="AJ856" s="152"/>
      <c r="AK856" s="152"/>
      <c r="AL856" s="152"/>
      <c r="AM856" s="152"/>
      <c r="AN856" s="152"/>
      <c r="AO856" s="152"/>
      <c r="AP856" s="152"/>
      <c r="AQ856" s="152"/>
      <c r="AR856" s="152"/>
      <c r="AS856" s="152"/>
      <c r="AT856" s="152"/>
      <c r="AU856" s="152"/>
      <c r="AV856" s="152"/>
      <c r="AW856" s="152"/>
      <c r="AX856" s="152"/>
      <c r="AY856" s="152"/>
      <c r="AZ856" s="152"/>
      <c r="BA856" s="152"/>
      <c r="BB856" s="152"/>
      <c r="BC856" s="152"/>
    </row>
    <row r="857" customFormat="false" ht="15.75" hidden="false" customHeight="false" outlineLevel="0" collapsed="false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  <c r="AG857" s="152"/>
      <c r="AH857" s="152"/>
      <c r="AI857" s="152"/>
      <c r="AJ857" s="152"/>
      <c r="AK857" s="152"/>
      <c r="AL857" s="152"/>
      <c r="AM857" s="152"/>
      <c r="AN857" s="152"/>
      <c r="AO857" s="152"/>
      <c r="AP857" s="152"/>
      <c r="AQ857" s="152"/>
      <c r="AR857" s="152"/>
      <c r="AS857" s="152"/>
      <c r="AT857" s="152"/>
      <c r="AU857" s="152"/>
      <c r="AV857" s="152"/>
      <c r="AW857" s="152"/>
      <c r="AX857" s="152"/>
      <c r="AY857" s="152"/>
      <c r="AZ857" s="152"/>
      <c r="BA857" s="152"/>
      <c r="BB857" s="152"/>
      <c r="BC857" s="152"/>
    </row>
    <row r="858" customFormat="false" ht="15.75" hidden="false" customHeight="false" outlineLevel="0" collapsed="false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  <c r="AG858" s="152"/>
      <c r="AH858" s="152"/>
      <c r="AI858" s="152"/>
      <c r="AJ858" s="152"/>
      <c r="AK858" s="152"/>
      <c r="AL858" s="152"/>
      <c r="AM858" s="152"/>
      <c r="AN858" s="152"/>
      <c r="AO858" s="152"/>
      <c r="AP858" s="152"/>
      <c r="AQ858" s="152"/>
      <c r="AR858" s="152"/>
      <c r="AS858" s="152"/>
      <c r="AT858" s="152"/>
      <c r="AU858" s="152"/>
      <c r="AV858" s="152"/>
      <c r="AW858" s="152"/>
      <c r="AX858" s="152"/>
      <c r="AY858" s="152"/>
      <c r="AZ858" s="152"/>
      <c r="BA858" s="152"/>
      <c r="BB858" s="152"/>
      <c r="BC858" s="152"/>
    </row>
    <row r="859" customFormat="false" ht="15.75" hidden="false" customHeight="false" outlineLevel="0" collapsed="false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  <c r="AG859" s="152"/>
      <c r="AH859" s="152"/>
      <c r="AI859" s="152"/>
      <c r="AJ859" s="152"/>
      <c r="AK859" s="152"/>
      <c r="AL859" s="152"/>
      <c r="AM859" s="152"/>
      <c r="AN859" s="152"/>
      <c r="AO859" s="152"/>
      <c r="AP859" s="152"/>
      <c r="AQ859" s="152"/>
      <c r="AR859" s="152"/>
      <c r="AS859" s="152"/>
      <c r="AT859" s="152"/>
      <c r="AU859" s="152"/>
      <c r="AV859" s="152"/>
      <c r="AW859" s="152"/>
      <c r="AX859" s="152"/>
      <c r="AY859" s="152"/>
      <c r="AZ859" s="152"/>
      <c r="BA859" s="152"/>
      <c r="BB859" s="152"/>
      <c r="BC859" s="152"/>
    </row>
    <row r="860" customFormat="false" ht="15.75" hidden="false" customHeight="false" outlineLevel="0" collapsed="false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  <c r="AG860" s="152"/>
      <c r="AH860" s="152"/>
      <c r="AI860" s="152"/>
      <c r="AJ860" s="152"/>
      <c r="AK860" s="152"/>
      <c r="AL860" s="152"/>
      <c r="AM860" s="152"/>
      <c r="AN860" s="152"/>
      <c r="AO860" s="152"/>
      <c r="AP860" s="152"/>
      <c r="AQ860" s="152"/>
      <c r="AR860" s="152"/>
      <c r="AS860" s="152"/>
      <c r="AT860" s="152"/>
      <c r="AU860" s="152"/>
      <c r="AV860" s="152"/>
      <c r="AW860" s="152"/>
      <c r="AX860" s="152"/>
      <c r="AY860" s="152"/>
      <c r="AZ860" s="152"/>
      <c r="BA860" s="152"/>
      <c r="BB860" s="152"/>
      <c r="BC860" s="152"/>
    </row>
    <row r="861" customFormat="false" ht="15.75" hidden="false" customHeight="false" outlineLevel="0" collapsed="false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  <c r="AG861" s="152"/>
      <c r="AH861" s="152"/>
      <c r="AI861" s="152"/>
      <c r="AJ861" s="152"/>
      <c r="AK861" s="152"/>
      <c r="AL861" s="152"/>
      <c r="AM861" s="152"/>
      <c r="AN861" s="152"/>
      <c r="AO861" s="152"/>
      <c r="AP861" s="152"/>
      <c r="AQ861" s="152"/>
      <c r="AR861" s="152"/>
      <c r="AS861" s="152"/>
      <c r="AT861" s="152"/>
      <c r="AU861" s="152"/>
      <c r="AV861" s="152"/>
      <c r="AW861" s="152"/>
      <c r="AX861" s="152"/>
      <c r="AY861" s="152"/>
      <c r="AZ861" s="152"/>
      <c r="BA861" s="152"/>
      <c r="BB861" s="152"/>
      <c r="BC861" s="152"/>
    </row>
    <row r="862" customFormat="false" ht="15.75" hidden="false" customHeight="false" outlineLevel="0" collapsed="false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  <c r="AG862" s="152"/>
      <c r="AH862" s="152"/>
      <c r="AI862" s="152"/>
      <c r="AJ862" s="152"/>
      <c r="AK862" s="152"/>
      <c r="AL862" s="152"/>
      <c r="AM862" s="152"/>
      <c r="AN862" s="152"/>
      <c r="AO862" s="152"/>
      <c r="AP862" s="152"/>
      <c r="AQ862" s="152"/>
      <c r="AR862" s="152"/>
      <c r="AS862" s="152"/>
      <c r="AT862" s="152"/>
      <c r="AU862" s="152"/>
      <c r="AV862" s="152"/>
      <c r="AW862" s="152"/>
      <c r="AX862" s="152"/>
      <c r="AY862" s="152"/>
      <c r="AZ862" s="152"/>
      <c r="BA862" s="152"/>
      <c r="BB862" s="152"/>
      <c r="BC862" s="152"/>
    </row>
    <row r="863" customFormat="false" ht="15.75" hidden="false" customHeight="false" outlineLevel="0" collapsed="false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  <c r="AG863" s="152"/>
      <c r="AH863" s="152"/>
      <c r="AI863" s="152"/>
      <c r="AJ863" s="152"/>
      <c r="AK863" s="152"/>
      <c r="AL863" s="152"/>
      <c r="AM863" s="152"/>
      <c r="AN863" s="152"/>
      <c r="AO863" s="152"/>
      <c r="AP863" s="152"/>
      <c r="AQ863" s="152"/>
      <c r="AR863" s="152"/>
      <c r="AS863" s="152"/>
      <c r="AT863" s="152"/>
      <c r="AU863" s="152"/>
      <c r="AV863" s="152"/>
      <c r="AW863" s="152"/>
      <c r="AX863" s="152"/>
      <c r="AY863" s="152"/>
      <c r="AZ863" s="152"/>
      <c r="BA863" s="152"/>
      <c r="BB863" s="152"/>
      <c r="BC863" s="152"/>
    </row>
    <row r="864" customFormat="false" ht="15.75" hidden="false" customHeight="false" outlineLevel="0" collapsed="false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  <c r="AG864" s="152"/>
      <c r="AH864" s="152"/>
      <c r="AI864" s="152"/>
      <c r="AJ864" s="152"/>
      <c r="AK864" s="152"/>
      <c r="AL864" s="152"/>
      <c r="AM864" s="152"/>
      <c r="AN864" s="152"/>
      <c r="AO864" s="152"/>
      <c r="AP864" s="152"/>
      <c r="AQ864" s="152"/>
      <c r="AR864" s="152"/>
      <c r="AS864" s="152"/>
      <c r="AT864" s="152"/>
      <c r="AU864" s="152"/>
      <c r="AV864" s="152"/>
      <c r="AW864" s="152"/>
      <c r="AX864" s="152"/>
      <c r="AY864" s="152"/>
      <c r="AZ864" s="152"/>
      <c r="BA864" s="152"/>
      <c r="BB864" s="152"/>
      <c r="BC864" s="152"/>
    </row>
    <row r="865" customFormat="false" ht="15.75" hidden="false" customHeight="false" outlineLevel="0" collapsed="false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  <c r="AG865" s="152"/>
      <c r="AH865" s="152"/>
      <c r="AI865" s="152"/>
      <c r="AJ865" s="152"/>
      <c r="AK865" s="152"/>
      <c r="AL865" s="152"/>
      <c r="AM865" s="152"/>
      <c r="AN865" s="152"/>
      <c r="AO865" s="152"/>
      <c r="AP865" s="152"/>
      <c r="AQ865" s="152"/>
      <c r="AR865" s="152"/>
      <c r="AS865" s="152"/>
      <c r="AT865" s="152"/>
      <c r="AU865" s="152"/>
      <c r="AV865" s="152"/>
      <c r="AW865" s="152"/>
      <c r="AX865" s="152"/>
      <c r="AY865" s="152"/>
      <c r="AZ865" s="152"/>
      <c r="BA865" s="152"/>
      <c r="BB865" s="152"/>
      <c r="BC865" s="152"/>
    </row>
    <row r="866" customFormat="false" ht="15.75" hidden="false" customHeight="false" outlineLevel="0" collapsed="false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  <c r="AG866" s="152"/>
      <c r="AH866" s="152"/>
      <c r="AI866" s="152"/>
      <c r="AJ866" s="152"/>
      <c r="AK866" s="152"/>
      <c r="AL866" s="152"/>
      <c r="AM866" s="152"/>
      <c r="AN866" s="152"/>
      <c r="AO866" s="152"/>
      <c r="AP866" s="152"/>
      <c r="AQ866" s="152"/>
      <c r="AR866" s="152"/>
      <c r="AS866" s="152"/>
      <c r="AT866" s="152"/>
      <c r="AU866" s="152"/>
      <c r="AV866" s="152"/>
      <c r="AW866" s="152"/>
      <c r="AX866" s="152"/>
      <c r="AY866" s="152"/>
      <c r="AZ866" s="152"/>
      <c r="BA866" s="152"/>
      <c r="BB866" s="152"/>
      <c r="BC866" s="152"/>
    </row>
    <row r="867" customFormat="false" ht="15.75" hidden="false" customHeight="false" outlineLevel="0" collapsed="false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  <c r="AG867" s="152"/>
      <c r="AH867" s="152"/>
      <c r="AI867" s="152"/>
      <c r="AJ867" s="152"/>
      <c r="AK867" s="152"/>
      <c r="AL867" s="152"/>
      <c r="AM867" s="152"/>
      <c r="AN867" s="152"/>
      <c r="AO867" s="152"/>
      <c r="AP867" s="152"/>
      <c r="AQ867" s="152"/>
      <c r="AR867" s="152"/>
      <c r="AS867" s="152"/>
      <c r="AT867" s="152"/>
      <c r="AU867" s="152"/>
      <c r="AV867" s="152"/>
      <c r="AW867" s="152"/>
      <c r="AX867" s="152"/>
      <c r="AY867" s="152"/>
      <c r="AZ867" s="152"/>
      <c r="BA867" s="152"/>
      <c r="BB867" s="152"/>
      <c r="BC867" s="152"/>
    </row>
    <row r="868" customFormat="false" ht="15.75" hidden="false" customHeight="false" outlineLevel="0" collapsed="false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  <c r="AG868" s="152"/>
      <c r="AH868" s="152"/>
      <c r="AI868" s="152"/>
      <c r="AJ868" s="152"/>
      <c r="AK868" s="152"/>
      <c r="AL868" s="152"/>
      <c r="AM868" s="152"/>
      <c r="AN868" s="152"/>
      <c r="AO868" s="152"/>
      <c r="AP868" s="152"/>
      <c r="AQ868" s="152"/>
      <c r="AR868" s="152"/>
      <c r="AS868" s="152"/>
      <c r="AT868" s="152"/>
      <c r="AU868" s="152"/>
      <c r="AV868" s="152"/>
      <c r="AW868" s="152"/>
      <c r="AX868" s="152"/>
      <c r="AY868" s="152"/>
      <c r="AZ868" s="152"/>
      <c r="BA868" s="152"/>
      <c r="BB868" s="152"/>
      <c r="BC868" s="152"/>
    </row>
    <row r="869" customFormat="false" ht="15.75" hidden="false" customHeight="false" outlineLevel="0" collapsed="false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  <c r="AG869" s="152"/>
      <c r="AH869" s="152"/>
      <c r="AI869" s="152"/>
      <c r="AJ869" s="152"/>
      <c r="AK869" s="152"/>
      <c r="AL869" s="152"/>
      <c r="AM869" s="152"/>
      <c r="AN869" s="152"/>
      <c r="AO869" s="152"/>
      <c r="AP869" s="152"/>
      <c r="AQ869" s="152"/>
      <c r="AR869" s="152"/>
      <c r="AS869" s="152"/>
      <c r="AT869" s="152"/>
      <c r="AU869" s="152"/>
      <c r="AV869" s="152"/>
      <c r="AW869" s="152"/>
      <c r="AX869" s="152"/>
      <c r="AY869" s="152"/>
      <c r="AZ869" s="152"/>
      <c r="BA869" s="152"/>
      <c r="BB869" s="152"/>
      <c r="BC869" s="152"/>
    </row>
    <row r="870" customFormat="false" ht="15.75" hidden="false" customHeight="false" outlineLevel="0" collapsed="false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  <c r="AG870" s="152"/>
      <c r="AH870" s="152"/>
      <c r="AI870" s="152"/>
      <c r="AJ870" s="152"/>
      <c r="AK870" s="152"/>
      <c r="AL870" s="152"/>
      <c r="AM870" s="152"/>
      <c r="AN870" s="152"/>
      <c r="AO870" s="152"/>
      <c r="AP870" s="152"/>
      <c r="AQ870" s="152"/>
      <c r="AR870" s="152"/>
      <c r="AS870" s="152"/>
      <c r="AT870" s="152"/>
      <c r="AU870" s="152"/>
      <c r="AV870" s="152"/>
      <c r="AW870" s="152"/>
      <c r="AX870" s="152"/>
      <c r="AY870" s="152"/>
      <c r="AZ870" s="152"/>
      <c r="BA870" s="152"/>
      <c r="BB870" s="152"/>
      <c r="BC870" s="152"/>
    </row>
    <row r="871" customFormat="false" ht="15.75" hidden="false" customHeight="false" outlineLevel="0" collapsed="false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  <c r="AG871" s="152"/>
      <c r="AH871" s="152"/>
      <c r="AI871" s="152"/>
      <c r="AJ871" s="152"/>
      <c r="AK871" s="152"/>
      <c r="AL871" s="152"/>
      <c r="AM871" s="152"/>
      <c r="AN871" s="152"/>
      <c r="AO871" s="152"/>
      <c r="AP871" s="152"/>
      <c r="AQ871" s="152"/>
      <c r="AR871" s="152"/>
      <c r="AS871" s="152"/>
      <c r="AT871" s="152"/>
      <c r="AU871" s="152"/>
      <c r="AV871" s="152"/>
      <c r="AW871" s="152"/>
      <c r="AX871" s="152"/>
      <c r="AY871" s="152"/>
      <c r="AZ871" s="152"/>
      <c r="BA871" s="152"/>
      <c r="BB871" s="152"/>
      <c r="BC871" s="152"/>
    </row>
    <row r="872" customFormat="false" ht="15.75" hidden="false" customHeight="false" outlineLevel="0" collapsed="false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  <c r="AG872" s="152"/>
      <c r="AH872" s="152"/>
      <c r="AI872" s="152"/>
      <c r="AJ872" s="152"/>
      <c r="AK872" s="152"/>
      <c r="AL872" s="152"/>
      <c r="AM872" s="152"/>
      <c r="AN872" s="152"/>
      <c r="AO872" s="152"/>
      <c r="AP872" s="152"/>
      <c r="AQ872" s="152"/>
      <c r="AR872" s="152"/>
      <c r="AS872" s="152"/>
      <c r="AT872" s="152"/>
      <c r="AU872" s="152"/>
      <c r="AV872" s="152"/>
      <c r="AW872" s="152"/>
      <c r="AX872" s="152"/>
      <c r="AY872" s="152"/>
      <c r="AZ872" s="152"/>
      <c r="BA872" s="152"/>
      <c r="BB872" s="152"/>
      <c r="BC872" s="152"/>
    </row>
    <row r="873" customFormat="false" ht="15.75" hidden="false" customHeight="false" outlineLevel="0" collapsed="false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  <c r="AG873" s="152"/>
      <c r="AH873" s="152"/>
      <c r="AI873" s="152"/>
      <c r="AJ873" s="152"/>
      <c r="AK873" s="152"/>
      <c r="AL873" s="152"/>
      <c r="AM873" s="152"/>
      <c r="AN873" s="152"/>
      <c r="AO873" s="152"/>
      <c r="AP873" s="152"/>
      <c r="AQ873" s="152"/>
      <c r="AR873" s="152"/>
      <c r="AS873" s="152"/>
      <c r="AT873" s="152"/>
      <c r="AU873" s="152"/>
      <c r="AV873" s="152"/>
      <c r="AW873" s="152"/>
      <c r="AX873" s="152"/>
      <c r="AY873" s="152"/>
      <c r="AZ873" s="152"/>
      <c r="BA873" s="152"/>
      <c r="BB873" s="152"/>
      <c r="BC873" s="152"/>
    </row>
    <row r="874" customFormat="false" ht="15.75" hidden="false" customHeight="false" outlineLevel="0" collapsed="false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  <c r="AG874" s="152"/>
      <c r="AH874" s="152"/>
      <c r="AI874" s="152"/>
      <c r="AJ874" s="152"/>
      <c r="AK874" s="152"/>
      <c r="AL874" s="152"/>
      <c r="AM874" s="152"/>
      <c r="AN874" s="152"/>
      <c r="AO874" s="152"/>
      <c r="AP874" s="152"/>
      <c r="AQ874" s="152"/>
      <c r="AR874" s="152"/>
      <c r="AS874" s="152"/>
      <c r="AT874" s="152"/>
      <c r="AU874" s="152"/>
      <c r="AV874" s="152"/>
      <c r="AW874" s="152"/>
      <c r="AX874" s="152"/>
      <c r="AY874" s="152"/>
      <c r="AZ874" s="152"/>
      <c r="BA874" s="152"/>
      <c r="BB874" s="152"/>
      <c r="BC874" s="152"/>
    </row>
    <row r="875" customFormat="false" ht="15.75" hidden="false" customHeight="false" outlineLevel="0" collapsed="false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  <c r="AG875" s="152"/>
      <c r="AH875" s="152"/>
      <c r="AI875" s="152"/>
      <c r="AJ875" s="152"/>
      <c r="AK875" s="152"/>
      <c r="AL875" s="152"/>
      <c r="AM875" s="152"/>
      <c r="AN875" s="152"/>
      <c r="AO875" s="152"/>
      <c r="AP875" s="152"/>
      <c r="AQ875" s="152"/>
      <c r="AR875" s="152"/>
      <c r="AS875" s="152"/>
      <c r="AT875" s="152"/>
      <c r="AU875" s="152"/>
      <c r="AV875" s="152"/>
      <c r="AW875" s="152"/>
      <c r="AX875" s="152"/>
      <c r="AY875" s="152"/>
      <c r="AZ875" s="152"/>
      <c r="BA875" s="152"/>
      <c r="BB875" s="152"/>
      <c r="BC875" s="152"/>
    </row>
    <row r="876" customFormat="false" ht="15.75" hidden="false" customHeight="false" outlineLevel="0" collapsed="false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  <c r="AG876" s="152"/>
      <c r="AH876" s="152"/>
      <c r="AI876" s="152"/>
      <c r="AJ876" s="152"/>
      <c r="AK876" s="152"/>
      <c r="AL876" s="152"/>
      <c r="AM876" s="152"/>
      <c r="AN876" s="152"/>
      <c r="AO876" s="152"/>
      <c r="AP876" s="152"/>
      <c r="AQ876" s="152"/>
      <c r="AR876" s="152"/>
      <c r="AS876" s="152"/>
      <c r="AT876" s="152"/>
      <c r="AU876" s="152"/>
      <c r="AV876" s="152"/>
      <c r="AW876" s="152"/>
      <c r="AX876" s="152"/>
      <c r="AY876" s="152"/>
      <c r="AZ876" s="152"/>
      <c r="BA876" s="152"/>
      <c r="BB876" s="152"/>
      <c r="BC876" s="152"/>
    </row>
    <row r="877" customFormat="false" ht="15.75" hidden="false" customHeight="false" outlineLevel="0" collapsed="false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  <c r="AG877" s="152"/>
      <c r="AH877" s="152"/>
      <c r="AI877" s="152"/>
      <c r="AJ877" s="152"/>
      <c r="AK877" s="152"/>
      <c r="AL877" s="152"/>
      <c r="AM877" s="152"/>
      <c r="AN877" s="152"/>
      <c r="AO877" s="152"/>
      <c r="AP877" s="152"/>
      <c r="AQ877" s="152"/>
      <c r="AR877" s="152"/>
      <c r="AS877" s="152"/>
      <c r="AT877" s="152"/>
      <c r="AU877" s="152"/>
      <c r="AV877" s="152"/>
      <c r="AW877" s="152"/>
      <c r="AX877" s="152"/>
      <c r="AY877" s="152"/>
      <c r="AZ877" s="152"/>
      <c r="BA877" s="152"/>
      <c r="BB877" s="152"/>
      <c r="BC877" s="152"/>
    </row>
    <row r="878" customFormat="false" ht="15.75" hidden="false" customHeight="false" outlineLevel="0" collapsed="false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  <c r="AG878" s="152"/>
      <c r="AH878" s="152"/>
      <c r="AI878" s="152"/>
      <c r="AJ878" s="152"/>
      <c r="AK878" s="152"/>
      <c r="AL878" s="152"/>
      <c r="AM878" s="152"/>
      <c r="AN878" s="152"/>
      <c r="AO878" s="152"/>
      <c r="AP878" s="152"/>
      <c r="AQ878" s="152"/>
      <c r="AR878" s="152"/>
      <c r="AS878" s="152"/>
      <c r="AT878" s="152"/>
      <c r="AU878" s="152"/>
      <c r="AV878" s="152"/>
      <c r="AW878" s="152"/>
      <c r="AX878" s="152"/>
      <c r="AY878" s="152"/>
      <c r="AZ878" s="152"/>
      <c r="BA878" s="152"/>
      <c r="BB878" s="152"/>
      <c r="BC878" s="152"/>
    </row>
    <row r="879" customFormat="false" ht="15.75" hidden="false" customHeight="false" outlineLevel="0" collapsed="false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  <c r="AG879" s="152"/>
      <c r="AH879" s="152"/>
      <c r="AI879" s="152"/>
      <c r="AJ879" s="152"/>
      <c r="AK879" s="152"/>
      <c r="AL879" s="152"/>
      <c r="AM879" s="152"/>
      <c r="AN879" s="152"/>
      <c r="AO879" s="152"/>
      <c r="AP879" s="152"/>
      <c r="AQ879" s="152"/>
      <c r="AR879" s="152"/>
      <c r="AS879" s="152"/>
      <c r="AT879" s="152"/>
      <c r="AU879" s="152"/>
      <c r="AV879" s="152"/>
      <c r="AW879" s="152"/>
      <c r="AX879" s="152"/>
      <c r="AY879" s="152"/>
      <c r="AZ879" s="152"/>
      <c r="BA879" s="152"/>
      <c r="BB879" s="152"/>
      <c r="BC879" s="152"/>
    </row>
    <row r="880" customFormat="false" ht="15.75" hidden="false" customHeight="false" outlineLevel="0" collapsed="false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  <c r="AG880" s="152"/>
      <c r="AH880" s="152"/>
      <c r="AI880" s="152"/>
      <c r="AJ880" s="152"/>
      <c r="AK880" s="152"/>
      <c r="AL880" s="152"/>
      <c r="AM880" s="152"/>
      <c r="AN880" s="152"/>
      <c r="AO880" s="152"/>
      <c r="AP880" s="152"/>
      <c r="AQ880" s="152"/>
      <c r="AR880" s="152"/>
      <c r="AS880" s="152"/>
      <c r="AT880" s="152"/>
      <c r="AU880" s="152"/>
      <c r="AV880" s="152"/>
      <c r="AW880" s="152"/>
      <c r="AX880" s="152"/>
      <c r="AY880" s="152"/>
      <c r="AZ880" s="152"/>
      <c r="BA880" s="152"/>
      <c r="BB880" s="152"/>
      <c r="BC880" s="152"/>
    </row>
    <row r="881" customFormat="false" ht="15.75" hidden="false" customHeight="false" outlineLevel="0" collapsed="false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  <c r="AG881" s="152"/>
      <c r="AH881" s="152"/>
      <c r="AI881" s="152"/>
      <c r="AJ881" s="152"/>
      <c r="AK881" s="152"/>
      <c r="AL881" s="152"/>
      <c r="AM881" s="152"/>
      <c r="AN881" s="152"/>
      <c r="AO881" s="152"/>
      <c r="AP881" s="152"/>
      <c r="AQ881" s="152"/>
      <c r="AR881" s="152"/>
      <c r="AS881" s="152"/>
      <c r="AT881" s="152"/>
      <c r="AU881" s="152"/>
      <c r="AV881" s="152"/>
      <c r="AW881" s="152"/>
      <c r="AX881" s="152"/>
      <c r="AY881" s="152"/>
      <c r="AZ881" s="152"/>
      <c r="BA881" s="152"/>
      <c r="BB881" s="152"/>
      <c r="BC881" s="152"/>
    </row>
    <row r="882" customFormat="false" ht="15.75" hidden="false" customHeight="false" outlineLevel="0" collapsed="false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  <c r="AG882" s="152"/>
      <c r="AH882" s="152"/>
      <c r="AI882" s="152"/>
      <c r="AJ882" s="152"/>
      <c r="AK882" s="152"/>
      <c r="AL882" s="152"/>
      <c r="AM882" s="152"/>
      <c r="AN882" s="152"/>
      <c r="AO882" s="152"/>
      <c r="AP882" s="152"/>
      <c r="AQ882" s="152"/>
      <c r="AR882" s="152"/>
      <c r="AS882" s="152"/>
      <c r="AT882" s="152"/>
      <c r="AU882" s="152"/>
      <c r="AV882" s="152"/>
      <c r="AW882" s="152"/>
      <c r="AX882" s="152"/>
      <c r="AY882" s="152"/>
      <c r="AZ882" s="152"/>
      <c r="BA882" s="152"/>
      <c r="BB882" s="152"/>
      <c r="BC882" s="152"/>
    </row>
    <row r="883" customFormat="false" ht="15.75" hidden="false" customHeight="false" outlineLevel="0" collapsed="false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  <c r="AG883" s="152"/>
      <c r="AH883" s="152"/>
      <c r="AI883" s="152"/>
      <c r="AJ883" s="152"/>
      <c r="AK883" s="152"/>
      <c r="AL883" s="152"/>
      <c r="AM883" s="152"/>
      <c r="AN883" s="152"/>
      <c r="AO883" s="152"/>
      <c r="AP883" s="152"/>
      <c r="AQ883" s="152"/>
      <c r="AR883" s="152"/>
      <c r="AS883" s="152"/>
      <c r="AT883" s="152"/>
      <c r="AU883" s="152"/>
      <c r="AV883" s="152"/>
      <c r="AW883" s="152"/>
      <c r="AX883" s="152"/>
      <c r="AY883" s="152"/>
      <c r="AZ883" s="152"/>
      <c r="BA883" s="152"/>
      <c r="BB883" s="152"/>
      <c r="BC883" s="152"/>
    </row>
    <row r="884" customFormat="false" ht="15.75" hidden="false" customHeight="false" outlineLevel="0" collapsed="false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  <c r="AG884" s="152"/>
      <c r="AH884" s="152"/>
      <c r="AI884" s="152"/>
      <c r="AJ884" s="152"/>
      <c r="AK884" s="152"/>
      <c r="AL884" s="152"/>
      <c r="AM884" s="152"/>
      <c r="AN884" s="152"/>
      <c r="AO884" s="152"/>
      <c r="AP884" s="152"/>
      <c r="AQ884" s="152"/>
      <c r="AR884" s="152"/>
      <c r="AS884" s="152"/>
      <c r="AT884" s="152"/>
      <c r="AU884" s="152"/>
      <c r="AV884" s="152"/>
      <c r="AW884" s="152"/>
      <c r="AX884" s="152"/>
      <c r="AY884" s="152"/>
      <c r="AZ884" s="152"/>
      <c r="BA884" s="152"/>
      <c r="BB884" s="152"/>
      <c r="BC884" s="152"/>
    </row>
    <row r="885" customFormat="false" ht="15.75" hidden="false" customHeight="false" outlineLevel="0" collapsed="false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  <c r="AG885" s="152"/>
      <c r="AH885" s="152"/>
      <c r="AI885" s="152"/>
      <c r="AJ885" s="152"/>
      <c r="AK885" s="152"/>
      <c r="AL885" s="152"/>
      <c r="AM885" s="152"/>
      <c r="AN885" s="152"/>
      <c r="AO885" s="152"/>
      <c r="AP885" s="152"/>
      <c r="AQ885" s="152"/>
      <c r="AR885" s="152"/>
      <c r="AS885" s="152"/>
      <c r="AT885" s="152"/>
      <c r="AU885" s="152"/>
      <c r="AV885" s="152"/>
      <c r="AW885" s="152"/>
      <c r="AX885" s="152"/>
      <c r="AY885" s="152"/>
      <c r="AZ885" s="152"/>
      <c r="BA885" s="152"/>
      <c r="BB885" s="152"/>
      <c r="BC885" s="152"/>
    </row>
    <row r="886" customFormat="false" ht="15.75" hidden="false" customHeight="false" outlineLevel="0" collapsed="false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  <c r="AG886" s="152"/>
      <c r="AH886" s="152"/>
      <c r="AI886" s="152"/>
      <c r="AJ886" s="152"/>
      <c r="AK886" s="152"/>
      <c r="AL886" s="152"/>
      <c r="AM886" s="152"/>
      <c r="AN886" s="152"/>
      <c r="AO886" s="152"/>
      <c r="AP886" s="152"/>
      <c r="AQ886" s="152"/>
      <c r="AR886" s="152"/>
      <c r="AS886" s="152"/>
      <c r="AT886" s="152"/>
      <c r="AU886" s="152"/>
      <c r="AV886" s="152"/>
      <c r="AW886" s="152"/>
      <c r="AX886" s="152"/>
      <c r="AY886" s="152"/>
      <c r="AZ886" s="152"/>
      <c r="BA886" s="152"/>
      <c r="BB886" s="152"/>
      <c r="BC886" s="152"/>
    </row>
    <row r="887" customFormat="false" ht="15.75" hidden="false" customHeight="false" outlineLevel="0" collapsed="false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2"/>
      <c r="AI887" s="152"/>
      <c r="AJ887" s="152"/>
      <c r="AK887" s="152"/>
      <c r="AL887" s="152"/>
      <c r="AM887" s="152"/>
      <c r="AN887" s="152"/>
      <c r="AO887" s="152"/>
      <c r="AP887" s="152"/>
      <c r="AQ887" s="152"/>
      <c r="AR887" s="152"/>
      <c r="AS887" s="152"/>
      <c r="AT887" s="152"/>
      <c r="AU887" s="152"/>
      <c r="AV887" s="152"/>
      <c r="AW887" s="152"/>
      <c r="AX887" s="152"/>
      <c r="AY887" s="152"/>
      <c r="AZ887" s="152"/>
      <c r="BA887" s="152"/>
      <c r="BB887" s="152"/>
      <c r="BC887" s="152"/>
    </row>
    <row r="888" customFormat="false" ht="15.75" hidden="false" customHeight="false" outlineLevel="0" collapsed="false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  <c r="AG888" s="152"/>
      <c r="AH888" s="152"/>
      <c r="AI888" s="152"/>
      <c r="AJ888" s="152"/>
      <c r="AK888" s="152"/>
      <c r="AL888" s="152"/>
      <c r="AM888" s="152"/>
      <c r="AN888" s="152"/>
      <c r="AO888" s="152"/>
      <c r="AP888" s="152"/>
      <c r="AQ888" s="152"/>
      <c r="AR888" s="152"/>
      <c r="AS888" s="152"/>
      <c r="AT888" s="152"/>
      <c r="AU888" s="152"/>
      <c r="AV888" s="152"/>
      <c r="AW888" s="152"/>
      <c r="AX888" s="152"/>
      <c r="AY888" s="152"/>
      <c r="AZ888" s="152"/>
      <c r="BA888" s="152"/>
      <c r="BB888" s="152"/>
      <c r="BC888" s="152"/>
    </row>
    <row r="889" customFormat="false" ht="15.75" hidden="false" customHeight="false" outlineLevel="0" collapsed="false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  <c r="AG889" s="152"/>
      <c r="AH889" s="152"/>
      <c r="AI889" s="152"/>
      <c r="AJ889" s="152"/>
      <c r="AK889" s="152"/>
      <c r="AL889" s="152"/>
      <c r="AM889" s="152"/>
      <c r="AN889" s="152"/>
      <c r="AO889" s="152"/>
      <c r="AP889" s="152"/>
      <c r="AQ889" s="152"/>
      <c r="AR889" s="152"/>
      <c r="AS889" s="152"/>
      <c r="AT889" s="152"/>
      <c r="AU889" s="152"/>
      <c r="AV889" s="152"/>
      <c r="AW889" s="152"/>
      <c r="AX889" s="152"/>
      <c r="AY889" s="152"/>
      <c r="AZ889" s="152"/>
      <c r="BA889" s="152"/>
      <c r="BB889" s="152"/>
      <c r="BC889" s="152"/>
    </row>
    <row r="890" customFormat="false" ht="15.75" hidden="false" customHeight="false" outlineLevel="0" collapsed="false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  <c r="AG890" s="152"/>
      <c r="AH890" s="152"/>
      <c r="AI890" s="152"/>
      <c r="AJ890" s="152"/>
      <c r="AK890" s="152"/>
      <c r="AL890" s="152"/>
      <c r="AM890" s="152"/>
      <c r="AN890" s="152"/>
      <c r="AO890" s="152"/>
      <c r="AP890" s="152"/>
      <c r="AQ890" s="152"/>
      <c r="AR890" s="152"/>
      <c r="AS890" s="152"/>
      <c r="AT890" s="152"/>
      <c r="AU890" s="152"/>
      <c r="AV890" s="152"/>
      <c r="AW890" s="152"/>
      <c r="AX890" s="152"/>
      <c r="AY890" s="152"/>
      <c r="AZ890" s="152"/>
      <c r="BA890" s="152"/>
      <c r="BB890" s="152"/>
      <c r="BC890" s="152"/>
    </row>
    <row r="891" customFormat="false" ht="15.75" hidden="false" customHeight="false" outlineLevel="0" collapsed="false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  <c r="AG891" s="152"/>
      <c r="AH891" s="152"/>
      <c r="AI891" s="152"/>
      <c r="AJ891" s="152"/>
      <c r="AK891" s="152"/>
      <c r="AL891" s="152"/>
      <c r="AM891" s="152"/>
      <c r="AN891" s="152"/>
      <c r="AO891" s="152"/>
      <c r="AP891" s="152"/>
      <c r="AQ891" s="152"/>
      <c r="AR891" s="152"/>
      <c r="AS891" s="152"/>
      <c r="AT891" s="152"/>
      <c r="AU891" s="152"/>
      <c r="AV891" s="152"/>
      <c r="AW891" s="152"/>
      <c r="AX891" s="152"/>
      <c r="AY891" s="152"/>
      <c r="AZ891" s="152"/>
      <c r="BA891" s="152"/>
      <c r="BB891" s="152"/>
      <c r="BC891" s="152"/>
    </row>
    <row r="892" customFormat="false" ht="15.75" hidden="false" customHeight="false" outlineLevel="0" collapsed="false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  <c r="AG892" s="152"/>
      <c r="AH892" s="152"/>
      <c r="AI892" s="152"/>
      <c r="AJ892" s="152"/>
      <c r="AK892" s="152"/>
      <c r="AL892" s="152"/>
      <c r="AM892" s="152"/>
      <c r="AN892" s="152"/>
      <c r="AO892" s="152"/>
      <c r="AP892" s="152"/>
      <c r="AQ892" s="152"/>
      <c r="AR892" s="152"/>
      <c r="AS892" s="152"/>
      <c r="AT892" s="152"/>
      <c r="AU892" s="152"/>
      <c r="AV892" s="152"/>
      <c r="AW892" s="152"/>
      <c r="AX892" s="152"/>
      <c r="AY892" s="152"/>
      <c r="AZ892" s="152"/>
      <c r="BA892" s="152"/>
      <c r="BB892" s="152"/>
      <c r="BC892" s="152"/>
    </row>
    <row r="893" customFormat="false" ht="15.75" hidden="false" customHeight="false" outlineLevel="0" collapsed="false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  <c r="AG893" s="152"/>
      <c r="AH893" s="152"/>
      <c r="AI893" s="152"/>
      <c r="AJ893" s="152"/>
      <c r="AK893" s="152"/>
      <c r="AL893" s="152"/>
      <c r="AM893" s="152"/>
      <c r="AN893" s="152"/>
      <c r="AO893" s="152"/>
      <c r="AP893" s="152"/>
      <c r="AQ893" s="152"/>
      <c r="AR893" s="152"/>
      <c r="AS893" s="152"/>
      <c r="AT893" s="152"/>
      <c r="AU893" s="152"/>
      <c r="AV893" s="152"/>
      <c r="AW893" s="152"/>
      <c r="AX893" s="152"/>
      <c r="AY893" s="152"/>
      <c r="AZ893" s="152"/>
      <c r="BA893" s="152"/>
      <c r="BB893" s="152"/>
      <c r="BC893" s="152"/>
    </row>
    <row r="894" customFormat="false" ht="15.75" hidden="false" customHeight="false" outlineLevel="0" collapsed="false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  <c r="AG894" s="152"/>
      <c r="AH894" s="152"/>
      <c r="AI894" s="152"/>
      <c r="AJ894" s="152"/>
      <c r="AK894" s="152"/>
      <c r="AL894" s="152"/>
      <c r="AM894" s="152"/>
      <c r="AN894" s="152"/>
      <c r="AO894" s="152"/>
      <c r="AP894" s="152"/>
      <c r="AQ894" s="152"/>
      <c r="AR894" s="152"/>
      <c r="AS894" s="152"/>
      <c r="AT894" s="152"/>
      <c r="AU894" s="152"/>
      <c r="AV894" s="152"/>
      <c r="AW894" s="152"/>
      <c r="AX894" s="152"/>
      <c r="AY894" s="152"/>
      <c r="AZ894" s="152"/>
      <c r="BA894" s="152"/>
      <c r="BB894" s="152"/>
      <c r="BC894" s="152"/>
    </row>
    <row r="895" customFormat="false" ht="15.75" hidden="false" customHeight="false" outlineLevel="0" collapsed="false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  <c r="AG895" s="152"/>
      <c r="AH895" s="152"/>
      <c r="AI895" s="152"/>
      <c r="AJ895" s="152"/>
      <c r="AK895" s="152"/>
      <c r="AL895" s="152"/>
      <c r="AM895" s="152"/>
      <c r="AN895" s="152"/>
      <c r="AO895" s="152"/>
      <c r="AP895" s="152"/>
      <c r="AQ895" s="152"/>
      <c r="AR895" s="152"/>
      <c r="AS895" s="152"/>
      <c r="AT895" s="152"/>
      <c r="AU895" s="152"/>
      <c r="AV895" s="152"/>
      <c r="AW895" s="152"/>
      <c r="AX895" s="152"/>
      <c r="AY895" s="152"/>
      <c r="AZ895" s="152"/>
      <c r="BA895" s="152"/>
      <c r="BB895" s="152"/>
      <c r="BC895" s="152"/>
    </row>
    <row r="896" customFormat="false" ht="15.75" hidden="false" customHeight="false" outlineLevel="0" collapsed="false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  <c r="AG896" s="152"/>
      <c r="AH896" s="152"/>
      <c r="AI896" s="152"/>
      <c r="AJ896" s="152"/>
      <c r="AK896" s="152"/>
      <c r="AL896" s="152"/>
      <c r="AM896" s="152"/>
      <c r="AN896" s="152"/>
      <c r="AO896" s="152"/>
      <c r="AP896" s="152"/>
      <c r="AQ896" s="152"/>
      <c r="AR896" s="152"/>
      <c r="AS896" s="152"/>
      <c r="AT896" s="152"/>
      <c r="AU896" s="152"/>
      <c r="AV896" s="152"/>
      <c r="AW896" s="152"/>
      <c r="AX896" s="152"/>
      <c r="AY896" s="152"/>
      <c r="AZ896" s="152"/>
      <c r="BA896" s="152"/>
      <c r="BB896" s="152"/>
      <c r="BC896" s="152"/>
    </row>
    <row r="897" customFormat="false" ht="15.75" hidden="false" customHeight="false" outlineLevel="0" collapsed="false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  <c r="AG897" s="152"/>
      <c r="AH897" s="152"/>
      <c r="AI897" s="152"/>
      <c r="AJ897" s="152"/>
      <c r="AK897" s="152"/>
      <c r="AL897" s="152"/>
      <c r="AM897" s="152"/>
      <c r="AN897" s="152"/>
      <c r="AO897" s="152"/>
      <c r="AP897" s="152"/>
      <c r="AQ897" s="152"/>
      <c r="AR897" s="152"/>
      <c r="AS897" s="152"/>
      <c r="AT897" s="152"/>
      <c r="AU897" s="152"/>
      <c r="AV897" s="152"/>
      <c r="AW897" s="152"/>
      <c r="AX897" s="152"/>
      <c r="AY897" s="152"/>
      <c r="AZ897" s="152"/>
      <c r="BA897" s="152"/>
      <c r="BB897" s="152"/>
      <c r="BC897" s="152"/>
    </row>
    <row r="898" customFormat="false" ht="15.75" hidden="false" customHeight="false" outlineLevel="0" collapsed="false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  <c r="AG898" s="152"/>
      <c r="AH898" s="152"/>
      <c r="AI898" s="152"/>
      <c r="AJ898" s="152"/>
      <c r="AK898" s="152"/>
      <c r="AL898" s="152"/>
      <c r="AM898" s="152"/>
      <c r="AN898" s="152"/>
      <c r="AO898" s="152"/>
      <c r="AP898" s="152"/>
      <c r="AQ898" s="152"/>
      <c r="AR898" s="152"/>
      <c r="AS898" s="152"/>
      <c r="AT898" s="152"/>
      <c r="AU898" s="152"/>
      <c r="AV898" s="152"/>
      <c r="AW898" s="152"/>
      <c r="AX898" s="152"/>
      <c r="AY898" s="152"/>
      <c r="AZ898" s="152"/>
      <c r="BA898" s="152"/>
      <c r="BB898" s="152"/>
      <c r="BC898" s="152"/>
    </row>
    <row r="899" customFormat="false" ht="15.75" hidden="false" customHeight="false" outlineLevel="0" collapsed="false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  <c r="AG899" s="152"/>
      <c r="AH899" s="152"/>
      <c r="AI899" s="152"/>
      <c r="AJ899" s="152"/>
      <c r="AK899" s="152"/>
      <c r="AL899" s="152"/>
      <c r="AM899" s="152"/>
      <c r="AN899" s="152"/>
      <c r="AO899" s="152"/>
      <c r="AP899" s="152"/>
      <c r="AQ899" s="152"/>
      <c r="AR899" s="152"/>
      <c r="AS899" s="152"/>
      <c r="AT899" s="152"/>
      <c r="AU899" s="152"/>
      <c r="AV899" s="152"/>
      <c r="AW899" s="152"/>
      <c r="AX899" s="152"/>
      <c r="AY899" s="152"/>
      <c r="AZ899" s="152"/>
      <c r="BA899" s="152"/>
      <c r="BB899" s="152"/>
      <c r="BC899" s="152"/>
    </row>
    <row r="900" customFormat="false" ht="15.75" hidden="false" customHeight="false" outlineLevel="0" collapsed="false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  <c r="AG900" s="152"/>
      <c r="AH900" s="152"/>
      <c r="AI900" s="152"/>
      <c r="AJ900" s="152"/>
      <c r="AK900" s="152"/>
      <c r="AL900" s="152"/>
      <c r="AM900" s="152"/>
      <c r="AN900" s="152"/>
      <c r="AO900" s="152"/>
      <c r="AP900" s="152"/>
      <c r="AQ900" s="152"/>
      <c r="AR900" s="152"/>
      <c r="AS900" s="152"/>
      <c r="AT900" s="152"/>
      <c r="AU900" s="152"/>
      <c r="AV900" s="152"/>
      <c r="AW900" s="152"/>
      <c r="AX900" s="152"/>
      <c r="AY900" s="152"/>
      <c r="AZ900" s="152"/>
      <c r="BA900" s="152"/>
      <c r="BB900" s="152"/>
      <c r="BC900" s="152"/>
    </row>
    <row r="901" customFormat="false" ht="15.75" hidden="false" customHeight="false" outlineLevel="0" collapsed="false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  <c r="AG901" s="152"/>
      <c r="AH901" s="152"/>
      <c r="AI901" s="152"/>
      <c r="AJ901" s="152"/>
      <c r="AK901" s="152"/>
      <c r="AL901" s="152"/>
      <c r="AM901" s="152"/>
      <c r="AN901" s="152"/>
      <c r="AO901" s="152"/>
      <c r="AP901" s="152"/>
      <c r="AQ901" s="152"/>
      <c r="AR901" s="152"/>
      <c r="AS901" s="152"/>
      <c r="AT901" s="152"/>
      <c r="AU901" s="152"/>
      <c r="AV901" s="152"/>
      <c r="AW901" s="152"/>
      <c r="AX901" s="152"/>
      <c r="AY901" s="152"/>
      <c r="AZ901" s="152"/>
      <c r="BA901" s="152"/>
      <c r="BB901" s="152"/>
      <c r="BC901" s="152"/>
    </row>
    <row r="902" customFormat="false" ht="15.75" hidden="false" customHeight="false" outlineLevel="0" collapsed="false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  <c r="AG902" s="152"/>
      <c r="AH902" s="152"/>
      <c r="AI902" s="152"/>
      <c r="AJ902" s="152"/>
      <c r="AK902" s="152"/>
      <c r="AL902" s="152"/>
      <c r="AM902" s="152"/>
      <c r="AN902" s="152"/>
      <c r="AO902" s="152"/>
      <c r="AP902" s="152"/>
      <c r="AQ902" s="152"/>
      <c r="AR902" s="152"/>
      <c r="AS902" s="152"/>
      <c r="AT902" s="152"/>
      <c r="AU902" s="152"/>
      <c r="AV902" s="152"/>
      <c r="AW902" s="152"/>
      <c r="AX902" s="152"/>
      <c r="AY902" s="152"/>
      <c r="AZ902" s="152"/>
      <c r="BA902" s="152"/>
      <c r="BB902" s="152"/>
      <c r="BC902" s="152"/>
    </row>
    <row r="903" customFormat="false" ht="15.75" hidden="false" customHeight="false" outlineLevel="0" collapsed="false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  <c r="AG903" s="152"/>
      <c r="AH903" s="152"/>
      <c r="AI903" s="152"/>
      <c r="AJ903" s="152"/>
      <c r="AK903" s="152"/>
      <c r="AL903" s="152"/>
      <c r="AM903" s="152"/>
      <c r="AN903" s="152"/>
      <c r="AO903" s="152"/>
      <c r="AP903" s="152"/>
      <c r="AQ903" s="152"/>
      <c r="AR903" s="152"/>
      <c r="AS903" s="152"/>
      <c r="AT903" s="152"/>
      <c r="AU903" s="152"/>
      <c r="AV903" s="152"/>
      <c r="AW903" s="152"/>
      <c r="AX903" s="152"/>
      <c r="AY903" s="152"/>
      <c r="AZ903" s="152"/>
      <c r="BA903" s="152"/>
      <c r="BB903" s="152"/>
      <c r="BC903" s="152"/>
    </row>
    <row r="904" customFormat="false" ht="15.75" hidden="false" customHeight="false" outlineLevel="0" collapsed="false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  <c r="AG904" s="152"/>
      <c r="AH904" s="152"/>
      <c r="AI904" s="152"/>
      <c r="AJ904" s="152"/>
      <c r="AK904" s="152"/>
      <c r="AL904" s="152"/>
      <c r="AM904" s="152"/>
      <c r="AN904" s="152"/>
      <c r="AO904" s="152"/>
      <c r="AP904" s="152"/>
      <c r="AQ904" s="152"/>
      <c r="AR904" s="152"/>
      <c r="AS904" s="152"/>
      <c r="AT904" s="152"/>
      <c r="AU904" s="152"/>
      <c r="AV904" s="152"/>
      <c r="AW904" s="152"/>
      <c r="AX904" s="152"/>
      <c r="AY904" s="152"/>
      <c r="AZ904" s="152"/>
      <c r="BA904" s="152"/>
      <c r="BB904" s="152"/>
      <c r="BC904" s="152"/>
    </row>
    <row r="905" customFormat="false" ht="15.75" hidden="false" customHeight="false" outlineLevel="0" collapsed="false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  <c r="AG905" s="152"/>
      <c r="AH905" s="152"/>
      <c r="AI905" s="152"/>
      <c r="AJ905" s="152"/>
      <c r="AK905" s="152"/>
      <c r="AL905" s="152"/>
      <c r="AM905" s="152"/>
      <c r="AN905" s="152"/>
      <c r="AO905" s="152"/>
      <c r="AP905" s="152"/>
      <c r="AQ905" s="152"/>
      <c r="AR905" s="152"/>
      <c r="AS905" s="152"/>
      <c r="AT905" s="152"/>
      <c r="AU905" s="152"/>
      <c r="AV905" s="152"/>
      <c r="AW905" s="152"/>
      <c r="AX905" s="152"/>
      <c r="AY905" s="152"/>
      <c r="AZ905" s="152"/>
      <c r="BA905" s="152"/>
      <c r="BB905" s="152"/>
      <c r="BC905" s="152"/>
    </row>
    <row r="906" customFormat="false" ht="15.75" hidden="false" customHeight="false" outlineLevel="0" collapsed="false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  <c r="AG906" s="152"/>
      <c r="AH906" s="152"/>
      <c r="AI906" s="152"/>
      <c r="AJ906" s="152"/>
      <c r="AK906" s="152"/>
      <c r="AL906" s="152"/>
      <c r="AM906" s="152"/>
      <c r="AN906" s="152"/>
      <c r="AO906" s="152"/>
      <c r="AP906" s="152"/>
      <c r="AQ906" s="152"/>
      <c r="AR906" s="152"/>
      <c r="AS906" s="152"/>
      <c r="AT906" s="152"/>
      <c r="AU906" s="152"/>
      <c r="AV906" s="152"/>
      <c r="AW906" s="152"/>
      <c r="AX906" s="152"/>
      <c r="AY906" s="152"/>
      <c r="AZ906" s="152"/>
      <c r="BA906" s="152"/>
      <c r="BB906" s="152"/>
      <c r="BC906" s="152"/>
    </row>
    <row r="907" customFormat="false" ht="15.75" hidden="false" customHeight="false" outlineLevel="0" collapsed="false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  <c r="AG907" s="152"/>
      <c r="AH907" s="152"/>
      <c r="AI907" s="152"/>
      <c r="AJ907" s="152"/>
      <c r="AK907" s="152"/>
      <c r="AL907" s="152"/>
      <c r="AM907" s="152"/>
      <c r="AN907" s="152"/>
      <c r="AO907" s="152"/>
      <c r="AP907" s="152"/>
      <c r="AQ907" s="152"/>
      <c r="AR907" s="152"/>
      <c r="AS907" s="152"/>
      <c r="AT907" s="152"/>
      <c r="AU907" s="152"/>
      <c r="AV907" s="152"/>
      <c r="AW907" s="152"/>
      <c r="AX907" s="152"/>
      <c r="AY907" s="152"/>
      <c r="AZ907" s="152"/>
      <c r="BA907" s="152"/>
      <c r="BB907" s="152"/>
      <c r="BC907" s="152"/>
    </row>
    <row r="908" customFormat="false" ht="15.75" hidden="false" customHeight="false" outlineLevel="0" collapsed="false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  <c r="AG908" s="152"/>
      <c r="AH908" s="152"/>
      <c r="AI908" s="152"/>
      <c r="AJ908" s="152"/>
      <c r="AK908" s="152"/>
      <c r="AL908" s="152"/>
      <c r="AM908" s="152"/>
      <c r="AN908" s="152"/>
      <c r="AO908" s="152"/>
      <c r="AP908" s="152"/>
      <c r="AQ908" s="152"/>
      <c r="AR908" s="152"/>
      <c r="AS908" s="152"/>
      <c r="AT908" s="152"/>
      <c r="AU908" s="152"/>
      <c r="AV908" s="152"/>
      <c r="AW908" s="152"/>
      <c r="AX908" s="152"/>
      <c r="AY908" s="152"/>
      <c r="AZ908" s="152"/>
      <c r="BA908" s="152"/>
      <c r="BB908" s="152"/>
      <c r="BC908" s="152"/>
    </row>
    <row r="909" customFormat="false" ht="15.75" hidden="false" customHeight="false" outlineLevel="0" collapsed="false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  <c r="AG909" s="152"/>
      <c r="AH909" s="152"/>
      <c r="AI909" s="152"/>
      <c r="AJ909" s="152"/>
      <c r="AK909" s="152"/>
      <c r="AL909" s="152"/>
      <c r="AM909" s="152"/>
      <c r="AN909" s="152"/>
      <c r="AO909" s="152"/>
      <c r="AP909" s="152"/>
      <c r="AQ909" s="152"/>
      <c r="AR909" s="152"/>
      <c r="AS909" s="152"/>
      <c r="AT909" s="152"/>
      <c r="AU909" s="152"/>
      <c r="AV909" s="152"/>
      <c r="AW909" s="152"/>
      <c r="AX909" s="152"/>
      <c r="AY909" s="152"/>
      <c r="AZ909" s="152"/>
      <c r="BA909" s="152"/>
      <c r="BB909" s="152"/>
      <c r="BC909" s="152"/>
    </row>
    <row r="910" customFormat="false" ht="15.75" hidden="false" customHeight="false" outlineLevel="0" collapsed="false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  <c r="AG910" s="152"/>
      <c r="AH910" s="152"/>
      <c r="AI910" s="152"/>
      <c r="AJ910" s="152"/>
      <c r="AK910" s="152"/>
      <c r="AL910" s="152"/>
      <c r="AM910" s="152"/>
      <c r="AN910" s="152"/>
      <c r="AO910" s="152"/>
      <c r="AP910" s="152"/>
      <c r="AQ910" s="152"/>
      <c r="AR910" s="152"/>
      <c r="AS910" s="152"/>
      <c r="AT910" s="152"/>
      <c r="AU910" s="152"/>
      <c r="AV910" s="152"/>
      <c r="AW910" s="152"/>
      <c r="AX910" s="152"/>
      <c r="AY910" s="152"/>
      <c r="AZ910" s="152"/>
      <c r="BA910" s="152"/>
      <c r="BB910" s="152"/>
      <c r="BC910" s="152"/>
    </row>
    <row r="911" customFormat="false" ht="15.75" hidden="false" customHeight="false" outlineLevel="0" collapsed="false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  <c r="AG911" s="152"/>
      <c r="AH911" s="152"/>
      <c r="AI911" s="152"/>
      <c r="AJ911" s="152"/>
      <c r="AK911" s="152"/>
      <c r="AL911" s="152"/>
      <c r="AM911" s="152"/>
      <c r="AN911" s="152"/>
      <c r="AO911" s="152"/>
      <c r="AP911" s="152"/>
      <c r="AQ911" s="152"/>
      <c r="AR911" s="152"/>
      <c r="AS911" s="152"/>
      <c r="AT911" s="152"/>
      <c r="AU911" s="152"/>
      <c r="AV911" s="152"/>
      <c r="AW911" s="152"/>
      <c r="AX911" s="152"/>
      <c r="AY911" s="152"/>
      <c r="AZ911" s="152"/>
      <c r="BA911" s="152"/>
      <c r="BB911" s="152"/>
      <c r="BC911" s="152"/>
    </row>
    <row r="912" customFormat="false" ht="15.75" hidden="false" customHeight="false" outlineLevel="0" collapsed="false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  <c r="AG912" s="152"/>
      <c r="AH912" s="152"/>
      <c r="AI912" s="152"/>
      <c r="AJ912" s="152"/>
      <c r="AK912" s="152"/>
      <c r="AL912" s="152"/>
      <c r="AM912" s="152"/>
      <c r="AN912" s="152"/>
      <c r="AO912" s="152"/>
      <c r="AP912" s="152"/>
      <c r="AQ912" s="152"/>
      <c r="AR912" s="152"/>
      <c r="AS912" s="152"/>
      <c r="AT912" s="152"/>
      <c r="AU912" s="152"/>
      <c r="AV912" s="152"/>
      <c r="AW912" s="152"/>
      <c r="AX912" s="152"/>
      <c r="AY912" s="152"/>
      <c r="AZ912" s="152"/>
      <c r="BA912" s="152"/>
      <c r="BB912" s="152"/>
      <c r="BC912" s="152"/>
    </row>
    <row r="913" customFormat="false" ht="15.75" hidden="false" customHeight="false" outlineLevel="0" collapsed="false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  <c r="AG913" s="152"/>
      <c r="AH913" s="152"/>
      <c r="AI913" s="152"/>
      <c r="AJ913" s="152"/>
      <c r="AK913" s="152"/>
      <c r="AL913" s="152"/>
      <c r="AM913" s="152"/>
      <c r="AN913" s="152"/>
      <c r="AO913" s="152"/>
      <c r="AP913" s="152"/>
      <c r="AQ913" s="152"/>
      <c r="AR913" s="152"/>
      <c r="AS913" s="152"/>
      <c r="AT913" s="152"/>
      <c r="AU913" s="152"/>
      <c r="AV913" s="152"/>
      <c r="AW913" s="152"/>
      <c r="AX913" s="152"/>
      <c r="AY913" s="152"/>
      <c r="AZ913" s="152"/>
      <c r="BA913" s="152"/>
      <c r="BB913" s="152"/>
      <c r="BC913" s="152"/>
    </row>
    <row r="914" customFormat="false" ht="15.75" hidden="false" customHeight="false" outlineLevel="0" collapsed="false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  <c r="AG914" s="152"/>
      <c r="AH914" s="152"/>
      <c r="AI914" s="152"/>
      <c r="AJ914" s="152"/>
      <c r="AK914" s="152"/>
      <c r="AL914" s="152"/>
      <c r="AM914" s="152"/>
      <c r="AN914" s="152"/>
      <c r="AO914" s="152"/>
      <c r="AP914" s="152"/>
      <c r="AQ914" s="152"/>
      <c r="AR914" s="152"/>
      <c r="AS914" s="152"/>
      <c r="AT914" s="152"/>
      <c r="AU914" s="152"/>
      <c r="AV914" s="152"/>
      <c r="AW914" s="152"/>
      <c r="AX914" s="152"/>
      <c r="AY914" s="152"/>
      <c r="AZ914" s="152"/>
      <c r="BA914" s="152"/>
      <c r="BB914" s="152"/>
      <c r="BC914" s="152"/>
    </row>
    <row r="915" customFormat="false" ht="15.75" hidden="false" customHeight="false" outlineLevel="0" collapsed="false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  <c r="AG915" s="152"/>
      <c r="AH915" s="152"/>
      <c r="AI915" s="152"/>
      <c r="AJ915" s="152"/>
      <c r="AK915" s="152"/>
      <c r="AL915" s="152"/>
      <c r="AM915" s="152"/>
      <c r="AN915" s="152"/>
      <c r="AO915" s="152"/>
      <c r="AP915" s="152"/>
      <c r="AQ915" s="152"/>
      <c r="AR915" s="152"/>
      <c r="AS915" s="152"/>
      <c r="AT915" s="152"/>
      <c r="AU915" s="152"/>
      <c r="AV915" s="152"/>
      <c r="AW915" s="152"/>
      <c r="AX915" s="152"/>
      <c r="AY915" s="152"/>
      <c r="AZ915" s="152"/>
      <c r="BA915" s="152"/>
      <c r="BB915" s="152"/>
      <c r="BC915" s="152"/>
    </row>
    <row r="916" customFormat="false" ht="15.75" hidden="false" customHeight="false" outlineLevel="0" collapsed="false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  <c r="AG916" s="152"/>
      <c r="AH916" s="152"/>
      <c r="AI916" s="152"/>
      <c r="AJ916" s="152"/>
      <c r="AK916" s="152"/>
      <c r="AL916" s="152"/>
      <c r="AM916" s="152"/>
      <c r="AN916" s="152"/>
      <c r="AO916" s="152"/>
      <c r="AP916" s="152"/>
      <c r="AQ916" s="152"/>
      <c r="AR916" s="152"/>
      <c r="AS916" s="152"/>
      <c r="AT916" s="152"/>
      <c r="AU916" s="152"/>
      <c r="AV916" s="152"/>
      <c r="AW916" s="152"/>
      <c r="AX916" s="152"/>
      <c r="AY916" s="152"/>
      <c r="AZ916" s="152"/>
      <c r="BA916" s="152"/>
      <c r="BB916" s="152"/>
      <c r="BC916" s="152"/>
    </row>
    <row r="917" customFormat="false" ht="15.75" hidden="false" customHeight="false" outlineLevel="0" collapsed="false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  <c r="AG917" s="152"/>
      <c r="AH917" s="152"/>
      <c r="AI917" s="152"/>
      <c r="AJ917" s="152"/>
      <c r="AK917" s="152"/>
      <c r="AL917" s="152"/>
      <c r="AM917" s="152"/>
      <c r="AN917" s="152"/>
      <c r="AO917" s="152"/>
      <c r="AP917" s="152"/>
      <c r="AQ917" s="152"/>
      <c r="AR917" s="152"/>
      <c r="AS917" s="152"/>
      <c r="AT917" s="152"/>
      <c r="AU917" s="152"/>
      <c r="AV917" s="152"/>
      <c r="AW917" s="152"/>
      <c r="AX917" s="152"/>
      <c r="AY917" s="152"/>
      <c r="AZ917" s="152"/>
      <c r="BA917" s="152"/>
      <c r="BB917" s="152"/>
      <c r="BC917" s="152"/>
    </row>
    <row r="918" customFormat="false" ht="15.75" hidden="false" customHeight="false" outlineLevel="0" collapsed="false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  <c r="AG918" s="152"/>
      <c r="AH918" s="152"/>
      <c r="AI918" s="152"/>
      <c r="AJ918" s="152"/>
      <c r="AK918" s="152"/>
      <c r="AL918" s="152"/>
      <c r="AM918" s="152"/>
      <c r="AN918" s="152"/>
      <c r="AO918" s="152"/>
      <c r="AP918" s="152"/>
      <c r="AQ918" s="152"/>
      <c r="AR918" s="152"/>
      <c r="AS918" s="152"/>
      <c r="AT918" s="152"/>
      <c r="AU918" s="152"/>
      <c r="AV918" s="152"/>
      <c r="AW918" s="152"/>
      <c r="AX918" s="152"/>
      <c r="AY918" s="152"/>
      <c r="AZ918" s="152"/>
      <c r="BA918" s="152"/>
      <c r="BB918" s="152"/>
      <c r="BC918" s="152"/>
    </row>
    <row r="919" customFormat="false" ht="15.75" hidden="false" customHeight="false" outlineLevel="0" collapsed="false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  <c r="AG919" s="152"/>
      <c r="AH919" s="152"/>
      <c r="AI919" s="152"/>
      <c r="AJ919" s="152"/>
      <c r="AK919" s="152"/>
      <c r="AL919" s="152"/>
      <c r="AM919" s="152"/>
      <c r="AN919" s="152"/>
      <c r="AO919" s="152"/>
      <c r="AP919" s="152"/>
      <c r="AQ919" s="152"/>
      <c r="AR919" s="152"/>
      <c r="AS919" s="152"/>
      <c r="AT919" s="152"/>
      <c r="AU919" s="152"/>
      <c r="AV919" s="152"/>
      <c r="AW919" s="152"/>
      <c r="AX919" s="152"/>
      <c r="AY919" s="152"/>
      <c r="AZ919" s="152"/>
      <c r="BA919" s="152"/>
      <c r="BB919" s="152"/>
      <c r="BC919" s="152"/>
    </row>
    <row r="920" customFormat="false" ht="15.75" hidden="false" customHeight="false" outlineLevel="0" collapsed="false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  <c r="AG920" s="152"/>
      <c r="AH920" s="152"/>
      <c r="AI920" s="152"/>
      <c r="AJ920" s="152"/>
      <c r="AK920" s="152"/>
      <c r="AL920" s="152"/>
      <c r="AM920" s="152"/>
      <c r="AN920" s="152"/>
      <c r="AO920" s="152"/>
      <c r="AP920" s="152"/>
      <c r="AQ920" s="152"/>
      <c r="AR920" s="152"/>
      <c r="AS920" s="152"/>
      <c r="AT920" s="152"/>
      <c r="AU920" s="152"/>
      <c r="AV920" s="152"/>
      <c r="AW920" s="152"/>
      <c r="AX920" s="152"/>
      <c r="AY920" s="152"/>
      <c r="AZ920" s="152"/>
      <c r="BA920" s="152"/>
      <c r="BB920" s="152"/>
      <c r="BC920" s="152"/>
    </row>
    <row r="921" customFormat="false" ht="15.75" hidden="false" customHeight="false" outlineLevel="0" collapsed="false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  <c r="AG921" s="152"/>
      <c r="AH921" s="152"/>
      <c r="AI921" s="152"/>
      <c r="AJ921" s="152"/>
      <c r="AK921" s="152"/>
      <c r="AL921" s="152"/>
      <c r="AM921" s="152"/>
      <c r="AN921" s="152"/>
      <c r="AO921" s="152"/>
      <c r="AP921" s="152"/>
      <c r="AQ921" s="152"/>
      <c r="AR921" s="152"/>
      <c r="AS921" s="152"/>
      <c r="AT921" s="152"/>
      <c r="AU921" s="152"/>
      <c r="AV921" s="152"/>
      <c r="AW921" s="152"/>
      <c r="AX921" s="152"/>
      <c r="AY921" s="152"/>
      <c r="AZ921" s="152"/>
      <c r="BA921" s="152"/>
      <c r="BB921" s="152"/>
      <c r="BC921" s="152"/>
    </row>
    <row r="922" customFormat="false" ht="15.75" hidden="false" customHeight="false" outlineLevel="0" collapsed="false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  <c r="AG922" s="152"/>
      <c r="AH922" s="152"/>
      <c r="AI922" s="152"/>
      <c r="AJ922" s="152"/>
      <c r="AK922" s="152"/>
      <c r="AL922" s="152"/>
      <c r="AM922" s="152"/>
      <c r="AN922" s="152"/>
      <c r="AO922" s="152"/>
      <c r="AP922" s="152"/>
      <c r="AQ922" s="152"/>
      <c r="AR922" s="152"/>
      <c r="AS922" s="152"/>
      <c r="AT922" s="152"/>
      <c r="AU922" s="152"/>
      <c r="AV922" s="152"/>
      <c r="AW922" s="152"/>
      <c r="AX922" s="152"/>
      <c r="AY922" s="152"/>
      <c r="AZ922" s="152"/>
      <c r="BA922" s="152"/>
      <c r="BB922" s="152"/>
      <c r="BC922" s="152"/>
    </row>
    <row r="923" customFormat="false" ht="15.75" hidden="false" customHeight="false" outlineLevel="0" collapsed="false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  <c r="AG923" s="152"/>
      <c r="AH923" s="152"/>
      <c r="AI923" s="152"/>
      <c r="AJ923" s="152"/>
      <c r="AK923" s="152"/>
      <c r="AL923" s="152"/>
      <c r="AM923" s="152"/>
      <c r="AN923" s="152"/>
      <c r="AO923" s="152"/>
      <c r="AP923" s="152"/>
      <c r="AQ923" s="152"/>
      <c r="AR923" s="152"/>
      <c r="AS923" s="152"/>
      <c r="AT923" s="152"/>
      <c r="AU923" s="152"/>
      <c r="AV923" s="152"/>
      <c r="AW923" s="152"/>
      <c r="AX923" s="152"/>
      <c r="AY923" s="152"/>
      <c r="AZ923" s="152"/>
      <c r="BA923" s="152"/>
      <c r="BB923" s="152"/>
      <c r="BC923" s="152"/>
    </row>
    <row r="924" customFormat="false" ht="15.75" hidden="false" customHeight="false" outlineLevel="0" collapsed="false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  <c r="AG924" s="152"/>
      <c r="AH924" s="152"/>
      <c r="AI924" s="152"/>
      <c r="AJ924" s="152"/>
      <c r="AK924" s="152"/>
      <c r="AL924" s="152"/>
      <c r="AM924" s="152"/>
      <c r="AN924" s="152"/>
      <c r="AO924" s="152"/>
      <c r="AP924" s="152"/>
      <c r="AQ924" s="152"/>
      <c r="AR924" s="152"/>
      <c r="AS924" s="152"/>
      <c r="AT924" s="152"/>
      <c r="AU924" s="152"/>
      <c r="AV924" s="152"/>
      <c r="AW924" s="152"/>
      <c r="AX924" s="152"/>
      <c r="AY924" s="152"/>
      <c r="AZ924" s="152"/>
      <c r="BA924" s="152"/>
      <c r="BB924" s="152"/>
      <c r="BC924" s="152"/>
    </row>
    <row r="925" customFormat="false" ht="15.75" hidden="false" customHeight="false" outlineLevel="0" collapsed="false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  <c r="AG925" s="152"/>
      <c r="AH925" s="152"/>
      <c r="AI925" s="152"/>
      <c r="AJ925" s="152"/>
      <c r="AK925" s="152"/>
      <c r="AL925" s="152"/>
      <c r="AM925" s="152"/>
      <c r="AN925" s="152"/>
      <c r="AO925" s="152"/>
      <c r="AP925" s="152"/>
      <c r="AQ925" s="152"/>
      <c r="AR925" s="152"/>
      <c r="AS925" s="152"/>
      <c r="AT925" s="152"/>
      <c r="AU925" s="152"/>
      <c r="AV925" s="152"/>
      <c r="AW925" s="152"/>
      <c r="AX925" s="152"/>
      <c r="AY925" s="152"/>
      <c r="AZ925" s="152"/>
      <c r="BA925" s="152"/>
      <c r="BB925" s="152"/>
      <c r="BC925" s="152"/>
    </row>
    <row r="926" customFormat="false" ht="15.75" hidden="false" customHeight="false" outlineLevel="0" collapsed="false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  <c r="AG926" s="152"/>
      <c r="AH926" s="152"/>
      <c r="AI926" s="152"/>
      <c r="AJ926" s="152"/>
      <c r="AK926" s="152"/>
      <c r="AL926" s="152"/>
      <c r="AM926" s="152"/>
      <c r="AN926" s="152"/>
      <c r="AO926" s="152"/>
      <c r="AP926" s="152"/>
      <c r="AQ926" s="152"/>
      <c r="AR926" s="152"/>
      <c r="AS926" s="152"/>
      <c r="AT926" s="152"/>
      <c r="AU926" s="152"/>
      <c r="AV926" s="152"/>
      <c r="AW926" s="152"/>
      <c r="AX926" s="152"/>
      <c r="AY926" s="152"/>
      <c r="AZ926" s="152"/>
      <c r="BA926" s="152"/>
      <c r="BB926" s="152"/>
      <c r="BC926" s="152"/>
    </row>
    <row r="927" customFormat="false" ht="15.75" hidden="false" customHeight="false" outlineLevel="0" collapsed="false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  <c r="AG927" s="152"/>
      <c r="AH927" s="152"/>
      <c r="AI927" s="152"/>
      <c r="AJ927" s="152"/>
      <c r="AK927" s="152"/>
      <c r="AL927" s="152"/>
      <c r="AM927" s="152"/>
      <c r="AN927" s="152"/>
      <c r="AO927" s="152"/>
      <c r="AP927" s="152"/>
      <c r="AQ927" s="152"/>
      <c r="AR927" s="152"/>
      <c r="AS927" s="152"/>
      <c r="AT927" s="152"/>
      <c r="AU927" s="152"/>
      <c r="AV927" s="152"/>
      <c r="AW927" s="152"/>
      <c r="AX927" s="152"/>
      <c r="AY927" s="152"/>
      <c r="AZ927" s="152"/>
      <c r="BA927" s="152"/>
      <c r="BB927" s="152"/>
      <c r="BC927" s="152"/>
    </row>
    <row r="928" customFormat="false" ht="15.75" hidden="false" customHeight="false" outlineLevel="0" collapsed="false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  <c r="AG928" s="152"/>
      <c r="AH928" s="152"/>
      <c r="AI928" s="152"/>
      <c r="AJ928" s="152"/>
      <c r="AK928" s="152"/>
      <c r="AL928" s="152"/>
      <c r="AM928" s="152"/>
      <c r="AN928" s="152"/>
      <c r="AO928" s="152"/>
      <c r="AP928" s="152"/>
      <c r="AQ928" s="152"/>
      <c r="AR928" s="152"/>
      <c r="AS928" s="152"/>
      <c r="AT928" s="152"/>
      <c r="AU928" s="152"/>
      <c r="AV928" s="152"/>
      <c r="AW928" s="152"/>
      <c r="AX928" s="152"/>
      <c r="AY928" s="152"/>
      <c r="AZ928" s="152"/>
      <c r="BA928" s="152"/>
      <c r="BB928" s="152"/>
      <c r="BC928" s="152"/>
    </row>
    <row r="929" customFormat="false" ht="15.75" hidden="false" customHeight="false" outlineLevel="0" collapsed="false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  <c r="AG929" s="152"/>
      <c r="AH929" s="152"/>
      <c r="AI929" s="152"/>
      <c r="AJ929" s="152"/>
      <c r="AK929" s="152"/>
      <c r="AL929" s="152"/>
      <c r="AM929" s="152"/>
      <c r="AN929" s="152"/>
      <c r="AO929" s="152"/>
      <c r="AP929" s="152"/>
      <c r="AQ929" s="152"/>
      <c r="AR929" s="152"/>
      <c r="AS929" s="152"/>
      <c r="AT929" s="152"/>
      <c r="AU929" s="152"/>
      <c r="AV929" s="152"/>
      <c r="AW929" s="152"/>
      <c r="AX929" s="152"/>
      <c r="AY929" s="152"/>
      <c r="AZ929" s="152"/>
      <c r="BA929" s="152"/>
      <c r="BB929" s="152"/>
      <c r="BC929" s="152"/>
    </row>
    <row r="930" customFormat="false" ht="15.75" hidden="false" customHeight="false" outlineLevel="0" collapsed="false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  <c r="AG930" s="152"/>
      <c r="AH930" s="152"/>
      <c r="AI930" s="152"/>
      <c r="AJ930" s="152"/>
      <c r="AK930" s="152"/>
      <c r="AL930" s="152"/>
      <c r="AM930" s="152"/>
      <c r="AN930" s="152"/>
      <c r="AO930" s="152"/>
      <c r="AP930" s="152"/>
      <c r="AQ930" s="152"/>
      <c r="AR930" s="152"/>
      <c r="AS930" s="152"/>
      <c r="AT930" s="152"/>
      <c r="AU930" s="152"/>
      <c r="AV930" s="152"/>
      <c r="AW930" s="152"/>
      <c r="AX930" s="152"/>
      <c r="AY930" s="152"/>
      <c r="AZ930" s="152"/>
      <c r="BA930" s="152"/>
      <c r="BB930" s="152"/>
      <c r="BC930" s="152"/>
    </row>
    <row r="931" customFormat="false" ht="15.75" hidden="false" customHeight="false" outlineLevel="0" collapsed="false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  <c r="AG931" s="152"/>
      <c r="AH931" s="152"/>
      <c r="AI931" s="152"/>
      <c r="AJ931" s="152"/>
      <c r="AK931" s="152"/>
      <c r="AL931" s="152"/>
      <c r="AM931" s="152"/>
      <c r="AN931" s="152"/>
      <c r="AO931" s="152"/>
      <c r="AP931" s="152"/>
      <c r="AQ931" s="152"/>
      <c r="AR931" s="152"/>
      <c r="AS931" s="152"/>
      <c r="AT931" s="152"/>
      <c r="AU931" s="152"/>
      <c r="AV931" s="152"/>
      <c r="AW931" s="152"/>
      <c r="AX931" s="152"/>
      <c r="AY931" s="152"/>
      <c r="AZ931" s="152"/>
      <c r="BA931" s="152"/>
      <c r="BB931" s="152"/>
      <c r="BC931" s="152"/>
    </row>
    <row r="932" customFormat="false" ht="15.75" hidden="false" customHeight="false" outlineLevel="0" collapsed="false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  <c r="AG932" s="152"/>
      <c r="AH932" s="152"/>
      <c r="AI932" s="152"/>
      <c r="AJ932" s="152"/>
      <c r="AK932" s="152"/>
      <c r="AL932" s="152"/>
      <c r="AM932" s="152"/>
      <c r="AN932" s="152"/>
      <c r="AO932" s="152"/>
      <c r="AP932" s="152"/>
      <c r="AQ932" s="152"/>
      <c r="AR932" s="152"/>
      <c r="AS932" s="152"/>
      <c r="AT932" s="152"/>
      <c r="AU932" s="152"/>
      <c r="AV932" s="152"/>
      <c r="AW932" s="152"/>
      <c r="AX932" s="152"/>
      <c r="AY932" s="152"/>
      <c r="AZ932" s="152"/>
      <c r="BA932" s="152"/>
      <c r="BB932" s="152"/>
      <c r="BC932" s="152"/>
    </row>
    <row r="933" customFormat="false" ht="15.75" hidden="false" customHeight="false" outlineLevel="0" collapsed="false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  <c r="AG933" s="152"/>
      <c r="AH933" s="152"/>
      <c r="AI933" s="152"/>
      <c r="AJ933" s="152"/>
      <c r="AK933" s="152"/>
      <c r="AL933" s="152"/>
      <c r="AM933" s="152"/>
      <c r="AN933" s="152"/>
      <c r="AO933" s="152"/>
      <c r="AP933" s="152"/>
      <c r="AQ933" s="152"/>
      <c r="AR933" s="152"/>
      <c r="AS933" s="152"/>
      <c r="AT933" s="152"/>
      <c r="AU933" s="152"/>
      <c r="AV933" s="152"/>
      <c r="AW933" s="152"/>
      <c r="AX933" s="152"/>
      <c r="AY933" s="152"/>
      <c r="AZ933" s="152"/>
      <c r="BA933" s="152"/>
      <c r="BB933" s="152"/>
      <c r="BC933" s="152"/>
    </row>
    <row r="934" customFormat="false" ht="15.75" hidden="false" customHeight="false" outlineLevel="0" collapsed="false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  <c r="AG934" s="152"/>
      <c r="AH934" s="152"/>
      <c r="AI934" s="152"/>
      <c r="AJ934" s="152"/>
      <c r="AK934" s="152"/>
      <c r="AL934" s="152"/>
      <c r="AM934" s="152"/>
      <c r="AN934" s="152"/>
      <c r="AO934" s="152"/>
      <c r="AP934" s="152"/>
      <c r="AQ934" s="152"/>
      <c r="AR934" s="152"/>
      <c r="AS934" s="152"/>
      <c r="AT934" s="152"/>
      <c r="AU934" s="152"/>
      <c r="AV934" s="152"/>
      <c r="AW934" s="152"/>
      <c r="AX934" s="152"/>
      <c r="AY934" s="152"/>
      <c r="AZ934" s="152"/>
      <c r="BA934" s="152"/>
      <c r="BB934" s="152"/>
      <c r="BC934" s="152"/>
    </row>
    <row r="935" customFormat="false" ht="15.75" hidden="false" customHeight="false" outlineLevel="0" collapsed="false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  <c r="AG935" s="152"/>
      <c r="AH935" s="152"/>
      <c r="AI935" s="152"/>
      <c r="AJ935" s="152"/>
      <c r="AK935" s="152"/>
      <c r="AL935" s="152"/>
      <c r="AM935" s="152"/>
      <c r="AN935" s="152"/>
      <c r="AO935" s="152"/>
      <c r="AP935" s="152"/>
      <c r="AQ935" s="152"/>
      <c r="AR935" s="152"/>
      <c r="AS935" s="152"/>
      <c r="AT935" s="152"/>
      <c r="AU935" s="152"/>
      <c r="AV935" s="152"/>
      <c r="AW935" s="152"/>
      <c r="AX935" s="152"/>
      <c r="AY935" s="152"/>
      <c r="AZ935" s="152"/>
      <c r="BA935" s="152"/>
      <c r="BB935" s="152"/>
      <c r="BC935" s="152"/>
    </row>
    <row r="936" customFormat="false" ht="15.75" hidden="false" customHeight="false" outlineLevel="0" collapsed="false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  <c r="AG936" s="152"/>
      <c r="AH936" s="152"/>
      <c r="AI936" s="152"/>
      <c r="AJ936" s="152"/>
      <c r="AK936" s="152"/>
      <c r="AL936" s="152"/>
      <c r="AM936" s="152"/>
      <c r="AN936" s="152"/>
      <c r="AO936" s="152"/>
      <c r="AP936" s="152"/>
      <c r="AQ936" s="152"/>
      <c r="AR936" s="152"/>
      <c r="AS936" s="152"/>
      <c r="AT936" s="152"/>
      <c r="AU936" s="152"/>
      <c r="AV936" s="152"/>
      <c r="AW936" s="152"/>
      <c r="AX936" s="152"/>
      <c r="AY936" s="152"/>
      <c r="AZ936" s="152"/>
      <c r="BA936" s="152"/>
      <c r="BB936" s="152"/>
      <c r="BC936" s="152"/>
    </row>
    <row r="937" customFormat="false" ht="15.75" hidden="false" customHeight="false" outlineLevel="0" collapsed="false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  <c r="AG937" s="152"/>
      <c r="AH937" s="152"/>
      <c r="AI937" s="152"/>
      <c r="AJ937" s="152"/>
      <c r="AK937" s="152"/>
      <c r="AL937" s="152"/>
      <c r="AM937" s="152"/>
      <c r="AN937" s="152"/>
      <c r="AO937" s="152"/>
      <c r="AP937" s="152"/>
      <c r="AQ937" s="152"/>
      <c r="AR937" s="152"/>
      <c r="AS937" s="152"/>
      <c r="AT937" s="152"/>
      <c r="AU937" s="152"/>
      <c r="AV937" s="152"/>
      <c r="AW937" s="152"/>
      <c r="AX937" s="152"/>
      <c r="AY937" s="152"/>
      <c r="AZ937" s="152"/>
      <c r="BA937" s="152"/>
      <c r="BB937" s="152"/>
      <c r="BC937" s="152"/>
    </row>
    <row r="938" customFormat="false" ht="15.75" hidden="false" customHeight="false" outlineLevel="0" collapsed="false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  <c r="AG938" s="152"/>
      <c r="AH938" s="152"/>
      <c r="AI938" s="152"/>
      <c r="AJ938" s="152"/>
      <c r="AK938" s="152"/>
      <c r="AL938" s="152"/>
      <c r="AM938" s="152"/>
      <c r="AN938" s="152"/>
      <c r="AO938" s="152"/>
      <c r="AP938" s="152"/>
      <c r="AQ938" s="152"/>
      <c r="AR938" s="152"/>
      <c r="AS938" s="152"/>
      <c r="AT938" s="152"/>
      <c r="AU938" s="152"/>
      <c r="AV938" s="152"/>
      <c r="AW938" s="152"/>
      <c r="AX938" s="152"/>
      <c r="AY938" s="152"/>
      <c r="AZ938" s="152"/>
      <c r="BA938" s="152"/>
      <c r="BB938" s="152"/>
      <c r="BC938" s="152"/>
    </row>
    <row r="939" customFormat="false" ht="15.75" hidden="false" customHeight="false" outlineLevel="0" collapsed="false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  <c r="AG939" s="152"/>
      <c r="AH939" s="152"/>
      <c r="AI939" s="152"/>
      <c r="AJ939" s="152"/>
      <c r="AK939" s="152"/>
      <c r="AL939" s="152"/>
      <c r="AM939" s="152"/>
      <c r="AN939" s="152"/>
      <c r="AO939" s="152"/>
      <c r="AP939" s="152"/>
      <c r="AQ939" s="152"/>
      <c r="AR939" s="152"/>
      <c r="AS939" s="152"/>
      <c r="AT939" s="152"/>
      <c r="AU939" s="152"/>
      <c r="AV939" s="152"/>
      <c r="AW939" s="152"/>
      <c r="AX939" s="152"/>
      <c r="AY939" s="152"/>
      <c r="AZ939" s="152"/>
      <c r="BA939" s="152"/>
      <c r="BB939" s="152"/>
      <c r="BC939" s="152"/>
    </row>
    <row r="940" customFormat="false" ht="15.75" hidden="false" customHeight="false" outlineLevel="0" collapsed="false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  <c r="AG940" s="152"/>
      <c r="AH940" s="152"/>
      <c r="AI940" s="152"/>
      <c r="AJ940" s="152"/>
      <c r="AK940" s="152"/>
      <c r="AL940" s="152"/>
      <c r="AM940" s="152"/>
      <c r="AN940" s="152"/>
      <c r="AO940" s="152"/>
      <c r="AP940" s="152"/>
      <c r="AQ940" s="152"/>
      <c r="AR940" s="152"/>
      <c r="AS940" s="152"/>
      <c r="AT940" s="152"/>
      <c r="AU940" s="152"/>
      <c r="AV940" s="152"/>
      <c r="AW940" s="152"/>
      <c r="AX940" s="152"/>
      <c r="AY940" s="152"/>
      <c r="AZ940" s="152"/>
      <c r="BA940" s="152"/>
      <c r="BB940" s="152"/>
      <c r="BC940" s="152"/>
    </row>
    <row r="941" customFormat="false" ht="15.75" hidden="false" customHeight="false" outlineLevel="0" collapsed="false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  <c r="AG941" s="152"/>
      <c r="AH941" s="152"/>
      <c r="AI941" s="152"/>
      <c r="AJ941" s="152"/>
      <c r="AK941" s="152"/>
      <c r="AL941" s="152"/>
      <c r="AM941" s="152"/>
      <c r="AN941" s="152"/>
      <c r="AO941" s="152"/>
      <c r="AP941" s="152"/>
      <c r="AQ941" s="152"/>
      <c r="AR941" s="152"/>
      <c r="AS941" s="152"/>
      <c r="AT941" s="152"/>
      <c r="AU941" s="152"/>
      <c r="AV941" s="152"/>
      <c r="AW941" s="152"/>
      <c r="AX941" s="152"/>
      <c r="AY941" s="152"/>
      <c r="AZ941" s="152"/>
      <c r="BA941" s="152"/>
      <c r="BB941" s="152"/>
      <c r="BC941" s="152"/>
    </row>
    <row r="942" customFormat="false" ht="15.75" hidden="false" customHeight="false" outlineLevel="0" collapsed="false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  <c r="AG942" s="152"/>
      <c r="AH942" s="152"/>
      <c r="AI942" s="152"/>
      <c r="AJ942" s="152"/>
      <c r="AK942" s="152"/>
      <c r="AL942" s="152"/>
      <c r="AM942" s="152"/>
      <c r="AN942" s="152"/>
      <c r="AO942" s="152"/>
      <c r="AP942" s="152"/>
      <c r="AQ942" s="152"/>
      <c r="AR942" s="152"/>
      <c r="AS942" s="152"/>
      <c r="AT942" s="152"/>
      <c r="AU942" s="152"/>
      <c r="AV942" s="152"/>
      <c r="AW942" s="152"/>
      <c r="AX942" s="152"/>
      <c r="AY942" s="152"/>
      <c r="AZ942" s="152"/>
      <c r="BA942" s="152"/>
      <c r="BB942" s="152"/>
      <c r="BC942" s="152"/>
    </row>
    <row r="943" customFormat="false" ht="15.75" hidden="false" customHeight="false" outlineLevel="0" collapsed="false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  <c r="AG943" s="152"/>
      <c r="AH943" s="152"/>
      <c r="AI943" s="152"/>
      <c r="AJ943" s="152"/>
      <c r="AK943" s="152"/>
      <c r="AL943" s="152"/>
      <c r="AM943" s="152"/>
      <c r="AN943" s="152"/>
      <c r="AO943" s="152"/>
      <c r="AP943" s="152"/>
      <c r="AQ943" s="152"/>
      <c r="AR943" s="152"/>
      <c r="AS943" s="152"/>
      <c r="AT943" s="152"/>
      <c r="AU943" s="152"/>
      <c r="AV943" s="152"/>
      <c r="AW943" s="152"/>
      <c r="AX943" s="152"/>
      <c r="AY943" s="152"/>
      <c r="AZ943" s="152"/>
      <c r="BA943" s="152"/>
      <c r="BB943" s="152"/>
      <c r="BC943" s="152"/>
    </row>
    <row r="944" customFormat="false" ht="15.75" hidden="false" customHeight="false" outlineLevel="0" collapsed="false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  <c r="AG944" s="152"/>
      <c r="AH944" s="152"/>
      <c r="AI944" s="152"/>
      <c r="AJ944" s="152"/>
      <c r="AK944" s="152"/>
      <c r="AL944" s="152"/>
      <c r="AM944" s="152"/>
      <c r="AN944" s="152"/>
      <c r="AO944" s="152"/>
      <c r="AP944" s="152"/>
      <c r="AQ944" s="152"/>
      <c r="AR944" s="152"/>
      <c r="AS944" s="152"/>
      <c r="AT944" s="152"/>
      <c r="AU944" s="152"/>
      <c r="AV944" s="152"/>
      <c r="AW944" s="152"/>
      <c r="AX944" s="152"/>
      <c r="AY944" s="152"/>
      <c r="AZ944" s="152"/>
      <c r="BA944" s="152"/>
      <c r="BB944" s="152"/>
      <c r="BC944" s="152"/>
    </row>
    <row r="945" customFormat="false" ht="15.75" hidden="false" customHeight="false" outlineLevel="0" collapsed="false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  <c r="AG945" s="152"/>
      <c r="AH945" s="152"/>
      <c r="AI945" s="152"/>
      <c r="AJ945" s="152"/>
      <c r="AK945" s="152"/>
      <c r="AL945" s="152"/>
      <c r="AM945" s="152"/>
      <c r="AN945" s="152"/>
      <c r="AO945" s="152"/>
      <c r="AP945" s="152"/>
      <c r="AQ945" s="152"/>
      <c r="AR945" s="152"/>
      <c r="AS945" s="152"/>
      <c r="AT945" s="152"/>
      <c r="AU945" s="152"/>
      <c r="AV945" s="152"/>
      <c r="AW945" s="152"/>
      <c r="AX945" s="152"/>
      <c r="AY945" s="152"/>
      <c r="AZ945" s="152"/>
      <c r="BA945" s="152"/>
      <c r="BB945" s="152"/>
      <c r="BC945" s="152"/>
    </row>
    <row r="946" customFormat="false" ht="15.75" hidden="false" customHeight="false" outlineLevel="0" collapsed="false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  <c r="AG946" s="152"/>
      <c r="AH946" s="152"/>
      <c r="AI946" s="152"/>
      <c r="AJ946" s="152"/>
      <c r="AK946" s="152"/>
      <c r="AL946" s="152"/>
      <c r="AM946" s="152"/>
      <c r="AN946" s="152"/>
      <c r="AO946" s="152"/>
      <c r="AP946" s="152"/>
      <c r="AQ946" s="152"/>
      <c r="AR946" s="152"/>
      <c r="AS946" s="152"/>
      <c r="AT946" s="152"/>
      <c r="AU946" s="152"/>
      <c r="AV946" s="152"/>
      <c r="AW946" s="152"/>
      <c r="AX946" s="152"/>
      <c r="AY946" s="152"/>
      <c r="AZ946" s="152"/>
      <c r="BA946" s="152"/>
      <c r="BB946" s="152"/>
      <c r="BC946" s="152"/>
    </row>
    <row r="947" customFormat="false" ht="15.75" hidden="false" customHeight="false" outlineLevel="0" collapsed="false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  <c r="AG947" s="152"/>
      <c r="AH947" s="152"/>
      <c r="AI947" s="152"/>
      <c r="AJ947" s="152"/>
      <c r="AK947" s="152"/>
      <c r="AL947" s="152"/>
      <c r="AM947" s="152"/>
      <c r="AN947" s="152"/>
      <c r="AO947" s="152"/>
      <c r="AP947" s="152"/>
      <c r="AQ947" s="152"/>
      <c r="AR947" s="152"/>
      <c r="AS947" s="152"/>
      <c r="AT947" s="152"/>
      <c r="AU947" s="152"/>
      <c r="AV947" s="152"/>
      <c r="AW947" s="152"/>
      <c r="AX947" s="152"/>
      <c r="AY947" s="152"/>
      <c r="AZ947" s="152"/>
      <c r="BA947" s="152"/>
      <c r="BB947" s="152"/>
      <c r="BC947" s="152"/>
    </row>
    <row r="948" customFormat="false" ht="15.75" hidden="false" customHeight="false" outlineLevel="0" collapsed="false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  <c r="AG948" s="152"/>
      <c r="AH948" s="152"/>
      <c r="AI948" s="152"/>
      <c r="AJ948" s="152"/>
      <c r="AK948" s="152"/>
      <c r="AL948" s="152"/>
      <c r="AM948" s="152"/>
      <c r="AN948" s="152"/>
      <c r="AO948" s="152"/>
      <c r="AP948" s="152"/>
      <c r="AQ948" s="152"/>
      <c r="AR948" s="152"/>
      <c r="AS948" s="152"/>
      <c r="AT948" s="152"/>
      <c r="AU948" s="152"/>
      <c r="AV948" s="152"/>
      <c r="AW948" s="152"/>
      <c r="AX948" s="152"/>
      <c r="AY948" s="152"/>
      <c r="AZ948" s="152"/>
      <c r="BA948" s="152"/>
      <c r="BB948" s="152"/>
      <c r="BC948" s="152"/>
    </row>
    <row r="949" customFormat="false" ht="15.75" hidden="false" customHeight="false" outlineLevel="0" collapsed="false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  <c r="AG949" s="152"/>
      <c r="AH949" s="152"/>
      <c r="AI949" s="152"/>
      <c r="AJ949" s="152"/>
      <c r="AK949" s="152"/>
      <c r="AL949" s="152"/>
      <c r="AM949" s="152"/>
      <c r="AN949" s="152"/>
      <c r="AO949" s="152"/>
      <c r="AP949" s="152"/>
      <c r="AQ949" s="152"/>
      <c r="AR949" s="152"/>
      <c r="AS949" s="152"/>
      <c r="AT949" s="152"/>
      <c r="AU949" s="152"/>
      <c r="AV949" s="152"/>
      <c r="AW949" s="152"/>
      <c r="AX949" s="152"/>
      <c r="AY949" s="152"/>
      <c r="AZ949" s="152"/>
      <c r="BA949" s="152"/>
      <c r="BB949" s="152"/>
      <c r="BC949" s="152"/>
    </row>
    <row r="950" customFormat="false" ht="15.75" hidden="false" customHeight="false" outlineLevel="0" collapsed="false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  <c r="AG950" s="152"/>
      <c r="AH950" s="152"/>
      <c r="AI950" s="152"/>
      <c r="AJ950" s="152"/>
      <c r="AK950" s="152"/>
      <c r="AL950" s="152"/>
      <c r="AM950" s="152"/>
      <c r="AN950" s="152"/>
      <c r="AO950" s="152"/>
      <c r="AP950" s="152"/>
      <c r="AQ950" s="152"/>
      <c r="AR950" s="152"/>
      <c r="AS950" s="152"/>
      <c r="AT950" s="152"/>
      <c r="AU950" s="152"/>
      <c r="AV950" s="152"/>
      <c r="AW950" s="152"/>
      <c r="AX950" s="152"/>
      <c r="AY950" s="152"/>
      <c r="AZ950" s="152"/>
      <c r="BA950" s="152"/>
      <c r="BB950" s="152"/>
      <c r="BC950" s="152"/>
    </row>
    <row r="951" customFormat="false" ht="15.75" hidden="false" customHeight="false" outlineLevel="0" collapsed="false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  <c r="AG951" s="152"/>
      <c r="AH951" s="152"/>
      <c r="AI951" s="152"/>
      <c r="AJ951" s="152"/>
      <c r="AK951" s="152"/>
      <c r="AL951" s="152"/>
      <c r="AM951" s="152"/>
      <c r="AN951" s="152"/>
      <c r="AO951" s="152"/>
      <c r="AP951" s="152"/>
      <c r="AQ951" s="152"/>
      <c r="AR951" s="152"/>
      <c r="AS951" s="152"/>
      <c r="AT951" s="152"/>
      <c r="AU951" s="152"/>
      <c r="AV951" s="152"/>
      <c r="AW951" s="152"/>
      <c r="AX951" s="152"/>
      <c r="AY951" s="152"/>
      <c r="AZ951" s="152"/>
      <c r="BA951" s="152"/>
      <c r="BB951" s="152"/>
      <c r="BC951" s="152"/>
    </row>
    <row r="952" customFormat="false" ht="15.75" hidden="false" customHeight="false" outlineLevel="0" collapsed="false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  <c r="AG952" s="152"/>
      <c r="AH952" s="152"/>
      <c r="AI952" s="152"/>
      <c r="AJ952" s="152"/>
      <c r="AK952" s="152"/>
      <c r="AL952" s="152"/>
      <c r="AM952" s="152"/>
      <c r="AN952" s="152"/>
      <c r="AO952" s="152"/>
      <c r="AP952" s="152"/>
      <c r="AQ952" s="152"/>
      <c r="AR952" s="152"/>
      <c r="AS952" s="152"/>
      <c r="AT952" s="152"/>
      <c r="AU952" s="152"/>
      <c r="AV952" s="152"/>
      <c r="AW952" s="152"/>
      <c r="AX952" s="152"/>
      <c r="AY952" s="152"/>
      <c r="AZ952" s="152"/>
      <c r="BA952" s="152"/>
      <c r="BB952" s="152"/>
      <c r="BC952" s="152"/>
    </row>
    <row r="953" customFormat="false" ht="15.75" hidden="false" customHeight="false" outlineLevel="0" collapsed="false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  <c r="AG953" s="152"/>
      <c r="AH953" s="152"/>
      <c r="AI953" s="152"/>
      <c r="AJ953" s="152"/>
      <c r="AK953" s="152"/>
      <c r="AL953" s="152"/>
      <c r="AM953" s="152"/>
      <c r="AN953" s="152"/>
      <c r="AO953" s="152"/>
      <c r="AP953" s="152"/>
      <c r="AQ953" s="152"/>
      <c r="AR953" s="152"/>
      <c r="AS953" s="152"/>
      <c r="AT953" s="152"/>
      <c r="AU953" s="152"/>
      <c r="AV953" s="152"/>
      <c r="AW953" s="152"/>
      <c r="AX953" s="152"/>
      <c r="AY953" s="152"/>
      <c r="AZ953" s="152"/>
      <c r="BA953" s="152"/>
      <c r="BB953" s="152"/>
      <c r="BC953" s="152"/>
    </row>
    <row r="954" customFormat="false" ht="15.75" hidden="false" customHeight="false" outlineLevel="0" collapsed="false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  <c r="AG954" s="152"/>
      <c r="AH954" s="152"/>
      <c r="AI954" s="152"/>
      <c r="AJ954" s="152"/>
      <c r="AK954" s="152"/>
      <c r="AL954" s="152"/>
      <c r="AM954" s="152"/>
      <c r="AN954" s="152"/>
      <c r="AO954" s="152"/>
      <c r="AP954" s="152"/>
      <c r="AQ954" s="152"/>
      <c r="AR954" s="152"/>
      <c r="AS954" s="152"/>
      <c r="AT954" s="152"/>
      <c r="AU954" s="152"/>
      <c r="AV954" s="152"/>
      <c r="AW954" s="152"/>
      <c r="AX954" s="152"/>
      <c r="AY954" s="152"/>
      <c r="AZ954" s="152"/>
      <c r="BA954" s="152"/>
      <c r="BB954" s="152"/>
      <c r="BC954" s="152"/>
    </row>
    <row r="955" customFormat="false" ht="15.75" hidden="false" customHeight="false" outlineLevel="0" collapsed="false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  <c r="AG955" s="152"/>
      <c r="AH955" s="152"/>
      <c r="AI955" s="152"/>
      <c r="AJ955" s="152"/>
      <c r="AK955" s="152"/>
      <c r="AL955" s="152"/>
      <c r="AM955" s="152"/>
      <c r="AN955" s="152"/>
      <c r="AO955" s="152"/>
      <c r="AP955" s="152"/>
      <c r="AQ955" s="152"/>
      <c r="AR955" s="152"/>
      <c r="AS955" s="152"/>
      <c r="AT955" s="152"/>
      <c r="AU955" s="152"/>
      <c r="AV955" s="152"/>
      <c r="AW955" s="152"/>
      <c r="AX955" s="152"/>
      <c r="AY955" s="152"/>
      <c r="AZ955" s="152"/>
      <c r="BA955" s="152"/>
      <c r="BB955" s="152"/>
      <c r="BC955" s="152"/>
    </row>
    <row r="956" customFormat="false" ht="15.75" hidden="false" customHeight="false" outlineLevel="0" collapsed="false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  <c r="AG956" s="152"/>
      <c r="AH956" s="152"/>
      <c r="AI956" s="152"/>
      <c r="AJ956" s="152"/>
      <c r="AK956" s="152"/>
      <c r="AL956" s="152"/>
      <c r="AM956" s="152"/>
      <c r="AN956" s="152"/>
      <c r="AO956" s="152"/>
      <c r="AP956" s="152"/>
      <c r="AQ956" s="152"/>
      <c r="AR956" s="152"/>
      <c r="AS956" s="152"/>
      <c r="AT956" s="152"/>
      <c r="AU956" s="152"/>
      <c r="AV956" s="152"/>
      <c r="AW956" s="152"/>
      <c r="AX956" s="152"/>
      <c r="AY956" s="152"/>
      <c r="AZ956" s="152"/>
      <c r="BA956" s="152"/>
      <c r="BB956" s="152"/>
      <c r="BC956" s="152"/>
    </row>
    <row r="957" customFormat="false" ht="15.75" hidden="false" customHeight="false" outlineLevel="0" collapsed="false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  <c r="AG957" s="152"/>
      <c r="AH957" s="152"/>
      <c r="AI957" s="152"/>
      <c r="AJ957" s="152"/>
      <c r="AK957" s="152"/>
      <c r="AL957" s="152"/>
      <c r="AM957" s="152"/>
      <c r="AN957" s="152"/>
      <c r="AO957" s="152"/>
      <c r="AP957" s="152"/>
      <c r="AQ957" s="152"/>
      <c r="AR957" s="152"/>
      <c r="AS957" s="152"/>
      <c r="AT957" s="152"/>
      <c r="AU957" s="152"/>
      <c r="AV957" s="152"/>
      <c r="AW957" s="152"/>
      <c r="AX957" s="152"/>
      <c r="AY957" s="152"/>
      <c r="AZ957" s="152"/>
      <c r="BA957" s="152"/>
      <c r="BB957" s="152"/>
      <c r="BC957" s="152"/>
    </row>
    <row r="958" customFormat="false" ht="15.75" hidden="false" customHeight="false" outlineLevel="0" collapsed="false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  <c r="AG958" s="152"/>
      <c r="AH958" s="152"/>
      <c r="AI958" s="152"/>
      <c r="AJ958" s="152"/>
      <c r="AK958" s="152"/>
      <c r="AL958" s="152"/>
      <c r="AM958" s="152"/>
      <c r="AN958" s="152"/>
      <c r="AO958" s="152"/>
      <c r="AP958" s="152"/>
      <c r="AQ958" s="152"/>
      <c r="AR958" s="152"/>
      <c r="AS958" s="152"/>
      <c r="AT958" s="152"/>
      <c r="AU958" s="152"/>
      <c r="AV958" s="152"/>
      <c r="AW958" s="152"/>
      <c r="AX958" s="152"/>
      <c r="AY958" s="152"/>
      <c r="AZ958" s="152"/>
      <c r="BA958" s="152"/>
      <c r="BB958" s="152"/>
      <c r="BC958" s="152"/>
    </row>
    <row r="959" customFormat="false" ht="15.75" hidden="false" customHeight="false" outlineLevel="0" collapsed="false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  <c r="AG959" s="152"/>
      <c r="AH959" s="152"/>
      <c r="AI959" s="152"/>
      <c r="AJ959" s="152"/>
      <c r="AK959" s="152"/>
      <c r="AL959" s="152"/>
      <c r="AM959" s="152"/>
      <c r="AN959" s="152"/>
      <c r="AO959" s="152"/>
      <c r="AP959" s="152"/>
      <c r="AQ959" s="152"/>
      <c r="AR959" s="152"/>
      <c r="AS959" s="152"/>
      <c r="AT959" s="152"/>
      <c r="AU959" s="152"/>
      <c r="AV959" s="152"/>
      <c r="AW959" s="152"/>
      <c r="AX959" s="152"/>
      <c r="AY959" s="152"/>
      <c r="AZ959" s="152"/>
      <c r="BA959" s="152"/>
      <c r="BB959" s="152"/>
      <c r="BC959" s="152"/>
    </row>
    <row r="960" customFormat="false" ht="15.75" hidden="false" customHeight="false" outlineLevel="0" collapsed="false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  <c r="AG960" s="152"/>
      <c r="AH960" s="152"/>
      <c r="AI960" s="152"/>
      <c r="AJ960" s="152"/>
      <c r="AK960" s="152"/>
      <c r="AL960" s="152"/>
      <c r="AM960" s="152"/>
      <c r="AN960" s="152"/>
      <c r="AO960" s="152"/>
      <c r="AP960" s="152"/>
      <c r="AQ960" s="152"/>
      <c r="AR960" s="152"/>
      <c r="AS960" s="152"/>
      <c r="AT960" s="152"/>
      <c r="AU960" s="152"/>
      <c r="AV960" s="152"/>
      <c r="AW960" s="152"/>
      <c r="AX960" s="152"/>
      <c r="AY960" s="152"/>
      <c r="AZ960" s="152"/>
      <c r="BA960" s="152"/>
      <c r="BB960" s="152"/>
      <c r="BC960" s="152"/>
    </row>
    <row r="961" customFormat="false" ht="15.75" hidden="false" customHeight="false" outlineLevel="0" collapsed="false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  <c r="AG961" s="152"/>
      <c r="AH961" s="152"/>
      <c r="AI961" s="152"/>
      <c r="AJ961" s="152"/>
      <c r="AK961" s="152"/>
      <c r="AL961" s="152"/>
      <c r="AM961" s="152"/>
      <c r="AN961" s="152"/>
      <c r="AO961" s="152"/>
      <c r="AP961" s="152"/>
      <c r="AQ961" s="152"/>
      <c r="AR961" s="152"/>
      <c r="AS961" s="152"/>
      <c r="AT961" s="152"/>
      <c r="AU961" s="152"/>
      <c r="AV961" s="152"/>
      <c r="AW961" s="152"/>
      <c r="AX961" s="152"/>
      <c r="AY961" s="152"/>
      <c r="AZ961" s="152"/>
      <c r="BA961" s="152"/>
      <c r="BB961" s="152"/>
      <c r="BC961" s="152"/>
    </row>
    <row r="962" customFormat="false" ht="15.75" hidden="false" customHeight="false" outlineLevel="0" collapsed="false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  <c r="AG962" s="152"/>
      <c r="AH962" s="152"/>
      <c r="AI962" s="152"/>
      <c r="AJ962" s="152"/>
      <c r="AK962" s="152"/>
      <c r="AL962" s="152"/>
      <c r="AM962" s="152"/>
      <c r="AN962" s="152"/>
      <c r="AO962" s="152"/>
      <c r="AP962" s="152"/>
      <c r="AQ962" s="152"/>
      <c r="AR962" s="152"/>
      <c r="AS962" s="152"/>
      <c r="AT962" s="152"/>
      <c r="AU962" s="152"/>
      <c r="AV962" s="152"/>
      <c r="AW962" s="152"/>
      <c r="AX962" s="152"/>
      <c r="AY962" s="152"/>
      <c r="AZ962" s="152"/>
      <c r="BA962" s="152"/>
      <c r="BB962" s="152"/>
      <c r="BC962" s="152"/>
    </row>
    <row r="963" customFormat="false" ht="15.75" hidden="false" customHeight="false" outlineLevel="0" collapsed="false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  <c r="AG963" s="152"/>
      <c r="AH963" s="152"/>
      <c r="AI963" s="152"/>
      <c r="AJ963" s="152"/>
      <c r="AK963" s="152"/>
      <c r="AL963" s="152"/>
      <c r="AM963" s="152"/>
      <c r="AN963" s="152"/>
      <c r="AO963" s="152"/>
      <c r="AP963" s="152"/>
      <c r="AQ963" s="152"/>
      <c r="AR963" s="152"/>
      <c r="AS963" s="152"/>
      <c r="AT963" s="152"/>
      <c r="AU963" s="152"/>
      <c r="AV963" s="152"/>
      <c r="AW963" s="152"/>
      <c r="AX963" s="152"/>
      <c r="AY963" s="152"/>
      <c r="AZ963" s="152"/>
      <c r="BA963" s="152"/>
      <c r="BB963" s="152"/>
      <c r="BC963" s="152"/>
    </row>
    <row r="964" customFormat="false" ht="15.75" hidden="false" customHeight="false" outlineLevel="0" collapsed="false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  <c r="AG964" s="152"/>
      <c r="AH964" s="152"/>
      <c r="AI964" s="152"/>
      <c r="AJ964" s="152"/>
      <c r="AK964" s="152"/>
      <c r="AL964" s="152"/>
      <c r="AM964" s="152"/>
      <c r="AN964" s="152"/>
      <c r="AO964" s="152"/>
      <c r="AP964" s="152"/>
      <c r="AQ964" s="152"/>
      <c r="AR964" s="152"/>
      <c r="AS964" s="152"/>
      <c r="AT964" s="152"/>
      <c r="AU964" s="152"/>
      <c r="AV964" s="152"/>
      <c r="AW964" s="152"/>
      <c r="AX964" s="152"/>
      <c r="AY964" s="152"/>
      <c r="AZ964" s="152"/>
      <c r="BA964" s="152"/>
      <c r="BB964" s="152"/>
      <c r="BC964" s="152"/>
    </row>
    <row r="965" customFormat="false" ht="15.75" hidden="false" customHeight="false" outlineLevel="0" collapsed="false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  <c r="AG965" s="152"/>
      <c r="AH965" s="152"/>
      <c r="AI965" s="152"/>
      <c r="AJ965" s="152"/>
      <c r="AK965" s="152"/>
      <c r="AL965" s="152"/>
      <c r="AM965" s="152"/>
      <c r="AN965" s="152"/>
      <c r="AO965" s="152"/>
      <c r="AP965" s="152"/>
      <c r="AQ965" s="152"/>
      <c r="AR965" s="152"/>
      <c r="AS965" s="152"/>
      <c r="AT965" s="152"/>
      <c r="AU965" s="152"/>
      <c r="AV965" s="152"/>
      <c r="AW965" s="152"/>
      <c r="AX965" s="152"/>
      <c r="AY965" s="152"/>
      <c r="AZ965" s="152"/>
      <c r="BA965" s="152"/>
      <c r="BB965" s="152"/>
      <c r="BC965" s="152"/>
    </row>
    <row r="966" customFormat="false" ht="15.75" hidden="false" customHeight="false" outlineLevel="0" collapsed="false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  <c r="AG966" s="152"/>
      <c r="AH966" s="152"/>
      <c r="AI966" s="152"/>
      <c r="AJ966" s="152"/>
      <c r="AK966" s="152"/>
      <c r="AL966" s="152"/>
      <c r="AM966" s="152"/>
      <c r="AN966" s="152"/>
      <c r="AO966" s="152"/>
      <c r="AP966" s="152"/>
      <c r="AQ966" s="152"/>
      <c r="AR966" s="152"/>
      <c r="AS966" s="152"/>
      <c r="AT966" s="152"/>
      <c r="AU966" s="152"/>
      <c r="AV966" s="152"/>
      <c r="AW966" s="152"/>
      <c r="AX966" s="152"/>
      <c r="AY966" s="152"/>
      <c r="AZ966" s="152"/>
      <c r="BA966" s="152"/>
      <c r="BB966" s="152"/>
      <c r="BC966" s="152"/>
    </row>
    <row r="967" customFormat="false" ht="15.75" hidden="false" customHeight="false" outlineLevel="0" collapsed="false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  <c r="AG967" s="152"/>
      <c r="AH967" s="152"/>
      <c r="AI967" s="152"/>
      <c r="AJ967" s="152"/>
      <c r="AK967" s="152"/>
      <c r="AL967" s="152"/>
      <c r="AM967" s="152"/>
      <c r="AN967" s="152"/>
      <c r="AO967" s="152"/>
      <c r="AP967" s="152"/>
      <c r="AQ967" s="152"/>
      <c r="AR967" s="152"/>
      <c r="AS967" s="152"/>
      <c r="AT967" s="152"/>
      <c r="AU967" s="152"/>
      <c r="AV967" s="152"/>
      <c r="AW967" s="152"/>
      <c r="AX967" s="152"/>
      <c r="AY967" s="152"/>
      <c r="AZ967" s="152"/>
      <c r="BA967" s="152"/>
      <c r="BB967" s="152"/>
      <c r="BC967" s="152"/>
    </row>
    <row r="968" customFormat="false" ht="15.75" hidden="false" customHeight="false" outlineLevel="0" collapsed="false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  <c r="AG968" s="152"/>
      <c r="AH968" s="152"/>
      <c r="AI968" s="152"/>
      <c r="AJ968" s="152"/>
      <c r="AK968" s="152"/>
      <c r="AL968" s="152"/>
      <c r="AM968" s="152"/>
      <c r="AN968" s="152"/>
      <c r="AO968" s="152"/>
      <c r="AP968" s="152"/>
      <c r="AQ968" s="152"/>
      <c r="AR968" s="152"/>
      <c r="AS968" s="152"/>
      <c r="AT968" s="152"/>
      <c r="AU968" s="152"/>
      <c r="AV968" s="152"/>
      <c r="AW968" s="152"/>
      <c r="AX968" s="152"/>
      <c r="AY968" s="152"/>
      <c r="AZ968" s="152"/>
      <c r="BA968" s="152"/>
      <c r="BB968" s="152"/>
      <c r="BC968" s="152"/>
    </row>
    <row r="969" customFormat="false" ht="15.75" hidden="false" customHeight="false" outlineLevel="0" collapsed="false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  <c r="AG969" s="152"/>
      <c r="AH969" s="152"/>
      <c r="AI969" s="152"/>
      <c r="AJ969" s="152"/>
      <c r="AK969" s="152"/>
      <c r="AL969" s="152"/>
      <c r="AM969" s="152"/>
      <c r="AN969" s="152"/>
      <c r="AO969" s="152"/>
      <c r="AP969" s="152"/>
      <c r="AQ969" s="152"/>
      <c r="AR969" s="152"/>
      <c r="AS969" s="152"/>
      <c r="AT969" s="152"/>
      <c r="AU969" s="152"/>
      <c r="AV969" s="152"/>
      <c r="AW969" s="152"/>
      <c r="AX969" s="152"/>
      <c r="AY969" s="152"/>
      <c r="AZ969" s="152"/>
      <c r="BA969" s="152"/>
      <c r="BB969" s="152"/>
      <c r="BC969" s="152"/>
    </row>
    <row r="970" customFormat="false" ht="15.75" hidden="false" customHeight="false" outlineLevel="0" collapsed="false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  <c r="AG970" s="152"/>
      <c r="AH970" s="152"/>
      <c r="AI970" s="152"/>
      <c r="AJ970" s="152"/>
      <c r="AK970" s="152"/>
      <c r="AL970" s="152"/>
      <c r="AM970" s="152"/>
      <c r="AN970" s="152"/>
      <c r="AO970" s="152"/>
      <c r="AP970" s="152"/>
      <c r="AQ970" s="152"/>
      <c r="AR970" s="152"/>
      <c r="AS970" s="152"/>
      <c r="AT970" s="152"/>
      <c r="AU970" s="152"/>
      <c r="AV970" s="152"/>
      <c r="AW970" s="152"/>
      <c r="AX970" s="152"/>
      <c r="AY970" s="152"/>
      <c r="AZ970" s="152"/>
      <c r="BA970" s="152"/>
      <c r="BB970" s="152"/>
      <c r="BC970" s="152"/>
    </row>
    <row r="971" customFormat="false" ht="15.75" hidden="false" customHeight="false" outlineLevel="0" collapsed="false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  <c r="AG971" s="152"/>
      <c r="AH971" s="152"/>
      <c r="AI971" s="152"/>
      <c r="AJ971" s="152"/>
      <c r="AK971" s="152"/>
      <c r="AL971" s="152"/>
      <c r="AM971" s="152"/>
      <c r="AN971" s="152"/>
      <c r="AO971" s="152"/>
      <c r="AP971" s="152"/>
      <c r="AQ971" s="152"/>
      <c r="AR971" s="152"/>
      <c r="AS971" s="152"/>
      <c r="AT971" s="152"/>
      <c r="AU971" s="152"/>
      <c r="AV971" s="152"/>
      <c r="AW971" s="152"/>
      <c r="AX971" s="152"/>
      <c r="AY971" s="152"/>
      <c r="AZ971" s="152"/>
      <c r="BA971" s="152"/>
      <c r="BB971" s="152"/>
      <c r="BC971" s="152"/>
    </row>
    <row r="972" customFormat="false" ht="15.75" hidden="false" customHeight="false" outlineLevel="0" collapsed="false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  <c r="AG972" s="152"/>
      <c r="AH972" s="152"/>
      <c r="AI972" s="152"/>
      <c r="AJ972" s="152"/>
      <c r="AK972" s="152"/>
      <c r="AL972" s="152"/>
      <c r="AM972" s="152"/>
      <c r="AN972" s="152"/>
      <c r="AO972" s="152"/>
      <c r="AP972" s="152"/>
      <c r="AQ972" s="152"/>
      <c r="AR972" s="152"/>
      <c r="AS972" s="152"/>
      <c r="AT972" s="152"/>
      <c r="AU972" s="152"/>
      <c r="AV972" s="152"/>
      <c r="AW972" s="152"/>
      <c r="AX972" s="152"/>
      <c r="AY972" s="152"/>
      <c r="AZ972" s="152"/>
      <c r="BA972" s="152"/>
      <c r="BB972" s="152"/>
      <c r="BC972" s="152"/>
    </row>
    <row r="973" customFormat="false" ht="15.75" hidden="false" customHeight="false" outlineLevel="0" collapsed="false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  <c r="AG973" s="152"/>
      <c r="AH973" s="152"/>
      <c r="AI973" s="152"/>
      <c r="AJ973" s="152"/>
      <c r="AK973" s="152"/>
      <c r="AL973" s="152"/>
      <c r="AM973" s="152"/>
      <c r="AN973" s="152"/>
      <c r="AO973" s="152"/>
      <c r="AP973" s="152"/>
      <c r="AQ973" s="152"/>
      <c r="AR973" s="152"/>
      <c r="AS973" s="152"/>
      <c r="AT973" s="152"/>
      <c r="AU973" s="152"/>
      <c r="AV973" s="152"/>
      <c r="AW973" s="152"/>
      <c r="AX973" s="152"/>
      <c r="AY973" s="152"/>
      <c r="AZ973" s="152"/>
      <c r="BA973" s="152"/>
      <c r="BB973" s="152"/>
      <c r="BC973" s="152"/>
    </row>
    <row r="974" customFormat="false" ht="15.75" hidden="false" customHeight="false" outlineLevel="0" collapsed="false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  <c r="AG974" s="152"/>
      <c r="AH974" s="152"/>
      <c r="AI974" s="152"/>
      <c r="AJ974" s="152"/>
      <c r="AK974" s="152"/>
      <c r="AL974" s="152"/>
      <c r="AM974" s="152"/>
      <c r="AN974" s="152"/>
      <c r="AO974" s="152"/>
      <c r="AP974" s="152"/>
      <c r="AQ974" s="152"/>
      <c r="AR974" s="152"/>
      <c r="AS974" s="152"/>
      <c r="AT974" s="152"/>
      <c r="AU974" s="152"/>
      <c r="AV974" s="152"/>
      <c r="AW974" s="152"/>
      <c r="AX974" s="152"/>
      <c r="AY974" s="152"/>
      <c r="AZ974" s="152"/>
      <c r="BA974" s="152"/>
      <c r="BB974" s="152"/>
      <c r="BC974" s="152"/>
    </row>
    <row r="975" customFormat="false" ht="15.75" hidden="false" customHeight="false" outlineLevel="0" collapsed="false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  <c r="AG975" s="152"/>
      <c r="AH975" s="152"/>
      <c r="AI975" s="152"/>
      <c r="AJ975" s="152"/>
      <c r="AK975" s="152"/>
      <c r="AL975" s="152"/>
      <c r="AM975" s="152"/>
      <c r="AN975" s="152"/>
      <c r="AO975" s="152"/>
      <c r="AP975" s="152"/>
      <c r="AQ975" s="152"/>
      <c r="AR975" s="152"/>
      <c r="AS975" s="152"/>
      <c r="AT975" s="152"/>
      <c r="AU975" s="152"/>
      <c r="AV975" s="152"/>
      <c r="AW975" s="152"/>
      <c r="AX975" s="152"/>
      <c r="AY975" s="152"/>
      <c r="AZ975" s="152"/>
      <c r="BA975" s="152"/>
      <c r="BB975" s="152"/>
      <c r="BC975" s="152"/>
    </row>
    <row r="976" customFormat="false" ht="15.75" hidden="false" customHeight="false" outlineLevel="0" collapsed="false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  <c r="AG976" s="152"/>
      <c r="AH976" s="152"/>
      <c r="AI976" s="152"/>
      <c r="AJ976" s="152"/>
      <c r="AK976" s="152"/>
      <c r="AL976" s="152"/>
      <c r="AM976" s="152"/>
      <c r="AN976" s="152"/>
      <c r="AO976" s="152"/>
      <c r="AP976" s="152"/>
      <c r="AQ976" s="152"/>
      <c r="AR976" s="152"/>
      <c r="AS976" s="152"/>
      <c r="AT976" s="152"/>
      <c r="AU976" s="152"/>
      <c r="AV976" s="152"/>
      <c r="AW976" s="152"/>
      <c r="AX976" s="152"/>
      <c r="AY976" s="152"/>
      <c r="AZ976" s="152"/>
      <c r="BA976" s="152"/>
      <c r="BB976" s="152"/>
      <c r="BC976" s="152"/>
    </row>
    <row r="977" customFormat="false" ht="15.75" hidden="false" customHeight="false" outlineLevel="0" collapsed="false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  <c r="AG977" s="152"/>
      <c r="AH977" s="152"/>
      <c r="AI977" s="152"/>
      <c r="AJ977" s="152"/>
      <c r="AK977" s="152"/>
      <c r="AL977" s="152"/>
      <c r="AM977" s="152"/>
      <c r="AN977" s="152"/>
      <c r="AO977" s="152"/>
      <c r="AP977" s="152"/>
      <c r="AQ977" s="152"/>
      <c r="AR977" s="152"/>
      <c r="AS977" s="152"/>
      <c r="AT977" s="152"/>
      <c r="AU977" s="152"/>
      <c r="AV977" s="152"/>
      <c r="AW977" s="152"/>
      <c r="AX977" s="152"/>
      <c r="AY977" s="152"/>
      <c r="AZ977" s="152"/>
      <c r="BA977" s="152"/>
      <c r="BB977" s="152"/>
      <c r="BC977" s="152"/>
    </row>
    <row r="978" customFormat="false" ht="15.75" hidden="false" customHeight="false" outlineLevel="0" collapsed="false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  <c r="AG978" s="152"/>
      <c r="AH978" s="152"/>
      <c r="AI978" s="152"/>
      <c r="AJ978" s="152"/>
      <c r="AK978" s="152"/>
      <c r="AL978" s="152"/>
      <c r="AM978" s="152"/>
      <c r="AN978" s="152"/>
      <c r="AO978" s="152"/>
      <c r="AP978" s="152"/>
      <c r="AQ978" s="152"/>
      <c r="AR978" s="152"/>
      <c r="AS978" s="152"/>
      <c r="AT978" s="152"/>
      <c r="AU978" s="152"/>
      <c r="AV978" s="152"/>
      <c r="AW978" s="152"/>
      <c r="AX978" s="152"/>
      <c r="AY978" s="152"/>
      <c r="AZ978" s="152"/>
      <c r="BA978" s="152"/>
      <c r="BB978" s="152"/>
      <c r="BC978" s="152"/>
    </row>
    <row r="979" customFormat="false" ht="15.75" hidden="false" customHeight="false" outlineLevel="0" collapsed="false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  <c r="AG979" s="152"/>
      <c r="AH979" s="152"/>
      <c r="AI979" s="152"/>
      <c r="AJ979" s="152"/>
      <c r="AK979" s="152"/>
      <c r="AL979" s="152"/>
      <c r="AM979" s="152"/>
      <c r="AN979" s="152"/>
      <c r="AO979" s="152"/>
      <c r="AP979" s="152"/>
      <c r="AQ979" s="152"/>
      <c r="AR979" s="152"/>
      <c r="AS979" s="152"/>
      <c r="AT979" s="152"/>
      <c r="AU979" s="152"/>
      <c r="AV979" s="152"/>
      <c r="AW979" s="152"/>
      <c r="AX979" s="152"/>
      <c r="AY979" s="152"/>
      <c r="AZ979" s="152"/>
      <c r="BA979" s="152"/>
      <c r="BB979" s="152"/>
      <c r="BC979" s="152"/>
    </row>
    <row r="980" customFormat="false" ht="15.75" hidden="false" customHeight="false" outlineLevel="0" collapsed="false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  <c r="AG980" s="152"/>
      <c r="AH980" s="152"/>
      <c r="AI980" s="152"/>
      <c r="AJ980" s="152"/>
      <c r="AK980" s="152"/>
      <c r="AL980" s="152"/>
      <c r="AM980" s="152"/>
      <c r="AN980" s="152"/>
      <c r="AO980" s="152"/>
      <c r="AP980" s="152"/>
      <c r="AQ980" s="152"/>
      <c r="AR980" s="152"/>
      <c r="AS980" s="152"/>
      <c r="AT980" s="152"/>
      <c r="AU980" s="152"/>
      <c r="AV980" s="152"/>
      <c r="AW980" s="152"/>
      <c r="AX980" s="152"/>
      <c r="AY980" s="152"/>
      <c r="AZ980" s="152"/>
      <c r="BA980" s="152"/>
      <c r="BB980" s="152"/>
      <c r="BC980" s="152"/>
    </row>
    <row r="981" customFormat="false" ht="15.75" hidden="false" customHeight="false" outlineLevel="0" collapsed="false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  <c r="AG981" s="152"/>
      <c r="AH981" s="152"/>
      <c r="AI981" s="152"/>
      <c r="AJ981" s="152"/>
      <c r="AK981" s="152"/>
      <c r="AL981" s="152"/>
      <c r="AM981" s="152"/>
      <c r="AN981" s="152"/>
      <c r="AO981" s="152"/>
      <c r="AP981" s="152"/>
      <c r="AQ981" s="152"/>
      <c r="AR981" s="152"/>
      <c r="AS981" s="152"/>
      <c r="AT981" s="152"/>
      <c r="AU981" s="152"/>
      <c r="AV981" s="152"/>
      <c r="AW981" s="152"/>
      <c r="AX981" s="152"/>
      <c r="AY981" s="152"/>
      <c r="AZ981" s="152"/>
      <c r="BA981" s="152"/>
      <c r="BB981" s="152"/>
      <c r="BC981" s="152"/>
    </row>
    <row r="982" customFormat="false" ht="15.75" hidden="false" customHeight="false" outlineLevel="0" collapsed="false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  <c r="AG982" s="152"/>
      <c r="AH982" s="152"/>
      <c r="AI982" s="152"/>
      <c r="AJ982" s="152"/>
      <c r="AK982" s="152"/>
      <c r="AL982" s="152"/>
      <c r="AM982" s="152"/>
      <c r="AN982" s="152"/>
      <c r="AO982" s="152"/>
      <c r="AP982" s="152"/>
      <c r="AQ982" s="152"/>
      <c r="AR982" s="152"/>
      <c r="AS982" s="152"/>
      <c r="AT982" s="152"/>
      <c r="AU982" s="152"/>
      <c r="AV982" s="152"/>
      <c r="AW982" s="152"/>
      <c r="AX982" s="152"/>
      <c r="AY982" s="152"/>
      <c r="AZ982" s="152"/>
      <c r="BA982" s="152"/>
      <c r="BB982" s="152"/>
      <c r="BC982" s="152"/>
    </row>
    <row r="983" customFormat="false" ht="15.75" hidden="false" customHeight="false" outlineLevel="0" collapsed="false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  <c r="AG983" s="152"/>
      <c r="AH983" s="152"/>
      <c r="AI983" s="152"/>
      <c r="AJ983" s="152"/>
      <c r="AK983" s="152"/>
      <c r="AL983" s="152"/>
      <c r="AM983" s="152"/>
      <c r="AN983" s="152"/>
      <c r="AO983" s="152"/>
      <c r="AP983" s="152"/>
      <c r="AQ983" s="152"/>
      <c r="AR983" s="152"/>
      <c r="AS983" s="152"/>
      <c r="AT983" s="152"/>
      <c r="AU983" s="152"/>
      <c r="AV983" s="152"/>
      <c r="AW983" s="152"/>
      <c r="AX983" s="152"/>
      <c r="AY983" s="152"/>
      <c r="AZ983" s="152"/>
      <c r="BA983" s="152"/>
      <c r="BB983" s="152"/>
      <c r="BC983" s="152"/>
    </row>
    <row r="984" customFormat="false" ht="15.75" hidden="false" customHeight="false" outlineLevel="0" collapsed="false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  <c r="AG984" s="152"/>
      <c r="AH984" s="152"/>
      <c r="AI984" s="152"/>
      <c r="AJ984" s="152"/>
      <c r="AK984" s="152"/>
      <c r="AL984" s="152"/>
      <c r="AM984" s="152"/>
      <c r="AN984" s="152"/>
      <c r="AO984" s="152"/>
      <c r="AP984" s="152"/>
      <c r="AQ984" s="152"/>
      <c r="AR984" s="152"/>
      <c r="AS984" s="152"/>
      <c r="AT984" s="152"/>
      <c r="AU984" s="152"/>
      <c r="AV984" s="152"/>
      <c r="AW984" s="152"/>
      <c r="AX984" s="152"/>
      <c r="AY984" s="152"/>
      <c r="AZ984" s="152"/>
      <c r="BA984" s="152"/>
      <c r="BB984" s="152"/>
      <c r="BC984" s="152"/>
    </row>
    <row r="985" customFormat="false" ht="15.75" hidden="false" customHeight="false" outlineLevel="0" collapsed="false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  <c r="AG985" s="152"/>
      <c r="AH985" s="152"/>
      <c r="AI985" s="152"/>
      <c r="AJ985" s="152"/>
      <c r="AK985" s="152"/>
      <c r="AL985" s="152"/>
      <c r="AM985" s="152"/>
      <c r="AN985" s="152"/>
      <c r="AO985" s="152"/>
      <c r="AP985" s="152"/>
      <c r="AQ985" s="152"/>
      <c r="AR985" s="152"/>
      <c r="AS985" s="152"/>
      <c r="AT985" s="152"/>
      <c r="AU985" s="152"/>
      <c r="AV985" s="152"/>
      <c r="AW985" s="152"/>
      <c r="AX985" s="152"/>
      <c r="AY985" s="152"/>
      <c r="AZ985" s="152"/>
      <c r="BA985" s="152"/>
      <c r="BB985" s="152"/>
      <c r="BC985" s="152"/>
    </row>
    <row r="986" customFormat="false" ht="15.75" hidden="false" customHeight="false" outlineLevel="0" collapsed="false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  <c r="AG986" s="152"/>
      <c r="AH986" s="152"/>
      <c r="AI986" s="152"/>
      <c r="AJ986" s="152"/>
      <c r="AK986" s="152"/>
      <c r="AL986" s="152"/>
      <c r="AM986" s="152"/>
      <c r="AN986" s="152"/>
      <c r="AO986" s="152"/>
      <c r="AP986" s="152"/>
      <c r="AQ986" s="152"/>
      <c r="AR986" s="152"/>
      <c r="AS986" s="152"/>
      <c r="AT986" s="152"/>
      <c r="AU986" s="152"/>
      <c r="AV986" s="152"/>
      <c r="AW986" s="152"/>
      <c r="AX986" s="152"/>
      <c r="AY986" s="152"/>
      <c r="AZ986" s="152"/>
      <c r="BA986" s="152"/>
      <c r="BB986" s="152"/>
      <c r="BC986" s="152"/>
    </row>
    <row r="987" customFormat="false" ht="15.75" hidden="false" customHeight="false" outlineLevel="0" collapsed="false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  <c r="AG987" s="152"/>
      <c r="AH987" s="152"/>
      <c r="AI987" s="152"/>
      <c r="AJ987" s="152"/>
      <c r="AK987" s="152"/>
      <c r="AL987" s="152"/>
      <c r="AM987" s="152"/>
      <c r="AN987" s="152"/>
      <c r="AO987" s="152"/>
      <c r="AP987" s="152"/>
      <c r="AQ987" s="152"/>
      <c r="AR987" s="152"/>
      <c r="AS987" s="152"/>
      <c r="AT987" s="152"/>
      <c r="AU987" s="152"/>
      <c r="AV987" s="152"/>
      <c r="AW987" s="152"/>
      <c r="AX987" s="152"/>
      <c r="AY987" s="152"/>
      <c r="AZ987" s="152"/>
      <c r="BA987" s="152"/>
      <c r="BB987" s="152"/>
      <c r="BC987" s="152"/>
    </row>
    <row r="988" customFormat="false" ht="15.75" hidden="false" customHeight="false" outlineLevel="0" collapsed="false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  <c r="AG988" s="152"/>
      <c r="AH988" s="152"/>
      <c r="AI988" s="152"/>
      <c r="AJ988" s="152"/>
      <c r="AK988" s="152"/>
      <c r="AL988" s="152"/>
      <c r="AM988" s="152"/>
      <c r="AN988" s="152"/>
      <c r="AO988" s="152"/>
      <c r="AP988" s="152"/>
      <c r="AQ988" s="152"/>
      <c r="AR988" s="152"/>
      <c r="AS988" s="152"/>
      <c r="AT988" s="152"/>
      <c r="AU988" s="152"/>
      <c r="AV988" s="152"/>
      <c r="AW988" s="152"/>
      <c r="AX988" s="152"/>
      <c r="AY988" s="152"/>
      <c r="AZ988" s="152"/>
      <c r="BA988" s="152"/>
      <c r="BB988" s="152"/>
      <c r="BC988" s="152"/>
    </row>
    <row r="989" customFormat="false" ht="15.75" hidden="false" customHeight="false" outlineLevel="0" collapsed="false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  <c r="AG989" s="152"/>
      <c r="AH989" s="152"/>
      <c r="AI989" s="152"/>
      <c r="AJ989" s="152"/>
      <c r="AK989" s="152"/>
      <c r="AL989" s="152"/>
      <c r="AM989" s="152"/>
      <c r="AN989" s="152"/>
      <c r="AO989" s="152"/>
      <c r="AP989" s="152"/>
      <c r="AQ989" s="152"/>
      <c r="AR989" s="152"/>
      <c r="AS989" s="152"/>
      <c r="AT989" s="152"/>
      <c r="AU989" s="152"/>
      <c r="AV989" s="152"/>
      <c r="AW989" s="152"/>
      <c r="AX989" s="152"/>
      <c r="AY989" s="152"/>
      <c r="AZ989" s="152"/>
      <c r="BA989" s="152"/>
      <c r="BB989" s="152"/>
      <c r="BC989" s="152"/>
    </row>
    <row r="990" customFormat="false" ht="15.75" hidden="false" customHeight="false" outlineLevel="0" collapsed="false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  <c r="AG990" s="152"/>
      <c r="AH990" s="152"/>
      <c r="AI990" s="152"/>
      <c r="AJ990" s="152"/>
      <c r="AK990" s="152"/>
      <c r="AL990" s="152"/>
      <c r="AM990" s="152"/>
      <c r="AN990" s="152"/>
      <c r="AO990" s="152"/>
      <c r="AP990" s="152"/>
      <c r="AQ990" s="152"/>
      <c r="AR990" s="152"/>
      <c r="AS990" s="152"/>
      <c r="AT990" s="152"/>
      <c r="AU990" s="152"/>
      <c r="AV990" s="152"/>
      <c r="AW990" s="152"/>
      <c r="AX990" s="152"/>
      <c r="AY990" s="152"/>
      <c r="AZ990" s="152"/>
      <c r="BA990" s="152"/>
      <c r="BB990" s="152"/>
      <c r="BC990" s="152"/>
    </row>
    <row r="991" customFormat="false" ht="15.75" hidden="false" customHeight="false" outlineLevel="0" collapsed="false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  <c r="AG991" s="152"/>
      <c r="AH991" s="152"/>
      <c r="AI991" s="152"/>
      <c r="AJ991" s="152"/>
      <c r="AK991" s="152"/>
      <c r="AL991" s="152"/>
      <c r="AM991" s="152"/>
      <c r="AN991" s="152"/>
      <c r="AO991" s="152"/>
      <c r="AP991" s="152"/>
      <c r="AQ991" s="152"/>
      <c r="AR991" s="152"/>
      <c r="AS991" s="152"/>
      <c r="AT991" s="152"/>
      <c r="AU991" s="152"/>
      <c r="AV991" s="152"/>
      <c r="AW991" s="152"/>
      <c r="AX991" s="152"/>
      <c r="AY991" s="152"/>
      <c r="AZ991" s="152"/>
      <c r="BA991" s="152"/>
      <c r="BB991" s="152"/>
      <c r="BC991" s="152"/>
    </row>
    <row r="992" customFormat="false" ht="15.75" hidden="false" customHeight="false" outlineLevel="0" collapsed="false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  <c r="AG992" s="152"/>
      <c r="AH992" s="152"/>
      <c r="AI992" s="152"/>
      <c r="AJ992" s="152"/>
      <c r="AK992" s="152"/>
      <c r="AL992" s="152"/>
      <c r="AM992" s="152"/>
      <c r="AN992" s="152"/>
      <c r="AO992" s="152"/>
      <c r="AP992" s="152"/>
      <c r="AQ992" s="152"/>
      <c r="AR992" s="152"/>
      <c r="AS992" s="152"/>
      <c r="AT992" s="152"/>
      <c r="AU992" s="152"/>
      <c r="AV992" s="152"/>
      <c r="AW992" s="152"/>
      <c r="AX992" s="152"/>
      <c r="AY992" s="152"/>
      <c r="AZ992" s="152"/>
      <c r="BA992" s="152"/>
      <c r="BB992" s="152"/>
      <c r="BC992" s="152"/>
    </row>
    <row r="993" customFormat="false" ht="15.75" hidden="false" customHeight="false" outlineLevel="0" collapsed="false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  <c r="AG993" s="152"/>
      <c r="AH993" s="152"/>
      <c r="AI993" s="152"/>
      <c r="AJ993" s="152"/>
      <c r="AK993" s="152"/>
      <c r="AL993" s="152"/>
      <c r="AM993" s="152"/>
      <c r="AN993" s="152"/>
      <c r="AO993" s="152"/>
      <c r="AP993" s="152"/>
      <c r="AQ993" s="152"/>
      <c r="AR993" s="152"/>
      <c r="AS993" s="152"/>
      <c r="AT993" s="152"/>
      <c r="AU993" s="152"/>
      <c r="AV993" s="152"/>
      <c r="AW993" s="152"/>
      <c r="AX993" s="152"/>
      <c r="AY993" s="152"/>
      <c r="AZ993" s="152"/>
      <c r="BA993" s="152"/>
      <c r="BB993" s="152"/>
      <c r="BC993" s="152"/>
    </row>
    <row r="994" customFormat="false" ht="15.75" hidden="false" customHeight="false" outlineLevel="0" collapsed="false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  <c r="AG994" s="152"/>
      <c r="AH994" s="152"/>
      <c r="AI994" s="152"/>
      <c r="AJ994" s="152"/>
      <c r="AK994" s="152"/>
      <c r="AL994" s="152"/>
      <c r="AM994" s="152"/>
      <c r="AN994" s="152"/>
      <c r="AO994" s="152"/>
      <c r="AP994" s="152"/>
      <c r="AQ994" s="152"/>
      <c r="AR994" s="152"/>
      <c r="AS994" s="152"/>
      <c r="AT994" s="152"/>
      <c r="AU994" s="152"/>
      <c r="AV994" s="152"/>
      <c r="AW994" s="152"/>
      <c r="AX994" s="152"/>
      <c r="AY994" s="152"/>
      <c r="AZ994" s="152"/>
      <c r="BA994" s="152"/>
      <c r="BB994" s="152"/>
      <c r="BC994" s="152"/>
    </row>
    <row r="995" customFormat="false" ht="15.75" hidden="false" customHeight="false" outlineLevel="0" collapsed="false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  <c r="AG995" s="152"/>
      <c r="AH995" s="152"/>
      <c r="AI995" s="152"/>
      <c r="AJ995" s="152"/>
      <c r="AK995" s="152"/>
      <c r="AL995" s="152"/>
      <c r="AM995" s="152"/>
      <c r="AN995" s="152"/>
      <c r="AO995" s="152"/>
      <c r="AP995" s="152"/>
      <c r="AQ995" s="152"/>
      <c r="AR995" s="152"/>
      <c r="AS995" s="152"/>
      <c r="AT995" s="152"/>
      <c r="AU995" s="152"/>
      <c r="AV995" s="152"/>
      <c r="AW995" s="152"/>
      <c r="AX995" s="152"/>
      <c r="AY995" s="152"/>
      <c r="AZ995" s="152"/>
      <c r="BA995" s="152"/>
      <c r="BB995" s="152"/>
      <c r="BC995" s="152"/>
    </row>
    <row r="996" customFormat="false" ht="15.75" hidden="false" customHeight="false" outlineLevel="0" collapsed="false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  <c r="AG996" s="152"/>
      <c r="AH996" s="152"/>
      <c r="AI996" s="152"/>
      <c r="AJ996" s="152"/>
      <c r="AK996" s="152"/>
      <c r="AL996" s="152"/>
      <c r="AM996" s="152"/>
      <c r="AN996" s="152"/>
      <c r="AO996" s="152"/>
      <c r="AP996" s="152"/>
      <c r="AQ996" s="152"/>
      <c r="AR996" s="152"/>
      <c r="AS996" s="152"/>
      <c r="AT996" s="152"/>
      <c r="AU996" s="152"/>
      <c r="AV996" s="152"/>
      <c r="AW996" s="152"/>
      <c r="AX996" s="152"/>
      <c r="AY996" s="152"/>
      <c r="AZ996" s="152"/>
      <c r="BA996" s="152"/>
      <c r="BB996" s="152"/>
      <c r="BC996" s="152"/>
    </row>
    <row r="997" customFormat="false" ht="15.75" hidden="false" customHeight="false" outlineLevel="0" collapsed="false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  <c r="AG997" s="152"/>
      <c r="AH997" s="152"/>
      <c r="AI997" s="152"/>
      <c r="AJ997" s="152"/>
      <c r="AK997" s="152"/>
      <c r="AL997" s="152"/>
      <c r="AM997" s="152"/>
      <c r="AN997" s="152"/>
      <c r="AO997" s="152"/>
      <c r="AP997" s="152"/>
      <c r="AQ997" s="152"/>
      <c r="AR997" s="152"/>
      <c r="AS997" s="152"/>
      <c r="AT997" s="152"/>
      <c r="AU997" s="152"/>
      <c r="AV997" s="152"/>
      <c r="AW997" s="152"/>
      <c r="AX997" s="152"/>
      <c r="AY997" s="152"/>
      <c r="AZ997" s="152"/>
      <c r="BA997" s="152"/>
      <c r="BB997" s="152"/>
      <c r="BC997" s="152"/>
    </row>
    <row r="998" customFormat="false" ht="15.75" hidden="false" customHeight="false" outlineLevel="0" collapsed="false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  <c r="AG998" s="152"/>
      <c r="AH998" s="152"/>
      <c r="AI998" s="152"/>
      <c r="AJ998" s="152"/>
      <c r="AK998" s="152"/>
      <c r="AL998" s="152"/>
      <c r="AM998" s="152"/>
      <c r="AN998" s="152"/>
      <c r="AO998" s="152"/>
      <c r="AP998" s="152"/>
      <c r="AQ998" s="152"/>
      <c r="AR998" s="152"/>
      <c r="AS998" s="152"/>
      <c r="AT998" s="152"/>
      <c r="AU998" s="152"/>
      <c r="AV998" s="152"/>
      <c r="AW998" s="152"/>
      <c r="AX998" s="152"/>
      <c r="AY998" s="152"/>
      <c r="AZ998" s="152"/>
      <c r="BA998" s="152"/>
      <c r="BB998" s="152"/>
      <c r="BC998" s="152"/>
    </row>
    <row r="999" customFormat="false" ht="15.75" hidden="false" customHeight="false" outlineLevel="0" collapsed="false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  <c r="AG999" s="152"/>
      <c r="AH999" s="152"/>
      <c r="AI999" s="152"/>
      <c r="AJ999" s="152"/>
      <c r="AK999" s="152"/>
      <c r="AL999" s="152"/>
      <c r="AM999" s="152"/>
      <c r="AN999" s="152"/>
      <c r="AO999" s="152"/>
      <c r="AP999" s="152"/>
      <c r="AQ999" s="152"/>
      <c r="AR999" s="152"/>
      <c r="AS999" s="152"/>
      <c r="AT999" s="152"/>
      <c r="AU999" s="152"/>
      <c r="AV999" s="152"/>
      <c r="AW999" s="152"/>
      <c r="AX999" s="152"/>
      <c r="AY999" s="152"/>
      <c r="AZ999" s="152"/>
      <c r="BA999" s="152"/>
      <c r="BB999" s="152"/>
      <c r="BC999" s="152"/>
    </row>
    <row r="1000" customFormat="false" ht="15.75" hidden="false" customHeight="false" outlineLevel="0" collapsed="false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  <c r="AG1000" s="152"/>
      <c r="AH1000" s="152"/>
      <c r="AI1000" s="152"/>
      <c r="AJ1000" s="152"/>
      <c r="AK1000" s="152"/>
      <c r="AL1000" s="152"/>
      <c r="AM1000" s="152"/>
      <c r="AN1000" s="152"/>
      <c r="AO1000" s="152"/>
      <c r="AP1000" s="152"/>
      <c r="AQ1000" s="152"/>
      <c r="AR1000" s="152"/>
      <c r="AS1000" s="152"/>
      <c r="AT1000" s="152"/>
      <c r="AU1000" s="152"/>
      <c r="AV1000" s="152"/>
      <c r="AW1000" s="152"/>
      <c r="AX1000" s="152"/>
      <c r="AY1000" s="152"/>
      <c r="AZ1000" s="152"/>
      <c r="BA1000" s="152"/>
      <c r="BB1000" s="152"/>
      <c r="BC1000" s="152"/>
    </row>
    <row r="1001" customFormat="false" ht="15.75" hidden="false" customHeight="false" outlineLevel="0" collapsed="false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  <c r="AG1001" s="152"/>
      <c r="AH1001" s="152"/>
      <c r="AI1001" s="152"/>
      <c r="AJ1001" s="152"/>
      <c r="AK1001" s="152"/>
      <c r="AL1001" s="152"/>
      <c r="AM1001" s="152"/>
      <c r="AN1001" s="152"/>
      <c r="AO1001" s="152"/>
      <c r="AP1001" s="152"/>
      <c r="AQ1001" s="152"/>
      <c r="AR1001" s="152"/>
      <c r="AS1001" s="152"/>
      <c r="AT1001" s="152"/>
      <c r="AU1001" s="152"/>
      <c r="AV1001" s="152"/>
      <c r="AW1001" s="152"/>
      <c r="AX1001" s="152"/>
      <c r="AY1001" s="152"/>
      <c r="AZ1001" s="152"/>
      <c r="BA1001" s="152"/>
      <c r="BB1001" s="152"/>
      <c r="BC1001" s="152"/>
    </row>
    <row r="1048576" customFormat="false" ht="15.75" hidden="false" customHeight="true" outlineLevel="0" collapsed="false"/>
  </sheetData>
  <autoFilter ref="A1:M1615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55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6" t="n">
        <f aca="false">IFERROR(__xludf.dummyfunction("IMPORTRANGE(""1TpIiNTfR1pnpn85VWQTTdvQ2Xcr0GStmWJ2UvfKxG_A"", ""Mzdy!ac1:ad200"")"),30)</f>
        <v>30</v>
      </c>
      <c r="W1" s="157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57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57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58" t="s">
        <v>2605</v>
      </c>
      <c r="B4" s="158" t="s">
        <v>2606</v>
      </c>
      <c r="C4" s="1" t="str">
        <f aca="false">IFERROR(__xludf.dummyfunction("""COMPUTED_VALUE"""),"Manažer")</f>
        <v>Manažer</v>
      </c>
      <c r="D4" s="1" t="str">
        <f aca="false">IFERROR(__xludf.dummyfunction("""COMPUTED_VALUE"""),"Instore")</f>
        <v>Instore</v>
      </c>
      <c r="E4" s="1" t="str">
        <f aca="false">IFERROR(__xludf.dummyfunction("""COMPUTED_VALUE"""),"První domácí,          Pobočky max 4")</f>
        <v>První domácí,          Pobočky max 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 t="str">
        <f aca="false">IFERROR(__xludf.dummyfunction("""COMPUTED_VALUE"""),"Sp.hr. / h")</f>
        <v>Sp.hr. / h</v>
      </c>
      <c r="W4" s="157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" t="str">
        <f aca="false">IF(AND(B5&lt;&gt;"", C5=TRUE(), E5=Report!$B$1), B5, "")</f>
        <v/>
      </c>
      <c r="B5" s="159" t="str">
        <f aca="false">IF(OR(E5=Report!$B$1, F5=Report!$B$1, G5=Report!$B$1, H5=Report!$B$1), D5, "")</f>
        <v/>
      </c>
      <c r="C5" s="2" t="b">
        <f aca="false">IFERROR(__xludf.dummyfunction("""COMPUTED_VALUE"""),TRUE())</f>
        <v>1</v>
      </c>
      <c r="D5" s="1" t="str">
        <f aca="false">IFERROR(__xludf.dummyfunction("""COMPUTED_VALUE"""),"Nedbal Michal")</f>
        <v>Nedbal Michal</v>
      </c>
      <c r="E5" s="1" t="str">
        <f aca="false">IFERROR(__xludf.dummyfunction("""COMPUTED_VALUE"""),"Zličín")</f>
        <v>Zličín</v>
      </c>
      <c r="F5" s="1" t="str">
        <f aca="false">IFERROR(__xludf.dummyfunction("""COMPUTED_VALUE"""),"Malešice")</f>
        <v>Malešice</v>
      </c>
      <c r="G5" s="1" t="str">
        <f aca="false">IFERROR(__xludf.dummyfunction("""COMPUTED_VALUE"""),"Prosek")</f>
        <v>Prosek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57" t="n">
        <f aca="false">IFERROR(__xludf.dummyfunction("""COMPUTED_VALUE"""),432.3078)</f>
        <v>432.3078</v>
      </c>
      <c r="W5" s="157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" t="str">
        <f aca="false">IF(AND(B6&lt;&gt;"", C6=TRUE(), E6=Report!$B$1), B6, "")</f>
        <v/>
      </c>
      <c r="B6" s="159" t="str">
        <f aca="false">IF(OR(E6=Report!$B$1, F6=Report!$B$1, G6=Report!$B$1, H6=Report!$B$1), D6, "")</f>
        <v/>
      </c>
      <c r="C6" s="2" t="b">
        <f aca="false">IFERROR(__xludf.dummyfunction("""COMPUTED_VALUE"""),TRUE())</f>
        <v>1</v>
      </c>
      <c r="D6" s="1" t="str">
        <f aca="false">IFERROR(__xludf.dummyfunction("""COMPUTED_VALUE"""),"Sova Martin")</f>
        <v>Sova Martin</v>
      </c>
      <c r="E6" s="1" t="str">
        <f aca="false">IFERROR(__xludf.dummyfunction("""COMPUTED_VALUE"""),"Chodov")</f>
        <v>Chodov</v>
      </c>
      <c r="F6" s="1" t="str">
        <f aca="false">IFERROR(__xludf.dummyfunction("""COMPUTED_VALUE"""),"Libuš")</f>
        <v>Libuš</v>
      </c>
      <c r="G6" s="1" t="str">
        <f aca="false">IFERROR(__xludf.dummyfunction("""COMPUTED_VALUE"""),"Výroba")</f>
        <v>Výroba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57" t="n">
        <f aca="false">IFERROR(__xludf.dummyfunction("""COMPUTED_VALUE"""),432.3078)</f>
        <v>432.3078</v>
      </c>
      <c r="W6" s="157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" t="str">
        <f aca="false">IF(AND(B7&lt;&gt;"", C7=TRUE(), E7=Report!$B$1), B7, "")</f>
        <v/>
      </c>
      <c r="B7" s="159" t="str">
        <f aca="false">IF(OR(E7=Report!$B$1, F7=Report!$B$1, G7=Report!$B$1, H7=Report!$B$1), D7, "")</f>
        <v/>
      </c>
      <c r="C7" s="2" t="b">
        <f aca="false">IFERROR(__xludf.dummyfunction("""COMPUTED_VALUE"""),TRUE())</f>
        <v>1</v>
      </c>
      <c r="D7" s="1" t="str">
        <f aca="false">IFERROR(__xludf.dummyfunction("""COMPUTED_VALUE"""),"Paziak Viktoriia")</f>
        <v>Paziak Viktoriia</v>
      </c>
      <c r="E7" s="1" t="str">
        <f aca="false">IFERROR(__xludf.dummyfunction("""COMPUTED_VALUE"""),"Výroba")</f>
        <v>Výroba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57" t="n">
        <f aca="false">IFERROR(__xludf.dummyfunction("""COMPUTED_VALUE"""),341.19)</f>
        <v>341.19</v>
      </c>
      <c r="W7" s="157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" t="str">
        <f aca="false">IF(AND(B8&lt;&gt;"", C8=TRUE(), E8=Report!$B$1), B8, "")</f>
        <v/>
      </c>
      <c r="B8" s="159" t="str">
        <f aca="false">IF(OR(E8=Report!$B$1, F8=Report!$B$1, G8=Report!$B$1, H8=Report!$B$1), D8, "")</f>
        <v/>
      </c>
      <c r="C8" s="2" t="b">
        <f aca="false">IFERROR(__xludf.dummyfunction("""COMPUTED_VALUE"""),FALSE())</f>
        <v>0</v>
      </c>
      <c r="D8" s="1" t="str">
        <f aca="false">IFERROR(__xludf.dummyfunction("""COMPUTED_VALUE"""),"Ahurieva Viktoriia")</f>
        <v>Ahurieva Viktoriia</v>
      </c>
      <c r="E8" s="1" t="str">
        <f aca="false">IFERROR(__xludf.dummyfunction("""COMPUTED_VALUE"""),"Libuš")</f>
        <v>Libuš</v>
      </c>
      <c r="F8" s="1" t="str">
        <f aca="false">IFERROR(__xludf.dummyfunction("""COMPUTED_VALUE"""),"Malešice")</f>
        <v>Malešice</v>
      </c>
      <c r="G8" s="1" t="str">
        <f aca="false">IFERROR(__xludf.dummyfunction("""COMPUTED_VALUE"""),"Chodov")</f>
        <v>Chodov</v>
      </c>
      <c r="H8" s="1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57" t="n">
        <f aca="false">IFERROR(__xludf.dummyfunction("""COMPUTED_VALUE"""),432.3078)</f>
        <v>432.3078</v>
      </c>
      <c r="W8" s="157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" t="str">
        <f aca="false">IF(AND(B9&lt;&gt;"", C9=TRUE(), E9=Report!$B$1), B9, "")</f>
        <v/>
      </c>
      <c r="B9" s="159" t="str">
        <f aca="false">IF(OR(E9=Report!$B$1, F9=Report!$B$1, G9=Report!$B$1, H9=Report!$B$1), D9, "")</f>
        <v/>
      </c>
      <c r="C9" s="2" t="b">
        <f aca="false">IFERROR(__xludf.dummyfunction("""COMPUTED_VALUE"""),TRUE())</f>
        <v>1</v>
      </c>
      <c r="D9" s="1" t="str">
        <f aca="false">IFERROR(__xludf.dummyfunction("""COMPUTED_VALUE"""),"Pešová Hana")</f>
        <v>Pešová Hana</v>
      </c>
      <c r="E9" s="1" t="str">
        <f aca="false">IFERROR(__xludf.dummyfunction("""COMPUTED_VALUE"""),"Chodov")</f>
        <v>Chodov</v>
      </c>
      <c r="F9" s="1" t="str">
        <f aca="false">IFERROR(__xludf.dummyfunction("""COMPUTED_VALUE"""),"Prosek")</f>
        <v>Prosek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57" t="n">
        <f aca="false">IFERROR(__xludf.dummyfunction("""COMPUTED_VALUE"""),341.19)</f>
        <v>341.19</v>
      </c>
      <c r="W9" s="157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" t="str">
        <f aca="false">IF(AND(B10&lt;&gt;"", C10=TRUE(), E10=Report!$B$1), B10, "")</f>
        <v/>
      </c>
      <c r="B10" s="159" t="str">
        <f aca="false">IF(OR(E10=Report!$B$1, F10=Report!$B$1, G10=Report!$B$1, H10=Report!$B$1), D10, "")</f>
        <v/>
      </c>
      <c r="C10" s="2" t="b">
        <f aca="false">IFERROR(__xludf.dummyfunction("""COMPUTED_VALUE"""),TRUE())</f>
        <v>1</v>
      </c>
      <c r="D10" s="1" t="str">
        <f aca="false">IFERROR(__xludf.dummyfunction("""COMPUTED_VALUE"""),"Šebesta Tomáš")</f>
        <v>Šebesta Tomáš</v>
      </c>
      <c r="E10" s="1" t="str">
        <f aca="false">IFERROR(__xludf.dummyfunction("""COMPUTED_VALUE"""),"Prosek")</f>
        <v>Prosek</v>
      </c>
      <c r="F10" s="1" t="str">
        <f aca="false">IFERROR(__xludf.dummyfunction("""COMPUTED_VALUE"""),"Libuš")</f>
        <v>Libuš</v>
      </c>
      <c r="G10" s="1" t="str">
        <f aca="false">IFERROR(__xludf.dummyfunction("""COMPUTED_VALUE"""),"Malešice")</f>
        <v>Malešice</v>
      </c>
      <c r="H10" s="1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57" t="n">
        <f aca="false">IFERROR(__xludf.dummyfunction("""COMPUTED_VALUE"""),432.3078)</f>
        <v>432.3078</v>
      </c>
      <c r="W10" s="157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" t="str">
        <f aca="false">IF(AND(B11&lt;&gt;"", C11=TRUE(), E11=Report!$B$1), B11, "")</f>
        <v/>
      </c>
      <c r="B11" s="159" t="str">
        <f aca="false">IF(OR(E11=Report!$B$1, F11=Report!$B$1, G11=Report!$B$1, H11=Report!$B$1), D11, "")</f>
        <v/>
      </c>
      <c r="C11" s="2" t="b">
        <f aca="false">IFERROR(__xludf.dummyfunction("""COMPUTED_VALUE"""),FALSE())</f>
        <v>0</v>
      </c>
      <c r="D11" s="1" t="str">
        <f aca="false">IFERROR(__xludf.dummyfunction("""COMPUTED_VALUE"""),"Hanakova Ayuna")</f>
        <v>Hanakova Ayuna</v>
      </c>
      <c r="E11" s="1" t="str">
        <f aca="false">IFERROR(__xludf.dummyfunction("""COMPUTED_VALUE"""),"Zličín")</f>
        <v>Zličín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57" t="n">
        <f aca="false">IFERROR(__xludf.dummyfunction("""COMPUTED_VALUE"""),295.698)</f>
        <v>295.698</v>
      </c>
      <c r="W11" s="157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" t="str">
        <f aca="false">IF(AND(B12&lt;&gt;"", C12=TRUE(), E12=Report!$B$1), B12, "")</f>
        <v/>
      </c>
      <c r="B12" s="159" t="str">
        <f aca="false">IF(OR(E12=Report!$B$1, F12=Report!$B$1, G12=Report!$B$1, H12=Report!$B$1), D12, "")</f>
        <v/>
      </c>
      <c r="C12" s="2" t="b">
        <f aca="false">IFERROR(__xludf.dummyfunction("""COMPUTED_VALUE"""),FALSE())</f>
        <v>0</v>
      </c>
      <c r="D12" s="1" t="str">
        <f aca="false">IFERROR(__xludf.dummyfunction("""COMPUTED_VALUE"""),"Vondráček Lukáš")</f>
        <v>Vondráček Lukáš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57" t="n">
        <f aca="false">IFERROR(__xludf.dummyfunction("""COMPUTED_VALUE"""),0)</f>
        <v>0</v>
      </c>
      <c r="W12" s="157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" t="str">
        <f aca="false">IF(AND(B13&lt;&gt;"", C13=TRUE(), E13=Report!$B$1), B13, "")</f>
        <v/>
      </c>
      <c r="B13" s="159" t="str">
        <f aca="false">IF(OR(E13=Report!$B$1, F13=Report!$B$1, G13=Report!$B$1, H13=Report!$B$1), D13, "")</f>
        <v/>
      </c>
      <c r="C13" s="2" t="b">
        <f aca="false">IFERROR(__xludf.dummyfunction("""COMPUTED_VALUE"""),TRUE())</f>
        <v>1</v>
      </c>
      <c r="D13" s="1" t="str">
        <f aca="false">IFERROR(__xludf.dummyfunction("""COMPUTED_VALUE"""),"Veselý Ondřej")</f>
        <v>Veselý Ondřej</v>
      </c>
      <c r="E13" s="1" t="str">
        <f aca="false">IFERROR(__xludf.dummyfunction("""COMPUTED_VALUE"""),"Zličín")</f>
        <v>Zličín</v>
      </c>
      <c r="F13" s="1" t="str">
        <f aca="false">IFERROR(__xludf.dummyfunction("""COMPUTED_VALUE"""),"Malešice")</f>
        <v>Malešice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57" t="n">
        <f aca="false">IFERROR(__xludf.dummyfunction("""COMPUTED_VALUE"""),341.19)</f>
        <v>341.19</v>
      </c>
      <c r="W13" s="157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" t="str">
        <f aca="false">IF(AND(B14&lt;&gt;"", C14=TRUE(), E14=Report!$B$1), B14, "")</f>
        <v/>
      </c>
      <c r="B14" s="159" t="str">
        <f aca="false">IF(OR(E14=Report!$B$1, F14=Report!$B$1, G14=Report!$B$1, H14=Report!$B$1), D14, "")</f>
        <v/>
      </c>
      <c r="C14" s="2" t="b">
        <f aca="false">IFERROR(__xludf.dummyfunction("""COMPUTED_VALUE"""),FALSE())</f>
        <v>0</v>
      </c>
      <c r="D14" s="1" t="str">
        <f aca="false">IFERROR(__xludf.dummyfunction("""COMPUTED_VALUE"""),"Coufal Jakub")</f>
        <v>Coufal Jakub</v>
      </c>
      <c r="E14" s="1" t="str">
        <f aca="false">IFERROR(__xludf.dummyfunction("""COMPUTED_VALUE"""),"Libuš")</f>
        <v>Libuš</v>
      </c>
      <c r="F14" s="1" t="str">
        <f aca="false">IFERROR(__xludf.dummyfunction("""COMPUTED_VALUE"""),"Malešice")</f>
        <v>Malešice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57" t="n">
        <f aca="false">IFERROR(__xludf.dummyfunction("""COMPUTED_VALUE"""),250.206)</f>
        <v>250.206</v>
      </c>
      <c r="W14" s="157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" t="str">
        <f aca="false">IF(AND(B15&lt;&gt;"", C15=TRUE(), E15=Report!$B$1), B15, "")</f>
        <v/>
      </c>
      <c r="B15" s="159" t="str">
        <f aca="false">IF(OR(E15=Report!$B$1, F15=Report!$B$1, G15=Report!$B$1, H15=Report!$B$1), D15, "")</f>
        <v/>
      </c>
      <c r="C15" s="2" t="b">
        <f aca="false">IFERROR(__xludf.dummyfunction("""COMPUTED_VALUE"""),TRUE())</f>
        <v>1</v>
      </c>
      <c r="D15" s="1" t="str">
        <f aca="false">IFERROR(__xludf.dummyfunction("""COMPUTED_VALUE"""),"Kinkorová Petra")</f>
        <v>Kinkorová Petra</v>
      </c>
      <c r="E15" s="1" t="str">
        <f aca="false">IFERROR(__xludf.dummyfunction("""COMPUTED_VALUE"""),"Malešice")</f>
        <v>Malešice</v>
      </c>
      <c r="F15" s="1" t="str">
        <f aca="false">IFERROR(__xludf.dummyfunction("""COMPUTED_VALUE"""),"Zličín")</f>
        <v>Zličín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57" t="n">
        <f aca="false">IFERROR(__xludf.dummyfunction("""COMPUTED_VALUE"""),341.19)</f>
        <v>341.19</v>
      </c>
      <c r="W15" s="157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" t="str">
        <f aca="false">IF(AND(B16&lt;&gt;"", C16=TRUE(), E16=Report!$B$1), B16, "")</f>
        <v/>
      </c>
      <c r="B16" s="159" t="str">
        <f aca="false">IF(OR(E16=Report!$B$1, F16=Report!$B$1, G16=Report!$B$1, H16=Report!$B$1), D16, "")</f>
        <v/>
      </c>
      <c r="C16" s="2" t="b">
        <f aca="false">IFERROR(__xludf.dummyfunction("""COMPUTED_VALUE"""),TRUE())</f>
        <v>1</v>
      </c>
      <c r="D16" s="1" t="str">
        <f aca="false">IFERROR(__xludf.dummyfunction("""COMPUTED_VALUE"""),"Nováková Adéla")</f>
        <v>Nováková Adéla</v>
      </c>
      <c r="E16" s="1" t="str">
        <f aca="false">IFERROR(__xludf.dummyfunction("""COMPUTED_VALUE"""),"Prosek")</f>
        <v>Prosek</v>
      </c>
      <c r="F16" s="1" t="str">
        <f aca="false">IFERROR(__xludf.dummyfunction("""COMPUTED_VALUE"""),"Malešice")</f>
        <v>Malešice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57" t="n">
        <f aca="false">IFERROR(__xludf.dummyfunction("""COMPUTED_VALUE"""),341.19)</f>
        <v>341.19</v>
      </c>
      <c r="W16" s="157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" t="str">
        <f aca="false">IF(AND(B17&lt;&gt;"", C17=TRUE(), E17=Report!$B$1), B17, "")</f>
        <v/>
      </c>
      <c r="B17" s="159" t="str">
        <f aca="false">IF(OR(E17=Report!$B$1, F17=Report!$B$1, G17=Report!$B$1, H17=Report!$B$1), D17, "")</f>
        <v/>
      </c>
      <c r="C17" s="2" t="b">
        <f aca="false">IFERROR(__xludf.dummyfunction("""COMPUTED_VALUE"""),FALSE())</f>
        <v>0</v>
      </c>
      <c r="D17" s="1" t="str">
        <f aca="false">IFERROR(__xludf.dummyfunction("""COMPUTED_VALUE"""),"Pechová Barbora")</f>
        <v>Pechová Barbora</v>
      </c>
      <c r="E17" s="1" t="str">
        <f aca="false">IFERROR(__xludf.dummyfunction("""COMPUTED_VALUE"""),"Zličín")</f>
        <v>Zličín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57" t="n">
        <f aca="false">IFERROR(__xludf.dummyfunction("""COMPUTED_VALUE"""),267.6)</f>
        <v>267.6</v>
      </c>
      <c r="W17" s="157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" t="str">
        <f aca="false">IF(AND(B18&lt;&gt;"", C18=TRUE(), E18=Report!$B$1), B18, "")</f>
        <v/>
      </c>
      <c r="B18" s="159" t="str">
        <f aca="false">IF(OR(E18=Report!$B$1, F18=Report!$B$1, G18=Report!$B$1, H18=Report!$B$1), D18, "")</f>
        <v/>
      </c>
      <c r="C18" s="2" t="b">
        <f aca="false">IFERROR(__xludf.dummyfunction("""COMPUTED_VALUE"""),FALSE())</f>
        <v>0</v>
      </c>
      <c r="D18" s="1" t="str">
        <f aca="false">IFERROR(__xludf.dummyfunction("""COMPUTED_VALUE"""),"Stepanenko Solomiia")</f>
        <v>Stepanenko Solomiia</v>
      </c>
      <c r="E18" s="1" t="str">
        <f aca="false">IFERROR(__xludf.dummyfunction("""COMPUTED_VALUE"""),"Výroba")</f>
        <v>Výroba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57" t="n">
        <f aca="false">IFERROR(__xludf.dummyfunction("""COMPUTED_VALUE"""),286.332)</f>
        <v>286.332</v>
      </c>
      <c r="W18" s="157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" t="str">
        <f aca="false">IF(AND(B19&lt;&gt;"", C19=TRUE(), E19=Report!$B$1), B19, "")</f>
        <v/>
      </c>
      <c r="B19" s="159" t="str">
        <f aca="false">IF(OR(E19=Report!$B$1, F19=Report!$B$1, G19=Report!$B$1, H19=Report!$B$1), D19, "")</f>
        <v>Rothová Anastasia</v>
      </c>
      <c r="C19" s="2" t="b">
        <f aca="false">IFERROR(__xludf.dummyfunction("""COMPUTED_VALUE"""),FALSE())</f>
        <v>0</v>
      </c>
      <c r="D19" s="1" t="str">
        <f aca="false">IFERROR(__xludf.dummyfunction("""COMPUTED_VALUE"""),"Rothová Anastasia")</f>
        <v>Rothová Anastasia</v>
      </c>
      <c r="E19" s="1" t="str">
        <f aca="false">IFERROR(__xludf.dummyfunction("""COMPUTED_VALUE"""),"Bolevec")</f>
        <v>Bolevec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57" t="n">
        <f aca="false">IFERROR(__xludf.dummyfunction("""COMPUTED_VALUE"""),341.19)</f>
        <v>341.19</v>
      </c>
      <c r="W19" s="157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" t="str">
        <f aca="false">IF(AND(B20&lt;&gt;"", C20=TRUE(), E20=Report!$B$1), B20, "")</f>
        <v/>
      </c>
      <c r="B20" s="159" t="str">
        <f aca="false">IF(OR(E20=Report!$B$1, F20=Report!$B$1, G20=Report!$B$1, H20=Report!$B$1), D20, "")</f>
        <v/>
      </c>
      <c r="C20" s="2" t="b">
        <f aca="false">IFERROR(__xludf.dummyfunction("""COMPUTED_VALUE"""),FALSE())</f>
        <v>0</v>
      </c>
      <c r="D20" s="1" t="str">
        <f aca="false">IFERROR(__xludf.dummyfunction("""COMPUTED_VALUE"""),"Pánková Vendula")</f>
        <v>Pánková Vendula</v>
      </c>
      <c r="E20" s="1" t="str">
        <f aca="false">IFERROR(__xludf.dummyfunction("""COMPUTED_VALUE"""),"Zličín")</f>
        <v>Zličín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57" t="n">
        <f aca="false">IFERROR(__xludf.dummyfunction("""COMPUTED_VALUE"""),267.6)</f>
        <v>267.6</v>
      </c>
      <c r="W20" s="157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" t="str">
        <f aca="false">IF(AND(B21&lt;&gt;"", C21=TRUE(), E21=Report!$B$1), B21, "")</f>
        <v/>
      </c>
      <c r="B21" s="159" t="str">
        <f aca="false">IF(OR(E21=Report!$B$1, F21=Report!$B$1, G21=Report!$B$1, H21=Report!$B$1), D21, "")</f>
        <v/>
      </c>
      <c r="C21" s="2" t="b">
        <f aca="false">IFERROR(__xludf.dummyfunction("""COMPUTED_VALUE"""),TRUE())</f>
        <v>1</v>
      </c>
      <c r="D21" s="1" t="str">
        <f aca="false">IFERROR(__xludf.dummyfunction("""COMPUTED_VALUE"""),"Hegedüs Erik")</f>
        <v>Hegedüs Erik</v>
      </c>
      <c r="E21" s="1" t="str">
        <f aca="false">IFERROR(__xludf.dummyfunction("""COMPUTED_VALUE"""),"Libuš")</f>
        <v>Libuš</v>
      </c>
      <c r="F21" s="1" t="str">
        <f aca="false">IFERROR(__xludf.dummyfunction("""COMPUTED_VALUE"""),"Chodov")</f>
        <v>Chodov</v>
      </c>
      <c r="G21" s="1" t="str">
        <f aca="false">IFERROR(__xludf.dummyfunction("""COMPUTED_VALUE"""),"Malešice")</f>
        <v>Malešice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57" t="n">
        <f aca="false">IFERROR(__xludf.dummyfunction("""COMPUTED_VALUE"""),432.3078)</f>
        <v>432.3078</v>
      </c>
      <c r="W21" s="157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" t="str">
        <f aca="false">IF(AND(B22&lt;&gt;"", C22=TRUE(), E22=Report!$B$1), B22, "")</f>
        <v>Roth Stanislav ml.</v>
      </c>
      <c r="B22" s="159" t="str">
        <f aca="false">IF(OR(E22=Report!$B$1, F22=Report!$B$1, G22=Report!$B$1, H22=Report!$B$1), D22, "")</f>
        <v>Roth Stanislav ml.</v>
      </c>
      <c r="C22" s="2" t="b">
        <f aca="false">IFERROR(__xludf.dummyfunction("""COMPUTED_VALUE"""),TRUE())</f>
        <v>1</v>
      </c>
      <c r="D22" s="1" t="str">
        <f aca="false">IFERROR(__xludf.dummyfunction("""COMPUTED_VALUE"""),"Roth Stanislav ml.")</f>
        <v>Roth Stanislav ml.</v>
      </c>
      <c r="E22" s="1" t="str">
        <f aca="false">IFERROR(__xludf.dummyfunction("""COMPUTED_VALUE"""),"Bolevec")</f>
        <v>Bolevec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57" t="n">
        <f aca="false">IFERROR(__xludf.dummyfunction("""COMPUTED_VALUE"""),432.3078)</f>
        <v>432.3078</v>
      </c>
      <c r="W22" s="157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" t="str">
        <f aca="false">IF(AND(B23&lt;&gt;"", C23=TRUE(), E23=Report!$B$1), B23, "")</f>
        <v/>
      </c>
      <c r="B23" s="159" t="str">
        <f aca="false">IF(OR(E23=Report!$B$1, F23=Report!$B$1, G23=Report!$B$1, H23=Report!$B$1), D23, "")</f>
        <v/>
      </c>
      <c r="C23" s="2" t="b">
        <f aca="false">IFERROR(__xludf.dummyfunction("""COMPUTED_VALUE"""),FALSE())</f>
        <v>0</v>
      </c>
      <c r="D23" s="1" t="str">
        <f aca="false">IFERROR(__xludf.dummyfunction("""COMPUTED_VALUE"""),"Makula Radek")</f>
        <v>Makula Radek</v>
      </c>
      <c r="E23" s="1" t="str">
        <f aca="false">IFERROR(__xludf.dummyfunction("""COMPUTED_VALUE"""),"Prosek")</f>
        <v>Prosek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57" t="n">
        <f aca="false">IFERROR(__xludf.dummyfunction("""COMPUTED_VALUE"""),250.206)</f>
        <v>250.206</v>
      </c>
      <c r="W23" s="157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" t="str">
        <f aca="false">IF(AND(B24&lt;&gt;"", C24=TRUE(), E24=Report!$B$1), B24, "")</f>
        <v/>
      </c>
      <c r="B24" s="159" t="str">
        <f aca="false">IF(OR(E24=Report!$B$1, F24=Report!$B$1, G24=Report!$B$1, H24=Report!$B$1), D24, "")</f>
        <v/>
      </c>
      <c r="C24" s="2" t="b">
        <f aca="false">IFERROR(__xludf.dummyfunction("""COMPUTED_VALUE"""),FALSE())</f>
        <v>0</v>
      </c>
      <c r="D24" s="1" t="str">
        <f aca="false">IFERROR(__xludf.dummyfunction("""COMPUTED_VALUE"""),"Bubník Martin")</f>
        <v>Bubník Martin</v>
      </c>
      <c r="E24" s="1" t="str">
        <f aca="false">IFERROR(__xludf.dummyfunction("""COMPUTED_VALUE"""),"Libuš")</f>
        <v>Libuš</v>
      </c>
      <c r="F24" s="1" t="str">
        <f aca="false">IFERROR(__xludf.dummyfunction("""COMPUTED_VALUE"""),"Malešice")</f>
        <v>Malešice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57" t="n">
        <f aca="false">IFERROR(__xludf.dummyfunction("""COMPUTED_VALUE"""),267.6)</f>
        <v>267.6</v>
      </c>
      <c r="W24" s="157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" t="str">
        <f aca="false">IF(AND(B25&lt;&gt;"", C25=TRUE(), E25=Report!$B$1), B25, "")</f>
        <v/>
      </c>
      <c r="B25" s="159" t="str">
        <f aca="false">IF(OR(E25=Report!$B$1, F25=Report!$B$1, G25=Report!$B$1, H25=Report!$B$1), D25, "")</f>
        <v/>
      </c>
      <c r="C25" s="2" t="b">
        <f aca="false">IFERROR(__xludf.dummyfunction("""COMPUTED_VALUE"""),FALSE())</f>
        <v>0</v>
      </c>
      <c r="D25" s="1" t="str">
        <f aca="false">IFERROR(__xludf.dummyfunction("""COMPUTED_VALUE"""),"Mirga Simon")</f>
        <v>Mirga Simon</v>
      </c>
      <c r="E25" s="1" t="str">
        <f aca="false">IFERROR(__xludf.dummyfunction("""COMPUTED_VALUE"""),"Malešice")</f>
        <v>Malešice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57" t="n">
        <f aca="false">IFERROR(__xludf.dummyfunction("""COMPUTED_VALUE"""),231.474)</f>
        <v>231.474</v>
      </c>
      <c r="W25" s="157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" t="str">
        <f aca="false">IF(AND(B26&lt;&gt;"", C26=TRUE(), E26=Report!$B$1), B26, "")</f>
        <v/>
      </c>
      <c r="B26" s="159" t="str">
        <f aca="false">IF(OR(E26=Report!$B$1, F26=Report!$B$1, G26=Report!$B$1, H26=Report!$B$1), D26, "")</f>
        <v/>
      </c>
      <c r="C26" s="2" t="b">
        <f aca="false">IFERROR(__xludf.dummyfunction("""COMPUTED_VALUE"""),FALSE())</f>
        <v>0</v>
      </c>
      <c r="D26" s="1" t="str">
        <f aca="false">IFERROR(__xludf.dummyfunction("""COMPUTED_VALUE"""),"Bušek Pavel")</f>
        <v>Bušek Pavel</v>
      </c>
      <c r="E26" s="1" t="str">
        <f aca="false">IFERROR(__xludf.dummyfunction("""COMPUTED_VALUE"""),"Prosek")</f>
        <v>Prosek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57" t="n">
        <f aca="false">IFERROR(__xludf.dummyfunction("""COMPUTED_VALUE"""),250.206)</f>
        <v>250.206</v>
      </c>
      <c r="W26" s="157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" t="str">
        <f aca="false">IF(AND(B27&lt;&gt;"", C27=TRUE(), E27=Report!$B$1), B27, "")</f>
        <v/>
      </c>
      <c r="B27" s="159" t="str">
        <f aca="false">IF(OR(E27=Report!$B$1, F27=Report!$B$1, G27=Report!$B$1, H27=Report!$B$1), D27, "")</f>
        <v/>
      </c>
      <c r="C27" s="2" t="b">
        <f aca="false">IFERROR(__xludf.dummyfunction("""COMPUTED_VALUE"""),FALSE())</f>
        <v>0</v>
      </c>
      <c r="D27" s="1" t="str">
        <f aca="false">IFERROR(__xludf.dummyfunction("""COMPUTED_VALUE"""),"Berdar Vasyl")</f>
        <v>Berdar Vasyl</v>
      </c>
      <c r="E27" s="1" t="str">
        <f aca="false">IFERROR(__xludf.dummyfunction("""COMPUTED_VALUE"""),"Libuš")</f>
        <v>Libuš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57" t="n">
        <f aca="false">IFERROR(__xludf.dummyfunction("""COMPUTED_VALUE"""),286.332)</f>
        <v>286.332</v>
      </c>
      <c r="W27" s="157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" t="str">
        <f aca="false">IF(AND(B28&lt;&gt;"", C28=TRUE(), E28=Report!$B$1), B28, "")</f>
        <v/>
      </c>
      <c r="B28" s="159" t="str">
        <f aca="false">IF(OR(E28=Report!$B$1, F28=Report!$B$1, G28=Report!$B$1, H28=Report!$B$1), D28, "")</f>
        <v/>
      </c>
      <c r="C28" s="2" t="b">
        <f aca="false">IFERROR(__xludf.dummyfunction("""COMPUTED_VALUE"""),FALSE())</f>
        <v>0</v>
      </c>
      <c r="D28" s="1" t="str">
        <f aca="false">IFERROR(__xludf.dummyfunction("""COMPUTED_VALUE"""),"Yarushynskyi Vladyslav")</f>
        <v>Yarushynskyi Vladyslav</v>
      </c>
      <c r="E28" s="1" t="str">
        <f aca="false">IFERROR(__xludf.dummyfunction("""COMPUTED_VALUE"""),"Chodov")</f>
        <v>Chodov</v>
      </c>
      <c r="F28" s="1" t="str">
        <f aca="false">IFERROR(__xludf.dummyfunction("""COMPUTED_VALUE"""),"Malešice")</f>
        <v>Malešice</v>
      </c>
      <c r="G28" s="1" t="str">
        <f aca="false">IFERROR(__xludf.dummyfunction("""COMPUTED_VALUE"""),"Zličín")</f>
        <v>Zličín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57" t="n">
        <f aca="false">IFERROR(__xludf.dummyfunction("""COMPUTED_VALUE"""),267.6)</f>
        <v>267.6</v>
      </c>
      <c r="W28" s="157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" t="str">
        <f aca="false">IF(AND(B29&lt;&gt;"", C29=TRUE(), E29=Report!$B$1), B29, "")</f>
        <v/>
      </c>
      <c r="B29" s="159" t="str">
        <f aca="false">IF(OR(E29=Report!$B$1, F29=Report!$B$1, G29=Report!$B$1, H29=Report!$B$1), D29, "")</f>
        <v>Raboch Tomáš</v>
      </c>
      <c r="C29" s="2" t="b">
        <f aca="false">IFERROR(__xludf.dummyfunction("""COMPUTED_VALUE"""),FALSE())</f>
        <v>0</v>
      </c>
      <c r="D29" s="1" t="str">
        <f aca="false">IFERROR(__xludf.dummyfunction("""COMPUTED_VALUE"""),"Raboch Tomáš")</f>
        <v>Raboch Tomáš</v>
      </c>
      <c r="E29" s="1" t="str">
        <f aca="false">IFERROR(__xludf.dummyfunction("""COMPUTED_VALUE"""),"Bolevec")</f>
        <v>Bolevec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57" t="n">
        <f aca="false">IFERROR(__xludf.dummyfunction("""COMPUTED_VALUE"""),250.206)</f>
        <v>250.206</v>
      </c>
      <c r="W29" s="157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" t="str">
        <f aca="false">IF(AND(B30&lt;&gt;"", C30=TRUE(), E30=Report!$B$1), B30, "")</f>
        <v/>
      </c>
      <c r="B30" s="159" t="str">
        <f aca="false">IF(OR(E30=Report!$B$1, F30=Report!$B$1, G30=Report!$B$1, H30=Report!$B$1), D30, "")</f>
        <v/>
      </c>
      <c r="C30" s="2" t="b">
        <f aca="false">IFERROR(__xludf.dummyfunction("""COMPUTED_VALUE"""),FALSE())</f>
        <v>0</v>
      </c>
      <c r="D30" s="1" t="str">
        <f aca="false">IFERROR(__xludf.dummyfunction("""COMPUTED_VALUE"""),"Židek Petr")</f>
        <v>Židek Petr</v>
      </c>
      <c r="E30" s="1" t="str">
        <f aca="false">IFERROR(__xludf.dummyfunction("""COMPUTED_VALUE"""),"Chodov")</f>
        <v>Chodov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57" t="n">
        <f aca="false">IFERROR(__xludf.dummyfunction("""COMPUTED_VALUE"""),250.206)</f>
        <v>250.206</v>
      </c>
      <c r="W30" s="157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" t="str">
        <f aca="false">IF(AND(B31&lt;&gt;"", C31=TRUE(), E31=Report!$B$1), B31, "")</f>
        <v/>
      </c>
      <c r="B31" s="159" t="str">
        <f aca="false">IF(OR(E31=Report!$B$1, F31=Report!$B$1, G31=Report!$B$1, H31=Report!$B$1), D31, "")</f>
        <v/>
      </c>
      <c r="C31" s="2" t="b">
        <f aca="false">IFERROR(__xludf.dummyfunction("""COMPUTED_VALUE"""),FALSE())</f>
        <v>0</v>
      </c>
      <c r="D31" s="1" t="str">
        <f aca="false">IFERROR(__xludf.dummyfunction("""COMPUTED_VALUE"""),"Gorol Patrik")</f>
        <v>Gorol Patrik</v>
      </c>
      <c r="E31" s="1" t="str">
        <f aca="false">IFERROR(__xludf.dummyfunction("""COMPUTED_VALUE"""),"Malešice")</f>
        <v>Malešice</v>
      </c>
      <c r="F31" s="1" t="str">
        <f aca="false">IFERROR(__xludf.dummyfunction("""COMPUTED_VALUE"""),"Libuš")</f>
        <v>Libuš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57" t="n">
        <f aca="false">IFERROR(__xludf.dummyfunction("""COMPUTED_VALUE"""),231.474)</f>
        <v>231.474</v>
      </c>
      <c r="W31" s="157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" t="str">
        <f aca="false">IF(AND(B32&lt;&gt;"", C32=TRUE(), E32=Report!$B$1), B32, "")</f>
        <v/>
      </c>
      <c r="B32" s="159" t="str">
        <f aca="false">IF(OR(E32=Report!$B$1, F32=Report!$B$1, G32=Report!$B$1, H32=Report!$B$1), D32, "")</f>
        <v>Kratochvíl Kryštof</v>
      </c>
      <c r="C32" s="2" t="b">
        <f aca="false">IFERROR(__xludf.dummyfunction("""COMPUTED_VALUE"""),FALSE())</f>
        <v>0</v>
      </c>
      <c r="D32" s="1" t="str">
        <f aca="false">IFERROR(__xludf.dummyfunction("""COMPUTED_VALUE"""),"Kratochvíl Kryštof")</f>
        <v>Kratochvíl Kryštof</v>
      </c>
      <c r="E32" s="1" t="str">
        <f aca="false">IFERROR(__xludf.dummyfunction("""COMPUTED_VALUE"""),"Bolevec")</f>
        <v>Bolevec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57" t="n">
        <f aca="false">IFERROR(__xludf.dummyfunction("""COMPUTED_VALUE"""),267.6)</f>
        <v>267.6</v>
      </c>
      <c r="W32" s="157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" t="str">
        <f aca="false">IF(AND(B33&lt;&gt;"", C33=TRUE(), E33=Report!$B$1), B33, "")</f>
        <v/>
      </c>
      <c r="B33" s="159" t="str">
        <f aca="false">IF(OR(E33=Report!$B$1, F33=Report!$B$1, G33=Report!$B$1, H33=Report!$B$1), D33, "")</f>
        <v/>
      </c>
      <c r="C33" s="2" t="b">
        <f aca="false">IFERROR(__xludf.dummyfunction("""COMPUTED_VALUE"""),FALSE())</f>
        <v>0</v>
      </c>
      <c r="D33" s="1" t="str">
        <f aca="false">IFERROR(__xludf.dummyfunction("""COMPUTED_VALUE"""),"Hegedüs Gergö")</f>
        <v>Hegedüs Gergö</v>
      </c>
      <c r="E33" s="1" t="str">
        <f aca="false">IFERROR(__xludf.dummyfunction("""COMPUTED_VALUE"""),"Libuš")</f>
        <v>Libuš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57" t="n">
        <f aca="false">IFERROR(__xludf.dummyfunction("""COMPUTED_VALUE"""),214.08)</f>
        <v>214.08</v>
      </c>
      <c r="W33" s="157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" t="str">
        <f aca="false">IF(AND(B34&lt;&gt;"", C34=TRUE(), E34=Report!$B$1), B34, "")</f>
        <v/>
      </c>
      <c r="B34" s="159" t="str">
        <f aca="false">IF(OR(E34=Report!$B$1, F34=Report!$B$1, G34=Report!$B$1, H34=Report!$B$1), D34, "")</f>
        <v/>
      </c>
      <c r="C34" s="2" t="b">
        <f aca="false">IFERROR(__xludf.dummyfunction("""COMPUTED_VALUE"""),FALSE())</f>
        <v>0</v>
      </c>
      <c r="D34" s="1" t="str">
        <f aca="false">IFERROR(__xludf.dummyfunction("""COMPUTED_VALUE"""),"Barvínková Eliška")</f>
        <v>Barvínková Eliška</v>
      </c>
      <c r="E34" s="1" t="str">
        <f aca="false">IFERROR(__xludf.dummyfunction("""COMPUTED_VALUE"""),"Libuš")</f>
        <v>Libuš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57" t="n">
        <f aca="false">IFERROR(__xludf.dummyfunction("""COMPUTED_VALUE"""),231.474)</f>
        <v>231.474</v>
      </c>
      <c r="W34" s="157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" t="str">
        <f aca="false">IF(AND(B35&lt;&gt;"", C35=TRUE(), E35=Report!$B$1), B35, "")</f>
        <v/>
      </c>
      <c r="B35" s="159" t="str">
        <f aca="false">IF(OR(E35=Report!$B$1, F35=Report!$B$1, G35=Report!$B$1, H35=Report!$B$1), D35, "")</f>
        <v/>
      </c>
      <c r="C35" s="2" t="b">
        <f aca="false">IFERROR(__xludf.dummyfunction("""COMPUTED_VALUE"""),FALSE())</f>
        <v>0</v>
      </c>
      <c r="D35" s="1" t="str">
        <f aca="false">IFERROR(__xludf.dummyfunction("""COMPUTED_VALUE"""),"Kursheva Diana")</f>
        <v>Kursheva Diana</v>
      </c>
      <c r="E35" s="1" t="str">
        <f aca="false">IFERROR(__xludf.dummyfunction("""COMPUTED_VALUE"""),"Výroba")</f>
        <v>Výroba</v>
      </c>
      <c r="F35" s="1" t="str">
        <f aca="false">IFERROR(__xludf.dummyfunction("""COMPUTED_VALUE"""),"Chodov")</f>
        <v>Chodov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57" t="n">
        <f aca="false">IFERROR(__xludf.dummyfunction("""COMPUTED_VALUE"""),250.206)</f>
        <v>250.206</v>
      </c>
      <c r="W35" s="157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" t="str">
        <f aca="false">IF(AND(B36&lt;&gt;"", C36=TRUE(), E36=Report!$B$1), B36, "")</f>
        <v/>
      </c>
      <c r="B36" s="159" t="str">
        <f aca="false">IF(OR(E36=Report!$B$1, F36=Report!$B$1, G36=Report!$B$1, H36=Report!$B$1), D36, "")</f>
        <v>Tůma Vladimír</v>
      </c>
      <c r="C36" s="2" t="b">
        <f aca="false">IFERROR(__xludf.dummyfunction("""COMPUTED_VALUE"""),FALSE())</f>
        <v>0</v>
      </c>
      <c r="D36" s="1" t="str">
        <f aca="false">IFERROR(__xludf.dummyfunction("""COMPUTED_VALUE"""),"Tůma Vladimír")</f>
        <v>Tůma Vladimír</v>
      </c>
      <c r="E36" s="1" t="str">
        <f aca="false">IFERROR(__xludf.dummyfunction("""COMPUTED_VALUE"""),"Bolevec")</f>
        <v>Bolevec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57" t="n">
        <f aca="false">IFERROR(__xludf.dummyfunction("""COMPUTED_VALUE"""),250.206)</f>
        <v>250.206</v>
      </c>
      <c r="W36" s="157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" t="str">
        <f aca="false">IF(AND(B37&lt;&gt;"", C37=TRUE(), E37=Report!$B$1), B37, "")</f>
        <v/>
      </c>
      <c r="B37" s="159" t="str">
        <f aca="false">IF(OR(E37=Report!$B$1, F37=Report!$B$1, G37=Report!$B$1, H37=Report!$B$1), D37, "")</f>
        <v/>
      </c>
      <c r="C37" s="2" t="b">
        <f aca="false">IFERROR(__xludf.dummyfunction("""COMPUTED_VALUE"""),FALSE())</f>
        <v>0</v>
      </c>
      <c r="D37" s="1" t="str">
        <f aca="false">IFERROR(__xludf.dummyfunction("""COMPUTED_VALUE"""),"Kubík Martin")</f>
        <v>Kubík Martin</v>
      </c>
      <c r="E37" s="1" t="str">
        <f aca="false">IFERROR(__xludf.dummyfunction("""COMPUTED_VALUE"""),"Libuš")</f>
        <v>Libuš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57" t="n">
        <f aca="false">IFERROR(__xludf.dummyfunction("""COMPUTED_VALUE"""),250.206)</f>
        <v>250.206</v>
      </c>
      <c r="W37" s="157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" t="str">
        <f aca="false">IF(AND(B38&lt;&gt;"", C38=TRUE(), E38=Report!$B$1), B38, "")</f>
        <v/>
      </c>
      <c r="B38" s="159" t="str">
        <f aca="false">IF(OR(E38=Report!$B$1, F38=Report!$B$1, G38=Report!$B$1, H38=Report!$B$1), D38, "")</f>
        <v/>
      </c>
      <c r="C38" s="2" t="b">
        <f aca="false">IFERROR(__xludf.dummyfunction("""COMPUTED_VALUE"""),FALSE())</f>
        <v>0</v>
      </c>
      <c r="D38" s="1" t="str">
        <f aca="false">IFERROR(__xludf.dummyfunction("""COMPUTED_VALUE"""),"Putna Jaroslav")</f>
        <v>Putna Jaroslav</v>
      </c>
      <c r="E38" s="1" t="str">
        <f aca="false">IFERROR(__xludf.dummyfunction("""COMPUTED_VALUE"""),"Zličín")</f>
        <v>Zličín</v>
      </c>
      <c r="F38" s="1" t="str">
        <f aca="false">IFERROR(__xludf.dummyfunction("""COMPUTED_VALUE"""),"Prosek")</f>
        <v>Prosek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57" t="n">
        <f aca="false">IFERROR(__xludf.dummyfunction("""COMPUTED_VALUE"""),250.206)</f>
        <v>250.206</v>
      </c>
      <c r="W38" s="157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" t="str">
        <f aca="false">IF(AND(B39&lt;&gt;"", C39=TRUE(), E39=Report!$B$1), B39, "")</f>
        <v/>
      </c>
      <c r="B39" s="159" t="str">
        <f aca="false">IF(OR(E39=Report!$B$1, F39=Report!$B$1, G39=Report!$B$1, H39=Report!$B$1), D39, "")</f>
        <v/>
      </c>
      <c r="C39" s="2" t="b">
        <f aca="false">IFERROR(__xludf.dummyfunction("""COMPUTED_VALUE"""),FALSE())</f>
        <v>0</v>
      </c>
      <c r="D39" s="1" t="str">
        <f aca="false">IFERROR(__xludf.dummyfunction("""COMPUTED_VALUE"""),"Kopic Jakub")</f>
        <v>Kopic Jakub</v>
      </c>
      <c r="E39" s="1" t="str">
        <f aca="false">IFERROR(__xludf.dummyfunction("""COMPUTED_VALUE"""),"Malešice")</f>
        <v>Malešice</v>
      </c>
      <c r="F39" s="1" t="str">
        <f aca="false">IFERROR(__xludf.dummyfunction("""COMPUTED_VALUE"""),"Prosek")</f>
        <v>Prosek</v>
      </c>
      <c r="G39" s="1" t="str">
        <f aca="false">IFERROR(__xludf.dummyfunction("""COMPUTED_VALUE"""),"Libuš")</f>
        <v>Libuš</v>
      </c>
      <c r="H39" s="1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57" t="n">
        <f aca="false">IFERROR(__xludf.dummyfunction("""COMPUTED_VALUE"""),250.206)</f>
        <v>250.206</v>
      </c>
      <c r="W39" s="157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" t="str">
        <f aca="false">IF(AND(B40&lt;&gt;"", C40=TRUE(), E40=Report!$B$1), B40, "")</f>
        <v/>
      </c>
      <c r="B40" s="159" t="str">
        <f aca="false">IF(OR(E40=Report!$B$1, F40=Report!$B$1, G40=Report!$B$1, H40=Report!$B$1), D40, "")</f>
        <v/>
      </c>
      <c r="C40" s="2" t="b">
        <f aca="false">IFERROR(__xludf.dummyfunction("""COMPUTED_VALUE"""),FALSE())</f>
        <v>0</v>
      </c>
      <c r="D40" s="1" t="str">
        <f aca="false">IFERROR(__xludf.dummyfunction("""COMPUTED_VALUE"""),"Fáberová Kateřina")</f>
        <v>Fáberová Kateřina</v>
      </c>
      <c r="E40" s="1" t="str">
        <f aca="false">IFERROR(__xludf.dummyfunction("""COMPUTED_VALUE"""),"Prosek")</f>
        <v>Prosek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57" t="n">
        <f aca="false">IFERROR(__xludf.dummyfunction("""COMPUTED_VALUE"""),250.206)</f>
        <v>250.206</v>
      </c>
      <c r="W40" s="157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" t="str">
        <f aca="false">IF(AND(B41&lt;&gt;"", C41=TRUE(), E41=Report!$B$1), B41, "")</f>
        <v/>
      </c>
      <c r="B41" s="159" t="str">
        <f aca="false">IF(OR(E41=Report!$B$1, F41=Report!$B$1, G41=Report!$B$1, H41=Report!$B$1), D41, "")</f>
        <v/>
      </c>
      <c r="C41" s="2" t="b">
        <f aca="false">IFERROR(__xludf.dummyfunction("""COMPUTED_VALUE"""),FALSE())</f>
        <v>0</v>
      </c>
      <c r="D41" s="1" t="str">
        <f aca="false">IFERROR(__xludf.dummyfunction("""COMPUTED_VALUE"""),"Chlubnová Adéla")</f>
        <v>Chlubnová Adéla</v>
      </c>
      <c r="E41" s="1" t="str">
        <f aca="false">IFERROR(__xludf.dummyfunction("""COMPUTED_VALUE"""),"Chodov")</f>
        <v>Chodov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57" t="n">
        <f aca="false">IFERROR(__xludf.dummyfunction("""COMPUTED_VALUE"""),250.206)</f>
        <v>250.206</v>
      </c>
      <c r="W41" s="157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" t="str">
        <f aca="false">IF(AND(B42&lt;&gt;"", C42=TRUE(), E42=Report!$B$1), B42, "")</f>
        <v/>
      </c>
      <c r="B42" s="159" t="str">
        <f aca="false">IF(OR(E42=Report!$B$1, F42=Report!$B$1, G42=Report!$B$1, H42=Report!$B$1), D42, "")</f>
        <v/>
      </c>
      <c r="C42" s="2" t="b">
        <f aca="false">IFERROR(__xludf.dummyfunction("""COMPUTED_VALUE"""),FALSE())</f>
        <v>0</v>
      </c>
      <c r="D42" s="1" t="str">
        <f aca="false">IFERROR(__xludf.dummyfunction("""COMPUTED_VALUE"""),"Kuzníková Nicol")</f>
        <v>Kuzníková Nicol</v>
      </c>
      <c r="E42" s="1" t="str">
        <f aca="false">IFERROR(__xludf.dummyfunction("""COMPUTED_VALUE"""),"Zličín")</f>
        <v>Zličín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57" t="n">
        <f aca="false">IFERROR(__xludf.dummyfunction("""COMPUTED_VALUE"""),250.206)</f>
        <v>250.206</v>
      </c>
      <c r="W42" s="157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" t="str">
        <f aca="false">IF(AND(B43&lt;&gt;"", C43=TRUE(), E43=Report!$B$1), B43, "")</f>
        <v/>
      </c>
      <c r="B43" s="159" t="str">
        <f aca="false">IF(OR(E43=Report!$B$1, F43=Report!$B$1, G43=Report!$B$1, H43=Report!$B$1), D43, "")</f>
        <v/>
      </c>
      <c r="C43" s="2" t="b">
        <f aca="false">IFERROR(__xludf.dummyfunction("""COMPUTED_VALUE"""),FALSE())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57" t="n">
        <f aca="false">IFERROR(__xludf.dummyfunction("""COMPUTED_VALUE"""),0)</f>
        <v>0</v>
      </c>
      <c r="W43" s="157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"/>
      <c r="B44" s="160" t="str">
        <f aca="false">IF(OR(E44=Report!$B$1, F44=Report!$B$1, G44=Report!$B$1, H44=Report!$B$1), D44, "")</f>
        <v/>
      </c>
      <c r="C44" s="2" t="b">
        <f aca="false">IFERROR(__xludf.dummyfunction("""COMPUTED_VALUE"""),FALSE())</f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57" t="n">
        <f aca="false">IFERROR(__xludf.dummyfunction("""COMPUTED_VALUE"""),0)</f>
        <v>0</v>
      </c>
      <c r="W44" s="157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"/>
      <c r="B45" s="160" t="str">
        <f aca="false">IF(OR(E45=Report!$B$1, F45=Report!$B$1, G45=Report!$B$1, H45=Report!$B$1), D45, "")</f>
        <v/>
      </c>
      <c r="C45" s="2" t="b">
        <f aca="false">IFERROR(__xludf.dummyfunction("""COMPUTED_VALUE"""),FALSE())</f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57" t="n">
        <f aca="false">IFERROR(__xludf.dummyfunction("""COMPUTED_VALUE"""),0)</f>
        <v>0</v>
      </c>
      <c r="W45" s="157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"/>
      <c r="B46" s="160" t="str">
        <f aca="false">IF(OR(E46=Report!$B$1, F46=Report!$B$1, G46=Report!$B$1, H46=Report!$B$1), D46, "")</f>
        <v/>
      </c>
      <c r="C46" s="2" t="b">
        <f aca="false">IFERROR(__xludf.dummyfunction("""COMPUTED_VALUE"""),FALSE())</f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57" t="n">
        <f aca="false">IFERROR(__xludf.dummyfunction("""COMPUTED_VALUE"""),0)</f>
        <v>0</v>
      </c>
      <c r="W46" s="157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"/>
      <c r="B47" s="160" t="str">
        <f aca="false">IF(OR(E47=Report!$B$1, F47=Report!$B$1, G47=Report!$B$1, H47=Report!$B$1), D47, "")</f>
        <v/>
      </c>
      <c r="C47" s="2" t="b">
        <f aca="false">IFERROR(__xludf.dummyfunction("""COMPUTED_VALUE"""),FALSE())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57" t="n">
        <f aca="false">IFERROR(__xludf.dummyfunction("""COMPUTED_VALUE"""),0)</f>
        <v>0</v>
      </c>
      <c r="W47" s="157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"/>
      <c r="B48" s="160" t="str">
        <f aca="false">IF(OR(E48=Report!$B$1, F48=Report!$B$1, G48=Report!$B$1, H48=Report!$B$1), D48, "")</f>
        <v/>
      </c>
      <c r="C48" s="2" t="b">
        <f aca="false">IFERROR(__xludf.dummyfunction("""COMPUTED_VALUE"""),FALSE())</f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57" t="n">
        <f aca="false">IFERROR(__xludf.dummyfunction("""COMPUTED_VALUE"""),0)</f>
        <v>0</v>
      </c>
      <c r="W48" s="157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"/>
      <c r="B49" s="160" t="str">
        <f aca="false">IF(OR(E49=Report!$B$1, F49=Report!$B$1, G49=Report!$B$1, H49=Report!$B$1), D49, "")</f>
        <v/>
      </c>
      <c r="C49" s="2" t="b">
        <f aca="false">IFERROR(__xludf.dummyfunction("""COMPUTED_VALUE"""),FALSE())</f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57" t="n">
        <f aca="false">IFERROR(__xludf.dummyfunction("""COMPUTED_VALUE"""),0)</f>
        <v>0</v>
      </c>
      <c r="W49" s="157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"/>
      <c r="B50" s="160" t="str">
        <f aca="false">IF(OR(E50=Report!$B$1, F50=Report!$B$1, G50=Report!$B$1, H50=Report!$B$1), D50, "")</f>
        <v/>
      </c>
      <c r="C50" s="2" t="b">
        <f aca="false">IFERROR(__xludf.dummyfunction("""COMPUTED_VALUE"""),FALSE())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57" t="n">
        <f aca="false">IFERROR(__xludf.dummyfunction("""COMPUTED_VALUE"""),0)</f>
        <v>0</v>
      </c>
      <c r="W50" s="157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"/>
      <c r="B51" s="160" t="str">
        <f aca="false">IF(OR(E51=Report!$B$1, F51=Report!$B$1, G51=Report!$B$1, H51=Report!$B$1), D51, "")</f>
        <v/>
      </c>
      <c r="C51" s="2" t="b">
        <f aca="false">IFERROR(__xludf.dummyfunction("""COMPUTED_VALUE"""),FALSE())</f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57" t="n">
        <f aca="false">IFERROR(__xludf.dummyfunction("""COMPUTED_VALUE"""),0)</f>
        <v>0</v>
      </c>
      <c r="W51" s="157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"/>
      <c r="B52" s="160" t="str">
        <f aca="false">IF(OR(E52=Report!$B$1, F52=Report!$B$1, G52=Report!$B$1, H52=Report!$B$1), D52, "")</f>
        <v/>
      </c>
      <c r="C52" s="2" t="b">
        <f aca="false">IFERROR(__xludf.dummyfunction("""COMPUTED_VALUE"""),FALSE())</f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57" t="n">
        <f aca="false">IFERROR(__xludf.dummyfunction("""COMPUTED_VALUE"""),0)</f>
        <v>0</v>
      </c>
      <c r="W52" s="157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"/>
      <c r="B53" s="160" t="str">
        <f aca="false">IF(OR(E53=Report!$B$1, F53=Report!$B$1, G53=Report!$B$1, H53=Report!$B$1), D53, "")</f>
        <v/>
      </c>
      <c r="C53" s="2" t="b">
        <f aca="false">IFERROR(__xludf.dummyfunction("""COMPUTED_VALUE"""),FALSE())</f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57" t="n">
        <f aca="false">IFERROR(__xludf.dummyfunction("""COMPUTED_VALUE"""),0)</f>
        <v>0</v>
      </c>
      <c r="W53" s="157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"/>
      <c r="B54" s="160" t="str">
        <f aca="false">IF(OR(E54=Report!$B$1, F54=Report!$B$1, G54=Report!$B$1, H54=Report!$B$1), D54, "")</f>
        <v/>
      </c>
      <c r="C54" s="2" t="b">
        <f aca="false">IFERROR(__xludf.dummyfunction("""COMPUTED_VALUE"""),FALSE())</f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57" t="n">
        <f aca="false">IFERROR(__xludf.dummyfunction("""COMPUTED_VALUE"""),0)</f>
        <v>0</v>
      </c>
      <c r="W54" s="157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"/>
      <c r="B55" s="160" t="str">
        <f aca="false">IF(OR(E55=Report!$B$1, F55=Report!$B$1, G55=Report!$B$1, H55=Report!$B$1), D55, "")</f>
        <v/>
      </c>
      <c r="C55" s="2" t="b">
        <f aca="false">IFERROR(__xludf.dummyfunction("""COMPUTED_VALUE"""),FALSE())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57" t="n">
        <f aca="false">IFERROR(__xludf.dummyfunction("""COMPUTED_VALUE"""),0)</f>
        <v>0</v>
      </c>
      <c r="W55" s="157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"/>
      <c r="B56" s="160" t="str">
        <f aca="false">IF(OR(E56=Report!$B$1, F56=Report!$B$1, G56=Report!$B$1, H56=Report!$B$1), D56, "")</f>
        <v/>
      </c>
      <c r="C56" s="2" t="b">
        <f aca="false">IFERROR(__xludf.dummyfunction("""COMPUTED_VALUE"""),FALSE())</f>
        <v>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57" t="n">
        <f aca="false">IFERROR(__xludf.dummyfunction("""COMPUTED_VALUE"""),250.206)</f>
        <v>250.206</v>
      </c>
      <c r="W56" s="157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"/>
      <c r="B57" s="160" t="str">
        <f aca="false">IF(OR(E57=Report!$B$1, F57=Report!$B$1, G57=Report!$B$1, H57=Report!$B$1), D57, "")</f>
        <v/>
      </c>
      <c r="C57" s="2" t="b">
        <f aca="false">IFERROR(__xludf.dummyfunction("""COMPUTED_VALUE"""),FALSE())</f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57" t="n">
        <f aca="false">IFERROR(__xludf.dummyfunction("""COMPUTED_VALUE"""),0)</f>
        <v>0</v>
      </c>
      <c r="W57" s="157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"/>
      <c r="B58" s="160" t="str">
        <f aca="false">IF(OR(E58=Report!$B$1, F58=Report!$B$1, G58=Report!$B$1, H58=Report!$B$1), D58, "")</f>
        <v/>
      </c>
      <c r="C58" s="1"/>
      <c r="D58" s="1" t="str">
        <f aca="false">IFERROR(__xludf.dummyfunction("""COMPUTED_VALUE"""),"End")</f>
        <v>End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57" t="n">
        <f aca="false">IFERROR(__xludf.dummyfunction("""COMPUTED_VALUE"""),0)</f>
        <v>0</v>
      </c>
      <c r="W58" s="157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"/>
      <c r="B59" s="160" t="str">
        <f aca="false">IF(OR(E59=Report!$B$1, F59=Report!$B$1, G59=Report!$B$1, H59=Report!$B$1), D59, "")</f>
        <v/>
      </c>
      <c r="C59" s="1"/>
      <c r="D59" s="1" t="str">
        <f aca="false">IFERROR(__xludf.dummyfunction("""COMPUTED_VALUE"""),"Suma instor")</f>
        <v>Suma instor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57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"/>
      <c r="B60" s="160" t="str">
        <f aca="false">IF(OR(E60=Report!$B$1, F60=Report!$B$1, G60=Report!$B$1, H60=Report!$B$1), D60, "")</f>
        <v/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57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"/>
      <c r="B61" s="159" t="str">
        <f aca="false">IF(OR(E61=Report!$B$1, F61=Report!$B$1, G61=Report!$B$1, H61=Report!$B$1), D61, "")</f>
        <v/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57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"/>
      <c r="B62" s="159" t="str">
        <f aca="false">IF(OR(E62=Report!$B$1, F62=Report!$B$1, G62=Report!$B$1, H62=Report!$B$1), D62, "")</f>
        <v/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57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"/>
      <c r="B63" s="159" t="str">
        <f aca="false">IF(OR(E63=Report!$B$1, F63=Report!$B$1, G63=Report!$B$1, H63=Report!$B$1), D63, "")</f>
        <v/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57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"/>
      <c r="B64" s="159" t="str">
        <f aca="false">IF(OR(E64=Report!$B$1, F64=Report!$B$1, G64=Report!$B$1, H64=Report!$B$1), D64, "")</f>
        <v/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57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"/>
      <c r="B65" s="159" t="str">
        <f aca="false">IF(OR(E65=Report!$B$1, F65=Report!$B$1, G65=Report!$B$1, H65=Report!$B$1), D65, "")</f>
        <v/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57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"/>
      <c r="B66" s="159" t="str">
        <f aca="false">IF(OR(E66=Report!$B$1, F66=Report!$B$1, G66=Report!$B$1, H66=Report!$B$1), D66, "")</f>
        <v/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57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"/>
      <c r="B67" s="159" t="str">
        <f aca="false">IF(OR(E67=Report!$B$1, F67=Report!$B$1, G67=Report!$B$1, H67=Report!$B$1), D67, "")</f>
        <v/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57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"/>
      <c r="B68" s="159" t="str">
        <f aca="false">IF(OR(E68=Report!$B$1, F68=Report!$B$1, G68=Report!$B$1, H68=Report!$B$1), D68, "")</f>
        <v/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57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"/>
      <c r="B69" s="159" t="str">
        <f aca="false">IF(OR(E69=Report!$B$1, F69=Report!$B$1, G69=Report!$B$1, H69=Report!$B$1), D69, "")</f>
        <v/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57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"/>
      <c r="B70" s="159" t="str">
        <f aca="false">IF(OR(E70=Report!$B$1, F70=Report!$B$1, G70=Report!$B$1, H70=Report!$B$1), D70, "")</f>
        <v/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57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"/>
      <c r="B71" s="159" t="str">
        <f aca="false">IF(OR(E71=Report!$B$1, F71=Report!$B$1, G71=Report!$B$1, H71=Report!$B$1), D71, "")</f>
        <v/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57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"/>
      <c r="B72" s="159" t="str">
        <f aca="false">IF(OR(E72=Report!$B$1, F72=Report!$B$1, G72=Report!$B$1, H72=Report!$B$1), D72, "")</f>
        <v/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57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"/>
      <c r="B73" s="159" t="str">
        <f aca="false">IF(OR(E73=Report!$B$1, F73=Report!$B$1, G73=Report!$B$1, H73=Report!$B$1), D73, "")</f>
        <v/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57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"/>
      <c r="B74" s="159" t="str">
        <f aca="false">IF(OR(E74=Report!$B$1, F74=Report!$B$1, G74=Report!$B$1, H74=Report!$B$1), D74, "")</f>
        <v/>
      </c>
      <c r="C74" s="1" t="str">
        <f aca="false">IFERROR(__xludf.dummyfunction("""COMPUTED_VALUE"""),"Manažer")</f>
        <v>Manažer</v>
      </c>
      <c r="D74" s="1" t="str">
        <f aca="false">IFERROR(__xludf.dummyfunction("""COMPUTED_VALUE"""),"Kurýr")</f>
        <v>Kurýr</v>
      </c>
      <c r="E74" s="1" t="str">
        <f aca="false">IFERROR(__xludf.dummyfunction("""COMPUTED_VALUE"""),"První domácí,          Pobočky max 4    ")</f>
        <v>První domácí,          Pobočky max 4    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 t="str">
        <f aca="false">IFERROR(__xludf.dummyfunction("""COMPUTED_VALUE"""),"Sp.hr. / h")</f>
        <v>Sp.hr. / h</v>
      </c>
      <c r="W74" s="157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"/>
      <c r="B75" s="159" t="str">
        <f aca="false">IF(OR(E75=Report!$B$1, F75=Report!$B$1, G75=Report!$B$1, H75=Report!$B$1), D75, "")</f>
        <v/>
      </c>
      <c r="C75" s="2" t="b">
        <f aca="false">IFERROR(__xludf.dummyfunction("""COMPUTED_VALUE"""),FALSE())</f>
        <v>0</v>
      </c>
      <c r="D75" s="1" t="str">
        <f aca="false">IFERROR(__xludf.dummyfunction("""COMPUTED_VALUE"""),"Jurkovič Martin")</f>
        <v>Jurkovič Martin</v>
      </c>
      <c r="E75" s="1" t="str">
        <f aca="false">IFERROR(__xludf.dummyfunction("""COMPUTED_VALUE"""),"Libuš")</f>
        <v>Libuš</v>
      </c>
      <c r="F75" s="1" t="str">
        <f aca="false">IFERROR(__xludf.dummyfunction("""COMPUTED_VALUE"""),"Chodov")</f>
        <v>Chodov</v>
      </c>
      <c r="G75" s="1" t="str">
        <f aca="false">IFERROR(__xludf.dummyfunction("""COMPUTED_VALUE"""),"Malešice")</f>
        <v>Malešice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57" t="n">
        <f aca="false">IFERROR(__xludf.dummyfunction("""COMPUTED_VALUE"""),150)</f>
        <v>150</v>
      </c>
      <c r="W75" s="157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"/>
      <c r="B76" s="159" t="str">
        <f aca="false">IF(OR(E76=Report!$B$1, F76=Report!$B$1, G76=Report!$B$1, H76=Report!$B$1), D76, "")</f>
        <v/>
      </c>
      <c r="C76" s="2" t="b">
        <f aca="false">IFERROR(__xludf.dummyfunction("""COMPUTED_VALUE"""),FALSE())</f>
        <v>0</v>
      </c>
      <c r="D76" s="1" t="str">
        <f aca="false">IFERROR(__xludf.dummyfunction("""COMPUTED_VALUE"""),"Navrátil Ondřej")</f>
        <v>Navrátil Ondřej</v>
      </c>
      <c r="E76" s="1" t="str">
        <f aca="false">IFERROR(__xludf.dummyfunction("""COMPUTED_VALUE"""),"Chodov")</f>
        <v>Chodov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57" t="n">
        <f aca="false">IFERROR(__xludf.dummyfunction("""COMPUTED_VALUE"""),267.6)</f>
        <v>267.6</v>
      </c>
      <c r="W76" s="157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"/>
      <c r="B77" s="159" t="str">
        <f aca="false">IF(OR(E77=Report!$B$1, F77=Report!$B$1, G77=Report!$B$1, H77=Report!$B$1), D77, "")</f>
        <v/>
      </c>
      <c r="C77" s="2" t="b">
        <f aca="false">IFERROR(__xludf.dummyfunction("""COMPUTED_VALUE"""),FALSE())</f>
        <v>0</v>
      </c>
      <c r="D77" s="1" t="str">
        <f aca="false">IFERROR(__xludf.dummyfunction("""COMPUTED_VALUE"""),"Němec Filip")</f>
        <v>Němec Filip</v>
      </c>
      <c r="E77" s="1" t="str">
        <f aca="false">IFERROR(__xludf.dummyfunction("""COMPUTED_VALUE"""),"Zličín")</f>
        <v>Zličín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57" t="n">
        <f aca="false">IFERROR(__xludf.dummyfunction("""COMPUTED_VALUE"""),231.474)</f>
        <v>231.474</v>
      </c>
      <c r="W77" s="157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"/>
      <c r="B78" s="159" t="str">
        <f aca="false">IF(OR(E78=Report!$B$1, F78=Report!$B$1, G78=Report!$B$1, H78=Report!$B$1), D78, "")</f>
        <v/>
      </c>
      <c r="C78" s="2" t="b">
        <f aca="false">IFERROR(__xludf.dummyfunction("""COMPUTED_VALUE"""),FALSE())</f>
        <v>0</v>
      </c>
      <c r="D78" s="1" t="str">
        <f aca="false">IFERROR(__xludf.dummyfunction("""COMPUTED_VALUE"""),"Zimmer Jakub")</f>
        <v>Zimmer Jakub</v>
      </c>
      <c r="E78" s="1" t="str">
        <f aca="false">IFERROR(__xludf.dummyfunction("""COMPUTED_VALUE"""),"Zličín")</f>
        <v>Zličín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57" t="n">
        <f aca="false">IFERROR(__xludf.dummyfunction("""COMPUTED_VALUE"""),267.6)</f>
        <v>267.6</v>
      </c>
      <c r="W78" s="157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"/>
      <c r="B79" s="159" t="str">
        <f aca="false">IF(OR(E79=Report!$B$1, F79=Report!$B$1, G79=Report!$B$1, H79=Report!$B$1), D79, "")</f>
        <v/>
      </c>
      <c r="C79" s="2" t="b">
        <f aca="false">IFERROR(__xludf.dummyfunction("""COMPUTED_VALUE"""),FALSE())</f>
        <v>0</v>
      </c>
      <c r="D79" s="1" t="str">
        <f aca="false">IFERROR(__xludf.dummyfunction("""COMPUTED_VALUE"""),"Nekolný Vladimír")</f>
        <v>Nekolný Vladimír</v>
      </c>
      <c r="E79" s="1" t="str">
        <f aca="false">IFERROR(__xludf.dummyfunction("""COMPUTED_VALUE"""),"Chodov")</f>
        <v>Chodov</v>
      </c>
      <c r="F79" s="1" t="str">
        <f aca="false">IFERROR(__xludf.dummyfunction("""COMPUTED_VALUE"""),"Libuš")</f>
        <v>Libuš</v>
      </c>
      <c r="G79" s="1" t="str">
        <f aca="false">IFERROR(__xludf.dummyfunction("""COMPUTED_VALUE"""),"Zličín")</f>
        <v>Zličín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57" t="n">
        <f aca="false">IFERROR(__xludf.dummyfunction("""COMPUTED_VALUE"""),231.474)</f>
        <v>231.474</v>
      </c>
      <c r="W79" s="157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"/>
      <c r="B80" s="159" t="str">
        <f aca="false">IF(OR(E80=Report!$B$1, F80=Report!$B$1, G80=Report!$B$1, H80=Report!$B$1), D80, "")</f>
        <v/>
      </c>
      <c r="C80" s="2" t="b">
        <f aca="false">IFERROR(__xludf.dummyfunction("""COMPUTED_VALUE"""),FALSE())</f>
        <v>0</v>
      </c>
      <c r="D80" s="1" t="str">
        <f aca="false">IFERROR(__xludf.dummyfunction("""COMPUTED_VALUE"""),"Hanibal Filip")</f>
        <v>Hanibal Filip</v>
      </c>
      <c r="E80" s="1" t="str">
        <f aca="false">IFERROR(__xludf.dummyfunction("""COMPUTED_VALUE"""),"Malešice")</f>
        <v>Malešice</v>
      </c>
      <c r="F80" s="1" t="str">
        <f aca="false">IFERROR(__xludf.dummyfunction("""COMPUTED_VALUE"""),"Libuš")</f>
        <v>Libuš</v>
      </c>
      <c r="G80" s="1" t="str">
        <f aca="false">IFERROR(__xludf.dummyfunction("""COMPUTED_VALUE"""),"Prosek")</f>
        <v>Prosek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57" t="n">
        <f aca="false">IFERROR(__xludf.dummyfunction("""COMPUTED_VALUE"""),250.206)</f>
        <v>250.206</v>
      </c>
      <c r="W80" s="157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"/>
      <c r="B81" s="159" t="str">
        <f aca="false">IF(OR(E81=Report!$B$1, F81=Report!$B$1, G81=Report!$B$1, H81=Report!$B$1), D81, "")</f>
        <v/>
      </c>
      <c r="C81" s="2" t="b">
        <f aca="false">IFERROR(__xludf.dummyfunction("""COMPUTED_VALUE"""),FALSE())</f>
        <v>0</v>
      </c>
      <c r="D81" s="1" t="str">
        <f aca="false">IFERROR(__xludf.dummyfunction("""COMPUTED_VALUE"""),"Novák Jakub")</f>
        <v>Novák Jakub</v>
      </c>
      <c r="E81" s="1" t="str">
        <f aca="false">IFERROR(__xludf.dummyfunction("""COMPUTED_VALUE"""),"Zličín")</f>
        <v>Zličín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57" t="n">
        <f aca="false">IFERROR(__xludf.dummyfunction("""COMPUTED_VALUE"""),214.08)</f>
        <v>214.08</v>
      </c>
      <c r="W81" s="157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"/>
      <c r="B82" s="159" t="str">
        <f aca="false">IF(OR(E82=Report!$B$1, F82=Report!$B$1, G82=Report!$B$1, H82=Report!$B$1), D82, "")</f>
        <v/>
      </c>
      <c r="C82" s="2" t="b">
        <f aca="false">IFERROR(__xludf.dummyfunction("""COMPUTED_VALUE"""),FALSE())</f>
        <v>0</v>
      </c>
      <c r="D82" s="1" t="str">
        <f aca="false">IFERROR(__xludf.dummyfunction("""COMPUTED_VALUE"""),"Černohorský Otakar")</f>
        <v>Černohorský Otakar</v>
      </c>
      <c r="E82" s="1" t="str">
        <f aca="false">IFERROR(__xludf.dummyfunction("""COMPUTED_VALUE"""),"Zličín")</f>
        <v>Zličín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57" t="n">
        <f aca="false">IFERROR(__xludf.dummyfunction("""COMPUTED_VALUE"""),231.474)</f>
        <v>231.474</v>
      </c>
      <c r="W82" s="157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"/>
      <c r="B83" s="159" t="str">
        <f aca="false">IF(OR(E83=Report!$B$1, F83=Report!$B$1, G83=Report!$B$1, H83=Report!$B$1), D83, "")</f>
        <v/>
      </c>
      <c r="C83" s="2" t="b">
        <f aca="false">IFERROR(__xludf.dummyfunction("""COMPUTED_VALUE"""),FALSE())</f>
        <v>0</v>
      </c>
      <c r="D83" s="1" t="str">
        <f aca="false">IFERROR(__xludf.dummyfunction("""COMPUTED_VALUE"""),"Nedvěd Dominik")</f>
        <v>Nedvěd Dominik</v>
      </c>
      <c r="E83" s="1" t="str">
        <f aca="false">IFERROR(__xludf.dummyfunction("""COMPUTED_VALUE"""),"Libuš")</f>
        <v>Libuš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57" t="n">
        <f aca="false">IFERROR(__xludf.dummyfunction("""COMPUTED_VALUE"""),231.474)</f>
        <v>231.474</v>
      </c>
      <c r="W83" s="157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"/>
      <c r="B84" s="159" t="str">
        <f aca="false">IF(OR(E84=Report!$B$1, F84=Report!$B$1, G84=Report!$B$1, H84=Report!$B$1), D84, "")</f>
        <v/>
      </c>
      <c r="C84" s="2" t="b">
        <f aca="false">IFERROR(__xludf.dummyfunction("""COMPUTED_VALUE"""),FALSE())</f>
        <v>0</v>
      </c>
      <c r="D84" s="1" t="str">
        <f aca="false">IFERROR(__xludf.dummyfunction("""COMPUTED_VALUE"""),"Lanský Zoltan")</f>
        <v>Lanský Zoltan</v>
      </c>
      <c r="E84" s="1" t="str">
        <f aca="false">IFERROR(__xludf.dummyfunction("""COMPUTED_VALUE"""),"Chodov")</f>
        <v>Chodov</v>
      </c>
      <c r="F84" s="1" t="str">
        <f aca="false">IFERROR(__xludf.dummyfunction("""COMPUTED_VALUE"""),"Libuš")</f>
        <v>Libuš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57" t="n">
        <f aca="false">IFERROR(__xludf.dummyfunction("""COMPUTED_VALUE"""),250.206)</f>
        <v>250.206</v>
      </c>
      <c r="W84" s="157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"/>
      <c r="B85" s="159" t="str">
        <f aca="false">IF(OR(E85=Report!$B$1, F85=Report!$B$1, G85=Report!$B$1, H85=Report!$B$1), D85, "")</f>
        <v/>
      </c>
      <c r="C85" s="2" t="b">
        <f aca="false">IFERROR(__xludf.dummyfunction("""COMPUTED_VALUE"""),FALSE())</f>
        <v>0</v>
      </c>
      <c r="D85" s="1" t="str">
        <f aca="false">IFERROR(__xludf.dummyfunction("""COMPUTED_VALUE"""),"Lowe Jana")</f>
        <v>Lowe Jana</v>
      </c>
      <c r="E85" s="1" t="str">
        <f aca="false">IFERROR(__xludf.dummyfunction("""COMPUTED_VALUE"""),"Zličín")</f>
        <v>Zličín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57" t="n">
        <f aca="false">IFERROR(__xludf.dummyfunction("""COMPUTED_VALUE"""),150)</f>
        <v>150</v>
      </c>
      <c r="W85" s="157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"/>
      <c r="B86" s="159" t="str">
        <f aca="false">IF(OR(E86=Report!$B$1, F86=Report!$B$1, G86=Report!$B$1, H86=Report!$B$1), D86, "")</f>
        <v/>
      </c>
      <c r="C86" s="2" t="b">
        <f aca="false">IFERROR(__xludf.dummyfunction("""COMPUTED_VALUE"""),FALSE())</f>
        <v>0</v>
      </c>
      <c r="D86" s="1" t="str">
        <f aca="false">IFERROR(__xludf.dummyfunction("""COMPUTED_VALUE"""),"Mikuš Pavel")</f>
        <v>Mikuš Pavel</v>
      </c>
      <c r="E86" s="1" t="str">
        <f aca="false">IFERROR(__xludf.dummyfunction("""COMPUTED_VALUE"""),"Prosek")</f>
        <v>Prosek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57" t="n">
        <f aca="false">IFERROR(__xludf.dummyfunction("""COMPUTED_VALUE"""),250.206)</f>
        <v>250.206</v>
      </c>
      <c r="W86" s="157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"/>
      <c r="B87" s="159" t="str">
        <f aca="false">IF(OR(E87=Report!$B$1, F87=Report!$B$1, G87=Report!$B$1, H87=Report!$B$1), D87, "")</f>
        <v/>
      </c>
      <c r="C87" s="2" t="b">
        <f aca="false">IFERROR(__xludf.dummyfunction("""COMPUTED_VALUE"""),FALSE())</f>
        <v>0</v>
      </c>
      <c r="D87" s="1" t="str">
        <f aca="false">IFERROR(__xludf.dummyfunction("""COMPUTED_VALUE"""),"Hyský Aleš")</f>
        <v>Hyský Aleš</v>
      </c>
      <c r="E87" s="1" t="str">
        <f aca="false">IFERROR(__xludf.dummyfunction("""COMPUTED_VALUE"""),"Chodov")</f>
        <v>Chodov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57" t="n">
        <f aca="false">IFERROR(__xludf.dummyfunction("""COMPUTED_VALUE"""),231.474)</f>
        <v>231.474</v>
      </c>
      <c r="W87" s="157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"/>
      <c r="B88" s="159" t="str">
        <f aca="false">IF(OR(E88=Report!$B$1, F88=Report!$B$1, G88=Report!$B$1, H88=Report!$B$1), D88, "")</f>
        <v/>
      </c>
      <c r="C88" s="2" t="b">
        <f aca="false">IFERROR(__xludf.dummyfunction("""COMPUTED_VALUE"""),FALSE())</f>
        <v>0</v>
      </c>
      <c r="D88" s="1" t="str">
        <f aca="false">IFERROR(__xludf.dummyfunction("""COMPUTED_VALUE"""),"Šmídová Sabina")</f>
        <v>Šmídová Sabina</v>
      </c>
      <c r="E88" s="1" t="str">
        <f aca="false">IFERROR(__xludf.dummyfunction("""COMPUTED_VALUE"""),"Chodov")</f>
        <v>Chodov</v>
      </c>
      <c r="F88" s="1" t="str">
        <f aca="false">IFERROR(__xludf.dummyfunction("""COMPUTED_VALUE"""),"Prosek")</f>
        <v>Prosek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57" t="n">
        <f aca="false">IFERROR(__xludf.dummyfunction("""COMPUTED_VALUE"""),250.206)</f>
        <v>250.206</v>
      </c>
      <c r="W88" s="157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"/>
      <c r="B89" s="159" t="str">
        <f aca="false">IF(OR(E89=Report!$B$1, F89=Report!$B$1, G89=Report!$B$1, H89=Report!$B$1), D89, "")</f>
        <v/>
      </c>
      <c r="C89" s="2" t="b">
        <f aca="false">IFERROR(__xludf.dummyfunction("""COMPUTED_VALUE"""),FALSE())</f>
        <v>0</v>
      </c>
      <c r="D89" s="1" t="str">
        <f aca="false">IFERROR(__xludf.dummyfunction("""COMPUTED_VALUE"""),"Lažek Jaroslav")</f>
        <v>Lažek Jaroslav</v>
      </c>
      <c r="E89" s="1" t="str">
        <f aca="false">IFERROR(__xludf.dummyfunction("""COMPUTED_VALUE"""),"Libuš")</f>
        <v>Libuš</v>
      </c>
      <c r="F89" s="1" t="str">
        <f aca="false">IFERROR(__xludf.dummyfunction("""COMPUTED_VALUE"""),"Chodov")</f>
        <v>Chodov</v>
      </c>
      <c r="G89" s="1" t="str">
        <f aca="false">IFERROR(__xludf.dummyfunction("""COMPUTED_VALUE"""),"Malešice")</f>
        <v>Malešice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57" t="n">
        <f aca="false">IFERROR(__xludf.dummyfunction("""COMPUTED_VALUE"""),170)</f>
        <v>170</v>
      </c>
      <c r="W89" s="157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"/>
      <c r="B90" s="159" t="str">
        <f aca="false">IF(OR(E90=Report!$B$1, F90=Report!$B$1, G90=Report!$B$1, H90=Report!$B$1), D90, "")</f>
        <v/>
      </c>
      <c r="C90" s="2" t="b">
        <f aca="false">IFERROR(__xludf.dummyfunction("""COMPUTED_VALUE"""),FALSE())</f>
        <v>0</v>
      </c>
      <c r="D90" s="1" t="str">
        <f aca="false">IFERROR(__xludf.dummyfunction("""COMPUTED_VALUE"""),"Kormash Liubov")</f>
        <v>Kormash Liubov</v>
      </c>
      <c r="E90" s="1" t="str">
        <f aca="false">IFERROR(__xludf.dummyfunction("""COMPUTED_VALUE"""),"Zličín")</f>
        <v>Zličín</v>
      </c>
      <c r="F90" s="1" t="str">
        <f aca="false">IFERROR(__xludf.dummyfunction("""COMPUTED_VALUE"""),"Prosek")</f>
        <v>Prosek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57" t="n">
        <f aca="false">IFERROR(__xludf.dummyfunction("""COMPUTED_VALUE"""),160)</f>
        <v>160</v>
      </c>
      <c r="W90" s="157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"/>
      <c r="B91" s="159" t="str">
        <f aca="false">IF(OR(E91=Report!$B$1, F91=Report!$B$1, G91=Report!$B$1, H91=Report!$B$1), D91, "")</f>
        <v/>
      </c>
      <c r="C91" s="2" t="b">
        <f aca="false">IFERROR(__xludf.dummyfunction("""COMPUTED_VALUE"""),FALSE())</f>
        <v>0</v>
      </c>
      <c r="D91" s="1" t="str">
        <f aca="false">IFERROR(__xludf.dummyfunction("""COMPUTED_VALUE"""),"Čermák Jakub")</f>
        <v>Čermák Jakub</v>
      </c>
      <c r="E91" s="1" t="str">
        <f aca="false">IFERROR(__xludf.dummyfunction("""COMPUTED_VALUE"""),"Chodov")</f>
        <v>Chodov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57" t="n">
        <f aca="false">IFERROR(__xludf.dummyfunction("""COMPUTED_VALUE"""),231.474)</f>
        <v>231.474</v>
      </c>
      <c r="W91" s="157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"/>
      <c r="B92" s="159" t="str">
        <f aca="false">IF(OR(E92=Report!$B$1, F92=Report!$B$1, G92=Report!$B$1, H92=Report!$B$1), D92, "")</f>
        <v/>
      </c>
      <c r="C92" s="2" t="b">
        <f aca="false">IFERROR(__xludf.dummyfunction("""COMPUTED_VALUE"""),FALSE())</f>
        <v>0</v>
      </c>
      <c r="D92" s="1" t="str">
        <f aca="false">IFERROR(__xludf.dummyfunction("""COMPUTED_VALUE"""),"Killiakov Andrei")</f>
        <v>Killiakov Andrei</v>
      </c>
      <c r="E92" s="1" t="str">
        <f aca="false">IFERROR(__xludf.dummyfunction("""COMPUTED_VALUE"""),"Zličín")</f>
        <v>Zličín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57" t="n">
        <f aca="false">IFERROR(__xludf.dummyfunction("""COMPUTED_VALUE"""),231.474)</f>
        <v>231.474</v>
      </c>
      <c r="W92" s="157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"/>
      <c r="B93" s="159" t="str">
        <f aca="false">IF(OR(E93=Report!$B$1, F93=Report!$B$1, G93=Report!$B$1, H93=Report!$B$1), D93, "")</f>
        <v/>
      </c>
      <c r="C93" s="2" t="b">
        <f aca="false">IFERROR(__xludf.dummyfunction("""COMPUTED_VALUE"""),FALSE())</f>
        <v>0</v>
      </c>
      <c r="D93" s="1" t="str">
        <f aca="false">IFERROR(__xludf.dummyfunction("""COMPUTED_VALUE"""),"Chlubna Tomáš")</f>
        <v>Chlubna Tomáš</v>
      </c>
      <c r="E93" s="1" t="str">
        <f aca="false">IFERROR(__xludf.dummyfunction("""COMPUTED_VALUE"""),"Chodov")</f>
        <v>Chodov</v>
      </c>
      <c r="F93" s="1" t="str">
        <f aca="false">IFERROR(__xludf.dummyfunction("""COMPUTED_VALUE"""),"Libuš")</f>
        <v>Libuš</v>
      </c>
      <c r="G93" s="1" t="str">
        <f aca="false">IFERROR(__xludf.dummyfunction("""COMPUTED_VALUE"""),"Výroba")</f>
        <v>Výroba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57" t="n">
        <f aca="false">IFERROR(__xludf.dummyfunction("""COMPUTED_VALUE"""),250.206)</f>
        <v>250.206</v>
      </c>
      <c r="W93" s="157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"/>
      <c r="B94" s="159" t="str">
        <f aca="false">IF(OR(E94=Report!$B$1, F94=Report!$B$1, G94=Report!$B$1, H94=Report!$B$1), D94, "")</f>
        <v/>
      </c>
      <c r="C94" s="2" t="b">
        <f aca="false">IFERROR(__xludf.dummyfunction("""COMPUTED_VALUE"""),FALSE())</f>
        <v>0</v>
      </c>
      <c r="D94" s="1" t="str">
        <f aca="false">IFERROR(__xludf.dummyfunction("""COMPUTED_VALUE"""),"Vychivskyi Volodymyr")</f>
        <v>Vychivskyi Volodymyr</v>
      </c>
      <c r="E94" s="1" t="str">
        <f aca="false">IFERROR(__xludf.dummyfunction("""COMPUTED_VALUE"""),"Malešice")</f>
        <v>Malešice</v>
      </c>
      <c r="F94" s="1" t="str">
        <f aca="false">IFERROR(__xludf.dummyfunction("""COMPUTED_VALUE"""),"Prosek")</f>
        <v>Prosek</v>
      </c>
      <c r="G94" s="1" t="str">
        <f aca="false">IFERROR(__xludf.dummyfunction("""COMPUTED_VALUE"""),"Zličín")</f>
        <v>Zličín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57" t="n">
        <f aca="false">IFERROR(__xludf.dummyfunction("""COMPUTED_VALUE"""),250.206)</f>
        <v>250.206</v>
      </c>
      <c r="W94" s="157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"/>
      <c r="B95" s="159" t="str">
        <f aca="false">IF(OR(E95=Report!$B$1, F95=Report!$B$1, G95=Report!$B$1, H95=Report!$B$1), D95, "")</f>
        <v/>
      </c>
      <c r="C95" s="2" t="b">
        <f aca="false">IFERROR(__xludf.dummyfunction("""COMPUTED_VALUE"""),FALSE())</f>
        <v>0</v>
      </c>
      <c r="D95" s="1" t="str">
        <f aca="false">IFERROR(__xludf.dummyfunction("""COMPUTED_VALUE"""),"Dvořák Radim")</f>
        <v>Dvořák Radim</v>
      </c>
      <c r="E95" s="1" t="str">
        <f aca="false">IFERROR(__xludf.dummyfunction("""COMPUTED_VALUE"""),"Prosek")</f>
        <v>Prosek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57" t="n">
        <f aca="false">IFERROR(__xludf.dummyfunction("""COMPUTED_VALUE"""),250.206)</f>
        <v>250.206</v>
      </c>
      <c r="W95" s="157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"/>
      <c r="B96" s="159" t="str">
        <f aca="false">IF(OR(E96=Report!$B$1, F96=Report!$B$1, G96=Report!$B$1, H96=Report!$B$1), D96, "")</f>
        <v/>
      </c>
      <c r="C96" s="2" t="b">
        <f aca="false">IFERROR(__xludf.dummyfunction("""COMPUTED_VALUE"""),FALSE())</f>
        <v>0</v>
      </c>
      <c r="D96" s="1" t="str">
        <f aca="false">IFERROR(__xludf.dummyfunction("""COMPUTED_VALUE"""),"Hřebík Martin")</f>
        <v>Hřebík Martin</v>
      </c>
      <c r="E96" s="1" t="str">
        <f aca="false">IFERROR(__xludf.dummyfunction("""COMPUTED_VALUE"""),"Výroba")</f>
        <v>Výroba</v>
      </c>
      <c r="F96" s="1" t="str">
        <f aca="false">IFERROR(__xludf.dummyfunction("""COMPUTED_VALUE"""),"Chodov")</f>
        <v>Chodov</v>
      </c>
      <c r="G96" s="1" t="str">
        <f aca="false">IFERROR(__xludf.dummyfunction("""COMPUTED_VALUE"""),"Prosek")</f>
        <v>Prosek</v>
      </c>
      <c r="H96" s="1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57" t="n">
        <f aca="false">IFERROR(__xludf.dummyfunction("""COMPUTED_VALUE"""),389.6925)</f>
        <v>389.6925</v>
      </c>
      <c r="W96" s="157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"/>
      <c r="B97" s="159" t="str">
        <f aca="false">IF(OR(E97=Report!$B$1, F97=Report!$B$1, G97=Report!$B$1, H97=Report!$B$1), D97, "")</f>
        <v/>
      </c>
      <c r="C97" s="2" t="b">
        <f aca="false">IFERROR(__xludf.dummyfunction("""COMPUTED_VALUE"""),FALSE())</f>
        <v>0</v>
      </c>
      <c r="D97" s="1" t="str">
        <f aca="false">IFERROR(__xludf.dummyfunction("""COMPUTED_VALUE"""),"Eszenyiová Patrícia")</f>
        <v>Eszenyiová Patrícia</v>
      </c>
      <c r="E97" s="1" t="str">
        <f aca="false">IFERROR(__xludf.dummyfunction("""COMPUTED_VALUE"""),"Libuš")</f>
        <v>Libuš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57" t="n">
        <f aca="false">IFERROR(__xludf.dummyfunction("""COMPUTED_VALUE"""),250.206)</f>
        <v>250.206</v>
      </c>
      <c r="W97" s="157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"/>
      <c r="B98" s="159" t="str">
        <f aca="false">IF(OR(E98=Report!$B$1, F98=Report!$B$1, G98=Report!$B$1, H98=Report!$B$1), D98, "")</f>
        <v/>
      </c>
      <c r="C98" s="2" t="b">
        <f aca="false">IFERROR(__xludf.dummyfunction("""COMPUTED_VALUE"""),FALSE())</f>
        <v>0</v>
      </c>
      <c r="D98" s="1" t="str">
        <f aca="false">IFERROR(__xludf.dummyfunction("""COMPUTED_VALUE"""),"Reischl Jan")</f>
        <v>Reischl Jan</v>
      </c>
      <c r="E98" s="1" t="str">
        <f aca="false">IFERROR(__xludf.dummyfunction("""COMPUTED_VALUE"""),"Malešice")</f>
        <v>Malešice</v>
      </c>
      <c r="F98" s="1" t="str">
        <f aca="false">IFERROR(__xludf.dummyfunction("""COMPUTED_VALUE"""),"Chodov")</f>
        <v>Chodov</v>
      </c>
      <c r="G98" s="1" t="str">
        <f aca="false">IFERROR(__xludf.dummyfunction("""COMPUTED_VALUE"""),"Libuš")</f>
        <v>Libuš</v>
      </c>
      <c r="H98" s="1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57" t="n">
        <f aca="false">IFERROR(__xludf.dummyfunction("""COMPUTED_VALUE"""),214.08)</f>
        <v>214.08</v>
      </c>
      <c r="W98" s="157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"/>
      <c r="B99" s="159" t="str">
        <f aca="false">IF(OR(E99=Report!$B$1, F99=Report!$B$1, G99=Report!$B$1, H99=Report!$B$1), D99, "")</f>
        <v>Mikešová Adéla</v>
      </c>
      <c r="C99" s="2" t="b">
        <f aca="false">IFERROR(__xludf.dummyfunction("""COMPUTED_VALUE"""),FALSE())</f>
        <v>0</v>
      </c>
      <c r="D99" s="1" t="str">
        <f aca="false">IFERROR(__xludf.dummyfunction("""COMPUTED_VALUE"""),"Mikešová Adéla")</f>
        <v>Mikešová Adéla</v>
      </c>
      <c r="E99" s="1" t="str">
        <f aca="false">IFERROR(__xludf.dummyfunction("""COMPUTED_VALUE"""),"Bolevec")</f>
        <v>Bolevec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57" t="n">
        <f aca="false">IFERROR(__xludf.dummyfunction("""COMPUTED_VALUE"""),214.08)</f>
        <v>214.08</v>
      </c>
      <c r="W99" s="157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"/>
      <c r="B100" s="159" t="str">
        <f aca="false">IF(OR(E100=Report!$B$1, F100=Report!$B$1, G100=Report!$B$1, H100=Report!$B$1), D100, "")</f>
        <v/>
      </c>
      <c r="C100" s="2" t="b">
        <f aca="false">IFERROR(__xludf.dummyfunction("""COMPUTED_VALUE"""),FALSE())</f>
        <v>0</v>
      </c>
      <c r="D100" s="1" t="str">
        <f aca="false">IFERROR(__xludf.dummyfunction("""COMPUTED_VALUE"""),"Pražák Aleš")</f>
        <v>Pražák Aleš</v>
      </c>
      <c r="E100" s="1" t="str">
        <f aca="false">IFERROR(__xludf.dummyfunction("""COMPUTED_VALUE"""),"Chodov")</f>
        <v>Chodov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57" t="n">
        <f aca="false">IFERROR(__xludf.dummyfunction("""COMPUTED_VALUE"""),231.474)</f>
        <v>231.474</v>
      </c>
      <c r="W100" s="157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"/>
      <c r="B101" s="159" t="str">
        <f aca="false">IF(OR(E101=Report!$B$1, F101=Report!$B$1, G101=Report!$B$1, H101=Report!$B$1), D101, "")</f>
        <v/>
      </c>
      <c r="C101" s="2" t="b">
        <f aca="false">IFERROR(__xludf.dummyfunction("""COMPUTED_VALUE"""),FALSE())</f>
        <v>0</v>
      </c>
      <c r="D101" s="1" t="str">
        <f aca="false">IFERROR(__xludf.dummyfunction("""COMPUTED_VALUE"""),"Chyský David")</f>
        <v>Chyský David</v>
      </c>
      <c r="E101" s="1" t="str">
        <f aca="false">IFERROR(__xludf.dummyfunction("""COMPUTED_VALUE"""),"Chodov")</f>
        <v>Chodov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57" t="n">
        <f aca="false">IFERROR(__xludf.dummyfunction("""COMPUTED_VALUE"""),231.474)</f>
        <v>231.474</v>
      </c>
      <c r="W101" s="157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"/>
      <c r="B102" s="159" t="str">
        <f aca="false">IF(OR(E102=Report!$B$1, F102=Report!$B$1, G102=Report!$B$1, H102=Report!$B$1), D102, "")</f>
        <v/>
      </c>
      <c r="C102" s="2" t="b">
        <f aca="false">IFERROR(__xludf.dummyfunction("""COMPUTED_VALUE"""),FALSE())</f>
        <v>0</v>
      </c>
      <c r="D102" s="1" t="str">
        <f aca="false">IFERROR(__xludf.dummyfunction("""COMPUTED_VALUE"""),"Kináč Jozef")</f>
        <v>Kináč Jozef</v>
      </c>
      <c r="E102" s="1" t="str">
        <f aca="false">IFERROR(__xludf.dummyfunction("""COMPUTED_VALUE"""),"Prosek")</f>
        <v>Prosek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57" t="n">
        <f aca="false">IFERROR(__xludf.dummyfunction("""COMPUTED_VALUE"""),231.474)</f>
        <v>231.474</v>
      </c>
      <c r="W102" s="157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"/>
      <c r="B103" s="159" t="str">
        <f aca="false">IF(OR(E103=Report!$B$1, F103=Report!$B$1, G103=Report!$B$1, H103=Report!$B$1), D103, "")</f>
        <v/>
      </c>
      <c r="C103" s="2" t="b">
        <f aca="false">IFERROR(__xludf.dummyfunction("""COMPUTED_VALUE"""),FALSE())</f>
        <v>0</v>
      </c>
      <c r="D103" s="1" t="str">
        <f aca="false">IFERROR(__xludf.dummyfunction("""COMPUTED_VALUE"""),"Bednařík Peter")</f>
        <v>Bednařík Peter</v>
      </c>
      <c r="E103" s="1" t="str">
        <f aca="false">IFERROR(__xludf.dummyfunction("""COMPUTED_VALUE"""),"Prosek")</f>
        <v>Prosek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57" t="n">
        <f aca="false">IFERROR(__xludf.dummyfunction("""COMPUTED_VALUE"""),231.474)</f>
        <v>231.474</v>
      </c>
      <c r="W103" s="157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"/>
      <c r="B104" s="159" t="str">
        <f aca="false">IF(OR(E104=Report!$B$1, F104=Report!$B$1, G104=Report!$B$1, H104=Report!$B$1), D104, "")</f>
        <v/>
      </c>
      <c r="C104" s="2" t="b">
        <f aca="false">IFERROR(__xludf.dummyfunction("""COMPUTED_VALUE"""),FALSE())</f>
        <v>0</v>
      </c>
      <c r="D104" s="1" t="str">
        <f aca="false">IFERROR(__xludf.dummyfunction("""COMPUTED_VALUE"""),"Kulinič Michail")</f>
        <v>Kulinič Michail</v>
      </c>
      <c r="E104" s="1" t="str">
        <f aca="false">IFERROR(__xludf.dummyfunction("""COMPUTED_VALUE"""),"Prosek")</f>
        <v>Prosek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57" t="n">
        <f aca="false">IFERROR(__xludf.dummyfunction("""COMPUTED_VALUE"""),231.474)</f>
        <v>231.474</v>
      </c>
      <c r="W104" s="157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"/>
      <c r="B105" s="159" t="str">
        <f aca="false">IF(OR(E105=Report!$B$1, F105=Report!$B$1, G105=Report!$B$1, H105=Report!$B$1), D105, "")</f>
        <v/>
      </c>
      <c r="C105" s="2" t="b">
        <f aca="false">IFERROR(__xludf.dummyfunction("""COMPUTED_VALUE"""),FALSE())</f>
        <v>0</v>
      </c>
      <c r="D105" s="1" t="str">
        <f aca="false">IFERROR(__xludf.dummyfunction("""COMPUTED_VALUE"""),"Kalina Filip")</f>
        <v>Kalina Filip</v>
      </c>
      <c r="E105" s="1" t="str">
        <f aca="false">IFERROR(__xludf.dummyfunction("""COMPUTED_VALUE"""),"Malešice")</f>
        <v>Malešice</v>
      </c>
      <c r="F105" s="1" t="str">
        <f aca="false">IFERROR(__xludf.dummyfunction("""COMPUTED_VALUE"""),"Libuš")</f>
        <v>Libuš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57" t="n">
        <f aca="false">IFERROR(__xludf.dummyfunction("""COMPUTED_VALUE"""),231.474)</f>
        <v>231.474</v>
      </c>
      <c r="W105" s="157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"/>
      <c r="B106" s="159" t="str">
        <f aca="false">IF(OR(E106=Report!$B$1, F106=Report!$B$1, G106=Report!$B$1, H106=Report!$B$1), D106, "")</f>
        <v/>
      </c>
      <c r="C106" s="2" t="b">
        <f aca="false">IFERROR(__xludf.dummyfunction("""COMPUTED_VALUE"""),FALSE())</f>
        <v>0</v>
      </c>
      <c r="D106" s="1" t="str">
        <f aca="false">IFERROR(__xludf.dummyfunction("""COMPUTED_VALUE"""),"Čonka Ludovít")</f>
        <v>Čonka Ludovít</v>
      </c>
      <c r="E106" s="1" t="str">
        <f aca="false">IFERROR(__xludf.dummyfunction("""COMPUTED_VALUE"""),"Prosek")</f>
        <v>Prosek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57" t="n">
        <f aca="false">IFERROR(__xludf.dummyfunction("""COMPUTED_VALUE"""),231.474)</f>
        <v>231.474</v>
      </c>
      <c r="W106" s="157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"/>
      <c r="B107" s="159" t="str">
        <f aca="false">IF(OR(E107=Report!$B$1, F107=Report!$B$1, G107=Report!$B$1, H107=Report!$B$1), D107, "")</f>
        <v>Kaločai Rudolf</v>
      </c>
      <c r="C107" s="2" t="b">
        <f aca="false">IFERROR(__xludf.dummyfunction("""COMPUTED_VALUE"""),FALSE())</f>
        <v>0</v>
      </c>
      <c r="D107" s="1" t="str">
        <f aca="false">IFERROR(__xludf.dummyfunction("""COMPUTED_VALUE"""),"Kaločai Rudolf")</f>
        <v>Kaločai Rudolf</v>
      </c>
      <c r="E107" s="1" t="str">
        <f aca="false">IFERROR(__xludf.dummyfunction("""COMPUTED_VALUE"""),"Bolevec")</f>
        <v>Bolevec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57" t="n">
        <f aca="false">IFERROR(__xludf.dummyfunction("""COMPUTED_VALUE"""),140)</f>
        <v>140</v>
      </c>
      <c r="W107" s="157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"/>
      <c r="B108" s="159" t="str">
        <f aca="false">IF(OR(E108=Report!$B$1, F108=Report!$B$1, G108=Report!$B$1, H108=Report!$B$1), D108, "")</f>
        <v/>
      </c>
      <c r="C108" s="2" t="b">
        <f aca="false">IFERROR(__xludf.dummyfunction("""COMPUTED_VALUE"""),FALSE())</f>
        <v>0</v>
      </c>
      <c r="D108" s="1" t="str">
        <f aca="false">IFERROR(__xludf.dummyfunction("""COMPUTED_VALUE"""),"Dušek Sam")</f>
        <v>Dušek Sam</v>
      </c>
      <c r="E108" s="1" t="str">
        <f aca="false">IFERROR(__xludf.dummyfunction("""COMPUTED_VALUE"""),"Libuš")</f>
        <v>Libuš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57" t="n">
        <f aca="false">IFERROR(__xludf.dummyfunction("""COMPUTED_VALUE"""),250.206)</f>
        <v>250.206</v>
      </c>
      <c r="W108" s="157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"/>
      <c r="B109" s="159" t="str">
        <f aca="false">IF(OR(E109=Report!$B$1, F109=Report!$B$1, G109=Report!$B$1, H109=Report!$B$1), D109, "")</f>
        <v/>
      </c>
      <c r="C109" s="2" t="b">
        <f aca="false">IFERROR(__xludf.dummyfunction("""COMPUTED_VALUE"""),FALSE())</f>
        <v>0</v>
      </c>
      <c r="D109" s="1" t="str">
        <f aca="false">IFERROR(__xludf.dummyfunction("""COMPUTED_VALUE"""),"Kačena Stanislav")</f>
        <v>Kačena Stanislav</v>
      </c>
      <c r="E109" s="1" t="str">
        <f aca="false">IFERROR(__xludf.dummyfunction("""COMPUTED_VALUE"""),"Prosek")</f>
        <v>Prosek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57" t="n">
        <f aca="false">IFERROR(__xludf.dummyfunction("""COMPUTED_VALUE"""),231.474)</f>
        <v>231.474</v>
      </c>
      <c r="W109" s="157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"/>
      <c r="B110" s="159" t="str">
        <f aca="false">IF(OR(E110=Report!$B$1, F110=Report!$B$1, G110=Report!$B$1, H110=Report!$B$1), D110, "")</f>
        <v/>
      </c>
      <c r="C110" s="2" t="b">
        <f aca="false">IFERROR(__xludf.dummyfunction("""COMPUTED_VALUE"""),FALSE())</f>
        <v>0</v>
      </c>
      <c r="D110" s="1" t="str">
        <f aca="false">IFERROR(__xludf.dummyfunction("""COMPUTED_VALUE"""),"Cieslar Marek")</f>
        <v>Cieslar Marek</v>
      </c>
      <c r="E110" s="1" t="str">
        <f aca="false">IFERROR(__xludf.dummyfunction("""COMPUTED_VALUE"""),"Libuš")</f>
        <v>Libuš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57" t="n">
        <f aca="false">IFERROR(__xludf.dummyfunction("""COMPUTED_VALUE"""),231.474)</f>
        <v>231.474</v>
      </c>
      <c r="W110" s="157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"/>
      <c r="B111" s="159" t="str">
        <f aca="false">IF(OR(E111=Report!$B$1, F111=Report!$B$1, G111=Report!$B$1, H111=Report!$B$1), D111, "")</f>
        <v/>
      </c>
      <c r="C111" s="2" t="b">
        <f aca="false">IFERROR(__xludf.dummyfunction("""COMPUTED_VALUE"""),FALSE())</f>
        <v>0</v>
      </c>
      <c r="D111" s="1" t="str">
        <f aca="false">IFERROR(__xludf.dummyfunction("""COMPUTED_VALUE"""),"Banga Adam")</f>
        <v>Banga Adam</v>
      </c>
      <c r="E111" s="1" t="str">
        <f aca="false">IFERROR(__xludf.dummyfunction("""COMPUTED_VALUE"""),"Zličín")</f>
        <v>Zličín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57" t="n">
        <f aca="false">IFERROR(__xludf.dummyfunction("""COMPUTED_VALUE"""),231.474)</f>
        <v>231.474</v>
      </c>
      <c r="W111" s="157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"/>
      <c r="B112" s="159" t="str">
        <f aca="false">IF(OR(E112=Report!$B$1, F112=Report!$B$1, G112=Report!$B$1, H112=Report!$B$1), D112, "")</f>
        <v>Vopatová Anna</v>
      </c>
      <c r="C112" s="2" t="b">
        <f aca="false">IFERROR(__xludf.dummyfunction("""COMPUTED_VALUE"""),FALSE())</f>
        <v>0</v>
      </c>
      <c r="D112" s="1" t="str">
        <f aca="false">IFERROR(__xludf.dummyfunction("""COMPUTED_VALUE"""),"Vopatová Anna")</f>
        <v>Vopatová Anna</v>
      </c>
      <c r="E112" s="1" t="str">
        <f aca="false">IFERROR(__xludf.dummyfunction("""COMPUTED_VALUE"""),"Bolevec")</f>
        <v>Bolevec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57" t="n">
        <f aca="false">IFERROR(__xludf.dummyfunction("""COMPUTED_VALUE"""),214.08)</f>
        <v>214.08</v>
      </c>
      <c r="W112" s="157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"/>
      <c r="B113" s="159" t="str">
        <f aca="false">IF(OR(E113=Report!$B$1, F113=Report!$B$1, G113=Report!$B$1, H113=Report!$B$1), D113, "")</f>
        <v>Vopatová Šárka</v>
      </c>
      <c r="C113" s="2" t="b">
        <f aca="false">IFERROR(__xludf.dummyfunction("""COMPUTED_VALUE"""),FALSE())</f>
        <v>0</v>
      </c>
      <c r="D113" s="1" t="str">
        <f aca="false">IFERROR(__xludf.dummyfunction("""COMPUTED_VALUE"""),"Vopatová Šárka")</f>
        <v>Vopatová Šárka</v>
      </c>
      <c r="E113" s="1" t="str">
        <f aca="false">IFERROR(__xludf.dummyfunction("""COMPUTED_VALUE"""),"Bolevec")</f>
        <v>Bolevec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57" t="n">
        <f aca="false">IFERROR(__xludf.dummyfunction("""COMPUTED_VALUE"""),214.08)</f>
        <v>214.08</v>
      </c>
      <c r="W113" s="157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"/>
      <c r="B114" s="159" t="str">
        <f aca="false">IF(OR(E114=Report!$B$1, F114=Report!$B$1, G114=Report!$B$1, H114=Report!$B$1), D114, "")</f>
        <v/>
      </c>
      <c r="C114" s="2" t="b">
        <f aca="false">IFERROR(__xludf.dummyfunction("""COMPUTED_VALUE"""),FALSE())</f>
        <v>0</v>
      </c>
      <c r="D114" s="1" t="str">
        <f aca="false">IFERROR(__xludf.dummyfunction("""COMPUTED_VALUE"""),"Richterová Monika")</f>
        <v>Richterová Monika</v>
      </c>
      <c r="E114" s="1" t="str">
        <f aca="false">IFERROR(__xludf.dummyfunction("""COMPUTED_VALUE"""),"Malešice")</f>
        <v>Malešice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57" t="n">
        <f aca="false">IFERROR(__xludf.dummyfunction("""COMPUTED_VALUE"""),214.08)</f>
        <v>214.08</v>
      </c>
      <c r="W114" s="157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"/>
      <c r="B115" s="159" t="str">
        <f aca="false">IF(OR(E115=Report!$B$1, F115=Report!$B$1, G115=Report!$B$1, H115=Report!$B$1), D115, "")</f>
        <v/>
      </c>
      <c r="C115" s="2" t="b">
        <f aca="false">IFERROR(__xludf.dummyfunction("""COMPUTED_VALUE"""),FALSE())</f>
        <v>0</v>
      </c>
      <c r="D115" s="1" t="str">
        <f aca="false">IFERROR(__xludf.dummyfunction("""COMPUTED_VALUE"""),"Serin David")</f>
        <v>Serin David</v>
      </c>
      <c r="E115" s="1" t="str">
        <f aca="false">IFERROR(__xludf.dummyfunction("""COMPUTED_VALUE"""),"Libuš")</f>
        <v>Libuš</v>
      </c>
      <c r="F115" s="1" t="str">
        <f aca="false">IFERROR(__xludf.dummyfunction("""COMPUTED_VALUE"""),"Malešice")</f>
        <v>Malešice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57" t="n">
        <f aca="false">IFERROR(__xludf.dummyfunction("""COMPUTED_VALUE"""),231.474)</f>
        <v>231.474</v>
      </c>
      <c r="W115" s="157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"/>
      <c r="B116" s="159" t="str">
        <f aca="false">IF(OR(E116=Report!$B$1, F116=Report!$B$1, G116=Report!$B$1, H116=Report!$B$1), D116, "")</f>
        <v/>
      </c>
      <c r="C116" s="2" t="b">
        <f aca="false">IFERROR(__xludf.dummyfunction("""COMPUTED_VALUE"""),FALSE())</f>
        <v>0</v>
      </c>
      <c r="D116" s="1" t="str">
        <f aca="false">IFERROR(__xludf.dummyfunction("""COMPUTED_VALUE"""),"Fabera Tomáš")</f>
        <v>Fabera Tomáš</v>
      </c>
      <c r="E116" s="1" t="str">
        <f aca="false">IFERROR(__xludf.dummyfunction("""COMPUTED_VALUE"""),"Chodov")</f>
        <v>Chodov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57" t="n">
        <f aca="false">IFERROR(__xludf.dummyfunction("""COMPUTED_VALUE"""),231.474)</f>
        <v>231.474</v>
      </c>
      <c r="W116" s="157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"/>
      <c r="B117" s="159" t="str">
        <f aca="false">IF(OR(E117=Report!$B$1, F117=Report!$B$1, G117=Report!$B$1, H117=Report!$B$1), D117, "")</f>
        <v/>
      </c>
      <c r="C117" s="2" t="b">
        <f aca="false">IFERROR(__xludf.dummyfunction("""COMPUTED_VALUE"""),FALSE())</f>
        <v>0</v>
      </c>
      <c r="D117" s="1" t="str">
        <f aca="false">IFERROR(__xludf.dummyfunction("""COMPUTED_VALUE"""),"Hendrych Rostislav")</f>
        <v>Hendrych Rostislav</v>
      </c>
      <c r="E117" s="1" t="str">
        <f aca="false">IFERROR(__xludf.dummyfunction("""COMPUTED_VALUE"""),"Malešice")</f>
        <v>Malešice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57" t="n">
        <f aca="false">IFERROR(__xludf.dummyfunction("""COMPUTED_VALUE"""),250.206)</f>
        <v>250.206</v>
      </c>
      <c r="W117" s="157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"/>
      <c r="B118" s="159" t="str">
        <f aca="false">IF(OR(E118=Report!$B$1, F118=Report!$B$1, G118=Report!$B$1, H118=Report!$B$1), D118, "")</f>
        <v/>
      </c>
      <c r="C118" s="2" t="b">
        <f aca="false">IFERROR(__xludf.dummyfunction("""COMPUTED_VALUE"""),FALSE())</f>
        <v>0</v>
      </c>
      <c r="D118" s="1" t="str">
        <f aca="false">IFERROR(__xludf.dummyfunction("""COMPUTED_VALUE"""),"Novák Dalibor")</f>
        <v>Novák Dalibor</v>
      </c>
      <c r="E118" s="1" t="str">
        <f aca="false">IFERROR(__xludf.dummyfunction("""COMPUTED_VALUE"""),"Libuš")</f>
        <v>Libuš</v>
      </c>
      <c r="F118" s="1" t="str">
        <f aca="false">IFERROR(__xludf.dummyfunction("""COMPUTED_VALUE"""),"Prosek")</f>
        <v>Prosek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57" t="n">
        <f aca="false">IFERROR(__xludf.dummyfunction("""COMPUTED_VALUE"""),250.206)</f>
        <v>250.206</v>
      </c>
      <c r="W118" s="157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"/>
      <c r="B119" s="159" t="str">
        <f aca="false">IF(OR(E119=Report!$B$1, F119=Report!$B$1, G119=Report!$B$1, H119=Report!$B$1), D119, "")</f>
        <v>Světlík František</v>
      </c>
      <c r="C119" s="2" t="b">
        <f aca="false">IFERROR(__xludf.dummyfunction("""COMPUTED_VALUE"""),FALSE())</f>
        <v>0</v>
      </c>
      <c r="D119" s="1" t="str">
        <f aca="false">IFERROR(__xludf.dummyfunction("""COMPUTED_VALUE"""),"Světlík František")</f>
        <v>Světlík František</v>
      </c>
      <c r="E119" s="1" t="str">
        <f aca="false">IFERROR(__xludf.dummyfunction("""COMPUTED_VALUE"""),"Bolevec")</f>
        <v>Bolevec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57" t="n">
        <f aca="false">IFERROR(__xludf.dummyfunction("""COMPUTED_VALUE"""),214.08)</f>
        <v>214.08</v>
      </c>
      <c r="W119" s="157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"/>
      <c r="B120" s="159" t="str">
        <f aca="false">IF(OR(E120=Report!$B$1, F120=Report!$B$1, G120=Report!$B$1, H120=Report!$B$1), D120, "")</f>
        <v>Ženíšek Lukáš</v>
      </c>
      <c r="C120" s="2" t="b">
        <f aca="false">IFERROR(__xludf.dummyfunction("""COMPUTED_VALUE"""),FALSE())</f>
        <v>0</v>
      </c>
      <c r="D120" s="1" t="str">
        <f aca="false">IFERROR(__xludf.dummyfunction("""COMPUTED_VALUE"""),"Ženíšek Lukáš")</f>
        <v>Ženíšek Lukáš</v>
      </c>
      <c r="E120" s="1" t="str">
        <f aca="false">IFERROR(__xludf.dummyfunction("""COMPUTED_VALUE"""),"Bolevec")</f>
        <v>Bolevec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57" t="n">
        <f aca="false">IFERROR(__xludf.dummyfunction("""COMPUTED_VALUE"""),214.08)</f>
        <v>214.08</v>
      </c>
      <c r="W120" s="157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"/>
      <c r="B121" s="159" t="str">
        <f aca="false">IF(OR(E121=Report!$B$1, F121=Report!$B$1, G121=Report!$B$1, H121=Report!$B$1), D121, "")</f>
        <v/>
      </c>
      <c r="C121" s="2" t="b">
        <f aca="false">IFERROR(__xludf.dummyfunction("""COMPUTED_VALUE"""),FALSE())</f>
        <v>0</v>
      </c>
      <c r="D121" s="1" t="str">
        <f aca="false">IFERROR(__xludf.dummyfunction("""COMPUTED_VALUE"""),"Přibyl Jan")</f>
        <v>Přibyl Jan</v>
      </c>
      <c r="E121" s="1" t="str">
        <f aca="false">IFERROR(__xludf.dummyfunction("""COMPUTED_VALUE"""),"Chodov")</f>
        <v>Chodov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57" t="n">
        <f aca="false">IFERROR(__xludf.dummyfunction("""COMPUTED_VALUE"""),231.474)</f>
        <v>231.474</v>
      </c>
      <c r="W121" s="157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"/>
      <c r="B122" s="159" t="str">
        <f aca="false">IF(OR(E122=Report!$B$1, F122=Report!$B$1, G122=Report!$B$1, H122=Report!$B$1), D122, "")</f>
        <v>Roth Stanislav st.</v>
      </c>
      <c r="C122" s="2" t="b">
        <f aca="false">IFERROR(__xludf.dummyfunction("""COMPUTED_VALUE"""),FALSE())</f>
        <v>0</v>
      </c>
      <c r="D122" s="1" t="str">
        <f aca="false">IFERROR(__xludf.dummyfunction("""COMPUTED_VALUE"""),"Roth Stanislav st.")</f>
        <v>Roth Stanislav st.</v>
      </c>
      <c r="E122" s="1" t="str">
        <f aca="false">IFERROR(__xludf.dummyfunction("""COMPUTED_VALUE"""),"Bolevec")</f>
        <v>Bolevec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57" t="n">
        <f aca="false">IFERROR(__xludf.dummyfunction("""COMPUTED_VALUE"""),49506)</f>
        <v>49506</v>
      </c>
      <c r="W122" s="157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"/>
      <c r="B123" s="159" t="str">
        <f aca="false">IF(OR(E123=Report!$B$1, F123=Report!$B$1, G123=Report!$B$1, H123=Report!$B$1), D123, "")</f>
        <v/>
      </c>
      <c r="C123" s="2" t="b">
        <f aca="false">IFERROR(__xludf.dummyfunction("""COMPUTED_VALUE"""),FALSE())</f>
        <v>0</v>
      </c>
      <c r="D123" s="1" t="str">
        <f aca="false">IFERROR(__xludf.dummyfunction("""COMPUTED_VALUE"""),"Hrach Michal")</f>
        <v>Hrach Michal</v>
      </c>
      <c r="E123" s="1" t="str">
        <f aca="false">IFERROR(__xludf.dummyfunction("""COMPUTED_VALUE"""),"Chodov")</f>
        <v>Chodov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57" t="n">
        <f aca="false">IFERROR(__xludf.dummyfunction("""COMPUTED_VALUE"""),231.474)</f>
        <v>231.474</v>
      </c>
      <c r="W123" s="157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"/>
      <c r="B124" s="159" t="str">
        <f aca="false">IF(OR(E124=Report!$B$1, F124=Report!$B$1, G124=Report!$B$1, H124=Report!$B$1), D124, "")</f>
        <v/>
      </c>
      <c r="C124" s="2" t="b">
        <f aca="false">IFERROR(__xludf.dummyfunction("""COMPUTED_VALUE"""),FALSE())</f>
        <v>0</v>
      </c>
      <c r="D124" s="1" t="str">
        <f aca="false">IFERROR(__xludf.dummyfunction("""COMPUTED_VALUE"""),"Kvapil Filip Leon")</f>
        <v>Kvapil Filip Leon</v>
      </c>
      <c r="E124" s="1" t="str">
        <f aca="false">IFERROR(__xludf.dummyfunction("""COMPUTED_VALUE"""),"Zličín")</f>
        <v>Zličín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57" t="n">
        <f aca="false">IFERROR(__xludf.dummyfunction("""COMPUTED_VALUE"""),231.474)</f>
        <v>231.474</v>
      </c>
      <c r="W124" s="157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"/>
      <c r="B125" s="159" t="str">
        <f aca="false">IF(OR(E125=Report!$B$1, F125=Report!$B$1, G125=Report!$B$1, H125=Report!$B$1), D125, "")</f>
        <v/>
      </c>
      <c r="C125" s="2" t="b">
        <f aca="false">IFERROR(__xludf.dummyfunction("""COMPUTED_VALUE"""),FALSE())</f>
        <v>0</v>
      </c>
      <c r="D125" s="1" t="str">
        <f aca="false">IFERROR(__xludf.dummyfunction("""COMPUTED_VALUE"""),"Vaníková Anna")</f>
        <v>Vaníková Anna</v>
      </c>
      <c r="E125" s="1" t="str">
        <f aca="false">IFERROR(__xludf.dummyfunction("""COMPUTED_VALUE"""),"Zličín")</f>
        <v>Zličín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57" t="n">
        <f aca="false">IFERROR(__xludf.dummyfunction("""COMPUTED_VALUE"""),231.474)</f>
        <v>231.474</v>
      </c>
      <c r="W125" s="157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"/>
      <c r="B126" s="159" t="str">
        <f aca="false">IF(OR(E126=Report!$B$1, F126=Report!$B$1, G126=Report!$B$1, H126=Report!$B$1), D126, "")</f>
        <v>Irena Kovacsova</v>
      </c>
      <c r="C126" s="2" t="b">
        <f aca="false">IFERROR(__xludf.dummyfunction("""COMPUTED_VALUE"""),FALSE())</f>
        <v>0</v>
      </c>
      <c r="D126" s="1" t="str">
        <f aca="false">IFERROR(__xludf.dummyfunction("""COMPUTED_VALUE"""),"Irena Kovacsova")</f>
        <v>Irena Kovacsova</v>
      </c>
      <c r="E126" s="1" t="str">
        <f aca="false">IFERROR(__xludf.dummyfunction("""COMPUTED_VALUE"""),"Bolevec")</f>
        <v>Bolevec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57" t="n">
        <f aca="false">IFERROR(__xludf.dummyfunction("""COMPUTED_VALUE"""),224.784)</f>
        <v>224.784</v>
      </c>
      <c r="W126" s="157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"/>
      <c r="B127" s="159" t="str">
        <f aca="false">IF(OR(E127=Report!$B$1, F127=Report!$B$1, G127=Report!$B$1, H127=Report!$B$1), D127, "")</f>
        <v/>
      </c>
      <c r="C127" s="2" t="b">
        <f aca="false">IFERROR(__xludf.dummyfunction("""COMPUTED_VALUE"""),FALSE())</f>
        <v>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57" t="n">
        <f aca="false">IFERROR(__xludf.dummyfunction("""COMPUTED_VALUE"""),0)</f>
        <v>0</v>
      </c>
      <c r="W127" s="157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"/>
      <c r="B128" s="159" t="str">
        <f aca="false">IF(OR(E128=Report!$B$1, F128=Report!$B$1, G128=Report!$B$1, H128=Report!$B$1), D128, "")</f>
        <v/>
      </c>
      <c r="C128" s="2" t="b">
        <f aca="false">IFERROR(__xludf.dummyfunction("""COMPUTED_VALUE"""),FALSE())</f>
        <v>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57" t="n">
        <f aca="false">IFERROR(__xludf.dummyfunction("""COMPUTED_VALUE"""),0)</f>
        <v>0</v>
      </c>
      <c r="W128" s="157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"/>
      <c r="B129" s="159" t="str">
        <f aca="false">IF(OR(E129=Report!$B$1, F129=Report!$B$1, G129=Report!$B$1, H129=Report!$B$1), D129, "")</f>
        <v/>
      </c>
      <c r="C129" s="2" t="b">
        <f aca="false">IFERROR(__xludf.dummyfunction("""COMPUTED_VALUE"""),FALSE())</f>
        <v>0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57" t="n">
        <f aca="false">IFERROR(__xludf.dummyfunction("""COMPUTED_VALUE"""),0)</f>
        <v>0</v>
      </c>
      <c r="W129" s="157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"/>
      <c r="B130" s="159" t="str">
        <f aca="false">IF(OR(E130=Report!$B$1, F130=Report!$B$1, G130=Report!$B$1, H130=Report!$B$1), D130, "")</f>
        <v/>
      </c>
      <c r="C130" s="2" t="b">
        <f aca="false">IFERROR(__xludf.dummyfunction("""COMPUTED_VALUE"""),FALSE())</f>
        <v>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57" t="n">
        <f aca="false">IFERROR(__xludf.dummyfunction("""COMPUTED_VALUE"""),0)</f>
        <v>0</v>
      </c>
      <c r="W130" s="157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"/>
      <c r="B131" s="159" t="str">
        <f aca="false">IF(OR(E131=Report!$B$1, F131=Report!$B$1, G131=Report!$B$1, H131=Report!$B$1), D131, "")</f>
        <v/>
      </c>
      <c r="C131" s="2" t="b">
        <f aca="false">IFERROR(__xludf.dummyfunction("""COMPUTED_VALUE"""),FALSE())</f>
        <v>0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57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"/>
      <c r="B132" s="159" t="str">
        <f aca="false">IF(OR(E132=Report!$B$1, F132=Report!$B$1, G132=Report!$B$1, H132=Report!$B$1), D132, "")</f>
        <v/>
      </c>
      <c r="C132" s="2" t="b">
        <f aca="false">IFERROR(__xludf.dummyfunction("""COMPUTED_VALUE"""),FALSE())</f>
        <v>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57" t="n">
        <f aca="false">IFERROR(__xludf.dummyfunction("""COMPUTED_VALUE"""),0)</f>
        <v>0</v>
      </c>
      <c r="W132" s="157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"/>
      <c r="B133" s="159" t="str">
        <f aca="false">IF(OR(E133=Report!$B$1, F133=Report!$B$1, G133=Report!$B$1, H133=Report!$B$1), D133, "")</f>
        <v/>
      </c>
      <c r="C133" s="2" t="b">
        <f aca="false">IFERROR(__xludf.dummyfunction("""COMPUTED_VALUE"""),FALSE())</f>
        <v>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7" t="n">
        <f aca="false">IFERROR(__xludf.dummyfunction("""COMPUTED_VALUE"""),0)</f>
        <v>0</v>
      </c>
      <c r="W133" s="157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"/>
      <c r="B134" s="159" t="str">
        <f aca="false">IF(OR(E134=Report!$B$1, F134=Report!$B$1, G134=Report!$B$1, H134=Report!$B$1), D134, "")</f>
        <v/>
      </c>
      <c r="C134" s="2" t="b">
        <f aca="false">IFERROR(__xludf.dummyfunction("""COMPUTED_VALUE"""),FALSE())</f>
        <v>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7" t="n">
        <f aca="false">IFERROR(__xludf.dummyfunction("""COMPUTED_VALUE"""),0)</f>
        <v>0</v>
      </c>
      <c r="W134" s="157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"/>
      <c r="B135" s="159" t="str">
        <f aca="false">IF(OR(E135=Report!$B$1, F135=Report!$B$1, G135=Report!$B$1, H135=Report!$B$1), D135, "")</f>
        <v/>
      </c>
      <c r="C135" s="2" t="b">
        <f aca="false">IFERROR(__xludf.dummyfunction("""COMPUTED_VALUE"""),FALSE())</f>
        <v>0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7" t="n">
        <f aca="false">IFERROR(__xludf.dummyfunction("""COMPUTED_VALUE"""),0)</f>
        <v>0</v>
      </c>
      <c r="W135" s="157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"/>
      <c r="B136" s="159" t="str">
        <f aca="false">IF(OR(E136=Report!$B$1, F136=Report!$B$1, G136=Report!$B$1, H136=Report!$B$1), D136, "")</f>
        <v/>
      </c>
      <c r="C136" s="2" t="b">
        <f aca="false">IFERROR(__xludf.dummyfunction("""COMPUTED_VALUE"""),FALSE())</f>
        <v>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7" t="n">
        <f aca="false">IFERROR(__xludf.dummyfunction("""COMPUTED_VALUE"""),0)</f>
        <v>0</v>
      </c>
      <c r="W136" s="157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"/>
      <c r="B137" s="159" t="str">
        <f aca="false">IF(OR(E137=Report!$B$1, F137=Report!$B$1, G137=Report!$B$1, H137=Report!$B$1), D137, "")</f>
        <v/>
      </c>
      <c r="C137" s="2" t="b">
        <f aca="false">IFERROR(__xludf.dummyfunction("""COMPUTED_VALUE"""),FALSE())</f>
        <v>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7" t="n">
        <f aca="false">IFERROR(__xludf.dummyfunction("""COMPUTED_VALUE"""),0)</f>
        <v>0</v>
      </c>
      <c r="W137" s="157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"/>
      <c r="B138" s="159" t="str">
        <f aca="false">IF(OR(E138=Report!$B$1, F138=Report!$B$1, G138=Report!$B$1, H138=Report!$B$1), D138, "")</f>
        <v/>
      </c>
      <c r="C138" s="2" t="b">
        <f aca="false">IFERROR(__xludf.dummyfunction("""COMPUTED_VALUE"""),FALSE())</f>
        <v>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7" t="n">
        <f aca="false">IFERROR(__xludf.dummyfunction("""COMPUTED_VALUE"""),0)</f>
        <v>0</v>
      </c>
      <c r="W138" s="157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"/>
      <c r="B139" s="159" t="str">
        <f aca="false">IF(OR(E139=Report!$B$1, F139=Report!$B$1, G139=Report!$B$1, H139=Report!$B$1), D139, "")</f>
        <v/>
      </c>
      <c r="C139" s="2" t="b">
        <f aca="false">IFERROR(__xludf.dummyfunction("""COMPUTED_VALUE"""),FALSE())</f>
        <v>0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7" t="n">
        <f aca="false">IFERROR(__xludf.dummyfunction("""COMPUTED_VALUE"""),0)</f>
        <v>0</v>
      </c>
      <c r="W139" s="157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"/>
      <c r="B140" s="159" t="str">
        <f aca="false">IF(OR(E140=Report!$B$1, F140=Report!$B$1, G140=Report!$B$1, H140=Report!$B$1), D140, "")</f>
        <v/>
      </c>
      <c r="C140" s="2" t="b">
        <f aca="false">IFERROR(__xludf.dummyfunction("""COMPUTED_VALUE"""),FALSE())</f>
        <v>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7" t="n">
        <f aca="false">IFERROR(__xludf.dummyfunction("""COMPUTED_VALUE"""),0)</f>
        <v>0</v>
      </c>
      <c r="W140" s="157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"/>
      <c r="B141" s="159" t="str">
        <f aca="false">IF(OR(E141=Report!$B$1, F141=Report!$B$1, G141=Report!$B$1, H141=Report!$B$1), D141, "")</f>
        <v/>
      </c>
      <c r="C141" s="2" t="b">
        <f aca="false">IFERROR(__xludf.dummyfunction("""COMPUTED_VALUE"""),FALSE())</f>
        <v>0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7" t="n">
        <f aca="false">IFERROR(__xludf.dummyfunction("""COMPUTED_VALUE"""),0)</f>
        <v>0</v>
      </c>
      <c r="W141" s="157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"/>
      <c r="B142" s="159" t="str">
        <f aca="false">IF(OR(E142=Report!$B$1, F142=Report!$B$1, G142=Report!$B$1, H142=Report!$B$1), D142, "")</f>
        <v/>
      </c>
      <c r="C142" s="2" t="b">
        <f aca="false">IFERROR(__xludf.dummyfunction("""COMPUTED_VALUE"""),FALSE())</f>
        <v>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7" t="n">
        <f aca="false">IFERROR(__xludf.dummyfunction("""COMPUTED_VALUE"""),0)</f>
        <v>0</v>
      </c>
      <c r="W142" s="157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"/>
      <c r="B143" s="159" t="str">
        <f aca="false">IF(OR(E143=Report!$B$1, F143=Report!$B$1, G143=Report!$B$1, H143=Report!$B$1), D143, "")</f>
        <v/>
      </c>
      <c r="C143" s="2" t="b">
        <f aca="false">IFERROR(__xludf.dummyfunction("""COMPUTED_VALUE"""),FALSE())</f>
        <v>0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7" t="n">
        <f aca="false">IFERROR(__xludf.dummyfunction("""COMPUTED_VALUE"""),0)</f>
        <v>0</v>
      </c>
      <c r="W143" s="157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"/>
      <c r="B144" s="159" t="str">
        <f aca="false">IF(OR(E144=Report!$B$1, F144=Report!$B$1, G144=Report!$B$1, H144=Report!$B$1), D144, "")</f>
        <v/>
      </c>
      <c r="C144" s="2" t="b">
        <f aca="false">IFERROR(__xludf.dummyfunction("""COMPUTED_VALUE"""),FALSE())</f>
        <v>0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7" t="n">
        <f aca="false">IFERROR(__xludf.dummyfunction("""COMPUTED_VALUE"""),0)</f>
        <v>0</v>
      </c>
      <c r="W144" s="157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"/>
      <c r="B145" s="159" t="str">
        <f aca="false">IF(OR(E145=Report!$B$1, F145=Report!$B$1, G145=Report!$B$1, H145=Report!$B$1), D145, "")</f>
        <v/>
      </c>
      <c r="C145" s="2" t="b">
        <f aca="false">IFERROR(__xludf.dummyfunction("""COMPUTED_VALUE"""),FALSE())</f>
        <v>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7" t="n">
        <f aca="false">IFERROR(__xludf.dummyfunction("""COMPUTED_VALUE"""),0)</f>
        <v>0</v>
      </c>
      <c r="W145" s="157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"/>
      <c r="B146" s="159" t="str">
        <f aca="false">IF(OR(E146=Report!$B$1, F146=Report!$B$1, G146=Report!$B$1, H146=Report!$B$1), D146, "")</f>
        <v/>
      </c>
      <c r="C146" s="2" t="b">
        <f aca="false">IFERROR(__xludf.dummyfunction("""COMPUTED_VALUE"""),FALSE())</f>
        <v>0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7" t="n">
        <f aca="false">IFERROR(__xludf.dummyfunction("""COMPUTED_VALUE"""),0)</f>
        <v>0</v>
      </c>
      <c r="W146" s="157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"/>
      <c r="B147" s="159" t="str">
        <f aca="false">IF(OR(E147=Report!$B$1, F147=Report!$B$1, G147=Report!$B$1, H147=Report!$B$1), D147, "")</f>
        <v/>
      </c>
      <c r="C147" s="2" t="b">
        <f aca="false">IFERROR(__xludf.dummyfunction("""COMPUTED_VALUE"""),FALSE())</f>
        <v>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7" t="n">
        <f aca="false">IFERROR(__xludf.dummyfunction("""COMPUTED_VALUE"""),0)</f>
        <v>0</v>
      </c>
      <c r="W147" s="157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"/>
      <c r="B148" s="159" t="str">
        <f aca="false">IF(OR(E148=Report!$B$1, F148=Report!$B$1, G148=Report!$B$1, H148=Report!$B$1), D148, "")</f>
        <v/>
      </c>
      <c r="C148" s="2" t="b">
        <f aca="false">IFERROR(__xludf.dummyfunction("""COMPUTED_VALUE"""),FALSE())</f>
        <v>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7" t="n">
        <f aca="false">IFERROR(__xludf.dummyfunction("""COMPUTED_VALUE"""),0)</f>
        <v>0</v>
      </c>
      <c r="W148" s="157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"/>
      <c r="B149" s="159" t="str">
        <f aca="false">IF(OR(E149=Report!$B$1, F149=Report!$B$1, G149=Report!$B$1, H149=Report!$B$1), D149, "")</f>
        <v/>
      </c>
      <c r="C149" s="2" t="b">
        <f aca="false">IFERROR(__xludf.dummyfunction("""COMPUTED_VALUE"""),FALSE())</f>
        <v>0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7" t="n">
        <f aca="false">IFERROR(__xludf.dummyfunction("""COMPUTED_VALUE"""),0)</f>
        <v>0</v>
      </c>
      <c r="W149" s="157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"/>
      <c r="B150" s="159" t="str">
        <f aca="false">IF(OR(E150=Report!$B$1, F150=Report!$B$1, G150=Report!$B$1, H150=Report!$B$1), D150, "")</f>
        <v/>
      </c>
      <c r="C150" s="2" t="b">
        <f aca="false">IFERROR(__xludf.dummyfunction("""COMPUTED_VALUE"""),FALSE())</f>
        <v>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7" t="n">
        <f aca="false">IFERROR(__xludf.dummyfunction("""COMPUTED_VALUE"""),0)</f>
        <v>0</v>
      </c>
      <c r="W150" s="157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"/>
      <c r="B151" s="159" t="str">
        <f aca="false">IF(OR(E151=Report!$B$1, F151=Report!$B$1, G151=Report!$B$1, H151=Report!$B$1), D151, "")</f>
        <v/>
      </c>
      <c r="C151" s="2" t="b">
        <f aca="false">IFERROR(__xludf.dummyfunction("""COMPUTED_VALUE"""),FALSE())</f>
        <v>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7" t="n">
        <f aca="false">IFERROR(__xludf.dummyfunction("""COMPUTED_VALUE"""),100)</f>
        <v>100</v>
      </c>
      <c r="W151" s="157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"/>
      <c r="B152" s="159" t="str">
        <f aca="false">IF(OR(E152=Report!$B$1, F152=Report!$B$1, G152=Report!$B$1, H152=Report!$B$1), D152, "")</f>
        <v/>
      </c>
      <c r="C152" s="2" t="b">
        <f aca="false">IFERROR(__xludf.dummyfunction("""COMPUTED_VALUE"""),FALSE())</f>
        <v>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7" t="n">
        <f aca="false">IFERROR(__xludf.dummyfunction("""COMPUTED_VALUE"""),100)</f>
        <v>100</v>
      </c>
      <c r="W152" s="157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"/>
      <c r="B153" s="159" t="str">
        <f aca="false">IF(OR(E153=Report!$B$1, F153=Report!$B$1, G153=Report!$B$1, H153=Report!$B$1), D153, "")</f>
        <v/>
      </c>
      <c r="C153" s="2" t="b">
        <f aca="false">IFERROR(__xludf.dummyfunction("""COMPUTED_VALUE"""),FALSE())</f>
        <v>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7" t="n">
        <f aca="false">IFERROR(__xludf.dummyfunction("""COMPUTED_VALUE"""),100)</f>
        <v>100</v>
      </c>
      <c r="W153" s="157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"/>
      <c r="B154" s="159" t="str">
        <f aca="false">IF(OR(E154=Report!$B$1, F154=Report!$B$1, G154=Report!$B$1, H154=Report!$B$1), D154, "")</f>
        <v/>
      </c>
      <c r="C154" s="2" t="b">
        <f aca="false">IFERROR(__xludf.dummyfunction("""COMPUTED_VALUE"""),FALSE())</f>
        <v>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7" t="n">
        <f aca="false">IFERROR(__xludf.dummyfunction("""COMPUTED_VALUE"""),100)</f>
        <v>100</v>
      </c>
      <c r="W154" s="157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"/>
      <c r="B155" s="159" t="str">
        <f aca="false">IF(OR(E155=Report!$B$1, F155=Report!$B$1, G155=Report!$B$1, H155=Report!$B$1), D155, "")</f>
        <v/>
      </c>
      <c r="C155" s="2" t="b">
        <f aca="false">IFERROR(__xludf.dummyfunction("""COMPUTED_VALUE"""),FALSE())</f>
        <v>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7" t="n">
        <f aca="false">IFERROR(__xludf.dummyfunction("""COMPUTED_VALUE"""),100)</f>
        <v>100</v>
      </c>
      <c r="W155" s="157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"/>
      <c r="B156" s="159" t="str">
        <f aca="false">IF(OR(E156=Report!$B$1, F156=Report!$B$1, G156=Report!$B$1, H156=Report!$B$1), D156, "")</f>
        <v/>
      </c>
      <c r="C156" s="2" t="b">
        <f aca="false">IFERROR(__xludf.dummyfunction("""COMPUTED_VALUE"""),FALSE())</f>
        <v>0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7" t="n">
        <f aca="false">IFERROR(__xludf.dummyfunction("""COMPUTED_VALUE"""),100)</f>
        <v>100</v>
      </c>
      <c r="W156" s="157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"/>
      <c r="B157" s="159" t="str">
        <f aca="false">IF(OR(E157=Report!$B$1, F157=Report!$B$1, G157=Report!$B$1, H157=Report!$B$1), D157, "")</f>
        <v/>
      </c>
      <c r="C157" s="2" t="b">
        <f aca="false">IFERROR(__xludf.dummyfunction("""COMPUTED_VALUE"""),FALSE())</f>
        <v>0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7" t="n">
        <f aca="false">IFERROR(__xludf.dummyfunction("""COMPUTED_VALUE"""),100)</f>
        <v>100</v>
      </c>
      <c r="W157" s="157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"/>
      <c r="B158" s="159" t="str">
        <f aca="false">IF(OR(E158=Report!$B$1, F158=Report!$B$1, G158=Report!$B$1, H158=Report!$B$1), D158, "")</f>
        <v/>
      </c>
      <c r="C158" s="2" t="b">
        <f aca="false">IFERROR(__xludf.dummyfunction("""COMPUTED_VALUE"""),FALSE())</f>
        <v>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7" t="n">
        <f aca="false">IFERROR(__xludf.dummyfunction("""COMPUTED_VALUE"""),100)</f>
        <v>100</v>
      </c>
      <c r="W158" s="157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"/>
      <c r="B159" s="159" t="str">
        <f aca="false">IF(OR(E159=Report!$B$1, F159=Report!$B$1, G159=Report!$B$1, H159=Report!$B$1), D159, "")</f>
        <v/>
      </c>
      <c r="C159" s="2" t="b">
        <f aca="false">IFERROR(__xludf.dummyfunction("""COMPUTED_VALUE"""),FALSE())</f>
        <v>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7" t="n">
        <f aca="false">IFERROR(__xludf.dummyfunction("""COMPUTED_VALUE"""),100)</f>
        <v>100</v>
      </c>
      <c r="W159" s="157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"/>
      <c r="B160" s="159" t="str">
        <f aca="false">IF(OR(E160=Report!$B$1, F160=Report!$B$1, G160=Report!$B$1, H160=Report!$B$1), D160, "")</f>
        <v/>
      </c>
      <c r="C160" s="2" t="b">
        <f aca="false">IFERROR(__xludf.dummyfunction("""COMPUTED_VALUE"""),FALSE())</f>
        <v>0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7" t="n">
        <f aca="false">IFERROR(__xludf.dummyfunction("""COMPUTED_VALUE"""),100)</f>
        <v>100</v>
      </c>
      <c r="W160" s="157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"/>
      <c r="B161" s="159" t="str">
        <f aca="false">IF(OR(E161=Report!$B$1, F161=Report!$B$1, G161=Report!$B$1, H161=Report!$B$1), D161, "")</f>
        <v/>
      </c>
      <c r="C161" s="2" t="b">
        <f aca="false">IFERROR(__xludf.dummyfunction("""COMPUTED_VALUE"""),FALSE())</f>
        <v>0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7" t="n">
        <f aca="false">IFERROR(__xludf.dummyfunction("""COMPUTED_VALUE"""),100)</f>
        <v>100</v>
      </c>
      <c r="W161" s="157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"/>
      <c r="B162" s="159" t="str">
        <f aca="false">IF(OR(E162=Report!$B$1, F162=Report!$B$1, G162=Report!$B$1, H162=Report!$B$1), D162, "")</f>
        <v/>
      </c>
      <c r="C162" s="2" t="b">
        <f aca="false">IFERROR(__xludf.dummyfunction("""COMPUTED_VALUE"""),FALSE())</f>
        <v>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7" t="n">
        <f aca="false">IFERROR(__xludf.dummyfunction("""COMPUTED_VALUE"""),100)</f>
        <v>100</v>
      </c>
      <c r="W162" s="157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"/>
      <c r="B163" s="159" t="str">
        <f aca="false">IF(OR(E163=Report!$B$1, F163=Report!$B$1, G163=Report!$B$1, H163=Report!$B$1), D163, "")</f>
        <v/>
      </c>
      <c r="C163" s="2" t="b">
        <f aca="false">IFERROR(__xludf.dummyfunction("""COMPUTED_VALUE"""),FALSE())</f>
        <v>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7" t="n">
        <f aca="false">IFERROR(__xludf.dummyfunction("""COMPUTED_VALUE"""),100)</f>
        <v>100</v>
      </c>
      <c r="W163" s="157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"/>
      <c r="B164" s="159" t="str">
        <f aca="false">IF(OR(E164=Report!$B$1, F164=Report!$B$1, G164=Report!$B$1, H164=Report!$B$1), D164, "")</f>
        <v/>
      </c>
      <c r="C164" s="2" t="b">
        <f aca="false">IFERROR(__xludf.dummyfunction("""COMPUTED_VALUE"""),FALSE())</f>
        <v>0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7" t="n">
        <f aca="false">IFERROR(__xludf.dummyfunction("""COMPUTED_VALUE"""),100)</f>
        <v>100</v>
      </c>
      <c r="W164" s="157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"/>
      <c r="B165" s="159" t="str">
        <f aca="false">IF(OR(E165=Report!$B$1, F165=Report!$B$1, G165=Report!$B$1, H165=Report!$B$1), D165, "")</f>
        <v/>
      </c>
      <c r="C165" s="2" t="b">
        <f aca="false">IFERROR(__xludf.dummyfunction("""COMPUTED_VALUE"""),FALSE())</f>
        <v>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7" t="n">
        <f aca="false">IFERROR(__xludf.dummyfunction("""COMPUTED_VALUE"""),100)</f>
        <v>100</v>
      </c>
      <c r="W165" s="157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"/>
      <c r="B166" s="159" t="str">
        <f aca="false">IF(OR(E166=Report!$B$1, F166=Report!$B$1, G166=Report!$B$1, H166=Report!$B$1), D166, "")</f>
        <v/>
      </c>
      <c r="C166" s="2" t="b">
        <f aca="false">IFERROR(__xludf.dummyfunction("""COMPUTED_VALUE"""),FALSE())</f>
        <v>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7" t="n">
        <f aca="false">IFERROR(__xludf.dummyfunction("""COMPUTED_VALUE"""),100)</f>
        <v>100</v>
      </c>
      <c r="W166" s="157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"/>
      <c r="B167" s="159" t="str">
        <f aca="false">IF(OR(E167=Report!$B$1, F167=Report!$B$1, G167=Report!$B$1, H167=Report!$B$1), D167, "")</f>
        <v/>
      </c>
      <c r="C167" s="2" t="b">
        <f aca="false">IFERROR(__xludf.dummyfunction("""COMPUTED_VALUE"""),FALSE())</f>
        <v>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7" t="n">
        <f aca="false">IFERROR(__xludf.dummyfunction("""COMPUTED_VALUE"""),100)</f>
        <v>100</v>
      </c>
      <c r="W167" s="157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"/>
      <c r="B168" s="159" t="str">
        <f aca="false">IF(OR(E168=Report!$B$1, F168=Report!$B$1, G168=Report!$B$1, H168=Report!$B$1), D168, "")</f>
        <v/>
      </c>
      <c r="C168" s="2" t="b">
        <f aca="false">IFERROR(__xludf.dummyfunction("""COMPUTED_VALUE"""),FALSE())</f>
        <v>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7" t="n">
        <f aca="false">IFERROR(__xludf.dummyfunction("""COMPUTED_VALUE"""),100)</f>
        <v>100</v>
      </c>
      <c r="W168" s="157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"/>
      <c r="B169" s="159" t="str">
        <f aca="false">IF(OR(E169=Report!$B$1, F169=Report!$B$1, G169=Report!$B$1, H169=Report!$B$1), D169, "")</f>
        <v/>
      </c>
      <c r="C169" s="2" t="b">
        <f aca="false">IFERROR(__xludf.dummyfunction("""COMPUTED_VALUE"""),FALSE())</f>
        <v>0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7" t="n">
        <f aca="false">IFERROR(__xludf.dummyfunction("""COMPUTED_VALUE"""),100)</f>
        <v>100</v>
      </c>
      <c r="W169" s="157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"/>
      <c r="B170" s="159" t="str">
        <f aca="false">IF(OR(E170=Report!$B$1, F170=Report!$B$1, G170=Report!$B$1, H170=Report!$B$1), D170, "")</f>
        <v/>
      </c>
      <c r="C170" s="2" t="b">
        <f aca="false">IFERROR(__xludf.dummyfunction("""COMPUTED_VALUE"""),FALSE())</f>
        <v>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7" t="n">
        <f aca="false">IFERROR(__xludf.dummyfunction("""COMPUTED_VALUE"""),100)</f>
        <v>100</v>
      </c>
      <c r="W170" s="157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"/>
      <c r="B171" s="159" t="str">
        <f aca="false">IF(OR(E171=Report!$B$1, F171=Report!$B$1, G171=Report!$B$1, H171=Report!$B$1), D171, "")</f>
        <v/>
      </c>
      <c r="C171" s="2" t="b">
        <f aca="false">IFERROR(__xludf.dummyfunction("""COMPUTED_VALUE"""),FALSE())</f>
        <v>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7" t="n">
        <f aca="false">IFERROR(__xludf.dummyfunction("""COMPUTED_VALUE"""),100)</f>
        <v>100</v>
      </c>
      <c r="W171" s="157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"/>
      <c r="B172" s="159" t="str">
        <f aca="false">IF(OR(E172=Report!$B$1, F172=Report!$B$1, G172=Report!$B$1, H172=Report!$B$1), D172, "")</f>
        <v/>
      </c>
      <c r="C172" s="2" t="b">
        <f aca="false">IFERROR(__xludf.dummyfunction("""COMPUTED_VALUE"""),FALSE())</f>
        <v>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7" t="n">
        <f aca="false">IFERROR(__xludf.dummyfunction("""COMPUTED_VALUE"""),100)</f>
        <v>100</v>
      </c>
      <c r="W172" s="157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"/>
      <c r="B173" s="159" t="str">
        <f aca="false">IF(OR(E173=Report!$B$1, F173=Report!$B$1, G173=Report!$B$1, H173=Report!$B$1), D173, "")</f>
        <v/>
      </c>
      <c r="C173" s="2" t="b">
        <f aca="false">IFERROR(__xludf.dummyfunction("""COMPUTED_VALUE"""),FALSE())</f>
        <v>0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7" t="n">
        <f aca="false">IFERROR(__xludf.dummyfunction("""COMPUTED_VALUE"""),100)</f>
        <v>100</v>
      </c>
      <c r="W173" s="157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"/>
      <c r="B174" s="159" t="str">
        <f aca="false">IF(OR(E174=Report!$B$1, F174=Report!$B$1, G174=Report!$B$1, H174=Report!$B$1), D174, "")</f>
        <v/>
      </c>
      <c r="C174" s="2" t="b">
        <f aca="false">IFERROR(__xludf.dummyfunction("""COMPUTED_VALUE"""),FALSE())</f>
        <v>0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7" t="n">
        <f aca="false">IFERROR(__xludf.dummyfunction("""COMPUTED_VALUE"""),100)</f>
        <v>100</v>
      </c>
      <c r="W174" s="157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"/>
      <c r="B175" s="159" t="str">
        <f aca="false">IF(OR(E175=Report!$B$1, F175=Report!$B$1, G175=Report!$B$1, H175=Report!$B$1), D175, "")</f>
        <v/>
      </c>
      <c r="C175" s="2" t="b">
        <f aca="false">IFERROR(__xludf.dummyfunction("""COMPUTED_VALUE"""),FALSE())</f>
        <v>0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7" t="n">
        <f aca="false">IFERROR(__xludf.dummyfunction("""COMPUTED_VALUE"""),100)</f>
        <v>100</v>
      </c>
      <c r="W175" s="157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"/>
      <c r="B176" s="159" t="str">
        <f aca="false">IF(OR(E176=Report!$B$1, F176=Report!$B$1, G176=Report!$B$1, H176=Report!$B$1), D176, "")</f>
        <v/>
      </c>
      <c r="C176" s="2" t="b">
        <f aca="false">IFERROR(__xludf.dummyfunction("""COMPUTED_VALUE"""),FALSE())</f>
        <v>0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7" t="n">
        <f aca="false">IFERROR(__xludf.dummyfunction("""COMPUTED_VALUE"""),100)</f>
        <v>100</v>
      </c>
      <c r="W176" s="157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"/>
      <c r="B177" s="159" t="str">
        <f aca="false">IF(OR(E177=Report!$B$1, F177=Report!$B$1, G177=Report!$B$1, H177=Report!$B$1), D177, "")</f>
        <v/>
      </c>
      <c r="C177" s="2" t="b">
        <f aca="false">IFERROR(__xludf.dummyfunction("""COMPUTED_VALUE"""),FALSE())</f>
        <v>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7" t="n">
        <f aca="false">IFERROR(__xludf.dummyfunction("""COMPUTED_VALUE"""),100)</f>
        <v>100</v>
      </c>
      <c r="W177" s="157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"/>
      <c r="B178" s="159" t="str">
        <f aca="false">IF(OR(E178=Report!$B$1, F178=Report!$B$1, G178=Report!$B$1, H178=Report!$B$1), D178, "")</f>
        <v/>
      </c>
      <c r="C178" s="2" t="b">
        <f aca="false">IFERROR(__xludf.dummyfunction("""COMPUTED_VALUE"""),FALSE())</f>
        <v>0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7" t="n">
        <f aca="false">IFERROR(__xludf.dummyfunction("""COMPUTED_VALUE"""),100)</f>
        <v>100</v>
      </c>
      <c r="W178" s="157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"/>
      <c r="B179" s="159" t="str">
        <f aca="false">IF(OR(E179=Report!$B$1, F179=Report!$B$1, G179=Report!$B$1, H179=Report!$B$1), D179, "")</f>
        <v/>
      </c>
      <c r="C179" s="2" t="b">
        <f aca="false">IFERROR(__xludf.dummyfunction("""COMPUTED_VALUE"""),FALSE())</f>
        <v>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7" t="n">
        <f aca="false">IFERROR(__xludf.dummyfunction("""COMPUTED_VALUE"""),100)</f>
        <v>100</v>
      </c>
      <c r="W179" s="157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"/>
      <c r="B180" s="1"/>
      <c r="C180" s="2" t="b">
        <f aca="false">IFERROR(__xludf.dummyfunction("""COMPUTED_VALUE"""),FALSE())</f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7" t="n">
        <f aca="false">IFERROR(__xludf.dummyfunction("""COMPUTED_VALUE"""),100)</f>
        <v>100</v>
      </c>
      <c r="W180" s="157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"/>
      <c r="B181" s="1"/>
      <c r="C181" s="2" t="b">
        <f aca="false">IFERROR(__xludf.dummyfunction("""COMPUTED_VALUE"""),FALSE())</f>
        <v>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7" t="n">
        <f aca="false">IFERROR(__xludf.dummyfunction("""COMPUTED_VALUE"""),100)</f>
        <v>100</v>
      </c>
      <c r="W181" s="157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"/>
      <c r="B182" s="1"/>
      <c r="C182" s="2" t="b">
        <f aca="false">IFERROR(__xludf.dummyfunction("""COMPUTED_VALUE"""),FALSE())</f>
        <v>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7" t="n">
        <f aca="false">IFERROR(__xludf.dummyfunction("""COMPUTED_VALUE"""),100)</f>
        <v>100</v>
      </c>
      <c r="W182" s="157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7" t="n">
        <f aca="false">IFERROR(__xludf.dummyfunction("""COMPUTED_VALUE"""),100)</f>
        <v>100</v>
      </c>
      <c r="W183" s="157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7" t="n">
        <f aca="false">IFERROR(__xludf.dummyfunction("""COMPUTED_VALUE"""),100)</f>
        <v>100</v>
      </c>
      <c r="W184" s="157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7" t="n">
        <f aca="false">IFERROR(__xludf.dummyfunction("""COMPUTED_VALUE"""),100)</f>
        <v>100</v>
      </c>
      <c r="W185" s="157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7" t="n">
        <f aca="false">IFERROR(__xludf.dummyfunction("""COMPUTED_VALUE"""),100)</f>
        <v>100</v>
      </c>
      <c r="W186" s="157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7" t="n">
        <f aca="false">IFERROR(__xludf.dummyfunction("""COMPUTED_VALUE"""),100)</f>
        <v>100</v>
      </c>
      <c r="W187" s="157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7" t="n">
        <f aca="false">IFERROR(__xludf.dummyfunction("""COMPUTED_VALUE"""),100)</f>
        <v>100</v>
      </c>
      <c r="W188" s="157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7" t="n">
        <f aca="false">IFERROR(__xludf.dummyfunction("""COMPUTED_VALUE"""),100)</f>
        <v>100</v>
      </c>
      <c r="W189" s="157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7" t="n">
        <f aca="false">IFERROR(__xludf.dummyfunction("""COMPUTED_VALUE"""),100)</f>
        <v>100</v>
      </c>
      <c r="W190" s="157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7" t="n">
        <f aca="false">IFERROR(__xludf.dummyfunction("""COMPUTED_VALUE"""),100)</f>
        <v>100</v>
      </c>
      <c r="W191" s="157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57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7" t="n">
        <f aca="false">IFERROR(__xludf.dummyfunction("""COMPUTED_VALUE"""),0)</f>
        <v>0</v>
      </c>
      <c r="W193" s="157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7" t="n">
        <f aca="false">IFERROR(__xludf.dummyfunction("""COMPUTED_VALUE"""),0)</f>
        <v>0</v>
      </c>
      <c r="W194" s="157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7" t="n">
        <f aca="false">IFERROR(__xludf.dummyfunction("""COMPUTED_VALUE"""),0)</f>
        <v>0</v>
      </c>
      <c r="W195" s="157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57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57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57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57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57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57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57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57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57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57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57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57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57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57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57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57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57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57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57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57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57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57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57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57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57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57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57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57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57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57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57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57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57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57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57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57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57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57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57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57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57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57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57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57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57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57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57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57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57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57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57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57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57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57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57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57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57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57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57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57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57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57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57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57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57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57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57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57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57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57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57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57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57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57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57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57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57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57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57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57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57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57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57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57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57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57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57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57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57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57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57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57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57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57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57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57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57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57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57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57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57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57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57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57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57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57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57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57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57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57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57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57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57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57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57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57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57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57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57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57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57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57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57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57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57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57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57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57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57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57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57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57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57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57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57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57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57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57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57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57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57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57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57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57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57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57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57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57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57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57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57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57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57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57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57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57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57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57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57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57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57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57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57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57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57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57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57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57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57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57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57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57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57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57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57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57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57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57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57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57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57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57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57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57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57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57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57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57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57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57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57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57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57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57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57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57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57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57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57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57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57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57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57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57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57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57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57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57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57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57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57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57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57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57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57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57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57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57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57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57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57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57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57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57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57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57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57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57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57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57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57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57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57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57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57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57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57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57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57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57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57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57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57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57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57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57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57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57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57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57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57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57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57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57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57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57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57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57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57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57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57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57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57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57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57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57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57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57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57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57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57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57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57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57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57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57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57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57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57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57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57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57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57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57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57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57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57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57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57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57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57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57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57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57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57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57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57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57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57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57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57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57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57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57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57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57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57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57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57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57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57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57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57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57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57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57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57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57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57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57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57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57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57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57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57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57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57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57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57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57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57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57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57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57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57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57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57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57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57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57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57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57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57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57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57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57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57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57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57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57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57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57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57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57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57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57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57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57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57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57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57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57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57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57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57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57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57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57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57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57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57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57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57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57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57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57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57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57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57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57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57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57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57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57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57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57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57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57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57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57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57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57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57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57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57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57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57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57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57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57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57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57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57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57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57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57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57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57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57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57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57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57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57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57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57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57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57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57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57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57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57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57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57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57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57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57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57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57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57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57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57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57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57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57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57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57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57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57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57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57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57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57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57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57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57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57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57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57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57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57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57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57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57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57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57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57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57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57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57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57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57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57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57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57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57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57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57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57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57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57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57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57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57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57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57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57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57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57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57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57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57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57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57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57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57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57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57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57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57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57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57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57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57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57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57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57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57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57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57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57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57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57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57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57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57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57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57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57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57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57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57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57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57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57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57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57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57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57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57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57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57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57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57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57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57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57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57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57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57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57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57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57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57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57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57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57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57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57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57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57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57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57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57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57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57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57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57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57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57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57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57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57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57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57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57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57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57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57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57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57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57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57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57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57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57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57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57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57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57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57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57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57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57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57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57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57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57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57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57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57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57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57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57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57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57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57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57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57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57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57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57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57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57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57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57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57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57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57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57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57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57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57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57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57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57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57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57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57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57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57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57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57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57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57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57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57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57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57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57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57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57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57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57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57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57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57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57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57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57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57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57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57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57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57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57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57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57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57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57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57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57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57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57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57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57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57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57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57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57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57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57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57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57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57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57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57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57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57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57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57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57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57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57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57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57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57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57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57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57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57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57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57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57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57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57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57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57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57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57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57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57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57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57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57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57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57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57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57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57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57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57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57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57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57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57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57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57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57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57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57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57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57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57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57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57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57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57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57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57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57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57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57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57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57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57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57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57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57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57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57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57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57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57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57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57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57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57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57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57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57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57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57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57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57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57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57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57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57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57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57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57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57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57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57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57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57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57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57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57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57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57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57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57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57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57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57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57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57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57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57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57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57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57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57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57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57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57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57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57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57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57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57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57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57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57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57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57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57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57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57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57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57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57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57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57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57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57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57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57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57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57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57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57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57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57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57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57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57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57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57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57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57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57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57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57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38"/>
    <col collapsed="false" customWidth="true" hidden="false" outlineLevel="0" max="6" min="3" style="0" width="18.13"/>
    <col collapsed="false" customWidth="true" hidden="false" outlineLevel="0" max="7" min="7" style="0" width="17.75"/>
    <col collapsed="false" customWidth="true" hidden="false" outlineLevel="0" max="28" min="8" style="0" width="18.13"/>
  </cols>
  <sheetData>
    <row r="1" customFormat="false" ht="39.55" hidden="false" customHeight="true" outlineLevel="0" collapsed="false">
      <c r="A1" s="161" t="s">
        <v>2607</v>
      </c>
      <c r="B1" s="161"/>
      <c r="C1" s="161"/>
      <c r="D1" s="161"/>
      <c r="E1" s="161"/>
      <c r="F1" s="161"/>
      <c r="G1" s="161"/>
      <c r="H1" s="161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</row>
    <row r="2" customFormat="false" ht="15.75" hidden="false" customHeight="false" outlineLevel="0" collapsed="false">
      <c r="A2" s="1" t="s">
        <v>2608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" t="s">
        <v>84</v>
      </c>
      <c r="AB2" s="1" t="s">
        <v>85</v>
      </c>
    </row>
    <row r="3" customFormat="false" ht="15.75" hidden="false" customHeight="false" outlineLevel="0" collapsed="false">
      <c r="A3" s="1" t="s">
        <v>2609</v>
      </c>
      <c r="B3" s="1" t="s">
        <v>2610</v>
      </c>
      <c r="C3" s="1" t="s">
        <v>2611</v>
      </c>
      <c r="D3" s="1" t="s">
        <v>2612</v>
      </c>
      <c r="E3" s="1" t="s">
        <v>2613</v>
      </c>
      <c r="F3" s="1" t="s">
        <v>2611</v>
      </c>
      <c r="G3" s="152"/>
    </row>
    <row r="4" customFormat="false" ht="15.75" hidden="false" customHeight="false" outlineLevel="0" collapsed="false">
      <c r="A4" s="1" t="s">
        <v>2614</v>
      </c>
      <c r="B4" s="1" t="s">
        <v>2613</v>
      </c>
      <c r="C4" s="1" t="s">
        <v>2615</v>
      </c>
      <c r="E4" s="1" t="s">
        <v>2612</v>
      </c>
      <c r="F4" s="152"/>
      <c r="G4" s="1" t="s">
        <v>2611</v>
      </c>
      <c r="H4" s="1" t="s">
        <v>2616</v>
      </c>
    </row>
    <row r="5" customFormat="false" ht="15.75" hidden="false" customHeight="false" outlineLevel="0" collapsed="false">
      <c r="A5" s="1" t="s">
        <v>2617</v>
      </c>
      <c r="B5" s="1" t="s">
        <v>2618</v>
      </c>
      <c r="D5" s="1" t="s">
        <v>2618</v>
      </c>
      <c r="E5" s="1" t="s">
        <v>2618</v>
      </c>
      <c r="F5" s="1" t="s">
        <v>2618</v>
      </c>
      <c r="G5" s="1" t="s">
        <v>2618</v>
      </c>
      <c r="H5" s="152"/>
    </row>
    <row r="6" customFormat="false" ht="15.75" hidden="false" customHeight="false" outlineLevel="0" collapsed="false">
      <c r="A6" s="1" t="s">
        <v>2619</v>
      </c>
      <c r="B6" s="1" t="s">
        <v>2620</v>
      </c>
      <c r="C6" s="1" t="s">
        <v>2621</v>
      </c>
      <c r="D6" s="1" t="s">
        <v>2613</v>
      </c>
      <c r="F6" s="152"/>
      <c r="G6" s="1" t="s">
        <v>2622</v>
      </c>
      <c r="H6" s="1" t="s">
        <v>2613</v>
      </c>
    </row>
    <row r="7" customFormat="false" ht="15.75" hidden="false" customHeight="false" outlineLevel="0" collapsed="false">
      <c r="A7" s="1" t="s">
        <v>2623</v>
      </c>
      <c r="B7" s="152"/>
      <c r="C7" s="1" t="s">
        <v>2613</v>
      </c>
      <c r="D7" s="152"/>
      <c r="F7" s="1" t="s">
        <v>2622</v>
      </c>
      <c r="G7" s="1" t="s">
        <v>2622</v>
      </c>
    </row>
    <row r="8" customFormat="false" ht="15.75" hidden="false" customHeight="false" outlineLevel="0" collapsed="false">
      <c r="A8" s="1" t="s">
        <v>2624</v>
      </c>
      <c r="B8" s="152"/>
      <c r="C8" s="1" t="s">
        <v>2625</v>
      </c>
      <c r="D8" s="1" t="s">
        <v>2625</v>
      </c>
      <c r="E8" s="152"/>
      <c r="F8" s="1" t="s">
        <v>2626</v>
      </c>
      <c r="G8" s="1" t="s">
        <v>2627</v>
      </c>
    </row>
    <row r="9" customFormat="false" ht="15.75" hidden="false" customHeight="false" outlineLevel="0" collapsed="false">
      <c r="A9" s="1" t="s">
        <v>2628</v>
      </c>
      <c r="C9" s="152"/>
      <c r="D9" s="152"/>
      <c r="F9" s="152"/>
      <c r="G9" s="1" t="s">
        <v>2625</v>
      </c>
      <c r="H9" s="1" t="s">
        <v>2629</v>
      </c>
    </row>
    <row r="10" customFormat="false" ht="15.75" hidden="false" customHeight="false" outlineLevel="0" collapsed="false">
      <c r="A10" s="152"/>
      <c r="C10" s="152"/>
      <c r="E10" s="152"/>
      <c r="G10" s="152"/>
      <c r="H10" s="152"/>
    </row>
    <row r="11" customFormat="false" ht="15.75" hidden="false" customHeight="false" outlineLevel="0" collapsed="false">
      <c r="A11" s="152"/>
      <c r="C11" s="152"/>
      <c r="E11" s="152"/>
    </row>
    <row r="12" customFormat="false" ht="15.75" hidden="false" customHeight="false" outlineLevel="0" collapsed="false">
      <c r="A12" s="152"/>
      <c r="D12" s="152"/>
      <c r="E12" s="152"/>
      <c r="F12" s="152"/>
      <c r="G12" s="152"/>
      <c r="H12" s="152"/>
    </row>
    <row r="13" customFormat="false" ht="15.75" hidden="false" customHeight="false" outlineLevel="0" collapsed="false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T13" s="152"/>
      <c r="U13" s="152"/>
      <c r="V13" s="152"/>
      <c r="W13" s="152"/>
      <c r="X13" s="152"/>
      <c r="Y13" s="152"/>
      <c r="Z13" s="152"/>
      <c r="AB13" s="1" t="n">
        <v>-5</v>
      </c>
    </row>
    <row r="14" customFormat="false" ht="15.75" hidden="false" customHeight="false" outlineLevel="0" collapsed="false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S14" s="152"/>
      <c r="T14" s="152"/>
      <c r="U14" s="152"/>
      <c r="V14" s="152"/>
      <c r="W14" s="152"/>
      <c r="X14" s="152"/>
      <c r="Y14" s="152"/>
      <c r="Z14" s="152"/>
      <c r="AB14" s="1" t="n">
        <v>-6</v>
      </c>
    </row>
    <row r="15" customFormat="false" ht="15.75" hidden="false" customHeight="false" outlineLevel="0" collapsed="false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O15" s="152"/>
      <c r="P15" s="152"/>
      <c r="Q15" s="152"/>
      <c r="S15" s="152"/>
      <c r="T15" s="152"/>
      <c r="U15" s="152"/>
      <c r="V15" s="152"/>
      <c r="W15" s="152"/>
      <c r="X15" s="152"/>
      <c r="Y15" s="152"/>
      <c r="Z15" s="152"/>
      <c r="AB15" s="1" t="n">
        <v>2</v>
      </c>
    </row>
    <row r="16" customFormat="false" ht="15.75" hidden="false" customHeight="false" outlineLevel="0" collapsed="false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" t="s">
        <v>2630</v>
      </c>
      <c r="AB16" s="1" t="n">
        <v>-11</v>
      </c>
    </row>
    <row r="17" customFormat="false" ht="15.75" hidden="false" customHeight="false" outlineLevel="0" collapsed="false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O17" s="152"/>
      <c r="P17" s="152"/>
      <c r="Q17" s="152"/>
      <c r="S17" s="152"/>
      <c r="T17" s="152"/>
      <c r="U17" s="152"/>
      <c r="V17" s="152"/>
      <c r="W17" s="152"/>
      <c r="X17" s="152"/>
      <c r="Y17" s="152"/>
      <c r="Z17" s="152"/>
      <c r="AB17" s="1" t="n">
        <v>0</v>
      </c>
    </row>
    <row r="18" customFormat="false" ht="15.75" hidden="false" customHeight="false" outlineLevel="0" collapsed="false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O18" s="152"/>
      <c r="P18" s="152"/>
      <c r="Q18" s="152"/>
      <c r="S18" s="152"/>
      <c r="T18" s="152"/>
      <c r="U18" s="152"/>
      <c r="V18" s="152"/>
      <c r="W18" s="152"/>
      <c r="X18" s="152"/>
      <c r="Y18" s="152"/>
      <c r="Z18" s="152"/>
      <c r="AB18" s="1" t="n">
        <v>5</v>
      </c>
    </row>
    <row r="19" customFormat="false" ht="15.75" hidden="false" customHeight="false" outlineLevel="0" collapsed="false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T19" s="152"/>
      <c r="U19" s="152"/>
      <c r="V19" s="152"/>
      <c r="W19" s="152"/>
      <c r="X19" s="152"/>
      <c r="Y19" s="152"/>
      <c r="Z19" s="152"/>
      <c r="AB19" s="1" t="n">
        <v>-7</v>
      </c>
    </row>
    <row r="20" customFormat="false" ht="15.75" hidden="false" customHeight="false" outlineLevel="0" collapsed="false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O20" s="152"/>
      <c r="P20" s="152"/>
      <c r="Q20" s="152"/>
      <c r="S20" s="152"/>
      <c r="T20" s="152"/>
      <c r="U20" s="152"/>
      <c r="V20" s="152"/>
      <c r="W20" s="152"/>
      <c r="X20" s="152"/>
      <c r="Y20" s="152"/>
      <c r="Z20" s="152"/>
      <c r="AB20" s="1" t="n">
        <v>1</v>
      </c>
    </row>
    <row r="21" customFormat="false" ht="15.75" hidden="false" customHeight="false" outlineLevel="0" collapsed="false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O21" s="152"/>
      <c r="P21" s="152"/>
      <c r="Q21" s="152"/>
      <c r="S21" s="152"/>
      <c r="T21" s="152"/>
      <c r="U21" s="152"/>
      <c r="V21" s="152"/>
      <c r="W21" s="152"/>
      <c r="X21" s="152"/>
      <c r="Y21" s="152"/>
      <c r="Z21" s="152"/>
      <c r="AB21" s="1" t="n">
        <v>-2</v>
      </c>
    </row>
    <row r="22" customFormat="false" ht="15.75" hidden="false" customHeight="false" outlineLevel="0" collapsed="false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O22" s="152"/>
      <c r="P22" s="152"/>
      <c r="Q22" s="152"/>
      <c r="S22" s="152"/>
      <c r="T22" s="152"/>
      <c r="U22" s="152"/>
      <c r="V22" s="152"/>
      <c r="W22" s="152"/>
      <c r="X22" s="152"/>
      <c r="Y22" s="152"/>
      <c r="Z22" s="152"/>
      <c r="AB22" s="1" t="n">
        <v>-1</v>
      </c>
    </row>
    <row r="23" customFormat="false" ht="15.75" hidden="false" customHeight="false" outlineLevel="0" collapsed="false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O23" s="152"/>
      <c r="P23" s="152"/>
      <c r="Q23" s="152"/>
      <c r="S23" s="152"/>
      <c r="T23" s="152"/>
      <c r="U23" s="152"/>
      <c r="V23" s="152"/>
      <c r="W23" s="152"/>
      <c r="X23" s="152"/>
      <c r="Y23" s="152"/>
      <c r="Z23" s="152"/>
      <c r="AB23" s="1" t="n">
        <v>0</v>
      </c>
    </row>
    <row r="24" customFormat="false" ht="15.75" hidden="false" customHeight="false" outlineLevel="0" collapsed="false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S24" s="152"/>
      <c r="T24" s="152"/>
      <c r="U24" s="152"/>
      <c r="V24" s="152"/>
      <c r="W24" s="152"/>
      <c r="X24" s="152"/>
      <c r="Y24" s="152"/>
      <c r="Z24" s="152"/>
      <c r="AB24" s="1" t="n">
        <v>-7</v>
      </c>
    </row>
    <row r="25" customFormat="false" ht="15.75" hidden="false" customHeight="false" outlineLevel="0" collapsed="false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O25" s="152"/>
      <c r="P25" s="152"/>
      <c r="Q25" s="152"/>
      <c r="S25" s="152"/>
      <c r="T25" s="152"/>
      <c r="U25" s="152"/>
      <c r="V25" s="152"/>
      <c r="W25" s="152"/>
      <c r="X25" s="152"/>
      <c r="Y25" s="152"/>
      <c r="Z25" s="152"/>
      <c r="AB25" s="1" t="n">
        <v>-9</v>
      </c>
    </row>
    <row r="26" customFormat="false" ht="15.75" hidden="false" customHeight="false" outlineLevel="0" collapsed="false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O26" s="152"/>
      <c r="P26" s="152"/>
      <c r="Q26" s="152"/>
      <c r="S26" s="152"/>
      <c r="T26" s="152"/>
      <c r="U26" s="152"/>
      <c r="V26" s="152"/>
      <c r="W26" s="152"/>
      <c r="X26" s="152"/>
      <c r="Y26" s="152"/>
      <c r="Z26" s="152"/>
      <c r="AB26" s="1" t="n">
        <v>0</v>
      </c>
    </row>
    <row r="27" customFormat="false" ht="15.75" hidden="false" customHeight="false" outlineLevel="0" collapsed="false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" t="s">
        <v>2631</v>
      </c>
      <c r="AB27" s="1" t="n">
        <v>-8</v>
      </c>
    </row>
    <row r="28" customFormat="false" ht="15.75" hidden="false" customHeight="false" outlineLevel="0" collapsed="false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T28" s="152"/>
      <c r="U28" s="152"/>
      <c r="V28" s="152"/>
      <c r="W28" s="152"/>
      <c r="X28" s="152"/>
      <c r="Y28" s="152"/>
      <c r="Z28" s="152"/>
      <c r="AB28" s="1" t="n">
        <v>-7</v>
      </c>
    </row>
    <row r="29" customFormat="false" ht="15.75" hidden="false" customHeight="false" outlineLevel="0" collapsed="false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O29" s="152"/>
      <c r="P29" s="152"/>
      <c r="Q29" s="152"/>
      <c r="S29" s="152"/>
      <c r="T29" s="152"/>
      <c r="U29" s="152"/>
      <c r="V29" s="152"/>
      <c r="W29" s="152"/>
      <c r="X29" s="152"/>
      <c r="Y29" s="152"/>
      <c r="Z29" s="152"/>
      <c r="AB29" s="1" t="n">
        <v>-2</v>
      </c>
    </row>
    <row r="30" customFormat="false" ht="15.75" hidden="false" customHeight="false" outlineLevel="0" collapsed="false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T30" s="152"/>
      <c r="U30" s="152"/>
      <c r="V30" s="152"/>
      <c r="W30" s="152"/>
      <c r="X30" s="152"/>
      <c r="Y30" s="152"/>
      <c r="Z30" s="152"/>
      <c r="AB30" s="1" t="n">
        <v>-8</v>
      </c>
    </row>
    <row r="31" customFormat="false" ht="15.75" hidden="false" customHeight="false" outlineLevel="0" collapsed="false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" t="s">
        <v>2632</v>
      </c>
      <c r="AB31" s="1" t="n">
        <v>0</v>
      </c>
    </row>
    <row r="32" customFormat="false" ht="15.75" hidden="false" customHeight="false" outlineLevel="0" collapsed="false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O32" s="152"/>
      <c r="P32" s="152"/>
      <c r="Q32" s="152"/>
      <c r="S32" s="152"/>
      <c r="T32" s="152"/>
      <c r="U32" s="152"/>
      <c r="V32" s="152"/>
      <c r="W32" s="152"/>
      <c r="X32" s="152"/>
      <c r="Y32" s="152"/>
      <c r="Z32" s="152"/>
      <c r="AB32" s="1" t="n">
        <v>1</v>
      </c>
    </row>
    <row r="33" customFormat="false" ht="15.75" hidden="false" customHeight="false" outlineLevel="0" collapsed="false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O33" s="152"/>
      <c r="P33" s="152"/>
      <c r="Q33" s="152"/>
      <c r="S33" s="152"/>
      <c r="T33" s="152"/>
      <c r="U33" s="152"/>
      <c r="V33" s="152"/>
      <c r="Y33" s="152"/>
      <c r="Z33" s="152"/>
      <c r="AB33" s="1" t="n">
        <v>0</v>
      </c>
    </row>
    <row r="34" customFormat="false" ht="15.75" hidden="false" customHeight="false" outlineLevel="0" collapsed="false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O34" s="152"/>
      <c r="P34" s="152"/>
      <c r="Q34" s="152"/>
      <c r="S34" s="152"/>
      <c r="T34" s="152"/>
      <c r="U34" s="152"/>
      <c r="V34" s="152"/>
      <c r="W34" s="152"/>
      <c r="X34" s="152"/>
      <c r="Y34" s="152"/>
      <c r="Z34" s="152"/>
      <c r="AB34" s="1" t="n">
        <v>4</v>
      </c>
    </row>
    <row r="35" customFormat="false" ht="15.75" hidden="false" customHeight="false" outlineLevel="0" collapsed="false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" t="s">
        <v>2633</v>
      </c>
      <c r="AB35" s="1" t="n">
        <v>-12</v>
      </c>
    </row>
    <row r="36" customFormat="false" ht="15.75" hidden="false" customHeight="false" outlineLevel="0" collapsed="false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" t="s">
        <v>2634</v>
      </c>
      <c r="AB36" s="1" t="n">
        <v>0</v>
      </c>
    </row>
    <row r="37" customFormat="false" ht="15.75" hidden="false" customHeight="false" outlineLevel="0" collapsed="false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O37" s="152"/>
      <c r="P37" s="152"/>
      <c r="Q37" s="152"/>
      <c r="S37" s="152"/>
      <c r="T37" s="152"/>
      <c r="U37" s="152"/>
      <c r="V37" s="152"/>
      <c r="W37" s="152"/>
      <c r="X37" s="152"/>
      <c r="Y37" s="152"/>
      <c r="Z37" s="152"/>
      <c r="AB37" s="1" t="n">
        <v>-2</v>
      </c>
    </row>
    <row r="38" customFormat="false" ht="15.75" hidden="false" customHeight="false" outlineLevel="0" collapsed="false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O38" s="152"/>
      <c r="P38" s="152"/>
      <c r="Q38" s="152"/>
      <c r="S38" s="152"/>
      <c r="T38" s="152"/>
      <c r="U38" s="152"/>
      <c r="V38" s="152"/>
      <c r="W38" s="152"/>
      <c r="X38" s="152"/>
      <c r="Y38" s="152"/>
      <c r="Z38" s="152"/>
      <c r="AB38" s="1" t="n">
        <v>-10</v>
      </c>
    </row>
    <row r="39" customFormat="false" ht="15.75" hidden="false" customHeight="false" outlineLevel="0" collapsed="false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" t="s">
        <v>2635</v>
      </c>
      <c r="AB39" s="1" t="n">
        <v>6</v>
      </c>
    </row>
    <row r="40" customFormat="false" ht="15.75" hidden="false" customHeight="false" outlineLevel="0" collapsed="false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T40" s="152"/>
      <c r="U40" s="152"/>
      <c r="V40" s="152"/>
      <c r="W40" s="152"/>
      <c r="X40" s="152"/>
      <c r="Y40" s="152"/>
      <c r="Z40" s="152"/>
      <c r="AB40" s="1" t="n">
        <v>-7</v>
      </c>
    </row>
    <row r="41" customFormat="false" ht="15.75" hidden="false" customHeight="false" outlineLevel="0" collapsed="false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O41" s="152"/>
      <c r="P41" s="152"/>
      <c r="Q41" s="152"/>
      <c r="S41" s="152"/>
      <c r="T41" s="152"/>
      <c r="U41" s="152"/>
      <c r="V41" s="152"/>
      <c r="W41" s="152"/>
      <c r="X41" s="152"/>
      <c r="Y41" s="152"/>
      <c r="Z41" s="152"/>
      <c r="AB41" s="1" t="n">
        <v>-2</v>
      </c>
    </row>
    <row r="42" customFormat="false" ht="15.75" hidden="false" customHeight="false" outlineLevel="0" collapsed="false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O42" s="152"/>
      <c r="P42" s="152"/>
      <c r="Q42" s="152"/>
      <c r="S42" s="152"/>
      <c r="T42" s="152"/>
      <c r="U42" s="152"/>
      <c r="V42" s="152"/>
      <c r="W42" s="152"/>
      <c r="X42" s="152"/>
      <c r="Y42" s="152"/>
      <c r="Z42" s="152"/>
      <c r="AB42" s="1" t="n">
        <v>0</v>
      </c>
    </row>
    <row r="43" customFormat="false" ht="15.75" hidden="false" customHeight="false" outlineLevel="0" collapsed="false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T43" s="152"/>
      <c r="U43" s="152"/>
      <c r="V43" s="152"/>
      <c r="W43" s="152"/>
      <c r="X43" s="152"/>
      <c r="Y43" s="152"/>
      <c r="Z43" s="152"/>
      <c r="AB43" s="1" t="n">
        <v>-2</v>
      </c>
    </row>
    <row r="44" customFormat="false" ht="15.75" hidden="false" customHeight="false" outlineLevel="0" collapsed="false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O44" s="152"/>
      <c r="P44" s="152"/>
      <c r="Q44" s="152"/>
      <c r="S44" s="152"/>
      <c r="T44" s="152"/>
      <c r="U44" s="152"/>
      <c r="V44" s="152"/>
      <c r="W44" s="152"/>
      <c r="X44" s="152"/>
      <c r="Y44" s="152"/>
      <c r="Z44" s="152"/>
      <c r="AB44" s="1" t="n">
        <v>0</v>
      </c>
    </row>
    <row r="45" customFormat="false" ht="15.75" hidden="false" customHeight="false" outlineLevel="0" collapsed="false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" t="s">
        <v>2636</v>
      </c>
      <c r="AB45" s="1" t="n">
        <v>-13</v>
      </c>
    </row>
    <row r="46" customFormat="false" ht="15.75" hidden="false" customHeight="false" outlineLevel="0" collapsed="false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T46" s="152"/>
      <c r="U46" s="152"/>
      <c r="V46" s="152"/>
      <c r="W46" s="152"/>
      <c r="X46" s="152"/>
      <c r="Y46" s="152"/>
      <c r="Z46" s="152"/>
      <c r="AB46" s="1" t="n">
        <v>-6</v>
      </c>
    </row>
    <row r="47" customFormat="false" ht="15.75" hidden="false" customHeight="false" outlineLevel="0" collapsed="false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O47" s="152"/>
      <c r="P47" s="152"/>
      <c r="Q47" s="152"/>
      <c r="S47" s="152"/>
      <c r="T47" s="152"/>
      <c r="U47" s="152"/>
      <c r="V47" s="152"/>
      <c r="W47" s="152"/>
      <c r="X47" s="152"/>
      <c r="Y47" s="152"/>
      <c r="Z47" s="152"/>
      <c r="AB47" s="1" t="n">
        <v>0</v>
      </c>
    </row>
    <row r="48" customFormat="false" ht="15.75" hidden="false" customHeight="false" outlineLevel="0" collapsed="false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O48" s="152"/>
      <c r="P48" s="152"/>
      <c r="Q48" s="152"/>
      <c r="S48" s="152"/>
      <c r="T48" s="152"/>
      <c r="U48" s="152"/>
      <c r="V48" s="152"/>
      <c r="W48" s="152"/>
      <c r="X48" s="152"/>
      <c r="Y48" s="152"/>
      <c r="Z48" s="152"/>
      <c r="AB48" s="1" t="n">
        <v>-6</v>
      </c>
    </row>
    <row r="49" customFormat="false" ht="15.75" hidden="false" customHeight="false" outlineLevel="0" collapsed="false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" t="s">
        <v>2637</v>
      </c>
      <c r="AB49" s="1" t="n">
        <v>5</v>
      </c>
    </row>
    <row r="50" customFormat="false" ht="15.75" hidden="false" customHeight="false" outlineLevel="0" collapsed="false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O50" s="152"/>
      <c r="P50" s="152"/>
      <c r="Q50" s="152"/>
      <c r="S50" s="152"/>
      <c r="T50" s="152"/>
      <c r="U50" s="152"/>
      <c r="V50" s="152"/>
      <c r="W50" s="152"/>
      <c r="X50" s="152"/>
      <c r="Y50" s="152"/>
      <c r="Z50" s="152"/>
      <c r="AB50" s="1" t="n">
        <v>0</v>
      </c>
    </row>
    <row r="51" customFormat="false" ht="15.75" hidden="false" customHeight="false" outlineLevel="0" collapsed="false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O51" s="152"/>
      <c r="P51" s="152"/>
      <c r="Q51" s="152"/>
      <c r="S51" s="152"/>
      <c r="T51" s="152"/>
      <c r="U51" s="152"/>
      <c r="V51" s="152"/>
      <c r="W51" s="152"/>
      <c r="X51" s="152"/>
      <c r="Y51" s="152"/>
      <c r="Z51" s="152"/>
      <c r="AB51" s="1" t="n">
        <v>0</v>
      </c>
    </row>
    <row r="52" customFormat="false" ht="15.75" hidden="false" customHeight="false" outlineLevel="0" collapsed="false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T52" s="152"/>
      <c r="U52" s="152"/>
      <c r="V52" s="152"/>
      <c r="W52" s="152"/>
      <c r="X52" s="152"/>
      <c r="Y52" s="152"/>
      <c r="Z52" s="152"/>
      <c r="AB52" s="1" t="n">
        <v>-8</v>
      </c>
    </row>
    <row r="53" customFormat="false" ht="15.75" hidden="false" customHeight="false" outlineLevel="0" collapsed="false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T53" s="152"/>
      <c r="U53" s="152"/>
      <c r="V53" s="152"/>
      <c r="W53" s="152"/>
      <c r="X53" s="152"/>
      <c r="Y53" s="152"/>
      <c r="Z53" s="152"/>
      <c r="AB53" s="1" t="n">
        <v>-11</v>
      </c>
    </row>
    <row r="54" customFormat="false" ht="15.75" hidden="false" customHeight="false" outlineLevel="0" collapsed="false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T54" s="152"/>
      <c r="U54" s="152"/>
      <c r="V54" s="152"/>
      <c r="W54" s="152"/>
      <c r="X54" s="152"/>
      <c r="Y54" s="152"/>
      <c r="Z54" s="152"/>
      <c r="AB54" s="1" t="n">
        <v>-6</v>
      </c>
    </row>
    <row r="55" customFormat="false" ht="15.75" hidden="false" customHeight="false" outlineLevel="0" collapsed="false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O55" s="152"/>
      <c r="P55" s="152"/>
      <c r="Q55" s="152"/>
      <c r="S55" s="152"/>
      <c r="T55" s="152"/>
      <c r="U55" s="152"/>
      <c r="V55" s="152"/>
      <c r="W55" s="152"/>
      <c r="X55" s="152"/>
      <c r="Y55" s="152"/>
      <c r="Z55" s="152"/>
      <c r="AB55" s="1" t="n">
        <v>-2</v>
      </c>
    </row>
    <row r="56" customFormat="false" ht="15.75" hidden="false" customHeight="false" outlineLevel="0" collapsed="false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" t="s">
        <v>2638</v>
      </c>
      <c r="AB56" s="1" t="n">
        <v>-9</v>
      </c>
    </row>
    <row r="57" customFormat="false" ht="15.75" hidden="false" customHeight="false" outlineLevel="0" collapsed="false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T57" s="152"/>
      <c r="U57" s="152"/>
      <c r="V57" s="152"/>
      <c r="W57" s="152"/>
      <c r="X57" s="152"/>
      <c r="Y57" s="152"/>
      <c r="Z57" s="152"/>
      <c r="AB57" s="1" t="n">
        <v>-9</v>
      </c>
    </row>
    <row r="58" customFormat="false" ht="15.75" hidden="false" customHeight="false" outlineLevel="0" collapsed="false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O58" s="152"/>
      <c r="P58" s="152"/>
      <c r="Q58" s="152"/>
      <c r="S58" s="152"/>
      <c r="T58" s="152"/>
      <c r="U58" s="152"/>
      <c r="V58" s="152"/>
      <c r="W58" s="152"/>
      <c r="X58" s="152"/>
      <c r="Y58" s="152"/>
      <c r="Z58" s="152"/>
      <c r="AB58" s="1" t="n">
        <v>-2</v>
      </c>
    </row>
    <row r="59" customFormat="false" ht="15.75" hidden="false" customHeight="false" outlineLevel="0" collapsed="false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T59" s="152"/>
      <c r="U59" s="152"/>
      <c r="V59" s="152"/>
      <c r="W59" s="152"/>
      <c r="X59" s="152"/>
      <c r="Y59" s="152"/>
      <c r="Z59" s="152"/>
      <c r="AB59" s="1" t="n">
        <v>-8</v>
      </c>
    </row>
    <row r="60" customFormat="false" ht="15.75" hidden="false" customHeight="false" outlineLevel="0" collapsed="false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" t="s">
        <v>2639</v>
      </c>
      <c r="AB60" s="1" t="n">
        <v>-19</v>
      </c>
    </row>
    <row r="61" customFormat="false" ht="15.75" hidden="false" customHeight="false" outlineLevel="0" collapsed="false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O61" s="152"/>
      <c r="P61" s="152"/>
      <c r="Q61" s="152"/>
      <c r="S61" s="152"/>
      <c r="T61" s="152"/>
      <c r="U61" s="152"/>
      <c r="V61" s="152"/>
      <c r="W61" s="152"/>
      <c r="X61" s="152"/>
      <c r="Y61" s="152"/>
      <c r="Z61" s="152"/>
      <c r="AB61" s="1" t="n">
        <v>-12</v>
      </c>
    </row>
    <row r="62" customFormat="false" ht="15.75" hidden="false" customHeight="false" outlineLevel="0" collapsed="false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T62" s="152"/>
      <c r="U62" s="152"/>
      <c r="V62" s="152"/>
      <c r="W62" s="152"/>
      <c r="X62" s="152"/>
      <c r="Y62" s="152"/>
      <c r="Z62" s="152"/>
      <c r="AB62" s="1" t="n">
        <v>-7</v>
      </c>
    </row>
    <row r="63" customFormat="false" ht="15.75" hidden="false" customHeight="false" outlineLevel="0" collapsed="false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T63" s="152"/>
      <c r="U63" s="152"/>
      <c r="V63" s="152"/>
      <c r="W63" s="152"/>
      <c r="X63" s="152"/>
      <c r="Y63" s="152"/>
      <c r="Z63" s="152"/>
      <c r="AB63" s="1" t="n">
        <v>-9</v>
      </c>
    </row>
    <row r="64" customFormat="false" ht="15.75" hidden="false" customHeight="false" outlineLevel="0" collapsed="false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O64" s="152"/>
      <c r="P64" s="152"/>
      <c r="Q64" s="152"/>
      <c r="S64" s="152"/>
      <c r="T64" s="152"/>
      <c r="U64" s="152"/>
      <c r="V64" s="152"/>
      <c r="W64" s="152"/>
      <c r="X64" s="152"/>
      <c r="Y64" s="152"/>
      <c r="Z64" s="152"/>
      <c r="AB64" s="1" t="n">
        <v>-9</v>
      </c>
    </row>
    <row r="65" customFormat="false" ht="15.75" hidden="false" customHeight="false" outlineLevel="0" collapsed="false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O65" s="152"/>
      <c r="P65" s="152"/>
      <c r="Q65" s="152"/>
      <c r="S65" s="152"/>
      <c r="T65" s="152"/>
      <c r="U65" s="152"/>
      <c r="V65" s="152"/>
      <c r="W65" s="152"/>
      <c r="X65" s="152"/>
      <c r="Y65" s="152"/>
      <c r="Z65" s="152"/>
      <c r="AB65" s="1" t="n">
        <v>-11</v>
      </c>
    </row>
    <row r="66" customFormat="false" ht="15.75" hidden="false" customHeight="false" outlineLevel="0" collapsed="false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O66" s="152"/>
      <c r="P66" s="152"/>
      <c r="Q66" s="152"/>
      <c r="S66" s="152"/>
      <c r="T66" s="152"/>
      <c r="U66" s="152"/>
      <c r="V66" s="152"/>
      <c r="W66" s="152"/>
      <c r="X66" s="152"/>
      <c r="Y66" s="152"/>
      <c r="Z66" s="152"/>
      <c r="AB66" s="1" t="n">
        <v>3</v>
      </c>
    </row>
    <row r="67" customFormat="false" ht="15.75" hidden="false" customHeight="false" outlineLevel="0" collapsed="false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" t="s">
        <v>2640</v>
      </c>
      <c r="AB67" s="1" t="n">
        <v>-14</v>
      </c>
    </row>
    <row r="68" customFormat="false" ht="15.75" hidden="false" customHeight="false" outlineLevel="0" collapsed="false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O68" s="152"/>
      <c r="P68" s="152"/>
      <c r="Q68" s="152"/>
      <c r="S68" s="152"/>
      <c r="T68" s="152"/>
      <c r="U68" s="152"/>
      <c r="V68" s="152"/>
      <c r="W68" s="152"/>
      <c r="X68" s="152"/>
      <c r="Y68" s="152"/>
      <c r="Z68" s="152"/>
      <c r="AB68" s="1" t="n">
        <v>1</v>
      </c>
    </row>
    <row r="69" customFormat="false" ht="15.75" hidden="false" customHeight="false" outlineLevel="0" collapsed="false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O69" s="152"/>
      <c r="P69" s="152"/>
      <c r="Q69" s="152"/>
      <c r="S69" s="152"/>
      <c r="T69" s="152"/>
      <c r="U69" s="152"/>
      <c r="V69" s="152"/>
      <c r="W69" s="152"/>
      <c r="X69" s="152"/>
      <c r="Y69" s="152"/>
      <c r="Z69" s="152"/>
      <c r="AB69" s="1" t="n">
        <v>-2</v>
      </c>
    </row>
    <row r="70" customFormat="false" ht="15.75" hidden="false" customHeight="false" outlineLevel="0" collapsed="false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O70" s="152"/>
      <c r="P70" s="152"/>
      <c r="Q70" s="152"/>
      <c r="S70" s="152"/>
      <c r="T70" s="152"/>
      <c r="U70" s="152"/>
      <c r="V70" s="152"/>
      <c r="W70" s="152"/>
      <c r="X70" s="152"/>
      <c r="Y70" s="152"/>
      <c r="Z70" s="152"/>
      <c r="AB70" s="1" t="n">
        <v>1</v>
      </c>
    </row>
    <row r="71" customFormat="false" ht="15.75" hidden="false" customHeight="false" outlineLevel="0" collapsed="false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O71" s="152"/>
      <c r="P71" s="152"/>
      <c r="Q71" s="152"/>
      <c r="S71" s="152"/>
      <c r="T71" s="152"/>
      <c r="U71" s="152"/>
      <c r="V71" s="152"/>
      <c r="W71" s="152"/>
      <c r="X71" s="152"/>
      <c r="Y71" s="152"/>
      <c r="Z71" s="152"/>
      <c r="AB71" s="1" t="n">
        <v>-1</v>
      </c>
    </row>
    <row r="72" customFormat="false" ht="15.75" hidden="false" customHeight="false" outlineLevel="0" collapsed="false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T72" s="152"/>
      <c r="U72" s="152"/>
      <c r="V72" s="152"/>
      <c r="W72" s="152"/>
      <c r="X72" s="152"/>
      <c r="Y72" s="152"/>
      <c r="Z72" s="152"/>
      <c r="AB72" s="1" t="n">
        <v>-9</v>
      </c>
    </row>
    <row r="73" customFormat="false" ht="15.75" hidden="false" customHeight="false" outlineLevel="0" collapsed="false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O73" s="152"/>
      <c r="P73" s="152"/>
      <c r="Q73" s="152"/>
      <c r="S73" s="152"/>
      <c r="T73" s="152"/>
      <c r="U73" s="152"/>
      <c r="V73" s="152"/>
      <c r="W73" s="152"/>
      <c r="X73" s="152"/>
      <c r="Y73" s="152"/>
      <c r="Z73" s="152"/>
      <c r="AB73" s="1" t="n">
        <v>0</v>
      </c>
    </row>
    <row r="74" customFormat="false" ht="15.75" hidden="false" customHeight="false" outlineLevel="0" collapsed="false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T74" s="152"/>
      <c r="U74" s="152"/>
      <c r="V74" s="152"/>
      <c r="W74" s="152"/>
      <c r="X74" s="152"/>
      <c r="Y74" s="152"/>
      <c r="Z74" s="152"/>
      <c r="AB74" s="1" t="n">
        <v>-7</v>
      </c>
    </row>
    <row r="75" customFormat="false" ht="15.75" hidden="false" customHeight="false" outlineLevel="0" collapsed="false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O75" s="152"/>
      <c r="P75" s="152"/>
      <c r="Q75" s="152"/>
      <c r="S75" s="152"/>
      <c r="T75" s="152"/>
      <c r="U75" s="152"/>
      <c r="V75" s="152"/>
      <c r="W75" s="152"/>
      <c r="X75" s="152"/>
      <c r="Y75" s="152"/>
      <c r="Z75" s="152"/>
      <c r="AB75" s="1" t="n">
        <v>0</v>
      </c>
    </row>
    <row r="76" customFormat="false" ht="15.75" hidden="false" customHeight="false" outlineLevel="0" collapsed="false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T76" s="152"/>
      <c r="U76" s="152"/>
      <c r="V76" s="152"/>
      <c r="W76" s="152"/>
      <c r="X76" s="152"/>
      <c r="Y76" s="152"/>
      <c r="Z76" s="152"/>
      <c r="AB76" s="1" t="n">
        <v>-8</v>
      </c>
    </row>
    <row r="77" customFormat="false" ht="15.75" hidden="false" customHeight="false" outlineLevel="0" collapsed="false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O77" s="152"/>
      <c r="P77" s="152"/>
      <c r="Q77" s="152"/>
      <c r="S77" s="152"/>
      <c r="T77" s="152"/>
      <c r="U77" s="152"/>
      <c r="V77" s="152"/>
      <c r="W77" s="152"/>
      <c r="X77" s="152"/>
      <c r="Y77" s="152"/>
      <c r="Z77" s="152"/>
      <c r="AB77" s="1" t="n">
        <v>0</v>
      </c>
    </row>
    <row r="78" customFormat="false" ht="15.75" hidden="false" customHeight="false" outlineLevel="0" collapsed="false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O78" s="152"/>
      <c r="P78" s="152"/>
      <c r="Q78" s="152"/>
      <c r="S78" s="152"/>
      <c r="T78" s="152"/>
      <c r="U78" s="152"/>
      <c r="V78" s="152"/>
      <c r="W78" s="152"/>
      <c r="X78" s="152"/>
      <c r="Y78" s="152"/>
      <c r="Z78" s="152"/>
      <c r="AB78" s="1" t="n">
        <v>1</v>
      </c>
    </row>
    <row r="79" customFormat="false" ht="15.75" hidden="false" customHeight="false" outlineLevel="0" collapsed="false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T79" s="152"/>
      <c r="U79" s="152"/>
      <c r="V79" s="152"/>
      <c r="W79" s="152"/>
      <c r="X79" s="152"/>
      <c r="Y79" s="152"/>
      <c r="Z79" s="152"/>
      <c r="AB79" s="1" t="n">
        <v>-7</v>
      </c>
    </row>
    <row r="80" customFormat="false" ht="15.75" hidden="false" customHeight="false" outlineLevel="0" collapsed="false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O80" s="152"/>
      <c r="P80" s="152"/>
      <c r="Q80" s="152"/>
      <c r="S80" s="152"/>
      <c r="T80" s="152"/>
      <c r="U80" s="152"/>
      <c r="V80" s="152"/>
      <c r="W80" s="152"/>
      <c r="X80" s="152"/>
      <c r="Y80" s="152"/>
      <c r="Z80" s="152"/>
      <c r="AB80" s="1" t="n">
        <v>0</v>
      </c>
    </row>
    <row r="81" customFormat="false" ht="15.75" hidden="false" customHeight="false" outlineLevel="0" collapsed="false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O81" s="152"/>
      <c r="P81" s="152"/>
      <c r="Q81" s="152"/>
      <c r="S81" s="152"/>
      <c r="T81" s="152"/>
      <c r="U81" s="152"/>
      <c r="V81" s="152"/>
      <c r="W81" s="152"/>
      <c r="X81" s="152"/>
      <c r="Y81" s="152"/>
      <c r="Z81" s="152"/>
      <c r="AB81" s="1" t="n">
        <v>-11</v>
      </c>
    </row>
    <row r="82" customFormat="false" ht="15.75" hidden="false" customHeight="false" outlineLevel="0" collapsed="false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O82" s="152"/>
      <c r="P82" s="152"/>
      <c r="Q82" s="152"/>
      <c r="S82" s="152"/>
      <c r="T82" s="152"/>
      <c r="U82" s="152"/>
      <c r="V82" s="152"/>
      <c r="W82" s="152"/>
      <c r="X82" s="152"/>
      <c r="Y82" s="152"/>
      <c r="Z82" s="152"/>
      <c r="AB82" s="1" t="n">
        <v>-13</v>
      </c>
    </row>
    <row r="83" customFormat="false" ht="15.75" hidden="false" customHeight="false" outlineLevel="0" collapsed="false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" t="s">
        <v>2641</v>
      </c>
      <c r="AB83" s="1" t="n">
        <v>-21</v>
      </c>
    </row>
    <row r="84" customFormat="false" ht="15.75" hidden="false" customHeight="false" outlineLevel="0" collapsed="false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" t="s">
        <v>2642</v>
      </c>
      <c r="AB84" s="1" t="n">
        <v>-7</v>
      </c>
    </row>
    <row r="85" customFormat="false" ht="15.75" hidden="false" customHeight="false" outlineLevel="0" collapsed="false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" t="s">
        <v>2643</v>
      </c>
      <c r="AB85" s="1" t="n">
        <v>-10</v>
      </c>
    </row>
    <row r="86" customFormat="false" ht="15.75" hidden="false" customHeight="false" outlineLevel="0" collapsed="false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" t="s">
        <v>2644</v>
      </c>
      <c r="AB86" s="1" t="n">
        <v>-6</v>
      </c>
    </row>
    <row r="87" customFormat="false" ht="15.75" hidden="false" customHeight="false" outlineLevel="0" collapsed="false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S87" s="152"/>
      <c r="T87" s="152"/>
      <c r="U87" s="152"/>
      <c r="V87" s="152"/>
      <c r="W87" s="152"/>
      <c r="X87" s="152"/>
      <c r="Y87" s="152"/>
      <c r="Z87" s="152"/>
      <c r="AB87" s="1" t="n">
        <v>-7</v>
      </c>
    </row>
    <row r="88" customFormat="false" ht="15.75" hidden="false" customHeight="false" outlineLevel="0" collapsed="false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O88" s="152"/>
      <c r="P88" s="152"/>
      <c r="Q88" s="152"/>
      <c r="S88" s="152"/>
      <c r="T88" s="152"/>
      <c r="U88" s="152"/>
      <c r="V88" s="152"/>
      <c r="W88" s="152"/>
      <c r="X88" s="152"/>
      <c r="Y88" s="152"/>
      <c r="Z88" s="152"/>
      <c r="AB88" s="1" t="n">
        <v>-2</v>
      </c>
    </row>
    <row r="89" customFormat="false" ht="15.75" hidden="false" customHeight="false" outlineLevel="0" collapsed="false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" t="s">
        <v>2645</v>
      </c>
      <c r="AB89" s="1" t="n">
        <v>-17</v>
      </c>
    </row>
    <row r="90" customFormat="false" ht="15.75" hidden="false" customHeight="false" outlineLevel="0" collapsed="false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O90" s="152"/>
      <c r="P90" s="152"/>
      <c r="Q90" s="152"/>
      <c r="S90" s="152"/>
      <c r="T90" s="152"/>
      <c r="U90" s="152"/>
      <c r="V90" s="152"/>
      <c r="W90" s="152"/>
      <c r="X90" s="152"/>
      <c r="Y90" s="152"/>
      <c r="Z90" s="152"/>
      <c r="AB90" s="1" t="n">
        <v>-12</v>
      </c>
    </row>
    <row r="91" customFormat="false" ht="15.75" hidden="false" customHeight="false" outlineLevel="0" collapsed="false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T91" s="152"/>
      <c r="U91" s="152"/>
      <c r="V91" s="152"/>
      <c r="W91" s="152"/>
      <c r="X91" s="152"/>
      <c r="Y91" s="152"/>
      <c r="Z91" s="152"/>
      <c r="AB91" s="1" t="n">
        <v>-4</v>
      </c>
    </row>
    <row r="92" customFormat="false" ht="15.75" hidden="false" customHeight="false" outlineLevel="0" collapsed="false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T92" s="152"/>
      <c r="U92" s="152"/>
      <c r="V92" s="152"/>
      <c r="W92" s="152"/>
      <c r="X92" s="152"/>
      <c r="Y92" s="152"/>
      <c r="Z92" s="152"/>
      <c r="AB92" s="1" t="n">
        <v>-11</v>
      </c>
    </row>
    <row r="93" customFormat="false" ht="15.75" hidden="false" customHeight="false" outlineLevel="0" collapsed="false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O93" s="152"/>
      <c r="P93" s="152"/>
      <c r="Q93" s="152"/>
      <c r="S93" s="152"/>
      <c r="T93" s="152"/>
      <c r="U93" s="152"/>
      <c r="V93" s="152"/>
      <c r="W93" s="152"/>
      <c r="X93" s="152"/>
      <c r="Y93" s="152"/>
      <c r="Z93" s="152"/>
      <c r="AB93" s="1" t="n">
        <v>1</v>
      </c>
    </row>
    <row r="94" customFormat="false" ht="15.75" hidden="false" customHeight="false" outlineLevel="0" collapsed="false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O94" s="152"/>
      <c r="P94" s="152"/>
      <c r="Q94" s="152"/>
      <c r="S94" s="152"/>
      <c r="T94" s="152"/>
      <c r="U94" s="152"/>
      <c r="V94" s="152"/>
      <c r="W94" s="152"/>
      <c r="X94" s="152"/>
      <c r="Y94" s="152"/>
      <c r="Z94" s="152"/>
      <c r="AB94" s="1" t="n">
        <v>0</v>
      </c>
    </row>
    <row r="95" customFormat="false" ht="15.75" hidden="false" customHeight="false" outlineLevel="0" collapsed="false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T95" s="152"/>
      <c r="U95" s="152"/>
      <c r="V95" s="152"/>
      <c r="W95" s="152"/>
      <c r="X95" s="152"/>
      <c r="Y95" s="152"/>
      <c r="Z95" s="152"/>
      <c r="AB95" s="1" t="n">
        <v>-9</v>
      </c>
    </row>
    <row r="96" customFormat="false" ht="15.75" hidden="false" customHeight="false" outlineLevel="0" collapsed="false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O96" s="152"/>
      <c r="P96" s="152"/>
      <c r="Q96" s="152"/>
      <c r="S96" s="152"/>
      <c r="T96" s="152"/>
      <c r="U96" s="152"/>
      <c r="V96" s="152"/>
      <c r="W96" s="152"/>
      <c r="X96" s="152"/>
      <c r="Y96" s="152"/>
      <c r="Z96" s="152"/>
      <c r="AB96" s="1" t="n">
        <v>1</v>
      </c>
    </row>
    <row r="97" customFormat="false" ht="15.75" hidden="false" customHeight="false" outlineLevel="0" collapsed="false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T97" s="152"/>
      <c r="U97" s="152"/>
      <c r="V97" s="152"/>
      <c r="W97" s="152"/>
      <c r="X97" s="152"/>
      <c r="Y97" s="152"/>
      <c r="Z97" s="152"/>
      <c r="AB97" s="1" t="n">
        <v>-8</v>
      </c>
    </row>
    <row r="98" customFormat="false" ht="15.75" hidden="false" customHeight="false" outlineLevel="0" collapsed="false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" t="s">
        <v>2646</v>
      </c>
      <c r="AB98" s="1" t="n">
        <v>-6</v>
      </c>
    </row>
    <row r="99" customFormat="false" ht="15.75" hidden="false" customHeight="false" outlineLevel="0" collapsed="false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" t="s">
        <v>2647</v>
      </c>
      <c r="AB99" s="1" t="n">
        <v>1</v>
      </c>
    </row>
    <row r="100" customFormat="false" ht="15.75" hidden="false" customHeight="false" outlineLevel="0" collapsed="false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O100" s="152"/>
      <c r="P100" s="152"/>
      <c r="Q100" s="152"/>
      <c r="S100" s="152"/>
      <c r="T100" s="152"/>
      <c r="U100" s="152"/>
      <c r="V100" s="152"/>
      <c r="W100" s="152"/>
      <c r="X100" s="152"/>
      <c r="Y100" s="152"/>
      <c r="Z100" s="152"/>
      <c r="AB100" s="1" t="n">
        <v>-1</v>
      </c>
    </row>
    <row r="101" customFormat="false" ht="15.75" hidden="false" customHeight="false" outlineLevel="0" collapsed="false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T101" s="152"/>
      <c r="U101" s="152"/>
      <c r="V101" s="152"/>
      <c r="W101" s="152"/>
      <c r="X101" s="152"/>
      <c r="Y101" s="152"/>
      <c r="Z101" s="152"/>
      <c r="AB101" s="1" t="n">
        <v>-5</v>
      </c>
    </row>
    <row r="102" customFormat="false" ht="15.75" hidden="false" customHeight="false" outlineLevel="0" collapsed="false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" t="s">
        <v>2648</v>
      </c>
      <c r="AB102" s="1" t="n">
        <v>-2</v>
      </c>
    </row>
    <row r="103" customFormat="false" ht="15.75" hidden="false" customHeight="false" outlineLevel="0" collapsed="false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O103" s="152"/>
      <c r="P103" s="152"/>
      <c r="Q103" s="152"/>
      <c r="S103" s="152"/>
      <c r="T103" s="152"/>
      <c r="U103" s="152"/>
      <c r="V103" s="152"/>
      <c r="W103" s="152"/>
      <c r="X103" s="152"/>
      <c r="Y103" s="152"/>
      <c r="Z103" s="152"/>
      <c r="AB103" s="1" t="n">
        <v>1</v>
      </c>
    </row>
    <row r="104" customFormat="false" ht="15.75" hidden="false" customHeight="false" outlineLevel="0" collapsed="false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" t="s">
        <v>2649</v>
      </c>
      <c r="AB104" s="1" t="n">
        <v>-12</v>
      </c>
    </row>
    <row r="105" customFormat="false" ht="15.75" hidden="false" customHeight="false" outlineLevel="0" collapsed="false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O105" s="152"/>
      <c r="P105" s="152"/>
      <c r="Q105" s="152"/>
      <c r="S105" s="152"/>
      <c r="T105" s="152"/>
      <c r="U105" s="152"/>
      <c r="V105" s="152"/>
      <c r="W105" s="152"/>
      <c r="X105" s="152"/>
      <c r="Y105" s="152"/>
      <c r="Z105" s="152"/>
      <c r="AB105" s="1" t="n">
        <v>0</v>
      </c>
    </row>
    <row r="106" customFormat="false" ht="15.75" hidden="false" customHeight="false" outlineLevel="0" collapsed="false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O106" s="152"/>
      <c r="P106" s="152"/>
      <c r="Q106" s="152"/>
      <c r="S106" s="152"/>
      <c r="T106" s="152"/>
      <c r="U106" s="152"/>
      <c r="V106" s="152"/>
      <c r="W106" s="152"/>
      <c r="X106" s="152"/>
      <c r="Y106" s="152"/>
      <c r="Z106" s="152"/>
      <c r="AB106" s="1" t="n">
        <v>-1</v>
      </c>
    </row>
    <row r="107" customFormat="false" ht="15.75" hidden="false" customHeight="false" outlineLevel="0" collapsed="false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" t="s">
        <v>2650</v>
      </c>
      <c r="AB107" s="1" t="n">
        <v>-14</v>
      </c>
    </row>
    <row r="108" customFormat="false" ht="15.75" hidden="false" customHeight="false" outlineLevel="0" collapsed="false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" t="s">
        <v>2651</v>
      </c>
      <c r="AB108" s="1" t="n">
        <v>-6</v>
      </c>
    </row>
    <row r="109" customFormat="false" ht="15.75" hidden="false" customHeight="false" outlineLevel="0" collapsed="false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" t="s">
        <v>2652</v>
      </c>
      <c r="AB109" s="1" t="n">
        <v>-11</v>
      </c>
    </row>
    <row r="110" customFormat="false" ht="15.75" hidden="false" customHeight="false" outlineLevel="0" collapsed="false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T110" s="152"/>
      <c r="U110" s="152"/>
      <c r="V110" s="152"/>
      <c r="W110" s="152"/>
      <c r="X110" s="152"/>
      <c r="Y110" s="152"/>
      <c r="Z110" s="152"/>
      <c r="AB110" s="1" t="n">
        <v>-8</v>
      </c>
    </row>
    <row r="111" customFormat="false" ht="15.75" hidden="false" customHeight="false" outlineLevel="0" collapsed="false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" t="s">
        <v>2653</v>
      </c>
      <c r="AB111" s="1" t="n">
        <v>-1</v>
      </c>
    </row>
    <row r="112" customFormat="false" ht="15.75" hidden="false" customHeight="false" outlineLevel="0" collapsed="false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O112" s="152"/>
      <c r="P112" s="152"/>
      <c r="Q112" s="152"/>
      <c r="S112" s="152"/>
      <c r="T112" s="152"/>
      <c r="U112" s="152"/>
      <c r="V112" s="152"/>
      <c r="W112" s="152"/>
      <c r="X112" s="152"/>
      <c r="Y112" s="152"/>
      <c r="Z112" s="152"/>
      <c r="AB112" s="1" t="n">
        <v>4</v>
      </c>
    </row>
    <row r="113" customFormat="false" ht="15.75" hidden="false" customHeight="false" outlineLevel="0" collapsed="false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O113" s="152"/>
      <c r="P113" s="152"/>
      <c r="Q113" s="152"/>
      <c r="S113" s="152"/>
      <c r="T113" s="152"/>
      <c r="U113" s="152"/>
      <c r="V113" s="152"/>
      <c r="W113" s="152"/>
      <c r="X113" s="152"/>
      <c r="Y113" s="152"/>
      <c r="Z113" s="152"/>
      <c r="AB113" s="1" t="n">
        <v>-7</v>
      </c>
    </row>
    <row r="114" customFormat="false" ht="15.75" hidden="false" customHeight="false" outlineLevel="0" collapsed="false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" t="s">
        <v>2654</v>
      </c>
      <c r="AB114" s="1" t="n">
        <v>12</v>
      </c>
    </row>
    <row r="115" customFormat="false" ht="15.75" hidden="false" customHeight="false" outlineLevel="0" collapsed="false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O115" s="152"/>
      <c r="P115" s="152"/>
      <c r="Q115" s="152"/>
      <c r="S115" s="152"/>
      <c r="T115" s="152"/>
      <c r="U115" s="152"/>
      <c r="V115" s="152"/>
      <c r="W115" s="152"/>
      <c r="X115" s="152"/>
      <c r="Y115" s="152"/>
      <c r="Z115" s="152"/>
      <c r="AB115" s="1" t="n">
        <v>-1</v>
      </c>
    </row>
    <row r="116" customFormat="false" ht="15.75" hidden="false" customHeight="false" outlineLevel="0" collapsed="false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" t="s">
        <v>2655</v>
      </c>
      <c r="AB116" s="1" t="n">
        <v>-17</v>
      </c>
    </row>
    <row r="117" customFormat="false" ht="15.75" hidden="false" customHeight="false" outlineLevel="0" collapsed="false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T117" s="152"/>
      <c r="U117" s="152"/>
      <c r="V117" s="152"/>
      <c r="W117" s="152"/>
      <c r="X117" s="152"/>
      <c r="Y117" s="152"/>
      <c r="Z117" s="152"/>
      <c r="AB117" s="1" t="n">
        <v>-5</v>
      </c>
    </row>
    <row r="118" customFormat="false" ht="15.75" hidden="false" customHeight="false" outlineLevel="0" collapsed="false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T118" s="152"/>
      <c r="U118" s="152"/>
      <c r="V118" s="152"/>
      <c r="W118" s="152"/>
      <c r="X118" s="152"/>
      <c r="Y118" s="152"/>
      <c r="Z118" s="152"/>
      <c r="AB118" s="1" t="n">
        <v>-6</v>
      </c>
    </row>
    <row r="119" customFormat="false" ht="15.75" hidden="false" customHeight="false" outlineLevel="0" collapsed="false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T119" s="152"/>
      <c r="U119" s="152"/>
      <c r="V119" s="152"/>
      <c r="W119" s="152"/>
      <c r="X119" s="152"/>
      <c r="Y119" s="152"/>
      <c r="Z119" s="152"/>
      <c r="AB119" s="1" t="n">
        <v>-6</v>
      </c>
    </row>
    <row r="120" customFormat="false" ht="15.75" hidden="false" customHeight="false" outlineLevel="0" collapsed="false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" t="s">
        <v>2656</v>
      </c>
      <c r="AB120" s="1" t="n">
        <v>-15</v>
      </c>
    </row>
    <row r="121" customFormat="false" ht="15.75" hidden="false" customHeight="false" outlineLevel="0" collapsed="false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S121" s="152"/>
      <c r="T121" s="152"/>
      <c r="U121" s="152"/>
      <c r="V121" s="152"/>
      <c r="W121" s="152"/>
      <c r="X121" s="152"/>
      <c r="Y121" s="152"/>
      <c r="Z121" s="152"/>
      <c r="AB121" s="1" t="n">
        <v>-6</v>
      </c>
    </row>
    <row r="122" customFormat="false" ht="15.75" hidden="false" customHeight="false" outlineLevel="0" collapsed="false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O122" s="152"/>
      <c r="P122" s="152"/>
      <c r="Q122" s="152"/>
      <c r="S122" s="152"/>
      <c r="T122" s="152"/>
      <c r="U122" s="152"/>
      <c r="V122" s="152"/>
      <c r="W122" s="152"/>
      <c r="X122" s="152"/>
      <c r="Y122" s="152"/>
      <c r="Z122" s="152"/>
      <c r="AB122" s="1" t="n">
        <v>0</v>
      </c>
    </row>
    <row r="123" customFormat="false" ht="15.75" hidden="false" customHeight="false" outlineLevel="0" collapsed="false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O123" s="152"/>
      <c r="P123" s="152"/>
      <c r="Q123" s="152"/>
      <c r="S123" s="152"/>
      <c r="T123" s="152"/>
      <c r="U123" s="152"/>
      <c r="V123" s="152"/>
      <c r="W123" s="152"/>
      <c r="X123" s="152"/>
      <c r="Y123" s="152"/>
      <c r="Z123" s="152"/>
      <c r="AB123" s="1" t="n">
        <v>-12</v>
      </c>
    </row>
    <row r="124" customFormat="false" ht="15.75" hidden="false" customHeight="false" outlineLevel="0" collapsed="false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O124" s="152"/>
      <c r="P124" s="152"/>
      <c r="Q124" s="152"/>
      <c r="S124" s="152"/>
      <c r="T124" s="152"/>
      <c r="U124" s="152"/>
      <c r="V124" s="152"/>
      <c r="W124" s="152"/>
      <c r="X124" s="152"/>
      <c r="Y124" s="152"/>
      <c r="Z124" s="152"/>
      <c r="AB124" s="1" t="n">
        <v>-11</v>
      </c>
    </row>
    <row r="125" customFormat="false" ht="15.75" hidden="false" customHeight="false" outlineLevel="0" collapsed="false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" t="s">
        <v>2657</v>
      </c>
      <c r="AB125" s="1" t="n">
        <v>-11</v>
      </c>
    </row>
    <row r="126" customFormat="false" ht="15.75" hidden="false" customHeight="false" outlineLevel="0" collapsed="false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T126" s="152"/>
      <c r="U126" s="152"/>
      <c r="V126" s="152"/>
      <c r="W126" s="152"/>
      <c r="X126" s="152"/>
      <c r="Y126" s="152"/>
      <c r="Z126" s="152"/>
      <c r="AB126" s="1" t="n">
        <v>-6</v>
      </c>
    </row>
    <row r="127" customFormat="false" ht="15.75" hidden="false" customHeight="false" outlineLevel="0" collapsed="false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T127" s="152"/>
      <c r="U127" s="152"/>
      <c r="V127" s="152"/>
      <c r="W127" s="152"/>
      <c r="X127" s="152"/>
      <c r="Y127" s="152"/>
      <c r="Z127" s="152"/>
      <c r="AB127" s="1" t="n">
        <v>-8</v>
      </c>
    </row>
    <row r="128" customFormat="false" ht="15.75" hidden="false" customHeight="false" outlineLevel="0" collapsed="false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O128" s="152"/>
      <c r="P128" s="152"/>
      <c r="Q128" s="152"/>
      <c r="S128" s="152"/>
      <c r="T128" s="152"/>
      <c r="U128" s="152"/>
      <c r="V128" s="152"/>
      <c r="W128" s="152"/>
      <c r="X128" s="152"/>
      <c r="Y128" s="152"/>
      <c r="Z128" s="152"/>
      <c r="AB128" s="1" t="n">
        <v>0</v>
      </c>
    </row>
    <row r="129" customFormat="false" ht="15.75" hidden="false" customHeight="false" outlineLevel="0" collapsed="false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O129" s="152"/>
      <c r="P129" s="152"/>
      <c r="Q129" s="152"/>
      <c r="S129" s="152"/>
      <c r="T129" s="152"/>
      <c r="U129" s="152"/>
      <c r="V129" s="152"/>
      <c r="W129" s="152"/>
      <c r="X129" s="152"/>
      <c r="Y129" s="152"/>
      <c r="Z129" s="152"/>
      <c r="AB129" s="1" t="n">
        <v>0</v>
      </c>
    </row>
    <row r="130" customFormat="false" ht="15.75" hidden="false" customHeight="false" outlineLevel="0" collapsed="false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O130" s="152"/>
      <c r="P130" s="152"/>
      <c r="Q130" s="152"/>
      <c r="S130" s="152"/>
      <c r="T130" s="152"/>
      <c r="U130" s="152"/>
      <c r="V130" s="152"/>
      <c r="W130" s="152"/>
      <c r="X130" s="152"/>
      <c r="Y130" s="152"/>
      <c r="Z130" s="152"/>
      <c r="AB130" s="1" t="n">
        <v>-8</v>
      </c>
    </row>
    <row r="131" customFormat="false" ht="15.75" hidden="false" customHeight="false" outlineLevel="0" collapsed="false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S131" s="152"/>
      <c r="T131" s="152"/>
      <c r="U131" s="152"/>
      <c r="V131" s="152"/>
      <c r="W131" s="152"/>
      <c r="X131" s="152"/>
      <c r="Y131" s="152"/>
      <c r="Z131" s="152"/>
      <c r="AB131" s="1" t="n">
        <v>-8</v>
      </c>
    </row>
    <row r="132" customFormat="false" ht="15.75" hidden="false" customHeight="false" outlineLevel="0" collapsed="false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S132" s="152"/>
      <c r="T132" s="152"/>
      <c r="U132" s="152"/>
      <c r="V132" s="152"/>
      <c r="W132" s="152"/>
      <c r="X132" s="152"/>
      <c r="Y132" s="152"/>
      <c r="Z132" s="152"/>
      <c r="AB132" s="1" t="n">
        <v>-8</v>
      </c>
    </row>
    <row r="133" customFormat="false" ht="15.75" hidden="false" customHeight="false" outlineLevel="0" collapsed="false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O133" s="152"/>
      <c r="P133" s="152"/>
      <c r="Q133" s="152"/>
      <c r="S133" s="152"/>
      <c r="T133" s="152"/>
      <c r="U133" s="152"/>
      <c r="V133" s="152"/>
      <c r="W133" s="152"/>
      <c r="X133" s="152"/>
      <c r="Y133" s="152"/>
      <c r="Z133" s="152"/>
      <c r="AB133" s="1" t="n">
        <v>0</v>
      </c>
    </row>
    <row r="134" customFormat="false" ht="15.75" hidden="false" customHeight="false" outlineLevel="0" collapsed="false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T134" s="152"/>
      <c r="U134" s="152"/>
      <c r="V134" s="152"/>
      <c r="W134" s="152"/>
      <c r="X134" s="152"/>
      <c r="Y134" s="152"/>
      <c r="Z134" s="152"/>
      <c r="AB134" s="1" t="n">
        <v>-5</v>
      </c>
    </row>
    <row r="135" customFormat="false" ht="15.75" hidden="false" customHeight="false" outlineLevel="0" collapsed="false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O135" s="152"/>
      <c r="P135" s="152"/>
      <c r="Q135" s="152"/>
      <c r="S135" s="152"/>
      <c r="T135" s="152"/>
      <c r="U135" s="152"/>
      <c r="V135" s="152"/>
      <c r="W135" s="152"/>
      <c r="X135" s="152"/>
      <c r="Y135" s="152"/>
      <c r="Z135" s="152"/>
      <c r="AB135" s="1" t="n">
        <v>0</v>
      </c>
    </row>
    <row r="136" customFormat="false" ht="15.75" hidden="false" customHeight="false" outlineLevel="0" collapsed="false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S136" s="152"/>
      <c r="T136" s="152"/>
      <c r="U136" s="152"/>
      <c r="V136" s="152"/>
      <c r="W136" s="152"/>
      <c r="X136" s="152"/>
      <c r="Y136" s="152"/>
      <c r="Z136" s="152"/>
      <c r="AB136" s="1" t="n">
        <v>-10</v>
      </c>
    </row>
    <row r="137" customFormat="false" ht="15.75" hidden="false" customHeight="false" outlineLevel="0" collapsed="false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O137" s="152"/>
      <c r="P137" s="152"/>
      <c r="Q137" s="152"/>
      <c r="S137" s="152"/>
      <c r="T137" s="152"/>
      <c r="U137" s="152"/>
      <c r="V137" s="152"/>
      <c r="W137" s="152"/>
      <c r="X137" s="152"/>
      <c r="Y137" s="152"/>
      <c r="Z137" s="152"/>
      <c r="AB137" s="1" t="n">
        <v>-12</v>
      </c>
    </row>
    <row r="138" customFormat="false" ht="15.75" hidden="false" customHeight="false" outlineLevel="0" collapsed="false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" t="s">
        <v>2658</v>
      </c>
      <c r="AB138" s="1" t="n">
        <v>-10</v>
      </c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2026-04-29T15:00:26Z</dcterms:modified>
  <cp:revision>1</cp:revision>
  <dc:subject/>
  <dc:title/>
</cp:coreProperties>
</file>