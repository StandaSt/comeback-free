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<sst xmlns="http://schemas.openxmlformats.org/spreadsheetml/2006/main" count="8966" uniqueCount="2654">
  <si>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</si>
  <si>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</si>
  <si>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</si>
  <si>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</si>
  <si>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</si>
  <si>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</si>
  <si>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</si>
  <si>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</si>
  <si>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</si>
  <si>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</si>
  <si>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</si>
  <si>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</si>
  <si>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</si>
  <si>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</si>
  <si>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</si>
  <si>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</si>
  <si>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</si>
  <si>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</si>
  <si>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</si>
  <si>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</si>
  <si>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</si>
  <si>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</si>
  <si>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</si>
  <si>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</si>
  <si>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</si>
  <si>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</si>
  <si>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</si>
  <si>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</si>
  <si>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</si>
  <si>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</si>
  <si>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</si>
  <si>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</si>
  <si>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</si>
  <si>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</si>
  <si>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</si>
  <si>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</si>
  <si>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</si>
  <si>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</si>
  <si>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</si>
  <si>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</si>
  <si>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</si>
  <si>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</si>
  <si>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</si>
  <si>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</si>
  <si>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</si>
  <si>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</si>
  <si>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</si>
  <si>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</si>
  <si>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</si>
  <si>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</si>
  <si>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</si>
  <si>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</si>
  <si>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</si>
  <si>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</si>
  <si>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</si>
  <si>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</si>
  <si>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</si>
  <si>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</si>
  <si>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</si>
  <si>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</si>
  <si>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</si>
  <si>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</si>
  <si>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</si>
  <si>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</si>
  <si>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</si>
  <si>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</si>
  <si>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</si>
  <si>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</si>
  <si>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</si>
  <si>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</si>
  <si>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</si>
  <si>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</si>
  <si>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</si>
  <si>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</si>
  <si>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</si>
  <si>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</si>
  <si>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</si>
  <si>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</si>
  <si>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</si>
  <si>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</si>
  <si>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</si>
  <si>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</si>
  <si>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</si>
  <si>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</si>
  <si>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</si>
  <si>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</si>
  <si>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</si>
  <si>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</si>
  <si>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</si>
  <si>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</si>
  <si>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</si>
  <si>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</si>
  <si>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</si>
  <si>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</si>
  <si>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</si>
  <si>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</si>
  <si>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</si>
  <si>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</si>
  <si>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</si>
  <si>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</si>
  <si>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</si>
  <si>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</si>
  <si>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</si>
  <si>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</si>
  <si>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</si>
  <si>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</si>
  <si>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</si>
  <si>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</si>
  <si>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</si>
  <si>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</si>
  <si>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</si>
  <si>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</si>
  <si>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</si>
  <si>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</si>
  <si>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</si>
  <si>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</si>
  <si>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</si>
  <si>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</si>
  <si>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</si>
  <si>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</si>
  <si>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</si>
  <si>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</si>
  <si>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</si>
  <si>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</si>
  <si>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</si>
  <si>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</si>
  <si>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</si>
  <si>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</si>
  <si>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</si>
  <si>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</si>
  <si>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</si>
  <si>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</si>
  <si>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</si>
  <si>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</si>
  <si>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</si>
  <si>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</si>
  <si>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</si>
  <si>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</si>
  <si>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</si>
  <si>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</si>
  <si>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</si>
  <si>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</si>
  <si>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</si>
  <si>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</si>
  <si>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</si>
  <si>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</si>
  <si>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</si>
  <si>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</si>
  <si>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</si>
  <si>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</si>
  <si>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</si>
  <si>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</si>
  <si>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</si>
  <si>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</si>
  <si>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</si>
  <si>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</si>
  <si>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</si>
  <si>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</si>
  <si>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</si>
  <si>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</si>
  <si>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</si>
  <si>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</si>
  <si>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</si>
  <si>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</si>
  <si>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</si>
  <si>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</si>
  <si>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</si>
  <si>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</si>
  <si>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</si>
  <si>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</si>
  <si>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</si>
  <si>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</si>
  <si>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</si>
  <si>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</si>
  <si>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</si>
  <si>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</si>
  <si>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</si>
  <si>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</si>
  <si>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</si>
  <si>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</si>
  <si>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</si>
  <si>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</si>
  <si>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</si>
  <si>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</si>
  <si>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</si>
  <si>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</si>
  <si>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</si>
  <si>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</si>
  <si>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</si>
  <si>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</si>
  <si>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</si>
  <si>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</si>
  <si>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</si>
  <si>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</si>
  <si>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</si>
  <si>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</si>
  <si>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</si>
  <si>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</si>
  <si>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</si>
  <si>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</si>
  <si>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</si>
  <si>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</si>
  <si>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</si>
  <si>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</si>
  <si>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</si>
  <si>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</si>
  <si>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</si>
  <si>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</si>
  <si>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</si>
  <si>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</si>
  <si>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</si>
  <si>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</si>
  <si>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</si>
  <si>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</si>
  <si>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</si>
  <si>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</si>
  <si>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</si>
  <si>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</si>
  <si>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</si>
  <si>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</si>
  <si>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</si>
  <si>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</si>
  <si>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</si>
  <si>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</si>
  <si>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</si>
  <si>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</si>
  <si>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</si>
  <si>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</si>
  <si>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</si>
  <si>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</si>
  <si>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</si>
  <si>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</si>
  <si>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</si>
  <si>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</si>
  <si>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</si>
  <si>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</si>
  <si>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</si>
  <si>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</si>
  <si>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</si>
  <si>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</si>
  <si>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</si>
  <si>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</si>
  <si>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</si>
  <si>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</si>
  <si>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</si>
  <si>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</si>
  <si>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</si>
  <si>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</si>
  <si>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</si>
  <si>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</si>
  <si>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</si>
  <si>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</si>
  <si>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</si>
  <si>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</si>
  <si>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</si>
  <si>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</si>
  <si>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</si>
  <si>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</si>
  <si>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</si>
  <si>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</si>
  <si>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</si>
  <si>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</si>
  <si>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</si>
  <si>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</si>
  <si>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</si>
  <si>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</si>
  <si>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</si>
  <si>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</si>
  <si>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</si>
  <si>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</si>
  <si>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</si>
  <si>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</si>
  <si>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</si>
  <si>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</si>
  <si>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</si>
  <si>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</si>
  <si>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</si>
  <si>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</si>
  <si>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</si>
  <si>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</si>
  <si>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</si>
  <si>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</si>
  <si>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</si>
  <si>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</si>
  <si>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</si>
  <si>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</si>
  <si>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</si>
  <si>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</si>
  <si>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</si>
  <si>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</si>
  <si>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</si>
  <si>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</si>
  <si>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</si>
  <si>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</si>
  <si>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</si>
  <si>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</si>
  <si>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</si>
  <si>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</si>
  <si>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</si>
  <si>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</si>
  <si>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</si>
  <si>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</si>
  <si>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</si>
  <si>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</si>
  <si>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</si>
  <si>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</si>
  <si>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</si>
  <si>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</si>
  <si>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</si>
  <si>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</si>
  <si>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</si>
  <si>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</si>
  <si>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</si>
  <si>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</si>
  <si>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</si>
  <si>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</si>
  <si>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</si>
  <si>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</si>
  <si>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</si>
  <si>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</si>
  <si>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</si>
  <si>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</si>
  <si>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</si>
  <si>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</si>
  <si>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</si>
  <si>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</si>
  <si>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</si>
  <si>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</si>
  <si>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</si>
  <si>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</si>
  <si>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</si>
  <si>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</si>
  <si>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</si>
  <si>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</si>
  <si>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</si>
  <si>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</si>
  <si>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</si>
  <si>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</si>
  <si>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</si>
  <si>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</si>
  <si>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</si>
  <si>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</si>
  <si>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</si>
  <si>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</si>
  <si>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</si>
  <si>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</si>
  <si>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</si>
  <si>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</si>
  <si>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</si>
  <si>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</si>
  <si>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</si>
  <si>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</si>
  <si>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</si>
  <si>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</si>
  <si>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</si>
  <si>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</si>
  <si>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</si>
  <si>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</si>
  <si>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</si>
  <si>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</si>
  <si>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</si>
  <si>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</si>
  <si>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</si>
  <si>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</si>
  <si>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</si>
  <si>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</si>
  <si>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</si>
  <si>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</si>
  <si>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</si>
  <si>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</si>
  <si>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</si>
  <si>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</si>
  <si>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</si>
  <si>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</si>
  <si>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</si>
  <si>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</si>
  <si>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</si>
  <si>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</si>
  <si>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</si>
  <si>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</si>
  <si>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</si>
  <si>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</si>
  <si>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</si>
  <si>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</si>
  <si>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</si>
  <si>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</si>
  <si>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</si>
  <si>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</si>
  <si>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</si>
  <si>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</si>
  <si>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</si>
  <si>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</si>
  <si>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</si>
  <si>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</si>
  <si>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</si>
  <si>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</si>
  <si>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</si>
  <si>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</si>
  <si>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</si>
  <si>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</si>
  <si>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</si>
  <si>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</si>
  <si>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</si>
  <si>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</si>
  <si>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</si>
  <si>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</si>
  <si>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</si>
  <si>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</si>
  <si>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</si>
  <si>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</si>
  <si>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</si>
  <si>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</si>
  <si>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</si>
  <si>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</si>
  <si>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</si>
  <si>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</si>
  <si>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</si>
  <si>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</si>
  <si>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</si>
  <si>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</si>
  <si>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</si>
  <si>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</si>
  <si>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</si>
  <si>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</si>
  <si>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</si>
  <si>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</si>
  <si>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</si>
  <si>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</si>
  <si>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</si>
  <si>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</si>
  <si>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</si>
  <si>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</si>
  <si>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</si>
  <si>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</si>
  <si>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</si>
  <si>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</si>
  <si>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</si>
  <si>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</si>
  <si>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</si>
  <si>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</si>
  <si>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</si>
  <si>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</si>
  <si>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</si>
  <si>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</si>
  <si>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</si>
  <si>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</si>
  <si>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</si>
  <si>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</si>
  <si>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</si>
  <si>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</si>
  <si>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</si>
  <si>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</si>
  <si>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</si>
  <si>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</si>
  <si>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</si>
  <si>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</si>
  <si>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</si>
  <si>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</si>
  <si>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</si>
  <si>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</si>
  <si>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</si>
  <si>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</si>
  <si>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</si>
  <si>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</si>
  <si>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</si>
  <si>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</si>
  <si>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</si>
  <si>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</si>
  <si>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</si>
  <si>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</si>
  <si>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</si>
  <si>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</si>
  <si>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</si>
  <si>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</si>
  <si>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</si>
  <si>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</si>
  <si>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</si>
  <si>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</si>
  <si>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</si>
  <si>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</si>
  <si>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</si>
  <si>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</si>
  <si>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</si>
  <si>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</si>
  <si>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</si>
  <si>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</si>
  <si>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</si>
  <si>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</si>
  <si>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</si>
  <si>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</si>
  <si>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</si>
  <si>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</si>
  <si>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</si>
  <si>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</si>
  <si>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</si>
  <si>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</si>
  <si>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</si>
  <si>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</si>
  <si>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</si>
  <si>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</si>
  <si>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</si>
  <si>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</si>
  <si>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</si>
  <si>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</si>
  <si>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</si>
  <si>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</si>
  <si>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</si>
  <si>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</si>
  <si>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</si>
  <si>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</si>
  <si>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</si>
  <si>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</si>
  <si>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</si>
  <si>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</si>
  <si>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</si>
  <si>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</si>
  <si>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</si>
  <si>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</si>
  <si>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</si>
  <si>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</si>
  <si>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</si>
  <si>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</si>
  <si>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</si>
  <si>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</si>
  <si>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</si>
  <si>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</si>
  <si>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</si>
  <si>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</si>
  <si>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</si>
  <si>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</si>
  <si>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</si>
  <si>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</si>
  <si>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</si>
  <si>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</si>
  <si>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</si>
  <si>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</si>
  <si>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</si>
  <si>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</si>
  <si>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</si>
  <si>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</si>
  <si>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</si>
  <si>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</si>
  <si>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</si>
  <si>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</si>
  <si>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</si>
  <si>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</si>
  <si>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</si>
  <si>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</si>
  <si>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</si>
  <si>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</si>
  <si>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</si>
  <si>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</si>
  <si>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</si>
  <si>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</si>
  <si>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</si>
  <si>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</si>
  <si>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</si>
  <si>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</si>
  <si>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</si>
  <si>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</si>
  <si>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</si>
  <si>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</si>
  <si>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</si>
  <si>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</si>
  <si>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</si>
  <si>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</si>
  <si>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</si>
  <si>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</si>
  <si>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</si>
  <si>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</si>
  <si>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</si>
  <si>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</si>
  <si>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</si>
  <si>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</si>
  <si>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</si>
  <si>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</si>
  <si>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</si>
  <si>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</si>
  <si>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</si>
  <si>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</si>
  <si>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</si>
  <si>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</si>
  <si>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</si>
  <si>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</si>
  <si>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</si>
  <si>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</si>
  <si>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</si>
  <si>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</si>
  <si>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</si>
  <si>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</si>
  <si>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</si>
  <si>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</si>
  <si>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</si>
  <si>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</si>
  <si>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</si>
  <si>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</si>
  <si>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</si>
  <si>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</si>
  <si>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</si>
  <si>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</si>
  <si>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</si>
  <si>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</si>
  <si>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</si>
  <si>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</si>
  <si>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</si>
  <si>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</si>
  <si>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</si>
  <si>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</si>
  <si>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</si>
  <si>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</si>
  <si>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</si>
  <si>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</si>
  <si>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</si>
  <si>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</si>
  <si>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</si>
  <si>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</si>
  <si>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</si>
  <si>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</si>
  <si>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</si>
  <si>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</si>
  <si>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</si>
  <si>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</si>
  <si>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</si>
  <si>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</si>
  <si>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</si>
  <si>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</si>
  <si>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</si>
  <si>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</si>
  <si>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</si>
  <si>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</si>
  <si>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</si>
  <si>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</si>
  <si>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</si>
  <si>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</si>
  <si>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</si>
  <si>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</si>
  <si>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</si>
  <si>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</si>
  <si>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</si>
  <si>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</si>
  <si>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</si>
  <si>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</si>
  <si>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</si>
  <si>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</si>
  <si>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</si>
  <si>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</si>
  <si>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</si>
  <si>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</si>
  <si>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</si>
  <si>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</si>
  <si>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</si>
  <si>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</si>
  <si>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</si>
  <si>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</si>
  <si>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</si>
  <si>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</si>
  <si>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</si>
  <si>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</si>
  <si>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</si>
  <si>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</si>
  <si>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</si>
  <si>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</si>
  <si>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</si>
  <si>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</si>
  <si>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</si>
  <si>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</si>
  <si>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</si>
  <si>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</si>
  <si>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</si>
  <si>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</si>
  <si>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</si>
  <si>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</si>
  <si>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</si>
  <si>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</si>
  <si>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</si>
  <si>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</si>
  <si>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</si>
  <si>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</si>
  <si>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</si>
  <si>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</si>
  <si>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</si>
  <si>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</si>
  <si>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</si>
  <si>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</si>
  <si>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</si>
  <si>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</si>
  <si>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</si>
  <si>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</si>
  <si>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</si>
  <si>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</si>
  <si>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</si>
  <si>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</si>
  <si>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</si>
  <si>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</si>
  <si>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</si>
  <si>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</si>
  <si>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</si>
  <si>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</si>
  <si>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</si>
  <si>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</si>
  <si>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</si>
  <si>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</si>
  <si>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</si>
  <si>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</si>
  <si>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</si>
  <si>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</si>
  <si>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</si>
  <si>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</si>
  <si>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</si>
  <si>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</si>
  <si>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</si>
  <si>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</si>
  <si>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</si>
  <si>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</si>
  <si>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</si>
  <si>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</si>
  <si>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</si>
  <si>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</si>
  <si>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</si>
  <si>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</si>
  <si>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</si>
  <si>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</si>
  <si>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</si>
  <si>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</si>
  <si>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</si>
  <si>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</si>
  <si>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</si>
  <si>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</si>
  <si>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</si>
  <si>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</si>
  <si>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</si>
  <si>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</si>
  <si>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</si>
  <si>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</si>
  <si>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</si>
  <si>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</si>
  <si>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</si>
  <si>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</si>
  <si>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</si>
  <si>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</si>
  <si>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</si>
  <si>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</si>
  <si>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</si>
  <si>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</si>
  <si>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</si>
  <si>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</si>
  <si>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</si>
  <si>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</si>
  <si>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</si>
  <si>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</si>
  <si>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</si>
  <si>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</si>
  <si>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</si>
  <si>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</si>
  <si>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</si>
  <si>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</si>
  <si>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</si>
  <si>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</si>
  <si>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</si>
  <si>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</si>
  <si>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</si>
  <si>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</si>
  <si>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</si>
  <si>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</si>
  <si>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</si>
  <si>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</si>
  <si>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</si>
  <si>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</si>
  <si>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</si>
  <si>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</si>
  <si>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</si>
  <si>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</si>
  <si>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</si>
  <si>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</si>
  <si>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</si>
  <si>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</si>
  <si>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</si>
  <si>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</si>
  <si>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</si>
  <si>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</si>
  <si>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</si>
  <si>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</si>
  <si>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</si>
  <si>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</si>
  <si>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</si>
  <si>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</si>
  <si>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</si>
  <si>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</si>
  <si>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</si>
  <si>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</si>
  <si>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</si>
  <si>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</si>
  <si>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</si>
  <si>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</si>
  <si>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</si>
  <si>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</si>
  <si>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</si>
  <si>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</si>
  <si>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</si>
  <si>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</si>
  <si>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</si>
  <si>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</si>
  <si>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</si>
  <si>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</si>
  <si>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</si>
  <si>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</si>
  <si>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</si>
  <si>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</si>
  <si>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</si>
  <si>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</si>
  <si>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</si>
  <si>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</si>
  <si>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</si>
  <si>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</si>
  <si>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</si>
  <si>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</si>
  <si>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</si>
  <si>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</si>
  <si>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</si>
  <si>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</si>
  <si>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</si>
  <si>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</si>
  <si>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</si>
  <si>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</si>
  <si>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</si>
  <si>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</si>
  <si>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</si>
  <si>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</si>
  <si>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</si>
  <si>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</si>
  <si>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</si>
  <si>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</si>
  <si>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</si>
  <si>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</si>
  <si>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</si>
  <si>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</si>
  <si>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</si>
  <si>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</si>
  <si>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</si>
  <si>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</si>
  <si>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</si>
  <si>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</si>
  <si>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</si>
  <si>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</si>
  <si>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</si>
  <si>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</si>
  <si>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</si>
  <si>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</si>
  <si>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</si>
  <si>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</si>
  <si>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</si>
  <si>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</si>
  <si>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</si>
  <si>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</si>
  <si>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</si>
  <si>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</si>
  <si>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</si>
  <si>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</si>
  <si>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</si>
  <si>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</si>
  <si>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</si>
  <si>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</si>
  <si>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</si>
  <si>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</si>
  <si>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</si>
  <si>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</si>
  <si>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</si>
  <si>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</si>
  <si>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</si>
  <si>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</si>
  <si>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</si>
  <si>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</si>
  <si>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</si>
  <si>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</si>
  <si>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</si>
  <si>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</si>
  <si>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</si>
  <si>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</si>
  <si>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</si>
  <si>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</si>
  <si>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</si>
  <si>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</si>
  <si>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</si>
  <si>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</si>
  <si>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</si>
  <si>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</si>
  <si>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</si>
  <si>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</si>
  <si>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</si>
  <si>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</si>
  <si>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</si>
  <si>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</si>
  <si>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</si>
  <si>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</si>
  <si>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</si>
  <si>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</si>
  <si>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</si>
  <si>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</si>
  <si>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</si>
  <si>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</si>
  <si>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</si>
  <si>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</si>
  <si>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</si>
  <si>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</si>
  <si>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</si>
  <si>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</si>
  <si>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</si>
  <si>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</si>
  <si>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</si>
  <si>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</si>
  <si>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</si>
  <si>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</si>
  <si>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</si>
  <si>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</si>
  <si>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</si>
  <si>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</si>
  <si>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</si>
  <si>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</si>
  <si>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</si>
  <si>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</si>
  <si>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</si>
  <si>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</si>
  <si>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</si>
  <si>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</si>
  <si>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</si>
  <si>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</si>
  <si>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</si>
  <si>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</si>
  <si>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</si>
  <si>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</si>
  <si>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</si>
  <si>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</si>
  <si>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</si>
  <si>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</si>
  <si>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</si>
  <si>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</si>
  <si>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</si>
  <si>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</si>
  <si>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</si>
  <si>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</si>
  <si>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</si>
  <si>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</si>
  <si>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</si>
  <si>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</si>
  <si>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</si>
  <si>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</si>
  <si>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</si>
  <si>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</si>
  <si>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</si>
  <si>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</si>
  <si>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</si>
  <si>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</si>
  <si>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</si>
  <si>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</si>
  <si>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</si>
  <si>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</si>
  <si>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</si>
  <si>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</si>
  <si>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</si>
  <si>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</si>
  <si>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</si>
  <si>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</si>
  <si>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</si>
  <si>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</si>
  <si>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</si>
  <si>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</si>
  <si>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</si>
  <si>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</si>
  <si>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</si>
  <si>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</si>
  <si>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</si>
  <si>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</si>
  <si>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</si>
  <si>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</si>
  <si>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</si>
  <si>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</si>
  <si>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</si>
  <si>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</si>
  <si>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</si>
  <si>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</si>
  <si>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</si>
  <si>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</si>
  <si>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</si>
  <si>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</si>
  <si>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</si>
  <si>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</si>
  <si>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</si>
  <si>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</si>
  <si>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</si>
  <si>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</si>
  <si>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</si>
  <si>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</si>
  <si>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</si>
  <si>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</si>
  <si>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</si>
  <si>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</si>
  <si>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</si>
  <si>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</si>
  <si>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</si>
  <si>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</si>
  <si>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</si>
  <si>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</si>
  <si>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</si>
  <si>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</si>
  <si>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</si>
  <si>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</si>
  <si>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</si>
  <si>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</si>
  <si>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</si>
  <si>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</si>
  <si>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</si>
  <si>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</si>
  <si>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</si>
  <si>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</si>
  <si>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</si>
  <si>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</si>
  <si>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</si>
  <si>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</si>
  <si>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</si>
  <si>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</si>
  <si>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</si>
  <si>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</si>
  <si>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</si>
  <si>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</si>
  <si>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</si>
  <si>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</si>
  <si>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</si>
  <si>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</si>
  <si>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</si>
  <si>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</si>
  <si>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</si>
  <si>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</si>
  <si>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</si>
  <si>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</si>
  <si>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</si>
  <si>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</si>
  <si>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</si>
  <si>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</si>
  <si>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</si>
  <si>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</si>
  <si>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</si>
  <si>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</si>
  <si>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</si>
  <si>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</si>
  <si>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</si>
  <si>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</si>
  <si>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</si>
  <si>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</si>
  <si>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</si>
  <si>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</si>
  <si>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</si>
  <si>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</si>
  <si>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</si>
  <si>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</si>
  <si>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</si>
  <si>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</si>
  <si>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</si>
  <si>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</si>
  <si>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</si>
  <si>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</si>
  <si>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</si>
  <si>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</si>
  <si>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</si>
  <si>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</si>
  <si>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</si>
  <si>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</si>
  <si>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</si>
  <si>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</si>
  <si>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</si>
  <si>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</si>
  <si>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</si>
  <si>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</si>
  <si>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</si>
  <si>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</si>
  <si>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</si>
  <si>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</si>
  <si>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</si>
  <si>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</si>
  <si>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</si>
  <si>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</si>
  <si>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</si>
  <si>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</si>
  <si>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</si>
  <si>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</si>
  <si>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</si>
  <si>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</si>
  <si>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</si>
  <si>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</si>
  <si>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</si>
  <si>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</si>
  <si>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</si>
  <si>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</si>
  <si>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</si>
  <si>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</si>
  <si>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</si>
  <si>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</si>
  <si>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</si>
  <si>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</si>
  <si>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</si>
  <si>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</si>
  <si>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</si>
  <si>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</si>
  <si>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</si>
  <si>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</si>
  <si>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</si>
  <si>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</si>
  <si>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</si>
  <si>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</si>
  <si>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</si>
  <si>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</si>
  <si>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</si>
  <si>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</si>
  <si>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</si>
  <si>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</si>
  <si>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</si>
  <si>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</si>
  <si>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</si>
  <si>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</si>
  <si>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</si>
  <si>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</si>
  <si>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</si>
  <si>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</si>
  <si>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</si>
  <si>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</si>
  <si>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</si>
  <si>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</si>
  <si>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</si>
  <si>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</si>
  <si>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</si>
  <si>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</si>
  <si>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</si>
  <si>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</si>
  <si>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</si>
  <si>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</si>
  <si>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</si>
  <si>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</si>
  <si>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</si>
  <si>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</si>
  <si>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</si>
  <si>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</si>
  <si>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</si>
  <si>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</si>
  <si>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</si>
  <si>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</si>
  <si>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</si>
  <si>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</si>
  <si>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</si>
  <si>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</si>
  <si>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</si>
  <si>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</si>
  <si>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</si>
  <si>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</si>
  <si>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</si>
  <si>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</si>
  <si>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</si>
  <si>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</si>
  <si>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</si>
  <si>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</si>
  <si>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</si>
  <si>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</si>
  <si>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</si>
  <si>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</si>
  <si>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</si>
  <si>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</si>
  <si>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</si>
  <si>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</si>
  <si>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</si>
  <si>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</si>
  <si>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</si>
  <si>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</si>
  <si>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</si>
  <si>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</si>
  <si>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</si>
  <si>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</si>
  <si>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</si>
  <si>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</si>
  <si>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</si>
  <si>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</si>
  <si>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</si>
  <si>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</si>
  <si>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</si>
  <si>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</si>
  <si>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</si>
  <si>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</si>
  <si>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</si>
  <si>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</si>
  <si>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</si>
  <si>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</si>
  <si>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</si>
  <si>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</si>
  <si>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</si>
  <si>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</si>
  <si>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</si>
  <si>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</si>
  <si>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</si>
  <si>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</si>
  <si>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</si>
  <si>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</si>
  <si>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</si>
  <si>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</si>
  <si>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</si>
  <si>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</si>
  <si>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</si>
  <si>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</si>
  <si>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</si>
  <si>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</si>
  <si>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</si>
  <si>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</si>
  <si>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</si>
  <si>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</si>
  <si>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</si>
  <si>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</si>
  <si>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</si>
  <si>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</si>
  <si>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</si>
  <si>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</si>
  <si>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</si>
  <si>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</si>
  <si>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</si>
  <si>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</si>
  <si>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</si>
  <si>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</si>
  <si>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</si>
  <si>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</si>
  <si>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</si>
  <si>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</si>
  <si>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</si>
  <si>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</si>
  <si>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</si>
  <si>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</si>
  <si>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</si>
  <si>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</si>
  <si>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</si>
  <si>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</si>
  <si>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</si>
  <si>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</si>
  <si>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</si>
  <si>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</si>
  <si>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</si>
  <si>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</si>
  <si>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</si>
  <si>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</si>
  <si>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</si>
  <si>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</si>
  <si>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</si>
  <si>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</si>
  <si>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</si>
  <si>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</si>
  <si>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</si>
  <si>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</si>
  <si>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</si>
  <si>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</si>
  <si>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</si>
  <si>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</si>
  <si>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</si>
  <si>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</si>
  <si>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</si>
  <si>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</si>
  <si>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</si>
  <si>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</si>
  <si>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</si>
  <si>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</si>
  <si>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</si>
  <si>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</si>
  <si>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</si>
  <si>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</si>
  <si>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</si>
  <si>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</si>
  <si>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</si>
  <si>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</si>
  <si>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</si>
  <si>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</si>
  <si>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</si>
  <si>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</si>
  <si>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</si>
  <si>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</si>
  <si>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</si>
  <si>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</si>
  <si>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</si>
  <si>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</si>
  <si>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</si>
  <si>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</si>
  <si>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</si>
  <si>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</si>
  <si>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</si>
  <si>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</si>
  <si>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</si>
  <si>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</si>
  <si>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</si>
  <si>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</si>
  <si>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</si>
  <si>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</si>
  <si>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</si>
  <si>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</si>
  <si>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</si>
  <si>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</si>
  <si>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</si>
  <si>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</si>
  <si>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</si>
  <si>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</si>
  <si>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</si>
  <si>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</si>
  <si>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</si>
  <si>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</si>
  <si>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</si>
  <si>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</si>
  <si>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</si>
  <si>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</si>
  <si>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</si>
  <si>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</si>
  <si>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</si>
  <si>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</si>
  <si>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</si>
  <si>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</si>
  <si>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</si>
  <si>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</si>
  <si>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</si>
  <si>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</si>
  <si>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</si>
  <si>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</si>
  <si>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</si>
  <si>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</si>
  <si>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</si>
  <si>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</si>
  <si>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</si>
  <si>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</si>
  <si>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</si>
  <si>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</si>
  <si>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</si>
  <si>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</si>
  <si>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</si>
  <si>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</si>
  <si>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</si>
  <si>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</si>
  <si>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</si>
  <si>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</si>
  <si>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</si>
  <si>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</si>
  <si>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</si>
  <si>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</si>
  <si>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</si>
  <si>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</si>
  <si>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</si>
  <si>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</si>
  <si>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</si>
  <si>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</si>
  <si>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</si>
  <si>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</si>
  <si>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</si>
  <si>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</si>
  <si>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</si>
  <si>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</si>
  <si>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</si>
  <si>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</si>
  <si>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</si>
  <si>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</si>
  <si>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</si>
  <si>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</si>
  <si>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</si>
  <si>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</si>
  <si>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</si>
  <si>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</si>
  <si>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</si>
  <si>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</si>
  <si>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</si>
  <si>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</si>
  <si>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</si>
  <si>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</si>
  <si>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</si>
  <si>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</si>
  <si>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</si>
  <si>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</si>
  <si>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</si>
  <si>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</si>
  <si>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</si>
  <si>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</si>
  <si>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</si>
  <si>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</si>
  <si>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</si>
  <si>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</si>
  <si>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</si>
  <si>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</si>
  <si>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</si>
  <si>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</si>
  <si>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</si>
  <si>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</si>
  <si>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</si>
  <si>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</si>
  <si>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</si>
  <si>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</si>
  <si>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</si>
  <si>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</si>
  <si>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</si>
  <si>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</si>
  <si>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</si>
  <si>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</si>
  <si>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</si>
  <si>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</si>
  <si>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</si>
  <si>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</si>
  <si>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</si>
  <si>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</si>
  <si>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</si>
  <si>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</si>
  <si>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</si>
  <si>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</si>
  <si>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</si>
  <si>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</si>
  <si>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</si>
  <si>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</si>
  <si>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</si>
  <si>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</si>
  <si>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</si>
  <si>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</si>
  <si>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</si>
  <si>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</si>
  <si>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</si>
  <si>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</si>
  <si>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</si>
  <si>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</si>
  <si>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</si>
  <si>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</si>
  <si>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</si>
  <si>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</si>
  <si>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</si>
  <si>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</si>
  <si>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</si>
  <si>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</si>
  <si>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</si>
  <si>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</si>
  <si>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</si>
  <si>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</si>
  <si>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</si>
  <si>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</si>
  <si>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</si>
  <si>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</si>
  <si>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</si>
  <si>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</si>
  <si>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</si>
  <si>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</si>
  <si>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</si>
  <si>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</si>
  <si>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</si>
  <si>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</si>
  <si>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</si>
  <si>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</si>
  <si>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</si>
  <si>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</si>
  <si>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</si>
  <si>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</si>
  <si>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</si>
  <si>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</si>
  <si>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</si>
  <si>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</si>
  <si>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</si>
  <si>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</si>
  <si>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</si>
  <si>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</si>
  <si>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</si>
  <si>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</si>
  <si>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</si>
  <si>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</si>
  <si>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</si>
  <si>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</si>
  <si>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</si>
  <si>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</si>
  <si>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</si>
  <si>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</si>
  <si>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</si>
  <si>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</si>
  <si>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</si>
  <si>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</si>
  <si>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</si>
  <si>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</si>
  <si>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</si>
  <si>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</si>
  <si>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</si>
  <si>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</si>
  <si>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</si>
  <si>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</si>
  <si>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</si>
  <si>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</si>
  <si>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</si>
  <si>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</si>
  <si>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</si>
  <si>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</si>
  <si>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</si>
  <si>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</si>
  <si>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</si>
  <si>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</si>
  <si>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</si>
  <si>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</si>
  <si>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</si>
  <si>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</si>
  <si>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</si>
  <si>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</si>
  <si>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</si>
  <si>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</si>
  <si>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</si>
  <si>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</si>
  <si>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</si>
  <si>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</si>
  <si>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</si>
  <si>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</si>
  <si>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</si>
  <si>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</si>
  <si>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</si>
  <si>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</si>
  <si>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</si>
  <si>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</si>
  <si>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</si>
  <si>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</si>
  <si>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</si>
  <si>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</si>
  <si>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</si>
  <si>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</si>
  <si>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</si>
  <si>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</si>
  <si>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</si>
  <si>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</si>
  <si>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</si>
  <si>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</si>
  <si>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</si>
  <si>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</si>
  <si>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</si>
  <si>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</si>
  <si>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</si>
  <si>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</si>
  <si>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</si>
  <si>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</si>
  <si>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</si>
  <si>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</si>
  <si>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</si>
  <si>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</si>
  <si>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</si>
  <si>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</si>
  <si>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</si>
  <si>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</si>
  <si>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</si>
  <si>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</si>
  <si>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</si>
  <si>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</si>
  <si>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</si>
  <si>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</si>
  <si>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</si>
  <si>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</si>
  <si>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</si>
  <si>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</si>
  <si>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</si>
  <si>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</si>
  <si>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</si>
  <si>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</si>
  <si>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</si>
  <si>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</si>
  <si>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</si>
  <si>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</si>
  <si>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</si>
  <si>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</si>
  <si>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</si>
  <si>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</si>
  <si>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</si>
  <si>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</si>
  <si>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</si>
  <si>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</si>
  <si>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</si>
  <si>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</si>
  <si>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</si>
  <si>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</si>
  <si>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</si>
  <si>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</si>
  <si>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</si>
  <si>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</si>
  <si>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</si>
  <si>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</si>
  <si>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</si>
  <si>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</si>
  <si>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</si>
  <si>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</si>
  <si>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</si>
  <si>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</si>
  <si>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</si>
  <si>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</si>
  <si>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</si>
  <si>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</si>
  <si>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</si>
  <si>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</si>
  <si>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</si>
  <si>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</si>
  <si>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</si>
  <si>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</si>
  <si>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</si>
  <si>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</si>
  <si>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</si>
  <si>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</si>
  <si>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</si>
  <si>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</si>
  <si>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</si>
  <si>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</si>
  <si>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</si>
  <si>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</si>
  <si>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</si>
  <si>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</si>
  <si>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</si>
  <si>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</si>
  <si>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</si>
  <si>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</si>
  <si>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</si>
  <si>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</si>
  <si>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</si>
  <si>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</si>
  <si>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</si>
  <si>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</si>
  <si>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</si>
  <si>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</si>
  <si>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</si>
  <si>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</si>
  <si>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</si>
  <si>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</si>
  <si>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</si>
  <si>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</si>
  <si>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</si>
  <si>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</si>
  <si>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</si>
  <si>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</si>
  <si>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</si>
  <si>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</si>
  <si>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</si>
  <si>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</si>
  <si>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</si>
  <si>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</si>
  <si>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</si>
  <si>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</si>
  <si>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</si>
  <si>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</si>
  <si>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</si>
  <si>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</si>
  <si>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</si>
  <si>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</si>
  <si>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</si>
  <si>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</si>
  <si>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</si>
  <si>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</si>
  <si>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</si>
  <si>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</si>
  <si>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</si>
  <si>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</si>
  <si>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</si>
  <si>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</si>
  <si>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</si>
  <si>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</si>
  <si>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</si>
  <si>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</si>
  <si>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</si>
  <si>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</si>
  <si>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</si>
  <si>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</si>
  <si>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</si>
  <si>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</si>
  <si>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</si>
  <si>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</si>
  <si>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</si>
  <si>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</si>
  <si>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</si>
  <si>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</si>
  <si>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</si>
  <si>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</si>
  <si>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</si>
  <si>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</si>
  <si>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</si>
  <si>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</si>
  <si>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</si>
  <si>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</si>
  <si>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</si>
  <si>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</si>
  <si>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</si>
  <si>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</si>
  <si>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</si>
  <si>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</si>
  <si>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</si>
  <si>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</si>
  <si>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</si>
  <si>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</si>
  <si>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</si>
  <si>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</si>
  <si>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</si>
  <si>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</si>
  <si>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</si>
  <si>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</si>
  <si>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</si>
  <si>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</si>
  <si>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</si>
  <si>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</si>
  <si>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</si>
  <si>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</si>
  <si>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</si>
  <si>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</si>
  <si>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</si>
  <si>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</si>
  <si>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</si>
  <si>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</si>
  <si>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</si>
  <si>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</si>
  <si>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</si>
  <si>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</si>
  <si>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</si>
  <si>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</si>
  <si>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</si>
  <si>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</si>
  <si>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</si>
  <si>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</si>
  <si>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</si>
  <si>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</si>
  <si>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</si>
  <si>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</si>
  <si>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</si>
  <si>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</si>
  <si>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</si>
  <si>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</si>
  <si>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</si>
  <si>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</si>
  <si>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</si>
  <si>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</si>
  <si>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</si>
  <si>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</si>
  <si>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</si>
  <si>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</si>
  <si>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</si>
  <si>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</si>
  <si>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</si>
  <si>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</si>
  <si>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</si>
  <si>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</si>
  <si>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</si>
  <si>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</si>
  <si>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</si>
  <si>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</si>
  <si>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</si>
  <si>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</si>
  <si>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</si>
  <si>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</si>
  <si>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</si>
  <si>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</si>
  <si>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</si>
  <si>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</si>
  <si>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</si>
  <si>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</si>
  <si>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</si>
  <si>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</si>
  <si>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</si>
  <si>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</si>
  <si>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</si>
  <si>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</si>
  <si>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</si>
  <si>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</si>
  <si>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</si>
  <si>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</si>
  <si>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</si>
  <si>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</si>
  <si>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</si>
  <si>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</si>
  <si>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</si>
  <si>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</si>
  <si>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</si>
  <si>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</si>
  <si>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</si>
  <si>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</si>
  <si>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</si>
  <si>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</si>
  <si>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</si>
  <si>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</si>
  <si>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</si>
  <si>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</si>
  <si>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</si>
  <si>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</si>
  <si>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</si>
  <si>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</si>
  <si>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</si>
  <si>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</si>
  <si>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</si>
  <si>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</si>
  <si>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</si>
  <si>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</si>
  <si>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</si>
  <si>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</si>
  <si>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</si>
  <si>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</si>
  <si>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</si>
  <si>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</si>
  <si>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</si>
  <si>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</si>
  <si>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</si>
  <si>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</si>
  <si>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</si>
  <si>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</si>
  <si>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</si>
  <si>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</si>
  <si>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</si>
  <si>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</si>
  <si>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</si>
  <si>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</si>
  <si>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</si>
  <si>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</si>
  <si>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</si>
  <si>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</si>
  <si>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</si>
  <si>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</si>
  <si>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</si>
  <si>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</si>
  <si>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</si>
  <si>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</si>
  <si>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</si>
  <si>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</si>
  <si>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</si>
  <si>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</si>
  <si>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</si>
  <si>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</si>
  <si>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</si>
  <si>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</si>
  <si>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</si>
  <si>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</si>
  <si>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</si>
  <si>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</si>
  <si>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</si>
  <si>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</si>
  <si>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</si>
  <si>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</si>
  <si>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</si>
  <si>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</si>
  <si>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</si>
  <si>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</si>
  <si>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</si>
  <si>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</si>
  <si>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</si>
  <si>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</si>
  <si>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</si>
  <si>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</si>
  <si>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</si>
  <si>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</si>
  <si>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</si>
  <si>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</si>
  <si>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</si>
  <si>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</si>
  <si>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</si>
  <si>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</si>
  <si>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</si>
  <si>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</si>
  <si>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</si>
  <si>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</si>
  <si>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</si>
  <si>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</si>
  <si>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</si>
  <si>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</si>
  <si>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</si>
  <si>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</si>
  <si>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</si>
  <si>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</si>
  <si>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</si>
  <si>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</si>
  <si>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</si>
  <si>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</si>
  <si>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</si>
  <si>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</si>
  <si>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</si>
  <si>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</si>
  <si>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</si>
  <si>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</si>
  <si>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</si>
  <si>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</si>
  <si>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</si>
  <si>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</si>
  <si>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</si>
  <si>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</si>
  <si>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</si>
  <si>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</si>
  <si>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</si>
  <si>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</si>
  <si>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</si>
  <si>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</si>
  <si>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</si>
  <si>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</si>
  <si>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</si>
  <si>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</si>
  <si>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</si>
  <si>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</si>
  <si>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</si>
  <si>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</si>
  <si>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</si>
  <si>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</si>
  <si>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</si>
  <si>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</si>
  <si>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</si>
  <si>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</si>
  <si>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</si>
  <si>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</si>
  <si>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</si>
  <si>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</si>
  <si>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</si>
  <si>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</si>
  <si>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</si>
  <si>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</si>
  <si>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</si>
  <si>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</si>
  <si>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</si>
  <si>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</si>
  <si>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</si>
  <si>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</si>
  <si>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</si>
  <si>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</si>
  <si>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</si>
  <si>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</si>
  <si>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</si>
  <si>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</si>
  <si>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</si>
  <si>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</si>
  <si>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</si>
  <si>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</si>
  <si>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</si>
  <si>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</si>
  <si>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</si>
  <si>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</si>
  <si>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</si>
  <si>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</si>
  <si>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</si>
  <si>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</si>
  <si>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</si>
  <si>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</si>
  <si>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</si>
  <si>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</si>
  <si>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</si>
  <si>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</si>
  <si>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</si>
  <si>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</si>
  <si>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</si>
  <si>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</si>
  <si>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</si>
  <si>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</si>
  <si>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</si>
  <si>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</si>
  <si>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</si>
  <si>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</si>
  <si>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</si>
  <si>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</si>
  <si>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</si>
  <si>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</si>
  <si>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</si>
  <si>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</si>
  <si>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</si>
  <si>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</si>
  <si>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</si>
  <si>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</si>
  <si>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</si>
  <si>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</si>
  <si>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</si>
  <si>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</si>
  <si>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</si>
  <si>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</si>
  <si>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</si>
  <si>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</si>
  <si>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</si>
  <si>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</si>
  <si>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</si>
  <si>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</si>
  <si>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</si>
  <si>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</si>
  <si>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</si>
  <si>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</si>
  <si>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</si>
  <si>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</si>
  <si>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</si>
  <si>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</si>
  <si>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</si>
  <si>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</si>
  <si>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</si>
  <si>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</si>
  <si>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</si>
  <si>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</si>
  <si>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</si>
  <si>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</si>
  <si>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</si>
  <si>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</si>
  <si>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</si>
  <si>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</si>
  <si>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</si>
  <si>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</si>
  <si>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</si>
  <si>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</si>
  <si>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</si>
  <si>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</si>
  <si>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</si>
  <si>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</si>
  <si>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</si>
  <si>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</si>
  <si>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</si>
  <si>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</si>
  <si>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</si>
  <si>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</si>
  <si>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</si>
  <si>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</si>
  <si>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</si>
  <si>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</si>
  <si>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</si>
  <si>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</si>
  <si>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</si>
  <si>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</si>
  <si>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</si>
  <si>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</si>
  <si>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</si>
  <si>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</si>
  <si>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</si>
  <si>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</si>
  <si>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</si>
  <si>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</si>
  <si>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</si>
  <si>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</si>
  <si>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</si>
  <si>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</si>
  <si>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</si>
  <si>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</si>
  <si>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</si>
  <si>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</si>
  <si>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</si>
  <si>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</si>
  <si>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</si>
  <si>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</si>
  <si>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</si>
  <si>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</si>
  <si>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</si>
  <si>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</si>
  <si>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</si>
  <si>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</si>
  <si>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</si>
  <si>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</si>
  <si>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</si>
  <si>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</si>
  <si>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</si>
  <si>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</si>
  <si>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</si>
  <si>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</si>
  <si>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</si>
  <si>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</si>
  <si>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</si>
  <si>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</si>
  <si>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</si>
  <si>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</si>
  <si>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</si>
  <si>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</si>
  <si>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</si>
  <si>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</si>
  <si>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</si>
  <si>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</si>
  <si>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</si>
  <si>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</si>
  <si>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</si>
  <si>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</si>
  <si>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</si>
  <si>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</si>
  <si>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</si>
  <si>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</si>
  <si>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</si>
  <si>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</si>
  <si>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</si>
  <si>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</si>
  <si>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</si>
  <si>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</si>
  <si>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</si>
  <si>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</si>
  <si>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</si>
  <si>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</si>
  <si>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</si>
  <si>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</si>
  <si>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</si>
  <si>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</si>
  <si>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</si>
  <si>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</si>
  <si>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</si>
  <si>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</si>
  <si>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</si>
  <si>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</si>
  <si>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</si>
  <si>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</si>
  <si>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</si>
  <si>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</si>
  <si>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</si>
  <si>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</si>
  <si>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</si>
  <si>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</si>
  <si>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</si>
  <si>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</si>
  <si>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</si>
  <si>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</si>
  <si>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</si>
  <si>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</si>
  <si>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</si>
  <si>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</si>
  <si>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</si>
  <si>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</si>
  <si>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</si>
  <si>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</si>
  <si>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</si>
  <si>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</si>
  <si>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</si>
  <si>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</si>
  <si>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</si>
  <si>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</si>
  <si>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</si>
  <si>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</si>
  <si>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</si>
  <si>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</si>
  <si>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</si>
  <si>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</si>
  <si>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</si>
  <si>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</si>
  <si>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</si>
  <si>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</si>
  <si>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</si>
  <si>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</si>
  <si>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</si>
  <si>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</si>
  <si>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</si>
  <si>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</si>
  <si>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</si>
  <si>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</si>
  <si>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</si>
  <si>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</si>
  <si>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</si>
  <si>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</si>
  <si>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</si>
  <si>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</si>
  <si>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</si>
  <si>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</si>
  <si>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</si>
  <si>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</si>
  <si>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</si>
  <si>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</si>
  <si>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</si>
  <si>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</si>
  <si>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</si>
  <si>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</si>
  <si>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</si>
  <si>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</si>
  <si>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</si>
  <si>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</si>
  <si>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</si>
  <si>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</si>
  <si>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</si>
  <si>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</si>
  <si>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</si>
  <si>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</si>
  <si>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</si>
  <si>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</si>
  <si>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</si>
  <si>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</si>
  <si>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</si>
  <si>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</si>
  <si>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</si>
  <si>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</si>
  <si>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</si>
  <si>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</si>
  <si>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</si>
  <si>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</si>
  <si>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</si>
  <si>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</si>
  <si>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</si>
  <si>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</si>
  <si>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</si>
  <si>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</si>
  <si>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</si>
  <si>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</si>
  <si>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</si>
  <si>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</si>
  <si>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</si>
  <si>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</si>
  <si>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</si>
  <si>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</si>
  <si>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</si>
  <si>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</si>
  <si>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</si>
  <si>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</si>
  <si>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</si>
  <si>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</si>
  <si>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</si>
  <si>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</si>
  <si>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</si>
  <si>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</si>
  <si>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</si>
  <si>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</si>
  <si>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</si>
  <si>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</si>
  <si>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</si>
  <si>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</si>
  <si>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</si>
  <si>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</si>
  <si>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</si>
  <si>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</si>
  <si>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</si>
  <si>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</si>
  <si>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</si>
  <si>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</si>
  <si>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</si>
  <si>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</si>
  <si>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</si>
  <si>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</si>
  <si>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</si>
  <si>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</si>
  <si>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</si>
  <si>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</si>
  <si>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</si>
  <si>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</si>
  <si>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</si>
  <si>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</si>
  <si>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</si>
  <si>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</si>
  <si>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</si>
  <si>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</si>
  <si>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</si>
  <si>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</si>
  <si>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</si>
  <si>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</si>
  <si>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</si>
  <si>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</si>
  <si>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</si>
  <si>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</si>
  <si>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</si>
  <si>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</si>
  <si>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</si>
  <si>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</si>
  <si>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</si>
  <si>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</si>
  <si>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</si>
  <si>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</si>
  <si>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</si>
  <si>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</si>
  <si>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</si>
  <si>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</si>
  <si>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</si>
  <si>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</si>
  <si>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</si>
  <si>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</si>
  <si>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</si>
  <si>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</si>
  <si>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</si>
  <si>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</si>
  <si>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</si>
  <si>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</si>
  <si>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</si>
  <si>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</si>
  <si>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</si>
  <si>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</si>
  <si>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</si>
  <si>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</si>
  <si>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</si>
  <si>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</si>
  <si>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</si>
  <si>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</si>
  <si>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</si>
  <si>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</si>
  <si>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</si>
  <si>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</si>
  <si>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</si>
  <si>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</si>
  <si>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</si>
  <si>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</si>
  <si>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</si>
  <si>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</si>
  <si>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</si>
  <si>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</si>
  <si>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</si>
  <si>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</si>
  <si>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</si>
  <si>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</si>
  <si>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</si>
  <si>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</si>
  <si>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</si>
  <si>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</si>
  <si>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</si>
  <si>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</si>
  <si>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</si>
  <si>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</si>
  <si>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</si>
  <si>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</si>
  <si>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</si>
  <si>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</si>
  <si>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</si>
  <si>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</si>
  <si>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</si>
  <si>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</si>
  <si>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</si>
  <si>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</si>
  <si>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</si>
  <si>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</si>
  <si>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</si>
  <si>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</si>
  <si>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</si>
  <si>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</si>
  <si>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</si>
  <si>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</si>
  <si>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</si>
  <si>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</si>
  <si>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</si>
  <si>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</si>
  <si>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</si>
  <si>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</si>
  <si>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</si>
  <si>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</si>
  <si>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</si>
  <si>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</si>
  <si>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</si>
  <si>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</si>
  <si>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</si>
  <si>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</si>
  <si>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</si>
  <si>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</si>
  <si>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</si>
  <si>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</si>
  <si>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</si>
  <si>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</si>
  <si>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</si>
  <si>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</si>
  <si>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</si>
  <si>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</si>
  <si>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</si>
  <si>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</si>
  <si>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</si>
  <si>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</si>
  <si>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</si>
  <si>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</si>
  <si>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</si>
  <si>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</si>
  <si>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</si>
  <si>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</si>
  <si>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</si>
  <si>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</si>
  <si>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</si>
  <si>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</si>
  <si>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</si>
  <si>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</si>
  <si>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</si>
  <si>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</si>
  <si>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</si>
  <si>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</si>
  <si>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</si>
  <si>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</si>
  <si>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</si>
  <si>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</si>
  <si>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</si>
  <si>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</si>
  <si>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</si>
  <si>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</si>
  <si>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</si>
  <si>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</si>
  <si>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</si>
  <si>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</si>
  <si>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</si>
  <si>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</si>
  <si>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</si>
  <si>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</si>
  <si>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</si>
  <si>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</si>
  <si>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</si>
  <si>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</si>
  <si>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</si>
  <si>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</si>
  <si>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</si>
  <si>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</si>
  <si>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</si>
  <si>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</si>
  <si>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</si>
  <si>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</si>
  <si>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</si>
  <si>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</si>
  <si>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</si>
  <si>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</si>
  <si>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</si>
  <si>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</si>
  <si>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</si>
  <si>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</si>
  <si>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</si>
  <si>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</si>
  <si>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</si>
  <si>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</si>
  <si>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</si>
  <si>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</si>
  <si>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</si>
  <si>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</si>
  <si>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</si>
  <si>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</si>
  <si>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</si>
  <si>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</si>
  <si>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</si>
  <si>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</si>
  <si>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</si>
  <si>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</si>
  <si>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</si>
  <si>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</si>
  <si>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</si>
  <si>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</si>
  <si>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</si>
  <si>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</si>
  <si>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</si>
  <si>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</si>
  <si>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</si>
  <si>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</si>
  <si>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</si>
  <si>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</si>
  <si>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</si>
  <si>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</si>
  <si>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</si>
  <si>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</si>
  <si>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</si>
  <si>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</si>
  <si>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</si>
  <si>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</si>
  <si>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</si>
  <si>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</si>
  <si>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</si>
  <si>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</si>
  <si>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</si>
  <si>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</si>
  <si>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</si>
  <si>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</si>
  <si>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</si>
  <si>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</si>
  <si>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</si>
  <si>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</si>
  <si>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</si>
  <si>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</si>
  <si>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</si>
  <si>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</si>
  <si>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</si>
  <si>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</si>
  <si>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</si>
  <si>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</si>
  <si>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</si>
  <si>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</si>
  <si>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</si>
  <si>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</si>
  <si>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</si>
  <si>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</si>
  <si>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</si>
  <si>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</si>
  <si>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</si>
  <si>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</si>
  <si>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</si>
  <si>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</si>
  <si>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</si>
  <si>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</si>
  <si>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</si>
  <si>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</si>
  <si>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</si>
  <si>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</si>
  <si>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</si>
  <si>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</si>
  <si>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</si>
  <si>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</si>
  <si>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</si>
  <si>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</si>
  <si>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</si>
  <si>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</si>
  <si>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</si>
  <si>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</si>
  <si>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</si>
  <si>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</si>
  <si>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</si>
  <si>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</si>
  <si>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</si>
  <si>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</si>
  <si>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</si>
  <si>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</si>
  <si>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</si>
  <si>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</si>
  <si>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</si>
  <si>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</si>
  <si>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</si>
  <si>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</si>
  <si>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</si>
  <si>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</si>
  <si>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</si>
  <si>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</si>
  <si>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</si>
  <si>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</si>
  <si>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</si>
  <si>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</si>
  <si>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</si>
  <si>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</si>
  <si>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</si>
  <si>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</si>
  <si>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</si>
  <si>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</si>
  <si>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</si>
  <si>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</si>
  <si>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</si>
  <si>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</si>
  <si>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</si>
  <si>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</si>
  <si>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</si>
  <si>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</si>
  <si>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</si>
  <si>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</si>
  <si>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</si>
  <si>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</si>
  <si>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</si>
  <si>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</si>
  <si>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</si>
  <si>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</si>
  <si>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</si>
  <si>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</si>
  <si>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</si>
  <si>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</si>
  <si>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</si>
  <si>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</si>
  <si>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</si>
  <si>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</si>
  <si>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</si>
  <si>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</si>
  <si>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</si>
  <si>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</si>
  <si>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</si>
  <si>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</si>
  <si>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</si>
  <si>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</si>
  <si>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</si>
  <si>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</si>
  <si>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</si>
  <si>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</si>
  <si>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</si>
  <si>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</si>
  <si>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</si>
  <si>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</si>
  <si>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</si>
  <si>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</si>
  <si>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</si>
  <si>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</si>
  <si>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</si>
  <si>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</si>
  <si>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</si>
  <si>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</si>
  <si>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</si>
  <si>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</si>
  <si>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</si>
  <si>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</si>
  <si>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</si>
  <si>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</si>
  <si>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</si>
  <si>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</si>
  <si>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</si>
  <si>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</si>
  <si>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</si>
  <si>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</si>
  <si>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</si>
  <si>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</si>
  <si>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</si>
  <si>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</si>
  <si>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</si>
  <si>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</si>
  <si>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</si>
  <si>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</si>
  <si>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</si>
  <si>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</si>
  <si>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</si>
  <si>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</si>
  <si>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</si>
  <si>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</si>
  <si>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</si>
  <si>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</si>
  <si>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</si>
  <si>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</si>
  <si>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</si>
  <si>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</si>
  <si>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</si>
  <si>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</si>
  <si>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</si>
  <si>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</si>
  <si>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</si>
  <si>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</si>
  <si>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</si>
  <si>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</si>
  <si>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</si>
  <si>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</si>
  <si>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</si>
  <si>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</si>
  <si>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</si>
  <si>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189:30</t>
  </si>
  <si>
    <t>29:00</t>
  </si>
  <si>
    <t>Ženíšek Lukáš</t>
  </si>
  <si>
    <t>Tůma Vladimír</t>
  </si>
  <si>
    <t>25:00</t>
  </si>
  <si>
    <t>Mikešová Adéla</t>
  </si>
  <si>
    <t>34:00</t>
  </si>
  <si>
    <t>Rothová Anastasia</t>
  </si>
  <si>
    <t>81:30</t>
  </si>
  <si>
    <t>Kaločai Rudolf</t>
  </si>
  <si>
    <t>128:30</t>
  </si>
  <si>
    <t>Světlík František</t>
  </si>
  <si>
    <t>7:00</t>
  </si>
  <si>
    <t>Vopatová Šárka</t>
  </si>
  <si>
    <t>24:00</t>
  </si>
  <si>
    <t>Vopatová Anna</t>
  </si>
  <si>
    <t>8:30</t>
  </si>
  <si>
    <t>10 min 51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</si>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</sst>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d.m."/>
    <numFmt numFmtId="170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9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70" xfId="0" applyAlignment="1" applyBorder="1" applyFont="1" applyNumberFormat="1">
      <alignment horizontal="center" shrinkToFit="0" wrapText="1"/>
    </xf>
    <xf borderId="54" fillId="10" fontId="19" numFmtId="170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70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46162.0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"Rothová Anastasia,Roth Stanislav ml.,Raboch Tomáš,Kratochvíl Kryštof,Tůma Vladimír"</formula1>
    </dataValidation>
    <dataValidation type="list" allowBlank="1" sqref="B25:B31">
      <formula1>"Mikešová Adéla,Kaločai Rudolf,Vopatová Anna,Vopatová Šárka,Světlík František,Ženíšek Lukáš,Roth Stanislav st."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46143.0</v>
      </c>
      <c r="D1" s="115" t="s">
        <v>2576</v>
      </c>
      <c r="E1" s="116">
        <v>46173.0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0.570660432072153</v>
      </c>
      <c r="H2" s="21"/>
      <c r="I2" s="120">
        <v>278442.68000000005</v>
      </c>
      <c r="K2" s="21"/>
      <c r="L2" s="121" t="s">
        <v>2556</v>
      </c>
      <c r="M2" s="122">
        <v>55542.8</v>
      </c>
      <c r="N2" s="123"/>
    </row>
    <row r="3">
      <c r="A3" s="124"/>
      <c r="B3" s="125" t="str">
        <f>CHOOSE(WEEKDAY(C1), "Neděle", "Pondělí", "Úterý", "Středa", "Čtvrtek", "Pátek", "Sobota")</f>
        <v>Pátek</v>
      </c>
      <c r="C3" s="27"/>
      <c r="D3" s="125"/>
      <c r="E3" s="27"/>
      <c r="H3" s="21"/>
      <c r="K3" s="21"/>
      <c r="L3" s="126" t="s">
        <v>2557</v>
      </c>
      <c r="M3" s="127">
        <v>18003.0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77984.22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26970.0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296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243</v>
      </c>
      <c r="G7" s="13"/>
      <c r="H7" s="13"/>
      <c r="I7" s="13"/>
      <c r="J7" s="135"/>
      <c r="K7" s="135"/>
      <c r="L7" s="136" t="s">
        <v>2562</v>
      </c>
      <c r="M7" s="137">
        <v>15964.76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3.3400000000056025</v>
      </c>
      <c r="K9" s="11"/>
      <c r="L9" s="149" t="s">
        <v>23</v>
      </c>
      <c r="M9" s="127">
        <v>49886.0</v>
      </c>
      <c r="N9" s="123"/>
    </row>
    <row r="10" ht="18.75" customHeight="1">
      <c r="A10" s="150"/>
      <c r="B10" s="151" t="s">
        <v>2580</v>
      </c>
      <c r="C10" s="152">
        <v>18.0</v>
      </c>
      <c r="D10" s="152" t="s">
        <v>2581</v>
      </c>
      <c r="E10" s="153" t="s">
        <v>2582</v>
      </c>
      <c r="F10" s="151" t="s">
        <v>2583</v>
      </c>
      <c r="G10" s="152">
        <v>5.0</v>
      </c>
      <c r="H10" s="152" t="s">
        <v>49</v>
      </c>
      <c r="I10" s="154">
        <v>7.0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 t="s">
        <v>2584</v>
      </c>
      <c r="C11" s="152">
        <v>4.0</v>
      </c>
      <c r="D11" s="152" t="s">
        <v>2585</v>
      </c>
      <c r="E11" s="153" t="s">
        <v>49</v>
      </c>
      <c r="F11" s="151" t="s">
        <v>2586</v>
      </c>
      <c r="G11" s="152">
        <v>4.0</v>
      </c>
      <c r="H11" s="152" t="s">
        <v>2587</v>
      </c>
      <c r="I11" s="154">
        <v>19.0</v>
      </c>
      <c r="J11" s="36"/>
      <c r="K11" s="21"/>
      <c r="L11" s="155" t="s">
        <v>25</v>
      </c>
      <c r="M11" s="156">
        <v>44117.0</v>
      </c>
      <c r="N11" s="123"/>
    </row>
    <row r="12" ht="18.75" customHeight="1">
      <c r="A12" s="150"/>
      <c r="B12" s="151" t="s">
        <v>2588</v>
      </c>
      <c r="C12" s="152">
        <v>9.0</v>
      </c>
      <c r="D12" s="152" t="s">
        <v>2589</v>
      </c>
      <c r="E12" s="153" t="s">
        <v>50</v>
      </c>
      <c r="F12" s="151" t="s">
        <v>2590</v>
      </c>
      <c r="G12" s="152">
        <v>16.0</v>
      </c>
      <c r="H12" s="152" t="s">
        <v>2591</v>
      </c>
      <c r="I12" s="154">
        <v>71.0</v>
      </c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 t="s">
        <v>2592</v>
      </c>
      <c r="G13" s="152">
        <v>3.0</v>
      </c>
      <c r="H13" s="152" t="s">
        <v>2585</v>
      </c>
      <c r="I13" s="154">
        <v>12.0</v>
      </c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2593</v>
      </c>
      <c r="F14" s="151" t="s">
        <v>2594</v>
      </c>
      <c r="G14" s="152">
        <v>6.0</v>
      </c>
      <c r="H14" s="152" t="s">
        <v>2595</v>
      </c>
      <c r="I14" s="154">
        <v>11.0</v>
      </c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2593</v>
      </c>
      <c r="F15" s="151" t="s">
        <v>2596</v>
      </c>
      <c r="G15" s="152">
        <v>2.0</v>
      </c>
      <c r="H15" s="152" t="s">
        <v>2597</v>
      </c>
      <c r="I15" s="154">
        <v>1.0</v>
      </c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498.0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5445.0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4.0</v>
      </c>
      <c r="K21" s="172">
        <v>1682.0</v>
      </c>
      <c r="L21" s="173">
        <v>6.0</v>
      </c>
      <c r="M21" s="174" t="s">
        <v>2598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31.0</v>
      </c>
      <c r="K24" s="173">
        <v>840.0</v>
      </c>
      <c r="L24" s="173">
        <v>121.0</v>
      </c>
      <c r="M24" s="178">
        <v>49.0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2.0</v>
      </c>
      <c r="K27" s="96"/>
      <c r="L27" s="184">
        <v>0.04632414369256475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2599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0.9536758563074352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"/>
      <c r="C2" s="19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"/>
      <c r="F7" s="1"/>
      <c r="G7" s="1"/>
      <c r="H7" s="1"/>
      <c r="I7" s="1"/>
      <c r="J7" s="1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92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92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"/>
      <c r="F12" s="1"/>
      <c r="G12" s="1"/>
      <c r="H12" s="1"/>
      <c r="I12" s="1"/>
      <c r="J12" s="1"/>
      <c r="K12" s="192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92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92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92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92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92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92"/>
      <c r="F26" s="1"/>
      <c r="G26" s="1"/>
      <c r="H26" s="1"/>
      <c r="I26" s="1"/>
      <c r="J26" s="1"/>
      <c r="K26" s="192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92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92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92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92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92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92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92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92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92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92"/>
      <c r="F42" s="1"/>
      <c r="G42" s="1"/>
      <c r="H42" s="1"/>
      <c r="I42" s="1"/>
      <c r="J42" s="1"/>
      <c r="K42" s="192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92"/>
      <c r="F43" s="1"/>
      <c r="G43" s="1"/>
      <c r="H43" s="1"/>
      <c r="I43" s="1"/>
      <c r="J43" s="1"/>
      <c r="K43" s="192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92"/>
      <c r="F44" s="1"/>
      <c r="G44" s="1"/>
      <c r="H44" s="1"/>
      <c r="I44" s="1"/>
      <c r="J44" s="1"/>
      <c r="K44" s="192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/>
      <c r="B45" s="1"/>
      <c r="C45" s="193"/>
      <c r="D45" s="1"/>
      <c r="E45" s="192"/>
      <c r="F45" s="1"/>
      <c r="G45" s="1"/>
      <c r="H45" s="1"/>
      <c r="I45" s="1"/>
      <c r="J45" s="1"/>
      <c r="K45" s="192"/>
      <c r="L45" s="1"/>
      <c r="M45" s="1"/>
      <c r="N45" s="1"/>
      <c r="O45" s="1"/>
      <c r="P45" s="1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"/>
      <c r="B46" s="1"/>
      <c r="C46" s="193"/>
      <c r="D46" s="1"/>
      <c r="E46" s="192"/>
      <c r="F46" s="1"/>
      <c r="G46" s="1"/>
      <c r="H46" s="1"/>
      <c r="I46" s="1"/>
      <c r="J46" s="1"/>
      <c r="K46" s="192"/>
      <c r="L46" s="1"/>
      <c r="M46" s="1"/>
      <c r="N46" s="1"/>
      <c r="O46" s="1"/>
      <c r="P46" s="1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"/>
      <c r="B47" s="1"/>
      <c r="C47" s="193"/>
      <c r="D47" s="1"/>
      <c r="E47" s="192"/>
      <c r="F47" s="1"/>
      <c r="G47" s="1"/>
      <c r="H47" s="1"/>
      <c r="I47" s="1"/>
      <c r="J47" s="1"/>
      <c r="K47" s="192"/>
      <c r="L47" s="1"/>
      <c r="M47" s="1"/>
      <c r="N47" s="1"/>
      <c r="O47" s="1"/>
      <c r="P47" s="1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"/>
      <c r="B48" s="1"/>
      <c r="C48" s="193"/>
      <c r="D48" s="1"/>
      <c r="E48" s="192"/>
      <c r="F48" s="1"/>
      <c r="G48" s="1"/>
      <c r="H48" s="1"/>
      <c r="I48" s="1"/>
      <c r="J48" s="1"/>
      <c r="K48" s="192"/>
      <c r="L48" s="1"/>
      <c r="M48" s="1"/>
      <c r="N48" s="1"/>
      <c r="O48" s="1"/>
      <c r="P48" s="1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"/>
      <c r="B49" s="1"/>
      <c r="C49" s="193"/>
      <c r="D49" s="1"/>
      <c r="E49" s="192"/>
      <c r="F49" s="1"/>
      <c r="G49" s="1"/>
      <c r="H49" s="1"/>
      <c r="I49" s="1"/>
      <c r="J49" s="1"/>
      <c r="K49" s="192"/>
      <c r="L49" s="1"/>
      <c r="M49" s="1"/>
      <c r="N49" s="1"/>
      <c r="O49" s="1"/>
      <c r="P49" s="1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2600</v>
      </c>
      <c r="B4" s="199" t="s">
        <v>2601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IFERROR(__xludf.DUMMYFUNCTION("""COMPUTED_VALUE"""),"Zličín")</f>
        <v>Zličín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IFERROR(__xludf.DUMMYFUNCTION("""COMPUTED_VALUE"""),"Stepanenko Solomiia")</f>
        <v>Stepanenko Solomiia</v>
      </c>
      <c r="E18" s="195" t="str">
        <f>IFERROR(__xludf.DUMMYFUNCTION("""COMPUTED_VALUE"""),"Výroba")</f>
        <v>Výroba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IFERROR(__xludf.DUMMYFUNCTION("""COMPUTED_VALUE"""),286.332)</f>
        <v>286.332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>Rothová Anastasia</v>
      </c>
      <c r="C19" s="195" t="b">
        <f>IFERROR(__xludf.DUMMYFUNCTION("""COMPUTED_VALUE"""),FALSE)</f>
        <v>0</v>
      </c>
      <c r="D19" s="195" t="str">
        <f>IFERROR(__xludf.DUMMYFUNCTION("""COMPUTED_VALUE"""),"Rothová Anastasia")</f>
        <v>Rothová Anastasia</v>
      </c>
      <c r="E19" s="195" t="str">
        <f>IFERROR(__xludf.DUMMYFUNCTION("""COMPUTED_VALUE"""),"Bolevec")</f>
        <v>Bolevec</v>
      </c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IFERROR(__xludf.DUMMYFUNCTION("""COMPUTED_VALUE"""),341.19)</f>
        <v>341.19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IFERROR(__xludf.DUMMYFUNCTION("""COMPUTED_VALUE"""),2789.082580645161)</f>
        <v>2789.082581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IFERROR(__xludf.DUMMYFUNCTION("""COMPUTED_VALUE"""),2789.082580645161)</f>
        <v>2789.082581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IFERROR(__xludf.DUMMYFUNCTION("""COMPUTED_VALUE"""),"Chodov")</f>
        <v>Chodov</v>
      </c>
      <c r="F28" s="195" t="str">
        <f>IFERROR(__xludf.DUMMYFUNCTION("""COMPUTED_VALUE"""),"Malešice")</f>
        <v>Malešice</v>
      </c>
      <c r="G28" s="195" t="str">
        <f>IFERROR(__xludf.DUMMYFUNCTION("""COMPUTED_VALUE"""),"Zličín")</f>
        <v>Zličín</v>
      </c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>Raboch Tomáš</v>
      </c>
      <c r="C29" s="195" t="b">
        <f>IFERROR(__xludf.DUMMYFUNCTION("""COMPUTED_VALUE"""),FALSE)</f>
        <v>0</v>
      </c>
      <c r="D29" s="195" t="str">
        <f>IFERROR(__xludf.DUMMYFUNCTION("""COMPUTED_VALUE"""),"Raboch Tomáš")</f>
        <v>Raboch Tomáš</v>
      </c>
      <c r="E29" s="195" t="str">
        <f>IFERROR(__xludf.DUMMYFUNCTION("""COMPUTED_VALUE"""),"Bolevec")</f>
        <v>Bolevec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 t="str">
        <f>IFERROR(__xludf.DUMMYFUNCTION("""COMPUTED_VALUE"""),"Prosek")</f>
        <v>Prosek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 t="str">
        <f>IFERROR(__xludf.DUMMYFUNCTION("""COMPUTED_VALUE"""),"Výroba")</f>
        <v>Výroba</v>
      </c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IFERROR(__xludf.DUMMYFUNCTION("""COMPUTED_VALUE"""),2494.722580645161)</f>
        <v>2494.722581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IFERROR(__xludf.DUMMYFUNCTION("""COMPUTED_VALUE"""),1596.967741935484)</f>
        <v>1596.967742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IFERROR(__xludf.DUMMYFUNCTION("""COMPUTED_VALUE"""),231.474)</f>
        <v>231.474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 t="str">
        <f>IFERROR(__xludf.DUMMYFUNCTION("""COMPUTED_VALUE"""),"Pavel Břicháč")</f>
        <v>Pavel Břicháč</v>
      </c>
      <c r="E126" s="195" t="str">
        <f>IFERROR(__xludf.DUMMYFUNCTION("""COMPUTED_VALUE"""),"Libuš")</f>
        <v>Libuš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IFERROR(__xludf.DUMMYFUNCTION("""COMPUTED_VALUE"""),231.474)</f>
        <v>231.474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IFERROR(__xludf.DUMMYFUNCTION("""COMPUTED_VALUE"""),0.0)</f>
        <v>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IFERROR(__xludf.DUMMYFUNCTION("""COMPUTED_VALUE"""),0.0)</f>
        <v>0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2602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2603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2604</v>
      </c>
      <c r="B3" s="1" t="s">
        <v>2605</v>
      </c>
      <c r="C3" s="1" t="s">
        <v>2606</v>
      </c>
      <c r="D3" s="1" t="s">
        <v>2607</v>
      </c>
      <c r="E3" s="1" t="s">
        <v>2608</v>
      </c>
      <c r="F3" s="1" t="s">
        <v>2606</v>
      </c>
      <c r="G3" s="192"/>
    </row>
    <row r="4">
      <c r="A4" s="1" t="s">
        <v>2609</v>
      </c>
      <c r="B4" s="1" t="s">
        <v>2608</v>
      </c>
      <c r="C4" s="1" t="s">
        <v>2610</v>
      </c>
      <c r="E4" s="1" t="s">
        <v>2607</v>
      </c>
      <c r="F4" s="192"/>
      <c r="G4" s="1" t="s">
        <v>2606</v>
      </c>
      <c r="H4" s="1" t="s">
        <v>2611</v>
      </c>
    </row>
    <row r="5">
      <c r="A5" s="1" t="s">
        <v>2612</v>
      </c>
      <c r="B5" s="1" t="s">
        <v>2613</v>
      </c>
      <c r="D5" s="1" t="s">
        <v>2613</v>
      </c>
      <c r="E5" s="1" t="s">
        <v>2613</v>
      </c>
      <c r="F5" s="1" t="s">
        <v>2613</v>
      </c>
      <c r="G5" s="1" t="s">
        <v>2613</v>
      </c>
      <c r="H5" s="192"/>
    </row>
    <row r="6">
      <c r="A6" s="1" t="s">
        <v>2614</v>
      </c>
      <c r="B6" s="1" t="s">
        <v>2615</v>
      </c>
      <c r="C6" s="1" t="s">
        <v>2616</v>
      </c>
      <c r="D6" s="1" t="s">
        <v>2608</v>
      </c>
      <c r="F6" s="192"/>
      <c r="G6" s="1" t="s">
        <v>2617</v>
      </c>
      <c r="H6" s="1" t="s">
        <v>2608</v>
      </c>
    </row>
    <row r="7">
      <c r="A7" s="1" t="s">
        <v>2618</v>
      </c>
      <c r="B7" s="192"/>
      <c r="C7" s="1" t="s">
        <v>2608</v>
      </c>
      <c r="D7" s="192"/>
      <c r="F7" s="1" t="s">
        <v>2617</v>
      </c>
      <c r="G7" s="1" t="s">
        <v>2617</v>
      </c>
    </row>
    <row r="8">
      <c r="A8" s="1" t="s">
        <v>2619</v>
      </c>
      <c r="B8" s="192"/>
      <c r="C8" s="1" t="s">
        <v>2620</v>
      </c>
      <c r="D8" s="1" t="s">
        <v>2620</v>
      </c>
      <c r="E8" s="192"/>
      <c r="F8" s="1" t="s">
        <v>2621</v>
      </c>
      <c r="G8" s="1" t="s">
        <v>2622</v>
      </c>
    </row>
    <row r="9">
      <c r="A9" s="1" t="s">
        <v>2623</v>
      </c>
      <c r="C9" s="192"/>
      <c r="D9" s="192"/>
      <c r="F9" s="192"/>
      <c r="G9" s="1" t="s">
        <v>2620</v>
      </c>
      <c r="H9" s="1" t="s">
        <v>2624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2625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2626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2627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2628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2629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2630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2631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2632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2633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2634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2635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2636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2637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2638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2639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2640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2641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2642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2643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2644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2645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2646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2647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2648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2649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2650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2651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2652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2653</v>
      </c>
      <c r="AB138" s="1">
        <v>-10.0</v>
      </c>
    </row>
  </sheetData>
  <mergeCells count="1">
    <mergeCell ref="A1:H1"/>
  </mergeCells>
  <drawing r:id="rId1"/>
</worksheet>
</file>