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<sst xmlns="http://schemas.openxmlformats.org/spreadsheetml/2006/main" count="5519" uniqueCount="1627">
  <si>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</si>
  <si>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</si>
  <si>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</si>
  <si>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</si>
  <si>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</si>
  <si>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</si>
  <si>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</si>
  <si>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</si>
  <si>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</si>
  <si>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</si>
  <si>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</si>
  <si>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</si>
  <si>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</si>
  <si>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</si>
  <si>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</si>
  <si>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</si>
  <si>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</si>
  <si>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</si>
  <si>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</si>
  <si>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</si>
  <si>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</si>
  <si>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</si>
  <si>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</si>
  <si>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</si>
  <si>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</si>
  <si>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</si>
  <si>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</si>
  <si>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</si>
  <si>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</si>
  <si>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</si>
  <si>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</si>
  <si>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</si>
  <si>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</si>
  <si>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</si>
  <si>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</si>
  <si>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</si>
  <si>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</si>
  <si>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</si>
  <si>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</si>
  <si>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</si>
  <si>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</si>
  <si>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</si>
  <si>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</si>
  <si>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</si>
  <si>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</si>
  <si>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</si>
  <si>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</si>
  <si>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</si>
  <si>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</si>
  <si>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</si>
  <si>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</si>
  <si>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</si>
  <si>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</si>
  <si>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</si>
  <si>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</si>
  <si>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</si>
  <si>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</si>
  <si>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</si>
  <si>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</si>
  <si>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</si>
  <si>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</si>
  <si>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</si>
  <si>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</si>
  <si>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</si>
  <si>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</si>
  <si>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</si>
  <si>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</si>
  <si>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</si>
  <si>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</si>
  <si>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</si>
  <si>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</si>
  <si>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</si>
  <si>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</si>
  <si>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</si>
  <si>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</si>
  <si>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</si>
  <si>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</si>
  <si>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</si>
  <si>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</si>
  <si>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</si>
  <si>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</si>
  <si>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</si>
  <si>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</si>
  <si>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</si>
  <si>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</si>
  <si>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</si>
  <si>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</si>
  <si>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</si>
  <si>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</si>
  <si>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</si>
  <si>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</si>
  <si>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</si>
  <si>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</si>
  <si>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</si>
  <si>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</si>
  <si>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</si>
  <si>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</si>
  <si>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</si>
  <si>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</si>
  <si>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</si>
  <si>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</si>
  <si>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</si>
  <si>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</si>
  <si>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</si>
  <si>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</si>
  <si>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</si>
  <si>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</si>
  <si>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</si>
  <si>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</si>
  <si>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</si>
  <si>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</si>
  <si>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</si>
  <si>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</si>
  <si>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</si>
  <si>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</si>
  <si>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</si>
  <si>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</si>
  <si>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</si>
  <si>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</si>
  <si>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</si>
  <si>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</si>
  <si>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</si>
  <si>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</si>
  <si>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</si>
  <si>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</si>
  <si>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</si>
  <si>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</si>
  <si>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</si>
  <si>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</si>
  <si>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</si>
  <si>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</si>
  <si>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</si>
  <si>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</si>
  <si>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</si>
  <si>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</si>
  <si>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</si>
  <si>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</si>
  <si>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</si>
  <si>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</si>
  <si>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</si>
  <si>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</si>
  <si>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</si>
  <si>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</si>
  <si>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</si>
  <si>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</si>
  <si>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</si>
  <si>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</si>
  <si>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</si>
  <si>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</si>
  <si>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</si>
  <si>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</si>
  <si>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</si>
  <si>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</si>
  <si>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</si>
  <si>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</si>
  <si>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</si>
  <si>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</si>
  <si>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</si>
  <si>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</si>
  <si>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</si>
  <si>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</si>
  <si>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</si>
  <si>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</si>
  <si>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</si>
  <si>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</si>
  <si>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</si>
  <si>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</si>
  <si>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</si>
  <si>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</si>
  <si>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</si>
  <si>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</si>
  <si>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</si>
  <si>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</si>
  <si>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</si>
  <si>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</si>
  <si>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</si>
  <si>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</si>
  <si>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</si>
  <si>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</si>
  <si>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</si>
  <si>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</si>
  <si>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</si>
  <si>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</si>
  <si>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</si>
  <si>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</si>
  <si>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</si>
  <si>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</si>
  <si>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</si>
  <si>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</si>
  <si>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</si>
  <si>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</si>
  <si>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</si>
  <si>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</si>
  <si>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</si>
  <si>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</si>
  <si>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</si>
  <si>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</si>
  <si>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</si>
  <si>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</si>
  <si>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</si>
  <si>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</si>
  <si>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</si>
  <si>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</si>
  <si>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</si>
  <si>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</si>
  <si>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</si>
  <si>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</si>
  <si>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</si>
  <si>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</si>
  <si>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</si>
  <si>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</si>
  <si>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</si>
  <si>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</si>
  <si>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</si>
  <si>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</si>
  <si>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</si>
  <si>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</si>
  <si>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</si>
  <si>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</si>
  <si>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</si>
  <si>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</si>
  <si>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</si>
  <si>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</si>
  <si>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</si>
  <si>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</si>
  <si>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</si>
  <si>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</si>
  <si>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</si>
  <si>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</si>
  <si>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</si>
  <si>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</si>
  <si>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</si>
  <si>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</si>
  <si>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</si>
  <si>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</si>
  <si>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</si>
  <si>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</si>
  <si>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</si>
  <si>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</si>
  <si>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</si>
  <si>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</si>
  <si>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</si>
  <si>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</si>
  <si>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</si>
  <si>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</si>
  <si>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</si>
  <si>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</si>
  <si>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</si>
  <si>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</si>
  <si>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</si>
  <si>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</si>
  <si>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</si>
  <si>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</si>
  <si>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</si>
  <si>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</si>
  <si>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</si>
  <si>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</si>
  <si>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</si>
  <si>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</si>
  <si>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</si>
  <si>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</si>
  <si>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</si>
  <si>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</si>
  <si>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</si>
  <si>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</si>
  <si>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</si>
  <si>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</si>
  <si>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</si>
  <si>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</si>
  <si>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</si>
  <si>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</si>
  <si>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</si>
  <si>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</si>
  <si>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</si>
  <si>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</si>
  <si>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</si>
  <si>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</si>
  <si>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</si>
  <si>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</si>
  <si>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</si>
  <si>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</si>
  <si>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</si>
  <si>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</si>
  <si>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</si>
  <si>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</si>
  <si>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</si>
  <si>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</si>
  <si>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</si>
  <si>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</si>
  <si>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</si>
  <si>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</si>
  <si>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</si>
  <si>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</si>
  <si>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</si>
  <si>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</si>
  <si>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</si>
  <si>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</si>
  <si>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</si>
  <si>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</si>
  <si>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</si>
  <si>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</si>
  <si>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</si>
  <si>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</si>
  <si>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</si>
  <si>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</si>
  <si>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</si>
  <si>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</si>
  <si>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</si>
  <si>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</si>
  <si>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</si>
  <si>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</si>
  <si>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</si>
  <si>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</si>
  <si>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</si>
  <si>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</si>
  <si>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</si>
  <si>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</si>
  <si>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</si>
  <si>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</si>
  <si>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</si>
  <si>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</si>
  <si>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</si>
  <si>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</si>
  <si>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</si>
  <si>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</si>
  <si>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</si>
  <si>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</si>
  <si>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</si>
  <si>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</si>
  <si>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</si>
  <si>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</si>
  <si>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</si>
  <si>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</si>
  <si>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</si>
  <si>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</si>
  <si>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</si>
  <si>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</si>
  <si>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</si>
  <si>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</si>
  <si>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</si>
  <si>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</si>
  <si>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</si>
  <si>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</si>
  <si>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</si>
  <si>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</si>
  <si>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</si>
  <si>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</si>
  <si>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</si>
  <si>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</si>
  <si>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</si>
  <si>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</si>
  <si>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</si>
  <si>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</si>
  <si>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</si>
  <si>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</si>
  <si>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</si>
  <si>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</si>
  <si>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</si>
  <si>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</si>
  <si>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</si>
  <si>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</si>
  <si>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</si>
  <si>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</si>
  <si>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</si>
  <si>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</si>
  <si>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</si>
  <si>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</si>
  <si>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</si>
  <si>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</si>
  <si>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</si>
  <si>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</si>
  <si>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</si>
  <si>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</si>
  <si>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</si>
  <si>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</si>
  <si>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</si>
  <si>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</si>
  <si>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</si>
  <si>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</si>
  <si>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</si>
  <si>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</si>
  <si>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</si>
  <si>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</si>
  <si>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</si>
  <si>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</si>
  <si>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</si>
  <si>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</si>
  <si>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</si>
  <si>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</si>
  <si>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</si>
  <si>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</si>
  <si>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</si>
  <si>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</si>
  <si>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</si>
  <si>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</si>
  <si>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</si>
  <si>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</si>
  <si>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</si>
  <si>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</si>
  <si>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</si>
  <si>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</si>
  <si>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</si>
  <si>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</si>
  <si>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</si>
  <si>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</si>
  <si>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</si>
  <si>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</si>
  <si>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</si>
  <si>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</si>
  <si>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</si>
  <si>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</si>
  <si>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</si>
  <si>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</si>
  <si>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</si>
  <si>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</si>
  <si>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</si>
  <si>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</si>
  <si>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</si>
  <si>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</si>
  <si>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</si>
  <si>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</si>
  <si>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</si>
  <si>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</si>
  <si>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</si>
  <si>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</si>
  <si>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</si>
  <si>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</si>
  <si>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</si>
  <si>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</si>
  <si>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</si>
  <si>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</si>
  <si>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</si>
  <si>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</si>
  <si>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</si>
  <si>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</si>
  <si>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</si>
  <si>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</si>
  <si>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</si>
  <si>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</si>
  <si>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</si>
  <si>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</si>
  <si>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</si>
  <si>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</si>
  <si>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</si>
  <si>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</si>
  <si>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</si>
  <si>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</si>
  <si>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</si>
  <si>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</si>
  <si>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</si>
  <si>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</si>
  <si>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</si>
  <si>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</si>
  <si>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</si>
  <si>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</si>
  <si>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</si>
  <si>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</si>
  <si>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</si>
  <si>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</si>
  <si>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</si>
  <si>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</si>
  <si>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</si>
  <si>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</si>
  <si>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</si>
  <si>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</si>
  <si>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</si>
  <si>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</si>
  <si>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</si>
  <si>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</si>
  <si>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</si>
  <si>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</si>
  <si>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</si>
  <si>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</si>
  <si>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</si>
  <si>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</si>
  <si>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</si>
  <si>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</si>
  <si>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</si>
  <si>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</si>
  <si>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</si>
  <si>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</si>
  <si>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</si>
  <si>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</si>
  <si>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</si>
  <si>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</si>
  <si>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</si>
  <si>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</si>
  <si>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</si>
  <si>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</si>
  <si>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</si>
  <si>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</si>
  <si>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</si>
  <si>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</si>
  <si>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</si>
  <si>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</si>
  <si>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</si>
  <si>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</si>
  <si>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</si>
  <si>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</si>
  <si>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</si>
  <si>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</si>
  <si>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</si>
  <si>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</si>
  <si>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</si>
  <si>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</si>
  <si>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</si>
  <si>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</si>
  <si>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</si>
  <si>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</si>
  <si>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</si>
  <si>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</si>
  <si>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</si>
  <si>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</si>
  <si>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</si>
  <si>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</si>
  <si>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</si>
  <si>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</si>
  <si>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</si>
  <si>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</si>
  <si>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</si>
  <si>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</si>
  <si>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</si>
  <si>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</si>
  <si>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</si>
  <si>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</si>
  <si>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</si>
  <si>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</si>
  <si>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</si>
  <si>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</si>
  <si>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</si>
  <si>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</si>
  <si>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</si>
  <si>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</si>
  <si>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</si>
  <si>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</si>
  <si>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</si>
  <si>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</si>
  <si>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</si>
  <si>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</si>
  <si>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</si>
  <si>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</si>
  <si>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</si>
  <si>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</si>
  <si>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</si>
  <si>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</si>
  <si>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</si>
  <si>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</si>
  <si>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</si>
  <si>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</si>
  <si>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</si>
  <si>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</si>
  <si>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</si>
  <si>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</si>
  <si>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</si>
  <si>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</si>
  <si>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</si>
  <si>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</si>
  <si>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</si>
  <si>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</si>
  <si>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</si>
  <si>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</si>
  <si>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</si>
  <si>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</si>
  <si>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</si>
  <si>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</si>
  <si>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</si>
  <si>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</si>
  <si>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</si>
  <si>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</si>
  <si>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</si>
  <si>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</si>
  <si>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</si>
  <si>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</si>
  <si>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</si>
  <si>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</si>
  <si>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</si>
  <si>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</si>
  <si>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</si>
  <si>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</si>
  <si>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</si>
  <si>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</si>
  <si>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</si>
  <si>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</si>
  <si>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</si>
  <si>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</si>
  <si>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</si>
  <si>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</si>
  <si>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</si>
  <si>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</si>
  <si>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</si>
  <si>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</si>
  <si>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</si>
  <si>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</si>
  <si>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</si>
  <si>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</si>
  <si>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</si>
  <si>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</si>
  <si>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</si>
  <si>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</si>
  <si>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</si>
  <si>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</si>
  <si>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</si>
  <si>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</si>
  <si>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</si>
  <si>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</si>
  <si>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</si>
  <si>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</si>
  <si>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</si>
  <si>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</si>
  <si>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</si>
  <si>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</si>
  <si>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</si>
  <si>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</si>
  <si>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</si>
  <si>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</si>
  <si>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</si>
  <si>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</si>
  <si>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</si>
  <si>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</si>
  <si>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</si>
  <si>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</si>
  <si>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</si>
  <si>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</si>
  <si>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</si>
  <si>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</si>
  <si>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</si>
  <si>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</si>
  <si>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</si>
  <si>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</si>
  <si>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</si>
  <si>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</si>
  <si>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</si>
  <si>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</si>
  <si>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</si>
  <si>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</si>
  <si>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</si>
  <si>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</si>
  <si>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</si>
  <si>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</si>
  <si>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</si>
  <si>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</si>
  <si>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</si>
  <si>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</si>
  <si>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</si>
  <si>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</si>
  <si>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</si>
  <si>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</si>
  <si>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</si>
  <si>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</si>
  <si>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</si>
  <si>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</si>
  <si>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</si>
  <si>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</si>
  <si>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</si>
  <si>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</si>
  <si>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</si>
  <si>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</si>
  <si>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</si>
  <si>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</si>
  <si>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</si>
  <si>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</si>
  <si>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</si>
  <si>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</si>
  <si>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</si>
  <si>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</si>
  <si>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</si>
  <si>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</si>
  <si>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</si>
  <si>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</si>
  <si>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</si>
  <si>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</si>
  <si>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</si>
  <si>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</si>
  <si>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</si>
  <si>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</si>
  <si>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</si>
  <si>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</si>
  <si>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</si>
  <si>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</si>
  <si>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</si>
  <si>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</si>
  <si>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</si>
  <si>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</si>
  <si>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</si>
  <si>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</si>
  <si>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</si>
  <si>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</si>
  <si>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</si>
  <si>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</si>
  <si>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</si>
  <si>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</si>
  <si>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</si>
  <si>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</si>
  <si>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</si>
  <si>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</si>
  <si>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</si>
  <si>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</si>
  <si>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</si>
  <si>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</si>
  <si>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</si>
  <si>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</si>
  <si>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</si>
  <si>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</si>
  <si>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</si>
  <si>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</si>
  <si>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</si>
  <si>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</si>
  <si>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</si>
  <si>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</si>
  <si>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</si>
  <si>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</si>
  <si>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</si>
  <si>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</si>
  <si>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</si>
  <si>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</si>
  <si>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</si>
  <si>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</si>
  <si>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</si>
  <si>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</si>
  <si>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</si>
  <si>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</si>
  <si>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</si>
  <si>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</si>
  <si>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</si>
  <si>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</si>
  <si>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</si>
  <si>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</si>
  <si>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</si>
  <si>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</si>
  <si>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</si>
  <si>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</si>
  <si>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</si>
  <si>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</si>
  <si>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</si>
  <si>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</si>
  <si>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</si>
  <si>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</si>
  <si>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</si>
  <si>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</si>
  <si>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</si>
  <si>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</si>
  <si>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</si>
  <si>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</si>
  <si>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</si>
  <si>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</si>
  <si>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</si>
  <si>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</si>
  <si>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</si>
  <si>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</si>
  <si>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</si>
  <si>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</si>
  <si>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</si>
  <si>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</si>
  <si>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</si>
  <si>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</si>
  <si>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</si>
  <si>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</si>
  <si>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</si>
  <si>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</si>
  <si>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</si>
  <si>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</si>
  <si>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</si>
  <si>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</si>
  <si>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</si>
  <si>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</si>
  <si>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</si>
  <si>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</si>
  <si>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</si>
  <si>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</si>
  <si>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</si>
  <si>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</si>
  <si>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</si>
  <si>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</si>
  <si>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</si>
  <si>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</si>
  <si>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</si>
  <si>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</si>
  <si>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</si>
  <si>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</si>
  <si>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</si>
  <si>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</si>
  <si>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</si>
  <si>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</si>
  <si>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</si>
  <si>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</si>
  <si>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</si>
  <si>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</si>
  <si>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</si>
  <si>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</si>
  <si>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</si>
  <si>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</si>
  <si>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</si>
  <si>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</si>
  <si>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</si>
  <si>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</si>
  <si>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</si>
  <si>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</si>
  <si>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</si>
  <si>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</si>
  <si>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</si>
  <si>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</si>
  <si>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</si>
  <si>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</si>
  <si>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</si>
  <si>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</si>
  <si>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</si>
  <si>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</si>
  <si>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</si>
  <si>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</si>
  <si>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</si>
  <si>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</si>
  <si>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</si>
  <si>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</si>
  <si>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</si>
  <si>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</si>
  <si>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</si>
  <si>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</si>
  <si>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</si>
  <si>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</si>
  <si>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</si>
  <si>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</si>
  <si>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</si>
  <si>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</si>
  <si>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</si>
  <si>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</si>
  <si>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</si>
  <si>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</si>
  <si>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</si>
  <si>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</si>
  <si>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</si>
  <si>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</si>
  <si>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</si>
  <si>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</si>
  <si>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</si>
  <si>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</si>
  <si>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</si>
  <si>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</si>
  <si>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</si>
  <si>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</si>
  <si>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</si>
  <si>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</si>
  <si>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</si>
  <si>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</si>
  <si>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</si>
  <si>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</si>
  <si>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</si>
  <si>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</si>
  <si>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</si>
  <si>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</si>
  <si>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</si>
  <si>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</si>
  <si>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</si>
  <si>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</si>
  <si>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</si>
  <si>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</si>
  <si>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</si>
  <si>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</si>
  <si>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</si>
  <si>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</si>
  <si>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</si>
  <si>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</si>
  <si>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</si>
  <si>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</si>
  <si>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</si>
  <si>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</si>
  <si>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</si>
  <si>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</si>
  <si>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</si>
  <si>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</si>
  <si>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</si>
  <si>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</si>
  <si>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</si>
  <si>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</si>
  <si>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</si>
  <si>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</si>
  <si>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</si>
  <si>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</si>
  <si>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</si>
  <si>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</si>
  <si>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</si>
  <si>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</si>
  <si>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</si>
  <si>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</si>
  <si>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</si>
  <si>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</si>
  <si>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</si>
  <si>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</si>
  <si>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</si>
  <si>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</si>
  <si>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</si>
  <si>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</si>
  <si>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</si>
  <si>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</si>
  <si>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</si>
  <si>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</si>
  <si>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</si>
  <si>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</si>
  <si>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</si>
  <si>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</si>
  <si>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</si>
  <si>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</si>
  <si>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</si>
  <si>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</si>
  <si>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</si>
  <si>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</si>
  <si>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</si>
  <si>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</si>
  <si>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</si>
  <si>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</si>
  <si>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</si>
  <si>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</si>
  <si>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</si>
  <si>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</si>
  <si>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</si>
  <si>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</si>
  <si>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</si>
  <si>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</si>
  <si>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</si>
  <si>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</si>
  <si>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</si>
  <si>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</si>
  <si>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</si>
  <si>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</si>
  <si>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</si>
  <si>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</si>
  <si>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</si>
  <si>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</si>
  <si>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</si>
  <si>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</si>
  <si>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</si>
  <si>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</si>
  <si>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</si>
  <si>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</si>
  <si>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</si>
  <si>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</si>
  <si>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</si>
  <si>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</si>
  <si>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</si>
  <si>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</si>
  <si>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</si>
  <si>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</si>
  <si>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</si>
  <si>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</si>
  <si>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</si>
  <si>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</si>
  <si>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</si>
  <si>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</si>
  <si>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</si>
  <si>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</si>
  <si>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</si>
  <si>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</si>
  <si>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</si>
  <si>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</si>
  <si>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</si>
  <si>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</si>
  <si>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</si>
  <si>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</si>
  <si>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</si>
  <si>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</si>
  <si>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</si>
  <si>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</si>
  <si>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</si>
  <si>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</si>
  <si>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</si>
  <si>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</si>
  <si>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</si>
  <si>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</si>
  <si>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</si>
  <si>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</si>
  <si>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</si>
  <si>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</si>
  <si>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</si>
  <si>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</si>
  <si>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</si>
  <si>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</si>
  <si>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</si>
  <si>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</si>
  <si>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</si>
  <si>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</si>
  <si>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</si>
  <si>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</si>
  <si>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</si>
  <si>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</si>
  <si>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</si>
  <si>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</si>
  <si>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</si>
  <si>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</si>
  <si>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</si>
  <si>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</si>
  <si>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</si>
  <si>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</si>
  <si>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</si>
  <si>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</si>
  <si>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</si>
  <si>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</si>
  <si>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</si>
  <si>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</si>
  <si>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</si>
  <si>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</si>
  <si>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</si>
  <si>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</si>
  <si>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</si>
  <si>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</si>
  <si>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</si>
  <si>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</si>
  <si>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</si>
  <si>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</si>
  <si>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</si>
  <si>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</si>
  <si>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</si>
  <si>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</si>
  <si>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</si>
  <si>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</si>
  <si>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</si>
  <si>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</si>
  <si>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</si>
  <si>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</si>
  <si>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</si>
  <si>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</si>
  <si>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</si>
  <si>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</si>
  <si>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</si>
  <si>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</si>
  <si>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</si>
  <si>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</si>
  <si>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</si>
  <si>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</si>
  <si>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</si>
  <si>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</si>
  <si>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</si>
  <si>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</si>
  <si>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</si>
  <si>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</si>
  <si>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</si>
  <si>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</si>
  <si>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</si>
  <si>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</si>
  <si>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</si>
  <si>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</si>
  <si>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</si>
  <si>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</si>
  <si>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</si>
  <si>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</si>
  <si>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</si>
  <si>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</si>
  <si>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</si>
  <si>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</si>
  <si>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</si>
  <si>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</si>
  <si>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</si>
  <si>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</si>
  <si>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</si>
  <si>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</si>
  <si>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</si>
  <si>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</si>
  <si>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</si>
  <si>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</si>
  <si>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</si>
  <si>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</si>
  <si>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</si>
  <si>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</si>
  <si>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</si>
  <si>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</si>
  <si>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</si>
  <si>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</si>
  <si>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</si>
  <si>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</si>
  <si>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</si>
  <si>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</si>
  <si>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</si>
  <si>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</si>
  <si>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</si>
  <si>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</si>
  <si>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</si>
  <si>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</si>
  <si>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</si>
  <si>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</si>
  <si>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</si>
  <si>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</si>
  <si>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</si>
  <si>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</si>
  <si>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</si>
  <si>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</si>
  <si>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</si>
  <si>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</si>
  <si>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</si>
  <si>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</si>
  <si>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</si>
  <si>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</si>
  <si>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</si>
  <si>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</si>
  <si>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</si>
  <si>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</si>
  <si>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</si>
  <si>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</si>
  <si>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</si>
  <si>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</si>
  <si>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</si>
  <si>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</si>
  <si>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</si>
  <si>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</si>
  <si>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</si>
  <si>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</si>
  <si>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</si>
  <si>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</si>
  <si>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</si>
  <si>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</si>
  <si>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</si>
  <si>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</si>
  <si>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</si>
  <si>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</si>
  <si>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</si>
  <si>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</si>
  <si>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</si>
  <si>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</si>
  <si>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</si>
  <si>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</si>
  <si>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</si>
  <si>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</si>
  <si>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</si>
  <si>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</si>
  <si>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</si>
  <si>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</si>
  <si>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</si>
  <si>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</si>
  <si>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</si>
  <si>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</si>
  <si>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</si>
  <si>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</si>
  <si>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</si>
  <si>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</si>
  <si>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</si>
  <si>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</si>
  <si>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</si>
  <si>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</si>
  <si>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</si>
  <si>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</si>
  <si>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</si>
  <si>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</si>
  <si>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</si>
  <si>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</si>
  <si>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</si>
  <si>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</si>
  <si>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</si>
  <si>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</si>
  <si>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</si>
  <si>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</si>
  <si>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</si>
  <si>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</si>
  <si>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</si>
  <si>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</si>
  <si>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</si>
  <si>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</si>
  <si>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</si>
  <si>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</si>
  <si>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</si>
  <si>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</si>
  <si>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</si>
  <si>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</si>
  <si>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</si>
  <si>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</si>
  <si>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</si>
  <si>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</si>
  <si>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</si>
  <si>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</si>
  <si>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</si>
  <si>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</si>
  <si>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</si>
  <si>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</si>
  <si>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</si>
  <si>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</si>
  <si>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</si>
  <si>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</si>
  <si>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</si>
  <si>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</si>
  <si>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</si>
  <si>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</si>
  <si>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</si>
  <si>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</si>
  <si>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</si>
  <si>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</si>
  <si>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</si>
  <si>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</si>
  <si>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</si>
  <si>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</si>
  <si>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</si>
  <si>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</si>
  <si>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</si>
  <si>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</si>
  <si>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</si>
  <si>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</si>
  <si>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</si>
  <si>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</si>
  <si>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</si>
  <si>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</si>
  <si>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</si>
  <si>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</si>
  <si>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</si>
  <si>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</si>
  <si>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</si>
  <si>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</si>
  <si>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</si>
  <si>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</si>
  <si>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</si>
  <si>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</si>
  <si>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</si>
  <si>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</si>
  <si>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</si>
  <si>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</si>
  <si>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</si>
  <si>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</si>
  <si>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</si>
  <si>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</si>
  <si>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</si>
  <si>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</si>
  <si>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</si>
  <si>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</si>
  <si>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</si>
  <si>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</si>
  <si>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</si>
  <si>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</si>
  <si>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</si>
  <si>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</si>
  <si>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</si>
  <si>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</si>
  <si>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</si>
  <si>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</si>
  <si>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</si>
  <si>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</si>
  <si>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</si>
  <si>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</si>
  <si>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</si>
  <si>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</si>
  <si>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</si>
  <si>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</si>
  <si>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</si>
  <si>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</si>
  <si>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</si>
  <si>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</si>
  <si>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</si>
  <si>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</si>
  <si>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</si>
  <si>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</si>
  <si>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</si>
  <si>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</si>
  <si>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</si>
  <si>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</si>
  <si>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</si>
  <si>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</si>
  <si>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</si>
  <si>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</si>
  <si>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</si>
  <si>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</si>
  <si>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</si>
  <si>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</si>
  <si>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</si>
  <si>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</si>
  <si>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</si>
  <si>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</si>
  <si>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</si>
  <si>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</si>
  <si>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</si>
  <si>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</si>
  <si>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</si>
  <si>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</si>
  <si>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</si>
  <si>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</si>
  <si>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</si>
  <si>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</si>
  <si>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</si>
  <si>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</si>
  <si>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</si>
  <si>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</si>
  <si>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</si>
  <si>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</si>
  <si>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</si>
  <si>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</si>
  <si>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</si>
  <si>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</si>
  <si>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</si>
  <si>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</si>
  <si>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</si>
  <si>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</si>
  <si>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</si>
  <si>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</si>
  <si>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</si>
  <si>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</si>
  <si>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</si>
  <si>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</si>
  <si>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</si>
  <si>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</si>
  <si>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</si>
  <si>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</si>
  <si>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</si>
  <si>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</si>
  <si>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</si>
  <si>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</si>
  <si>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</si>
  <si>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</si>
  <si>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</si>
  <si>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</si>
  <si>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</si>
  <si>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</si>
  <si>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</si>
  <si>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</si>
  <si>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</si>
  <si>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</si>
  <si>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</si>
  <si>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</si>
  <si>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</si>
  <si>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</si>
  <si>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</si>
  <si>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</si>
  <si>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</si>
  <si>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</si>
  <si>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</si>
  <si>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</si>
  <si>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</si>
  <si>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</si>
  <si>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</si>
  <si>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</si>
  <si>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</si>
  <si>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</si>
  <si>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</si>
  <si>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</si>
  <si>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</si>
  <si>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</si>
  <si>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</si>
  <si>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</si>
  <si>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</si>
  <si>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</si>
  <si>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</si>
  <si>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</si>
  <si>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</si>
  <si>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</si>
  <si>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</si>
  <si>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</si>
  <si>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</si>
  <si>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</si>
  <si>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</si>
  <si>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</si>
  <si>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</si>
  <si>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</si>
  <si>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</si>
  <si>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</si>
  <si>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</si>
  <si>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</si>
  <si>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</si>
  <si>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</si>
  <si>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</si>
  <si>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</si>
  <si>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</si>
  <si>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</si>
  <si>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</si>
  <si>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</si>
  <si>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</si>
  <si>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</si>
  <si>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</si>
  <si>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</si>
  <si>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</si>
  <si>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</si>
  <si>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</si>
  <si>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</si>
  <si>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</si>
  <si>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</si>
  <si>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</si>
  <si>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</si>
  <si>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</si>
  <si>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</si>
  <si>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</si>
  <si>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</si>
  <si>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</si>
  <si>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</si>
  <si>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</si>
  <si>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</si>
  <si>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</si>
  <si>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</si>
  <si>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</si>
  <si>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</si>
  <si>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</si>
  <si>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</si>
  <si>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</si>
  <si>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</si>
  <si>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</si>
  <si>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</si>
  <si>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</si>
  <si>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</si>
  <si>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</si>
  <si>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</si>
  <si>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</si>
  <si>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</si>
  <si>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</si>
  <si>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</si>
  <si>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</si>
  <si>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</si>
  <si>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</si>
  <si>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</si>
  <si>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</si>
  <si>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</si>
  <si>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</si>
  <si>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</si>
  <si>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</si>
  <si>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</si>
  <si>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</si>
  <si>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</si>
  <si>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</si>
  <si>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</si>
  <si>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</si>
  <si>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</si>
  <si>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</si>
  <si>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</si>
  <si>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</si>
  <si>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</si>
  <si>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</si>
  <si>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</si>
  <si>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</si>
  <si>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</si>
  <si>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</si>
  <si>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</si>
  <si>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</si>
  <si>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</si>
  <si>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</si>
  <si>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</si>
  <si>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</si>
  <si>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</si>
  <si>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</si>
  <si>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</si>
  <si>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</si>
  <si>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</si>
  <si>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</si>
  <si>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</si>
  <si>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</si>
  <si>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</si>
  <si>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</si>
  <si>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</si>
  <si>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</si>
  <si>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</si>
  <si>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</si>
  <si>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</si>
  <si>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</si>
  <si>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</si>
  <si>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</si>
  <si>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</si>
  <si>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</si>
  <si>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</si>
  <si>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</si>
  <si>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</si>
  <si>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</si>
  <si>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</si>
  <si>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</si>
  <si>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</si>
  <si>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</si>
  <si>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</si>
  <si>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</si>
  <si>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</si>
  <si>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</si>
  <si>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</si>
  <si>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</si>
  <si>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</si>
  <si>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</si>
  <si>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</si>
  <si>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</si>
  <si>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</si>
  <si>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</si>
  <si>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</si>
  <si>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</si>
  <si>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</si>
  <si>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</si>
  <si>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</si>
  <si>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</si>
  <si>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</si>
  <si>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</si>
  <si>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</si>
  <si>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</si>
  <si>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</si>
  <si>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</si>
  <si>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</si>
  <si>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</si>
  <si>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</si>
  <si>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</si>
  <si>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</si>
  <si>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</si>
  <si>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</si>
  <si>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</si>
  <si>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</si>
  <si>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</si>
  <si>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</si>
  <si>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</si>
  <si>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</si>
  <si>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</si>
  <si>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</si>
  <si>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</si>
  <si>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</si>
  <si>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</si>
  <si>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</si>
  <si>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</si>
  <si>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</si>
  <si>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</si>
  <si>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</si>
  <si>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</si>
  <si>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</si>
  <si>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</si>
  <si>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</si>
  <si>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</si>
  <si>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</si>
  <si>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</si>
  <si>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</si>
  <si>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</si>
  <si>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</si>
  <si>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</si>
  <si>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</si>
  <si>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</si>
  <si>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</si>
  <si>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</si>
  <si>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</si>
  <si>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</si>
  <si>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</si>
  <si>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</si>
  <si>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</si>
  <si>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</si>
  <si>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</si>
  <si>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</si>
  <si>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</si>
  <si>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</si>
  <si>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</si>
  <si>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</si>
  <si>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</si>
  <si>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</si>
  <si>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</si>
  <si>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</si>
  <si>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</si>
  <si>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</si>
  <si>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</si>
  <si>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</si>
  <si>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</si>
  <si>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</si>
  <si>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</si>
  <si>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</si>
  <si>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</si>
  <si>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</si>
  <si>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</si>
  <si>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</si>
  <si>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</si>
  <si>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</si>
  <si>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</si>
  <si>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</si>
  <si>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</si>
  <si>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</si>
  <si>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</si>
  <si>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</si>
  <si>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</si>
  <si>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</si>
  <si>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</si>
  <si>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</si>
  <si>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</si>
  <si>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</si>
  <si>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</si>
  <si>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</si>
  <si>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</si>
  <si>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</si>
  <si>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</si>
  <si>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</si>
  <si>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</si>
  <si>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</si>
  <si>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</si>
  <si>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</si>
  <si>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Eszenyiová Patrícia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</si>
  <si>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</si>
  <si>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</si>
  <si>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</si>
  <si>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</si>
  <si>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</si>
  <si>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</si>
  <si>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</si>
  <si>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</si>
  <si>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</si>
  <si>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</si>
  <si>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183:30</t>
  </si>
  <si>
    <t>29:00</t>
  </si>
  <si>
    <t>Cieslar Marek</t>
  </si>
  <si>
    <t>60:00</t>
  </si>
  <si>
    <t>164:00</t>
  </si>
  <si>
    <t>Kubík Martin</t>
  </si>
  <si>
    <t>28:30</t>
  </si>
  <si>
    <t>Berdar Vasyl</t>
  </si>
  <si>
    <t>71:30</t>
  </si>
  <si>
    <t>Serin David</t>
  </si>
  <si>
    <t>58:00</t>
  </si>
  <si>
    <t>9:00</t>
  </si>
  <si>
    <t>47:00</t>
  </si>
  <si>
    <t>70:00</t>
  </si>
  <si>
    <t>7:00</t>
  </si>
  <si>
    <t>Nedvěd Dominik</t>
  </si>
  <si>
    <t>30:30</t>
  </si>
  <si>
    <t>8:00</t>
  </si>
  <si>
    <t>Dušek Sam</t>
  </si>
  <si>
    <t>Kopic Jakub</t>
  </si>
  <si>
    <t>79:30</t>
  </si>
  <si>
    <t>Coufal Jakub</t>
  </si>
  <si>
    <t>33:00</t>
  </si>
  <si>
    <t>Pavel Břicháč</t>
  </si>
  <si>
    <t>55:30</t>
  </si>
  <si>
    <t>38:30</t>
  </si>
  <si>
    <t>2:00</t>
  </si>
  <si>
    <t>Břicháč Pavel</t>
  </si>
  <si>
    <t>26:00</t>
  </si>
  <si>
    <t>12 min 37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</si>
  <si>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</si>
  <si>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</si>
  <si>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</si>
  <si>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</si>
  <si>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</si>
  <si>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</si>
  <si>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</si>
  <si>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</si>
  <si>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</si>
  <si>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</si>
  <si>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17:00 - 1:00 (Kurýr)</t>
  </si>
  <si>
    <t>13:00 - 20:00 (Kurýr)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</si>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</sst>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4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9" fontId="18" numFmtId="0" xfId="0" applyAlignment="1" applyFont="1">
      <alignment readingOrder="0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0" fillId="9" fontId="20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9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9" numFmtId="0" xfId="0" applyAlignment="1" applyBorder="1" applyFill="1" applyFont="1">
      <alignment horizontal="center" shrinkToFit="0" wrapText="1"/>
    </xf>
    <xf borderId="27" fillId="13" fontId="19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9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9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9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shrinkToFit="0" vertical="center" wrapText="1"/>
    </xf>
    <xf borderId="42" fillId="10" fontId="19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7" fillId="13" fontId="19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9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9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46173.0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Neděle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45</v>
      </c>
      <c r="D12" s="53" t="s">
        <v>68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1873.2</v>
      </c>
      <c r="B13" s="52" t="s">
        <v>1565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1751.442</v>
      </c>
      <c r="B14" s="60" t="s">
        <v>1566</v>
      </c>
      <c r="C14" s="53" t="s">
        <v>45</v>
      </c>
      <c r="D14" s="53" t="s">
        <v>68</v>
      </c>
      <c r="E14" s="54"/>
      <c r="F14" s="55" t="str">
        <f t="shared" si="1"/>
        <v>07:00</v>
      </c>
      <c r="G14" s="61"/>
      <c r="I14" s="22"/>
      <c r="J14" s="37"/>
      <c r="K14" s="22"/>
      <c r="L14" s="62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3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2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2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4" t="s">
        <v>33</v>
      </c>
      <c r="M17" s="65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6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7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8"/>
      <c r="B22" s="69"/>
      <c r="C22" s="29"/>
      <c r="D22" s="29"/>
      <c r="E22" s="29"/>
      <c r="F22" s="29"/>
      <c r="G22" s="29"/>
      <c r="H22" s="29"/>
      <c r="I22" s="20"/>
      <c r="J22" s="70" t="s">
        <v>34</v>
      </c>
      <c r="K22" s="70" t="s">
        <v>35</v>
      </c>
      <c r="L22" s="71" t="s">
        <v>1567</v>
      </c>
      <c r="M22" s="72" t="s">
        <v>37</v>
      </c>
    </row>
    <row r="23">
      <c r="A23" s="68"/>
      <c r="B23" s="40" t="s">
        <v>78</v>
      </c>
      <c r="I23" s="22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7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1568</v>
      </c>
      <c r="H24" s="78" t="s">
        <v>1569</v>
      </c>
      <c r="I24" s="46" t="s">
        <v>13</v>
      </c>
      <c r="J24" s="79" t="s">
        <v>1570</v>
      </c>
      <c r="K24" s="80" t="s">
        <v>1470</v>
      </c>
      <c r="L24" s="81" t="s">
        <v>1471</v>
      </c>
      <c r="M24" s="82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900</v>
      </c>
      <c r="B25" s="52" t="s">
        <v>1571</v>
      </c>
      <c r="C25" s="83" t="s">
        <v>63</v>
      </c>
      <c r="D25" s="83" t="s">
        <v>45</v>
      </c>
      <c r="E25" s="83"/>
      <c r="F25" s="84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5">
        <f>COUNTIF(RestiaCSV!E:E, B25)</f>
        <v>0</v>
      </c>
      <c r="H25" s="86" t="b">
        <v>1</v>
      </c>
      <c r="I25" s="87">
        <f t="shared" ref="I25:I31" si="4">IF(H25,G25*45, 0)</f>
        <v>0</v>
      </c>
      <c r="J25" s="59"/>
      <c r="K25" s="88"/>
      <c r="L25" s="88"/>
      <c r="M25" s="89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3"/>
      <c r="D26" s="83"/>
      <c r="E26" s="83"/>
      <c r="F26" s="84" t="str">
        <f t="shared" si="3"/>
        <v>0:00</v>
      </c>
      <c r="G26" s="85">
        <f>COUNTIF(RestiaCSV!E:E, B26)</f>
        <v>0</v>
      </c>
      <c r="H26" s="86" t="b">
        <v>1</v>
      </c>
      <c r="I26" s="87">
        <f t="shared" si="4"/>
        <v>0</v>
      </c>
      <c r="J26" s="90">
        <f>COUNTIF(I25:I31, "&gt;0")</f>
        <v>0</v>
      </c>
      <c r="K26" s="75">
        <f>IFERROR(__xludf.DUMMYFUNCTION("COUNTA(FILTER(RestiaCSV!B2:B32, RestiaCSV!B2:B32 &lt;&gt; ""canceled""))"),0.0)</f>
        <v>0</v>
      </c>
      <c r="L26" s="75">
        <f>COUNTIF(RestiaCSV!F1:F32, "delivery")</f>
        <v>0</v>
      </c>
      <c r="M26" s="91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2"/>
      <c r="D27" s="92"/>
      <c r="E27" s="83"/>
      <c r="F27" s="84" t="str">
        <f t="shared" si="3"/>
        <v>0:00</v>
      </c>
      <c r="G27" s="85">
        <f>COUNTIF(RestiaCSV!E:E, B27)</f>
        <v>0</v>
      </c>
      <c r="H27" s="86" t="b">
        <v>0</v>
      </c>
      <c r="I27" s="87">
        <f t="shared" si="4"/>
        <v>0</v>
      </c>
      <c r="J27" s="93" t="s">
        <v>1572</v>
      </c>
      <c r="K27" s="94"/>
      <c r="L27" s="81" t="s">
        <v>1474</v>
      </c>
      <c r="M27" s="82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60"/>
      <c r="C28" s="83"/>
      <c r="D28" s="83"/>
      <c r="E28" s="83"/>
      <c r="F28" s="84" t="str">
        <f t="shared" si="3"/>
        <v>0:00</v>
      </c>
      <c r="G28" s="85">
        <f>COUNTIF(RestiaCSV!E:E, B28)</f>
        <v>0</v>
      </c>
      <c r="H28" s="86" t="b">
        <v>0</v>
      </c>
      <c r="I28" s="87">
        <f t="shared" si="4"/>
        <v>0</v>
      </c>
      <c r="J28" s="58"/>
      <c r="K28" s="59"/>
      <c r="L28" s="88"/>
      <c r="M28" s="89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3"/>
      <c r="D29" s="83"/>
      <c r="E29" s="83"/>
      <c r="F29" s="84" t="str">
        <f t="shared" si="3"/>
        <v>0:00</v>
      </c>
      <c r="G29" s="85">
        <f>COUNTIF(RestiaCSV!E:E, B29)</f>
        <v>0</v>
      </c>
      <c r="H29" s="86" t="b">
        <v>0</v>
      </c>
      <c r="I29" s="87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3"/>
      <c r="D30" s="83"/>
      <c r="E30" s="83"/>
      <c r="F30" s="84" t="str">
        <f t="shared" si="3"/>
        <v>0:00</v>
      </c>
      <c r="G30" s="85">
        <f>COUNTIF(RestiaCSV!E:E, B30)</f>
        <v>0</v>
      </c>
      <c r="H30" s="86" t="b">
        <v>0</v>
      </c>
      <c r="I30" s="87">
        <f t="shared" si="4"/>
        <v>0</v>
      </c>
      <c r="J30" s="99"/>
      <c r="K30" s="99"/>
      <c r="L30" s="80" t="s">
        <v>1476</v>
      </c>
      <c r="M30" s="82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3"/>
      <c r="D31" s="83"/>
      <c r="E31" s="83"/>
      <c r="F31" s="84" t="str">
        <f t="shared" si="3"/>
        <v>0:00</v>
      </c>
      <c r="G31" s="85">
        <f>COUNTIF(RestiaCSV!E:E, B31)</f>
        <v>0</v>
      </c>
      <c r="H31" s="86" t="b">
        <v>0</v>
      </c>
      <c r="I31" s="87">
        <f t="shared" si="4"/>
        <v>0</v>
      </c>
      <c r="J31" s="99"/>
      <c r="K31" s="99"/>
      <c r="L31" s="88"/>
      <c r="M31" s="89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"Hegedüs Erik,Bubník Martin,Eszenyiová Patrícia"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46143.0</v>
      </c>
      <c r="D1" s="113" t="s">
        <v>1573</v>
      </c>
      <c r="E1" s="114">
        <v>46172.0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0.28677353547694284</v>
      </c>
      <c r="H2" s="22"/>
      <c r="I2" s="118">
        <v>1279244.3</v>
      </c>
      <c r="K2" s="22"/>
      <c r="L2" s="119" t="s">
        <v>1550</v>
      </c>
      <c r="M2" s="120">
        <v>314783.3</v>
      </c>
      <c r="N2" s="121"/>
    </row>
    <row r="3">
      <c r="A3" s="122"/>
      <c r="B3" s="123" t="str">
        <f>CHOOSE(WEEKDAY(C1), "Neděle", "Pondělí", "Úterý", "Středa", "Čtvrtek", "Pátek", "Sobota")</f>
        <v>Pátek</v>
      </c>
      <c r="C3" s="28"/>
      <c r="D3" s="123" t="str">
        <f>CHOOSE(WEEKDAY(E1), "Neděle", "Pondělí", "Úterý", "Středa", "Čtvrtek", "Pátek", "Sobota")</f>
        <v>Sobota</v>
      </c>
      <c r="E3" s="12"/>
      <c r="H3" s="22"/>
      <c r="K3" s="22"/>
      <c r="L3" s="124" t="s">
        <v>1551</v>
      </c>
      <c r="M3" s="125">
        <v>155904.0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290926.0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253301.30000000002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4058.0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591.5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445</v>
      </c>
      <c r="G7" s="14"/>
      <c r="H7" s="14"/>
      <c r="I7" s="14"/>
      <c r="J7" s="133"/>
      <c r="K7" s="133"/>
      <c r="L7" s="134" t="s">
        <v>1556</v>
      </c>
      <c r="M7" s="135">
        <v>65152.0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1568</v>
      </c>
      <c r="J9" s="146">
        <v>11.799999999995634</v>
      </c>
      <c r="K9" s="12"/>
      <c r="L9" s="147" t="s">
        <v>23</v>
      </c>
      <c r="M9" s="125">
        <v>80313.5</v>
      </c>
      <c r="N9" s="121"/>
    </row>
    <row r="10" ht="18.75" customHeight="1">
      <c r="A10" s="148"/>
      <c r="B10" s="149" t="s">
        <v>1565</v>
      </c>
      <c r="C10" s="150">
        <v>20.0</v>
      </c>
      <c r="D10" s="150" t="s">
        <v>1577</v>
      </c>
      <c r="E10" s="151" t="s">
        <v>1578</v>
      </c>
      <c r="F10" s="149" t="s">
        <v>1579</v>
      </c>
      <c r="G10" s="150">
        <v>10.0</v>
      </c>
      <c r="H10" s="150" t="s">
        <v>1580</v>
      </c>
      <c r="I10" s="152">
        <v>70.0</v>
      </c>
      <c r="J10" s="37"/>
      <c r="K10" s="22"/>
      <c r="L10" s="147" t="s">
        <v>24</v>
      </c>
      <c r="M10" s="125">
        <v>2060.0</v>
      </c>
      <c r="N10" s="121"/>
    </row>
    <row r="11" ht="18.75" customHeight="1">
      <c r="A11" s="148"/>
      <c r="B11" s="149" t="s">
        <v>1490</v>
      </c>
      <c r="C11" s="150">
        <v>20.0</v>
      </c>
      <c r="D11" s="150" t="s">
        <v>1581</v>
      </c>
      <c r="E11" s="151" t="s">
        <v>49</v>
      </c>
      <c r="F11" s="149" t="s">
        <v>1582</v>
      </c>
      <c r="G11" s="150">
        <v>6.0</v>
      </c>
      <c r="H11" s="150" t="s">
        <v>1583</v>
      </c>
      <c r="I11" s="152">
        <v>29.0</v>
      </c>
      <c r="J11" s="37"/>
      <c r="K11" s="22"/>
      <c r="L11" s="153" t="s">
        <v>25</v>
      </c>
      <c r="M11" s="154">
        <v>141385.0</v>
      </c>
      <c r="N11" s="121"/>
    </row>
    <row r="12" ht="18.75" customHeight="1">
      <c r="A12" s="148"/>
      <c r="B12" s="149" t="s">
        <v>1584</v>
      </c>
      <c r="C12" s="150">
        <v>5.0</v>
      </c>
      <c r="D12" s="150" t="s">
        <v>1585</v>
      </c>
      <c r="E12" s="151" t="s">
        <v>50</v>
      </c>
      <c r="F12" s="149" t="s">
        <v>1586</v>
      </c>
      <c r="G12" s="150">
        <v>9.0</v>
      </c>
      <c r="H12" s="150" t="s">
        <v>1587</v>
      </c>
      <c r="I12" s="152">
        <v>93.0</v>
      </c>
      <c r="J12" s="37"/>
      <c r="K12" s="22"/>
      <c r="L12" s="155" t="s">
        <v>1564</v>
      </c>
      <c r="M12" s="20"/>
      <c r="N12" s="116"/>
    </row>
    <row r="13" ht="18.75" customHeight="1">
      <c r="A13" s="148"/>
      <c r="B13" s="149" t="s">
        <v>1582</v>
      </c>
      <c r="C13" s="150">
        <v>2.0</v>
      </c>
      <c r="D13" s="150" t="s">
        <v>1588</v>
      </c>
      <c r="E13" s="151" t="s">
        <v>50</v>
      </c>
      <c r="F13" s="149" t="s">
        <v>1531</v>
      </c>
      <c r="G13" s="150">
        <v>12.0</v>
      </c>
      <c r="H13" s="150" t="s">
        <v>1589</v>
      </c>
      <c r="I13" s="152">
        <v>56.0</v>
      </c>
      <c r="J13" s="37"/>
      <c r="K13" s="22"/>
      <c r="L13" s="147" t="s">
        <v>29</v>
      </c>
      <c r="M13" s="125">
        <v>4500.0</v>
      </c>
      <c r="N13" s="121"/>
    </row>
    <row r="14" ht="18.75" customHeight="1">
      <c r="A14" s="148"/>
      <c r="B14" s="149" t="s">
        <v>1566</v>
      </c>
      <c r="C14" s="150">
        <v>11.0</v>
      </c>
      <c r="D14" s="150" t="s">
        <v>1590</v>
      </c>
      <c r="E14" s="151" t="s">
        <v>1591</v>
      </c>
      <c r="F14" s="149" t="s">
        <v>1592</v>
      </c>
      <c r="G14" s="150">
        <v>3.0</v>
      </c>
      <c r="H14" s="150" t="s">
        <v>1593</v>
      </c>
      <c r="I14" s="152">
        <v>25.0</v>
      </c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 t="s">
        <v>1531</v>
      </c>
      <c r="C15" s="150">
        <v>1.0</v>
      </c>
      <c r="D15" s="150" t="s">
        <v>1594</v>
      </c>
      <c r="E15" s="151" t="s">
        <v>1591</v>
      </c>
      <c r="F15" s="149" t="s">
        <v>1595</v>
      </c>
      <c r="G15" s="150">
        <v>7.0</v>
      </c>
      <c r="H15" s="150" t="s">
        <v>1587</v>
      </c>
      <c r="I15" s="152">
        <v>81.0</v>
      </c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 t="s">
        <v>1596</v>
      </c>
      <c r="C16" s="150">
        <v>2.0</v>
      </c>
      <c r="D16" s="150" t="s">
        <v>1484</v>
      </c>
      <c r="E16" s="157"/>
      <c r="F16" s="149" t="s">
        <v>1571</v>
      </c>
      <c r="G16" s="150">
        <v>13.0</v>
      </c>
      <c r="H16" s="150" t="s">
        <v>1597</v>
      </c>
      <c r="I16" s="152">
        <v>74.0</v>
      </c>
      <c r="J16" s="37"/>
      <c r="K16" s="22"/>
      <c r="L16" s="156" t="s">
        <v>32</v>
      </c>
      <c r="M16" s="125">
        <v>10685.0</v>
      </c>
      <c r="N16" s="121"/>
    </row>
    <row r="17" ht="18.75" customHeight="1">
      <c r="A17" s="148"/>
      <c r="B17" s="149" t="s">
        <v>1598</v>
      </c>
      <c r="C17" s="150">
        <v>9.0</v>
      </c>
      <c r="D17" s="150" t="s">
        <v>1599</v>
      </c>
      <c r="E17" s="157"/>
      <c r="F17" s="149" t="s">
        <v>1600</v>
      </c>
      <c r="G17" s="150">
        <v>6.0</v>
      </c>
      <c r="H17" s="150" t="s">
        <v>1601</v>
      </c>
      <c r="I17" s="152">
        <v>71.0</v>
      </c>
      <c r="J17" s="19"/>
      <c r="K17" s="20"/>
      <c r="L17" s="158" t="s">
        <v>33</v>
      </c>
      <c r="M17" s="159">
        <v>21340.0</v>
      </c>
      <c r="N17" s="121"/>
    </row>
    <row r="18" ht="18.75" customHeight="1">
      <c r="A18" s="148"/>
      <c r="B18" s="149" t="s">
        <v>1479</v>
      </c>
      <c r="C18" s="150">
        <v>5.0</v>
      </c>
      <c r="D18" s="150" t="s">
        <v>1602</v>
      </c>
      <c r="E18" s="157"/>
      <c r="F18" s="149" t="s">
        <v>1598</v>
      </c>
      <c r="G18" s="150">
        <v>2.0</v>
      </c>
      <c r="H18" s="150" t="s">
        <v>1603</v>
      </c>
      <c r="I18" s="152">
        <v>7.0</v>
      </c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 t="s">
        <v>1604</v>
      </c>
      <c r="G19" s="150">
        <v>4.0</v>
      </c>
      <c r="H19" s="150" t="s">
        <v>1605</v>
      </c>
      <c r="I19" s="152">
        <v>51.0</v>
      </c>
      <c r="J19" s="162" t="s">
        <v>34</v>
      </c>
      <c r="K19" s="163" t="s">
        <v>35</v>
      </c>
      <c r="L19" s="164" t="s">
        <v>1567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8"/>
      <c r="L20" s="88"/>
      <c r="M20" s="89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14.0</v>
      </c>
      <c r="K21" s="169">
        <v>6527.0</v>
      </c>
      <c r="L21" s="170">
        <v>96.0</v>
      </c>
      <c r="M21" s="171" t="s">
        <v>1606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1570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8"/>
      <c r="L23" s="88"/>
      <c r="M23" s="89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54.0</v>
      </c>
      <c r="K24" s="170">
        <v>3021.0</v>
      </c>
      <c r="L24" s="170">
        <v>613.0</v>
      </c>
      <c r="M24" s="177">
        <v>25.0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4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8"/>
      <c r="M26" s="89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14.0</v>
      </c>
      <c r="K27" s="96"/>
      <c r="L27" s="182">
        <v>0.14820194940135503</v>
      </c>
      <c r="M27" s="183">
        <v>17.0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8"/>
      <c r="M29" s="89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0.8517980505986451</v>
      </c>
      <c r="M30" s="187">
        <v>0.02509814323607427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88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1608</v>
      </c>
      <c r="B4" s="193" t="s">
        <v>1609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IFERROR(__xludf.DUMMYFUNCTION("""COMPUTED_VALUE"""),"Zličín")</f>
        <v>Zličín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IFERROR(__xludf.DUMMYFUNCTION("""COMPUTED_VALUE"""),286.332)</f>
        <v>286.332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IFERROR(__xludf.DUMMYFUNCTION("""COMPUTED_VALUE"""),341.19)</f>
        <v>341.19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IFERROR(__xludf.DUMMYFUNCTION("""COMPUTED_VALUE"""),231.474)</f>
        <v>231.474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IFERROR(__xludf.DUMMYFUNCTION("""COMPUTED_VALUE"""),0.0)</f>
        <v>0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IFERROR(__xludf.DUMMYFUNCTION("""COMPUTED_VALUE"""),0.0)</f>
        <v>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IFERROR(__xludf.DUMMYFUNCTION("""COMPUTED_VALUE"""),0.0)</f>
        <v>0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1610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1611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1612</v>
      </c>
      <c r="C3" s="1" t="s">
        <v>1613</v>
      </c>
      <c r="D3" s="188"/>
      <c r="E3" s="188"/>
      <c r="F3" s="1" t="s">
        <v>1614</v>
      </c>
      <c r="G3" s="1" t="s">
        <v>1615</v>
      </c>
      <c r="H3" s="1" t="s">
        <v>1616</v>
      </c>
    </row>
    <row r="4">
      <c r="A4" s="1" t="s">
        <v>1565</v>
      </c>
      <c r="B4" s="1" t="s">
        <v>1613</v>
      </c>
      <c r="C4" s="188"/>
      <c r="D4" s="188"/>
      <c r="E4" s="1" t="s">
        <v>1613</v>
      </c>
      <c r="F4" s="1" t="s">
        <v>1615</v>
      </c>
      <c r="G4" s="1" t="s">
        <v>1612</v>
      </c>
      <c r="H4" s="1" t="s">
        <v>1612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1592</v>
      </c>
      <c r="B5" s="1" t="s">
        <v>1617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1618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1566</v>
      </c>
      <c r="B7" s="188"/>
      <c r="C7" s="1" t="s">
        <v>1612</v>
      </c>
      <c r="D7" s="1" t="s">
        <v>1612</v>
      </c>
      <c r="E7" s="1" t="s">
        <v>1612</v>
      </c>
      <c r="F7" s="188"/>
      <c r="G7" s="188"/>
      <c r="H7" s="1" t="s">
        <v>1616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1600</v>
      </c>
      <c r="B8" s="188"/>
      <c r="C8" s="1" t="s">
        <v>1617</v>
      </c>
      <c r="D8" s="188"/>
      <c r="E8" s="188"/>
      <c r="F8" s="1" t="s">
        <v>1619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1571</v>
      </c>
      <c r="B9" s="188"/>
      <c r="C9" s="1" t="s">
        <v>1620</v>
      </c>
      <c r="D9" s="1" t="s">
        <v>1621</v>
      </c>
      <c r="E9" s="1" t="s">
        <v>1620</v>
      </c>
      <c r="F9" s="188"/>
      <c r="G9" s="1" t="s">
        <v>1622</v>
      </c>
      <c r="H9" s="1" t="s">
        <v>1620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1613</v>
      </c>
      <c r="E10" s="188"/>
      <c r="F10" s="188"/>
      <c r="G10" s="1" t="s">
        <v>1615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1598</v>
      </c>
      <c r="B11" s="188"/>
      <c r="C11" s="188"/>
      <c r="D11" s="1" t="s">
        <v>1623</v>
      </c>
      <c r="E11" s="1" t="s">
        <v>1624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1586</v>
      </c>
      <c r="B12" s="188"/>
      <c r="D12" s="188"/>
      <c r="E12" s="188"/>
      <c r="F12" s="1" t="s">
        <v>1625</v>
      </c>
      <c r="G12" s="1" t="s">
        <v>1626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