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<sst xmlns="http://schemas.openxmlformats.org/spreadsheetml/2006/main" count="5528" uniqueCount="1624">
  <si>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</si>
  <si>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</si>
  <si>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</si>
  <si>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</si>
  <si>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</si>
  <si>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</si>
  <si>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</si>
  <si>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</si>
  <si>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</si>
  <si>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</si>
  <si>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</si>
  <si>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</si>
  <si>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</si>
  <si>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</si>
  <si>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</si>
  <si>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</si>
  <si>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</si>
  <si>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</si>
  <si>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</si>
  <si>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</si>
  <si>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</si>
  <si>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</si>
  <si>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</si>
  <si>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</si>
  <si>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</si>
  <si>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</si>
  <si>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</si>
  <si>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</si>
  <si>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</si>
  <si>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</si>
  <si>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</si>
  <si>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</si>
  <si>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</si>
  <si>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</si>
  <si>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</si>
  <si>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</si>
  <si>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</si>
  <si>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</si>
  <si>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</si>
  <si>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</si>
  <si>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</si>
  <si>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</si>
  <si>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</si>
  <si>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</si>
  <si>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</si>
  <si>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</si>
  <si>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</si>
  <si>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</si>
  <si>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</si>
  <si>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</si>
  <si>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</si>
  <si>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</si>
  <si>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</si>
  <si>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</si>
  <si>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</si>
  <si>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</si>
  <si>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</si>
  <si>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</si>
  <si>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</si>
  <si>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</si>
  <si>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</si>
  <si>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</si>
  <si>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</si>
  <si>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</si>
  <si>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</si>
  <si>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</si>
  <si>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</si>
  <si>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</si>
  <si>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</si>
  <si>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</si>
  <si>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</si>
  <si>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</si>
  <si>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</si>
  <si>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</si>
  <si>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</si>
  <si>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</si>
  <si>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</si>
  <si>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</si>
  <si>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</si>
  <si>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</si>
  <si>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</si>
  <si>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</si>
  <si>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</si>
  <si>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</si>
  <si>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</si>
  <si>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</si>
  <si>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</si>
  <si>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</si>
  <si>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</si>
  <si>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</si>
  <si>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</si>
  <si>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</si>
  <si>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</si>
  <si>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</si>
  <si>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</si>
  <si>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</si>
  <si>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</si>
  <si>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</si>
  <si>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</si>
  <si>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</si>
  <si>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</si>
  <si>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</si>
  <si>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</si>
  <si>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</si>
  <si>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</si>
  <si>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</si>
  <si>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</si>
  <si>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</si>
  <si>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</si>
  <si>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</si>
  <si>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</si>
  <si>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</si>
  <si>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</si>
  <si>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</si>
  <si>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</si>
  <si>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</si>
  <si>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</si>
  <si>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</si>
  <si>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</si>
  <si>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</si>
  <si>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</si>
  <si>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</si>
  <si>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</si>
  <si>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</si>
  <si>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</si>
  <si>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</si>
  <si>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</si>
  <si>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</si>
  <si>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</si>
  <si>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</si>
  <si>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</si>
  <si>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</si>
  <si>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</si>
  <si>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</si>
  <si>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</si>
  <si>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</si>
  <si>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</si>
  <si>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</si>
  <si>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</si>
  <si>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</si>
  <si>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</si>
  <si>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</si>
  <si>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</si>
  <si>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</si>
  <si>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</si>
  <si>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</si>
  <si>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</si>
  <si>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</si>
  <si>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</si>
  <si>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</si>
  <si>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</si>
  <si>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</si>
  <si>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</si>
  <si>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</si>
  <si>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</si>
  <si>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</si>
  <si>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</si>
  <si>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</si>
  <si>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</si>
  <si>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</si>
  <si>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</si>
  <si>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</si>
  <si>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</si>
  <si>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</si>
  <si>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</si>
  <si>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</si>
  <si>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</si>
  <si>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</si>
  <si>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</si>
  <si>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</si>
  <si>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</si>
  <si>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</si>
  <si>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</si>
  <si>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</si>
  <si>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</si>
  <si>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</si>
  <si>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</si>
  <si>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</si>
  <si>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</si>
  <si>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</si>
  <si>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</si>
  <si>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</si>
  <si>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</si>
  <si>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</si>
  <si>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</si>
  <si>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</si>
  <si>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</si>
  <si>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</si>
  <si>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</si>
  <si>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</si>
  <si>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</si>
  <si>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</si>
  <si>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</si>
  <si>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</si>
  <si>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</si>
  <si>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</si>
  <si>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</si>
  <si>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</si>
  <si>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</si>
  <si>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</si>
  <si>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</si>
  <si>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</si>
  <si>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</si>
  <si>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</si>
  <si>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</si>
  <si>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</si>
  <si>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</si>
  <si>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</si>
  <si>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</si>
  <si>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</si>
  <si>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</si>
  <si>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</si>
  <si>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</si>
  <si>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</si>
  <si>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</si>
  <si>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</si>
  <si>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</si>
  <si>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</si>
  <si>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</si>
  <si>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</si>
  <si>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</si>
  <si>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</si>
  <si>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</si>
  <si>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</si>
  <si>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</si>
  <si>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</si>
  <si>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</si>
  <si>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</si>
  <si>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</si>
  <si>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</si>
  <si>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</si>
  <si>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</si>
  <si>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</si>
  <si>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</si>
  <si>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</si>
  <si>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</si>
  <si>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</si>
  <si>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</si>
  <si>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</si>
  <si>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</si>
  <si>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</si>
  <si>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</si>
  <si>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</si>
  <si>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</si>
  <si>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</si>
  <si>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</si>
  <si>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</si>
  <si>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</si>
  <si>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</si>
  <si>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</si>
  <si>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</si>
  <si>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</si>
  <si>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</si>
  <si>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</si>
  <si>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</si>
  <si>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</si>
  <si>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</si>
  <si>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</si>
  <si>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</si>
  <si>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</si>
  <si>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</si>
  <si>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</si>
  <si>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</si>
  <si>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</si>
  <si>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</si>
  <si>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</si>
  <si>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</si>
  <si>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</si>
  <si>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</si>
  <si>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</si>
  <si>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</si>
  <si>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</si>
  <si>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</si>
  <si>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</si>
  <si>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</si>
  <si>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</si>
  <si>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</si>
  <si>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</si>
  <si>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</si>
  <si>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</si>
  <si>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</si>
  <si>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</si>
  <si>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</si>
  <si>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</si>
  <si>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</si>
  <si>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</si>
  <si>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</si>
  <si>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</si>
  <si>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</si>
  <si>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</si>
  <si>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</si>
  <si>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</si>
  <si>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</si>
  <si>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</si>
  <si>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</si>
  <si>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</si>
  <si>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</si>
  <si>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</si>
  <si>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</si>
  <si>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</si>
  <si>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</si>
  <si>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</si>
  <si>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</si>
  <si>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</si>
  <si>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</si>
  <si>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</si>
  <si>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</si>
  <si>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</si>
  <si>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</si>
  <si>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</si>
  <si>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</si>
  <si>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</si>
  <si>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</si>
  <si>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</si>
  <si>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</si>
  <si>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</si>
  <si>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</si>
  <si>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</si>
  <si>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</si>
  <si>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</si>
  <si>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</si>
  <si>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</si>
  <si>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</si>
  <si>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</si>
  <si>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</si>
  <si>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</si>
  <si>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</si>
  <si>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</si>
  <si>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</si>
  <si>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</si>
  <si>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</si>
  <si>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</si>
  <si>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</si>
  <si>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</si>
  <si>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</si>
  <si>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</si>
  <si>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</si>
  <si>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</si>
  <si>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</si>
  <si>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</si>
  <si>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</si>
  <si>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</si>
  <si>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</si>
  <si>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</si>
  <si>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</si>
  <si>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</si>
  <si>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</si>
  <si>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</si>
  <si>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</si>
  <si>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</si>
  <si>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</si>
  <si>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</si>
  <si>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</si>
  <si>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</si>
  <si>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</si>
  <si>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</si>
  <si>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</si>
  <si>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</si>
  <si>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</si>
  <si>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</si>
  <si>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</si>
  <si>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</si>
  <si>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</si>
  <si>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</si>
  <si>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</si>
  <si>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</si>
  <si>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</si>
  <si>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</si>
  <si>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</si>
  <si>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</si>
  <si>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</si>
  <si>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</si>
  <si>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</si>
  <si>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</si>
  <si>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</si>
  <si>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</si>
  <si>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</si>
  <si>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</si>
  <si>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</si>
  <si>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</si>
  <si>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</si>
  <si>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</si>
  <si>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</si>
  <si>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</si>
  <si>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</si>
  <si>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</si>
  <si>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</si>
  <si>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</si>
  <si>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</si>
  <si>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</si>
  <si>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</si>
  <si>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</si>
  <si>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</si>
  <si>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</si>
  <si>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</si>
  <si>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</si>
  <si>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</si>
  <si>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</si>
  <si>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</si>
  <si>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</si>
  <si>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</si>
  <si>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</si>
  <si>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</si>
  <si>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</si>
  <si>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</si>
  <si>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</si>
  <si>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</si>
  <si>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</si>
  <si>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</si>
  <si>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</si>
  <si>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</si>
  <si>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</si>
  <si>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</si>
  <si>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</si>
  <si>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</si>
  <si>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</si>
  <si>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</si>
  <si>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</si>
  <si>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</si>
  <si>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</si>
  <si>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</si>
  <si>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</si>
  <si>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</si>
  <si>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</si>
  <si>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</si>
  <si>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</si>
  <si>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</si>
  <si>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</si>
  <si>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</si>
  <si>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</si>
  <si>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</si>
  <si>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</si>
  <si>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</si>
  <si>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</si>
  <si>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</si>
  <si>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</si>
  <si>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</si>
  <si>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</si>
  <si>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</si>
  <si>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</si>
  <si>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</si>
  <si>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</si>
  <si>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</si>
  <si>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</si>
  <si>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</si>
  <si>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</si>
  <si>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</si>
  <si>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</si>
  <si>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</si>
  <si>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</si>
  <si>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</si>
  <si>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</si>
  <si>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</si>
  <si>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</si>
  <si>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</si>
  <si>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</si>
  <si>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</si>
  <si>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</si>
  <si>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</si>
  <si>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</si>
  <si>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</si>
  <si>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</si>
  <si>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</si>
  <si>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</si>
  <si>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</si>
  <si>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</si>
  <si>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</si>
  <si>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</si>
  <si>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</si>
  <si>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</si>
  <si>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</si>
  <si>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</si>
  <si>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</si>
  <si>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</si>
  <si>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</si>
  <si>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</si>
  <si>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</si>
  <si>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</si>
  <si>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</si>
  <si>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</si>
  <si>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</si>
  <si>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</si>
  <si>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</si>
  <si>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</si>
  <si>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</si>
  <si>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</si>
  <si>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</si>
  <si>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</si>
  <si>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</si>
  <si>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</si>
  <si>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</si>
  <si>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</si>
  <si>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</si>
  <si>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</si>
  <si>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</si>
  <si>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</si>
  <si>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</si>
  <si>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</si>
  <si>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</si>
  <si>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</si>
  <si>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</si>
  <si>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</si>
  <si>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</si>
  <si>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</si>
  <si>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</si>
  <si>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</si>
  <si>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</si>
  <si>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</si>
  <si>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</si>
  <si>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</si>
  <si>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</si>
  <si>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</si>
  <si>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</si>
  <si>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</si>
  <si>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</si>
  <si>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</si>
  <si>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</si>
  <si>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</si>
  <si>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</si>
  <si>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</si>
  <si>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</si>
  <si>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</si>
  <si>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</si>
  <si>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</si>
  <si>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</si>
  <si>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</si>
  <si>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</si>
  <si>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</si>
  <si>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</si>
  <si>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</si>
  <si>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</si>
  <si>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</si>
  <si>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</si>
  <si>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</si>
  <si>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</si>
  <si>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</si>
  <si>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</si>
  <si>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</si>
  <si>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</si>
  <si>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</si>
  <si>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</si>
  <si>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</si>
  <si>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</si>
  <si>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</si>
  <si>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</si>
  <si>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</si>
  <si>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</si>
  <si>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</si>
  <si>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</si>
  <si>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</si>
  <si>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</si>
  <si>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</si>
  <si>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</si>
  <si>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</si>
  <si>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</si>
  <si>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</si>
  <si>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</si>
  <si>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</si>
  <si>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</si>
  <si>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</si>
  <si>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</si>
  <si>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</si>
  <si>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</si>
  <si>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</si>
  <si>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</si>
  <si>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</si>
  <si>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</si>
  <si>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</si>
  <si>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</si>
  <si>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</si>
  <si>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</si>
  <si>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</si>
  <si>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</si>
  <si>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</si>
  <si>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</si>
  <si>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</si>
  <si>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</si>
  <si>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</si>
  <si>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</si>
  <si>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</si>
  <si>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</si>
  <si>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</si>
  <si>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</si>
  <si>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</si>
  <si>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</si>
  <si>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</si>
  <si>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</si>
  <si>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</si>
  <si>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</si>
  <si>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</si>
  <si>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</si>
  <si>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</si>
  <si>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</si>
  <si>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</si>
  <si>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</si>
  <si>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</si>
  <si>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</si>
  <si>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</si>
  <si>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</si>
  <si>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</si>
  <si>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</si>
  <si>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</si>
  <si>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</si>
  <si>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</si>
  <si>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</si>
  <si>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</si>
  <si>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</si>
  <si>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</si>
  <si>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</si>
  <si>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</si>
  <si>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</si>
  <si>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</si>
  <si>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</si>
  <si>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</si>
  <si>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</si>
  <si>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</si>
  <si>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</si>
  <si>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</si>
  <si>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</si>
  <si>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</si>
  <si>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</si>
  <si>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</si>
  <si>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</si>
  <si>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</si>
  <si>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</si>
  <si>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</si>
  <si>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</si>
  <si>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</si>
  <si>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</si>
  <si>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</si>
  <si>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</si>
  <si>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</si>
  <si>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</si>
  <si>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</si>
  <si>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</si>
  <si>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</si>
  <si>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</si>
  <si>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</si>
  <si>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</si>
  <si>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</si>
  <si>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</si>
  <si>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</si>
  <si>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</si>
  <si>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</si>
  <si>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</si>
  <si>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</si>
  <si>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</si>
  <si>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</si>
  <si>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</si>
  <si>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</si>
  <si>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</si>
  <si>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</si>
  <si>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</si>
  <si>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</si>
  <si>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</si>
  <si>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</si>
  <si>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</si>
  <si>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</si>
  <si>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</si>
  <si>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</si>
  <si>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</si>
  <si>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</si>
  <si>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</si>
  <si>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</si>
  <si>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</si>
  <si>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</si>
  <si>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</si>
  <si>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</si>
  <si>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</si>
  <si>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</si>
  <si>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</si>
  <si>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</si>
  <si>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</si>
  <si>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</si>
  <si>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</si>
  <si>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</si>
  <si>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</si>
  <si>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</si>
  <si>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</si>
  <si>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</si>
  <si>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</si>
  <si>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</si>
  <si>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</si>
  <si>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</si>
  <si>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</si>
  <si>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</si>
  <si>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</si>
  <si>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</si>
  <si>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</si>
  <si>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</si>
  <si>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</si>
  <si>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</si>
  <si>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</si>
  <si>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</si>
  <si>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</si>
  <si>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</si>
  <si>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</si>
  <si>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</si>
  <si>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</si>
  <si>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</si>
  <si>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</si>
  <si>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</si>
  <si>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</si>
  <si>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</si>
  <si>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</si>
  <si>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</si>
  <si>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</si>
  <si>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</si>
  <si>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</si>
  <si>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</si>
  <si>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</si>
  <si>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</si>
  <si>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</si>
  <si>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</si>
  <si>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</si>
  <si>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</si>
  <si>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</si>
  <si>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</si>
  <si>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</si>
  <si>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</si>
  <si>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</si>
  <si>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</si>
  <si>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</si>
  <si>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</si>
  <si>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</si>
  <si>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</si>
  <si>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</si>
  <si>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</si>
  <si>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</si>
  <si>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</si>
  <si>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</si>
  <si>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</si>
  <si>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</si>
  <si>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</si>
  <si>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</si>
  <si>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</si>
  <si>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</si>
  <si>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</si>
  <si>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</si>
  <si>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</si>
  <si>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</si>
  <si>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</si>
  <si>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</si>
  <si>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</si>
  <si>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</si>
  <si>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</si>
  <si>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</si>
  <si>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</si>
  <si>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</si>
  <si>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</si>
  <si>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</si>
  <si>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</si>
  <si>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</si>
  <si>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</si>
  <si>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</si>
  <si>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</si>
  <si>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</si>
  <si>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</si>
  <si>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</si>
  <si>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</si>
  <si>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</si>
  <si>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</si>
  <si>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</si>
  <si>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</si>
  <si>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</si>
  <si>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</si>
  <si>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</si>
  <si>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</si>
  <si>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</si>
  <si>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</si>
  <si>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</si>
  <si>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</si>
  <si>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</si>
  <si>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</si>
  <si>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</si>
  <si>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</si>
  <si>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</si>
  <si>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</si>
  <si>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</si>
  <si>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</si>
  <si>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</si>
  <si>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</si>
  <si>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</si>
  <si>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</si>
  <si>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</si>
  <si>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</si>
  <si>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</si>
  <si>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</si>
  <si>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</si>
  <si>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</si>
  <si>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</si>
  <si>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</si>
  <si>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</si>
  <si>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</si>
  <si>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</si>
  <si>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</si>
  <si>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</si>
  <si>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</si>
  <si>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</si>
  <si>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</si>
  <si>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</si>
  <si>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</si>
  <si>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</si>
  <si>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</si>
  <si>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</si>
  <si>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</si>
  <si>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</si>
  <si>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</si>
  <si>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</si>
  <si>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</si>
  <si>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</si>
  <si>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</si>
  <si>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</si>
  <si>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</si>
  <si>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</si>
  <si>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</si>
  <si>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</si>
  <si>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</si>
  <si>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</si>
  <si>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</si>
  <si>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</si>
  <si>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</si>
  <si>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</si>
  <si>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</si>
  <si>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</si>
  <si>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</si>
  <si>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</si>
  <si>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</si>
  <si>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</si>
  <si>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</si>
  <si>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</si>
  <si>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</si>
  <si>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</si>
  <si>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</si>
  <si>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</si>
  <si>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</si>
  <si>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</si>
  <si>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</si>
  <si>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</si>
  <si>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</si>
  <si>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</si>
  <si>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</si>
  <si>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</si>
  <si>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</si>
  <si>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</si>
  <si>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</si>
  <si>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</si>
  <si>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</si>
  <si>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</si>
  <si>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</si>
  <si>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</si>
  <si>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</si>
  <si>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</si>
  <si>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</si>
  <si>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</si>
  <si>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</si>
  <si>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</si>
  <si>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</si>
  <si>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</si>
  <si>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</si>
  <si>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</si>
  <si>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</si>
  <si>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</si>
  <si>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</si>
  <si>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</si>
  <si>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</si>
  <si>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</si>
  <si>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</si>
  <si>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</si>
  <si>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</si>
  <si>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</si>
  <si>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</si>
  <si>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</si>
  <si>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</si>
  <si>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</si>
  <si>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</si>
  <si>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</si>
  <si>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</si>
  <si>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</si>
  <si>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</si>
  <si>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</si>
  <si>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</si>
  <si>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</si>
  <si>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</si>
  <si>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</si>
  <si>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</si>
  <si>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</si>
  <si>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</si>
  <si>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</si>
  <si>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</si>
  <si>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</si>
  <si>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</si>
  <si>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</si>
  <si>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</si>
  <si>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</si>
  <si>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</si>
  <si>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</si>
  <si>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</si>
  <si>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</si>
  <si>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</si>
  <si>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</si>
  <si>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</si>
  <si>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</si>
  <si>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</si>
  <si>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</si>
  <si>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</si>
  <si>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</si>
  <si>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</si>
  <si>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</si>
  <si>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</si>
  <si>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</si>
  <si>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</si>
  <si>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</si>
  <si>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</si>
  <si>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</si>
  <si>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</si>
  <si>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</si>
  <si>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</si>
  <si>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</si>
  <si>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</si>
  <si>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</si>
  <si>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</si>
  <si>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</si>
  <si>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</si>
  <si>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</si>
  <si>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</si>
  <si>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</si>
  <si>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</si>
  <si>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</si>
  <si>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</si>
  <si>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</si>
  <si>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</si>
  <si>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</si>
  <si>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</si>
  <si>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</si>
  <si>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</si>
  <si>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</si>
  <si>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</si>
  <si>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</si>
  <si>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</si>
  <si>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</si>
  <si>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</si>
  <si>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</si>
  <si>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</si>
  <si>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</si>
  <si>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</si>
  <si>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</si>
  <si>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</si>
  <si>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</si>
  <si>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</si>
  <si>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</si>
  <si>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</si>
  <si>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</si>
  <si>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</si>
  <si>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</si>
  <si>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</si>
  <si>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</si>
  <si>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</si>
  <si>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</si>
  <si>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</si>
  <si>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</si>
  <si>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</si>
  <si>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</si>
  <si>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</si>
  <si>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</si>
  <si>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</si>
  <si>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</si>
  <si>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</si>
  <si>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</si>
  <si>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</si>
  <si>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</si>
  <si>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</si>
  <si>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</si>
  <si>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</si>
  <si>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</si>
  <si>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</si>
  <si>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</si>
  <si>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</si>
  <si>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</si>
  <si>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</si>
  <si>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</si>
  <si>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</si>
  <si>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</si>
  <si>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</si>
  <si>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</si>
  <si>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</si>
  <si>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</si>
  <si>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</si>
  <si>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</si>
  <si>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</si>
  <si>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</si>
  <si>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</si>
  <si>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</si>
  <si>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</si>
  <si>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</si>
  <si>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</si>
  <si>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</si>
  <si>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</si>
  <si>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</si>
  <si>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</si>
  <si>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</si>
  <si>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</si>
  <si>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</si>
  <si>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</si>
  <si>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</si>
  <si>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</si>
  <si>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</si>
  <si>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</si>
  <si>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</si>
  <si>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</si>
  <si>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</si>
  <si>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</si>
  <si>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</si>
  <si>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</si>
  <si>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</si>
  <si>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</si>
  <si>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</si>
  <si>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</si>
  <si>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</si>
  <si>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</si>
  <si>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</si>
  <si>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</si>
  <si>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</si>
  <si>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</si>
  <si>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</si>
  <si>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</si>
  <si>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</si>
  <si>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</si>
  <si>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</si>
  <si>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</si>
  <si>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</si>
  <si>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</si>
  <si>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</si>
  <si>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</si>
  <si>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</si>
  <si>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</si>
  <si>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</si>
  <si>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</si>
  <si>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</si>
  <si>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</si>
  <si>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</si>
  <si>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</si>
  <si>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</si>
  <si>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</si>
  <si>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</si>
  <si>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</si>
  <si>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</si>
  <si>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</si>
  <si>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</si>
  <si>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</si>
  <si>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</si>
  <si>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</si>
  <si>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</si>
  <si>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</si>
  <si>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</si>
  <si>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</si>
  <si>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</si>
  <si>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</si>
  <si>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</si>
  <si>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</si>
  <si>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</si>
  <si>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</si>
  <si>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</si>
  <si>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</si>
  <si>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</si>
  <si>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</si>
  <si>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</si>
  <si>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</si>
  <si>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</si>
  <si>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</si>
  <si>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</si>
  <si>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</si>
  <si>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</si>
  <si>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</si>
  <si>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</si>
  <si>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</si>
  <si>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</si>
  <si>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</si>
  <si>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</si>
  <si>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</si>
  <si>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</si>
  <si>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</si>
  <si>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</si>
  <si>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</si>
  <si>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</si>
  <si>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</si>
  <si>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</si>
  <si>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</si>
  <si>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</si>
  <si>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</si>
  <si>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</si>
  <si>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</si>
  <si>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</si>
  <si>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</si>
  <si>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</si>
  <si>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</si>
  <si>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</si>
  <si>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</si>
  <si>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</si>
  <si>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</si>
  <si>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</si>
  <si>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</si>
  <si>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</si>
  <si>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</si>
  <si>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</si>
  <si>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</si>
  <si>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</si>
  <si>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</si>
  <si>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</si>
  <si>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</si>
  <si>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</si>
  <si>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</si>
  <si>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</si>
  <si>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</si>
  <si>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</si>
  <si>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</si>
  <si>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</si>
  <si>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</si>
  <si>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</si>
  <si>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</si>
  <si>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</si>
  <si>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</si>
  <si>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</si>
  <si>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</si>
  <si>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</si>
  <si>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</si>
  <si>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</si>
  <si>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</si>
  <si>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</si>
  <si>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</si>
  <si>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</si>
  <si>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</si>
  <si>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</si>
  <si>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</si>
  <si>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</si>
  <si>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</si>
  <si>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</si>
  <si>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</si>
  <si>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</si>
  <si>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</si>
  <si>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</si>
  <si>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</si>
  <si>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</si>
  <si>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</si>
  <si>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</si>
  <si>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</si>
  <si>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</si>
  <si>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</si>
  <si>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</si>
  <si>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</si>
  <si>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</si>
  <si>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</si>
  <si>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</si>
  <si>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</si>
  <si>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</si>
  <si>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</si>
  <si>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</si>
  <si>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</si>
  <si>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</si>
  <si>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</si>
  <si>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</si>
  <si>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</si>
  <si>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</si>
  <si>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</si>
  <si>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</si>
  <si>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</si>
  <si>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</si>
  <si>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</si>
  <si>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</si>
  <si>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</si>
  <si>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</si>
  <si>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</si>
  <si>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</si>
  <si>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</si>
  <si>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</si>
  <si>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</si>
  <si>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</si>
  <si>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</si>
  <si>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</si>
  <si>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</si>
  <si>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</si>
  <si>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</si>
  <si>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</si>
  <si>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</si>
  <si>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</si>
  <si>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</si>
  <si>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</si>
  <si>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</si>
  <si>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</si>
  <si>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</si>
  <si>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</si>
  <si>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</si>
  <si>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</si>
  <si>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</si>
  <si>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</si>
  <si>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</si>
  <si>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</si>
  <si>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</si>
  <si>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</si>
  <si>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</si>
  <si>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</si>
  <si>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</si>
  <si>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</si>
  <si>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</si>
  <si>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</si>
  <si>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</si>
  <si>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</si>
  <si>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</si>
  <si>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</si>
  <si>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</si>
  <si>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</si>
  <si>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</si>
  <si>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</si>
  <si>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</si>
  <si>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</si>
  <si>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</si>
  <si>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</si>
  <si>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</si>
  <si>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</si>
  <si>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</si>
  <si>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</si>
  <si>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</si>
  <si>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</si>
  <si>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</si>
  <si>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</si>
  <si>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</si>
  <si>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</si>
  <si>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</si>
  <si>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</si>
  <si>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</si>
  <si>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</si>
  <si>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</si>
  <si>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</si>
  <si>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</si>
  <si>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</si>
  <si>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</si>
  <si>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</si>
  <si>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</si>
  <si>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</si>
  <si>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</si>
  <si>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</si>
  <si>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</si>
  <si>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</si>
  <si>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</si>
  <si>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</si>
  <si>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</si>
  <si>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</si>
  <si>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</si>
  <si>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</si>
  <si>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</si>
  <si>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</si>
  <si>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</si>
  <si>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</si>
  <si>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</si>
  <si>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</si>
  <si>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</si>
  <si>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</si>
  <si>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</si>
  <si>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</si>
  <si>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</si>
  <si>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</si>
  <si>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</si>
  <si>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</si>
  <si>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</si>
  <si>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</si>
  <si>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</si>
  <si>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</si>
  <si>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</si>
  <si>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</si>
  <si>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</si>
  <si>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</si>
  <si>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</si>
  <si>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</si>
  <si>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</si>
  <si>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</si>
  <si>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</si>
  <si>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</si>
  <si>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</si>
  <si>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</si>
  <si>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</si>
  <si>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</si>
  <si>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</si>
  <si>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</si>
  <si>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</si>
  <si>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</si>
  <si>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</si>
  <si>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</si>
  <si>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</si>
  <si>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</si>
  <si>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</si>
  <si>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</si>
  <si>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</si>
  <si>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</si>
  <si>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</si>
  <si>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</si>
  <si>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</si>
  <si>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</si>
  <si>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</si>
  <si>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</si>
  <si>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</si>
  <si>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</si>
  <si>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</si>
  <si>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</si>
  <si>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</si>
  <si>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</si>
  <si>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</si>
  <si>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</si>
  <si>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</si>
  <si>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</si>
  <si>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</si>
  <si>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</si>
  <si>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</si>
  <si>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</si>
  <si>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</si>
  <si>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</si>
  <si>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</si>
  <si>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</si>
  <si>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</si>
  <si>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</si>
  <si>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</si>
  <si>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</si>
  <si>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</si>
  <si>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</si>
  <si>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</si>
  <si>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</si>
  <si>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</si>
  <si>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</si>
  <si>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</si>
  <si>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</si>
  <si>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</si>
  <si>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</si>
  <si>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</si>
  <si>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</si>
  <si>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</si>
  <si>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</si>
  <si>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</si>
  <si>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</si>
  <si>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</si>
  <si>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</si>
  <si>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</si>
  <si>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</si>
  <si>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</si>
  <si>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</si>
  <si>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</si>
  <si>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</si>
  <si>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</si>
  <si>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</si>
  <si>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</si>
  <si>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</si>
  <si>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</si>
  <si>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</si>
  <si>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</si>
  <si>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</si>
  <si>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</si>
  <si>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</si>
  <si>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</si>
  <si>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</si>
  <si>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</si>
  <si>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</si>
  <si>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</si>
  <si>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</si>
  <si>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</si>
  <si>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</si>
  <si>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</si>
  <si>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</si>
  <si>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</si>
  <si>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</si>
  <si>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</si>
  <si>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</si>
  <si>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</si>
  <si>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</si>
  <si>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</si>
  <si>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</si>
  <si>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</si>
  <si>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</si>
  <si>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</si>
  <si>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</si>
  <si>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</si>
  <si>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</si>
  <si>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</si>
  <si>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</si>
  <si>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</si>
  <si>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</si>
  <si>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</si>
  <si>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</si>
  <si>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</si>
  <si>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</si>
  <si>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</si>
  <si>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</si>
  <si>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</si>
  <si>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</si>
  <si>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</si>
  <si>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</si>
  <si>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</si>
  <si>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</si>
  <si>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</si>
  <si>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</si>
  <si>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</si>
  <si>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</si>
  <si>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</si>
  <si>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</si>
  <si>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</si>
  <si>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</si>
  <si>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</si>
  <si>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</si>
  <si>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</si>
  <si>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</si>
  <si>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</si>
  <si>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</si>
  <si>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</si>
  <si>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</si>
  <si>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</si>
  <si>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</si>
  <si>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</si>
  <si>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</si>
  <si>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</si>
  <si>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</si>
  <si>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</si>
  <si>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</si>
  <si>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</si>
  <si>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</si>
  <si>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</si>
  <si>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</si>
  <si>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</si>
  <si>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</si>
  <si>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</si>
  <si>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</si>
  <si>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</si>
  <si>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</si>
  <si>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</si>
  <si>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</si>
  <si>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</si>
  <si>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</si>
  <si>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</si>
  <si>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</si>
  <si>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</si>
  <si>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</si>
  <si>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</si>
  <si>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</si>
  <si>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</si>
  <si>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</si>
  <si>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</si>
  <si>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</si>
  <si>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</si>
  <si>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</si>
  <si>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</si>
  <si>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</si>
  <si>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</si>
  <si>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</si>
  <si>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</si>
  <si>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</si>
  <si>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</si>
  <si>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</si>
  <si>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</si>
  <si>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</si>
  <si>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</si>
  <si>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</si>
  <si>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</si>
  <si>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</si>
  <si>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</si>
  <si>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</si>
  <si>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</si>
  <si>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</si>
  <si>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</si>
  <si>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</si>
  <si>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</si>
  <si>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</si>
  <si>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</si>
  <si>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</si>
  <si>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</si>
  <si>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</si>
  <si>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</si>
  <si>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</si>
  <si>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</si>
  <si>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</si>
  <si>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</si>
  <si>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</si>
  <si>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</si>
  <si>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</si>
  <si>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</si>
  <si>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</si>
  <si>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</si>
  <si>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</si>
  <si>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</si>
  <si>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</si>
  <si>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</si>
  <si>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</si>
  <si>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</si>
  <si>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</si>
  <si>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</si>
  <si>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</si>
  <si>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</si>
  <si>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</si>
  <si>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</si>
  <si>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</si>
  <si>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</si>
  <si>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</si>
  <si>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</si>
  <si>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</si>
  <si>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</si>
  <si>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</si>
  <si>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</si>
  <si>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</si>
  <si>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</si>
  <si>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</si>
  <si>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</si>
  <si>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</si>
  <si>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</si>
  <si>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</si>
  <si>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</si>
  <si>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</si>
  <si>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</si>
  <si>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</si>
  <si>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</si>
  <si>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</si>
  <si>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</si>
  <si>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</si>
  <si>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</si>
  <si>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</si>
  <si>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</si>
  <si>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</si>
  <si>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</si>
  <si>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</si>
  <si>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</si>
  <si>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</si>
  <si>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</si>
  <si>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</si>
  <si>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</si>
  <si>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</si>
  <si>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</si>
  <si>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</si>
  <si>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</si>
  <si>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</si>
  <si>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</si>
  <si>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</si>
  <si>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</si>
  <si>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</si>
  <si>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</si>
  <si>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</si>
  <si>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</si>
  <si>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</si>
  <si>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</si>
  <si>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</si>
  <si>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</si>
  <si>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</si>
  <si>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</si>
  <si>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</si>
  <si>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</si>
  <si>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</si>
  <si>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</si>
  <si>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</si>
  <si>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</si>
  <si>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</si>
  <si>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</si>
  <si>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</si>
  <si>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</si>
  <si>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</si>
  <si>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</si>
  <si>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</si>
  <si>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</si>
  <si>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</si>
  <si>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</si>
  <si>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</si>
  <si>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</si>
  <si>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Bubník Martin</t>
  </si>
  <si>
    <t>Výdaje</t>
  </si>
  <si>
    <t>Kubík Martin</t>
  </si>
  <si>
    <t>Coufal Jakub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</si>
  <si>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</si>
  <si>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</si>
  <si>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</si>
  <si>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</si>
  <si>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</si>
  <si>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</si>
  <si>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Serin David</t>
  </si>
  <si>
    <t>Vyber datum    &lt;----------&gt;</t>
  </si>
  <si>
    <t>Celkem hodin Instor</t>
  </si>
  <si>
    <t>Celkem hodin Kurýr</t>
  </si>
  <si>
    <t>Počet dní</t>
  </si>
  <si>
    <t>118:30</t>
  </si>
  <si>
    <t>29:00</t>
  </si>
  <si>
    <t>Cieslar Marek</t>
  </si>
  <si>
    <t>60:00</t>
  </si>
  <si>
    <t>110:00</t>
  </si>
  <si>
    <t>Berdar Vasyl</t>
  </si>
  <si>
    <t>47:30</t>
  </si>
  <si>
    <t>31:30</t>
  </si>
  <si>
    <t>5:00</t>
  </si>
  <si>
    <t>26:00</t>
  </si>
  <si>
    <t>Eszenyiová Patrícia</t>
  </si>
  <si>
    <t>45:00</t>
  </si>
  <si>
    <t>7:00</t>
  </si>
  <si>
    <t>Nedvěd Dominik</t>
  </si>
  <si>
    <t>24:00</t>
  </si>
  <si>
    <t>8:00</t>
  </si>
  <si>
    <t>Dušek Sam</t>
  </si>
  <si>
    <t>56:00</t>
  </si>
  <si>
    <t>Kopic Jakub</t>
  </si>
  <si>
    <t>51:30</t>
  </si>
  <si>
    <t>Pavel Břicháč</t>
  </si>
  <si>
    <t>37:00</t>
  </si>
  <si>
    <t>25:00</t>
  </si>
  <si>
    <t>12 min 42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</si>
  <si>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</si>
  <si>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</si>
  <si>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</si>
  <si>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</si>
  <si>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</si>
  <si>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</si>
  <si>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</si>
  <si>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17:00 - 3:00 (Instor)</t>
  </si>
  <si>
    <t>10:00 - 22:00 (Instor)</t>
  </si>
  <si>
    <t>17:00 - 22:00 (Instor)</t>
  </si>
  <si>
    <t>17:00 - 0:00 (Instor)</t>
  </si>
  <si>
    <t>13:00 - 20:00 (Kurýr)</t>
  </si>
  <si>
    <t>17:00 - 21:00 (Kurýr)</t>
  </si>
  <si>
    <t>19:00 - 23:00 (Instor)</t>
  </si>
  <si>
    <t>17:00 - 1:00 (Kurýr)</t>
  </si>
  <si>
    <t>11:00 - 1:00 (Kurýr)</t>
  </si>
  <si>
    <t>17:00 - 0:00 (Kurýr)</t>
  </si>
  <si>
    <t>11:00 - 17:00 (Kurýr)</t>
  </si>
  <si>
    <t>22:00 - 3:00 (Instor)</t>
  </si>
  <si>
    <t>18:00 - 0:00 (Kurýr)</t>
  </si>
  <si>
    <t>10:00 - 0:00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</si>
</sst>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4.0"/>
      <color rgb="FF000000"/>
      <name val="Arial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E6E6FA"/>
        <bgColor rgb="FFE6E6FA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9" fontId="18" numFmtId="0" xfId="0" applyAlignment="1" applyFont="1">
      <alignment readingOrder="0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16" fillId="13" fontId="2" numFmtId="0" xfId="0" applyAlignment="1" applyBorder="1" applyFill="1" applyFon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0" fillId="9" fontId="20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9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4" fontId="19" numFmtId="0" xfId="0" applyAlignment="1" applyBorder="1" applyFill="1" applyFont="1">
      <alignment horizontal="center" shrinkToFit="0" wrapText="1"/>
    </xf>
    <xf borderId="27" fillId="14" fontId="19" numFmtId="166" xfId="0" applyAlignment="1" applyBorder="1" applyFont="1" applyNumberFormat="1">
      <alignment horizontal="center" shrinkToFit="0" wrapText="1"/>
    </xf>
    <xf borderId="27" fillId="14" fontId="2" numFmtId="0" xfId="0" applyAlignment="1" applyBorder="1" applyFont="1">
      <alignment horizontal="center"/>
    </xf>
    <xf borderId="25" fillId="14" fontId="19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9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5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6" fontId="19" numFmtId="0" xfId="0" applyAlignment="1" applyBorder="1" applyFill="1" applyFont="1">
      <alignment horizontal="center" shrinkToFit="0" wrapText="1"/>
    </xf>
    <xf borderId="25" fillId="17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35" fillId="17" fontId="2" numFmtId="0" xfId="0" applyAlignment="1" applyBorder="1" applyFont="1">
      <alignment horizontal="center"/>
    </xf>
    <xf borderId="33" fillId="0" fontId="6" numFmtId="0" xfId="0" applyBorder="1" applyFont="1"/>
    <xf borderId="27" fillId="14" fontId="2" numFmtId="10" xfId="0" applyAlignment="1" applyBorder="1" applyFont="1" applyNumberFormat="1">
      <alignment horizontal="center"/>
    </xf>
    <xf borderId="25" fillId="14" fontId="2" numFmtId="0" xfId="0" applyAlignment="1" applyBorder="1" applyFont="1">
      <alignment horizontal="center"/>
    </xf>
    <xf borderId="0" fillId="18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9" fontId="14" numFmtId="0" xfId="0" applyAlignment="1" applyBorder="1" applyFill="1" applyFont="1">
      <alignment horizontal="center" readingOrder="0" vertical="center"/>
    </xf>
    <xf borderId="10" fillId="19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9" fontId="14" numFmtId="0" xfId="0" applyAlignment="1" applyBorder="1" applyFont="1">
      <alignment horizontal="center" vertical="center"/>
    </xf>
    <xf borderId="11" fillId="19" fontId="14" numFmtId="0" xfId="0" applyAlignment="1" applyBorder="1" applyFont="1">
      <alignment horizontal="center" vertical="center"/>
    </xf>
    <xf borderId="15" fillId="18" fontId="2" numFmtId="0" xfId="0" applyBorder="1" applyFont="1"/>
    <xf borderId="37" fillId="14" fontId="2" numFmtId="10" xfId="0" applyAlignment="1" applyBorder="1" applyFont="1" applyNumberFormat="1">
      <alignment horizontal="center"/>
    </xf>
    <xf borderId="38" fillId="14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20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5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5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5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5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shrinkToFit="0" vertical="center" wrapText="1"/>
    </xf>
    <xf borderId="42" fillId="10" fontId="19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4" fontId="19" numFmtId="0" xfId="0" applyAlignment="1" applyBorder="1" applyFont="1">
      <alignment horizontal="center" readingOrder="0" shrinkToFit="0" vertical="center" wrapText="1"/>
    </xf>
    <xf borderId="27" fillId="14" fontId="19" numFmtId="166" xfId="0" applyAlignment="1" applyBorder="1" applyFont="1" applyNumberFormat="1">
      <alignment horizontal="center" readingOrder="0" shrinkToFit="0" vertical="center" wrapText="1"/>
    </xf>
    <xf borderId="27" fillId="14" fontId="2" numFmtId="0" xfId="0" applyAlignment="1" applyBorder="1" applyFont="1">
      <alignment horizontal="center" readingOrder="0" vertical="center"/>
    </xf>
    <xf borderId="25" fillId="14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9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44" fillId="16" fontId="19" numFmtId="0" xfId="0" applyAlignment="1" applyBorder="1" applyFont="1">
      <alignment horizontal="center" readingOrder="0" shrinkToFit="0" vertical="center" wrapText="1"/>
    </xf>
    <xf borderId="25" fillId="21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47" fillId="21" fontId="2" numFmtId="0" xfId="0" applyAlignment="1" applyBorder="1" applyFont="1">
      <alignment horizontal="center" readingOrder="0" vertical="center"/>
    </xf>
    <xf borderId="27" fillId="14" fontId="2" numFmtId="10" xfId="0" applyAlignment="1" applyBorder="1" applyFont="1" applyNumberFormat="1">
      <alignment horizontal="center" readingOrder="0" vertical="center"/>
    </xf>
    <xf borderId="25" fillId="14" fontId="2" numFmtId="0" xfId="0" applyAlignment="1" applyBorder="1" applyFont="1">
      <alignment horizontal="center" readingOrder="0" vertical="center"/>
    </xf>
    <xf borderId="18" fillId="18" fontId="2" numFmtId="169" xfId="0" applyAlignment="1" applyBorder="1" applyFont="1" applyNumberFormat="1">
      <alignment horizontal="center" vertical="center"/>
    </xf>
    <xf borderId="29" fillId="10" fontId="19" numFmtId="169" xfId="0" applyAlignment="1" applyBorder="1" applyFont="1" applyNumberFormat="1">
      <alignment horizontal="center" shrinkToFit="0" vertical="center" wrapText="1"/>
    </xf>
    <xf borderId="37" fillId="14" fontId="2" numFmtId="10" xfId="0" applyAlignment="1" applyBorder="1" applyFont="1" applyNumberFormat="1">
      <alignment horizontal="center" readingOrder="0" vertical="center"/>
    </xf>
    <xf borderId="38" fillId="14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2" fontId="1" numFmtId="0" xfId="0" applyFill="1" applyFont="1"/>
    <xf borderId="0" fillId="0" fontId="2" numFmtId="166" xfId="0" applyAlignment="1" applyFont="1" applyNumberFormat="1">
      <alignment vertical="bottom"/>
    </xf>
    <xf borderId="0" fillId="17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3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46164.0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Pátek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2676</v>
      </c>
      <c r="B12" s="52" t="s">
        <v>1564</v>
      </c>
      <c r="C12" s="53" t="s">
        <v>45</v>
      </c>
      <c r="D12" s="53" t="s">
        <v>1497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10:00</v>
      </c>
      <c r="G12" s="37"/>
      <c r="I12" s="48"/>
      <c r="J12" s="37"/>
      <c r="K12" s="22"/>
      <c r="L12" s="56" t="s">
        <v>1565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0</v>
      </c>
      <c r="B13" s="52" t="s">
        <v>1490</v>
      </c>
      <c r="C13" s="53" t="s">
        <v>41</v>
      </c>
      <c r="D13" s="53" t="s">
        <v>42</v>
      </c>
      <c r="E13" s="54"/>
      <c r="F13" s="55" t="str">
        <f t="shared" si="1"/>
        <v>12:00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1251.03</v>
      </c>
      <c r="B14" s="60" t="s">
        <v>1566</v>
      </c>
      <c r="C14" s="53" t="s">
        <v>42</v>
      </c>
      <c r="D14" s="53" t="s">
        <v>1497</v>
      </c>
      <c r="E14" s="54"/>
      <c r="F14" s="55" t="str">
        <f t="shared" si="1"/>
        <v>05:00</v>
      </c>
      <c r="G14" s="61"/>
      <c r="I14" s="22"/>
      <c r="J14" s="37"/>
      <c r="K14" s="22"/>
      <c r="L14" s="62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3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2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2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64" t="s">
        <v>1567</v>
      </c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5" t="s">
        <v>33</v>
      </c>
      <c r="M17" s="66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7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8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9"/>
      <c r="B22" s="70"/>
      <c r="C22" s="29"/>
      <c r="D22" s="29"/>
      <c r="E22" s="29"/>
      <c r="F22" s="29"/>
      <c r="G22" s="29"/>
      <c r="H22" s="29"/>
      <c r="I22" s="20"/>
      <c r="J22" s="71" t="s">
        <v>34</v>
      </c>
      <c r="K22" s="71" t="s">
        <v>35</v>
      </c>
      <c r="L22" s="72" t="s">
        <v>1568</v>
      </c>
      <c r="M22" s="73" t="s">
        <v>37</v>
      </c>
    </row>
    <row r="23">
      <c r="A23" s="69"/>
      <c r="B23" s="40" t="s">
        <v>78</v>
      </c>
      <c r="I23" s="22"/>
      <c r="J23" s="74">
        <f>COUNTIF(RestiaCSV!B:B, "canceled")</f>
        <v>0</v>
      </c>
      <c r="K23" s="75">
        <f>SUMIF(RestiaCSV!B:B, "canceled", RestiaCSV!C:C)</f>
        <v>0</v>
      </c>
      <c r="L23" s="76">
        <f>COUNTIFS(RestiaCSV!L:L, "&gt;5", RestiaCSV!F:F, "delivery")</f>
        <v>0</v>
      </c>
      <c r="M23" s="77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8"/>
      <c r="B24" s="44" t="s">
        <v>1559</v>
      </c>
      <c r="C24" s="45" t="s">
        <v>1560</v>
      </c>
      <c r="D24" s="45" t="s">
        <v>1561</v>
      </c>
      <c r="E24" s="45" t="s">
        <v>1562</v>
      </c>
      <c r="F24" s="79" t="s">
        <v>1563</v>
      </c>
      <c r="G24" s="79" t="s">
        <v>1569</v>
      </c>
      <c r="H24" s="79" t="s">
        <v>1570</v>
      </c>
      <c r="I24" s="46" t="s">
        <v>13</v>
      </c>
      <c r="J24" s="80" t="s">
        <v>1571</v>
      </c>
      <c r="K24" s="81" t="s">
        <v>1470</v>
      </c>
      <c r="L24" s="82" t="s">
        <v>1471</v>
      </c>
      <c r="M24" s="83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680</v>
      </c>
      <c r="B25" s="52" t="s">
        <v>1531</v>
      </c>
      <c r="C25" s="84" t="s">
        <v>45</v>
      </c>
      <c r="D25" s="84" t="s">
        <v>1480</v>
      </c>
      <c r="E25" s="84"/>
      <c r="F25" s="85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04:00</v>
      </c>
      <c r="G25" s="86">
        <f>COUNTIF(RestiaCSV!E:E, B25)</f>
        <v>0</v>
      </c>
      <c r="H25" s="87" t="b">
        <v>1</v>
      </c>
      <c r="I25" s="88">
        <f t="shared" ref="I25:I31" si="4">IF(H25,G25*45, 0)</f>
        <v>0</v>
      </c>
      <c r="J25" s="59"/>
      <c r="K25" s="89"/>
      <c r="L25" s="89"/>
      <c r="M25" s="90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64" t="s">
        <v>1567</v>
      </c>
      <c r="C26" s="84"/>
      <c r="D26" s="84"/>
      <c r="E26" s="84"/>
      <c r="F26" s="85" t="str">
        <f t="shared" si="3"/>
        <v>0:00</v>
      </c>
      <c r="G26" s="86">
        <f>COUNTIF(RestiaCSV!E:E, B26)</f>
        <v>0</v>
      </c>
      <c r="H26" s="87" t="b">
        <v>0</v>
      </c>
      <c r="I26" s="88">
        <f t="shared" si="4"/>
        <v>0</v>
      </c>
      <c r="J26" s="91">
        <f>COUNTIF(I25:I31, "&gt;0")</f>
        <v>0</v>
      </c>
      <c r="K26" s="76">
        <f>IFERROR(__xludf.DUMMYFUNCTION("COUNTA(FILTER(RestiaCSV!B2:B32, RestiaCSV!B2:B32 &lt;&gt; ""canceled""))"),0.0)</f>
        <v>0</v>
      </c>
      <c r="L26" s="76">
        <f>COUNTIF(RestiaCSV!F1:F32, "delivery")</f>
        <v>0</v>
      </c>
      <c r="M26" s="92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900</v>
      </c>
      <c r="B27" s="60" t="s">
        <v>1572</v>
      </c>
      <c r="C27" s="93" t="s">
        <v>63</v>
      </c>
      <c r="D27" s="93" t="s">
        <v>45</v>
      </c>
      <c r="E27" s="84"/>
      <c r="F27" s="85" t="str">
        <f t="shared" si="3"/>
        <v>06:00</v>
      </c>
      <c r="G27" s="86">
        <f>COUNTIF(RestiaCSV!E:E, B27)</f>
        <v>0</v>
      </c>
      <c r="H27" s="87" t="b">
        <v>0</v>
      </c>
      <c r="I27" s="88">
        <f t="shared" si="4"/>
        <v>0</v>
      </c>
      <c r="J27" s="94" t="s">
        <v>1573</v>
      </c>
      <c r="K27" s="95"/>
      <c r="L27" s="82" t="s">
        <v>1474</v>
      </c>
      <c r="M27" s="83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1751.442</v>
      </c>
      <c r="B28" s="60" t="s">
        <v>1574</v>
      </c>
      <c r="C28" s="84" t="s">
        <v>45</v>
      </c>
      <c r="D28" s="84" t="s">
        <v>68</v>
      </c>
      <c r="E28" s="84"/>
      <c r="F28" s="85" t="str">
        <f t="shared" si="3"/>
        <v>07:00</v>
      </c>
      <c r="G28" s="86">
        <f>COUNTIF(RestiaCSV!E:E, B28)</f>
        <v>0</v>
      </c>
      <c r="H28" s="87" t="b">
        <v>0</v>
      </c>
      <c r="I28" s="88">
        <f t="shared" si="4"/>
        <v>0</v>
      </c>
      <c r="J28" s="58"/>
      <c r="K28" s="59"/>
      <c r="L28" s="89"/>
      <c r="M28" s="90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4"/>
      <c r="D29" s="84"/>
      <c r="E29" s="84"/>
      <c r="F29" s="85" t="str">
        <f t="shared" si="3"/>
        <v>0:00</v>
      </c>
      <c r="G29" s="86">
        <f>COUNTIF(RestiaCSV!E:E, B29)</f>
        <v>0</v>
      </c>
      <c r="H29" s="87" t="b">
        <v>0</v>
      </c>
      <c r="I29" s="88">
        <f t="shared" si="4"/>
        <v>0</v>
      </c>
      <c r="J29" s="96">
        <f>COUNTIFS(RestiaCSV!M:M, "&gt;5", RestiaCSV!L:L, "&gt;5")</f>
        <v>0</v>
      </c>
      <c r="K29" s="97"/>
      <c r="L29" s="98" t="str">
        <f>L23/L26</f>
        <v>#DIV/0!</v>
      </c>
      <c r="M29" s="99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4"/>
      <c r="D30" s="84"/>
      <c r="E30" s="84"/>
      <c r="F30" s="85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1" t="s">
        <v>1476</v>
      </c>
      <c r="M30" s="83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4"/>
      <c r="D31" s="84"/>
      <c r="E31" s="84"/>
      <c r="F31" s="85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90"/>
    </row>
    <row r="32">
      <c r="A32" s="101"/>
      <c r="B32" s="102" t="s">
        <v>90</v>
      </c>
      <c r="C32" s="103" t="s">
        <v>14</v>
      </c>
      <c r="D32" s="29"/>
      <c r="E32" s="29"/>
      <c r="F32" s="104"/>
      <c r="G32" s="105">
        <f>COUNTIFS(RestiaCSV!E:E, "wolt kurýr", RestiaCSV!A:A, "&lt;&gt;wolt")</f>
        <v>0</v>
      </c>
      <c r="H32" s="106" t="b">
        <v>1</v>
      </c>
      <c r="I32" s="107">
        <f>G32*127</f>
        <v>0</v>
      </c>
      <c r="J32" s="108"/>
      <c r="K32" s="108"/>
      <c r="L32" s="109" t="str">
        <f>100%-L29</f>
        <v>#DIV/0!</v>
      </c>
      <c r="M32" s="110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"Bubník Martin,Hegedüs Erik,Kubík Martin,Coufal Jakub"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David,Pavel Břicháč"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Libuš</v>
      </c>
      <c r="C1" s="113">
        <v>46143.0</v>
      </c>
      <c r="D1" s="114" t="s">
        <v>1575</v>
      </c>
      <c r="E1" s="115">
        <v>46162.0</v>
      </c>
      <c r="F1" s="116" t="s">
        <v>28</v>
      </c>
      <c r="G1" s="14"/>
      <c r="H1" s="15"/>
      <c r="I1" s="116" t="s">
        <v>26</v>
      </c>
      <c r="J1" s="14"/>
      <c r="K1" s="15"/>
      <c r="L1" s="117" t="s">
        <v>1549</v>
      </c>
      <c r="M1" s="22"/>
      <c r="N1" s="117"/>
    </row>
    <row r="2" ht="19.5" customHeight="1">
      <c r="A2" s="111"/>
      <c r="B2" s="18"/>
      <c r="C2" s="19"/>
      <c r="D2" s="18"/>
      <c r="E2" s="20"/>
      <c r="F2" s="118">
        <v>0.2844198426236696</v>
      </c>
      <c r="H2" s="22"/>
      <c r="I2" s="119">
        <v>864672.0499999999</v>
      </c>
      <c r="K2" s="22"/>
      <c r="L2" s="120" t="s">
        <v>1550</v>
      </c>
      <c r="M2" s="121">
        <v>209078.90000000002</v>
      </c>
      <c r="N2" s="122"/>
    </row>
    <row r="3">
      <c r="A3" s="123"/>
      <c r="B3" s="124" t="str">
        <f>CHOOSE(WEEKDAY(C1), "Neděle", "Pondělí", "Úterý", "Středa", "Čtvrtek", "Pátek", "Sobota")</f>
        <v>Pátek</v>
      </c>
      <c r="C3" s="28"/>
      <c r="D3" s="124" t="str">
        <f>CHOOSE(WEEKDAY(E1), "Neděle", "Pondělí", "Úterý", "Středa", "Čtvrtek", "Pátek", "Sobota")</f>
        <v>Středa</v>
      </c>
      <c r="E3" s="12"/>
      <c r="H3" s="22"/>
      <c r="K3" s="22"/>
      <c r="L3" s="125" t="s">
        <v>1551</v>
      </c>
      <c r="M3" s="126">
        <v>104454.0</v>
      </c>
      <c r="N3" s="122"/>
    </row>
    <row r="4">
      <c r="A4" s="123"/>
      <c r="B4" s="19"/>
      <c r="C4" s="29"/>
      <c r="D4" s="19"/>
      <c r="E4" s="20"/>
      <c r="F4" s="29"/>
      <c r="G4" s="29"/>
      <c r="H4" s="20"/>
      <c r="I4" s="29"/>
      <c r="J4" s="29"/>
      <c r="K4" s="20"/>
      <c r="L4" s="125" t="s">
        <v>1552</v>
      </c>
      <c r="M4" s="126">
        <v>185339.0</v>
      </c>
      <c r="N4" s="122"/>
    </row>
    <row r="5">
      <c r="A5" s="127"/>
      <c r="B5" s="128" t="s">
        <v>1576</v>
      </c>
      <c r="C5" s="28"/>
      <c r="D5" s="28"/>
      <c r="E5" s="12"/>
      <c r="F5" s="129" t="s">
        <v>1577</v>
      </c>
      <c r="G5" s="28"/>
      <c r="H5" s="28"/>
      <c r="I5" s="28"/>
      <c r="J5" s="28"/>
      <c r="K5" s="12"/>
      <c r="L5" s="130" t="s">
        <v>1554</v>
      </c>
      <c r="M5" s="126">
        <v>172304.0</v>
      </c>
      <c r="N5" s="122"/>
    </row>
    <row r="6">
      <c r="A6" s="127"/>
      <c r="B6" s="19"/>
      <c r="C6" s="29"/>
      <c r="D6" s="29"/>
      <c r="E6" s="20"/>
      <c r="F6" s="29"/>
      <c r="G6" s="29"/>
      <c r="H6" s="29"/>
      <c r="I6" s="29"/>
      <c r="J6" s="29"/>
      <c r="K6" s="20"/>
      <c r="L6" s="130" t="s">
        <v>1555</v>
      </c>
      <c r="M6" s="126">
        <v>2654.0</v>
      </c>
      <c r="N6" s="122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391</v>
      </c>
      <c r="C7" s="29"/>
      <c r="D7" s="29"/>
      <c r="E7" s="20"/>
      <c r="F7" s="133">
        <f>TEXT(SUMPRODUCT((IFERROR(LEFT(H10:H30, FIND(":", H10:H30) - 1) * 60, 0) + IFERROR(MID(H10:H30, FIND(":", H10:H30) + 1, LEN(H10:H30) - FIND(":", H10:H30)), 0))), "[h]:mm")/60</f>
        <v>308</v>
      </c>
      <c r="G7" s="14"/>
      <c r="H7" s="14"/>
      <c r="I7" s="14"/>
      <c r="J7" s="134"/>
      <c r="K7" s="134"/>
      <c r="L7" s="135" t="s">
        <v>1556</v>
      </c>
      <c r="M7" s="136">
        <v>45500.0</v>
      </c>
      <c r="N7" s="122"/>
    </row>
    <row r="8">
      <c r="A8" s="137"/>
      <c r="B8" s="138" t="s">
        <v>1557</v>
      </c>
      <c r="C8" s="14"/>
      <c r="D8" s="14"/>
      <c r="E8" s="15"/>
      <c r="F8" s="139" t="s">
        <v>78</v>
      </c>
      <c r="G8" s="14"/>
      <c r="H8" s="14"/>
      <c r="I8" s="15"/>
      <c r="J8" s="140" t="s">
        <v>1558</v>
      </c>
      <c r="K8" s="12"/>
      <c r="L8" s="141" t="s">
        <v>25</v>
      </c>
      <c r="M8" s="15"/>
      <c r="N8" s="117"/>
    </row>
    <row r="9">
      <c r="A9" s="142"/>
      <c r="B9" s="143" t="s">
        <v>1559</v>
      </c>
      <c r="C9" s="144" t="s">
        <v>1578</v>
      </c>
      <c r="D9" s="144" t="s">
        <v>1563</v>
      </c>
      <c r="E9" s="145"/>
      <c r="F9" s="143" t="s">
        <v>1559</v>
      </c>
      <c r="G9" s="144" t="s">
        <v>1578</v>
      </c>
      <c r="H9" s="144" t="s">
        <v>1563</v>
      </c>
      <c r="I9" s="146" t="s">
        <v>1569</v>
      </c>
      <c r="J9" s="147">
        <v>1.3499999999985448</v>
      </c>
      <c r="K9" s="12"/>
      <c r="L9" s="148" t="s">
        <v>23</v>
      </c>
      <c r="M9" s="126">
        <v>59724.5</v>
      </c>
      <c r="N9" s="122"/>
    </row>
    <row r="10" ht="18.75" customHeight="1">
      <c r="A10" s="149"/>
      <c r="B10" s="150" t="s">
        <v>1564</v>
      </c>
      <c r="C10" s="151">
        <v>13.0</v>
      </c>
      <c r="D10" s="151" t="s">
        <v>1579</v>
      </c>
      <c r="E10" s="152" t="s">
        <v>1580</v>
      </c>
      <c r="F10" s="150" t="s">
        <v>1581</v>
      </c>
      <c r="G10" s="151">
        <v>10.0</v>
      </c>
      <c r="H10" s="151" t="s">
        <v>1582</v>
      </c>
      <c r="I10" s="153">
        <v>70.0</v>
      </c>
      <c r="J10" s="37"/>
      <c r="K10" s="22"/>
      <c r="L10" s="148" t="s">
        <v>24</v>
      </c>
      <c r="M10" s="126">
        <v>1880.0</v>
      </c>
      <c r="N10" s="122"/>
    </row>
    <row r="11" ht="18.75" customHeight="1">
      <c r="A11" s="149"/>
      <c r="B11" s="150" t="s">
        <v>1490</v>
      </c>
      <c r="C11" s="151">
        <v>14.0</v>
      </c>
      <c r="D11" s="151" t="s">
        <v>1583</v>
      </c>
      <c r="E11" s="152" t="s">
        <v>49</v>
      </c>
      <c r="F11" s="150" t="s">
        <v>1566</v>
      </c>
      <c r="G11" s="151">
        <v>3.0</v>
      </c>
      <c r="H11" s="151" t="s">
        <v>1480</v>
      </c>
      <c r="I11" s="153">
        <v>19.0</v>
      </c>
      <c r="J11" s="37"/>
      <c r="K11" s="22"/>
      <c r="L11" s="154" t="s">
        <v>25</v>
      </c>
      <c r="M11" s="155">
        <v>104094.0</v>
      </c>
      <c r="N11" s="122"/>
    </row>
    <row r="12" ht="18.75" customHeight="1">
      <c r="A12" s="149"/>
      <c r="B12" s="150" t="s">
        <v>1584</v>
      </c>
      <c r="C12" s="151">
        <v>3.0</v>
      </c>
      <c r="D12" s="151" t="s">
        <v>1585</v>
      </c>
      <c r="E12" s="152" t="s">
        <v>50</v>
      </c>
      <c r="F12" s="150" t="s">
        <v>1574</v>
      </c>
      <c r="G12" s="151">
        <v>5.0</v>
      </c>
      <c r="H12" s="151" t="s">
        <v>1586</v>
      </c>
      <c r="I12" s="153">
        <v>44.0</v>
      </c>
      <c r="J12" s="37"/>
      <c r="K12" s="22"/>
      <c r="L12" s="156" t="s">
        <v>1565</v>
      </c>
      <c r="M12" s="20"/>
      <c r="N12" s="117"/>
    </row>
    <row r="13" ht="18.75" customHeight="1">
      <c r="A13" s="149"/>
      <c r="B13" s="150" t="s">
        <v>1566</v>
      </c>
      <c r="C13" s="151">
        <v>1.0</v>
      </c>
      <c r="D13" s="151" t="s">
        <v>1587</v>
      </c>
      <c r="E13" s="152" t="s">
        <v>50</v>
      </c>
      <c r="F13" s="150" t="s">
        <v>1531</v>
      </c>
      <c r="G13" s="151">
        <v>8.0</v>
      </c>
      <c r="H13" s="151" t="s">
        <v>1588</v>
      </c>
      <c r="I13" s="153">
        <v>40.0</v>
      </c>
      <c r="J13" s="37"/>
      <c r="K13" s="22"/>
      <c r="L13" s="148" t="s">
        <v>29</v>
      </c>
      <c r="M13" s="126">
        <v>2500.0</v>
      </c>
      <c r="N13" s="122"/>
    </row>
    <row r="14" ht="18.75" customHeight="1">
      <c r="A14" s="149"/>
      <c r="B14" s="150" t="s">
        <v>1589</v>
      </c>
      <c r="C14" s="151">
        <v>7.0</v>
      </c>
      <c r="D14" s="151" t="s">
        <v>1590</v>
      </c>
      <c r="E14" s="152" t="s">
        <v>1591</v>
      </c>
      <c r="F14" s="150" t="s">
        <v>1592</v>
      </c>
      <c r="G14" s="151">
        <v>2.0</v>
      </c>
      <c r="H14" s="151" t="s">
        <v>1593</v>
      </c>
      <c r="I14" s="153">
        <v>19.0</v>
      </c>
      <c r="J14" s="37"/>
      <c r="K14" s="22"/>
      <c r="L14" s="157" t="s">
        <v>30</v>
      </c>
      <c r="M14" s="126">
        <v>0.0</v>
      </c>
      <c r="N14" s="122"/>
    </row>
    <row r="15" ht="18.75" customHeight="1">
      <c r="A15" s="149"/>
      <c r="B15" s="150" t="s">
        <v>1531</v>
      </c>
      <c r="C15" s="151">
        <v>1.0</v>
      </c>
      <c r="D15" s="151" t="s">
        <v>1594</v>
      </c>
      <c r="E15" s="152" t="s">
        <v>1591</v>
      </c>
      <c r="F15" s="150" t="s">
        <v>1595</v>
      </c>
      <c r="G15" s="151">
        <v>6.0</v>
      </c>
      <c r="H15" s="151" t="s">
        <v>1596</v>
      </c>
      <c r="I15" s="153">
        <v>78.0</v>
      </c>
      <c r="J15" s="37"/>
      <c r="K15" s="22"/>
      <c r="L15" s="157" t="s">
        <v>31</v>
      </c>
      <c r="M15" s="126">
        <v>0.0</v>
      </c>
      <c r="N15" s="122"/>
    </row>
    <row r="16" ht="18.75" customHeight="1">
      <c r="A16" s="149"/>
      <c r="B16" s="150" t="s">
        <v>1597</v>
      </c>
      <c r="C16" s="151">
        <v>2.0</v>
      </c>
      <c r="D16" s="151" t="s">
        <v>1484</v>
      </c>
      <c r="E16" s="158"/>
      <c r="F16" s="150" t="s">
        <v>1572</v>
      </c>
      <c r="G16" s="151">
        <v>8.0</v>
      </c>
      <c r="H16" s="151" t="s">
        <v>1598</v>
      </c>
      <c r="I16" s="153">
        <v>50.0</v>
      </c>
      <c r="J16" s="37"/>
      <c r="K16" s="22"/>
      <c r="L16" s="157" t="s">
        <v>32</v>
      </c>
      <c r="M16" s="126">
        <v>9685.0</v>
      </c>
      <c r="N16" s="122"/>
    </row>
    <row r="17" ht="18.75" customHeight="1">
      <c r="A17" s="149"/>
      <c r="B17" s="150" t="s">
        <v>1567</v>
      </c>
      <c r="C17" s="151">
        <v>5.0</v>
      </c>
      <c r="D17" s="151" t="s">
        <v>70</v>
      </c>
      <c r="E17" s="158"/>
      <c r="F17" s="150" t="s">
        <v>1599</v>
      </c>
      <c r="G17" s="151">
        <v>4.0</v>
      </c>
      <c r="H17" s="151" t="s">
        <v>1600</v>
      </c>
      <c r="I17" s="153">
        <v>41.0</v>
      </c>
      <c r="J17" s="19"/>
      <c r="K17" s="20"/>
      <c r="L17" s="159" t="s">
        <v>33</v>
      </c>
      <c r="M17" s="160">
        <v>12960.0</v>
      </c>
      <c r="N17" s="122"/>
    </row>
    <row r="18" ht="18.75" customHeight="1">
      <c r="A18" s="149"/>
      <c r="B18" s="150" t="s">
        <v>1479</v>
      </c>
      <c r="C18" s="151">
        <v>3.0</v>
      </c>
      <c r="D18" s="151" t="s">
        <v>1601</v>
      </c>
      <c r="E18" s="158"/>
      <c r="F18" s="150" t="s">
        <v>1567</v>
      </c>
      <c r="G18" s="151">
        <v>1.0</v>
      </c>
      <c r="H18" s="151" t="s">
        <v>46</v>
      </c>
      <c r="I18" s="153">
        <v>6.0</v>
      </c>
      <c r="J18" s="161"/>
      <c r="K18" s="14"/>
      <c r="L18" s="14"/>
      <c r="M18" s="15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1568</v>
      </c>
      <c r="M19" s="166" t="s">
        <v>37</v>
      </c>
      <c r="N19" s="167"/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8"/>
      <c r="K20" s="89"/>
      <c r="L20" s="89"/>
      <c r="M20" s="90"/>
      <c r="N20" s="167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10.0</v>
      </c>
      <c r="K21" s="170">
        <v>5426.0</v>
      </c>
      <c r="L21" s="171">
        <v>77.0</v>
      </c>
      <c r="M21" s="172" t="s">
        <v>1602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1571</v>
      </c>
      <c r="K22" s="174" t="s">
        <v>1470</v>
      </c>
      <c r="L22" s="175" t="s">
        <v>1471</v>
      </c>
      <c r="M22" s="176" t="s">
        <v>1472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8"/>
      <c r="K23" s="89"/>
      <c r="L23" s="89"/>
      <c r="M23" s="90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7">
        <v>31.0</v>
      </c>
      <c r="K24" s="171">
        <v>2017.0</v>
      </c>
      <c r="L24" s="171">
        <v>413.0</v>
      </c>
      <c r="M24" s="178">
        <v>19.0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9" t="s">
        <v>1573</v>
      </c>
      <c r="K25" s="95"/>
      <c r="L25" s="180" t="s">
        <v>1474</v>
      </c>
      <c r="M25" s="181" t="s">
        <v>1475</v>
      </c>
      <c r="N25" s="162"/>
    </row>
    <row r="26" ht="21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57"/>
      <c r="K26" s="59"/>
      <c r="L26" s="89"/>
      <c r="M26" s="90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2">
        <v>10.0</v>
      </c>
      <c r="K27" s="97"/>
      <c r="L27" s="183">
        <v>0.1737967031016333</v>
      </c>
      <c r="M27" s="184">
        <v>13.0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5"/>
      <c r="L28" s="186" t="s">
        <v>1476</v>
      </c>
      <c r="M28" s="181" t="s">
        <v>1477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7"/>
      <c r="L29" s="89"/>
      <c r="M29" s="90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9"/>
      <c r="K30" s="29"/>
      <c r="L30" s="187">
        <v>0.8262032968983668</v>
      </c>
      <c r="M30" s="188">
        <v>0.027557471264367816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>
      <c r="A2" s="1"/>
      <c r="B2" s="1"/>
      <c r="C2" s="190"/>
      <c r="D2" s="1"/>
      <c r="E2" s="189"/>
      <c r="F2" s="1"/>
      <c r="G2" s="1"/>
      <c r="H2" s="1"/>
      <c r="I2" s="1"/>
      <c r="J2" s="1"/>
      <c r="K2" s="189"/>
      <c r="L2" s="1"/>
      <c r="M2" s="1"/>
      <c r="N2" s="1"/>
      <c r="O2" s="1"/>
      <c r="P2" s="1"/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</row>
    <row r="3">
      <c r="A3" s="1"/>
      <c r="B3" s="1"/>
      <c r="C3" s="190"/>
      <c r="D3" s="1"/>
      <c r="E3" s="189"/>
      <c r="F3" s="1"/>
      <c r="G3" s="1"/>
      <c r="H3" s="1"/>
      <c r="I3" s="1"/>
      <c r="J3" s="1"/>
      <c r="K3" s="189"/>
      <c r="L3" s="1"/>
      <c r="M3" s="1"/>
      <c r="N3" s="1"/>
      <c r="O3" s="1"/>
      <c r="P3" s="1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  <c r="AD3" s="189"/>
      <c r="AE3" s="189"/>
      <c r="AF3" s="189"/>
    </row>
    <row r="4">
      <c r="A4" s="1"/>
      <c r="B4" s="1"/>
      <c r="C4" s="190"/>
      <c r="D4" s="1"/>
      <c r="E4" s="189"/>
      <c r="F4" s="1"/>
      <c r="G4" s="1"/>
      <c r="H4" s="1"/>
      <c r="I4" s="1"/>
      <c r="J4" s="1"/>
      <c r="K4" s="189"/>
      <c r="L4" s="1"/>
      <c r="M4" s="1"/>
      <c r="N4" s="1"/>
      <c r="O4" s="1"/>
      <c r="P4" s="1"/>
      <c r="Q4" s="189"/>
      <c r="R4" s="189"/>
      <c r="S4" s="189"/>
      <c r="T4" s="189"/>
      <c r="U4" s="189"/>
      <c r="V4" s="189"/>
      <c r="W4" s="189"/>
      <c r="X4" s="189"/>
      <c r="Y4" s="189"/>
      <c r="Z4" s="189"/>
      <c r="AA4" s="189"/>
      <c r="AB4" s="189"/>
      <c r="AC4" s="189"/>
      <c r="AD4" s="189"/>
      <c r="AE4" s="189"/>
      <c r="AF4" s="189"/>
    </row>
    <row r="5">
      <c r="A5" s="1"/>
      <c r="B5" s="1"/>
      <c r="C5" s="190"/>
      <c r="D5" s="1"/>
      <c r="E5" s="189"/>
      <c r="F5" s="1"/>
      <c r="G5" s="1"/>
      <c r="H5" s="1"/>
      <c r="I5" s="1"/>
      <c r="J5" s="1"/>
      <c r="K5" s="189"/>
      <c r="L5" s="1"/>
      <c r="M5" s="1"/>
      <c r="N5" s="1"/>
      <c r="O5" s="1"/>
      <c r="P5" s="1"/>
      <c r="Q5" s="189"/>
      <c r="R5" s="189"/>
      <c r="S5" s="189"/>
      <c r="T5" s="189"/>
      <c r="U5" s="189"/>
      <c r="V5" s="189"/>
      <c r="W5" s="189"/>
      <c r="X5" s="189"/>
      <c r="Y5" s="189"/>
      <c r="Z5" s="189"/>
      <c r="AA5" s="189"/>
      <c r="AB5" s="189"/>
      <c r="AC5" s="189"/>
      <c r="AD5" s="189"/>
      <c r="AE5" s="189"/>
      <c r="AF5" s="189"/>
    </row>
    <row r="6">
      <c r="A6" s="1"/>
      <c r="B6" s="1"/>
      <c r="C6" s="190"/>
      <c r="D6" s="1"/>
      <c r="E6" s="189"/>
      <c r="F6" s="1"/>
      <c r="G6" s="1"/>
      <c r="H6" s="1"/>
      <c r="I6" s="1"/>
      <c r="J6" s="1"/>
      <c r="K6" s="189"/>
      <c r="L6" s="1"/>
      <c r="M6" s="1"/>
      <c r="N6" s="1"/>
      <c r="O6" s="1"/>
      <c r="P6" s="1"/>
      <c r="Q6" s="189"/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  <c r="AC6" s="189"/>
      <c r="AD6" s="189"/>
      <c r="AE6" s="189"/>
      <c r="AF6" s="189"/>
    </row>
    <row r="7">
      <c r="A7" s="1"/>
      <c r="B7" s="1"/>
      <c r="C7" s="190"/>
      <c r="D7" s="1"/>
      <c r="E7" s="189"/>
      <c r="F7" s="1"/>
      <c r="G7" s="1"/>
      <c r="H7" s="1"/>
      <c r="I7" s="1"/>
      <c r="J7" s="1"/>
      <c r="K7" s="189"/>
      <c r="L7" s="1"/>
      <c r="M7" s="1"/>
      <c r="N7" s="1"/>
      <c r="O7" s="1"/>
      <c r="P7" s="1"/>
      <c r="Q7" s="189"/>
      <c r="R7" s="189"/>
      <c r="S7" s="189"/>
      <c r="T7" s="189"/>
      <c r="U7" s="189"/>
      <c r="V7" s="189"/>
      <c r="W7" s="189"/>
      <c r="X7" s="189"/>
      <c r="Y7" s="189"/>
      <c r="Z7" s="189"/>
      <c r="AA7" s="189"/>
      <c r="AB7" s="189"/>
      <c r="AC7" s="189"/>
      <c r="AD7" s="189"/>
      <c r="AE7" s="189"/>
      <c r="AF7" s="189"/>
    </row>
    <row r="8">
      <c r="A8" s="1"/>
      <c r="B8" s="1"/>
      <c r="C8" s="190"/>
      <c r="D8" s="1"/>
      <c r="E8" s="1"/>
      <c r="F8" s="1"/>
      <c r="G8" s="1"/>
      <c r="H8" s="1"/>
      <c r="I8" s="1"/>
      <c r="J8" s="1"/>
      <c r="K8" s="189"/>
      <c r="L8" s="1"/>
      <c r="M8" s="1"/>
      <c r="N8" s="1"/>
      <c r="O8" s="1"/>
      <c r="P8" s="1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</row>
    <row r="9">
      <c r="A9" s="1"/>
      <c r="B9" s="1"/>
      <c r="C9" s="190"/>
      <c r="D9" s="1"/>
      <c r="E9" s="189"/>
      <c r="F9" s="1"/>
      <c r="G9" s="1"/>
      <c r="H9" s="1"/>
      <c r="I9" s="1"/>
      <c r="J9" s="1"/>
      <c r="K9" s="189"/>
      <c r="L9" s="1"/>
      <c r="M9" s="1"/>
      <c r="N9" s="1"/>
      <c r="O9" s="1"/>
      <c r="P9" s="1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</row>
    <row r="10">
      <c r="A10" s="1"/>
      <c r="B10" s="190"/>
      <c r="C10" s="190"/>
      <c r="D10" s="1"/>
      <c r="E10" s="1"/>
      <c r="F10" s="1"/>
      <c r="G10" s="1"/>
      <c r="H10" s="1"/>
      <c r="I10" s="1"/>
      <c r="J10" s="1"/>
      <c r="K10" s="189"/>
      <c r="L10" s="1"/>
      <c r="M10" s="1"/>
      <c r="N10" s="1"/>
      <c r="O10" s="1"/>
      <c r="P10" s="1"/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</row>
    <row r="11">
      <c r="A11" s="1"/>
      <c r="B11" s="1"/>
      <c r="C11" s="190"/>
      <c r="D11" s="1"/>
      <c r="E11" s="1"/>
      <c r="F11" s="1"/>
      <c r="G11" s="1"/>
      <c r="H11" s="1"/>
      <c r="I11" s="1"/>
      <c r="J11" s="1"/>
      <c r="K11" s="189"/>
      <c r="L11" s="1"/>
      <c r="M11" s="1"/>
      <c r="N11" s="1"/>
      <c r="O11" s="1"/>
      <c r="P11" s="1"/>
      <c r="Q11" s="189"/>
      <c r="R11" s="189"/>
      <c r="S11" s="189"/>
      <c r="T11" s="189"/>
      <c r="U11" s="189"/>
      <c r="V11" s="189"/>
      <c r="W11" s="189"/>
      <c r="X11" s="189"/>
      <c r="Y11" s="189"/>
      <c r="Z11" s="189"/>
      <c r="AA11" s="189"/>
      <c r="AB11" s="189"/>
      <c r="AC11" s="189"/>
      <c r="AD11" s="189"/>
      <c r="AE11" s="189"/>
      <c r="AF11" s="189"/>
    </row>
    <row r="12">
      <c r="A12" s="1"/>
      <c r="B12" s="1"/>
      <c r="C12" s="190"/>
      <c r="D12" s="1"/>
      <c r="E12" s="1"/>
      <c r="F12" s="1"/>
      <c r="G12" s="1"/>
      <c r="H12" s="1"/>
      <c r="I12" s="1"/>
      <c r="J12" s="1"/>
      <c r="K12" s="189"/>
      <c r="L12" s="1"/>
      <c r="M12" s="1"/>
      <c r="N12" s="1"/>
      <c r="O12" s="1"/>
      <c r="P12" s="1"/>
      <c r="Q12" s="189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</row>
    <row r="13">
      <c r="A13" s="1"/>
      <c r="B13" s="1"/>
      <c r="C13" s="190"/>
      <c r="D13" s="1"/>
      <c r="E13" s="189"/>
      <c r="F13" s="1"/>
      <c r="G13" s="1"/>
      <c r="H13" s="1"/>
      <c r="I13" s="1"/>
      <c r="J13" s="1"/>
      <c r="K13" s="189"/>
      <c r="L13" s="1"/>
      <c r="M13" s="1"/>
      <c r="N13" s="1"/>
      <c r="O13" s="1"/>
      <c r="P13" s="1"/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89"/>
      <c r="AD13" s="189"/>
      <c r="AE13" s="189"/>
      <c r="AF13" s="189"/>
    </row>
    <row r="14">
      <c r="A14" s="1"/>
      <c r="B14" s="1"/>
      <c r="C14" s="190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  <c r="AD14" s="189"/>
      <c r="AE14" s="189"/>
      <c r="AF14" s="189"/>
    </row>
    <row r="15">
      <c r="A15" s="1"/>
      <c r="B15" s="1"/>
      <c r="C15" s="190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89"/>
      <c r="AD15" s="189"/>
      <c r="AE15" s="189"/>
      <c r="AF15" s="189"/>
    </row>
    <row r="16">
      <c r="A16" s="1"/>
      <c r="B16" s="190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</row>
    <row r="17">
      <c r="A17" s="1"/>
      <c r="B17" s="1"/>
      <c r="C17" s="190"/>
      <c r="D17" s="1"/>
      <c r="E17" s="1"/>
      <c r="F17" s="1"/>
      <c r="G17" s="1"/>
      <c r="H17" s="1"/>
      <c r="I17" s="1"/>
      <c r="J17" s="1"/>
      <c r="K17" s="189"/>
      <c r="L17" s="1"/>
      <c r="M17" s="1"/>
      <c r="N17" s="1"/>
      <c r="O17" s="1"/>
      <c r="P17" s="1"/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</row>
    <row r="18">
      <c r="A18" s="1"/>
      <c r="B18" s="1"/>
      <c r="C18" s="190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89"/>
      <c r="R18" s="189"/>
      <c r="S18" s="189"/>
      <c r="T18" s="189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</row>
    <row r="19">
      <c r="A19" s="1"/>
      <c r="B19" s="1"/>
      <c r="C19" s="190"/>
      <c r="D19" s="1"/>
      <c r="E19" s="189"/>
      <c r="F19" s="1"/>
      <c r="G19" s="1"/>
      <c r="H19" s="1"/>
      <c r="I19" s="1"/>
      <c r="J19" s="1"/>
      <c r="K19" s="189"/>
      <c r="L19" s="1"/>
      <c r="M19" s="1"/>
      <c r="N19" s="1"/>
      <c r="O19" s="1"/>
      <c r="P19" s="1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</row>
    <row r="20">
      <c r="A20" s="1"/>
      <c r="B20" s="1"/>
      <c r="C20" s="190"/>
      <c r="D20" s="1"/>
      <c r="E20" s="189"/>
      <c r="F20" s="1"/>
      <c r="G20" s="1"/>
      <c r="H20" s="1"/>
      <c r="I20" s="1"/>
      <c r="J20" s="1"/>
      <c r="K20" s="189"/>
      <c r="L20" s="1"/>
      <c r="M20" s="1"/>
      <c r="N20" s="1"/>
      <c r="O20" s="1"/>
      <c r="P20" s="1"/>
      <c r="Q20" s="189"/>
      <c r="R20" s="189"/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89"/>
      <c r="AE20" s="189"/>
      <c r="AF20" s="189"/>
    </row>
    <row r="21">
      <c r="A21" s="1"/>
      <c r="B21" s="1"/>
      <c r="C21" s="190"/>
      <c r="D21" s="1"/>
      <c r="E21" s="1"/>
      <c r="F21" s="1"/>
      <c r="G21" s="1"/>
      <c r="H21" s="1"/>
      <c r="I21" s="1"/>
      <c r="J21" s="1"/>
      <c r="K21" s="189"/>
      <c r="L21" s="1"/>
      <c r="M21" s="1"/>
      <c r="N21" s="1"/>
      <c r="O21" s="1"/>
      <c r="P21" s="1"/>
      <c r="Q21" s="189"/>
      <c r="R21" s="189"/>
      <c r="S21" s="189"/>
      <c r="T21" s="189"/>
      <c r="U21" s="189"/>
      <c r="V21" s="189"/>
      <c r="W21" s="189"/>
      <c r="X21" s="189"/>
      <c r="Y21" s="189"/>
      <c r="Z21" s="189"/>
      <c r="AA21" s="189"/>
      <c r="AB21" s="189"/>
      <c r="AC21" s="189"/>
      <c r="AD21" s="189"/>
      <c r="AE21" s="189"/>
      <c r="AF21" s="189"/>
    </row>
    <row r="22">
      <c r="A22" s="1"/>
      <c r="B22" s="1"/>
      <c r="C22" s="190"/>
      <c r="D22" s="1"/>
      <c r="E22" s="1"/>
      <c r="F22" s="1"/>
      <c r="G22" s="1"/>
      <c r="H22" s="1"/>
      <c r="I22" s="1"/>
      <c r="J22" s="1"/>
      <c r="K22" s="189"/>
      <c r="L22" s="1"/>
      <c r="M22" s="1"/>
      <c r="N22" s="1"/>
      <c r="O22" s="1"/>
      <c r="P22" s="1"/>
      <c r="Q22" s="189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</row>
    <row r="23">
      <c r="A23" s="1"/>
      <c r="B23" s="1"/>
      <c r="C23" s="190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</row>
    <row r="24">
      <c r="A24" s="1"/>
      <c r="B24" s="1"/>
      <c r="C24" s="190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89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89"/>
      <c r="AF24" s="189"/>
    </row>
    <row r="25">
      <c r="A25" s="1"/>
      <c r="B25" s="1"/>
      <c r="C25" s="190"/>
      <c r="D25" s="1"/>
      <c r="E25" s="1"/>
      <c r="F25" s="1"/>
      <c r="G25" s="1"/>
      <c r="H25" s="1"/>
      <c r="I25" s="1"/>
      <c r="J25" s="1"/>
      <c r="K25" s="189"/>
      <c r="L25" s="1"/>
      <c r="M25" s="1"/>
      <c r="N25" s="1"/>
      <c r="O25" s="1"/>
      <c r="P25" s="1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</row>
    <row r="26">
      <c r="A26" s="1"/>
      <c r="B26" s="1"/>
      <c r="C26" s="190"/>
      <c r="D26" s="1"/>
      <c r="E26" s="1"/>
      <c r="F26" s="1"/>
      <c r="G26" s="1"/>
      <c r="H26" s="1"/>
      <c r="I26" s="1"/>
      <c r="J26" s="1"/>
      <c r="K26" s="189"/>
      <c r="L26" s="1"/>
      <c r="M26" s="1"/>
      <c r="N26" s="1"/>
      <c r="O26" s="1"/>
      <c r="P26" s="1"/>
      <c r="Q26" s="189"/>
      <c r="R26" s="189"/>
      <c r="S26" s="189"/>
      <c r="T26" s="189"/>
      <c r="U26" s="189"/>
      <c r="V26" s="189"/>
      <c r="W26" s="189"/>
      <c r="X26" s="189"/>
      <c r="Y26" s="189"/>
      <c r="Z26" s="189"/>
      <c r="AA26" s="189"/>
      <c r="AB26" s="189"/>
      <c r="AC26" s="189"/>
      <c r="AD26" s="189"/>
      <c r="AE26" s="189"/>
      <c r="AF26" s="189"/>
    </row>
    <row r="27">
      <c r="A27" s="1"/>
      <c r="B27" s="1"/>
      <c r="C27" s="190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89"/>
      <c r="R27" s="189"/>
      <c r="S27" s="189"/>
      <c r="T27" s="189"/>
      <c r="U27" s="189"/>
      <c r="V27" s="189"/>
      <c r="W27" s="189"/>
      <c r="X27" s="189"/>
      <c r="Y27" s="189"/>
      <c r="Z27" s="189"/>
      <c r="AA27" s="189"/>
      <c r="AB27" s="189"/>
      <c r="AC27" s="189"/>
      <c r="AD27" s="189"/>
      <c r="AE27" s="189"/>
      <c r="AF27" s="189"/>
    </row>
    <row r="28">
      <c r="A28" s="1"/>
      <c r="B28" s="190"/>
      <c r="C28" s="190"/>
      <c r="D28" s="1"/>
      <c r="E28" s="1"/>
      <c r="F28" s="1"/>
      <c r="G28" s="1"/>
      <c r="H28" s="1"/>
      <c r="I28" s="1"/>
      <c r="J28" s="1"/>
      <c r="K28" s="189"/>
      <c r="L28" s="1"/>
      <c r="M28" s="1"/>
      <c r="N28" s="1"/>
      <c r="O28" s="1"/>
      <c r="P28" s="1"/>
      <c r="Q28" s="189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</row>
    <row r="29">
      <c r="A29" s="1"/>
      <c r="B29" s="1"/>
      <c r="C29" s="190"/>
      <c r="D29" s="1"/>
      <c r="E29" s="1"/>
      <c r="F29" s="1"/>
      <c r="G29" s="1"/>
      <c r="H29" s="1"/>
      <c r="I29" s="1"/>
      <c r="J29" s="1"/>
      <c r="K29" s="189"/>
      <c r="L29" s="1"/>
      <c r="M29" s="1"/>
      <c r="N29" s="1"/>
      <c r="O29" s="1"/>
      <c r="P29" s="1"/>
      <c r="Q29" s="189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89"/>
      <c r="AE29" s="189"/>
      <c r="AF29" s="189"/>
    </row>
    <row r="30">
      <c r="A30" s="1"/>
      <c r="B30" s="190"/>
      <c r="C30" s="190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89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</row>
    <row r="31">
      <c r="A31" s="1"/>
      <c r="B31" s="1"/>
      <c r="C31" s="190"/>
      <c r="D31" s="1"/>
      <c r="E31" s="189"/>
      <c r="F31" s="1"/>
      <c r="G31" s="1"/>
      <c r="H31" s="1"/>
      <c r="I31" s="1"/>
      <c r="J31" s="1"/>
      <c r="K31" s="189"/>
      <c r="L31" s="1"/>
      <c r="M31" s="1"/>
      <c r="N31" s="1"/>
      <c r="O31" s="1"/>
      <c r="P31" s="1"/>
      <c r="Q31" s="189"/>
      <c r="R31" s="189"/>
      <c r="S31" s="189"/>
      <c r="T31" s="189"/>
      <c r="U31" s="189"/>
      <c r="V31" s="189"/>
      <c r="W31" s="189"/>
      <c r="X31" s="189"/>
      <c r="Y31" s="189"/>
      <c r="Z31" s="189"/>
      <c r="AA31" s="189"/>
      <c r="AB31" s="189"/>
      <c r="AC31" s="189"/>
      <c r="AD31" s="189"/>
      <c r="AE31" s="189"/>
      <c r="AF31" s="189"/>
    </row>
    <row r="32">
      <c r="A32" s="1"/>
      <c r="B32" s="190"/>
      <c r="C32" s="190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89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</row>
    <row r="33">
      <c r="A33" s="1"/>
      <c r="B33" s="1"/>
      <c r="C33" s="190"/>
      <c r="D33" s="1"/>
      <c r="E33" s="189"/>
      <c r="F33" s="1"/>
      <c r="G33" s="1"/>
      <c r="H33" s="1"/>
      <c r="I33" s="1"/>
      <c r="J33" s="1"/>
      <c r="K33" s="189"/>
      <c r="L33" s="1"/>
      <c r="M33" s="1"/>
      <c r="N33" s="1"/>
      <c r="O33" s="1"/>
      <c r="P33" s="1"/>
      <c r="Q33" s="189"/>
      <c r="R33" s="189"/>
      <c r="S33" s="189"/>
      <c r="T33" s="189"/>
      <c r="U33" s="189"/>
      <c r="V33" s="189"/>
      <c r="W33" s="189"/>
      <c r="X33" s="189"/>
      <c r="Y33" s="189"/>
      <c r="Z33" s="189"/>
      <c r="AA33" s="189"/>
      <c r="AB33" s="189"/>
      <c r="AC33" s="189"/>
      <c r="AD33" s="189"/>
      <c r="AE33" s="189"/>
      <c r="AF33" s="189"/>
    </row>
    <row r="34">
      <c r="A34" s="1"/>
      <c r="B34" s="190"/>
      <c r="C34" s="190"/>
      <c r="D34" s="1"/>
      <c r="E34" s="189"/>
      <c r="F34" s="1"/>
      <c r="G34" s="1"/>
      <c r="H34" s="1"/>
      <c r="I34" s="1"/>
      <c r="J34" s="1"/>
      <c r="K34" s="189"/>
      <c r="L34" s="1"/>
      <c r="M34" s="1"/>
      <c r="N34" s="1"/>
      <c r="O34" s="1"/>
      <c r="P34" s="1"/>
      <c r="Q34" s="189"/>
      <c r="R34" s="189"/>
      <c r="S34" s="189"/>
      <c r="T34" s="189"/>
      <c r="U34" s="189"/>
      <c r="V34" s="189"/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</row>
    <row r="35">
      <c r="A35" s="1"/>
      <c r="B35" s="1"/>
      <c r="C35" s="190"/>
      <c r="D35" s="1"/>
      <c r="E35" s="1"/>
      <c r="F35" s="1"/>
      <c r="G35" s="1"/>
      <c r="H35" s="1"/>
      <c r="I35" s="1"/>
      <c r="J35" s="1"/>
      <c r="K35" s="189"/>
      <c r="L35" s="1"/>
      <c r="M35" s="1"/>
      <c r="N35" s="1"/>
      <c r="O35" s="1"/>
      <c r="P35" s="1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</row>
    <row r="36">
      <c r="A36" s="1"/>
      <c r="B36" s="1"/>
      <c r="C36" s="190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89"/>
      <c r="R36" s="189"/>
      <c r="S36" s="189"/>
      <c r="T36" s="189"/>
      <c r="U36" s="189"/>
      <c r="V36" s="189"/>
      <c r="W36" s="189"/>
      <c r="X36" s="189"/>
      <c r="Y36" s="189"/>
      <c r="Z36" s="189"/>
      <c r="AA36" s="189"/>
      <c r="AB36" s="189"/>
      <c r="AC36" s="189"/>
      <c r="AD36" s="189"/>
      <c r="AE36" s="189"/>
      <c r="AF36" s="189"/>
    </row>
    <row r="37">
      <c r="A37" s="1"/>
      <c r="B37" s="190"/>
      <c r="C37" s="190"/>
      <c r="D37" s="1"/>
      <c r="E37" s="189"/>
      <c r="F37" s="1"/>
      <c r="G37" s="1"/>
      <c r="H37" s="1"/>
      <c r="I37" s="1"/>
      <c r="J37" s="1"/>
      <c r="K37" s="189"/>
      <c r="L37" s="1"/>
      <c r="M37" s="1"/>
      <c r="N37" s="1"/>
      <c r="O37" s="1"/>
      <c r="P37" s="1"/>
      <c r="Q37" s="189"/>
      <c r="R37" s="189"/>
      <c r="S37" s="189"/>
      <c r="T37" s="189"/>
      <c r="U37" s="189"/>
      <c r="V37" s="189"/>
      <c r="W37" s="189"/>
      <c r="X37" s="189"/>
      <c r="Y37" s="189"/>
      <c r="Z37" s="189"/>
      <c r="AA37" s="189"/>
      <c r="AB37" s="189"/>
      <c r="AC37" s="189"/>
      <c r="AD37" s="189"/>
      <c r="AE37" s="189"/>
      <c r="AF37" s="189"/>
    </row>
    <row r="38">
      <c r="A38" s="1"/>
      <c r="B38" s="1"/>
      <c r="C38" s="190"/>
      <c r="D38" s="1"/>
      <c r="E38" s="189"/>
      <c r="F38" s="1"/>
      <c r="G38" s="1"/>
      <c r="H38" s="1"/>
      <c r="I38" s="1"/>
      <c r="J38" s="1"/>
      <c r="K38" s="189"/>
      <c r="L38" s="1"/>
      <c r="M38" s="1"/>
      <c r="N38" s="1"/>
      <c r="O38" s="1"/>
      <c r="P38" s="1"/>
      <c r="Q38" s="189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</row>
    <row r="39">
      <c r="A39" s="1"/>
      <c r="B39" s="1"/>
      <c r="C39" s="190"/>
      <c r="D39" s="1"/>
      <c r="E39" s="189"/>
      <c r="F39" s="1"/>
      <c r="G39" s="1"/>
      <c r="H39" s="1"/>
      <c r="I39" s="1"/>
      <c r="J39" s="1"/>
      <c r="K39" s="189"/>
      <c r="L39" s="1"/>
      <c r="M39" s="1"/>
      <c r="N39" s="1"/>
      <c r="O39" s="1"/>
      <c r="P39" s="1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</row>
    <row r="40">
      <c r="A40" s="1"/>
      <c r="B40" s="1"/>
      <c r="C40" s="1"/>
      <c r="D40" s="1"/>
      <c r="E40" s="189"/>
      <c r="F40" s="1"/>
      <c r="G40" s="1"/>
      <c r="H40" s="1"/>
      <c r="I40" s="1"/>
      <c r="J40" s="1"/>
      <c r="K40" s="189"/>
      <c r="L40" s="1"/>
      <c r="M40" s="1"/>
      <c r="N40" s="1"/>
      <c r="O40" s="1"/>
      <c r="P40" s="1"/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</row>
    <row r="41">
      <c r="A41" s="1"/>
      <c r="B41" s="1"/>
      <c r="C41" s="1"/>
      <c r="D41" s="1"/>
      <c r="E41" s="189"/>
      <c r="F41" s="1"/>
      <c r="G41" s="1"/>
      <c r="H41" s="1"/>
      <c r="I41" s="1"/>
      <c r="J41" s="1"/>
      <c r="K41" s="189"/>
      <c r="L41" s="1"/>
      <c r="M41" s="1"/>
      <c r="N41" s="1"/>
      <c r="O41" s="1"/>
      <c r="P41" s="1"/>
      <c r="Q41" s="189"/>
      <c r="R41" s="189"/>
      <c r="S41" s="189"/>
      <c r="T41" s="189"/>
      <c r="U41" s="189"/>
      <c r="V41" s="189"/>
      <c r="W41" s="189"/>
      <c r="X41" s="189"/>
      <c r="Y41" s="189"/>
      <c r="Z41" s="189"/>
      <c r="AA41" s="189"/>
      <c r="AB41" s="189"/>
      <c r="AC41" s="189"/>
      <c r="AD41" s="189"/>
      <c r="AE41" s="189"/>
      <c r="AF41" s="189"/>
    </row>
    <row r="42">
      <c r="A42" s="1"/>
      <c r="B42" s="1"/>
      <c r="C42" s="190"/>
      <c r="D42" s="1"/>
      <c r="E42" s="1"/>
      <c r="F42" s="1"/>
      <c r="G42" s="1"/>
      <c r="H42" s="1"/>
      <c r="I42" s="1"/>
      <c r="J42" s="1"/>
      <c r="K42" s="189"/>
      <c r="L42" s="1"/>
      <c r="M42" s="1"/>
      <c r="N42" s="1"/>
      <c r="O42" s="1"/>
      <c r="P42" s="1"/>
      <c r="Q42" s="189"/>
      <c r="R42" s="189"/>
      <c r="S42" s="189"/>
      <c r="T42" s="189"/>
      <c r="U42" s="189"/>
      <c r="V42" s="189"/>
      <c r="W42" s="189"/>
      <c r="X42" s="189"/>
      <c r="Y42" s="189"/>
      <c r="Z42" s="189"/>
      <c r="AA42" s="189"/>
      <c r="AB42" s="189"/>
      <c r="AC42" s="189"/>
      <c r="AD42" s="189"/>
      <c r="AE42" s="189"/>
      <c r="AF42" s="189"/>
    </row>
    <row r="43">
      <c r="A43" s="1"/>
      <c r="B43" s="1"/>
      <c r="C43" s="190"/>
      <c r="D43" s="1"/>
      <c r="E43" s="1"/>
      <c r="F43" s="1"/>
      <c r="G43" s="1"/>
      <c r="H43" s="1"/>
      <c r="I43" s="1"/>
      <c r="J43" s="1"/>
      <c r="K43" s="189"/>
      <c r="L43" s="1"/>
      <c r="M43" s="1"/>
      <c r="N43" s="1"/>
      <c r="O43" s="1"/>
      <c r="P43" s="1"/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B43" s="189"/>
      <c r="AC43" s="189"/>
      <c r="AD43" s="189"/>
      <c r="AE43" s="189"/>
      <c r="AF43" s="189"/>
    </row>
    <row r="44">
      <c r="A44" s="1"/>
      <c r="B44" s="1"/>
      <c r="C44" s="190"/>
      <c r="D44" s="1"/>
      <c r="E44" s="1"/>
      <c r="F44" s="1"/>
      <c r="G44" s="1"/>
      <c r="H44" s="1"/>
      <c r="I44" s="1"/>
      <c r="J44" s="1"/>
      <c r="K44" s="189"/>
      <c r="L44" s="1"/>
      <c r="M44" s="1"/>
      <c r="N44" s="1"/>
      <c r="O44" s="1"/>
      <c r="P44" s="1"/>
      <c r="Q44" s="189"/>
      <c r="R44" s="189"/>
      <c r="S44" s="189"/>
      <c r="T44" s="189"/>
      <c r="U44" s="189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</row>
    <row r="45">
      <c r="A45" s="1"/>
      <c r="B45" s="1"/>
      <c r="C45" s="190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89"/>
      <c r="R45" s="189"/>
      <c r="S45" s="189"/>
      <c r="T45" s="189"/>
      <c r="U45" s="189"/>
      <c r="V45" s="189"/>
      <c r="W45" s="189"/>
      <c r="X45" s="189"/>
      <c r="Y45" s="189"/>
      <c r="Z45" s="189"/>
      <c r="AA45" s="189"/>
      <c r="AB45" s="189"/>
      <c r="AC45" s="189"/>
      <c r="AD45" s="189"/>
      <c r="AE45" s="189"/>
      <c r="AF45" s="189"/>
    </row>
    <row r="46">
      <c r="A46" s="1"/>
      <c r="B46" s="1"/>
      <c r="C46" s="190"/>
      <c r="D46" s="1"/>
      <c r="E46" s="189"/>
      <c r="F46" s="1"/>
      <c r="G46" s="1"/>
      <c r="H46" s="1"/>
      <c r="I46" s="1"/>
      <c r="J46" s="1"/>
      <c r="K46" s="189"/>
      <c r="L46" s="1"/>
      <c r="M46" s="1"/>
      <c r="N46" s="1"/>
      <c r="O46" s="1"/>
      <c r="P46" s="1"/>
      <c r="Q46" s="189"/>
      <c r="R46" s="189"/>
      <c r="S46" s="189"/>
      <c r="T46" s="189"/>
      <c r="U46" s="189"/>
      <c r="V46" s="189"/>
      <c r="W46" s="189"/>
      <c r="X46" s="189"/>
      <c r="Y46" s="189"/>
      <c r="Z46" s="189"/>
      <c r="AA46" s="189"/>
      <c r="AB46" s="189"/>
      <c r="AC46" s="189"/>
      <c r="AD46" s="189"/>
      <c r="AE46" s="189"/>
      <c r="AF46" s="189"/>
    </row>
    <row r="47">
      <c r="A47" s="1"/>
      <c r="B47" s="1"/>
      <c r="C47" s="190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89"/>
      <c r="R47" s="189"/>
      <c r="S47" s="189"/>
      <c r="T47" s="189"/>
      <c r="U47" s="189"/>
      <c r="V47" s="189"/>
      <c r="W47" s="189"/>
      <c r="X47" s="189"/>
      <c r="Y47" s="189"/>
      <c r="Z47" s="189"/>
      <c r="AA47" s="189"/>
      <c r="AB47" s="189"/>
      <c r="AC47" s="189"/>
      <c r="AD47" s="189"/>
      <c r="AE47" s="189"/>
      <c r="AF47" s="189"/>
    </row>
    <row r="48">
      <c r="A48" s="1"/>
      <c r="B48" s="1"/>
      <c r="C48" s="190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89"/>
      <c r="R48" s="189"/>
      <c r="S48" s="189"/>
      <c r="T48" s="189"/>
      <c r="U48" s="189"/>
      <c r="V48" s="189"/>
      <c r="W48" s="189"/>
      <c r="X48" s="189"/>
      <c r="Y48" s="189"/>
      <c r="Z48" s="189"/>
      <c r="AA48" s="189"/>
      <c r="AB48" s="189"/>
      <c r="AC48" s="189"/>
      <c r="AD48" s="189"/>
      <c r="AE48" s="189"/>
      <c r="AF48" s="189"/>
    </row>
    <row r="49">
      <c r="A49" s="1"/>
      <c r="B49" s="1"/>
      <c r="C49" s="1"/>
      <c r="D49" s="1"/>
      <c r="E49" s="189"/>
      <c r="F49" s="1"/>
      <c r="G49" s="1"/>
      <c r="H49" s="1"/>
      <c r="I49" s="1"/>
      <c r="J49" s="1"/>
      <c r="K49" s="189"/>
      <c r="L49" s="1"/>
      <c r="M49" s="1"/>
      <c r="N49" s="1"/>
      <c r="O49" s="1"/>
      <c r="P49" s="1"/>
      <c r="Q49" s="189"/>
      <c r="R49" s="189"/>
      <c r="S49" s="189"/>
      <c r="T49" s="189"/>
      <c r="U49" s="189"/>
      <c r="V49" s="189"/>
      <c r="W49" s="189"/>
      <c r="X49" s="189"/>
      <c r="Y49" s="189"/>
      <c r="Z49" s="189"/>
      <c r="AA49" s="189"/>
      <c r="AB49" s="189"/>
      <c r="AC49" s="189"/>
      <c r="AD49" s="189"/>
      <c r="AE49" s="189"/>
      <c r="AF49" s="189"/>
    </row>
    <row r="50">
      <c r="A50" s="1"/>
      <c r="B50" s="1"/>
      <c r="C50" s="190"/>
      <c r="D50" s="1"/>
      <c r="E50" s="1"/>
      <c r="F50" s="1"/>
      <c r="G50" s="1"/>
      <c r="H50" s="1"/>
      <c r="I50" s="1"/>
      <c r="J50" s="1"/>
      <c r="K50" s="189"/>
      <c r="L50" s="1"/>
      <c r="M50" s="1"/>
      <c r="N50" s="1"/>
      <c r="O50" s="1"/>
      <c r="P50" s="1"/>
      <c r="Q50" s="189"/>
      <c r="R50" s="189"/>
      <c r="S50" s="189"/>
      <c r="T50" s="189"/>
      <c r="U50" s="189"/>
      <c r="V50" s="189"/>
      <c r="W50" s="189"/>
      <c r="X50" s="189"/>
      <c r="Y50" s="189"/>
      <c r="Z50" s="189"/>
      <c r="AA50" s="189"/>
      <c r="AB50" s="189"/>
      <c r="AC50" s="189"/>
      <c r="AD50" s="189"/>
      <c r="AE50" s="189"/>
      <c r="AF50" s="189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89"/>
      <c r="L51" s="1"/>
      <c r="M51" s="1"/>
      <c r="N51" s="1"/>
      <c r="O51" s="1"/>
      <c r="P51" s="1"/>
      <c r="Q51" s="189"/>
      <c r="R51" s="189"/>
      <c r="S51" s="189"/>
      <c r="T51" s="189"/>
      <c r="U51" s="189"/>
      <c r="V51" s="189"/>
      <c r="W51" s="189"/>
      <c r="X51" s="189"/>
      <c r="Y51" s="189"/>
      <c r="Z51" s="189"/>
      <c r="AA51" s="189"/>
      <c r="AB51" s="189"/>
      <c r="AC51" s="189"/>
      <c r="AD51" s="189"/>
      <c r="AE51" s="189"/>
      <c r="AF51" s="189"/>
    </row>
    <row r="52">
      <c r="A52" s="1"/>
      <c r="B52" s="1"/>
      <c r="C52" s="190"/>
      <c r="D52" s="1"/>
      <c r="E52" s="1"/>
      <c r="F52" s="1"/>
      <c r="G52" s="1"/>
      <c r="H52" s="1"/>
      <c r="I52" s="1"/>
      <c r="J52" s="1"/>
      <c r="K52" s="189"/>
      <c r="L52" s="1"/>
      <c r="M52" s="1"/>
      <c r="N52" s="1"/>
      <c r="O52" s="1"/>
      <c r="P52" s="1"/>
      <c r="Q52" s="189"/>
      <c r="R52" s="189"/>
      <c r="S52" s="189"/>
      <c r="T52" s="189"/>
      <c r="U52" s="189"/>
      <c r="V52" s="189"/>
      <c r="W52" s="189"/>
      <c r="X52" s="189"/>
      <c r="Y52" s="189"/>
      <c r="Z52" s="189"/>
      <c r="AA52" s="189"/>
      <c r="AB52" s="189"/>
      <c r="AC52" s="189"/>
      <c r="AD52" s="189"/>
      <c r="AE52" s="189"/>
      <c r="AF52" s="189"/>
    </row>
    <row r="53">
      <c r="A53" s="1"/>
      <c r="B53" s="1"/>
      <c r="C53" s="190"/>
      <c r="D53" s="1"/>
      <c r="E53" s="189"/>
      <c r="F53" s="1"/>
      <c r="G53" s="1"/>
      <c r="H53" s="1"/>
      <c r="I53" s="1"/>
      <c r="J53" s="1"/>
      <c r="K53" s="189"/>
      <c r="L53" s="1"/>
      <c r="M53" s="1"/>
      <c r="N53" s="1"/>
      <c r="O53" s="1"/>
      <c r="P53" s="1"/>
      <c r="Q53" s="189"/>
      <c r="R53" s="189"/>
      <c r="S53" s="189"/>
      <c r="T53" s="189"/>
      <c r="U53" s="189"/>
      <c r="V53" s="189"/>
      <c r="W53" s="189"/>
      <c r="X53" s="189"/>
      <c r="Y53" s="189"/>
      <c r="Z53" s="189"/>
      <c r="AA53" s="189"/>
      <c r="AB53" s="189"/>
      <c r="AC53" s="189"/>
      <c r="AD53" s="189"/>
      <c r="AE53" s="189"/>
      <c r="AF53" s="189"/>
    </row>
    <row r="54">
      <c r="A54" s="1"/>
      <c r="B54" s="190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89"/>
      <c r="R54" s="189"/>
      <c r="S54" s="189"/>
      <c r="T54" s="189"/>
      <c r="U54" s="189"/>
      <c r="V54" s="189"/>
      <c r="W54" s="189"/>
      <c r="X54" s="189"/>
      <c r="Y54" s="189"/>
      <c r="Z54" s="189"/>
      <c r="AA54" s="189"/>
      <c r="AB54" s="189"/>
      <c r="AC54" s="189"/>
      <c r="AD54" s="189"/>
      <c r="AE54" s="189"/>
      <c r="AF54" s="189"/>
    </row>
    <row r="55">
      <c r="A55" s="1"/>
      <c r="B55" s="1"/>
      <c r="C55" s="190"/>
      <c r="D55" s="1"/>
      <c r="E55" s="1"/>
      <c r="F55" s="1"/>
      <c r="G55" s="1"/>
      <c r="H55" s="1"/>
      <c r="I55" s="1"/>
      <c r="J55" s="1"/>
      <c r="K55" s="189"/>
      <c r="L55" s="1"/>
      <c r="M55" s="1"/>
      <c r="N55" s="1"/>
      <c r="O55" s="1"/>
      <c r="P55" s="1"/>
      <c r="Q55" s="189"/>
      <c r="R55" s="189"/>
      <c r="S55" s="189"/>
      <c r="T55" s="189"/>
      <c r="U55" s="189"/>
      <c r="V55" s="189"/>
      <c r="W55" s="189"/>
      <c r="X55" s="189"/>
      <c r="Y55" s="189"/>
      <c r="Z55" s="189"/>
      <c r="AA55" s="189"/>
      <c r="AB55" s="189"/>
      <c r="AC55" s="189"/>
      <c r="AD55" s="189"/>
      <c r="AE55" s="189"/>
      <c r="AF55" s="189"/>
    </row>
    <row r="56">
      <c r="A56" s="1"/>
      <c r="B56" s="1"/>
      <c r="C56" s="190"/>
      <c r="D56" s="1"/>
      <c r="E56" s="189"/>
      <c r="F56" s="1"/>
      <c r="G56" s="1"/>
      <c r="H56" s="1"/>
      <c r="I56" s="1"/>
      <c r="J56" s="1"/>
      <c r="K56" s="189"/>
      <c r="L56" s="1"/>
      <c r="M56" s="1"/>
      <c r="N56" s="1"/>
      <c r="O56" s="1"/>
      <c r="P56" s="1"/>
      <c r="Q56" s="189"/>
      <c r="R56" s="189"/>
      <c r="S56" s="189"/>
      <c r="T56" s="189"/>
      <c r="U56" s="189"/>
      <c r="V56" s="189"/>
      <c r="W56" s="189"/>
      <c r="X56" s="189"/>
      <c r="Y56" s="189"/>
      <c r="Z56" s="189"/>
      <c r="AA56" s="189"/>
      <c r="AB56" s="189"/>
      <c r="AC56" s="189"/>
      <c r="AD56" s="189"/>
      <c r="AE56" s="189"/>
      <c r="AF56" s="189"/>
    </row>
    <row r="57">
      <c r="A57" s="1"/>
      <c r="B57" s="1"/>
      <c r="C57" s="190"/>
      <c r="D57" s="1"/>
      <c r="E57" s="189"/>
      <c r="F57" s="1"/>
      <c r="G57" s="1"/>
      <c r="H57" s="1"/>
      <c r="I57" s="1"/>
      <c r="J57" s="1"/>
      <c r="K57" s="189"/>
      <c r="L57" s="1"/>
      <c r="M57" s="1"/>
      <c r="N57" s="1"/>
      <c r="O57" s="1"/>
      <c r="P57" s="1"/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/>
      <c r="AD57" s="189"/>
      <c r="AE57" s="189"/>
      <c r="AF57" s="189"/>
    </row>
    <row r="58">
      <c r="A58" s="1"/>
      <c r="B58" s="1"/>
      <c r="C58" s="190"/>
      <c r="D58" s="1"/>
      <c r="E58" s="1"/>
      <c r="F58" s="1"/>
      <c r="G58" s="1"/>
      <c r="H58" s="1"/>
      <c r="I58" s="1"/>
      <c r="J58" s="1"/>
      <c r="K58" s="189"/>
      <c r="L58" s="1"/>
      <c r="M58" s="1"/>
      <c r="N58" s="1"/>
      <c r="O58" s="1"/>
      <c r="P58" s="1"/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189"/>
      <c r="AD58" s="189"/>
      <c r="AE58" s="189"/>
      <c r="AF58" s="189"/>
    </row>
    <row r="59">
      <c r="A59" s="1"/>
      <c r="B59" s="1"/>
      <c r="C59" s="190"/>
      <c r="D59" s="1"/>
      <c r="E59" s="1"/>
      <c r="F59" s="1"/>
      <c r="G59" s="1"/>
      <c r="H59" s="1"/>
      <c r="I59" s="1"/>
      <c r="J59" s="1"/>
      <c r="K59" s="189"/>
      <c r="L59" s="1"/>
      <c r="M59" s="1"/>
      <c r="N59" s="1"/>
      <c r="O59" s="1"/>
      <c r="P59" s="1"/>
      <c r="Q59" s="189"/>
      <c r="R59" s="189"/>
      <c r="S59" s="189"/>
      <c r="T59" s="189"/>
      <c r="U59" s="189"/>
      <c r="V59" s="189"/>
      <c r="W59" s="189"/>
      <c r="X59" s="189"/>
      <c r="Y59" s="189"/>
      <c r="Z59" s="189"/>
      <c r="AA59" s="189"/>
      <c r="AB59" s="189"/>
      <c r="AC59" s="189"/>
      <c r="AD59" s="189"/>
      <c r="AE59" s="189"/>
      <c r="AF59" s="189"/>
    </row>
    <row r="60">
      <c r="A60" s="1"/>
      <c r="B60" s="1"/>
      <c r="C60" s="190"/>
      <c r="D60" s="1"/>
      <c r="E60" s="1"/>
      <c r="F60" s="1"/>
      <c r="G60" s="1"/>
      <c r="H60" s="1"/>
      <c r="I60" s="1"/>
      <c r="J60" s="1"/>
      <c r="K60" s="189"/>
      <c r="L60" s="1"/>
      <c r="M60" s="1"/>
      <c r="N60" s="1"/>
      <c r="O60" s="1"/>
      <c r="P60" s="1"/>
      <c r="Q60" s="189"/>
      <c r="R60" s="189"/>
      <c r="S60" s="189"/>
      <c r="T60" s="189"/>
      <c r="U60" s="189"/>
      <c r="V60" s="189"/>
      <c r="W60" s="189"/>
      <c r="X60" s="189"/>
      <c r="Y60" s="189"/>
      <c r="Z60" s="189"/>
      <c r="AA60" s="189"/>
      <c r="AB60" s="189"/>
      <c r="AC60" s="189"/>
      <c r="AD60" s="189"/>
      <c r="AE60" s="189"/>
      <c r="AF60" s="189"/>
    </row>
    <row r="61">
      <c r="A61" s="1"/>
      <c r="B61" s="1"/>
      <c r="C61" s="1"/>
      <c r="D61" s="1"/>
      <c r="E61" s="189"/>
      <c r="F61" s="1"/>
      <c r="G61" s="1"/>
      <c r="H61" s="1"/>
      <c r="I61" s="1"/>
      <c r="J61" s="1"/>
      <c r="K61" s="189"/>
      <c r="L61" s="1"/>
      <c r="M61" s="1"/>
      <c r="N61" s="1"/>
      <c r="O61" s="1"/>
      <c r="P61" s="1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</row>
    <row r="62">
      <c r="A62" s="1"/>
      <c r="B62" s="190"/>
      <c r="C62" s="190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89"/>
      <c r="R62" s="189"/>
      <c r="S62" s="189"/>
      <c r="T62" s="189"/>
      <c r="U62" s="189"/>
      <c r="V62" s="189"/>
      <c r="W62" s="189"/>
      <c r="X62" s="189"/>
      <c r="Y62" s="189"/>
      <c r="Z62" s="189"/>
      <c r="AA62" s="189"/>
      <c r="AB62" s="189"/>
      <c r="AC62" s="189"/>
      <c r="AD62" s="189"/>
      <c r="AE62" s="189"/>
      <c r="AF62" s="189"/>
    </row>
    <row r="63">
      <c r="A63" s="1"/>
      <c r="B63" s="1"/>
      <c r="C63" s="190"/>
      <c r="D63" s="1"/>
      <c r="E63" s="1"/>
      <c r="F63" s="1"/>
      <c r="G63" s="1"/>
      <c r="H63" s="1"/>
      <c r="I63" s="1"/>
      <c r="J63" s="1"/>
      <c r="K63" s="189"/>
      <c r="L63" s="1"/>
      <c r="M63" s="1"/>
      <c r="N63" s="1"/>
      <c r="O63" s="1"/>
      <c r="P63" s="1"/>
      <c r="Q63" s="189"/>
      <c r="R63" s="189"/>
      <c r="S63" s="189"/>
      <c r="T63" s="189"/>
      <c r="U63" s="189"/>
      <c r="V63" s="189"/>
      <c r="W63" s="189"/>
      <c r="X63" s="189"/>
      <c r="Y63" s="189"/>
      <c r="Z63" s="189"/>
      <c r="AA63" s="189"/>
      <c r="AB63" s="189"/>
      <c r="AC63" s="189"/>
      <c r="AD63" s="189"/>
      <c r="AE63" s="189"/>
      <c r="AF63" s="189"/>
    </row>
    <row r="64">
      <c r="A64" s="1"/>
      <c r="B64" s="1"/>
      <c r="C64" s="190"/>
      <c r="D64" s="1"/>
      <c r="E64" s="189"/>
      <c r="F64" s="1"/>
      <c r="G64" s="1"/>
      <c r="H64" s="1"/>
      <c r="I64" s="1"/>
      <c r="J64" s="1"/>
      <c r="K64" s="189"/>
      <c r="L64" s="1"/>
      <c r="M64" s="1"/>
      <c r="N64" s="1"/>
      <c r="O64" s="1"/>
      <c r="P64" s="1"/>
      <c r="Q64" s="189"/>
      <c r="R64" s="189"/>
      <c r="S64" s="189"/>
      <c r="T64" s="189"/>
      <c r="U64" s="189"/>
      <c r="V64" s="189"/>
      <c r="W64" s="189"/>
      <c r="X64" s="189"/>
      <c r="Y64" s="189"/>
      <c r="Z64" s="189"/>
      <c r="AA64" s="189"/>
      <c r="AB64" s="189"/>
      <c r="AC64" s="189"/>
      <c r="AD64" s="189"/>
      <c r="AE64" s="189"/>
      <c r="AF64" s="189"/>
    </row>
    <row r="65">
      <c r="A65" s="1"/>
      <c r="B65" s="1"/>
      <c r="C65" s="190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89"/>
      <c r="R65" s="189"/>
      <c r="S65" s="189"/>
      <c r="T65" s="189"/>
      <c r="U65" s="189"/>
      <c r="V65" s="189"/>
      <c r="W65" s="189"/>
      <c r="X65" s="189"/>
      <c r="Y65" s="189"/>
      <c r="Z65" s="189"/>
      <c r="AA65" s="189"/>
      <c r="AB65" s="189"/>
      <c r="AC65" s="189"/>
      <c r="AD65" s="189"/>
      <c r="AE65" s="189"/>
      <c r="AF65" s="189"/>
    </row>
    <row r="66">
      <c r="A66" s="1"/>
      <c r="B66" s="1"/>
      <c r="C66" s="190"/>
      <c r="D66" s="1"/>
      <c r="E66" s="1"/>
      <c r="F66" s="1"/>
      <c r="G66" s="1"/>
      <c r="H66" s="1"/>
      <c r="I66" s="1"/>
      <c r="J66" s="1"/>
      <c r="K66" s="189"/>
      <c r="L66" s="1"/>
      <c r="M66" s="1"/>
      <c r="N66" s="1"/>
      <c r="O66" s="1"/>
      <c r="P66" s="1"/>
      <c r="Q66" s="189"/>
      <c r="R66" s="189"/>
      <c r="S66" s="189"/>
      <c r="T66" s="189"/>
      <c r="U66" s="189"/>
      <c r="V66" s="189"/>
      <c r="W66" s="189"/>
      <c r="X66" s="189"/>
      <c r="Y66" s="189"/>
      <c r="Z66" s="189"/>
      <c r="AA66" s="189"/>
      <c r="AB66" s="189"/>
      <c r="AC66" s="189"/>
      <c r="AD66" s="189"/>
      <c r="AE66" s="189"/>
      <c r="AF66" s="189"/>
    </row>
    <row r="67">
      <c r="A67" s="1"/>
      <c r="B67" s="1"/>
      <c r="C67" s="190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89"/>
      <c r="R67" s="189"/>
      <c r="S67" s="189"/>
      <c r="T67" s="189"/>
      <c r="U67" s="189"/>
      <c r="V67" s="189"/>
      <c r="W67" s="189"/>
      <c r="X67" s="189"/>
      <c r="Y67" s="189"/>
      <c r="Z67" s="189"/>
      <c r="AA67" s="189"/>
      <c r="AB67" s="189"/>
      <c r="AC67" s="189"/>
      <c r="AD67" s="189"/>
      <c r="AE67" s="189"/>
      <c r="AF67" s="189"/>
    </row>
    <row r="68">
      <c r="A68" s="1"/>
      <c r="B68" s="190"/>
      <c r="C68" s="190"/>
      <c r="D68" s="1"/>
      <c r="E68" s="189"/>
      <c r="F68" s="1"/>
      <c r="G68" s="1"/>
      <c r="H68" s="1"/>
      <c r="I68" s="1"/>
      <c r="J68" s="1"/>
      <c r="K68" s="189"/>
      <c r="L68" s="1"/>
      <c r="M68" s="1"/>
      <c r="N68" s="1"/>
      <c r="O68" s="1"/>
      <c r="P68" s="1"/>
      <c r="Q68" s="189"/>
      <c r="R68" s="189"/>
      <c r="S68" s="189"/>
      <c r="T68" s="189"/>
      <c r="U68" s="189"/>
      <c r="V68" s="189"/>
      <c r="W68" s="189"/>
      <c r="X68" s="189"/>
      <c r="Y68" s="189"/>
      <c r="Z68" s="189"/>
      <c r="AA68" s="189"/>
      <c r="AB68" s="189"/>
      <c r="AC68" s="189"/>
      <c r="AD68" s="189"/>
      <c r="AE68" s="189"/>
      <c r="AF68" s="189"/>
    </row>
    <row r="69">
      <c r="A69" s="1"/>
      <c r="B69" s="1"/>
      <c r="C69" s="190"/>
      <c r="D69" s="1"/>
      <c r="E69" s="189"/>
      <c r="F69" s="1"/>
      <c r="G69" s="1"/>
      <c r="H69" s="1"/>
      <c r="I69" s="1"/>
      <c r="J69" s="1"/>
      <c r="K69" s="189"/>
      <c r="L69" s="1"/>
      <c r="M69" s="1"/>
      <c r="N69" s="1"/>
      <c r="O69" s="1"/>
      <c r="P69" s="1"/>
      <c r="Q69" s="189"/>
      <c r="R69" s="189"/>
      <c r="S69" s="189"/>
      <c r="T69" s="189"/>
      <c r="U69" s="189"/>
      <c r="V69" s="189"/>
      <c r="W69" s="189"/>
      <c r="X69" s="189"/>
      <c r="Y69" s="189"/>
      <c r="Z69" s="189"/>
      <c r="AA69" s="189"/>
      <c r="AB69" s="189"/>
      <c r="AC69" s="189"/>
      <c r="AD69" s="189"/>
      <c r="AE69" s="189"/>
      <c r="AF69" s="189"/>
    </row>
    <row r="70">
      <c r="A70" s="1"/>
      <c r="B70" s="1"/>
      <c r="C70" s="190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89"/>
      <c r="R70" s="189"/>
      <c r="S70" s="189"/>
      <c r="T70" s="189"/>
      <c r="U70" s="189"/>
      <c r="V70" s="189"/>
      <c r="W70" s="189"/>
      <c r="X70" s="189"/>
      <c r="Y70" s="189"/>
      <c r="Z70" s="189"/>
      <c r="AA70" s="189"/>
      <c r="AB70" s="189"/>
      <c r="AC70" s="189"/>
      <c r="AD70" s="189"/>
      <c r="AE70" s="189"/>
      <c r="AF70" s="189"/>
    </row>
    <row r="71">
      <c r="A71" s="1"/>
      <c r="B71" s="1"/>
      <c r="C71" s="190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89"/>
      <c r="R71" s="189"/>
      <c r="S71" s="189"/>
      <c r="T71" s="189"/>
      <c r="U71" s="189"/>
      <c r="V71" s="189"/>
      <c r="W71" s="189"/>
      <c r="X71" s="189"/>
      <c r="Y71" s="189"/>
      <c r="Z71" s="189"/>
      <c r="AA71" s="189"/>
      <c r="AB71" s="189"/>
      <c r="AC71" s="189"/>
      <c r="AD71" s="189"/>
      <c r="AE71" s="189"/>
      <c r="AF71" s="189"/>
    </row>
    <row r="72">
      <c r="A72" s="1"/>
      <c r="B72" s="1"/>
      <c r="C72" s="190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89"/>
      <c r="R72" s="189"/>
      <c r="S72" s="189"/>
      <c r="T72" s="189"/>
      <c r="U72" s="189"/>
      <c r="V72" s="189"/>
      <c r="W72" s="189"/>
      <c r="X72" s="189"/>
      <c r="Y72" s="189"/>
      <c r="Z72" s="189"/>
      <c r="AA72" s="189"/>
      <c r="AB72" s="189"/>
      <c r="AC72" s="189"/>
      <c r="AD72" s="189"/>
      <c r="AE72" s="189"/>
      <c r="AF72" s="189"/>
    </row>
    <row r="73">
      <c r="A73" s="1"/>
      <c r="B73" s="190"/>
      <c r="C73" s="190"/>
      <c r="D73" s="1"/>
      <c r="E73" s="1"/>
      <c r="F73" s="1"/>
      <c r="G73" s="1"/>
      <c r="H73" s="1"/>
      <c r="I73" s="1"/>
      <c r="J73" s="1"/>
      <c r="K73" s="189"/>
      <c r="L73" s="1"/>
      <c r="M73" s="1"/>
      <c r="N73" s="1"/>
      <c r="O73" s="1"/>
      <c r="P73" s="1"/>
      <c r="Q73" s="189"/>
      <c r="R73" s="189"/>
      <c r="S73" s="189"/>
      <c r="T73" s="189"/>
      <c r="U73" s="189"/>
      <c r="V73" s="189"/>
      <c r="W73" s="189"/>
      <c r="X73" s="189"/>
      <c r="Y73" s="189"/>
      <c r="Z73" s="189"/>
      <c r="AA73" s="189"/>
      <c r="AB73" s="189"/>
      <c r="AC73" s="189"/>
      <c r="AD73" s="189"/>
      <c r="AE73" s="189"/>
      <c r="AF73" s="189"/>
    </row>
    <row r="74">
      <c r="A74" s="1"/>
      <c r="B74" s="1"/>
      <c r="C74" s="190"/>
      <c r="D74" s="1"/>
      <c r="E74" s="1"/>
      <c r="F74" s="1"/>
      <c r="G74" s="1"/>
      <c r="H74" s="1"/>
      <c r="I74" s="1"/>
      <c r="J74" s="1"/>
      <c r="K74" s="189"/>
      <c r="L74" s="1"/>
      <c r="M74" s="1"/>
      <c r="N74" s="1"/>
      <c r="O74" s="1"/>
      <c r="P74" s="1"/>
      <c r="Q74" s="189"/>
      <c r="R74" s="189"/>
      <c r="S74" s="189"/>
      <c r="T74" s="189"/>
      <c r="U74" s="189"/>
      <c r="V74" s="189"/>
      <c r="W74" s="189"/>
      <c r="X74" s="189"/>
      <c r="Y74" s="189"/>
      <c r="Z74" s="189"/>
      <c r="AA74" s="189"/>
      <c r="AB74" s="189"/>
      <c r="AC74" s="189"/>
      <c r="AD74" s="189"/>
      <c r="AE74" s="189"/>
      <c r="AF74" s="189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9"/>
      <c r="L75" s="1"/>
      <c r="M75" s="1"/>
      <c r="N75" s="1"/>
      <c r="O75" s="1"/>
      <c r="P75" s="1"/>
      <c r="Q75" s="189"/>
      <c r="R75" s="189"/>
      <c r="S75" s="189"/>
      <c r="T75" s="189"/>
      <c r="U75" s="189"/>
      <c r="V75" s="189"/>
      <c r="W75" s="189"/>
      <c r="X75" s="189"/>
      <c r="Y75" s="189"/>
      <c r="Z75" s="189"/>
      <c r="AA75" s="189"/>
      <c r="AB75" s="189"/>
      <c r="AC75" s="189"/>
      <c r="AD75" s="189"/>
      <c r="AE75" s="189"/>
      <c r="AF75" s="189"/>
    </row>
    <row r="76">
      <c r="A76" s="1"/>
      <c r="B76" s="1"/>
      <c r="C76" s="190"/>
      <c r="D76" s="1"/>
      <c r="E76" s="1"/>
      <c r="F76" s="1"/>
      <c r="G76" s="1"/>
      <c r="H76" s="1"/>
      <c r="I76" s="1"/>
      <c r="J76" s="1"/>
      <c r="K76" s="189"/>
      <c r="L76" s="1"/>
      <c r="M76" s="1"/>
      <c r="N76" s="1"/>
      <c r="O76" s="1"/>
      <c r="P76" s="1"/>
      <c r="Q76" s="189"/>
      <c r="R76" s="189"/>
      <c r="S76" s="189"/>
      <c r="T76" s="189"/>
      <c r="U76" s="189"/>
      <c r="V76" s="189"/>
      <c r="W76" s="189"/>
      <c r="X76" s="189"/>
      <c r="Y76" s="189"/>
      <c r="Z76" s="189"/>
      <c r="AA76" s="189"/>
      <c r="AB76" s="189"/>
      <c r="AC76" s="189"/>
      <c r="AD76" s="189"/>
      <c r="AE76" s="189"/>
      <c r="AF76" s="189"/>
    </row>
    <row r="77">
      <c r="A77" s="1"/>
      <c r="B77" s="1"/>
      <c r="C77" s="190"/>
      <c r="D77" s="1"/>
      <c r="E77" s="1"/>
      <c r="F77" s="1"/>
      <c r="G77" s="1"/>
      <c r="H77" s="1"/>
      <c r="I77" s="1"/>
      <c r="J77" s="1"/>
      <c r="K77" s="189"/>
      <c r="L77" s="1"/>
      <c r="M77" s="1"/>
      <c r="N77" s="1"/>
      <c r="O77" s="1"/>
      <c r="P77" s="1"/>
      <c r="Q77" s="189"/>
      <c r="R77" s="189"/>
      <c r="S77" s="189"/>
      <c r="T77" s="189"/>
      <c r="U77" s="189"/>
      <c r="V77" s="189"/>
      <c r="W77" s="189"/>
      <c r="X77" s="189"/>
      <c r="Y77" s="189"/>
      <c r="Z77" s="189"/>
      <c r="AA77" s="189"/>
      <c r="AB77" s="189"/>
      <c r="AC77" s="189"/>
      <c r="AD77" s="189"/>
      <c r="AE77" s="189"/>
      <c r="AF77" s="189"/>
    </row>
    <row r="78">
      <c r="A78" s="1"/>
      <c r="B78" s="1"/>
      <c r="C78" s="190"/>
      <c r="D78" s="1"/>
      <c r="E78" s="189"/>
      <c r="F78" s="1"/>
      <c r="G78" s="1"/>
      <c r="H78" s="1"/>
      <c r="I78" s="1"/>
      <c r="J78" s="1"/>
      <c r="K78" s="189"/>
      <c r="L78" s="1"/>
      <c r="M78" s="1"/>
      <c r="N78" s="1"/>
      <c r="O78" s="1"/>
      <c r="P78" s="1"/>
      <c r="Q78" s="189"/>
      <c r="R78" s="189"/>
      <c r="S78" s="189"/>
      <c r="T78" s="189"/>
      <c r="U78" s="189"/>
      <c r="V78" s="189"/>
      <c r="W78" s="189"/>
      <c r="X78" s="189"/>
      <c r="Y78" s="189"/>
      <c r="Z78" s="189"/>
      <c r="AA78" s="189"/>
      <c r="AB78" s="189"/>
      <c r="AC78" s="189"/>
      <c r="AD78" s="189"/>
      <c r="AE78" s="189"/>
      <c r="AF78" s="189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89"/>
      <c r="L79" s="1"/>
      <c r="M79" s="1"/>
      <c r="N79" s="1"/>
      <c r="O79" s="1"/>
      <c r="P79" s="1"/>
      <c r="Q79" s="189"/>
      <c r="R79" s="189"/>
      <c r="S79" s="189"/>
      <c r="T79" s="189"/>
      <c r="U79" s="189"/>
      <c r="V79" s="189"/>
      <c r="W79" s="189"/>
      <c r="X79" s="189"/>
      <c r="Y79" s="189"/>
      <c r="Z79" s="189"/>
      <c r="AA79" s="189"/>
      <c r="AB79" s="189"/>
      <c r="AC79" s="189"/>
      <c r="AD79" s="189"/>
      <c r="AE79" s="189"/>
      <c r="AF79" s="189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89"/>
      <c r="L80" s="1"/>
      <c r="M80" s="1"/>
      <c r="N80" s="1"/>
      <c r="O80" s="1"/>
      <c r="P80" s="1"/>
      <c r="Q80" s="189"/>
      <c r="R80" s="189"/>
      <c r="S80" s="189"/>
      <c r="T80" s="189"/>
      <c r="U80" s="189"/>
      <c r="V80" s="189"/>
      <c r="W80" s="189"/>
      <c r="X80" s="189"/>
      <c r="Y80" s="189"/>
      <c r="Z80" s="189"/>
      <c r="AA80" s="189"/>
      <c r="AB80" s="189"/>
      <c r="AC80" s="189"/>
      <c r="AD80" s="189"/>
      <c r="AE80" s="189"/>
      <c r="AF80" s="189"/>
    </row>
    <row r="81">
      <c r="A81" s="1"/>
      <c r="B81" s="1"/>
      <c r="C81" s="190"/>
      <c r="D81" s="1"/>
      <c r="E81" s="1"/>
      <c r="F81" s="1"/>
      <c r="G81" s="1"/>
      <c r="H81" s="1"/>
      <c r="I81" s="1"/>
      <c r="J81" s="1"/>
      <c r="K81" s="189"/>
      <c r="L81" s="1"/>
      <c r="M81" s="1"/>
      <c r="N81" s="1"/>
      <c r="O81" s="1"/>
      <c r="P81" s="1"/>
      <c r="Q81" s="189"/>
      <c r="R81" s="189"/>
      <c r="S81" s="189"/>
      <c r="T81" s="189"/>
      <c r="U81" s="189"/>
      <c r="V81" s="189"/>
      <c r="W81" s="189"/>
      <c r="X81" s="189"/>
      <c r="Y81" s="189"/>
      <c r="Z81" s="189"/>
      <c r="AA81" s="189"/>
      <c r="AB81" s="189"/>
      <c r="AC81" s="189"/>
      <c r="AD81" s="189"/>
      <c r="AE81" s="189"/>
      <c r="AF81" s="189"/>
    </row>
    <row r="82">
      <c r="A82" s="1"/>
      <c r="B82" s="1"/>
      <c r="C82" s="190"/>
      <c r="D82" s="1"/>
      <c r="E82" s="189"/>
      <c r="F82" s="1"/>
      <c r="G82" s="1"/>
      <c r="H82" s="1"/>
      <c r="I82" s="1"/>
      <c r="J82" s="1"/>
      <c r="K82" s="189"/>
      <c r="L82" s="1"/>
      <c r="M82" s="1"/>
      <c r="N82" s="1"/>
      <c r="O82" s="1"/>
      <c r="P82" s="1"/>
      <c r="Q82" s="189"/>
      <c r="R82" s="189"/>
      <c r="S82" s="189"/>
      <c r="T82" s="189"/>
      <c r="U82" s="189"/>
      <c r="V82" s="189"/>
      <c r="W82" s="189"/>
      <c r="X82" s="189"/>
      <c r="Y82" s="189"/>
      <c r="Z82" s="189"/>
      <c r="AA82" s="189"/>
      <c r="AB82" s="189"/>
      <c r="AC82" s="189"/>
      <c r="AD82" s="189"/>
      <c r="AE82" s="189"/>
      <c r="AF82" s="189"/>
    </row>
    <row r="83">
      <c r="A83" s="1"/>
      <c r="B83" s="1"/>
      <c r="C83" s="1"/>
      <c r="D83" s="1"/>
      <c r="E83" s="189"/>
      <c r="F83" s="1"/>
      <c r="G83" s="1"/>
      <c r="H83" s="1"/>
      <c r="I83" s="1"/>
      <c r="J83" s="1"/>
      <c r="K83" s="189"/>
      <c r="L83" s="1"/>
      <c r="M83" s="1"/>
      <c r="N83" s="1"/>
      <c r="O83" s="1"/>
      <c r="P83" s="1"/>
      <c r="Q83" s="189"/>
      <c r="R83" s="189"/>
      <c r="S83" s="189"/>
      <c r="T83" s="189"/>
      <c r="U83" s="189"/>
      <c r="V83" s="189"/>
      <c r="W83" s="189"/>
      <c r="X83" s="189"/>
      <c r="Y83" s="189"/>
      <c r="Z83" s="189"/>
      <c r="AA83" s="189"/>
      <c r="AB83" s="189"/>
      <c r="AC83" s="189"/>
      <c r="AD83" s="189"/>
      <c r="AE83" s="189"/>
      <c r="AF83" s="189"/>
    </row>
    <row r="84">
      <c r="A84" s="1"/>
      <c r="B84" s="1"/>
      <c r="C84" s="190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89"/>
      <c r="R84" s="189"/>
      <c r="S84" s="189"/>
      <c r="T84" s="189"/>
      <c r="U84" s="189"/>
      <c r="V84" s="189"/>
      <c r="W84" s="189"/>
      <c r="X84" s="189"/>
      <c r="Y84" s="189"/>
      <c r="Z84" s="189"/>
      <c r="AA84" s="189"/>
      <c r="AB84" s="189"/>
      <c r="AC84" s="189"/>
      <c r="AD84" s="189"/>
      <c r="AE84" s="189"/>
      <c r="AF84" s="189"/>
    </row>
    <row r="85">
      <c r="A85" s="1"/>
      <c r="B85" s="1"/>
      <c r="C85" s="190"/>
      <c r="D85" s="1"/>
      <c r="E85" s="1"/>
      <c r="F85" s="1"/>
      <c r="G85" s="1"/>
      <c r="H85" s="1"/>
      <c r="I85" s="1"/>
      <c r="J85" s="1"/>
      <c r="K85" s="189"/>
      <c r="L85" s="1"/>
      <c r="M85" s="1"/>
      <c r="N85" s="1"/>
      <c r="O85" s="1"/>
      <c r="P85" s="1"/>
      <c r="Q85" s="189"/>
      <c r="R85" s="189"/>
      <c r="S85" s="189"/>
      <c r="T85" s="189"/>
      <c r="U85" s="189"/>
      <c r="V85" s="189"/>
      <c r="W85" s="189"/>
      <c r="X85" s="189"/>
      <c r="Y85" s="189"/>
      <c r="Z85" s="189"/>
      <c r="AA85" s="189"/>
      <c r="AB85" s="189"/>
      <c r="AC85" s="189"/>
      <c r="AD85" s="189"/>
      <c r="AE85" s="189"/>
      <c r="AF85" s="189"/>
    </row>
    <row r="86">
      <c r="A86" s="1"/>
      <c r="B86" s="1"/>
      <c r="C86" s="190"/>
      <c r="D86" s="1"/>
      <c r="E86" s="1"/>
      <c r="F86" s="1"/>
      <c r="G86" s="1"/>
      <c r="H86" s="1"/>
      <c r="I86" s="1"/>
      <c r="J86" s="1"/>
      <c r="K86" s="189"/>
      <c r="L86" s="1"/>
      <c r="M86" s="1"/>
      <c r="N86" s="1"/>
      <c r="O86" s="1"/>
      <c r="P86" s="1"/>
      <c r="Q86" s="189"/>
      <c r="R86" s="189"/>
      <c r="S86" s="189"/>
      <c r="T86" s="189"/>
      <c r="U86" s="189"/>
      <c r="V86" s="189"/>
      <c r="W86" s="189"/>
      <c r="X86" s="189"/>
      <c r="Y86" s="189"/>
      <c r="Z86" s="189"/>
      <c r="AA86" s="189"/>
      <c r="AB86" s="189"/>
      <c r="AC86" s="189"/>
      <c r="AD86" s="189"/>
      <c r="AE86" s="189"/>
      <c r="AF86" s="189"/>
    </row>
    <row r="87">
      <c r="A87" s="1"/>
      <c r="B87" s="1"/>
      <c r="C87" s="190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89"/>
      <c r="R87" s="189"/>
      <c r="S87" s="189"/>
      <c r="T87" s="189"/>
      <c r="U87" s="189"/>
      <c r="V87" s="189"/>
      <c r="W87" s="189"/>
      <c r="X87" s="189"/>
      <c r="Y87" s="189"/>
      <c r="Z87" s="189"/>
      <c r="AA87" s="189"/>
      <c r="AB87" s="189"/>
      <c r="AC87" s="189"/>
      <c r="AD87" s="189"/>
      <c r="AE87" s="189"/>
      <c r="AF87" s="189"/>
    </row>
    <row r="88">
      <c r="A88" s="1"/>
      <c r="B88" s="1"/>
      <c r="C88" s="190"/>
      <c r="D88" s="1"/>
      <c r="E88" s="1"/>
      <c r="F88" s="1"/>
      <c r="G88" s="1"/>
      <c r="H88" s="1"/>
      <c r="I88" s="1"/>
      <c r="J88" s="1"/>
      <c r="K88" s="189"/>
      <c r="L88" s="1"/>
      <c r="M88" s="1"/>
      <c r="N88" s="1"/>
      <c r="O88" s="1"/>
      <c r="P88" s="1"/>
      <c r="Q88" s="189"/>
      <c r="R88" s="189"/>
      <c r="S88" s="189"/>
      <c r="T88" s="189"/>
      <c r="U88" s="189"/>
      <c r="V88" s="189"/>
      <c r="W88" s="189"/>
      <c r="X88" s="189"/>
      <c r="Y88" s="189"/>
      <c r="Z88" s="189"/>
      <c r="AA88" s="189"/>
      <c r="AB88" s="189"/>
      <c r="AC88" s="189"/>
      <c r="AD88" s="189"/>
      <c r="AE88" s="189"/>
      <c r="AF88" s="189"/>
    </row>
    <row r="89">
      <c r="A89" s="1"/>
      <c r="B89" s="1"/>
      <c r="C89" s="190"/>
      <c r="D89" s="1"/>
      <c r="E89" s="1"/>
      <c r="F89" s="1"/>
      <c r="G89" s="1"/>
      <c r="H89" s="1"/>
      <c r="I89" s="1"/>
      <c r="J89" s="1"/>
      <c r="K89" s="189"/>
      <c r="L89" s="1"/>
      <c r="M89" s="1"/>
      <c r="N89" s="1"/>
      <c r="O89" s="1"/>
      <c r="P89" s="1"/>
      <c r="Q89" s="189"/>
      <c r="R89" s="189"/>
      <c r="S89" s="189"/>
      <c r="T89" s="189"/>
      <c r="U89" s="189"/>
      <c r="V89" s="189"/>
      <c r="W89" s="189"/>
      <c r="X89" s="189"/>
      <c r="Y89" s="189"/>
      <c r="Z89" s="189"/>
      <c r="AA89" s="189"/>
      <c r="AB89" s="189"/>
      <c r="AC89" s="189"/>
      <c r="AD89" s="189"/>
      <c r="AE89" s="189"/>
      <c r="AF89" s="189"/>
    </row>
    <row r="90">
      <c r="A90" s="1"/>
      <c r="B90" s="1"/>
      <c r="C90" s="190"/>
      <c r="D90" s="1"/>
      <c r="E90" s="1"/>
      <c r="F90" s="1"/>
      <c r="G90" s="1"/>
      <c r="H90" s="1"/>
      <c r="I90" s="1"/>
      <c r="J90" s="1"/>
      <c r="K90" s="189"/>
      <c r="L90" s="1"/>
      <c r="M90" s="1"/>
      <c r="N90" s="1"/>
      <c r="O90" s="1"/>
      <c r="P90" s="1"/>
      <c r="Q90" s="189"/>
      <c r="R90" s="189"/>
      <c r="S90" s="189"/>
      <c r="T90" s="189"/>
      <c r="U90" s="189"/>
      <c r="V90" s="189"/>
      <c r="W90" s="189"/>
      <c r="X90" s="189"/>
      <c r="Y90" s="189"/>
      <c r="Z90" s="189"/>
      <c r="AA90" s="189"/>
      <c r="AB90" s="189"/>
      <c r="AC90" s="189"/>
      <c r="AD90" s="189"/>
      <c r="AE90" s="189"/>
      <c r="AF90" s="189"/>
    </row>
    <row r="91">
      <c r="A91" s="1"/>
      <c r="B91" s="1"/>
      <c r="C91" s="190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89"/>
      <c r="R91" s="189"/>
      <c r="S91" s="189"/>
      <c r="T91" s="189"/>
      <c r="U91" s="189"/>
      <c r="V91" s="189"/>
      <c r="W91" s="189"/>
      <c r="X91" s="189"/>
      <c r="Y91" s="189"/>
      <c r="Z91" s="189"/>
      <c r="AA91" s="189"/>
      <c r="AB91" s="189"/>
      <c r="AC91" s="189"/>
      <c r="AD91" s="189"/>
      <c r="AE91" s="189"/>
      <c r="AF91" s="189"/>
    </row>
    <row r="92">
      <c r="A92" s="1"/>
      <c r="B92" s="1"/>
      <c r="C92" s="190"/>
      <c r="D92" s="1"/>
      <c r="E92" s="1"/>
      <c r="F92" s="1"/>
      <c r="G92" s="1"/>
      <c r="H92" s="1"/>
      <c r="I92" s="1"/>
      <c r="J92" s="1"/>
      <c r="K92" s="189"/>
      <c r="L92" s="1"/>
      <c r="M92" s="1"/>
      <c r="N92" s="1"/>
      <c r="O92" s="1"/>
      <c r="P92" s="1"/>
      <c r="Q92" s="189"/>
      <c r="R92" s="189"/>
      <c r="S92" s="189"/>
      <c r="T92" s="189"/>
      <c r="U92" s="189"/>
      <c r="V92" s="189"/>
      <c r="W92" s="189"/>
      <c r="X92" s="189"/>
      <c r="Y92" s="189"/>
      <c r="Z92" s="189"/>
      <c r="AA92" s="189"/>
      <c r="AB92" s="189"/>
      <c r="AC92" s="189"/>
      <c r="AD92" s="189"/>
      <c r="AE92" s="189"/>
      <c r="AF92" s="189"/>
    </row>
    <row r="93">
      <c r="A93" s="1"/>
      <c r="B93" s="1"/>
      <c r="C93" s="190"/>
      <c r="D93" s="1"/>
      <c r="E93" s="189"/>
      <c r="F93" s="1"/>
      <c r="G93" s="1"/>
      <c r="H93" s="1"/>
      <c r="I93" s="1"/>
      <c r="J93" s="1"/>
      <c r="K93" s="189"/>
      <c r="L93" s="1"/>
      <c r="M93" s="1"/>
      <c r="N93" s="1"/>
      <c r="O93" s="1"/>
      <c r="P93" s="1"/>
      <c r="Q93" s="189"/>
      <c r="R93" s="189"/>
      <c r="S93" s="189"/>
      <c r="T93" s="189"/>
      <c r="U93" s="189"/>
      <c r="V93" s="189"/>
      <c r="W93" s="189"/>
      <c r="X93" s="189"/>
      <c r="Y93" s="189"/>
      <c r="Z93" s="189"/>
      <c r="AA93" s="189"/>
      <c r="AB93" s="189"/>
      <c r="AC93" s="189"/>
      <c r="AD93" s="189"/>
      <c r="AE93" s="189"/>
      <c r="AF93" s="189"/>
    </row>
    <row r="94">
      <c r="A94" s="1"/>
      <c r="B94" s="1"/>
      <c r="C94" s="1"/>
      <c r="D94" s="1"/>
      <c r="E94" s="189"/>
      <c r="F94" s="1"/>
      <c r="G94" s="1"/>
      <c r="H94" s="1"/>
      <c r="I94" s="1"/>
      <c r="J94" s="1"/>
      <c r="K94" s="189"/>
      <c r="L94" s="1"/>
      <c r="M94" s="1"/>
      <c r="N94" s="1"/>
      <c r="O94" s="1"/>
      <c r="P94" s="1"/>
      <c r="Q94" s="189"/>
      <c r="R94" s="189"/>
      <c r="S94" s="189"/>
      <c r="T94" s="189"/>
      <c r="U94" s="189"/>
      <c r="V94" s="189"/>
      <c r="W94" s="189"/>
      <c r="X94" s="189"/>
      <c r="Y94" s="189"/>
      <c r="Z94" s="189"/>
      <c r="AA94" s="189"/>
      <c r="AB94" s="189"/>
      <c r="AC94" s="189"/>
      <c r="AD94" s="189"/>
      <c r="AE94" s="189"/>
      <c r="AF94" s="189"/>
    </row>
    <row r="95">
      <c r="A95" s="1"/>
      <c r="B95" s="1"/>
      <c r="C95" s="190"/>
      <c r="D95" s="1"/>
      <c r="E95" s="189"/>
      <c r="F95" s="1"/>
      <c r="G95" s="1"/>
      <c r="H95" s="1"/>
      <c r="I95" s="1"/>
      <c r="J95" s="1"/>
      <c r="K95" s="189"/>
      <c r="L95" s="1"/>
      <c r="M95" s="1"/>
      <c r="N95" s="1"/>
      <c r="O95" s="1"/>
      <c r="P95" s="1"/>
      <c r="Q95" s="189"/>
      <c r="R95" s="189"/>
      <c r="S95" s="189"/>
      <c r="T95" s="189"/>
      <c r="U95" s="189"/>
      <c r="V95" s="189"/>
      <c r="W95" s="189"/>
      <c r="X95" s="189"/>
      <c r="Y95" s="189"/>
      <c r="Z95" s="189"/>
      <c r="AA95" s="189"/>
      <c r="AB95" s="189"/>
      <c r="AC95" s="189"/>
      <c r="AD95" s="189"/>
      <c r="AE95" s="189"/>
      <c r="AF95" s="189"/>
    </row>
    <row r="96">
      <c r="A96" s="1"/>
      <c r="B96" s="1"/>
      <c r="C96" s="1"/>
      <c r="D96" s="1"/>
      <c r="E96" s="189"/>
      <c r="F96" s="1"/>
      <c r="G96" s="1"/>
      <c r="H96" s="1"/>
      <c r="I96" s="1"/>
      <c r="J96" s="1"/>
      <c r="K96" s="189"/>
      <c r="L96" s="1"/>
      <c r="M96" s="1"/>
      <c r="N96" s="1"/>
      <c r="O96" s="1"/>
      <c r="P96" s="1"/>
      <c r="Q96" s="189"/>
      <c r="R96" s="189"/>
      <c r="S96" s="189"/>
      <c r="T96" s="189"/>
      <c r="U96" s="189"/>
      <c r="V96" s="189"/>
      <c r="W96" s="189"/>
      <c r="X96" s="189"/>
      <c r="Y96" s="189"/>
      <c r="Z96" s="189"/>
      <c r="AA96" s="189"/>
      <c r="AB96" s="189"/>
      <c r="AC96" s="189"/>
      <c r="AD96" s="189"/>
      <c r="AE96" s="189"/>
      <c r="AF96" s="189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89"/>
      <c r="R97" s="189"/>
      <c r="S97" s="189"/>
      <c r="T97" s="189"/>
      <c r="U97" s="189"/>
      <c r="V97" s="189"/>
      <c r="W97" s="189"/>
      <c r="X97" s="189"/>
      <c r="Y97" s="189"/>
      <c r="Z97" s="189"/>
      <c r="AA97" s="189"/>
      <c r="AB97" s="189"/>
      <c r="AC97" s="189"/>
      <c r="AD97" s="189"/>
      <c r="AE97" s="189"/>
      <c r="AF97" s="189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89"/>
      <c r="R98" s="189"/>
      <c r="S98" s="189"/>
      <c r="T98" s="189"/>
      <c r="U98" s="189"/>
      <c r="V98" s="189"/>
      <c r="W98" s="189"/>
      <c r="X98" s="189"/>
      <c r="Y98" s="189"/>
      <c r="Z98" s="189"/>
      <c r="AA98" s="189"/>
      <c r="AB98" s="189"/>
      <c r="AC98" s="189"/>
      <c r="AD98" s="189"/>
      <c r="AE98" s="189"/>
      <c r="AF98" s="189"/>
    </row>
    <row r="99">
      <c r="A99" s="189"/>
      <c r="B99" s="189"/>
      <c r="C99" s="191"/>
      <c r="D99" s="189"/>
      <c r="E99" s="189"/>
      <c r="F99" s="189"/>
      <c r="G99" s="189"/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  <c r="Z99" s="189"/>
      <c r="AA99" s="189"/>
      <c r="AB99" s="189"/>
      <c r="AC99" s="189"/>
      <c r="AD99" s="189"/>
      <c r="AE99" s="189"/>
      <c r="AF99" s="189"/>
    </row>
    <row r="100">
      <c r="A100" s="189"/>
      <c r="B100" s="189"/>
      <c r="C100" s="191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  <c r="Z100" s="189"/>
      <c r="AA100" s="189"/>
      <c r="AB100" s="189"/>
      <c r="AC100" s="189"/>
      <c r="AD100" s="189"/>
      <c r="AE100" s="189"/>
      <c r="AF100" s="189"/>
    </row>
    <row r="101">
      <c r="A101" s="189"/>
      <c r="B101" s="189"/>
      <c r="C101" s="189"/>
      <c r="D101" s="189"/>
      <c r="E101" s="189"/>
      <c r="F101" s="189"/>
      <c r="G101" s="189"/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  <c r="Y101" s="189"/>
      <c r="Z101" s="189"/>
      <c r="AA101" s="189"/>
      <c r="AB101" s="189"/>
      <c r="AC101" s="189"/>
      <c r="AD101" s="189"/>
      <c r="AE101" s="189"/>
      <c r="AF101" s="189"/>
    </row>
    <row r="102">
      <c r="A102" s="189"/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  <c r="AA102" s="189"/>
      <c r="AB102" s="189"/>
      <c r="AC102" s="189"/>
      <c r="AD102" s="189"/>
      <c r="AE102" s="189"/>
      <c r="AF102" s="189"/>
    </row>
    <row r="103">
      <c r="A103" s="189"/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  <c r="AA103" s="189"/>
      <c r="AB103" s="189"/>
      <c r="AC103" s="189"/>
      <c r="AD103" s="189"/>
      <c r="AE103" s="189"/>
      <c r="AF103" s="189"/>
    </row>
    <row r="104">
      <c r="A104" s="189"/>
      <c r="B104" s="189"/>
      <c r="C104" s="191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  <c r="AA104" s="189"/>
      <c r="AB104" s="189"/>
      <c r="AC104" s="189"/>
      <c r="AD104" s="189"/>
      <c r="AE104" s="189"/>
      <c r="AF104" s="189"/>
    </row>
    <row r="105">
      <c r="A105" s="189"/>
      <c r="B105" s="189"/>
      <c r="C105" s="191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  <c r="N105" s="189"/>
      <c r="O105" s="189"/>
      <c r="P105" s="189"/>
      <c r="Q105" s="189"/>
      <c r="R105" s="189"/>
      <c r="S105" s="189"/>
      <c r="T105" s="189"/>
      <c r="U105" s="189"/>
      <c r="V105" s="189"/>
      <c r="W105" s="189"/>
      <c r="X105" s="189"/>
      <c r="Y105" s="189"/>
      <c r="Z105" s="189"/>
      <c r="AA105" s="189"/>
      <c r="AB105" s="189"/>
      <c r="AC105" s="189"/>
      <c r="AD105" s="189"/>
      <c r="AE105" s="189"/>
      <c r="AF105" s="189"/>
    </row>
    <row r="106">
      <c r="A106" s="189"/>
      <c r="B106" s="189"/>
      <c r="C106" s="191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  <c r="N106" s="189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  <c r="AA106" s="189"/>
      <c r="AB106" s="189"/>
      <c r="AC106" s="189"/>
      <c r="AD106" s="189"/>
      <c r="AE106" s="189"/>
      <c r="AF106" s="189"/>
    </row>
    <row r="107">
      <c r="A107" s="189"/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  <c r="N107" s="189"/>
      <c r="O107" s="189"/>
      <c r="P107" s="189"/>
      <c r="Q107" s="189"/>
      <c r="R107" s="189"/>
      <c r="S107" s="189"/>
      <c r="T107" s="189"/>
      <c r="U107" s="189"/>
      <c r="V107" s="189"/>
      <c r="W107" s="189"/>
      <c r="X107" s="189"/>
      <c r="Y107" s="189"/>
      <c r="Z107" s="189"/>
      <c r="AA107" s="189"/>
      <c r="AB107" s="189"/>
      <c r="AC107" s="189"/>
      <c r="AD107" s="189"/>
      <c r="AE107" s="189"/>
      <c r="AF107" s="189"/>
    </row>
    <row r="108">
      <c r="A108" s="189"/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  <c r="AA108" s="189"/>
      <c r="AB108" s="189"/>
      <c r="AC108" s="189"/>
      <c r="AD108" s="189"/>
      <c r="AE108" s="189"/>
      <c r="AF108" s="189"/>
    </row>
    <row r="109">
      <c r="A109" s="189"/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  <c r="AA109" s="189"/>
      <c r="AB109" s="189"/>
      <c r="AC109" s="189"/>
      <c r="AD109" s="189"/>
      <c r="AE109" s="189"/>
      <c r="AF109" s="189"/>
    </row>
    <row r="110">
      <c r="A110" s="189"/>
      <c r="B110" s="189"/>
      <c r="C110" s="191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  <c r="AA110" s="189"/>
      <c r="AB110" s="189"/>
      <c r="AC110" s="189"/>
      <c r="AD110" s="189"/>
      <c r="AE110" s="189"/>
      <c r="AF110" s="189"/>
    </row>
    <row r="111">
      <c r="A111" s="189"/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  <c r="AA111" s="189"/>
      <c r="AB111" s="189"/>
      <c r="AC111" s="189"/>
      <c r="AD111" s="189"/>
      <c r="AE111" s="189"/>
      <c r="AF111" s="189"/>
    </row>
    <row r="112">
      <c r="A112" s="189"/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  <c r="N112" s="189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  <c r="AA112" s="189"/>
      <c r="AB112" s="189"/>
      <c r="AC112" s="189"/>
      <c r="AD112" s="189"/>
      <c r="AE112" s="189"/>
      <c r="AF112" s="189"/>
    </row>
    <row r="113">
      <c r="A113" s="189"/>
      <c r="B113" s="189"/>
      <c r="C113" s="191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  <c r="AA113" s="189"/>
      <c r="AB113" s="189"/>
      <c r="AC113" s="189"/>
      <c r="AD113" s="189"/>
      <c r="AE113" s="189"/>
      <c r="AF113" s="189"/>
    </row>
    <row r="114">
      <c r="A114" s="189"/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  <c r="AA114" s="189"/>
      <c r="AB114" s="189"/>
      <c r="AC114" s="189"/>
      <c r="AD114" s="189"/>
      <c r="AE114" s="189"/>
      <c r="AF114" s="189"/>
    </row>
    <row r="115">
      <c r="A115" s="189"/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  <c r="AA115" s="189"/>
      <c r="AB115" s="189"/>
      <c r="AC115" s="189"/>
      <c r="AD115" s="189"/>
      <c r="AE115" s="189"/>
      <c r="AF115" s="189"/>
    </row>
    <row r="116">
      <c r="A116" s="189"/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  <c r="AA116" s="189"/>
      <c r="AB116" s="189"/>
      <c r="AC116" s="189"/>
      <c r="AD116" s="189"/>
      <c r="AE116" s="189"/>
      <c r="AF116" s="189"/>
    </row>
    <row r="117">
      <c r="A117" s="189"/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  <c r="AA117" s="189"/>
      <c r="AB117" s="189"/>
      <c r="AC117" s="189"/>
      <c r="AD117" s="189"/>
      <c r="AE117" s="189"/>
      <c r="AF117" s="189"/>
    </row>
    <row r="118">
      <c r="A118" s="189"/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  <c r="AA118" s="189"/>
      <c r="AB118" s="189"/>
      <c r="AC118" s="189"/>
      <c r="AD118" s="189"/>
      <c r="AE118" s="189"/>
      <c r="AF118" s="189"/>
    </row>
    <row r="119">
      <c r="A119" s="189"/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  <c r="AA119" s="189"/>
      <c r="AB119" s="189"/>
      <c r="AC119" s="189"/>
      <c r="AD119" s="189"/>
      <c r="AE119" s="189"/>
      <c r="AF119" s="189"/>
    </row>
    <row r="120">
      <c r="A120" s="189"/>
      <c r="B120" s="189"/>
      <c r="C120" s="189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  <c r="AA120" s="189"/>
      <c r="AB120" s="189"/>
      <c r="AC120" s="189"/>
      <c r="AD120" s="189"/>
      <c r="AE120" s="189"/>
      <c r="AF120" s="189"/>
    </row>
    <row r="121">
      <c r="A121" s="189"/>
      <c r="B121" s="189"/>
      <c r="C121" s="191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  <c r="AA121" s="189"/>
      <c r="AB121" s="189"/>
      <c r="AC121" s="189"/>
      <c r="AD121" s="189"/>
      <c r="AE121" s="189"/>
      <c r="AF121" s="189"/>
    </row>
    <row r="122">
      <c r="A122" s="189"/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  <c r="AA122" s="189"/>
      <c r="AB122" s="189"/>
      <c r="AC122" s="189"/>
      <c r="AD122" s="189"/>
      <c r="AE122" s="189"/>
      <c r="AF122" s="189"/>
    </row>
    <row r="123">
      <c r="A123" s="189"/>
      <c r="B123" s="189"/>
      <c r="C123" s="191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  <c r="AA123" s="189"/>
      <c r="AB123" s="189"/>
      <c r="AC123" s="189"/>
      <c r="AD123" s="189"/>
      <c r="AE123" s="189"/>
      <c r="AF123" s="189"/>
    </row>
    <row r="124">
      <c r="A124" s="189"/>
      <c r="B124" s="189"/>
      <c r="C124" s="191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  <c r="AA124" s="189"/>
      <c r="AB124" s="189"/>
      <c r="AC124" s="189"/>
      <c r="AD124" s="189"/>
      <c r="AE124" s="189"/>
      <c r="AF124" s="189"/>
    </row>
    <row r="125">
      <c r="A125" s="189"/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</row>
    <row r="126">
      <c r="A126" s="189"/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  <c r="AA126" s="189"/>
      <c r="AB126" s="189"/>
      <c r="AC126" s="189"/>
      <c r="AD126" s="189"/>
      <c r="AE126" s="189"/>
      <c r="AF126" s="189"/>
    </row>
    <row r="127">
      <c r="A127" s="189"/>
      <c r="B127" s="189"/>
      <c r="C127" s="191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  <c r="AA127" s="189"/>
      <c r="AB127" s="189"/>
      <c r="AC127" s="189"/>
      <c r="AD127" s="189"/>
      <c r="AE127" s="189"/>
      <c r="AF127" s="189"/>
    </row>
    <row r="128">
      <c r="A128" s="189"/>
      <c r="B128" s="189"/>
      <c r="C128" s="191"/>
      <c r="D128" s="189"/>
      <c r="E128" s="189"/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  <c r="Z128" s="189"/>
      <c r="AA128" s="189"/>
      <c r="AB128" s="189"/>
      <c r="AC128" s="189"/>
      <c r="AD128" s="189"/>
      <c r="AE128" s="189"/>
      <c r="AF128" s="189"/>
    </row>
    <row r="129">
      <c r="A129" s="189"/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  <c r="AA129" s="189"/>
      <c r="AB129" s="189"/>
      <c r="AC129" s="189"/>
      <c r="AD129" s="189"/>
      <c r="AE129" s="189"/>
      <c r="AF129" s="189"/>
    </row>
    <row r="130">
      <c r="A130" s="189"/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  <c r="Z130" s="189"/>
      <c r="AA130" s="189"/>
      <c r="AB130" s="189"/>
      <c r="AC130" s="189"/>
      <c r="AD130" s="189"/>
      <c r="AE130" s="189"/>
      <c r="AF130" s="189"/>
    </row>
    <row r="131">
      <c r="A131" s="189"/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  <c r="Z131" s="189"/>
      <c r="AA131" s="189"/>
      <c r="AB131" s="189"/>
      <c r="AC131" s="189"/>
      <c r="AD131" s="189"/>
      <c r="AE131" s="189"/>
      <c r="AF131" s="189"/>
    </row>
    <row r="132">
      <c r="A132" s="189"/>
      <c r="B132" s="189"/>
      <c r="C132" s="191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  <c r="Z132" s="189"/>
      <c r="AA132" s="189"/>
      <c r="AB132" s="189"/>
      <c r="AC132" s="189"/>
      <c r="AD132" s="189"/>
      <c r="AE132" s="189"/>
      <c r="AF132" s="189"/>
    </row>
    <row r="133">
      <c r="A133" s="189"/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  <c r="Z133" s="189"/>
      <c r="AA133" s="189"/>
      <c r="AB133" s="189"/>
      <c r="AC133" s="189"/>
      <c r="AD133" s="189"/>
      <c r="AE133" s="189"/>
      <c r="AF133" s="189"/>
    </row>
    <row r="13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  <c r="Z134" s="189"/>
      <c r="AA134" s="189"/>
      <c r="AB134" s="189"/>
      <c r="AC134" s="189"/>
      <c r="AD134" s="189"/>
      <c r="AE134" s="189"/>
      <c r="AF134" s="189"/>
    </row>
    <row r="135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  <c r="Z135" s="189"/>
      <c r="AA135" s="189"/>
      <c r="AB135" s="189"/>
      <c r="AC135" s="189"/>
      <c r="AD135" s="189"/>
      <c r="AE135" s="189"/>
      <c r="AF135" s="189"/>
    </row>
    <row r="136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  <c r="Z136" s="189"/>
      <c r="AA136" s="189"/>
      <c r="AB136" s="189"/>
      <c r="AC136" s="189"/>
      <c r="AD136" s="189"/>
      <c r="AE136" s="189"/>
      <c r="AF136" s="189"/>
    </row>
    <row r="137">
      <c r="A137" s="189"/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  <c r="Z137" s="189"/>
      <c r="AA137" s="189"/>
      <c r="AB137" s="189"/>
      <c r="AC137" s="189"/>
      <c r="AD137" s="189"/>
      <c r="AE137" s="189"/>
      <c r="AF137" s="189"/>
    </row>
    <row r="138">
      <c r="A138" s="189"/>
      <c r="B138" s="189"/>
      <c r="C138" s="191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  <c r="Z138" s="189"/>
      <c r="AA138" s="189"/>
      <c r="AB138" s="189"/>
      <c r="AC138" s="189"/>
      <c r="AD138" s="189"/>
      <c r="AE138" s="189"/>
      <c r="AF138" s="189"/>
    </row>
    <row r="139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  <c r="Z139" s="189"/>
      <c r="AA139" s="189"/>
      <c r="AB139" s="189"/>
      <c r="AC139" s="189"/>
      <c r="AD139" s="189"/>
      <c r="AE139" s="189"/>
      <c r="AF139" s="189"/>
    </row>
    <row r="140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  <c r="Z140" s="189"/>
      <c r="AA140" s="189"/>
      <c r="AB140" s="189"/>
      <c r="AC140" s="189"/>
      <c r="AD140" s="189"/>
      <c r="AE140" s="189"/>
      <c r="AF140" s="189"/>
    </row>
    <row r="141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  <c r="Z141" s="189"/>
      <c r="AA141" s="189"/>
      <c r="AB141" s="189"/>
      <c r="AC141" s="189"/>
      <c r="AD141" s="189"/>
      <c r="AE141" s="189"/>
      <c r="AF141" s="189"/>
    </row>
    <row r="142">
      <c r="A142" s="189"/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  <c r="AA142" s="189"/>
      <c r="AB142" s="189"/>
      <c r="AC142" s="189"/>
      <c r="AD142" s="189"/>
      <c r="AE142" s="189"/>
      <c r="AF142" s="189"/>
    </row>
    <row r="143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  <c r="Z143" s="189"/>
      <c r="AA143" s="189"/>
      <c r="AB143" s="189"/>
      <c r="AC143" s="189"/>
      <c r="AD143" s="189"/>
      <c r="AE143" s="189"/>
      <c r="AF143" s="189"/>
    </row>
    <row r="144">
      <c r="A144" s="189"/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  <c r="Z144" s="189"/>
      <c r="AA144" s="189"/>
      <c r="AB144" s="189"/>
      <c r="AC144" s="189"/>
      <c r="AD144" s="189"/>
      <c r="AE144" s="189"/>
      <c r="AF144" s="189"/>
    </row>
    <row r="145">
      <c r="A145" s="189"/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  <c r="Z145" s="189"/>
      <c r="AA145" s="189"/>
      <c r="AB145" s="189"/>
      <c r="AC145" s="189"/>
      <c r="AD145" s="189"/>
      <c r="AE145" s="189"/>
      <c r="AF145" s="189"/>
    </row>
    <row r="146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  <c r="Z146" s="189"/>
      <c r="AA146" s="189"/>
      <c r="AB146" s="189"/>
      <c r="AC146" s="189"/>
      <c r="AD146" s="189"/>
      <c r="AE146" s="189"/>
      <c r="AF146" s="189"/>
    </row>
    <row r="147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  <c r="Z147" s="189"/>
      <c r="AA147" s="189"/>
      <c r="AB147" s="189"/>
      <c r="AC147" s="189"/>
      <c r="AD147" s="189"/>
      <c r="AE147" s="189"/>
      <c r="AF147" s="189"/>
    </row>
    <row r="148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  <c r="Z148" s="189"/>
      <c r="AA148" s="189"/>
      <c r="AB148" s="189"/>
      <c r="AC148" s="189"/>
      <c r="AD148" s="189"/>
      <c r="AE148" s="189"/>
      <c r="AF148" s="189"/>
    </row>
    <row r="149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  <c r="Z149" s="189"/>
      <c r="AA149" s="189"/>
      <c r="AB149" s="189"/>
      <c r="AC149" s="189"/>
      <c r="AD149" s="189"/>
      <c r="AE149" s="189"/>
      <c r="AF149" s="189"/>
    </row>
    <row r="150">
      <c r="A150" s="189"/>
      <c r="B150" s="189"/>
      <c r="C150" s="191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  <c r="Z150" s="189"/>
      <c r="AA150" s="189"/>
      <c r="AB150" s="189"/>
      <c r="AC150" s="189"/>
      <c r="AD150" s="189"/>
      <c r="AE150" s="189"/>
      <c r="AF150" s="189"/>
    </row>
    <row r="151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  <c r="Z151" s="189"/>
      <c r="AA151" s="189"/>
      <c r="AB151" s="189"/>
      <c r="AC151" s="189"/>
      <c r="AD151" s="189"/>
      <c r="AE151" s="189"/>
      <c r="AF151" s="189"/>
    </row>
    <row r="152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  <c r="Z152" s="189"/>
      <c r="AA152" s="189"/>
      <c r="AB152" s="189"/>
      <c r="AC152" s="189"/>
      <c r="AD152" s="189"/>
      <c r="AE152" s="189"/>
      <c r="AF152" s="189"/>
    </row>
    <row r="153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  <c r="Z153" s="189"/>
      <c r="AA153" s="189"/>
      <c r="AB153" s="189"/>
      <c r="AC153" s="189"/>
      <c r="AD153" s="189"/>
      <c r="AE153" s="189"/>
      <c r="AF153" s="189"/>
    </row>
    <row r="154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  <c r="Z154" s="189"/>
      <c r="AA154" s="189"/>
      <c r="AB154" s="189"/>
      <c r="AC154" s="189"/>
      <c r="AD154" s="189"/>
      <c r="AE154" s="189"/>
      <c r="AF154" s="189"/>
    </row>
    <row r="155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  <c r="Z155" s="189"/>
      <c r="AA155" s="189"/>
      <c r="AB155" s="189"/>
      <c r="AC155" s="189"/>
      <c r="AD155" s="189"/>
      <c r="AE155" s="189"/>
      <c r="AF155" s="189"/>
    </row>
    <row r="156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  <c r="Z156" s="189"/>
      <c r="AA156" s="189"/>
      <c r="AB156" s="189"/>
      <c r="AC156" s="189"/>
      <c r="AD156" s="189"/>
      <c r="AE156" s="189"/>
      <c r="AF156" s="189"/>
    </row>
    <row r="157">
      <c r="A157" s="189"/>
      <c r="B157" s="189"/>
      <c r="C157" s="191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  <c r="Z157" s="189"/>
      <c r="AA157" s="189"/>
      <c r="AB157" s="189"/>
      <c r="AC157" s="189"/>
      <c r="AD157" s="189"/>
      <c r="AE157" s="189"/>
      <c r="AF157" s="189"/>
    </row>
    <row r="158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  <c r="Z158" s="189"/>
      <c r="AA158" s="189"/>
      <c r="AB158" s="189"/>
      <c r="AC158" s="189"/>
      <c r="AD158" s="189"/>
      <c r="AE158" s="189"/>
      <c r="AF158" s="189"/>
    </row>
    <row r="159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  <c r="Z159" s="189"/>
      <c r="AA159" s="189"/>
      <c r="AB159" s="189"/>
      <c r="AC159" s="189"/>
      <c r="AD159" s="189"/>
      <c r="AE159" s="189"/>
      <c r="AF159" s="189"/>
    </row>
    <row r="160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  <c r="Z160" s="189"/>
      <c r="AA160" s="189"/>
      <c r="AB160" s="189"/>
      <c r="AC160" s="189"/>
      <c r="AD160" s="189"/>
      <c r="AE160" s="189"/>
      <c r="AF160" s="189"/>
    </row>
    <row r="161">
      <c r="A161" s="189"/>
      <c r="B161" s="189"/>
      <c r="C161" s="191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  <c r="Z161" s="189"/>
      <c r="AA161" s="189"/>
      <c r="AB161" s="189"/>
      <c r="AC161" s="189"/>
      <c r="AD161" s="189"/>
      <c r="AE161" s="189"/>
      <c r="AF161" s="189"/>
    </row>
    <row r="162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  <c r="Z162" s="189"/>
      <c r="AA162" s="189"/>
      <c r="AB162" s="189"/>
      <c r="AC162" s="189"/>
      <c r="AD162" s="189"/>
      <c r="AE162" s="189"/>
      <c r="AF162" s="189"/>
    </row>
    <row r="163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  <c r="Z163" s="189"/>
      <c r="AA163" s="189"/>
      <c r="AB163" s="189"/>
      <c r="AC163" s="189"/>
      <c r="AD163" s="189"/>
      <c r="AE163" s="189"/>
      <c r="AF163" s="189"/>
    </row>
    <row r="164">
      <c r="A164" s="189"/>
      <c r="B164" s="189"/>
      <c r="C164" s="191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  <c r="Z164" s="189"/>
      <c r="AA164" s="189"/>
      <c r="AB164" s="189"/>
      <c r="AC164" s="189"/>
      <c r="AD164" s="189"/>
      <c r="AE164" s="189"/>
      <c r="AF164" s="189"/>
    </row>
    <row r="165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  <c r="Z165" s="189"/>
      <c r="AA165" s="189"/>
      <c r="AB165" s="189"/>
      <c r="AC165" s="189"/>
      <c r="AD165" s="189"/>
      <c r="AE165" s="189"/>
      <c r="AF165" s="189"/>
    </row>
    <row r="166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  <c r="Z166" s="189"/>
      <c r="AA166" s="189"/>
      <c r="AB166" s="189"/>
      <c r="AC166" s="189"/>
      <c r="AD166" s="189"/>
      <c r="AE166" s="189"/>
      <c r="AF166" s="189"/>
    </row>
    <row r="167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  <c r="Z167" s="189"/>
      <c r="AA167" s="189"/>
      <c r="AB167" s="189"/>
      <c r="AC167" s="189"/>
      <c r="AD167" s="189"/>
      <c r="AE167" s="189"/>
      <c r="AF167" s="189"/>
    </row>
    <row r="168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  <c r="Z168" s="189"/>
      <c r="AA168" s="189"/>
      <c r="AB168" s="189"/>
      <c r="AC168" s="189"/>
      <c r="AD168" s="189"/>
      <c r="AE168" s="189"/>
      <c r="AF168" s="189"/>
    </row>
    <row r="169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  <c r="Z169" s="189"/>
      <c r="AA169" s="189"/>
      <c r="AB169" s="189"/>
      <c r="AC169" s="189"/>
      <c r="AD169" s="189"/>
      <c r="AE169" s="189"/>
      <c r="AF169" s="189"/>
    </row>
    <row r="170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  <c r="Z170" s="189"/>
      <c r="AA170" s="189"/>
      <c r="AB170" s="189"/>
      <c r="AC170" s="189"/>
      <c r="AD170" s="189"/>
      <c r="AE170" s="189"/>
      <c r="AF170" s="189"/>
    </row>
    <row r="171">
      <c r="A171" s="189"/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  <c r="Z171" s="189"/>
      <c r="AA171" s="189"/>
      <c r="AB171" s="189"/>
      <c r="AC171" s="189"/>
      <c r="AD171" s="189"/>
      <c r="AE171" s="189"/>
      <c r="AF171" s="189"/>
    </row>
    <row r="172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  <c r="Z172" s="189"/>
      <c r="AA172" s="189"/>
      <c r="AB172" s="189"/>
      <c r="AC172" s="189"/>
      <c r="AD172" s="189"/>
      <c r="AE172" s="189"/>
      <c r="AF172" s="189"/>
    </row>
    <row r="173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  <c r="Z173" s="189"/>
      <c r="AA173" s="189"/>
      <c r="AB173" s="189"/>
      <c r="AC173" s="189"/>
      <c r="AD173" s="189"/>
      <c r="AE173" s="189"/>
      <c r="AF173" s="189"/>
    </row>
    <row r="174">
      <c r="A174" s="189"/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  <c r="Z174" s="189"/>
      <c r="AA174" s="189"/>
      <c r="AB174" s="189"/>
      <c r="AC174" s="189"/>
      <c r="AD174" s="189"/>
      <c r="AE174" s="189"/>
      <c r="AF174" s="189"/>
    </row>
    <row r="175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  <c r="Z175" s="189"/>
      <c r="AA175" s="189"/>
      <c r="AB175" s="189"/>
      <c r="AC175" s="189"/>
      <c r="AD175" s="189"/>
      <c r="AE175" s="189"/>
      <c r="AF175" s="189"/>
    </row>
    <row r="176">
      <c r="A176" s="189"/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  <c r="Z176" s="189"/>
      <c r="AA176" s="189"/>
      <c r="AB176" s="189"/>
      <c r="AC176" s="189"/>
      <c r="AD176" s="189"/>
      <c r="AE176" s="189"/>
      <c r="AF176" s="189"/>
    </row>
    <row r="177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  <c r="Z177" s="189"/>
      <c r="AA177" s="189"/>
      <c r="AB177" s="189"/>
      <c r="AC177" s="189"/>
      <c r="AD177" s="189"/>
      <c r="AE177" s="189"/>
      <c r="AF177" s="189"/>
    </row>
    <row r="178">
      <c r="A178" s="189"/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  <c r="Z178" s="189"/>
      <c r="AA178" s="189"/>
      <c r="AB178" s="189"/>
      <c r="AC178" s="189"/>
      <c r="AD178" s="189"/>
      <c r="AE178" s="189"/>
      <c r="AF178" s="189"/>
    </row>
    <row r="179">
      <c r="A179" s="189"/>
      <c r="B179" s="189"/>
      <c r="C179" s="191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  <c r="Z179" s="189"/>
      <c r="AA179" s="189"/>
      <c r="AB179" s="189"/>
      <c r="AC179" s="189"/>
      <c r="AD179" s="189"/>
      <c r="AE179" s="189"/>
      <c r="AF179" s="189"/>
    </row>
    <row r="180">
      <c r="A180" s="189"/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  <c r="Z180" s="189"/>
      <c r="AA180" s="189"/>
      <c r="AB180" s="189"/>
      <c r="AC180" s="189"/>
      <c r="AD180" s="189"/>
      <c r="AE180" s="189"/>
      <c r="AF180" s="189"/>
    </row>
    <row r="181">
      <c r="A181" s="189"/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  <c r="Z181" s="189"/>
      <c r="AA181" s="189"/>
      <c r="AB181" s="189"/>
      <c r="AC181" s="189"/>
      <c r="AD181" s="189"/>
      <c r="AE181" s="189"/>
      <c r="AF181" s="189"/>
    </row>
    <row r="182">
      <c r="A182" s="189"/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  <c r="Z182" s="189"/>
      <c r="AA182" s="189"/>
      <c r="AB182" s="189"/>
      <c r="AC182" s="189"/>
      <c r="AD182" s="189"/>
      <c r="AE182" s="189"/>
      <c r="AF182" s="189"/>
    </row>
    <row r="183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  <c r="Z183" s="189"/>
      <c r="AA183" s="189"/>
      <c r="AB183" s="189"/>
      <c r="AC183" s="189"/>
      <c r="AD183" s="189"/>
      <c r="AE183" s="189"/>
      <c r="AF183" s="189"/>
    </row>
    <row r="184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  <c r="Z184" s="189"/>
      <c r="AA184" s="189"/>
      <c r="AB184" s="189"/>
      <c r="AC184" s="189"/>
      <c r="AD184" s="189"/>
      <c r="AE184" s="189"/>
      <c r="AF184" s="189"/>
    </row>
    <row r="185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  <c r="Z185" s="189"/>
      <c r="AA185" s="189"/>
      <c r="AB185" s="189"/>
      <c r="AC185" s="189"/>
      <c r="AD185" s="189"/>
      <c r="AE185" s="189"/>
      <c r="AF185" s="189"/>
    </row>
    <row r="186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  <c r="Z186" s="189"/>
      <c r="AA186" s="189"/>
      <c r="AB186" s="189"/>
      <c r="AC186" s="189"/>
      <c r="AD186" s="189"/>
      <c r="AE186" s="189"/>
      <c r="AF186" s="189"/>
    </row>
    <row r="187">
      <c r="A187" s="189"/>
      <c r="B187" s="189"/>
      <c r="C187" s="191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  <c r="Z187" s="189"/>
      <c r="AA187" s="189"/>
      <c r="AB187" s="189"/>
      <c r="AC187" s="189"/>
      <c r="AD187" s="189"/>
      <c r="AE187" s="189"/>
      <c r="AF187" s="189"/>
    </row>
    <row r="188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  <c r="Z188" s="189"/>
      <c r="AA188" s="189"/>
      <c r="AB188" s="189"/>
      <c r="AC188" s="189"/>
      <c r="AD188" s="189"/>
      <c r="AE188" s="189"/>
      <c r="AF188" s="189"/>
    </row>
    <row r="189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  <c r="Z189" s="189"/>
      <c r="AA189" s="189"/>
      <c r="AB189" s="189"/>
      <c r="AC189" s="189"/>
      <c r="AD189" s="189"/>
      <c r="AE189" s="189"/>
      <c r="AF189" s="189"/>
    </row>
    <row r="190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  <c r="Z190" s="189"/>
      <c r="AA190" s="189"/>
      <c r="AB190" s="189"/>
      <c r="AC190" s="189"/>
      <c r="AD190" s="189"/>
      <c r="AE190" s="189"/>
      <c r="AF190" s="189"/>
    </row>
    <row r="191">
      <c r="A191" s="189"/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  <c r="N191" s="189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  <c r="Z191" s="189"/>
      <c r="AA191" s="189"/>
      <c r="AB191" s="189"/>
      <c r="AC191" s="189"/>
      <c r="AD191" s="189"/>
      <c r="AE191" s="189"/>
      <c r="AF191" s="189"/>
    </row>
    <row r="192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  <c r="N192" s="189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  <c r="Z192" s="189"/>
      <c r="AA192" s="189"/>
      <c r="AB192" s="189"/>
      <c r="AC192" s="189"/>
      <c r="AD192" s="189"/>
      <c r="AE192" s="189"/>
      <c r="AF192" s="189"/>
    </row>
    <row r="193">
      <c r="A193" s="189"/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  <c r="N193" s="189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  <c r="Z193" s="189"/>
      <c r="AA193" s="189"/>
      <c r="AB193" s="189"/>
      <c r="AC193" s="189"/>
      <c r="AD193" s="189"/>
      <c r="AE193" s="189"/>
      <c r="AF193" s="189"/>
    </row>
    <row r="194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  <c r="N194" s="189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  <c r="Z194" s="189"/>
      <c r="AA194" s="189"/>
      <c r="AB194" s="189"/>
      <c r="AC194" s="189"/>
      <c r="AD194" s="189"/>
      <c r="AE194" s="189"/>
      <c r="AF194" s="189"/>
    </row>
    <row r="195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  <c r="N195" s="189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  <c r="Z195" s="189"/>
      <c r="AA195" s="189"/>
      <c r="AB195" s="189"/>
      <c r="AC195" s="189"/>
      <c r="AD195" s="189"/>
      <c r="AE195" s="189"/>
      <c r="AF195" s="189"/>
    </row>
    <row r="196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  <c r="N196" s="189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  <c r="Z196" s="189"/>
      <c r="AA196" s="189"/>
      <c r="AB196" s="189"/>
      <c r="AC196" s="189"/>
      <c r="AD196" s="189"/>
      <c r="AE196" s="189"/>
      <c r="AF196" s="189"/>
    </row>
    <row r="197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  <c r="N197" s="189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  <c r="Z197" s="189"/>
      <c r="AA197" s="189"/>
      <c r="AB197" s="189"/>
      <c r="AC197" s="189"/>
      <c r="AD197" s="189"/>
      <c r="AE197" s="189"/>
      <c r="AF197" s="189"/>
    </row>
    <row r="198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  <c r="N198" s="189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  <c r="Z198" s="189"/>
      <c r="AA198" s="189"/>
      <c r="AB198" s="189"/>
      <c r="AC198" s="189"/>
      <c r="AD198" s="189"/>
      <c r="AE198" s="189"/>
      <c r="AF198" s="189"/>
    </row>
    <row r="199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  <c r="N199" s="189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  <c r="Z199" s="189"/>
      <c r="AA199" s="189"/>
      <c r="AB199" s="189"/>
      <c r="AC199" s="189"/>
      <c r="AD199" s="189"/>
      <c r="AE199" s="189"/>
      <c r="AF199" s="189"/>
    </row>
    <row r="200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  <c r="N200" s="189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  <c r="Z200" s="189"/>
      <c r="AA200" s="189"/>
      <c r="AB200" s="189"/>
      <c r="AC200" s="189"/>
      <c r="AD200" s="189"/>
      <c r="AE200" s="189"/>
      <c r="AF200" s="189"/>
    </row>
    <row r="201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  <c r="N201" s="189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  <c r="Z201" s="189"/>
      <c r="AA201" s="189"/>
      <c r="AB201" s="189"/>
      <c r="AC201" s="189"/>
      <c r="AD201" s="189"/>
      <c r="AE201" s="189"/>
      <c r="AF201" s="189"/>
    </row>
    <row r="202">
      <c r="A202" s="189"/>
      <c r="B202" s="189"/>
      <c r="C202" s="191"/>
      <c r="D202" s="189"/>
      <c r="E202" s="189"/>
      <c r="F202" s="189"/>
      <c r="G202" s="189"/>
      <c r="H202" s="189"/>
      <c r="I202" s="189"/>
      <c r="J202" s="189"/>
      <c r="K202" s="189"/>
      <c r="L202" s="189"/>
      <c r="M202" s="189"/>
      <c r="N202" s="189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  <c r="Z202" s="189"/>
      <c r="AA202" s="189"/>
      <c r="AB202" s="189"/>
      <c r="AC202" s="189"/>
      <c r="AD202" s="189"/>
      <c r="AE202" s="189"/>
      <c r="AF202" s="189"/>
    </row>
    <row r="203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  <c r="N203" s="189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  <c r="Z203" s="189"/>
      <c r="AA203" s="189"/>
      <c r="AB203" s="189"/>
      <c r="AC203" s="189"/>
      <c r="AD203" s="189"/>
      <c r="AE203" s="189"/>
      <c r="AF203" s="189"/>
    </row>
    <row r="204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  <c r="N204" s="189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  <c r="Z204" s="189"/>
      <c r="AA204" s="189"/>
      <c r="AB204" s="189"/>
      <c r="AC204" s="189"/>
      <c r="AD204" s="189"/>
      <c r="AE204" s="189"/>
      <c r="AF204" s="189"/>
    </row>
    <row r="205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  <c r="N205" s="189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  <c r="Z205" s="189"/>
      <c r="AA205" s="189"/>
      <c r="AB205" s="189"/>
      <c r="AC205" s="189"/>
      <c r="AD205" s="189"/>
      <c r="AE205" s="189"/>
      <c r="AF205" s="189"/>
    </row>
    <row r="206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  <c r="N206" s="189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  <c r="Z206" s="189"/>
      <c r="AA206" s="189"/>
      <c r="AB206" s="189"/>
      <c r="AC206" s="189"/>
      <c r="AD206" s="189"/>
      <c r="AE206" s="189"/>
      <c r="AF206" s="189"/>
    </row>
    <row r="207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  <c r="N207" s="189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  <c r="Z207" s="189"/>
      <c r="AA207" s="189"/>
      <c r="AB207" s="189"/>
      <c r="AC207" s="189"/>
      <c r="AD207" s="189"/>
      <c r="AE207" s="189"/>
      <c r="AF207" s="189"/>
    </row>
    <row r="208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  <c r="N208" s="189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  <c r="Z208" s="189"/>
      <c r="AA208" s="189"/>
      <c r="AB208" s="189"/>
      <c r="AC208" s="189"/>
      <c r="AD208" s="189"/>
      <c r="AE208" s="189"/>
      <c r="AF208" s="189"/>
    </row>
    <row r="209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  <c r="N209" s="189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  <c r="Z209" s="189"/>
      <c r="AA209" s="189"/>
      <c r="AB209" s="189"/>
      <c r="AC209" s="189"/>
      <c r="AD209" s="189"/>
      <c r="AE209" s="189"/>
      <c r="AF209" s="189"/>
    </row>
    <row r="210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  <c r="N210" s="189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  <c r="Z210" s="189"/>
      <c r="AA210" s="189"/>
      <c r="AB210" s="189"/>
      <c r="AC210" s="189"/>
      <c r="AD210" s="189"/>
      <c r="AE210" s="189"/>
      <c r="AF210" s="189"/>
    </row>
    <row r="211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  <c r="N211" s="189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  <c r="Z211" s="189"/>
      <c r="AA211" s="189"/>
      <c r="AB211" s="189"/>
      <c r="AC211" s="189"/>
      <c r="AD211" s="189"/>
      <c r="AE211" s="189"/>
      <c r="AF211" s="189"/>
    </row>
    <row r="212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  <c r="N212" s="189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  <c r="Z212" s="189"/>
      <c r="AA212" s="189"/>
      <c r="AB212" s="189"/>
      <c r="AC212" s="189"/>
      <c r="AD212" s="189"/>
      <c r="AE212" s="189"/>
      <c r="AF212" s="189"/>
    </row>
    <row r="213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  <c r="N213" s="189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  <c r="Z213" s="189"/>
      <c r="AA213" s="189"/>
      <c r="AB213" s="189"/>
      <c r="AC213" s="189"/>
      <c r="AD213" s="189"/>
      <c r="AE213" s="189"/>
      <c r="AF213" s="189"/>
    </row>
    <row r="214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  <c r="N214" s="189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  <c r="Z214" s="189"/>
      <c r="AA214" s="189"/>
      <c r="AB214" s="189"/>
      <c r="AC214" s="189"/>
      <c r="AD214" s="189"/>
      <c r="AE214" s="189"/>
      <c r="AF214" s="189"/>
    </row>
    <row r="215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  <c r="N215" s="189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  <c r="Z215" s="189"/>
      <c r="AA215" s="189"/>
      <c r="AB215" s="189"/>
      <c r="AC215" s="189"/>
      <c r="AD215" s="189"/>
      <c r="AE215" s="189"/>
      <c r="AF215" s="189"/>
    </row>
    <row r="216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  <c r="Z216" s="189"/>
      <c r="AA216" s="189"/>
      <c r="AB216" s="189"/>
      <c r="AC216" s="189"/>
      <c r="AD216" s="189"/>
      <c r="AE216" s="189"/>
      <c r="AF216" s="189"/>
    </row>
    <row r="217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  <c r="N217" s="189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  <c r="Z217" s="189"/>
      <c r="AA217" s="189"/>
      <c r="AB217" s="189"/>
      <c r="AC217" s="189"/>
      <c r="AD217" s="189"/>
      <c r="AE217" s="189"/>
      <c r="AF217" s="189"/>
    </row>
    <row r="218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  <c r="Z218" s="189"/>
      <c r="AA218" s="189"/>
      <c r="AB218" s="189"/>
      <c r="AC218" s="189"/>
      <c r="AD218" s="189"/>
      <c r="AE218" s="189"/>
      <c r="AF218" s="189"/>
    </row>
    <row r="219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  <c r="Z219" s="189"/>
      <c r="AA219" s="189"/>
      <c r="AB219" s="189"/>
      <c r="AC219" s="189"/>
      <c r="AD219" s="189"/>
      <c r="AE219" s="189"/>
      <c r="AF219" s="189"/>
    </row>
    <row r="220">
      <c r="A220" s="189"/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  <c r="N220" s="189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  <c r="Z220" s="189"/>
      <c r="AA220" s="189"/>
      <c r="AB220" s="189"/>
      <c r="AC220" s="189"/>
      <c r="AD220" s="189"/>
      <c r="AE220" s="189"/>
      <c r="AF220" s="189"/>
    </row>
    <row r="221">
      <c r="A221" s="189"/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  <c r="N221" s="189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  <c r="Z221" s="189"/>
      <c r="AA221" s="189"/>
      <c r="AB221" s="189"/>
      <c r="AC221" s="189"/>
      <c r="AD221" s="189"/>
      <c r="AE221" s="189"/>
      <c r="AF221" s="189"/>
    </row>
    <row r="222">
      <c r="A222" s="189"/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  <c r="N222" s="189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  <c r="Z222" s="189"/>
      <c r="AA222" s="189"/>
      <c r="AB222" s="189"/>
      <c r="AC222" s="189"/>
      <c r="AD222" s="189"/>
      <c r="AE222" s="189"/>
      <c r="AF222" s="189"/>
    </row>
    <row r="223">
      <c r="A223" s="189"/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  <c r="N223" s="189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  <c r="Z223" s="189"/>
      <c r="AA223" s="189"/>
      <c r="AB223" s="189"/>
      <c r="AC223" s="189"/>
      <c r="AD223" s="189"/>
      <c r="AE223" s="189"/>
      <c r="AF223" s="189"/>
    </row>
    <row r="224">
      <c r="A224" s="189"/>
      <c r="B224" s="189"/>
      <c r="C224" s="191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  <c r="N224" s="189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  <c r="Z224" s="189"/>
      <c r="AA224" s="189"/>
      <c r="AB224" s="189"/>
      <c r="AC224" s="189"/>
      <c r="AD224" s="189"/>
      <c r="AE224" s="189"/>
      <c r="AF224" s="189"/>
    </row>
    <row r="225">
      <c r="A225" s="189"/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  <c r="N225" s="189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  <c r="Z225" s="189"/>
      <c r="AA225" s="189"/>
      <c r="AB225" s="189"/>
      <c r="AC225" s="189"/>
      <c r="AD225" s="189"/>
      <c r="AE225" s="189"/>
      <c r="AF225" s="189"/>
    </row>
    <row r="226">
      <c r="A226" s="189"/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  <c r="N226" s="189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  <c r="Z226" s="189"/>
      <c r="AA226" s="189"/>
      <c r="AB226" s="189"/>
      <c r="AC226" s="189"/>
      <c r="AD226" s="189"/>
      <c r="AE226" s="189"/>
      <c r="AF226" s="189"/>
    </row>
    <row r="227">
      <c r="A227" s="189"/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  <c r="N227" s="189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  <c r="Z227" s="189"/>
      <c r="AA227" s="189"/>
      <c r="AB227" s="189"/>
      <c r="AC227" s="189"/>
      <c r="AD227" s="189"/>
      <c r="AE227" s="189"/>
      <c r="AF227" s="189"/>
    </row>
    <row r="228">
      <c r="A228" s="189"/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  <c r="N228" s="189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  <c r="Z228" s="189"/>
      <c r="AA228" s="189"/>
      <c r="AB228" s="189"/>
      <c r="AC228" s="189"/>
      <c r="AD228" s="189"/>
      <c r="AE228" s="189"/>
      <c r="AF228" s="189"/>
    </row>
    <row r="229">
      <c r="A229" s="189"/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  <c r="N229" s="189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  <c r="Z229" s="189"/>
      <c r="AA229" s="189"/>
      <c r="AB229" s="189"/>
      <c r="AC229" s="189"/>
      <c r="AD229" s="189"/>
      <c r="AE229" s="189"/>
      <c r="AF229" s="189"/>
    </row>
    <row r="230">
      <c r="A230" s="189"/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  <c r="N230" s="189"/>
      <c r="O230" s="189"/>
      <c r="P230" s="189"/>
      <c r="Q230" s="189"/>
      <c r="R230" s="189"/>
      <c r="S230" s="189"/>
      <c r="T230" s="189"/>
      <c r="U230" s="189"/>
      <c r="V230" s="189"/>
      <c r="W230" s="189"/>
      <c r="X230" s="189"/>
      <c r="Y230" s="189"/>
      <c r="Z230" s="189"/>
      <c r="AA230" s="189"/>
      <c r="AB230" s="189"/>
      <c r="AC230" s="189"/>
      <c r="AD230" s="189"/>
      <c r="AE230" s="189"/>
      <c r="AF230" s="189"/>
    </row>
    <row r="231">
      <c r="A231" s="189"/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  <c r="N231" s="189"/>
      <c r="O231" s="189"/>
      <c r="P231" s="189"/>
      <c r="Q231" s="189"/>
      <c r="R231" s="189"/>
      <c r="S231" s="189"/>
      <c r="T231" s="189"/>
      <c r="U231" s="189"/>
      <c r="V231" s="189"/>
      <c r="W231" s="189"/>
      <c r="X231" s="189"/>
      <c r="Y231" s="189"/>
      <c r="Z231" s="189"/>
      <c r="AA231" s="189"/>
      <c r="AB231" s="189"/>
      <c r="AC231" s="189"/>
      <c r="AD231" s="189"/>
      <c r="AE231" s="189"/>
      <c r="AF231" s="189"/>
    </row>
    <row r="232">
      <c r="A232" s="189"/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  <c r="N232" s="189"/>
      <c r="O232" s="189"/>
      <c r="P232" s="189"/>
      <c r="Q232" s="189"/>
      <c r="R232" s="189"/>
      <c r="S232" s="189"/>
      <c r="T232" s="189"/>
      <c r="U232" s="189"/>
      <c r="V232" s="189"/>
      <c r="W232" s="189"/>
      <c r="X232" s="189"/>
      <c r="Y232" s="189"/>
      <c r="Z232" s="189"/>
      <c r="AA232" s="189"/>
      <c r="AB232" s="189"/>
      <c r="AC232" s="189"/>
      <c r="AD232" s="189"/>
      <c r="AE232" s="189"/>
      <c r="AF232" s="189"/>
    </row>
    <row r="233">
      <c r="A233" s="189"/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  <c r="N233" s="189"/>
      <c r="O233" s="189"/>
      <c r="P233" s="189"/>
      <c r="Q233" s="189"/>
      <c r="R233" s="189"/>
      <c r="S233" s="189"/>
      <c r="T233" s="189"/>
      <c r="U233" s="189"/>
      <c r="V233" s="189"/>
      <c r="W233" s="189"/>
      <c r="X233" s="189"/>
      <c r="Y233" s="189"/>
      <c r="Z233" s="189"/>
      <c r="AA233" s="189"/>
      <c r="AB233" s="189"/>
      <c r="AC233" s="189"/>
      <c r="AD233" s="189"/>
      <c r="AE233" s="189"/>
      <c r="AF233" s="189"/>
    </row>
    <row r="234">
      <c r="A234" s="189"/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  <c r="N234" s="189"/>
      <c r="O234" s="189"/>
      <c r="P234" s="189"/>
      <c r="Q234" s="189"/>
      <c r="R234" s="189"/>
      <c r="S234" s="189"/>
      <c r="T234" s="189"/>
      <c r="U234" s="189"/>
      <c r="V234" s="189"/>
      <c r="W234" s="189"/>
      <c r="X234" s="189"/>
      <c r="Y234" s="189"/>
      <c r="Z234" s="189"/>
      <c r="AA234" s="189"/>
      <c r="AB234" s="189"/>
      <c r="AC234" s="189"/>
      <c r="AD234" s="189"/>
      <c r="AE234" s="189"/>
      <c r="AF234" s="189"/>
    </row>
    <row r="235">
      <c r="A235" s="189"/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  <c r="N235" s="189"/>
      <c r="O235" s="189"/>
      <c r="P235" s="189"/>
      <c r="Q235" s="189"/>
      <c r="R235" s="189"/>
      <c r="S235" s="189"/>
      <c r="T235" s="189"/>
      <c r="U235" s="189"/>
      <c r="V235" s="189"/>
      <c r="W235" s="189"/>
      <c r="X235" s="189"/>
      <c r="Y235" s="189"/>
      <c r="Z235" s="189"/>
      <c r="AA235" s="189"/>
      <c r="AB235" s="189"/>
      <c r="AC235" s="189"/>
      <c r="AD235" s="189"/>
      <c r="AE235" s="189"/>
      <c r="AF235" s="189"/>
    </row>
    <row r="236">
      <c r="A236" s="189"/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  <c r="N236" s="189"/>
      <c r="O236" s="189"/>
      <c r="P236" s="189"/>
      <c r="Q236" s="189"/>
      <c r="R236" s="189"/>
      <c r="S236" s="189"/>
      <c r="T236" s="189"/>
      <c r="U236" s="189"/>
      <c r="V236" s="189"/>
      <c r="W236" s="189"/>
      <c r="X236" s="189"/>
      <c r="Y236" s="189"/>
      <c r="Z236" s="189"/>
      <c r="AA236" s="189"/>
      <c r="AB236" s="189"/>
      <c r="AC236" s="189"/>
      <c r="AD236" s="189"/>
      <c r="AE236" s="189"/>
      <c r="AF236" s="189"/>
    </row>
    <row r="237">
      <c r="A237" s="189"/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  <c r="N237" s="189"/>
      <c r="O237" s="189"/>
      <c r="P237" s="189"/>
      <c r="Q237" s="189"/>
      <c r="R237" s="189"/>
      <c r="S237" s="189"/>
      <c r="T237" s="189"/>
      <c r="U237" s="189"/>
      <c r="V237" s="189"/>
      <c r="W237" s="189"/>
      <c r="X237" s="189"/>
      <c r="Y237" s="189"/>
      <c r="Z237" s="189"/>
      <c r="AA237" s="189"/>
      <c r="AB237" s="189"/>
      <c r="AC237" s="189"/>
      <c r="AD237" s="189"/>
      <c r="AE237" s="189"/>
      <c r="AF237" s="189"/>
    </row>
    <row r="238">
      <c r="A238" s="189"/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  <c r="N238" s="189"/>
      <c r="O238" s="189"/>
      <c r="P238" s="189"/>
      <c r="Q238" s="189"/>
      <c r="R238" s="189"/>
      <c r="S238" s="189"/>
      <c r="T238" s="189"/>
      <c r="U238" s="189"/>
      <c r="V238" s="189"/>
      <c r="W238" s="189"/>
      <c r="X238" s="189"/>
      <c r="Y238" s="189"/>
      <c r="Z238" s="189"/>
      <c r="AA238" s="189"/>
      <c r="AB238" s="189"/>
      <c r="AC238" s="189"/>
      <c r="AD238" s="189"/>
      <c r="AE238" s="189"/>
      <c r="AF238" s="189"/>
    </row>
    <row r="239">
      <c r="A239" s="189"/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  <c r="N239" s="189"/>
      <c r="O239" s="189"/>
      <c r="P239" s="189"/>
      <c r="Q239" s="189"/>
      <c r="R239" s="189"/>
      <c r="S239" s="189"/>
      <c r="T239" s="189"/>
      <c r="U239" s="189"/>
      <c r="V239" s="189"/>
      <c r="W239" s="189"/>
      <c r="X239" s="189"/>
      <c r="Y239" s="189"/>
      <c r="Z239" s="189"/>
      <c r="AA239" s="189"/>
      <c r="AB239" s="189"/>
      <c r="AC239" s="189"/>
      <c r="AD239" s="189"/>
      <c r="AE239" s="189"/>
      <c r="AF239" s="189"/>
    </row>
    <row r="240">
      <c r="A240" s="189"/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  <c r="N240" s="189"/>
      <c r="O240" s="189"/>
      <c r="P240" s="189"/>
      <c r="Q240" s="189"/>
      <c r="R240" s="189"/>
      <c r="S240" s="189"/>
      <c r="T240" s="189"/>
      <c r="U240" s="189"/>
      <c r="V240" s="189"/>
      <c r="W240" s="189"/>
      <c r="X240" s="189"/>
      <c r="Y240" s="189"/>
      <c r="Z240" s="189"/>
      <c r="AA240" s="189"/>
      <c r="AB240" s="189"/>
      <c r="AC240" s="189"/>
      <c r="AD240" s="189"/>
      <c r="AE240" s="189"/>
      <c r="AF240" s="189"/>
    </row>
    <row r="241">
      <c r="A241" s="189"/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  <c r="N241" s="189"/>
      <c r="O241" s="189"/>
      <c r="P241" s="189"/>
      <c r="Q241" s="189"/>
      <c r="R241" s="189"/>
      <c r="S241" s="189"/>
      <c r="T241" s="189"/>
      <c r="U241" s="189"/>
      <c r="V241" s="189"/>
      <c r="W241" s="189"/>
      <c r="X241" s="189"/>
      <c r="Y241" s="189"/>
      <c r="Z241" s="189"/>
      <c r="AA241" s="189"/>
      <c r="AB241" s="189"/>
      <c r="AC241" s="189"/>
      <c r="AD241" s="189"/>
      <c r="AE241" s="189"/>
      <c r="AF241" s="189"/>
    </row>
    <row r="242">
      <c r="A242" s="189"/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  <c r="N242" s="189"/>
      <c r="O242" s="189"/>
      <c r="P242" s="189"/>
      <c r="Q242" s="189"/>
      <c r="R242" s="189"/>
      <c r="S242" s="189"/>
      <c r="T242" s="189"/>
      <c r="U242" s="189"/>
      <c r="V242" s="189"/>
      <c r="W242" s="189"/>
      <c r="X242" s="189"/>
      <c r="Y242" s="189"/>
      <c r="Z242" s="189"/>
      <c r="AA242" s="189"/>
      <c r="AB242" s="189"/>
      <c r="AC242" s="189"/>
      <c r="AD242" s="189"/>
      <c r="AE242" s="189"/>
      <c r="AF242" s="189"/>
    </row>
    <row r="243">
      <c r="A243" s="189"/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  <c r="N243" s="189"/>
      <c r="O243" s="189"/>
      <c r="P243" s="189"/>
      <c r="Q243" s="189"/>
      <c r="R243" s="189"/>
      <c r="S243" s="189"/>
      <c r="T243" s="189"/>
      <c r="U243" s="189"/>
      <c r="V243" s="189"/>
      <c r="W243" s="189"/>
      <c r="X243" s="189"/>
      <c r="Y243" s="189"/>
      <c r="Z243" s="189"/>
      <c r="AA243" s="189"/>
      <c r="AB243" s="189"/>
      <c r="AC243" s="189"/>
      <c r="AD243" s="189"/>
      <c r="AE243" s="189"/>
      <c r="AF243" s="189"/>
    </row>
    <row r="244">
      <c r="A244" s="189"/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  <c r="N244" s="189"/>
      <c r="O244" s="189"/>
      <c r="P244" s="189"/>
      <c r="Q244" s="189"/>
      <c r="R244" s="189"/>
      <c r="S244" s="189"/>
      <c r="T244" s="189"/>
      <c r="U244" s="189"/>
      <c r="V244" s="189"/>
      <c r="W244" s="189"/>
      <c r="X244" s="189"/>
      <c r="Y244" s="189"/>
      <c r="Z244" s="189"/>
      <c r="AA244" s="189"/>
      <c r="AB244" s="189"/>
      <c r="AC244" s="189"/>
      <c r="AD244" s="189"/>
      <c r="AE244" s="189"/>
      <c r="AF244" s="189"/>
    </row>
    <row r="245">
      <c r="A245" s="189"/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  <c r="N245" s="189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189"/>
      <c r="Z245" s="189"/>
      <c r="AA245" s="189"/>
      <c r="AB245" s="189"/>
      <c r="AC245" s="189"/>
      <c r="AD245" s="189"/>
      <c r="AE245" s="189"/>
      <c r="AF245" s="189"/>
    </row>
    <row r="246">
      <c r="A246" s="189"/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  <c r="N246" s="189"/>
      <c r="O246" s="189"/>
      <c r="P246" s="189"/>
      <c r="Q246" s="189"/>
      <c r="R246" s="189"/>
      <c r="S246" s="189"/>
      <c r="T246" s="189"/>
      <c r="U246" s="189"/>
      <c r="V246" s="189"/>
      <c r="W246" s="189"/>
      <c r="X246" s="189"/>
      <c r="Y246" s="189"/>
      <c r="Z246" s="189"/>
      <c r="AA246" s="189"/>
      <c r="AB246" s="189"/>
      <c r="AC246" s="189"/>
      <c r="AD246" s="189"/>
      <c r="AE246" s="189"/>
      <c r="AF246" s="189"/>
    </row>
    <row r="247">
      <c r="A247" s="189"/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  <c r="N247" s="189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189"/>
      <c r="Z247" s="189"/>
      <c r="AA247" s="189"/>
      <c r="AB247" s="189"/>
      <c r="AC247" s="189"/>
      <c r="AD247" s="189"/>
      <c r="AE247" s="189"/>
      <c r="AF247" s="189"/>
    </row>
    <row r="248">
      <c r="A248" s="189"/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  <c r="N248" s="189"/>
      <c r="O248" s="189"/>
      <c r="P248" s="189"/>
      <c r="Q248" s="189"/>
      <c r="R248" s="189"/>
      <c r="S248" s="189"/>
      <c r="T248" s="189"/>
      <c r="U248" s="189"/>
      <c r="V248" s="189"/>
      <c r="W248" s="189"/>
      <c r="X248" s="189"/>
      <c r="Y248" s="189"/>
      <c r="Z248" s="189"/>
      <c r="AA248" s="189"/>
      <c r="AB248" s="189"/>
      <c r="AC248" s="189"/>
      <c r="AD248" s="189"/>
      <c r="AE248" s="189"/>
      <c r="AF248" s="189"/>
    </row>
    <row r="249">
      <c r="A249" s="189"/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  <c r="N249" s="189"/>
      <c r="O249" s="189"/>
      <c r="P249" s="189"/>
      <c r="Q249" s="189"/>
      <c r="R249" s="189"/>
      <c r="S249" s="189"/>
      <c r="T249" s="189"/>
      <c r="U249" s="189"/>
      <c r="V249" s="189"/>
      <c r="W249" s="189"/>
      <c r="X249" s="189"/>
      <c r="Y249" s="189"/>
      <c r="Z249" s="189"/>
      <c r="AA249" s="189"/>
      <c r="AB249" s="189"/>
      <c r="AC249" s="189"/>
      <c r="AD249" s="189"/>
      <c r="AE249" s="189"/>
      <c r="AF249" s="189"/>
    </row>
    <row r="250">
      <c r="A250" s="189"/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  <c r="N250" s="189"/>
      <c r="O250" s="189"/>
      <c r="P250" s="189"/>
      <c r="Q250" s="189"/>
      <c r="R250" s="189"/>
      <c r="S250" s="189"/>
      <c r="T250" s="189"/>
      <c r="U250" s="189"/>
      <c r="V250" s="189"/>
      <c r="W250" s="189"/>
      <c r="X250" s="189"/>
      <c r="Y250" s="189"/>
      <c r="Z250" s="189"/>
      <c r="AA250" s="189"/>
      <c r="AB250" s="189"/>
      <c r="AC250" s="189"/>
      <c r="AD250" s="189"/>
      <c r="AE250" s="189"/>
      <c r="AF250" s="189"/>
    </row>
    <row r="251">
      <c r="A251" s="189"/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  <c r="AE251" s="189"/>
      <c r="AF251" s="189"/>
    </row>
    <row r="252">
      <c r="A252" s="189"/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  <c r="N252" s="189"/>
      <c r="O252" s="189"/>
      <c r="P252" s="189"/>
      <c r="Q252" s="189"/>
      <c r="R252" s="189"/>
      <c r="S252" s="189"/>
      <c r="T252" s="189"/>
      <c r="U252" s="189"/>
      <c r="V252" s="189"/>
      <c r="W252" s="189"/>
      <c r="X252" s="189"/>
      <c r="Y252" s="189"/>
      <c r="Z252" s="189"/>
      <c r="AA252" s="189"/>
      <c r="AB252" s="189"/>
      <c r="AC252" s="189"/>
      <c r="AD252" s="189"/>
      <c r="AE252" s="189"/>
      <c r="AF252" s="189"/>
    </row>
    <row r="253">
      <c r="A253" s="189"/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  <c r="N253" s="189"/>
      <c r="O253" s="189"/>
      <c r="P253" s="189"/>
      <c r="Q253" s="189"/>
      <c r="R253" s="189"/>
      <c r="S253" s="189"/>
      <c r="T253" s="189"/>
      <c r="U253" s="189"/>
      <c r="V253" s="189"/>
      <c r="W253" s="189"/>
      <c r="X253" s="189"/>
      <c r="Y253" s="189"/>
      <c r="Z253" s="189"/>
      <c r="AA253" s="189"/>
      <c r="AB253" s="189"/>
      <c r="AC253" s="189"/>
      <c r="AD253" s="189"/>
      <c r="AE253" s="189"/>
      <c r="AF253" s="189"/>
    </row>
    <row r="254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  <c r="AA254" s="189"/>
      <c r="AB254" s="189"/>
      <c r="AC254" s="189"/>
      <c r="AD254" s="189"/>
      <c r="AE254" s="189"/>
      <c r="AF254" s="189"/>
    </row>
    <row r="255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  <c r="N255" s="189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  <c r="Z255" s="189"/>
      <c r="AA255" s="189"/>
      <c r="AB255" s="189"/>
      <c r="AC255" s="189"/>
      <c r="AD255" s="189"/>
      <c r="AE255" s="189"/>
      <c r="AF255" s="189"/>
    </row>
    <row r="256">
      <c r="A256" s="189"/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  <c r="N256" s="189"/>
      <c r="O256" s="189"/>
      <c r="P256" s="189"/>
      <c r="Q256" s="189"/>
      <c r="R256" s="189"/>
      <c r="S256" s="189"/>
      <c r="T256" s="189"/>
      <c r="U256" s="189"/>
      <c r="V256" s="189"/>
      <c r="W256" s="189"/>
      <c r="X256" s="189"/>
      <c r="Y256" s="189"/>
      <c r="Z256" s="189"/>
      <c r="AA256" s="189"/>
      <c r="AB256" s="189"/>
      <c r="AC256" s="189"/>
      <c r="AD256" s="189"/>
      <c r="AE256" s="189"/>
      <c r="AF256" s="189"/>
    </row>
    <row r="257">
      <c r="A257" s="189"/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  <c r="N257" s="189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189"/>
      <c r="Z257" s="189"/>
      <c r="AA257" s="189"/>
      <c r="AB257" s="189"/>
      <c r="AC257" s="189"/>
      <c r="AD257" s="189"/>
      <c r="AE257" s="189"/>
      <c r="AF257" s="189"/>
    </row>
    <row r="258">
      <c r="A258" s="189"/>
      <c r="B258" s="189"/>
      <c r="C258" s="189"/>
      <c r="D258" s="189"/>
      <c r="E258" s="189"/>
      <c r="F258" s="189"/>
      <c r="G258" s="189"/>
      <c r="H258" s="189"/>
      <c r="I258" s="189"/>
      <c r="J258" s="189"/>
      <c r="K258" s="189"/>
      <c r="L258" s="189"/>
      <c r="M258" s="189"/>
      <c r="N258" s="189"/>
      <c r="O258" s="189"/>
      <c r="P258" s="189"/>
      <c r="Q258" s="189"/>
      <c r="R258" s="189"/>
      <c r="S258" s="189"/>
      <c r="T258" s="189"/>
      <c r="U258" s="189"/>
      <c r="V258" s="189"/>
      <c r="W258" s="189"/>
      <c r="X258" s="189"/>
      <c r="Y258" s="189"/>
      <c r="Z258" s="189"/>
      <c r="AA258" s="189"/>
      <c r="AB258" s="189"/>
      <c r="AC258" s="189"/>
      <c r="AD258" s="189"/>
      <c r="AE258" s="189"/>
      <c r="AF258" s="189"/>
    </row>
    <row r="259">
      <c r="A259" s="189"/>
      <c r="B259" s="189"/>
      <c r="C259" s="189"/>
      <c r="D259" s="189"/>
      <c r="E259" s="189"/>
      <c r="F259" s="189"/>
      <c r="G259" s="189"/>
      <c r="H259" s="189"/>
      <c r="I259" s="189"/>
      <c r="J259" s="189"/>
      <c r="K259" s="189"/>
      <c r="L259" s="189"/>
      <c r="M259" s="189"/>
      <c r="N259" s="189"/>
      <c r="O259" s="189"/>
      <c r="P259" s="189"/>
      <c r="Q259" s="189"/>
      <c r="R259" s="189"/>
      <c r="S259" s="189"/>
      <c r="T259" s="189"/>
      <c r="U259" s="189"/>
      <c r="V259" s="189"/>
      <c r="W259" s="189"/>
      <c r="X259" s="189"/>
      <c r="Y259" s="189"/>
      <c r="Z259" s="189"/>
      <c r="AA259" s="189"/>
      <c r="AB259" s="189"/>
      <c r="AC259" s="189"/>
      <c r="AD259" s="189"/>
      <c r="AE259" s="189"/>
      <c r="AF259" s="189"/>
    </row>
    <row r="260">
      <c r="A260" s="189"/>
      <c r="B260" s="189"/>
      <c r="C260" s="189"/>
      <c r="D260" s="189"/>
      <c r="E260" s="189"/>
      <c r="F260" s="189"/>
      <c r="G260" s="189"/>
      <c r="H260" s="189"/>
      <c r="I260" s="189"/>
      <c r="J260" s="189"/>
      <c r="K260" s="189"/>
      <c r="L260" s="189"/>
      <c r="M260" s="189"/>
      <c r="N260" s="189"/>
      <c r="O260" s="189"/>
      <c r="P260" s="189"/>
      <c r="Q260" s="189"/>
      <c r="R260" s="189"/>
      <c r="S260" s="189"/>
      <c r="T260" s="189"/>
      <c r="U260" s="189"/>
      <c r="V260" s="189"/>
      <c r="W260" s="189"/>
      <c r="X260" s="189"/>
      <c r="Y260" s="189"/>
      <c r="Z260" s="189"/>
      <c r="AA260" s="189"/>
      <c r="AB260" s="189"/>
      <c r="AC260" s="189"/>
      <c r="AD260" s="189"/>
      <c r="AE260" s="189"/>
      <c r="AF260" s="189"/>
    </row>
    <row r="261">
      <c r="A261" s="189"/>
      <c r="B261" s="189"/>
      <c r="C261" s="189"/>
      <c r="D261" s="189"/>
      <c r="E261" s="189"/>
      <c r="F261" s="189"/>
      <c r="G261" s="189"/>
      <c r="H261" s="189"/>
      <c r="I261" s="189"/>
      <c r="J261" s="189"/>
      <c r="K261" s="189"/>
      <c r="L261" s="189"/>
      <c r="M261" s="189"/>
      <c r="N261" s="189"/>
      <c r="O261" s="189"/>
      <c r="P261" s="189"/>
      <c r="Q261" s="189"/>
      <c r="R261" s="189"/>
      <c r="S261" s="189"/>
      <c r="T261" s="189"/>
      <c r="U261" s="189"/>
      <c r="V261" s="189"/>
      <c r="W261" s="189"/>
      <c r="X261" s="189"/>
      <c r="Y261" s="189"/>
      <c r="Z261" s="189"/>
      <c r="AA261" s="189"/>
      <c r="AB261" s="189"/>
      <c r="AC261" s="189"/>
      <c r="AD261" s="189"/>
      <c r="AE261" s="189"/>
      <c r="AF261" s="189"/>
    </row>
    <row r="262">
      <c r="A262" s="189"/>
      <c r="B262" s="189"/>
      <c r="C262" s="189"/>
      <c r="D262" s="189"/>
      <c r="E262" s="189"/>
      <c r="F262" s="189"/>
      <c r="G262" s="189"/>
      <c r="H262" s="189"/>
      <c r="I262" s="189"/>
      <c r="J262" s="189"/>
      <c r="K262" s="189"/>
      <c r="L262" s="189"/>
      <c r="M262" s="189"/>
      <c r="N262" s="189"/>
      <c r="O262" s="189"/>
      <c r="P262" s="189"/>
      <c r="Q262" s="189"/>
      <c r="R262" s="189"/>
      <c r="S262" s="189"/>
      <c r="T262" s="189"/>
      <c r="U262" s="189"/>
      <c r="V262" s="189"/>
      <c r="W262" s="189"/>
      <c r="X262" s="189"/>
      <c r="Y262" s="189"/>
      <c r="Z262" s="189"/>
      <c r="AA262" s="189"/>
      <c r="AB262" s="189"/>
      <c r="AC262" s="189"/>
      <c r="AD262" s="189"/>
      <c r="AE262" s="189"/>
      <c r="AF262" s="189"/>
    </row>
    <row r="263">
      <c r="A263" s="189"/>
      <c r="B263" s="189"/>
      <c r="C263" s="189"/>
      <c r="D263" s="189"/>
      <c r="E263" s="189"/>
      <c r="F263" s="189"/>
      <c r="G263" s="189"/>
      <c r="H263" s="189"/>
      <c r="I263" s="189"/>
      <c r="J263" s="189"/>
      <c r="K263" s="189"/>
      <c r="L263" s="189"/>
      <c r="M263" s="189"/>
      <c r="N263" s="189"/>
      <c r="O263" s="189"/>
      <c r="P263" s="189"/>
      <c r="Q263" s="189"/>
      <c r="R263" s="189"/>
      <c r="S263" s="189"/>
      <c r="T263" s="189"/>
      <c r="U263" s="189"/>
      <c r="V263" s="189"/>
      <c r="W263" s="189"/>
      <c r="X263" s="189"/>
      <c r="Y263" s="189"/>
      <c r="Z263" s="189"/>
      <c r="AA263" s="189"/>
      <c r="AB263" s="189"/>
      <c r="AC263" s="189"/>
      <c r="AD263" s="189"/>
      <c r="AE263" s="189"/>
      <c r="AF263" s="189"/>
    </row>
    <row r="264">
      <c r="A264" s="189"/>
      <c r="B264" s="189"/>
      <c r="C264" s="189"/>
      <c r="D264" s="189"/>
      <c r="E264" s="189"/>
      <c r="F264" s="189"/>
      <c r="G264" s="189"/>
      <c r="H264" s="189"/>
      <c r="I264" s="189"/>
      <c r="J264" s="189"/>
      <c r="K264" s="189"/>
      <c r="L264" s="189"/>
      <c r="M264" s="189"/>
      <c r="N264" s="189"/>
      <c r="O264" s="189"/>
      <c r="P264" s="189"/>
      <c r="Q264" s="189"/>
      <c r="R264" s="189"/>
      <c r="S264" s="189"/>
      <c r="T264" s="189"/>
      <c r="U264" s="189"/>
      <c r="V264" s="189"/>
      <c r="W264" s="189"/>
      <c r="X264" s="189"/>
      <c r="Y264" s="189"/>
      <c r="Z264" s="189"/>
      <c r="AA264" s="189"/>
      <c r="AB264" s="189"/>
      <c r="AC264" s="189"/>
      <c r="AD264" s="189"/>
      <c r="AE264" s="189"/>
      <c r="AF264" s="189"/>
    </row>
    <row r="265">
      <c r="A265" s="189"/>
      <c r="B265" s="189"/>
      <c r="C265" s="189"/>
      <c r="D265" s="189"/>
      <c r="E265" s="189"/>
      <c r="F265" s="189"/>
      <c r="G265" s="189"/>
      <c r="H265" s="189"/>
      <c r="I265" s="189"/>
      <c r="J265" s="189"/>
      <c r="K265" s="189"/>
      <c r="L265" s="189"/>
      <c r="M265" s="189"/>
      <c r="N265" s="189"/>
      <c r="O265" s="189"/>
      <c r="P265" s="189"/>
      <c r="Q265" s="189"/>
      <c r="R265" s="189"/>
      <c r="S265" s="189"/>
      <c r="T265" s="189"/>
      <c r="U265" s="189"/>
      <c r="V265" s="189"/>
      <c r="W265" s="189"/>
      <c r="X265" s="189"/>
      <c r="Y265" s="189"/>
      <c r="Z265" s="189"/>
      <c r="AA265" s="189"/>
      <c r="AB265" s="189"/>
      <c r="AC265" s="189"/>
      <c r="AD265" s="189"/>
      <c r="AE265" s="189"/>
      <c r="AF265" s="189"/>
    </row>
    <row r="266">
      <c r="A266" s="189"/>
      <c r="B266" s="189"/>
      <c r="C266" s="189"/>
      <c r="D266" s="189"/>
      <c r="E266" s="189"/>
      <c r="F266" s="189"/>
      <c r="G266" s="189"/>
      <c r="H266" s="189"/>
      <c r="I266" s="189"/>
      <c r="J266" s="189"/>
      <c r="K266" s="189"/>
      <c r="L266" s="189"/>
      <c r="M266" s="189"/>
      <c r="N266" s="189"/>
      <c r="O266" s="189"/>
      <c r="P266" s="189"/>
      <c r="Q266" s="189"/>
      <c r="R266" s="189"/>
      <c r="S266" s="189"/>
      <c r="T266" s="189"/>
      <c r="U266" s="189"/>
      <c r="V266" s="189"/>
      <c r="W266" s="189"/>
      <c r="X266" s="189"/>
      <c r="Y266" s="189"/>
      <c r="Z266" s="189"/>
      <c r="AA266" s="189"/>
      <c r="AB266" s="189"/>
      <c r="AC266" s="189"/>
      <c r="AD266" s="189"/>
      <c r="AE266" s="189"/>
      <c r="AF266" s="189"/>
    </row>
    <row r="267">
      <c r="A267" s="189"/>
      <c r="B267" s="189"/>
      <c r="C267" s="189"/>
      <c r="D267" s="189"/>
      <c r="E267" s="189"/>
      <c r="F267" s="189"/>
      <c r="G267" s="189"/>
      <c r="H267" s="189"/>
      <c r="I267" s="189"/>
      <c r="J267" s="189"/>
      <c r="K267" s="189"/>
      <c r="L267" s="189"/>
      <c r="M267" s="189"/>
      <c r="N267" s="189"/>
      <c r="O267" s="189"/>
      <c r="P267" s="189"/>
      <c r="Q267" s="189"/>
      <c r="R267" s="189"/>
      <c r="S267" s="189"/>
      <c r="T267" s="189"/>
      <c r="U267" s="189"/>
      <c r="V267" s="189"/>
      <c r="W267" s="189"/>
      <c r="X267" s="189"/>
      <c r="Y267" s="189"/>
      <c r="Z267" s="189"/>
      <c r="AA267" s="189"/>
      <c r="AB267" s="189"/>
      <c r="AC267" s="189"/>
      <c r="AD267" s="189"/>
      <c r="AE267" s="189"/>
      <c r="AF267" s="189"/>
    </row>
    <row r="268">
      <c r="A268" s="189"/>
      <c r="B268" s="189"/>
      <c r="C268" s="189"/>
      <c r="D268" s="189"/>
      <c r="E268" s="189"/>
      <c r="F268" s="189"/>
      <c r="G268" s="189"/>
      <c r="H268" s="189"/>
      <c r="I268" s="189"/>
      <c r="J268" s="189"/>
      <c r="K268" s="189"/>
      <c r="L268" s="189"/>
      <c r="M268" s="189"/>
      <c r="N268" s="189"/>
      <c r="O268" s="189"/>
      <c r="P268" s="189"/>
      <c r="Q268" s="189"/>
      <c r="R268" s="189"/>
      <c r="S268" s="189"/>
      <c r="T268" s="189"/>
      <c r="U268" s="189"/>
      <c r="V268" s="189"/>
      <c r="W268" s="189"/>
      <c r="X268" s="189"/>
      <c r="Y268" s="189"/>
      <c r="Z268" s="189"/>
      <c r="AA268" s="189"/>
      <c r="AB268" s="189"/>
      <c r="AC268" s="189"/>
      <c r="AD268" s="189"/>
      <c r="AE268" s="189"/>
      <c r="AF268" s="189"/>
    </row>
    <row r="269">
      <c r="A269" s="189"/>
      <c r="B269" s="189"/>
      <c r="C269" s="189"/>
      <c r="D269" s="189"/>
      <c r="E269" s="189"/>
      <c r="F269" s="189"/>
      <c r="G269" s="189"/>
      <c r="H269" s="189"/>
      <c r="I269" s="189"/>
      <c r="J269" s="189"/>
      <c r="K269" s="189"/>
      <c r="L269" s="189"/>
      <c r="M269" s="189"/>
      <c r="N269" s="189"/>
      <c r="O269" s="189"/>
      <c r="P269" s="189"/>
      <c r="Q269" s="189"/>
      <c r="R269" s="189"/>
      <c r="S269" s="189"/>
      <c r="T269" s="189"/>
      <c r="U269" s="189"/>
      <c r="V269" s="189"/>
      <c r="W269" s="189"/>
      <c r="X269" s="189"/>
      <c r="Y269" s="189"/>
      <c r="Z269" s="189"/>
      <c r="AA269" s="189"/>
      <c r="AB269" s="189"/>
      <c r="AC269" s="189"/>
      <c r="AD269" s="189"/>
      <c r="AE269" s="189"/>
      <c r="AF269" s="189"/>
    </row>
    <row r="270">
      <c r="A270" s="189"/>
      <c r="B270" s="189"/>
      <c r="C270" s="189"/>
      <c r="D270" s="189"/>
      <c r="E270" s="189"/>
      <c r="F270" s="189"/>
      <c r="G270" s="189"/>
      <c r="H270" s="189"/>
      <c r="I270" s="189"/>
      <c r="J270" s="189"/>
      <c r="K270" s="189"/>
      <c r="L270" s="189"/>
      <c r="M270" s="189"/>
      <c r="N270" s="189"/>
      <c r="O270" s="189"/>
      <c r="P270" s="189"/>
      <c r="Q270" s="189"/>
      <c r="R270" s="189"/>
      <c r="S270" s="189"/>
      <c r="T270" s="189"/>
      <c r="U270" s="189"/>
      <c r="V270" s="189"/>
      <c r="W270" s="189"/>
      <c r="X270" s="189"/>
      <c r="Y270" s="189"/>
      <c r="Z270" s="189"/>
      <c r="AA270" s="189"/>
      <c r="AB270" s="189"/>
      <c r="AC270" s="189"/>
      <c r="AD270" s="189"/>
      <c r="AE270" s="189"/>
      <c r="AF270" s="189"/>
    </row>
    <row r="271">
      <c r="A271" s="189"/>
      <c r="B271" s="189"/>
      <c r="C271" s="189"/>
      <c r="D271" s="189"/>
      <c r="E271" s="189"/>
      <c r="F271" s="189"/>
      <c r="G271" s="189"/>
      <c r="H271" s="189"/>
      <c r="I271" s="189"/>
      <c r="J271" s="189"/>
      <c r="K271" s="189"/>
      <c r="L271" s="189"/>
      <c r="M271" s="189"/>
      <c r="N271" s="189"/>
      <c r="O271" s="189"/>
      <c r="P271" s="189"/>
      <c r="Q271" s="189"/>
      <c r="R271" s="189"/>
      <c r="S271" s="189"/>
      <c r="T271" s="189"/>
      <c r="U271" s="189"/>
      <c r="V271" s="189"/>
      <c r="W271" s="189"/>
      <c r="X271" s="189"/>
      <c r="Y271" s="189"/>
      <c r="Z271" s="189"/>
      <c r="AA271" s="189"/>
      <c r="AB271" s="189"/>
      <c r="AC271" s="189"/>
      <c r="AD271" s="189"/>
      <c r="AE271" s="189"/>
      <c r="AF271" s="189"/>
    </row>
    <row r="272">
      <c r="A272" s="189"/>
      <c r="B272" s="189"/>
      <c r="C272" s="189"/>
      <c r="D272" s="189"/>
      <c r="E272" s="189"/>
      <c r="F272" s="189"/>
      <c r="G272" s="189"/>
      <c r="H272" s="189"/>
      <c r="I272" s="189"/>
      <c r="J272" s="189"/>
      <c r="K272" s="189"/>
      <c r="L272" s="189"/>
      <c r="M272" s="189"/>
      <c r="N272" s="189"/>
      <c r="O272" s="189"/>
      <c r="P272" s="189"/>
      <c r="Q272" s="189"/>
      <c r="R272" s="189"/>
      <c r="S272" s="189"/>
      <c r="T272" s="189"/>
      <c r="U272" s="189"/>
      <c r="V272" s="189"/>
      <c r="W272" s="189"/>
      <c r="X272" s="189"/>
      <c r="Y272" s="189"/>
      <c r="Z272" s="189"/>
      <c r="AA272" s="189"/>
      <c r="AB272" s="189"/>
      <c r="AC272" s="189"/>
      <c r="AD272" s="189"/>
      <c r="AE272" s="189"/>
      <c r="AF272" s="189"/>
    </row>
    <row r="273">
      <c r="A273" s="189"/>
      <c r="B273" s="189"/>
      <c r="C273" s="189"/>
      <c r="D273" s="189"/>
      <c r="E273" s="189"/>
      <c r="F273" s="189"/>
      <c r="G273" s="189"/>
      <c r="H273" s="189"/>
      <c r="I273" s="189"/>
      <c r="J273" s="189"/>
      <c r="K273" s="189"/>
      <c r="L273" s="189"/>
      <c r="M273" s="189"/>
      <c r="N273" s="189"/>
      <c r="O273" s="189"/>
      <c r="P273" s="189"/>
      <c r="Q273" s="189"/>
      <c r="R273" s="189"/>
      <c r="S273" s="189"/>
      <c r="T273" s="189"/>
      <c r="U273" s="189"/>
      <c r="V273" s="189"/>
      <c r="W273" s="189"/>
      <c r="X273" s="189"/>
      <c r="Y273" s="189"/>
      <c r="Z273" s="189"/>
      <c r="AA273" s="189"/>
      <c r="AB273" s="189"/>
      <c r="AC273" s="189"/>
      <c r="AD273" s="189"/>
      <c r="AE273" s="189"/>
      <c r="AF273" s="189"/>
    </row>
    <row r="274">
      <c r="A274" s="189"/>
      <c r="B274" s="189"/>
      <c r="C274" s="189"/>
      <c r="D274" s="189"/>
      <c r="E274" s="189"/>
      <c r="F274" s="189"/>
      <c r="G274" s="189"/>
      <c r="H274" s="189"/>
      <c r="I274" s="189"/>
      <c r="J274" s="189"/>
      <c r="K274" s="189"/>
      <c r="L274" s="189"/>
      <c r="M274" s="189"/>
      <c r="N274" s="189"/>
      <c r="O274" s="189"/>
      <c r="P274" s="189"/>
      <c r="Q274" s="189"/>
      <c r="R274" s="189"/>
      <c r="S274" s="189"/>
      <c r="T274" s="189"/>
      <c r="U274" s="189"/>
      <c r="V274" s="189"/>
      <c r="W274" s="189"/>
      <c r="X274" s="189"/>
      <c r="Y274" s="189"/>
      <c r="Z274" s="189"/>
      <c r="AA274" s="189"/>
      <c r="AB274" s="189"/>
      <c r="AC274" s="189"/>
      <c r="AD274" s="189"/>
      <c r="AE274" s="189"/>
      <c r="AF274" s="189"/>
    </row>
    <row r="275">
      <c r="A275" s="189"/>
      <c r="B275" s="189"/>
      <c r="C275" s="189"/>
      <c r="D275" s="189"/>
      <c r="E275" s="189"/>
      <c r="F275" s="189"/>
      <c r="G275" s="189"/>
      <c r="H275" s="189"/>
      <c r="I275" s="189"/>
      <c r="J275" s="189"/>
      <c r="K275" s="189"/>
      <c r="L275" s="189"/>
      <c r="M275" s="189"/>
      <c r="N275" s="189"/>
      <c r="O275" s="189"/>
      <c r="P275" s="189"/>
      <c r="Q275" s="189"/>
      <c r="R275" s="189"/>
      <c r="S275" s="189"/>
      <c r="T275" s="189"/>
      <c r="U275" s="189"/>
      <c r="V275" s="189"/>
      <c r="W275" s="189"/>
      <c r="X275" s="189"/>
      <c r="Y275" s="189"/>
      <c r="Z275" s="189"/>
      <c r="AA275" s="189"/>
      <c r="AB275" s="189"/>
      <c r="AC275" s="189"/>
      <c r="AD275" s="189"/>
      <c r="AE275" s="189"/>
      <c r="AF275" s="189"/>
    </row>
    <row r="276">
      <c r="A276" s="189"/>
      <c r="B276" s="189"/>
      <c r="C276" s="189"/>
      <c r="D276" s="189"/>
      <c r="E276" s="189"/>
      <c r="F276" s="189"/>
      <c r="G276" s="189"/>
      <c r="H276" s="189"/>
      <c r="I276" s="189"/>
      <c r="J276" s="189"/>
      <c r="K276" s="189"/>
      <c r="L276" s="189"/>
      <c r="M276" s="189"/>
      <c r="N276" s="189"/>
      <c r="O276" s="189"/>
      <c r="P276" s="189"/>
      <c r="Q276" s="189"/>
      <c r="R276" s="189"/>
      <c r="S276" s="189"/>
      <c r="T276" s="189"/>
      <c r="U276" s="189"/>
      <c r="V276" s="189"/>
      <c r="W276" s="189"/>
      <c r="X276" s="189"/>
      <c r="Y276" s="189"/>
      <c r="Z276" s="189"/>
      <c r="AA276" s="189"/>
      <c r="AB276" s="189"/>
      <c r="AC276" s="189"/>
      <c r="AD276" s="189"/>
      <c r="AE276" s="189"/>
      <c r="AF276" s="189"/>
    </row>
    <row r="277">
      <c r="A277" s="189"/>
      <c r="B277" s="189"/>
      <c r="C277" s="189"/>
      <c r="D277" s="189"/>
      <c r="E277" s="189"/>
      <c r="F277" s="189"/>
      <c r="G277" s="189"/>
      <c r="H277" s="189"/>
      <c r="I277" s="189"/>
      <c r="J277" s="189"/>
      <c r="K277" s="189"/>
      <c r="L277" s="189"/>
      <c r="M277" s="189"/>
      <c r="N277" s="189"/>
      <c r="O277" s="189"/>
      <c r="P277" s="189"/>
      <c r="Q277" s="189"/>
      <c r="R277" s="189"/>
      <c r="S277" s="189"/>
      <c r="T277" s="189"/>
      <c r="U277" s="189"/>
      <c r="V277" s="189"/>
      <c r="W277" s="189"/>
      <c r="X277" s="189"/>
      <c r="Y277" s="189"/>
      <c r="Z277" s="189"/>
      <c r="AA277" s="189"/>
      <c r="AB277" s="189"/>
      <c r="AC277" s="189"/>
      <c r="AD277" s="189"/>
      <c r="AE277" s="189"/>
      <c r="AF277" s="189"/>
    </row>
    <row r="278">
      <c r="A278" s="189"/>
      <c r="B278" s="189"/>
      <c r="C278" s="189"/>
      <c r="D278" s="189"/>
      <c r="E278" s="189"/>
      <c r="F278" s="189"/>
      <c r="G278" s="189"/>
      <c r="H278" s="189"/>
      <c r="I278" s="189"/>
      <c r="J278" s="189"/>
      <c r="K278" s="189"/>
      <c r="L278" s="189"/>
      <c r="M278" s="189"/>
      <c r="N278" s="189"/>
      <c r="O278" s="189"/>
      <c r="P278" s="189"/>
      <c r="Q278" s="189"/>
      <c r="R278" s="189"/>
      <c r="S278" s="189"/>
      <c r="T278" s="189"/>
      <c r="U278" s="189"/>
      <c r="V278" s="189"/>
      <c r="W278" s="189"/>
      <c r="X278" s="189"/>
      <c r="Y278" s="189"/>
      <c r="Z278" s="189"/>
      <c r="AA278" s="189"/>
      <c r="AB278" s="189"/>
      <c r="AC278" s="189"/>
      <c r="AD278" s="189"/>
      <c r="AE278" s="189"/>
      <c r="AF278" s="189"/>
    </row>
    <row r="279">
      <c r="A279" s="189"/>
      <c r="B279" s="189"/>
      <c r="C279" s="189"/>
      <c r="D279" s="189"/>
      <c r="E279" s="189"/>
      <c r="F279" s="189"/>
      <c r="G279" s="189"/>
      <c r="H279" s="189"/>
      <c r="I279" s="189"/>
      <c r="J279" s="189"/>
      <c r="K279" s="189"/>
      <c r="L279" s="189"/>
      <c r="M279" s="189"/>
      <c r="N279" s="189"/>
      <c r="O279" s="189"/>
      <c r="P279" s="189"/>
      <c r="Q279" s="189"/>
      <c r="R279" s="189"/>
      <c r="S279" s="189"/>
      <c r="T279" s="189"/>
      <c r="U279" s="189"/>
      <c r="V279" s="189"/>
      <c r="W279" s="189"/>
      <c r="X279" s="189"/>
      <c r="Y279" s="189"/>
      <c r="Z279" s="189"/>
      <c r="AA279" s="189"/>
      <c r="AB279" s="189"/>
      <c r="AC279" s="189"/>
      <c r="AD279" s="189"/>
      <c r="AE279" s="189"/>
      <c r="AF279" s="189"/>
    </row>
    <row r="280">
      <c r="A280" s="189"/>
      <c r="B280" s="189"/>
      <c r="C280" s="189"/>
      <c r="D280" s="189"/>
      <c r="E280" s="189"/>
      <c r="F280" s="189"/>
      <c r="G280" s="189"/>
      <c r="H280" s="189"/>
      <c r="I280" s="189"/>
      <c r="J280" s="189"/>
      <c r="K280" s="189"/>
      <c r="L280" s="189"/>
      <c r="M280" s="189"/>
      <c r="N280" s="189"/>
      <c r="O280" s="189"/>
      <c r="P280" s="189"/>
      <c r="Q280" s="189"/>
      <c r="R280" s="189"/>
      <c r="S280" s="189"/>
      <c r="T280" s="189"/>
      <c r="U280" s="189"/>
      <c r="V280" s="189"/>
      <c r="W280" s="189"/>
      <c r="X280" s="189"/>
      <c r="Y280" s="189"/>
      <c r="Z280" s="189"/>
      <c r="AA280" s="189"/>
      <c r="AB280" s="189"/>
      <c r="AC280" s="189"/>
      <c r="AD280" s="189"/>
      <c r="AE280" s="189"/>
      <c r="AF280" s="189"/>
    </row>
    <row r="281">
      <c r="A281" s="189"/>
      <c r="B281" s="189"/>
      <c r="C281" s="189"/>
      <c r="D281" s="189"/>
      <c r="E281" s="189"/>
      <c r="F281" s="189"/>
      <c r="G281" s="189"/>
      <c r="H281" s="189"/>
      <c r="I281" s="189"/>
      <c r="J281" s="189"/>
      <c r="K281" s="189"/>
      <c r="L281" s="189"/>
      <c r="M281" s="189"/>
      <c r="N281" s="189"/>
      <c r="O281" s="189"/>
      <c r="P281" s="189"/>
      <c r="Q281" s="189"/>
      <c r="R281" s="189"/>
      <c r="S281" s="189"/>
      <c r="T281" s="189"/>
      <c r="U281" s="189"/>
      <c r="V281" s="189"/>
      <c r="W281" s="189"/>
      <c r="X281" s="189"/>
      <c r="Y281" s="189"/>
      <c r="Z281" s="189"/>
      <c r="AA281" s="189"/>
      <c r="AB281" s="189"/>
      <c r="AC281" s="189"/>
      <c r="AD281" s="189"/>
      <c r="AE281" s="189"/>
      <c r="AF281" s="189"/>
    </row>
    <row r="282">
      <c r="A282" s="189"/>
      <c r="B282" s="189"/>
      <c r="C282" s="189"/>
      <c r="D282" s="189"/>
      <c r="E282" s="189"/>
      <c r="F282" s="189"/>
      <c r="G282" s="189"/>
      <c r="H282" s="189"/>
      <c r="I282" s="189"/>
      <c r="J282" s="189"/>
      <c r="K282" s="189"/>
      <c r="L282" s="189"/>
      <c r="M282" s="189"/>
      <c r="N282" s="189"/>
      <c r="O282" s="189"/>
      <c r="P282" s="189"/>
      <c r="Q282" s="189"/>
      <c r="R282" s="189"/>
      <c r="S282" s="189"/>
      <c r="T282" s="189"/>
      <c r="U282" s="189"/>
      <c r="V282" s="189"/>
      <c r="W282" s="189"/>
      <c r="X282" s="189"/>
      <c r="Y282" s="189"/>
      <c r="Z282" s="189"/>
      <c r="AA282" s="189"/>
      <c r="AB282" s="189"/>
      <c r="AC282" s="189"/>
      <c r="AD282" s="189"/>
      <c r="AE282" s="189"/>
      <c r="AF282" s="189"/>
    </row>
    <row r="283">
      <c r="A283" s="189"/>
      <c r="B283" s="189"/>
      <c r="C283" s="189"/>
      <c r="D283" s="189"/>
      <c r="E283" s="189"/>
      <c r="F283" s="189"/>
      <c r="G283" s="189"/>
      <c r="H283" s="189"/>
      <c r="I283" s="189"/>
      <c r="J283" s="189"/>
      <c r="K283" s="189"/>
      <c r="L283" s="189"/>
      <c r="M283" s="189"/>
      <c r="N283" s="189"/>
      <c r="O283" s="189"/>
      <c r="P283" s="189"/>
      <c r="Q283" s="189"/>
      <c r="R283" s="189"/>
      <c r="S283" s="189"/>
      <c r="T283" s="189"/>
      <c r="U283" s="189"/>
      <c r="V283" s="189"/>
      <c r="W283" s="189"/>
      <c r="X283" s="189"/>
      <c r="Y283" s="189"/>
      <c r="Z283" s="189"/>
      <c r="AA283" s="189"/>
      <c r="AB283" s="189"/>
      <c r="AC283" s="189"/>
      <c r="AD283" s="189"/>
      <c r="AE283" s="189"/>
      <c r="AF283" s="189"/>
    </row>
    <row r="284">
      <c r="A284" s="189"/>
      <c r="B284" s="189"/>
      <c r="C284" s="189"/>
      <c r="D284" s="189"/>
      <c r="E284" s="189"/>
      <c r="F284" s="189"/>
      <c r="G284" s="189"/>
      <c r="H284" s="189"/>
      <c r="I284" s="189"/>
      <c r="J284" s="189"/>
      <c r="K284" s="189"/>
      <c r="L284" s="189"/>
      <c r="M284" s="189"/>
      <c r="N284" s="189"/>
      <c r="O284" s="189"/>
      <c r="P284" s="189"/>
      <c r="Q284" s="189"/>
      <c r="R284" s="189"/>
      <c r="S284" s="189"/>
      <c r="T284" s="189"/>
      <c r="U284" s="189"/>
      <c r="V284" s="189"/>
      <c r="W284" s="189"/>
      <c r="X284" s="189"/>
      <c r="Y284" s="189"/>
      <c r="Z284" s="189"/>
      <c r="AA284" s="189"/>
      <c r="AB284" s="189"/>
      <c r="AC284" s="189"/>
      <c r="AD284" s="189"/>
      <c r="AE284" s="189"/>
      <c r="AF284" s="189"/>
    </row>
    <row r="285">
      <c r="A285" s="189"/>
      <c r="B285" s="189"/>
      <c r="C285" s="189"/>
      <c r="D285" s="189"/>
      <c r="E285" s="189"/>
      <c r="F285" s="189"/>
      <c r="G285" s="189"/>
      <c r="H285" s="189"/>
      <c r="I285" s="189"/>
      <c r="J285" s="189"/>
      <c r="K285" s="189"/>
      <c r="L285" s="189"/>
      <c r="M285" s="189"/>
      <c r="N285" s="189"/>
      <c r="O285" s="189"/>
      <c r="P285" s="189"/>
      <c r="Q285" s="189"/>
      <c r="R285" s="189"/>
      <c r="S285" s="189"/>
      <c r="T285" s="189"/>
      <c r="U285" s="189"/>
      <c r="V285" s="189"/>
      <c r="W285" s="189"/>
      <c r="X285" s="189"/>
      <c r="Y285" s="189"/>
      <c r="Z285" s="189"/>
      <c r="AA285" s="189"/>
      <c r="AB285" s="189"/>
      <c r="AC285" s="189"/>
      <c r="AD285" s="189"/>
      <c r="AE285" s="189"/>
      <c r="AF285" s="189"/>
    </row>
    <row r="286">
      <c r="A286" s="189"/>
      <c r="B286" s="189"/>
      <c r="C286" s="189"/>
      <c r="D286" s="189"/>
      <c r="E286" s="189"/>
      <c r="F286" s="189"/>
      <c r="G286" s="189"/>
      <c r="H286" s="189"/>
      <c r="I286" s="189"/>
      <c r="J286" s="189"/>
      <c r="K286" s="189"/>
      <c r="L286" s="189"/>
      <c r="M286" s="189"/>
      <c r="N286" s="189"/>
      <c r="O286" s="189"/>
      <c r="P286" s="189"/>
      <c r="Q286" s="189"/>
      <c r="R286" s="189"/>
      <c r="S286" s="189"/>
      <c r="T286" s="189"/>
      <c r="U286" s="189"/>
      <c r="V286" s="189"/>
      <c r="W286" s="189"/>
      <c r="X286" s="189"/>
      <c r="Y286" s="189"/>
      <c r="Z286" s="189"/>
      <c r="AA286" s="189"/>
      <c r="AB286" s="189"/>
      <c r="AC286" s="189"/>
      <c r="AD286" s="189"/>
      <c r="AE286" s="189"/>
      <c r="AF286" s="189"/>
    </row>
    <row r="287">
      <c r="A287" s="189"/>
      <c r="B287" s="189"/>
      <c r="C287" s="189"/>
      <c r="D287" s="189"/>
      <c r="E287" s="189"/>
      <c r="F287" s="189"/>
      <c r="G287" s="189"/>
      <c r="H287" s="189"/>
      <c r="I287" s="189"/>
      <c r="J287" s="189"/>
      <c r="K287" s="189"/>
      <c r="L287" s="189"/>
      <c r="M287" s="189"/>
      <c r="N287" s="189"/>
      <c r="O287" s="189"/>
      <c r="P287" s="189"/>
      <c r="Q287" s="189"/>
      <c r="R287" s="189"/>
      <c r="S287" s="189"/>
      <c r="T287" s="189"/>
      <c r="U287" s="189"/>
      <c r="V287" s="189"/>
      <c r="W287" s="189"/>
      <c r="X287" s="189"/>
      <c r="Y287" s="189"/>
      <c r="Z287" s="189"/>
      <c r="AA287" s="189"/>
      <c r="AB287" s="189"/>
      <c r="AC287" s="189"/>
      <c r="AD287" s="189"/>
      <c r="AE287" s="189"/>
      <c r="AF287" s="189"/>
    </row>
    <row r="288">
      <c r="A288" s="189"/>
      <c r="B288" s="189"/>
      <c r="C288" s="189"/>
      <c r="D288" s="189"/>
      <c r="E288" s="189"/>
      <c r="F288" s="189"/>
      <c r="G288" s="189"/>
      <c r="H288" s="189"/>
      <c r="I288" s="189"/>
      <c r="J288" s="189"/>
      <c r="K288" s="189"/>
      <c r="L288" s="189"/>
      <c r="M288" s="189"/>
      <c r="N288" s="189"/>
      <c r="O288" s="189"/>
      <c r="P288" s="189"/>
      <c r="Q288" s="189"/>
      <c r="R288" s="189"/>
      <c r="S288" s="189"/>
      <c r="T288" s="189"/>
      <c r="U288" s="189"/>
      <c r="V288" s="189"/>
      <c r="W288" s="189"/>
      <c r="X288" s="189"/>
      <c r="Y288" s="189"/>
      <c r="Z288" s="189"/>
      <c r="AA288" s="189"/>
      <c r="AB288" s="189"/>
      <c r="AC288" s="189"/>
      <c r="AD288" s="189"/>
      <c r="AE288" s="189"/>
      <c r="AF288" s="189"/>
    </row>
    <row r="289">
      <c r="A289" s="189"/>
      <c r="B289" s="189"/>
      <c r="C289" s="189"/>
      <c r="D289" s="189"/>
      <c r="E289" s="189"/>
      <c r="F289" s="189"/>
      <c r="G289" s="189"/>
      <c r="H289" s="189"/>
      <c r="I289" s="189"/>
      <c r="J289" s="189"/>
      <c r="K289" s="189"/>
      <c r="L289" s="189"/>
      <c r="M289" s="189"/>
      <c r="N289" s="189"/>
      <c r="O289" s="189"/>
      <c r="P289" s="189"/>
      <c r="Q289" s="189"/>
      <c r="R289" s="189"/>
      <c r="S289" s="189"/>
      <c r="T289" s="189"/>
      <c r="U289" s="189"/>
      <c r="V289" s="189"/>
      <c r="W289" s="189"/>
      <c r="X289" s="189"/>
      <c r="Y289" s="189"/>
      <c r="Z289" s="189"/>
      <c r="AA289" s="189"/>
      <c r="AB289" s="189"/>
      <c r="AC289" s="189"/>
      <c r="AD289" s="189"/>
      <c r="AE289" s="189"/>
      <c r="AF289" s="189"/>
    </row>
    <row r="290">
      <c r="A290" s="189"/>
      <c r="B290" s="189"/>
      <c r="C290" s="189"/>
      <c r="D290" s="189"/>
      <c r="E290" s="189"/>
      <c r="F290" s="189"/>
      <c r="G290" s="189"/>
      <c r="H290" s="189"/>
      <c r="I290" s="189"/>
      <c r="J290" s="189"/>
      <c r="K290" s="189"/>
      <c r="L290" s="189"/>
      <c r="M290" s="189"/>
      <c r="N290" s="189"/>
      <c r="O290" s="189"/>
      <c r="P290" s="189"/>
      <c r="Q290" s="189"/>
      <c r="R290" s="189"/>
      <c r="S290" s="189"/>
      <c r="T290" s="189"/>
      <c r="U290" s="189"/>
      <c r="V290" s="189"/>
      <c r="W290" s="189"/>
      <c r="X290" s="189"/>
      <c r="Y290" s="189"/>
      <c r="Z290" s="189"/>
      <c r="AA290" s="189"/>
      <c r="AB290" s="189"/>
      <c r="AC290" s="189"/>
      <c r="AD290" s="189"/>
      <c r="AE290" s="189"/>
      <c r="AF290" s="189"/>
    </row>
    <row r="291">
      <c r="A291" s="189"/>
      <c r="B291" s="189"/>
      <c r="C291" s="189"/>
      <c r="D291" s="189"/>
      <c r="E291" s="189"/>
      <c r="F291" s="189"/>
      <c r="G291" s="189"/>
      <c r="H291" s="189"/>
      <c r="I291" s="189"/>
      <c r="J291" s="189"/>
      <c r="K291" s="189"/>
      <c r="L291" s="189"/>
      <c r="M291" s="189"/>
      <c r="N291" s="189"/>
      <c r="O291" s="189"/>
      <c r="P291" s="189"/>
      <c r="Q291" s="189"/>
      <c r="R291" s="189"/>
      <c r="S291" s="189"/>
      <c r="T291" s="189"/>
      <c r="U291" s="189"/>
      <c r="V291" s="189"/>
      <c r="W291" s="189"/>
      <c r="X291" s="189"/>
      <c r="Y291" s="189"/>
      <c r="Z291" s="189"/>
      <c r="AA291" s="189"/>
      <c r="AB291" s="189"/>
      <c r="AC291" s="189"/>
      <c r="AD291" s="189"/>
      <c r="AE291" s="189"/>
      <c r="AF291" s="189"/>
    </row>
    <row r="292">
      <c r="A292" s="189"/>
      <c r="B292" s="189"/>
      <c r="C292" s="189"/>
      <c r="D292" s="189"/>
      <c r="E292" s="189"/>
      <c r="F292" s="189"/>
      <c r="G292" s="189"/>
      <c r="H292" s="189"/>
      <c r="I292" s="189"/>
      <c r="J292" s="189"/>
      <c r="K292" s="189"/>
      <c r="L292" s="189"/>
      <c r="M292" s="189"/>
      <c r="N292" s="189"/>
      <c r="O292" s="189"/>
      <c r="P292" s="189"/>
      <c r="Q292" s="189"/>
      <c r="R292" s="189"/>
      <c r="S292" s="189"/>
      <c r="T292" s="189"/>
      <c r="U292" s="189"/>
      <c r="V292" s="189"/>
      <c r="W292" s="189"/>
      <c r="X292" s="189"/>
      <c r="Y292" s="189"/>
      <c r="Z292" s="189"/>
      <c r="AA292" s="189"/>
      <c r="AB292" s="189"/>
      <c r="AC292" s="189"/>
      <c r="AD292" s="189"/>
      <c r="AE292" s="189"/>
      <c r="AF292" s="189"/>
    </row>
    <row r="293">
      <c r="A293" s="189"/>
      <c r="B293" s="189"/>
      <c r="C293" s="189"/>
      <c r="D293" s="189"/>
      <c r="E293" s="189"/>
      <c r="F293" s="189"/>
      <c r="G293" s="189"/>
      <c r="H293" s="189"/>
      <c r="I293" s="189"/>
      <c r="J293" s="189"/>
      <c r="K293" s="189"/>
      <c r="L293" s="189"/>
      <c r="M293" s="189"/>
      <c r="N293" s="189"/>
      <c r="O293" s="189"/>
      <c r="P293" s="189"/>
      <c r="Q293" s="189"/>
      <c r="R293" s="189"/>
      <c r="S293" s="189"/>
      <c r="T293" s="189"/>
      <c r="U293" s="189"/>
      <c r="V293" s="189"/>
      <c r="W293" s="189"/>
      <c r="X293" s="189"/>
      <c r="Y293" s="189"/>
      <c r="Z293" s="189"/>
      <c r="AA293" s="189"/>
      <c r="AB293" s="189"/>
      <c r="AC293" s="189"/>
      <c r="AD293" s="189"/>
      <c r="AE293" s="189"/>
      <c r="AF293" s="189"/>
    </row>
    <row r="294">
      <c r="A294" s="189"/>
      <c r="B294" s="189"/>
      <c r="C294" s="189"/>
      <c r="D294" s="189"/>
      <c r="E294" s="189"/>
      <c r="F294" s="189"/>
      <c r="G294" s="189"/>
      <c r="H294" s="189"/>
      <c r="I294" s="189"/>
      <c r="J294" s="189"/>
      <c r="K294" s="189"/>
      <c r="L294" s="189"/>
      <c r="M294" s="189"/>
      <c r="N294" s="189"/>
      <c r="O294" s="189"/>
      <c r="P294" s="189"/>
      <c r="Q294" s="189"/>
      <c r="R294" s="189"/>
      <c r="S294" s="189"/>
      <c r="T294" s="189"/>
      <c r="U294" s="189"/>
      <c r="V294" s="189"/>
      <c r="W294" s="189"/>
      <c r="X294" s="189"/>
      <c r="Y294" s="189"/>
      <c r="Z294" s="189"/>
      <c r="AA294" s="189"/>
      <c r="AB294" s="189"/>
      <c r="AC294" s="189"/>
      <c r="AD294" s="189"/>
      <c r="AE294" s="189"/>
      <c r="AF294" s="189"/>
    </row>
    <row r="295">
      <c r="A295" s="189"/>
      <c r="B295" s="189"/>
      <c r="C295" s="189"/>
      <c r="D295" s="189"/>
      <c r="E295" s="189"/>
      <c r="F295" s="189"/>
      <c r="G295" s="189"/>
      <c r="H295" s="189"/>
      <c r="I295" s="189"/>
      <c r="J295" s="189"/>
      <c r="K295" s="189"/>
      <c r="L295" s="189"/>
      <c r="M295" s="189"/>
      <c r="N295" s="189"/>
      <c r="O295" s="189"/>
      <c r="P295" s="189"/>
      <c r="Q295" s="189"/>
      <c r="R295" s="189"/>
      <c r="S295" s="189"/>
      <c r="T295" s="189"/>
      <c r="U295" s="189"/>
      <c r="V295" s="189"/>
      <c r="W295" s="189"/>
      <c r="X295" s="189"/>
      <c r="Y295" s="189"/>
      <c r="Z295" s="189"/>
      <c r="AA295" s="189"/>
      <c r="AB295" s="189"/>
      <c r="AC295" s="189"/>
      <c r="AD295" s="189"/>
      <c r="AE295" s="189"/>
      <c r="AF295" s="189"/>
    </row>
    <row r="296">
      <c r="A296" s="189"/>
      <c r="B296" s="189"/>
      <c r="C296" s="189"/>
      <c r="D296" s="189"/>
      <c r="E296" s="189"/>
      <c r="F296" s="189"/>
      <c r="G296" s="189"/>
      <c r="H296" s="189"/>
      <c r="I296" s="189"/>
      <c r="J296" s="189"/>
      <c r="K296" s="189"/>
      <c r="L296" s="189"/>
      <c r="M296" s="189"/>
      <c r="N296" s="189"/>
      <c r="O296" s="189"/>
      <c r="P296" s="189"/>
      <c r="Q296" s="189"/>
      <c r="R296" s="189"/>
      <c r="S296" s="189"/>
      <c r="T296" s="189"/>
      <c r="U296" s="189"/>
      <c r="V296" s="189"/>
      <c r="W296" s="189"/>
      <c r="X296" s="189"/>
      <c r="Y296" s="189"/>
      <c r="Z296" s="189"/>
      <c r="AA296" s="189"/>
      <c r="AB296" s="189"/>
      <c r="AC296" s="189"/>
      <c r="AD296" s="189"/>
      <c r="AE296" s="189"/>
      <c r="AF296" s="189"/>
    </row>
    <row r="297">
      <c r="A297" s="189"/>
      <c r="B297" s="189"/>
      <c r="C297" s="189"/>
      <c r="D297" s="189"/>
      <c r="E297" s="189"/>
      <c r="F297" s="189"/>
      <c r="G297" s="189"/>
      <c r="H297" s="189"/>
      <c r="I297" s="189"/>
      <c r="J297" s="189"/>
      <c r="K297" s="189"/>
      <c r="L297" s="189"/>
      <c r="M297" s="189"/>
      <c r="N297" s="189"/>
      <c r="O297" s="189"/>
      <c r="P297" s="189"/>
      <c r="Q297" s="189"/>
      <c r="R297" s="189"/>
      <c r="S297" s="189"/>
      <c r="T297" s="189"/>
      <c r="U297" s="189"/>
      <c r="V297" s="189"/>
      <c r="W297" s="189"/>
      <c r="X297" s="189"/>
      <c r="Y297" s="189"/>
      <c r="Z297" s="189"/>
      <c r="AA297" s="189"/>
      <c r="AB297" s="189"/>
      <c r="AC297" s="189"/>
      <c r="AD297" s="189"/>
      <c r="AE297" s="189"/>
      <c r="AF297" s="189"/>
    </row>
    <row r="298">
      <c r="A298" s="189"/>
      <c r="B298" s="189"/>
      <c r="C298" s="189"/>
      <c r="D298" s="189"/>
      <c r="E298" s="189"/>
      <c r="F298" s="189"/>
      <c r="G298" s="189"/>
      <c r="H298" s="189"/>
      <c r="I298" s="189"/>
      <c r="J298" s="189"/>
      <c r="K298" s="189"/>
      <c r="L298" s="189"/>
      <c r="M298" s="189"/>
      <c r="N298" s="189"/>
      <c r="O298" s="189"/>
      <c r="P298" s="189"/>
      <c r="Q298" s="189"/>
      <c r="R298" s="189"/>
      <c r="S298" s="189"/>
      <c r="T298" s="189"/>
      <c r="U298" s="189"/>
      <c r="V298" s="189"/>
      <c r="W298" s="189"/>
      <c r="X298" s="189"/>
      <c r="Y298" s="189"/>
      <c r="Z298" s="189"/>
      <c r="AA298" s="189"/>
      <c r="AB298" s="189"/>
      <c r="AC298" s="189"/>
      <c r="AD298" s="189"/>
      <c r="AE298" s="189"/>
      <c r="AF298" s="189"/>
    </row>
    <row r="299">
      <c r="A299" s="189"/>
      <c r="B299" s="189"/>
      <c r="C299" s="189"/>
      <c r="D299" s="189"/>
      <c r="E299" s="189"/>
      <c r="F299" s="189"/>
      <c r="G299" s="189"/>
      <c r="H299" s="189"/>
      <c r="I299" s="189"/>
      <c r="J299" s="189"/>
      <c r="K299" s="189"/>
      <c r="L299" s="189"/>
      <c r="M299" s="189"/>
      <c r="N299" s="189"/>
      <c r="O299" s="189"/>
      <c r="P299" s="189"/>
      <c r="Q299" s="189"/>
      <c r="R299" s="189"/>
      <c r="S299" s="189"/>
      <c r="T299" s="189"/>
      <c r="U299" s="189"/>
      <c r="V299" s="189"/>
      <c r="W299" s="189"/>
      <c r="X299" s="189"/>
      <c r="Y299" s="189"/>
      <c r="Z299" s="189"/>
      <c r="AA299" s="189"/>
      <c r="AB299" s="189"/>
      <c r="AC299" s="189"/>
      <c r="AD299" s="189"/>
      <c r="AE299" s="189"/>
      <c r="AF299" s="189"/>
    </row>
    <row r="300">
      <c r="A300" s="189"/>
      <c r="B300" s="189"/>
      <c r="C300" s="189"/>
      <c r="D300" s="189"/>
      <c r="E300" s="189"/>
      <c r="F300" s="189"/>
      <c r="G300" s="189"/>
      <c r="H300" s="189"/>
      <c r="I300" s="189"/>
      <c r="J300" s="189"/>
      <c r="K300" s="189"/>
      <c r="L300" s="189"/>
      <c r="M300" s="189"/>
      <c r="N300" s="189"/>
      <c r="O300" s="189"/>
      <c r="P300" s="189"/>
      <c r="Q300" s="189"/>
      <c r="R300" s="189"/>
      <c r="S300" s="189"/>
      <c r="T300" s="189"/>
      <c r="U300" s="189"/>
      <c r="V300" s="189"/>
      <c r="W300" s="189"/>
      <c r="X300" s="189"/>
      <c r="Y300" s="189"/>
      <c r="Z300" s="189"/>
      <c r="AA300" s="189"/>
      <c r="AB300" s="189"/>
      <c r="AC300" s="189"/>
      <c r="AD300" s="189"/>
      <c r="AE300" s="189"/>
      <c r="AF300" s="189"/>
    </row>
    <row r="301">
      <c r="A301" s="189"/>
      <c r="B301" s="189"/>
      <c r="C301" s="189"/>
      <c r="D301" s="189"/>
      <c r="E301" s="189"/>
      <c r="F301" s="189"/>
      <c r="G301" s="189"/>
      <c r="H301" s="189"/>
      <c r="I301" s="189"/>
      <c r="J301" s="189"/>
      <c r="K301" s="189"/>
      <c r="L301" s="189"/>
      <c r="M301" s="189"/>
      <c r="N301" s="189"/>
      <c r="O301" s="189"/>
      <c r="P301" s="189"/>
      <c r="Q301" s="189"/>
      <c r="R301" s="189"/>
      <c r="S301" s="189"/>
      <c r="T301" s="189"/>
      <c r="U301" s="189"/>
      <c r="V301" s="189"/>
      <c r="W301" s="189"/>
      <c r="X301" s="189"/>
      <c r="Y301" s="189"/>
      <c r="Z301" s="189"/>
      <c r="AA301" s="189"/>
      <c r="AB301" s="189"/>
      <c r="AC301" s="189"/>
      <c r="AD301" s="189"/>
      <c r="AE301" s="189"/>
      <c r="AF301" s="189"/>
    </row>
    <row r="302">
      <c r="A302" s="189"/>
      <c r="B302" s="189"/>
      <c r="C302" s="189"/>
      <c r="D302" s="189"/>
      <c r="E302" s="189"/>
      <c r="F302" s="189"/>
      <c r="G302" s="189"/>
      <c r="H302" s="189"/>
      <c r="I302" s="189"/>
      <c r="J302" s="189"/>
      <c r="K302" s="189"/>
      <c r="L302" s="189"/>
      <c r="M302" s="189"/>
      <c r="N302" s="189"/>
      <c r="O302" s="189"/>
      <c r="P302" s="189"/>
      <c r="Q302" s="189"/>
      <c r="R302" s="189"/>
      <c r="S302" s="189"/>
      <c r="T302" s="189"/>
      <c r="U302" s="189"/>
      <c r="V302" s="189"/>
      <c r="W302" s="189"/>
      <c r="X302" s="189"/>
      <c r="Y302" s="189"/>
      <c r="Z302" s="189"/>
      <c r="AA302" s="189"/>
      <c r="AB302" s="189"/>
      <c r="AC302" s="189"/>
      <c r="AD302" s="189"/>
      <c r="AE302" s="189"/>
      <c r="AF302" s="189"/>
    </row>
    <row r="303">
      <c r="A303" s="189"/>
      <c r="B303" s="189"/>
      <c r="C303" s="189"/>
      <c r="D303" s="189"/>
      <c r="E303" s="189"/>
      <c r="F303" s="189"/>
      <c r="G303" s="189"/>
      <c r="H303" s="189"/>
      <c r="I303" s="189"/>
      <c r="J303" s="189"/>
      <c r="K303" s="189"/>
      <c r="L303" s="189"/>
      <c r="M303" s="189"/>
      <c r="N303" s="189"/>
      <c r="O303" s="189"/>
      <c r="P303" s="189"/>
      <c r="Q303" s="189"/>
      <c r="R303" s="189"/>
      <c r="S303" s="189"/>
      <c r="T303" s="189"/>
      <c r="U303" s="189"/>
      <c r="V303" s="189"/>
      <c r="W303" s="189"/>
      <c r="X303" s="189"/>
      <c r="Y303" s="189"/>
      <c r="Z303" s="189"/>
      <c r="AA303" s="189"/>
      <c r="AB303" s="189"/>
      <c r="AC303" s="189"/>
      <c r="AD303" s="189"/>
      <c r="AE303" s="189"/>
      <c r="AF303" s="189"/>
    </row>
    <row r="304">
      <c r="A304" s="189"/>
      <c r="B304" s="189"/>
      <c r="C304" s="189"/>
      <c r="D304" s="189"/>
      <c r="E304" s="189"/>
      <c r="F304" s="189"/>
      <c r="G304" s="189"/>
      <c r="H304" s="189"/>
      <c r="I304" s="189"/>
      <c r="J304" s="189"/>
      <c r="K304" s="189"/>
      <c r="L304" s="189"/>
      <c r="M304" s="189"/>
      <c r="N304" s="189"/>
      <c r="O304" s="189"/>
      <c r="P304" s="189"/>
      <c r="Q304" s="189"/>
      <c r="R304" s="189"/>
      <c r="S304" s="189"/>
      <c r="T304" s="189"/>
      <c r="U304" s="189"/>
      <c r="V304" s="189"/>
      <c r="W304" s="189"/>
      <c r="X304" s="189"/>
      <c r="Y304" s="189"/>
      <c r="Z304" s="189"/>
      <c r="AA304" s="189"/>
      <c r="AB304" s="189"/>
      <c r="AC304" s="189"/>
      <c r="AD304" s="189"/>
      <c r="AE304" s="189"/>
      <c r="AF304" s="189"/>
    </row>
    <row r="305">
      <c r="A305" s="189"/>
      <c r="B305" s="189"/>
      <c r="C305" s="189"/>
      <c r="D305" s="189"/>
      <c r="E305" s="189"/>
      <c r="F305" s="189"/>
      <c r="G305" s="189"/>
      <c r="H305" s="189"/>
      <c r="I305" s="189"/>
      <c r="J305" s="189"/>
      <c r="K305" s="189"/>
      <c r="L305" s="189"/>
      <c r="M305" s="189"/>
      <c r="N305" s="189"/>
      <c r="O305" s="189"/>
      <c r="P305" s="189"/>
      <c r="Q305" s="189"/>
      <c r="R305" s="189"/>
      <c r="S305" s="189"/>
      <c r="T305" s="189"/>
      <c r="U305" s="189"/>
      <c r="V305" s="189"/>
      <c r="W305" s="189"/>
      <c r="X305" s="189"/>
      <c r="Y305" s="189"/>
      <c r="Z305" s="189"/>
      <c r="AA305" s="189"/>
      <c r="AB305" s="189"/>
      <c r="AC305" s="189"/>
      <c r="AD305" s="189"/>
      <c r="AE305" s="189"/>
      <c r="AF305" s="189"/>
    </row>
    <row r="306">
      <c r="A306" s="189"/>
      <c r="B306" s="189"/>
      <c r="C306" s="189"/>
      <c r="D306" s="189"/>
      <c r="E306" s="189"/>
      <c r="F306" s="189"/>
      <c r="G306" s="189"/>
      <c r="H306" s="189"/>
      <c r="I306" s="189"/>
      <c r="J306" s="189"/>
      <c r="K306" s="189"/>
      <c r="L306" s="189"/>
      <c r="M306" s="189"/>
      <c r="N306" s="189"/>
      <c r="O306" s="189"/>
      <c r="P306" s="189"/>
      <c r="Q306" s="189"/>
      <c r="R306" s="189"/>
      <c r="S306" s="189"/>
      <c r="T306" s="189"/>
      <c r="U306" s="189"/>
      <c r="V306" s="189"/>
      <c r="W306" s="189"/>
      <c r="X306" s="189"/>
      <c r="Y306" s="189"/>
      <c r="Z306" s="189"/>
      <c r="AA306" s="189"/>
      <c r="AB306" s="189"/>
      <c r="AC306" s="189"/>
      <c r="AD306" s="189"/>
      <c r="AE306" s="189"/>
      <c r="AF306" s="189"/>
    </row>
    <row r="307">
      <c r="A307" s="189"/>
      <c r="B307" s="189"/>
      <c r="C307" s="189"/>
      <c r="D307" s="189"/>
      <c r="E307" s="189"/>
      <c r="F307" s="189"/>
      <c r="G307" s="189"/>
      <c r="H307" s="189"/>
      <c r="I307" s="189"/>
      <c r="J307" s="189"/>
      <c r="K307" s="189"/>
      <c r="L307" s="189"/>
      <c r="M307" s="189"/>
      <c r="N307" s="189"/>
      <c r="O307" s="189"/>
      <c r="P307" s="189"/>
      <c r="Q307" s="189"/>
      <c r="R307" s="189"/>
      <c r="S307" s="189"/>
      <c r="T307" s="189"/>
      <c r="U307" s="189"/>
      <c r="V307" s="189"/>
      <c r="W307" s="189"/>
      <c r="X307" s="189"/>
      <c r="Y307" s="189"/>
      <c r="Z307" s="189"/>
      <c r="AA307" s="189"/>
      <c r="AB307" s="189"/>
      <c r="AC307" s="189"/>
      <c r="AD307" s="189"/>
      <c r="AE307" s="189"/>
      <c r="AF307" s="189"/>
    </row>
    <row r="308">
      <c r="A308" s="189"/>
      <c r="B308" s="189"/>
      <c r="C308" s="189"/>
      <c r="D308" s="189"/>
      <c r="E308" s="189"/>
      <c r="F308" s="189"/>
      <c r="G308" s="189"/>
      <c r="H308" s="189"/>
      <c r="I308" s="189"/>
      <c r="J308" s="189"/>
      <c r="K308" s="189"/>
      <c r="L308" s="189"/>
      <c r="M308" s="189"/>
      <c r="N308" s="189"/>
      <c r="O308" s="189"/>
      <c r="P308" s="189"/>
      <c r="Q308" s="189"/>
      <c r="R308" s="189"/>
      <c r="S308" s="189"/>
      <c r="T308" s="189"/>
      <c r="U308" s="189"/>
      <c r="V308" s="189"/>
      <c r="W308" s="189"/>
      <c r="X308" s="189"/>
      <c r="Y308" s="189"/>
      <c r="Z308" s="189"/>
      <c r="AA308" s="189"/>
      <c r="AB308" s="189"/>
      <c r="AC308" s="189"/>
      <c r="AD308" s="189"/>
      <c r="AE308" s="189"/>
      <c r="AF308" s="189"/>
    </row>
    <row r="309">
      <c r="A309" s="189"/>
      <c r="B309" s="189"/>
      <c r="C309" s="189"/>
      <c r="D309" s="189"/>
      <c r="E309" s="189"/>
      <c r="F309" s="189"/>
      <c r="G309" s="189"/>
      <c r="H309" s="189"/>
      <c r="I309" s="189"/>
      <c r="J309" s="189"/>
      <c r="K309" s="189"/>
      <c r="L309" s="189"/>
      <c r="M309" s="189"/>
      <c r="N309" s="189"/>
      <c r="O309" s="189"/>
      <c r="P309" s="189"/>
      <c r="Q309" s="189"/>
      <c r="R309" s="189"/>
      <c r="S309" s="189"/>
      <c r="T309" s="189"/>
      <c r="U309" s="189"/>
      <c r="V309" s="189"/>
      <c r="W309" s="189"/>
      <c r="X309" s="189"/>
      <c r="Y309" s="189"/>
      <c r="Z309" s="189"/>
      <c r="AA309" s="189"/>
      <c r="AB309" s="189"/>
      <c r="AC309" s="189"/>
      <c r="AD309" s="189"/>
      <c r="AE309" s="189"/>
      <c r="AF309" s="189"/>
    </row>
    <row r="310">
      <c r="A310" s="189"/>
      <c r="B310" s="189"/>
      <c r="C310" s="189"/>
      <c r="D310" s="189"/>
      <c r="E310" s="189"/>
      <c r="F310" s="189"/>
      <c r="G310" s="189"/>
      <c r="H310" s="189"/>
      <c r="I310" s="189"/>
      <c r="J310" s="189"/>
      <c r="K310" s="189"/>
      <c r="L310" s="189"/>
      <c r="M310" s="189"/>
      <c r="N310" s="189"/>
      <c r="O310" s="189"/>
      <c r="P310" s="189"/>
      <c r="Q310" s="189"/>
      <c r="R310" s="189"/>
      <c r="S310" s="189"/>
      <c r="T310" s="189"/>
      <c r="U310" s="189"/>
      <c r="V310" s="189"/>
      <c r="W310" s="189"/>
      <c r="X310" s="189"/>
      <c r="Y310" s="189"/>
      <c r="Z310" s="189"/>
      <c r="AA310" s="189"/>
      <c r="AB310" s="189"/>
      <c r="AC310" s="189"/>
      <c r="AD310" s="189"/>
      <c r="AE310" s="189"/>
      <c r="AF310" s="189"/>
    </row>
    <row r="311">
      <c r="A311" s="189"/>
      <c r="B311" s="189"/>
      <c r="C311" s="189"/>
      <c r="D311" s="189"/>
      <c r="E311" s="189"/>
      <c r="F311" s="189"/>
      <c r="G311" s="189"/>
      <c r="H311" s="189"/>
      <c r="I311" s="189"/>
      <c r="J311" s="189"/>
      <c r="K311" s="189"/>
      <c r="L311" s="189"/>
      <c r="M311" s="189"/>
      <c r="N311" s="189"/>
      <c r="O311" s="189"/>
      <c r="P311" s="189"/>
      <c r="Q311" s="189"/>
      <c r="R311" s="189"/>
      <c r="S311" s="189"/>
      <c r="T311" s="189"/>
      <c r="U311" s="189"/>
      <c r="V311" s="189"/>
      <c r="W311" s="189"/>
      <c r="X311" s="189"/>
      <c r="Y311" s="189"/>
      <c r="Z311" s="189"/>
      <c r="AA311" s="189"/>
      <c r="AB311" s="189"/>
      <c r="AC311" s="189"/>
      <c r="AD311" s="189"/>
      <c r="AE311" s="189"/>
      <c r="AF311" s="189"/>
    </row>
    <row r="312">
      <c r="A312" s="189"/>
      <c r="B312" s="189"/>
      <c r="C312" s="189"/>
      <c r="D312" s="189"/>
      <c r="E312" s="189"/>
      <c r="F312" s="189"/>
      <c r="G312" s="189"/>
      <c r="H312" s="189"/>
      <c r="I312" s="189"/>
      <c r="J312" s="189"/>
      <c r="K312" s="189"/>
      <c r="L312" s="189"/>
      <c r="M312" s="189"/>
      <c r="N312" s="189"/>
      <c r="O312" s="189"/>
      <c r="P312" s="189"/>
      <c r="Q312" s="189"/>
      <c r="R312" s="189"/>
      <c r="S312" s="189"/>
      <c r="T312" s="189"/>
      <c r="U312" s="189"/>
      <c r="V312" s="189"/>
      <c r="W312" s="189"/>
      <c r="X312" s="189"/>
      <c r="Y312" s="189"/>
      <c r="Z312" s="189"/>
      <c r="AA312" s="189"/>
      <c r="AB312" s="189"/>
      <c r="AC312" s="189"/>
      <c r="AD312" s="189"/>
      <c r="AE312" s="189"/>
      <c r="AF312" s="189"/>
    </row>
    <row r="313">
      <c r="A313" s="189"/>
      <c r="B313" s="189"/>
      <c r="C313" s="189"/>
      <c r="D313" s="189"/>
      <c r="E313" s="189"/>
      <c r="F313" s="189"/>
      <c r="G313" s="189"/>
      <c r="H313" s="189"/>
      <c r="I313" s="189"/>
      <c r="J313" s="189"/>
      <c r="K313" s="189"/>
      <c r="L313" s="189"/>
      <c r="M313" s="189"/>
      <c r="N313" s="189"/>
      <c r="O313" s="189"/>
      <c r="P313" s="189"/>
      <c r="Q313" s="189"/>
      <c r="R313" s="189"/>
      <c r="S313" s="189"/>
      <c r="T313" s="189"/>
      <c r="U313" s="189"/>
      <c r="V313" s="189"/>
      <c r="W313" s="189"/>
      <c r="X313" s="189"/>
      <c r="Y313" s="189"/>
      <c r="Z313" s="189"/>
      <c r="AA313" s="189"/>
      <c r="AB313" s="189"/>
      <c r="AC313" s="189"/>
      <c r="AD313" s="189"/>
      <c r="AE313" s="189"/>
      <c r="AF313" s="189"/>
    </row>
    <row r="314">
      <c r="A314" s="189"/>
      <c r="B314" s="189"/>
      <c r="C314" s="189"/>
      <c r="D314" s="189"/>
      <c r="E314" s="189"/>
      <c r="F314" s="189"/>
      <c r="G314" s="189"/>
      <c r="H314" s="189"/>
      <c r="I314" s="189"/>
      <c r="J314" s="189"/>
      <c r="K314" s="189"/>
      <c r="L314" s="189"/>
      <c r="M314" s="189"/>
      <c r="N314" s="189"/>
      <c r="O314" s="189"/>
      <c r="P314" s="189"/>
      <c r="Q314" s="189"/>
      <c r="R314" s="189"/>
      <c r="S314" s="189"/>
      <c r="T314" s="189"/>
      <c r="U314" s="189"/>
      <c r="V314" s="189"/>
      <c r="W314" s="189"/>
      <c r="X314" s="189"/>
      <c r="Y314" s="189"/>
      <c r="Z314" s="189"/>
      <c r="AA314" s="189"/>
      <c r="AB314" s="189"/>
      <c r="AC314" s="189"/>
      <c r="AD314" s="189"/>
      <c r="AE314" s="189"/>
      <c r="AF314" s="189"/>
    </row>
    <row r="315">
      <c r="A315" s="189"/>
      <c r="B315" s="189"/>
      <c r="C315" s="189"/>
      <c r="D315" s="189"/>
      <c r="E315" s="189"/>
      <c r="F315" s="189"/>
      <c r="G315" s="189"/>
      <c r="H315" s="189"/>
      <c r="I315" s="189"/>
      <c r="J315" s="189"/>
      <c r="K315" s="189"/>
      <c r="L315" s="189"/>
      <c r="M315" s="189"/>
      <c r="N315" s="189"/>
      <c r="O315" s="189"/>
      <c r="P315" s="189"/>
      <c r="Q315" s="189"/>
      <c r="R315" s="189"/>
      <c r="S315" s="189"/>
      <c r="T315" s="189"/>
      <c r="U315" s="189"/>
      <c r="V315" s="189"/>
      <c r="W315" s="189"/>
      <c r="X315" s="189"/>
      <c r="Y315" s="189"/>
      <c r="Z315" s="189"/>
      <c r="AA315" s="189"/>
      <c r="AB315" s="189"/>
      <c r="AC315" s="189"/>
      <c r="AD315" s="189"/>
      <c r="AE315" s="189"/>
      <c r="AF315" s="189"/>
    </row>
    <row r="316">
      <c r="A316" s="189"/>
      <c r="B316" s="189"/>
      <c r="C316" s="189"/>
      <c r="D316" s="189"/>
      <c r="E316" s="189"/>
      <c r="F316" s="189"/>
      <c r="G316" s="189"/>
      <c r="H316" s="189"/>
      <c r="I316" s="189"/>
      <c r="J316" s="189"/>
      <c r="K316" s="189"/>
      <c r="L316" s="189"/>
      <c r="M316" s="189"/>
      <c r="N316" s="189"/>
      <c r="O316" s="189"/>
      <c r="P316" s="189"/>
      <c r="Q316" s="189"/>
      <c r="R316" s="189"/>
      <c r="S316" s="189"/>
      <c r="T316" s="189"/>
      <c r="U316" s="189"/>
      <c r="V316" s="189"/>
      <c r="W316" s="189"/>
      <c r="X316" s="189"/>
      <c r="Y316" s="189"/>
      <c r="Z316" s="189"/>
      <c r="AA316" s="189"/>
      <c r="AB316" s="189"/>
      <c r="AC316" s="189"/>
      <c r="AD316" s="189"/>
      <c r="AE316" s="189"/>
      <c r="AF316" s="189"/>
    </row>
    <row r="317">
      <c r="A317" s="189"/>
      <c r="B317" s="189"/>
      <c r="C317" s="189"/>
      <c r="D317" s="189"/>
      <c r="E317" s="189"/>
      <c r="F317" s="189"/>
      <c r="G317" s="189"/>
      <c r="H317" s="189"/>
      <c r="I317" s="189"/>
      <c r="J317" s="189"/>
      <c r="K317" s="189"/>
      <c r="L317" s="189"/>
      <c r="M317" s="189"/>
      <c r="N317" s="189"/>
      <c r="O317" s="189"/>
      <c r="P317" s="189"/>
      <c r="Q317" s="189"/>
      <c r="R317" s="189"/>
      <c r="S317" s="189"/>
      <c r="T317" s="189"/>
      <c r="U317" s="189"/>
      <c r="V317" s="189"/>
      <c r="W317" s="189"/>
      <c r="X317" s="189"/>
      <c r="Y317" s="189"/>
      <c r="Z317" s="189"/>
      <c r="AA317" s="189"/>
      <c r="AB317" s="189"/>
      <c r="AC317" s="189"/>
      <c r="AD317" s="189"/>
      <c r="AE317" s="189"/>
      <c r="AF317" s="189"/>
    </row>
    <row r="318">
      <c r="A318" s="189"/>
      <c r="B318" s="189"/>
      <c r="C318" s="189"/>
      <c r="D318" s="189"/>
      <c r="E318" s="189"/>
      <c r="F318" s="189"/>
      <c r="G318" s="189"/>
      <c r="H318" s="189"/>
      <c r="I318" s="189"/>
      <c r="J318" s="189"/>
      <c r="K318" s="189"/>
      <c r="L318" s="189"/>
      <c r="M318" s="189"/>
      <c r="N318" s="189"/>
      <c r="O318" s="189"/>
      <c r="P318" s="189"/>
      <c r="Q318" s="189"/>
      <c r="R318" s="189"/>
      <c r="S318" s="189"/>
      <c r="T318" s="189"/>
      <c r="U318" s="189"/>
      <c r="V318" s="189"/>
      <c r="W318" s="189"/>
      <c r="X318" s="189"/>
      <c r="Y318" s="189"/>
      <c r="Z318" s="189"/>
      <c r="AA318" s="189"/>
      <c r="AB318" s="189"/>
      <c r="AC318" s="189"/>
      <c r="AD318" s="189"/>
      <c r="AE318" s="189"/>
      <c r="AF318" s="189"/>
    </row>
    <row r="319">
      <c r="A319" s="189"/>
      <c r="B319" s="189"/>
      <c r="C319" s="189"/>
      <c r="D319" s="189"/>
      <c r="E319" s="189"/>
      <c r="F319" s="189"/>
      <c r="G319" s="189"/>
      <c r="H319" s="189"/>
      <c r="I319" s="189"/>
      <c r="J319" s="189"/>
      <c r="K319" s="189"/>
      <c r="L319" s="189"/>
      <c r="M319" s="189"/>
      <c r="N319" s="189"/>
      <c r="O319" s="189"/>
      <c r="P319" s="189"/>
      <c r="Q319" s="189"/>
      <c r="R319" s="189"/>
      <c r="S319" s="189"/>
      <c r="T319" s="189"/>
      <c r="U319" s="189"/>
      <c r="V319" s="189"/>
      <c r="W319" s="189"/>
      <c r="X319" s="189"/>
      <c r="Y319" s="189"/>
      <c r="Z319" s="189"/>
      <c r="AA319" s="189"/>
      <c r="AB319" s="189"/>
      <c r="AC319" s="189"/>
      <c r="AD319" s="189"/>
      <c r="AE319" s="189"/>
      <c r="AF319" s="189"/>
    </row>
    <row r="320">
      <c r="A320" s="189"/>
      <c r="B320" s="189"/>
      <c r="C320" s="189"/>
      <c r="D320" s="189"/>
      <c r="E320" s="189"/>
      <c r="F320" s="189"/>
      <c r="G320" s="189"/>
      <c r="H320" s="189"/>
      <c r="I320" s="189"/>
      <c r="J320" s="189"/>
      <c r="K320" s="189"/>
      <c r="L320" s="189"/>
      <c r="M320" s="189"/>
      <c r="N320" s="189"/>
      <c r="O320" s="189"/>
      <c r="P320" s="189"/>
      <c r="Q320" s="189"/>
      <c r="R320" s="189"/>
      <c r="S320" s="189"/>
      <c r="T320" s="189"/>
      <c r="U320" s="189"/>
      <c r="V320" s="189"/>
      <c r="W320" s="189"/>
      <c r="X320" s="189"/>
      <c r="Y320" s="189"/>
      <c r="Z320" s="189"/>
      <c r="AA320" s="189"/>
      <c r="AB320" s="189"/>
      <c r="AC320" s="189"/>
      <c r="AD320" s="189"/>
      <c r="AE320" s="189"/>
      <c r="AF320" s="189"/>
    </row>
    <row r="321">
      <c r="A321" s="189"/>
      <c r="B321" s="189"/>
      <c r="C321" s="189"/>
      <c r="D321" s="189"/>
      <c r="E321" s="189"/>
      <c r="F321" s="189"/>
      <c r="G321" s="189"/>
      <c r="H321" s="189"/>
      <c r="I321" s="189"/>
      <c r="J321" s="189"/>
      <c r="K321" s="189"/>
      <c r="L321" s="189"/>
      <c r="M321" s="189"/>
      <c r="N321" s="189"/>
      <c r="O321" s="189"/>
      <c r="P321" s="189"/>
      <c r="Q321" s="189"/>
      <c r="R321" s="189"/>
      <c r="S321" s="189"/>
      <c r="T321" s="189"/>
      <c r="U321" s="189"/>
      <c r="V321" s="189"/>
      <c r="W321" s="189"/>
      <c r="X321" s="189"/>
      <c r="Y321" s="189"/>
      <c r="Z321" s="189"/>
      <c r="AA321" s="189"/>
      <c r="AB321" s="189"/>
      <c r="AC321" s="189"/>
      <c r="AD321" s="189"/>
      <c r="AE321" s="189"/>
      <c r="AF321" s="189"/>
    </row>
    <row r="322">
      <c r="A322" s="189"/>
      <c r="B322" s="189"/>
      <c r="C322" s="189"/>
      <c r="D322" s="189"/>
      <c r="E322" s="189"/>
      <c r="F322" s="189"/>
      <c r="G322" s="189"/>
      <c r="H322" s="189"/>
      <c r="I322" s="189"/>
      <c r="J322" s="189"/>
      <c r="K322" s="189"/>
      <c r="L322" s="189"/>
      <c r="M322" s="189"/>
      <c r="N322" s="189"/>
      <c r="O322" s="189"/>
      <c r="P322" s="189"/>
      <c r="Q322" s="189"/>
      <c r="R322" s="189"/>
      <c r="S322" s="189"/>
      <c r="T322" s="189"/>
      <c r="U322" s="189"/>
      <c r="V322" s="189"/>
      <c r="W322" s="189"/>
      <c r="X322" s="189"/>
      <c r="Y322" s="189"/>
      <c r="Z322" s="189"/>
      <c r="AA322" s="189"/>
      <c r="AB322" s="189"/>
      <c r="AC322" s="189"/>
      <c r="AD322" s="189"/>
      <c r="AE322" s="189"/>
      <c r="AF322" s="189"/>
    </row>
    <row r="323">
      <c r="A323" s="189"/>
      <c r="B323" s="189"/>
      <c r="C323" s="189"/>
      <c r="D323" s="189"/>
      <c r="E323" s="189"/>
      <c r="F323" s="189"/>
      <c r="G323" s="189"/>
      <c r="H323" s="189"/>
      <c r="I323" s="189"/>
      <c r="J323" s="189"/>
      <c r="K323" s="189"/>
      <c r="L323" s="189"/>
      <c r="M323" s="189"/>
      <c r="N323" s="189"/>
      <c r="O323" s="189"/>
      <c r="P323" s="189"/>
      <c r="Q323" s="189"/>
      <c r="R323" s="189"/>
      <c r="S323" s="189"/>
      <c r="T323" s="189"/>
      <c r="U323" s="189"/>
      <c r="V323" s="189"/>
      <c r="W323" s="189"/>
      <c r="X323" s="189"/>
      <c r="Y323" s="189"/>
      <c r="Z323" s="189"/>
      <c r="AA323" s="189"/>
      <c r="AB323" s="189"/>
      <c r="AC323" s="189"/>
      <c r="AD323" s="189"/>
      <c r="AE323" s="189"/>
      <c r="AF323" s="189"/>
    </row>
    <row r="324">
      <c r="A324" s="189"/>
      <c r="B324" s="189"/>
      <c r="C324" s="189"/>
      <c r="D324" s="189"/>
      <c r="E324" s="189"/>
      <c r="F324" s="189"/>
      <c r="G324" s="189"/>
      <c r="H324" s="189"/>
      <c r="I324" s="189"/>
      <c r="J324" s="189"/>
      <c r="K324" s="189"/>
      <c r="L324" s="189"/>
      <c r="M324" s="189"/>
      <c r="N324" s="189"/>
      <c r="O324" s="189"/>
      <c r="P324" s="189"/>
      <c r="Q324" s="189"/>
      <c r="R324" s="189"/>
      <c r="S324" s="189"/>
      <c r="T324" s="189"/>
      <c r="U324" s="189"/>
      <c r="V324" s="189"/>
      <c r="W324" s="189"/>
      <c r="X324" s="189"/>
      <c r="Y324" s="189"/>
      <c r="Z324" s="189"/>
      <c r="AA324" s="189"/>
      <c r="AB324" s="189"/>
      <c r="AC324" s="189"/>
      <c r="AD324" s="189"/>
      <c r="AE324" s="189"/>
      <c r="AF324" s="189"/>
    </row>
    <row r="325">
      <c r="A325" s="189"/>
      <c r="B325" s="189"/>
      <c r="C325" s="189"/>
      <c r="D325" s="189"/>
      <c r="E325" s="189"/>
      <c r="F325" s="189"/>
      <c r="G325" s="189"/>
      <c r="H325" s="189"/>
      <c r="I325" s="189"/>
      <c r="J325" s="189"/>
      <c r="K325" s="189"/>
      <c r="L325" s="189"/>
      <c r="M325" s="189"/>
      <c r="N325" s="189"/>
      <c r="O325" s="189"/>
      <c r="P325" s="189"/>
      <c r="Q325" s="189"/>
      <c r="R325" s="189"/>
      <c r="S325" s="189"/>
      <c r="T325" s="189"/>
      <c r="U325" s="189"/>
      <c r="V325" s="189"/>
      <c r="W325" s="189"/>
      <c r="X325" s="189"/>
      <c r="Y325" s="189"/>
      <c r="Z325" s="189"/>
      <c r="AA325" s="189"/>
      <c r="AB325" s="189"/>
      <c r="AC325" s="189"/>
      <c r="AD325" s="189"/>
      <c r="AE325" s="189"/>
      <c r="AF325" s="189"/>
    </row>
    <row r="326">
      <c r="A326" s="189"/>
      <c r="B326" s="189"/>
      <c r="C326" s="189"/>
      <c r="D326" s="189"/>
      <c r="E326" s="189"/>
      <c r="F326" s="189"/>
      <c r="G326" s="189"/>
      <c r="H326" s="189"/>
      <c r="I326" s="189"/>
      <c r="J326" s="189"/>
      <c r="K326" s="189"/>
      <c r="L326" s="189"/>
      <c r="M326" s="189"/>
      <c r="N326" s="189"/>
      <c r="O326" s="189"/>
      <c r="P326" s="189"/>
      <c r="Q326" s="189"/>
      <c r="R326" s="189"/>
      <c r="S326" s="189"/>
      <c r="T326" s="189"/>
      <c r="U326" s="189"/>
      <c r="V326" s="189"/>
      <c r="W326" s="189"/>
      <c r="X326" s="189"/>
      <c r="Y326" s="189"/>
      <c r="Z326" s="189"/>
      <c r="AA326" s="189"/>
      <c r="AB326" s="189"/>
      <c r="AC326" s="189"/>
      <c r="AD326" s="189"/>
      <c r="AE326" s="189"/>
      <c r="AF326" s="189"/>
    </row>
    <row r="327">
      <c r="A327" s="189"/>
      <c r="B327" s="189"/>
      <c r="C327" s="189"/>
      <c r="D327" s="189"/>
      <c r="E327" s="189"/>
      <c r="F327" s="189"/>
      <c r="G327" s="189"/>
      <c r="H327" s="189"/>
      <c r="I327" s="189"/>
      <c r="J327" s="189"/>
      <c r="K327" s="189"/>
      <c r="L327" s="189"/>
      <c r="M327" s="189"/>
      <c r="N327" s="189"/>
      <c r="O327" s="189"/>
      <c r="P327" s="189"/>
      <c r="Q327" s="189"/>
      <c r="R327" s="189"/>
      <c r="S327" s="189"/>
      <c r="T327" s="189"/>
      <c r="U327" s="189"/>
      <c r="V327" s="189"/>
      <c r="W327" s="189"/>
      <c r="X327" s="189"/>
      <c r="Y327" s="189"/>
      <c r="Z327" s="189"/>
      <c r="AA327" s="189"/>
      <c r="AB327" s="189"/>
      <c r="AC327" s="189"/>
      <c r="AD327" s="189"/>
      <c r="AE327" s="189"/>
      <c r="AF327" s="189"/>
    </row>
    <row r="328">
      <c r="A328" s="189"/>
      <c r="B328" s="189"/>
      <c r="C328" s="189"/>
      <c r="D328" s="189"/>
      <c r="E328" s="189"/>
      <c r="F328" s="189"/>
      <c r="G328" s="189"/>
      <c r="H328" s="189"/>
      <c r="I328" s="189"/>
      <c r="J328" s="189"/>
      <c r="K328" s="189"/>
      <c r="L328" s="189"/>
      <c r="M328" s="189"/>
      <c r="N328" s="189"/>
      <c r="O328" s="189"/>
      <c r="P328" s="189"/>
      <c r="Q328" s="189"/>
      <c r="R328" s="189"/>
      <c r="S328" s="189"/>
      <c r="T328" s="189"/>
      <c r="U328" s="189"/>
      <c r="V328" s="189"/>
      <c r="W328" s="189"/>
      <c r="X328" s="189"/>
      <c r="Y328" s="189"/>
      <c r="Z328" s="189"/>
      <c r="AA328" s="189"/>
      <c r="AB328" s="189"/>
      <c r="AC328" s="189"/>
      <c r="AD328" s="189"/>
      <c r="AE328" s="189"/>
      <c r="AF328" s="189"/>
    </row>
    <row r="329">
      <c r="A329" s="189"/>
      <c r="B329" s="189"/>
      <c r="C329" s="189"/>
      <c r="D329" s="189"/>
      <c r="E329" s="189"/>
      <c r="F329" s="189"/>
      <c r="G329" s="189"/>
      <c r="H329" s="189"/>
      <c r="I329" s="189"/>
      <c r="J329" s="189"/>
      <c r="K329" s="189"/>
      <c r="L329" s="189"/>
      <c r="M329" s="189"/>
      <c r="N329" s="189"/>
      <c r="O329" s="189"/>
      <c r="P329" s="189"/>
      <c r="Q329" s="189"/>
      <c r="R329" s="189"/>
      <c r="S329" s="189"/>
      <c r="T329" s="189"/>
      <c r="U329" s="189"/>
      <c r="V329" s="189"/>
      <c r="W329" s="189"/>
      <c r="X329" s="189"/>
      <c r="Y329" s="189"/>
      <c r="Z329" s="189"/>
      <c r="AA329" s="189"/>
      <c r="AB329" s="189"/>
      <c r="AC329" s="189"/>
      <c r="AD329" s="189"/>
      <c r="AE329" s="189"/>
      <c r="AF329" s="189"/>
    </row>
    <row r="330">
      <c r="A330" s="189"/>
      <c r="B330" s="189"/>
      <c r="C330" s="189"/>
      <c r="D330" s="189"/>
      <c r="E330" s="189"/>
      <c r="F330" s="189"/>
      <c r="G330" s="189"/>
      <c r="H330" s="189"/>
      <c r="I330" s="189"/>
      <c r="J330" s="189"/>
      <c r="K330" s="189"/>
      <c r="L330" s="189"/>
      <c r="M330" s="189"/>
      <c r="N330" s="189"/>
      <c r="O330" s="189"/>
      <c r="P330" s="189"/>
      <c r="Q330" s="189"/>
      <c r="R330" s="189"/>
      <c r="S330" s="189"/>
      <c r="T330" s="189"/>
      <c r="U330" s="189"/>
      <c r="V330" s="189"/>
      <c r="W330" s="189"/>
      <c r="X330" s="189"/>
      <c r="Y330" s="189"/>
      <c r="Z330" s="189"/>
      <c r="AA330" s="189"/>
      <c r="AB330" s="189"/>
      <c r="AC330" s="189"/>
      <c r="AD330" s="189"/>
      <c r="AE330" s="189"/>
      <c r="AF330" s="189"/>
    </row>
    <row r="331">
      <c r="A331" s="189"/>
      <c r="B331" s="189"/>
      <c r="C331" s="189"/>
      <c r="D331" s="189"/>
      <c r="E331" s="189"/>
      <c r="F331" s="189"/>
      <c r="G331" s="189"/>
      <c r="H331" s="189"/>
      <c r="I331" s="189"/>
      <c r="J331" s="189"/>
      <c r="K331" s="189"/>
      <c r="L331" s="189"/>
      <c r="M331" s="189"/>
      <c r="N331" s="189"/>
      <c r="O331" s="189"/>
      <c r="P331" s="189"/>
      <c r="Q331" s="189"/>
      <c r="R331" s="189"/>
      <c r="S331" s="189"/>
      <c r="T331" s="189"/>
      <c r="U331" s="189"/>
      <c r="V331" s="189"/>
      <c r="W331" s="189"/>
      <c r="X331" s="189"/>
      <c r="Y331" s="189"/>
      <c r="Z331" s="189"/>
      <c r="AA331" s="189"/>
      <c r="AB331" s="189"/>
      <c r="AC331" s="189"/>
      <c r="AD331" s="189"/>
      <c r="AE331" s="189"/>
      <c r="AF331" s="189"/>
    </row>
    <row r="332">
      <c r="A332" s="189"/>
      <c r="B332" s="189"/>
      <c r="C332" s="189"/>
      <c r="D332" s="189"/>
      <c r="E332" s="189"/>
      <c r="F332" s="189"/>
      <c r="G332" s="189"/>
      <c r="H332" s="189"/>
      <c r="I332" s="189"/>
      <c r="J332" s="189"/>
      <c r="K332" s="189"/>
      <c r="L332" s="189"/>
      <c r="M332" s="189"/>
      <c r="N332" s="189"/>
      <c r="O332" s="189"/>
      <c r="P332" s="189"/>
      <c r="Q332" s="189"/>
      <c r="R332" s="189"/>
      <c r="S332" s="189"/>
      <c r="T332" s="189"/>
      <c r="U332" s="189"/>
      <c r="V332" s="189"/>
      <c r="W332" s="189"/>
      <c r="X332" s="189"/>
      <c r="Y332" s="189"/>
      <c r="Z332" s="189"/>
      <c r="AA332" s="189"/>
      <c r="AB332" s="189"/>
      <c r="AC332" s="189"/>
      <c r="AD332" s="189"/>
      <c r="AE332" s="189"/>
      <c r="AF332" s="189"/>
    </row>
    <row r="333">
      <c r="A333" s="189"/>
      <c r="B333" s="189"/>
      <c r="C333" s="189"/>
      <c r="D333" s="189"/>
      <c r="E333" s="189"/>
      <c r="F333" s="189"/>
      <c r="G333" s="189"/>
      <c r="H333" s="189"/>
      <c r="I333" s="189"/>
      <c r="J333" s="189"/>
      <c r="K333" s="189"/>
      <c r="L333" s="189"/>
      <c r="M333" s="189"/>
      <c r="N333" s="189"/>
      <c r="O333" s="189"/>
      <c r="P333" s="189"/>
      <c r="Q333" s="189"/>
      <c r="R333" s="189"/>
      <c r="S333" s="189"/>
      <c r="T333" s="189"/>
      <c r="U333" s="189"/>
      <c r="V333" s="189"/>
      <c r="W333" s="189"/>
      <c r="X333" s="189"/>
      <c r="Y333" s="189"/>
      <c r="Z333" s="189"/>
      <c r="AA333" s="189"/>
      <c r="AB333" s="189"/>
      <c r="AC333" s="189"/>
      <c r="AD333" s="189"/>
      <c r="AE333" s="189"/>
      <c r="AF333" s="189"/>
    </row>
    <row r="334">
      <c r="A334" s="189"/>
      <c r="B334" s="189"/>
      <c r="C334" s="189"/>
      <c r="D334" s="189"/>
      <c r="E334" s="189"/>
      <c r="F334" s="189"/>
      <c r="G334" s="189"/>
      <c r="H334" s="189"/>
      <c r="I334" s="189"/>
      <c r="J334" s="189"/>
      <c r="K334" s="189"/>
      <c r="L334" s="189"/>
      <c r="M334" s="189"/>
      <c r="N334" s="189"/>
      <c r="O334" s="189"/>
      <c r="P334" s="189"/>
      <c r="Q334" s="189"/>
      <c r="R334" s="189"/>
      <c r="S334" s="189"/>
      <c r="T334" s="189"/>
      <c r="U334" s="189"/>
      <c r="V334" s="189"/>
      <c r="W334" s="189"/>
      <c r="X334" s="189"/>
      <c r="Y334" s="189"/>
      <c r="Z334" s="189"/>
      <c r="AA334" s="189"/>
      <c r="AB334" s="189"/>
      <c r="AC334" s="189"/>
      <c r="AD334" s="189"/>
      <c r="AE334" s="189"/>
      <c r="AF334" s="189"/>
    </row>
    <row r="335">
      <c r="A335" s="189"/>
      <c r="B335" s="189"/>
      <c r="C335" s="189"/>
      <c r="D335" s="189"/>
      <c r="E335" s="189"/>
      <c r="F335" s="189"/>
      <c r="G335" s="189"/>
      <c r="H335" s="189"/>
      <c r="I335" s="189"/>
      <c r="J335" s="189"/>
      <c r="K335" s="189"/>
      <c r="L335" s="189"/>
      <c r="M335" s="189"/>
      <c r="N335" s="189"/>
      <c r="O335" s="189"/>
      <c r="P335" s="189"/>
      <c r="Q335" s="189"/>
      <c r="R335" s="189"/>
      <c r="S335" s="189"/>
      <c r="T335" s="189"/>
      <c r="U335" s="189"/>
      <c r="V335" s="189"/>
      <c r="W335" s="189"/>
      <c r="X335" s="189"/>
      <c r="Y335" s="189"/>
      <c r="Z335" s="189"/>
      <c r="AA335" s="189"/>
      <c r="AB335" s="189"/>
      <c r="AC335" s="189"/>
      <c r="AD335" s="189"/>
      <c r="AE335" s="189"/>
      <c r="AF335" s="189"/>
    </row>
    <row r="336">
      <c r="A336" s="189"/>
      <c r="B336" s="189"/>
      <c r="C336" s="189"/>
      <c r="D336" s="189"/>
      <c r="E336" s="189"/>
      <c r="F336" s="189"/>
      <c r="G336" s="189"/>
      <c r="H336" s="189"/>
      <c r="I336" s="189"/>
      <c r="J336" s="189"/>
      <c r="K336" s="189"/>
      <c r="L336" s="189"/>
      <c r="M336" s="189"/>
      <c r="N336" s="189"/>
      <c r="O336" s="189"/>
      <c r="P336" s="189"/>
      <c r="Q336" s="189"/>
      <c r="R336" s="189"/>
      <c r="S336" s="189"/>
      <c r="T336" s="189"/>
      <c r="U336" s="189"/>
      <c r="V336" s="189"/>
      <c r="W336" s="189"/>
      <c r="X336" s="189"/>
      <c r="Y336" s="189"/>
      <c r="Z336" s="189"/>
      <c r="AA336" s="189"/>
      <c r="AB336" s="189"/>
      <c r="AC336" s="189"/>
      <c r="AD336" s="189"/>
      <c r="AE336" s="189"/>
      <c r="AF336" s="189"/>
    </row>
    <row r="337">
      <c r="A337" s="189"/>
      <c r="B337" s="189"/>
      <c r="C337" s="189"/>
      <c r="D337" s="189"/>
      <c r="E337" s="189"/>
      <c r="F337" s="189"/>
      <c r="G337" s="189"/>
      <c r="H337" s="189"/>
      <c r="I337" s="189"/>
      <c r="J337" s="189"/>
      <c r="K337" s="189"/>
      <c r="L337" s="189"/>
      <c r="M337" s="189"/>
      <c r="N337" s="189"/>
      <c r="O337" s="189"/>
      <c r="P337" s="189"/>
      <c r="Q337" s="189"/>
      <c r="R337" s="189"/>
      <c r="S337" s="189"/>
      <c r="T337" s="189"/>
      <c r="U337" s="189"/>
      <c r="V337" s="189"/>
      <c r="W337" s="189"/>
      <c r="X337" s="189"/>
      <c r="Y337" s="189"/>
      <c r="Z337" s="189"/>
      <c r="AA337" s="189"/>
      <c r="AB337" s="189"/>
      <c r="AC337" s="189"/>
      <c r="AD337" s="189"/>
      <c r="AE337" s="189"/>
      <c r="AF337" s="189"/>
    </row>
    <row r="338">
      <c r="A338" s="189"/>
      <c r="B338" s="189"/>
      <c r="C338" s="189"/>
      <c r="D338" s="189"/>
      <c r="E338" s="189"/>
      <c r="F338" s="189"/>
      <c r="G338" s="189"/>
      <c r="H338" s="189"/>
      <c r="I338" s="189"/>
      <c r="J338" s="189"/>
      <c r="K338" s="189"/>
      <c r="L338" s="189"/>
      <c r="M338" s="189"/>
      <c r="N338" s="189"/>
      <c r="O338" s="189"/>
      <c r="P338" s="189"/>
      <c r="Q338" s="189"/>
      <c r="R338" s="189"/>
      <c r="S338" s="189"/>
      <c r="T338" s="189"/>
      <c r="U338" s="189"/>
      <c r="V338" s="189"/>
      <c r="W338" s="189"/>
      <c r="X338" s="189"/>
      <c r="Y338" s="189"/>
      <c r="Z338" s="189"/>
      <c r="AA338" s="189"/>
      <c r="AB338" s="189"/>
      <c r="AC338" s="189"/>
      <c r="AD338" s="189"/>
      <c r="AE338" s="189"/>
      <c r="AF338" s="189"/>
    </row>
    <row r="339">
      <c r="A339" s="189"/>
      <c r="B339" s="189"/>
      <c r="C339" s="189"/>
      <c r="D339" s="189"/>
      <c r="E339" s="189"/>
      <c r="F339" s="189"/>
      <c r="G339" s="189"/>
      <c r="H339" s="189"/>
      <c r="I339" s="189"/>
      <c r="J339" s="189"/>
      <c r="K339" s="189"/>
      <c r="L339" s="189"/>
      <c r="M339" s="189"/>
      <c r="N339" s="189"/>
      <c r="O339" s="189"/>
      <c r="P339" s="189"/>
      <c r="Q339" s="189"/>
      <c r="R339" s="189"/>
      <c r="S339" s="189"/>
      <c r="T339" s="189"/>
      <c r="U339" s="189"/>
      <c r="V339" s="189"/>
      <c r="W339" s="189"/>
      <c r="X339" s="189"/>
      <c r="Y339" s="189"/>
      <c r="Z339" s="189"/>
      <c r="AA339" s="189"/>
      <c r="AB339" s="189"/>
      <c r="AC339" s="189"/>
      <c r="AD339" s="189"/>
      <c r="AE339" s="189"/>
      <c r="AF339" s="189"/>
    </row>
    <row r="340">
      <c r="A340" s="189"/>
      <c r="B340" s="189"/>
      <c r="C340" s="189"/>
      <c r="D340" s="189"/>
      <c r="E340" s="189"/>
      <c r="F340" s="189"/>
      <c r="G340" s="189"/>
      <c r="H340" s="189"/>
      <c r="I340" s="189"/>
      <c r="J340" s="189"/>
      <c r="K340" s="189"/>
      <c r="L340" s="189"/>
      <c r="M340" s="189"/>
      <c r="N340" s="189"/>
      <c r="O340" s="189"/>
      <c r="P340" s="189"/>
      <c r="Q340" s="189"/>
      <c r="R340" s="189"/>
      <c r="S340" s="189"/>
      <c r="T340" s="189"/>
      <c r="U340" s="189"/>
      <c r="V340" s="189"/>
      <c r="W340" s="189"/>
      <c r="X340" s="189"/>
      <c r="Y340" s="189"/>
      <c r="Z340" s="189"/>
      <c r="AA340" s="189"/>
      <c r="AB340" s="189"/>
      <c r="AC340" s="189"/>
      <c r="AD340" s="189"/>
      <c r="AE340" s="189"/>
      <c r="AF340" s="189"/>
    </row>
    <row r="341">
      <c r="A341" s="189"/>
      <c r="B341" s="189"/>
      <c r="C341" s="189"/>
      <c r="D341" s="189"/>
      <c r="E341" s="189"/>
      <c r="F341" s="189"/>
      <c r="G341" s="189"/>
      <c r="H341" s="189"/>
      <c r="I341" s="189"/>
      <c r="J341" s="189"/>
      <c r="K341" s="189"/>
      <c r="L341" s="189"/>
      <c r="M341" s="189"/>
      <c r="N341" s="189"/>
      <c r="O341" s="189"/>
      <c r="P341" s="189"/>
      <c r="Q341" s="189"/>
      <c r="R341" s="189"/>
      <c r="S341" s="189"/>
      <c r="T341" s="189"/>
      <c r="U341" s="189"/>
      <c r="V341" s="189"/>
      <c r="W341" s="189"/>
      <c r="X341" s="189"/>
      <c r="Y341" s="189"/>
      <c r="Z341" s="189"/>
      <c r="AA341" s="189"/>
      <c r="AB341" s="189"/>
      <c r="AC341" s="189"/>
      <c r="AD341" s="189"/>
      <c r="AE341" s="189"/>
      <c r="AF341" s="189"/>
    </row>
    <row r="342">
      <c r="A342" s="189"/>
      <c r="B342" s="189"/>
      <c r="C342" s="189"/>
      <c r="D342" s="189"/>
      <c r="E342" s="189"/>
      <c r="F342" s="189"/>
      <c r="G342" s="189"/>
      <c r="H342" s="189"/>
      <c r="I342" s="189"/>
      <c r="J342" s="189"/>
      <c r="K342" s="189"/>
      <c r="L342" s="189"/>
      <c r="M342" s="189"/>
      <c r="N342" s="189"/>
      <c r="O342" s="189"/>
      <c r="P342" s="189"/>
      <c r="Q342" s="189"/>
      <c r="R342" s="189"/>
      <c r="S342" s="189"/>
      <c r="T342" s="189"/>
      <c r="U342" s="189"/>
      <c r="V342" s="189"/>
      <c r="W342" s="189"/>
      <c r="X342" s="189"/>
      <c r="Y342" s="189"/>
      <c r="Z342" s="189"/>
      <c r="AA342" s="189"/>
      <c r="AB342" s="189"/>
      <c r="AC342" s="189"/>
      <c r="AD342" s="189"/>
      <c r="AE342" s="189"/>
      <c r="AF342" s="189"/>
    </row>
    <row r="343">
      <c r="A343" s="189"/>
      <c r="B343" s="189"/>
      <c r="C343" s="189"/>
      <c r="D343" s="189"/>
      <c r="E343" s="189"/>
      <c r="F343" s="189"/>
      <c r="G343" s="189"/>
      <c r="H343" s="189"/>
      <c r="I343" s="189"/>
      <c r="J343" s="189"/>
      <c r="K343" s="189"/>
      <c r="L343" s="189"/>
      <c r="M343" s="189"/>
      <c r="N343" s="189"/>
      <c r="O343" s="189"/>
      <c r="P343" s="189"/>
      <c r="Q343" s="189"/>
      <c r="R343" s="189"/>
      <c r="S343" s="189"/>
      <c r="T343" s="189"/>
      <c r="U343" s="189"/>
      <c r="V343" s="189"/>
      <c r="W343" s="189"/>
      <c r="X343" s="189"/>
      <c r="Y343" s="189"/>
      <c r="Z343" s="189"/>
      <c r="AA343" s="189"/>
      <c r="AB343" s="189"/>
      <c r="AC343" s="189"/>
      <c r="AD343" s="189"/>
      <c r="AE343" s="189"/>
      <c r="AF343" s="189"/>
    </row>
    <row r="344">
      <c r="A344" s="189"/>
      <c r="B344" s="189"/>
      <c r="C344" s="189"/>
      <c r="D344" s="189"/>
      <c r="E344" s="189"/>
      <c r="F344" s="189"/>
      <c r="G344" s="189"/>
      <c r="H344" s="189"/>
      <c r="I344" s="189"/>
      <c r="J344" s="189"/>
      <c r="K344" s="189"/>
      <c r="L344" s="189"/>
      <c r="M344" s="189"/>
      <c r="N344" s="189"/>
      <c r="O344" s="189"/>
      <c r="P344" s="189"/>
      <c r="Q344" s="189"/>
      <c r="R344" s="189"/>
      <c r="S344" s="189"/>
      <c r="T344" s="189"/>
      <c r="U344" s="189"/>
      <c r="V344" s="189"/>
      <c r="W344" s="189"/>
      <c r="X344" s="189"/>
      <c r="Y344" s="189"/>
      <c r="Z344" s="189"/>
      <c r="AA344" s="189"/>
      <c r="AB344" s="189"/>
      <c r="AC344" s="189"/>
      <c r="AD344" s="189"/>
      <c r="AE344" s="189"/>
      <c r="AF344" s="189"/>
    </row>
    <row r="345">
      <c r="A345" s="189"/>
      <c r="B345" s="189"/>
      <c r="C345" s="189"/>
      <c r="D345" s="189"/>
      <c r="E345" s="189"/>
      <c r="F345" s="189"/>
      <c r="G345" s="189"/>
      <c r="H345" s="189"/>
      <c r="I345" s="189"/>
      <c r="J345" s="189"/>
      <c r="K345" s="189"/>
      <c r="L345" s="189"/>
      <c r="M345" s="189"/>
      <c r="N345" s="189"/>
      <c r="O345" s="189"/>
      <c r="P345" s="189"/>
      <c r="Q345" s="189"/>
      <c r="R345" s="189"/>
      <c r="S345" s="189"/>
      <c r="T345" s="189"/>
      <c r="U345" s="189"/>
      <c r="V345" s="189"/>
      <c r="W345" s="189"/>
      <c r="X345" s="189"/>
      <c r="Y345" s="189"/>
      <c r="Z345" s="189"/>
      <c r="AA345" s="189"/>
      <c r="AB345" s="189"/>
      <c r="AC345" s="189"/>
      <c r="AD345" s="189"/>
      <c r="AE345" s="189"/>
      <c r="AF345" s="189"/>
    </row>
    <row r="346">
      <c r="A346" s="189"/>
      <c r="B346" s="189"/>
      <c r="C346" s="189"/>
      <c r="D346" s="189"/>
      <c r="E346" s="189"/>
      <c r="F346" s="189"/>
      <c r="G346" s="189"/>
      <c r="H346" s="189"/>
      <c r="I346" s="189"/>
      <c r="J346" s="189"/>
      <c r="K346" s="189"/>
      <c r="L346" s="189"/>
      <c r="M346" s="189"/>
      <c r="N346" s="189"/>
      <c r="O346" s="189"/>
      <c r="P346" s="189"/>
      <c r="Q346" s="189"/>
      <c r="R346" s="189"/>
      <c r="S346" s="189"/>
      <c r="T346" s="189"/>
      <c r="U346" s="189"/>
      <c r="V346" s="189"/>
      <c r="W346" s="189"/>
      <c r="X346" s="189"/>
      <c r="Y346" s="189"/>
      <c r="Z346" s="189"/>
      <c r="AA346" s="189"/>
      <c r="AB346" s="189"/>
      <c r="AC346" s="189"/>
      <c r="AD346" s="189"/>
      <c r="AE346" s="189"/>
      <c r="AF346" s="189"/>
    </row>
    <row r="347">
      <c r="A347" s="189"/>
      <c r="B347" s="189"/>
      <c r="C347" s="189"/>
      <c r="D347" s="189"/>
      <c r="E347" s="189"/>
      <c r="F347" s="189"/>
      <c r="G347" s="189"/>
      <c r="H347" s="189"/>
      <c r="I347" s="189"/>
      <c r="J347" s="189"/>
      <c r="K347" s="189"/>
      <c r="L347" s="189"/>
      <c r="M347" s="189"/>
      <c r="N347" s="189"/>
      <c r="O347" s="189"/>
      <c r="P347" s="189"/>
      <c r="Q347" s="189"/>
      <c r="R347" s="189"/>
      <c r="S347" s="189"/>
      <c r="T347" s="189"/>
      <c r="U347" s="189"/>
      <c r="V347" s="189"/>
      <c r="W347" s="189"/>
      <c r="X347" s="189"/>
      <c r="Y347" s="189"/>
      <c r="Z347" s="189"/>
      <c r="AA347" s="189"/>
      <c r="AB347" s="189"/>
      <c r="AC347" s="189"/>
      <c r="AD347" s="189"/>
      <c r="AE347" s="189"/>
      <c r="AF347" s="189"/>
    </row>
    <row r="348">
      <c r="A348" s="189"/>
      <c r="B348" s="189"/>
      <c r="C348" s="189"/>
      <c r="D348" s="189"/>
      <c r="E348" s="189"/>
      <c r="F348" s="189"/>
      <c r="G348" s="189"/>
      <c r="H348" s="189"/>
      <c r="I348" s="189"/>
      <c r="J348" s="189"/>
      <c r="K348" s="189"/>
      <c r="L348" s="189"/>
      <c r="M348" s="189"/>
      <c r="N348" s="189"/>
      <c r="O348" s="189"/>
      <c r="P348" s="189"/>
      <c r="Q348" s="189"/>
      <c r="R348" s="189"/>
      <c r="S348" s="189"/>
      <c r="T348" s="189"/>
      <c r="U348" s="189"/>
      <c r="V348" s="189"/>
      <c r="W348" s="189"/>
      <c r="X348" s="189"/>
      <c r="Y348" s="189"/>
      <c r="Z348" s="189"/>
      <c r="AA348" s="189"/>
      <c r="AB348" s="189"/>
      <c r="AC348" s="189"/>
      <c r="AD348" s="189"/>
      <c r="AE348" s="189"/>
      <c r="AF348" s="189"/>
    </row>
    <row r="349">
      <c r="A349" s="189"/>
      <c r="B349" s="189"/>
      <c r="C349" s="189"/>
      <c r="D349" s="189"/>
      <c r="E349" s="189"/>
      <c r="F349" s="189"/>
      <c r="G349" s="189"/>
      <c r="H349" s="189"/>
      <c r="I349" s="189"/>
      <c r="J349" s="189"/>
      <c r="K349" s="189"/>
      <c r="L349" s="189"/>
      <c r="M349" s="189"/>
      <c r="N349" s="189"/>
      <c r="O349" s="189"/>
      <c r="P349" s="189"/>
      <c r="Q349" s="189"/>
      <c r="R349" s="189"/>
      <c r="S349" s="189"/>
      <c r="T349" s="189"/>
      <c r="U349" s="189"/>
      <c r="V349" s="189"/>
      <c r="W349" s="189"/>
      <c r="X349" s="189"/>
      <c r="Y349" s="189"/>
      <c r="Z349" s="189"/>
      <c r="AA349" s="189"/>
      <c r="AB349" s="189"/>
      <c r="AC349" s="189"/>
      <c r="AD349" s="189"/>
      <c r="AE349" s="189"/>
      <c r="AF349" s="189"/>
    </row>
    <row r="350">
      <c r="A350" s="189"/>
      <c r="B350" s="189"/>
      <c r="C350" s="189"/>
      <c r="D350" s="189"/>
      <c r="E350" s="189"/>
      <c r="F350" s="189"/>
      <c r="G350" s="189"/>
      <c r="H350" s="189"/>
      <c r="I350" s="189"/>
      <c r="J350" s="189"/>
      <c r="K350" s="189"/>
      <c r="L350" s="189"/>
      <c r="M350" s="189"/>
      <c r="N350" s="189"/>
      <c r="O350" s="189"/>
      <c r="P350" s="189"/>
      <c r="Q350" s="189"/>
      <c r="R350" s="189"/>
      <c r="S350" s="189"/>
      <c r="T350" s="189"/>
      <c r="U350" s="189"/>
      <c r="V350" s="189"/>
      <c r="W350" s="189"/>
      <c r="X350" s="189"/>
      <c r="Y350" s="189"/>
      <c r="Z350" s="189"/>
      <c r="AA350" s="189"/>
      <c r="AB350" s="189"/>
      <c r="AC350" s="189"/>
      <c r="AD350" s="189"/>
      <c r="AE350" s="189"/>
      <c r="AF350" s="189"/>
    </row>
    <row r="351">
      <c r="A351" s="189"/>
      <c r="B351" s="189"/>
      <c r="C351" s="189"/>
      <c r="D351" s="189"/>
      <c r="E351" s="189"/>
      <c r="F351" s="189"/>
      <c r="G351" s="189"/>
      <c r="H351" s="189"/>
      <c r="I351" s="189"/>
      <c r="J351" s="189"/>
      <c r="K351" s="189"/>
      <c r="L351" s="189"/>
      <c r="M351" s="189"/>
      <c r="N351" s="189"/>
      <c r="O351" s="189"/>
      <c r="P351" s="189"/>
      <c r="Q351" s="189"/>
      <c r="R351" s="189"/>
      <c r="S351" s="189"/>
      <c r="T351" s="189"/>
      <c r="U351" s="189"/>
      <c r="V351" s="189"/>
      <c r="W351" s="189"/>
      <c r="X351" s="189"/>
      <c r="Y351" s="189"/>
      <c r="Z351" s="189"/>
      <c r="AA351" s="189"/>
      <c r="AB351" s="189"/>
      <c r="AC351" s="189"/>
      <c r="AD351" s="189"/>
      <c r="AE351" s="189"/>
      <c r="AF351" s="189"/>
    </row>
    <row r="352">
      <c r="A352" s="189"/>
      <c r="B352" s="189"/>
      <c r="C352" s="189"/>
      <c r="D352" s="189"/>
      <c r="E352" s="189"/>
      <c r="F352" s="189"/>
      <c r="G352" s="189"/>
      <c r="H352" s="189"/>
      <c r="I352" s="189"/>
      <c r="J352" s="189"/>
      <c r="K352" s="189"/>
      <c r="L352" s="189"/>
      <c r="M352" s="189"/>
      <c r="N352" s="189"/>
      <c r="O352" s="189"/>
      <c r="P352" s="189"/>
      <c r="Q352" s="189"/>
      <c r="R352" s="189"/>
      <c r="S352" s="189"/>
      <c r="T352" s="189"/>
      <c r="U352" s="189"/>
      <c r="V352" s="189"/>
      <c r="W352" s="189"/>
      <c r="X352" s="189"/>
      <c r="Y352" s="189"/>
      <c r="Z352" s="189"/>
      <c r="AA352" s="189"/>
      <c r="AB352" s="189"/>
      <c r="AC352" s="189"/>
      <c r="AD352" s="189"/>
      <c r="AE352" s="189"/>
      <c r="AF352" s="189"/>
    </row>
    <row r="353">
      <c r="A353" s="189"/>
      <c r="B353" s="189"/>
      <c r="C353" s="189"/>
      <c r="D353" s="189"/>
      <c r="E353" s="189"/>
      <c r="F353" s="189"/>
      <c r="G353" s="189"/>
      <c r="H353" s="189"/>
      <c r="I353" s="189"/>
      <c r="J353" s="189"/>
      <c r="K353" s="189"/>
      <c r="L353" s="189"/>
      <c r="M353" s="189"/>
      <c r="N353" s="189"/>
      <c r="O353" s="189"/>
      <c r="P353" s="189"/>
      <c r="Q353" s="189"/>
      <c r="R353" s="189"/>
      <c r="S353" s="189"/>
      <c r="T353" s="189"/>
      <c r="U353" s="189"/>
      <c r="V353" s="189"/>
      <c r="W353" s="189"/>
      <c r="X353" s="189"/>
      <c r="Y353" s="189"/>
      <c r="Z353" s="189"/>
      <c r="AA353" s="189"/>
      <c r="AB353" s="189"/>
      <c r="AC353" s="189"/>
      <c r="AD353" s="189"/>
      <c r="AE353" s="189"/>
      <c r="AF353" s="189"/>
    </row>
    <row r="354">
      <c r="A354" s="189"/>
      <c r="B354" s="189"/>
      <c r="C354" s="189"/>
      <c r="D354" s="189"/>
      <c r="E354" s="189"/>
      <c r="F354" s="189"/>
      <c r="G354" s="189"/>
      <c r="H354" s="189"/>
      <c r="I354" s="189"/>
      <c r="J354" s="189"/>
      <c r="K354" s="189"/>
      <c r="L354" s="189"/>
      <c r="M354" s="189"/>
      <c r="N354" s="189"/>
      <c r="O354" s="189"/>
      <c r="P354" s="189"/>
      <c r="Q354" s="189"/>
      <c r="R354" s="189"/>
      <c r="S354" s="189"/>
      <c r="T354" s="189"/>
      <c r="U354" s="189"/>
      <c r="V354" s="189"/>
      <c r="W354" s="189"/>
      <c r="X354" s="189"/>
      <c r="Y354" s="189"/>
      <c r="Z354" s="189"/>
      <c r="AA354" s="189"/>
      <c r="AB354" s="189"/>
      <c r="AC354" s="189"/>
      <c r="AD354" s="189"/>
      <c r="AE354" s="189"/>
      <c r="AF354" s="189"/>
    </row>
    <row r="355">
      <c r="A355" s="189"/>
      <c r="B355" s="189"/>
      <c r="C355" s="189"/>
      <c r="D355" s="189"/>
      <c r="E355" s="189"/>
      <c r="F355" s="189"/>
      <c r="G355" s="189"/>
      <c r="H355" s="189"/>
      <c r="I355" s="189"/>
      <c r="J355" s="189"/>
      <c r="K355" s="189"/>
      <c r="L355" s="189"/>
      <c r="M355" s="189"/>
      <c r="N355" s="189"/>
      <c r="O355" s="189"/>
      <c r="P355" s="189"/>
      <c r="Q355" s="189"/>
      <c r="R355" s="189"/>
      <c r="S355" s="189"/>
      <c r="T355" s="189"/>
      <c r="U355" s="189"/>
      <c r="V355" s="189"/>
      <c r="W355" s="189"/>
      <c r="X355" s="189"/>
      <c r="Y355" s="189"/>
      <c r="Z355" s="189"/>
      <c r="AA355" s="189"/>
      <c r="AB355" s="189"/>
      <c r="AC355" s="189"/>
      <c r="AD355" s="189"/>
      <c r="AE355" s="189"/>
      <c r="AF355" s="189"/>
    </row>
    <row r="356">
      <c r="A356" s="189"/>
      <c r="B356" s="189"/>
      <c r="C356" s="189"/>
      <c r="D356" s="189"/>
      <c r="E356" s="189"/>
      <c r="F356" s="189"/>
      <c r="G356" s="189"/>
      <c r="H356" s="189"/>
      <c r="I356" s="189"/>
      <c r="J356" s="189"/>
      <c r="K356" s="189"/>
      <c r="L356" s="189"/>
      <c r="M356" s="189"/>
      <c r="N356" s="189"/>
      <c r="O356" s="189"/>
      <c r="P356" s="189"/>
      <c r="Q356" s="189"/>
      <c r="R356" s="189"/>
      <c r="S356" s="189"/>
      <c r="T356" s="189"/>
      <c r="U356" s="189"/>
      <c r="V356" s="189"/>
      <c r="W356" s="189"/>
      <c r="X356" s="189"/>
      <c r="Y356" s="189"/>
      <c r="Z356" s="189"/>
      <c r="AA356" s="189"/>
      <c r="AB356" s="189"/>
      <c r="AC356" s="189"/>
      <c r="AD356" s="189"/>
      <c r="AE356" s="189"/>
      <c r="AF356" s="189"/>
    </row>
    <row r="357">
      <c r="A357" s="189"/>
      <c r="B357" s="189"/>
      <c r="C357" s="189"/>
      <c r="D357" s="189"/>
      <c r="E357" s="189"/>
      <c r="F357" s="189"/>
      <c r="G357" s="189"/>
      <c r="H357" s="189"/>
      <c r="I357" s="189"/>
      <c r="J357" s="189"/>
      <c r="K357" s="189"/>
      <c r="L357" s="189"/>
      <c r="M357" s="189"/>
      <c r="N357" s="189"/>
      <c r="O357" s="189"/>
      <c r="P357" s="189"/>
      <c r="Q357" s="189"/>
      <c r="R357" s="189"/>
      <c r="S357" s="189"/>
      <c r="T357" s="189"/>
      <c r="U357" s="189"/>
      <c r="V357" s="189"/>
      <c r="W357" s="189"/>
      <c r="X357" s="189"/>
      <c r="Y357" s="189"/>
      <c r="Z357" s="189"/>
      <c r="AA357" s="189"/>
      <c r="AB357" s="189"/>
      <c r="AC357" s="189"/>
      <c r="AD357" s="189"/>
      <c r="AE357" s="189"/>
      <c r="AF357" s="189"/>
    </row>
    <row r="358">
      <c r="A358" s="189"/>
      <c r="B358" s="189"/>
      <c r="C358" s="189"/>
      <c r="D358" s="189"/>
      <c r="E358" s="189"/>
      <c r="F358" s="189"/>
      <c r="G358" s="189"/>
      <c r="H358" s="189"/>
      <c r="I358" s="189"/>
      <c r="J358" s="189"/>
      <c r="K358" s="189"/>
      <c r="L358" s="189"/>
      <c r="M358" s="189"/>
      <c r="N358" s="189"/>
      <c r="O358" s="189"/>
      <c r="P358" s="189"/>
      <c r="Q358" s="189"/>
      <c r="R358" s="189"/>
      <c r="S358" s="189"/>
      <c r="T358" s="189"/>
      <c r="U358" s="189"/>
      <c r="V358" s="189"/>
      <c r="W358" s="189"/>
      <c r="X358" s="189"/>
      <c r="Y358" s="189"/>
      <c r="Z358" s="189"/>
      <c r="AA358" s="189"/>
      <c r="AB358" s="189"/>
      <c r="AC358" s="189"/>
      <c r="AD358" s="189"/>
      <c r="AE358" s="189"/>
      <c r="AF358" s="189"/>
    </row>
    <row r="359">
      <c r="A359" s="189"/>
      <c r="B359" s="189"/>
      <c r="C359" s="189"/>
      <c r="D359" s="189"/>
      <c r="E359" s="189"/>
      <c r="F359" s="189"/>
      <c r="G359" s="189"/>
      <c r="H359" s="189"/>
      <c r="I359" s="189"/>
      <c r="J359" s="189"/>
      <c r="K359" s="189"/>
      <c r="L359" s="189"/>
      <c r="M359" s="189"/>
      <c r="N359" s="189"/>
      <c r="O359" s="189"/>
      <c r="P359" s="189"/>
      <c r="Q359" s="189"/>
      <c r="R359" s="189"/>
      <c r="S359" s="189"/>
      <c r="T359" s="189"/>
      <c r="U359" s="189"/>
      <c r="V359" s="189"/>
      <c r="W359" s="189"/>
      <c r="X359" s="189"/>
      <c r="Y359" s="189"/>
      <c r="Z359" s="189"/>
      <c r="AA359" s="189"/>
      <c r="AB359" s="189"/>
      <c r="AC359" s="189"/>
      <c r="AD359" s="189"/>
      <c r="AE359" s="189"/>
      <c r="AF359" s="189"/>
    </row>
    <row r="360">
      <c r="A360" s="189"/>
      <c r="B360" s="189"/>
      <c r="C360" s="189"/>
      <c r="D360" s="189"/>
      <c r="E360" s="189"/>
      <c r="F360" s="189"/>
      <c r="G360" s="189"/>
      <c r="H360" s="189"/>
      <c r="I360" s="189"/>
      <c r="J360" s="189"/>
      <c r="K360" s="189"/>
      <c r="L360" s="189"/>
      <c r="M360" s="189"/>
      <c r="N360" s="189"/>
      <c r="O360" s="189"/>
      <c r="P360" s="189"/>
      <c r="Q360" s="189"/>
      <c r="R360" s="189"/>
      <c r="S360" s="189"/>
      <c r="T360" s="189"/>
      <c r="U360" s="189"/>
      <c r="V360" s="189"/>
      <c r="W360" s="189"/>
      <c r="X360" s="189"/>
      <c r="Y360" s="189"/>
      <c r="Z360" s="189"/>
      <c r="AA360" s="189"/>
      <c r="AB360" s="189"/>
      <c r="AC360" s="189"/>
      <c r="AD360" s="189"/>
      <c r="AE360" s="189"/>
      <c r="AF360" s="189"/>
    </row>
    <row r="361">
      <c r="A361" s="189"/>
      <c r="B361" s="189"/>
      <c r="C361" s="189"/>
      <c r="D361" s="189"/>
      <c r="E361" s="189"/>
      <c r="F361" s="189"/>
      <c r="G361" s="189"/>
      <c r="H361" s="189"/>
      <c r="I361" s="189"/>
      <c r="J361" s="189"/>
      <c r="K361" s="189"/>
      <c r="L361" s="189"/>
      <c r="M361" s="189"/>
      <c r="N361" s="189"/>
      <c r="O361" s="189"/>
      <c r="P361" s="189"/>
      <c r="Q361" s="189"/>
      <c r="R361" s="189"/>
      <c r="S361" s="189"/>
      <c r="T361" s="189"/>
      <c r="U361" s="189"/>
      <c r="V361" s="189"/>
      <c r="W361" s="189"/>
      <c r="X361" s="189"/>
      <c r="Y361" s="189"/>
      <c r="Z361" s="189"/>
      <c r="AA361" s="189"/>
      <c r="AB361" s="189"/>
      <c r="AC361" s="189"/>
      <c r="AD361" s="189"/>
      <c r="AE361" s="189"/>
      <c r="AF361" s="189"/>
    </row>
    <row r="362">
      <c r="A362" s="189"/>
      <c r="B362" s="189"/>
      <c r="C362" s="189"/>
      <c r="D362" s="189"/>
      <c r="E362" s="189"/>
      <c r="F362" s="189"/>
      <c r="G362" s="189"/>
      <c r="H362" s="189"/>
      <c r="I362" s="189"/>
      <c r="J362" s="189"/>
      <c r="K362" s="189"/>
      <c r="L362" s="189"/>
      <c r="M362" s="189"/>
      <c r="N362" s="189"/>
      <c r="O362" s="189"/>
      <c r="P362" s="189"/>
      <c r="Q362" s="189"/>
      <c r="R362" s="189"/>
      <c r="S362" s="189"/>
      <c r="T362" s="189"/>
      <c r="U362" s="189"/>
      <c r="V362" s="189"/>
      <c r="W362" s="189"/>
      <c r="X362" s="189"/>
      <c r="Y362" s="189"/>
      <c r="Z362" s="189"/>
      <c r="AA362" s="189"/>
      <c r="AB362" s="189"/>
      <c r="AC362" s="189"/>
      <c r="AD362" s="189"/>
      <c r="AE362" s="189"/>
      <c r="AF362" s="189"/>
    </row>
    <row r="363">
      <c r="A363" s="189"/>
      <c r="B363" s="189"/>
      <c r="C363" s="189"/>
      <c r="D363" s="189"/>
      <c r="E363" s="189"/>
      <c r="F363" s="189"/>
      <c r="G363" s="189"/>
      <c r="H363" s="189"/>
      <c r="I363" s="189"/>
      <c r="J363" s="189"/>
      <c r="K363" s="189"/>
      <c r="L363" s="189"/>
      <c r="M363" s="189"/>
      <c r="N363" s="189"/>
      <c r="O363" s="189"/>
      <c r="P363" s="189"/>
      <c r="Q363" s="189"/>
      <c r="R363" s="189"/>
      <c r="S363" s="189"/>
      <c r="T363" s="189"/>
      <c r="U363" s="189"/>
      <c r="V363" s="189"/>
      <c r="W363" s="189"/>
      <c r="X363" s="189"/>
      <c r="Y363" s="189"/>
      <c r="Z363" s="189"/>
      <c r="AA363" s="189"/>
      <c r="AB363" s="189"/>
      <c r="AC363" s="189"/>
      <c r="AD363" s="189"/>
      <c r="AE363" s="189"/>
      <c r="AF363" s="189"/>
    </row>
    <row r="364">
      <c r="A364" s="189"/>
      <c r="B364" s="189"/>
      <c r="C364" s="189"/>
      <c r="D364" s="189"/>
      <c r="E364" s="189"/>
      <c r="F364" s="189"/>
      <c r="G364" s="189"/>
      <c r="H364" s="189"/>
      <c r="I364" s="189"/>
      <c r="J364" s="189"/>
      <c r="K364" s="189"/>
      <c r="L364" s="189"/>
      <c r="M364" s="189"/>
      <c r="N364" s="189"/>
      <c r="O364" s="189"/>
      <c r="P364" s="189"/>
      <c r="Q364" s="189"/>
      <c r="R364" s="189"/>
      <c r="S364" s="189"/>
      <c r="T364" s="189"/>
      <c r="U364" s="189"/>
      <c r="V364" s="189"/>
      <c r="W364" s="189"/>
      <c r="X364" s="189"/>
      <c r="Y364" s="189"/>
      <c r="Z364" s="189"/>
      <c r="AA364" s="189"/>
      <c r="AB364" s="189"/>
      <c r="AC364" s="189"/>
      <c r="AD364" s="189"/>
      <c r="AE364" s="189"/>
      <c r="AF364" s="189"/>
    </row>
    <row r="365">
      <c r="A365" s="189"/>
      <c r="B365" s="189"/>
      <c r="C365" s="189"/>
      <c r="D365" s="189"/>
      <c r="E365" s="189"/>
      <c r="F365" s="189"/>
      <c r="G365" s="189"/>
      <c r="H365" s="189"/>
      <c r="I365" s="189"/>
      <c r="J365" s="189"/>
      <c r="K365" s="189"/>
      <c r="L365" s="189"/>
      <c r="M365" s="189"/>
      <c r="N365" s="189"/>
      <c r="O365" s="189"/>
      <c r="P365" s="189"/>
      <c r="Q365" s="189"/>
      <c r="R365" s="189"/>
      <c r="S365" s="189"/>
      <c r="T365" s="189"/>
      <c r="U365" s="189"/>
      <c r="V365" s="189"/>
      <c r="W365" s="189"/>
      <c r="X365" s="189"/>
      <c r="Y365" s="189"/>
      <c r="Z365" s="189"/>
      <c r="AA365" s="189"/>
      <c r="AB365" s="189"/>
      <c r="AC365" s="189"/>
      <c r="AD365" s="189"/>
      <c r="AE365" s="189"/>
      <c r="AF365" s="189"/>
    </row>
    <row r="366">
      <c r="A366" s="189"/>
      <c r="B366" s="189"/>
      <c r="C366" s="189"/>
      <c r="D366" s="189"/>
      <c r="E366" s="189"/>
      <c r="F366" s="189"/>
      <c r="G366" s="189"/>
      <c r="H366" s="189"/>
      <c r="I366" s="189"/>
      <c r="J366" s="189"/>
      <c r="K366" s="189"/>
      <c r="L366" s="189"/>
      <c r="M366" s="189"/>
      <c r="N366" s="189"/>
      <c r="O366" s="189"/>
      <c r="P366" s="189"/>
      <c r="Q366" s="189"/>
      <c r="R366" s="189"/>
      <c r="S366" s="189"/>
      <c r="T366" s="189"/>
      <c r="U366" s="189"/>
      <c r="V366" s="189"/>
      <c r="W366" s="189"/>
      <c r="X366" s="189"/>
      <c r="Y366" s="189"/>
      <c r="Z366" s="189"/>
      <c r="AA366" s="189"/>
      <c r="AB366" s="189"/>
      <c r="AC366" s="189"/>
      <c r="AD366" s="189"/>
      <c r="AE366" s="189"/>
      <c r="AF366" s="189"/>
    </row>
    <row r="367">
      <c r="A367" s="189"/>
      <c r="B367" s="189"/>
      <c r="C367" s="189"/>
      <c r="D367" s="189"/>
      <c r="E367" s="189"/>
      <c r="F367" s="189"/>
      <c r="G367" s="189"/>
      <c r="H367" s="189"/>
      <c r="I367" s="189"/>
      <c r="J367" s="189"/>
      <c r="K367" s="189"/>
      <c r="L367" s="189"/>
      <c r="M367" s="189"/>
      <c r="N367" s="189"/>
      <c r="O367" s="189"/>
      <c r="P367" s="189"/>
      <c r="Q367" s="189"/>
      <c r="R367" s="189"/>
      <c r="S367" s="189"/>
      <c r="T367" s="189"/>
      <c r="U367" s="189"/>
      <c r="V367" s="189"/>
      <c r="W367" s="189"/>
      <c r="X367" s="189"/>
      <c r="Y367" s="189"/>
      <c r="Z367" s="189"/>
      <c r="AA367" s="189"/>
      <c r="AB367" s="189"/>
      <c r="AC367" s="189"/>
      <c r="AD367" s="189"/>
      <c r="AE367" s="189"/>
      <c r="AF367" s="189"/>
    </row>
    <row r="368">
      <c r="A368" s="189"/>
      <c r="B368" s="189"/>
      <c r="C368" s="189"/>
      <c r="D368" s="189"/>
      <c r="E368" s="189"/>
      <c r="F368" s="189"/>
      <c r="G368" s="189"/>
      <c r="H368" s="189"/>
      <c r="I368" s="189"/>
      <c r="J368" s="189"/>
      <c r="K368" s="189"/>
      <c r="L368" s="189"/>
      <c r="M368" s="189"/>
      <c r="N368" s="189"/>
      <c r="O368" s="189"/>
      <c r="P368" s="189"/>
      <c r="Q368" s="189"/>
      <c r="R368" s="189"/>
      <c r="S368" s="189"/>
      <c r="T368" s="189"/>
      <c r="U368" s="189"/>
      <c r="V368" s="189"/>
      <c r="W368" s="189"/>
      <c r="X368" s="189"/>
      <c r="Y368" s="189"/>
      <c r="Z368" s="189"/>
      <c r="AA368" s="189"/>
      <c r="AB368" s="189"/>
      <c r="AC368" s="189"/>
      <c r="AD368" s="189"/>
      <c r="AE368" s="189"/>
      <c r="AF368" s="189"/>
    </row>
    <row r="369">
      <c r="A369" s="189"/>
      <c r="B369" s="189"/>
      <c r="C369" s="189"/>
      <c r="D369" s="189"/>
      <c r="E369" s="189"/>
      <c r="F369" s="189"/>
      <c r="G369" s="189"/>
      <c r="H369" s="189"/>
      <c r="I369" s="189"/>
      <c r="J369" s="189"/>
      <c r="K369" s="189"/>
      <c r="L369" s="189"/>
      <c r="M369" s="189"/>
      <c r="N369" s="189"/>
      <c r="O369" s="189"/>
      <c r="P369" s="189"/>
      <c r="Q369" s="189"/>
      <c r="R369" s="189"/>
      <c r="S369" s="189"/>
      <c r="T369" s="189"/>
      <c r="U369" s="189"/>
      <c r="V369" s="189"/>
      <c r="W369" s="189"/>
      <c r="X369" s="189"/>
      <c r="Y369" s="189"/>
      <c r="Z369" s="189"/>
      <c r="AA369" s="189"/>
      <c r="AB369" s="189"/>
      <c r="AC369" s="189"/>
      <c r="AD369" s="189"/>
      <c r="AE369" s="189"/>
      <c r="AF369" s="189"/>
    </row>
    <row r="370">
      <c r="A370" s="189"/>
      <c r="B370" s="189"/>
      <c r="C370" s="189"/>
      <c r="D370" s="189"/>
      <c r="E370" s="189"/>
      <c r="F370" s="189"/>
      <c r="G370" s="189"/>
      <c r="H370" s="189"/>
      <c r="I370" s="189"/>
      <c r="J370" s="189"/>
      <c r="K370" s="189"/>
      <c r="L370" s="189"/>
      <c r="M370" s="189"/>
      <c r="N370" s="189"/>
      <c r="O370" s="189"/>
      <c r="P370" s="189"/>
      <c r="Q370" s="189"/>
      <c r="R370" s="189"/>
      <c r="S370" s="189"/>
      <c r="T370" s="189"/>
      <c r="U370" s="189"/>
      <c r="V370" s="189"/>
      <c r="W370" s="189"/>
      <c r="X370" s="189"/>
      <c r="Y370" s="189"/>
      <c r="Z370" s="189"/>
      <c r="AA370" s="189"/>
      <c r="AB370" s="189"/>
      <c r="AC370" s="189"/>
      <c r="AD370" s="189"/>
      <c r="AE370" s="189"/>
      <c r="AF370" s="189"/>
    </row>
    <row r="371">
      <c r="A371" s="189"/>
      <c r="B371" s="189"/>
      <c r="C371" s="189"/>
      <c r="D371" s="189"/>
      <c r="E371" s="189"/>
      <c r="F371" s="189"/>
      <c r="G371" s="189"/>
      <c r="H371" s="189"/>
      <c r="I371" s="189"/>
      <c r="J371" s="189"/>
      <c r="K371" s="189"/>
      <c r="L371" s="189"/>
      <c r="M371" s="189"/>
      <c r="N371" s="189"/>
      <c r="O371" s="189"/>
      <c r="P371" s="189"/>
      <c r="Q371" s="189"/>
      <c r="R371" s="189"/>
      <c r="S371" s="189"/>
      <c r="T371" s="189"/>
      <c r="U371" s="189"/>
      <c r="V371" s="189"/>
      <c r="W371" s="189"/>
      <c r="X371" s="189"/>
      <c r="Y371" s="189"/>
      <c r="Z371" s="189"/>
      <c r="AA371" s="189"/>
      <c r="AB371" s="189"/>
      <c r="AC371" s="189"/>
      <c r="AD371" s="189"/>
      <c r="AE371" s="189"/>
      <c r="AF371" s="189"/>
    </row>
    <row r="372">
      <c r="A372" s="189"/>
      <c r="B372" s="189"/>
      <c r="C372" s="189"/>
      <c r="D372" s="189"/>
      <c r="E372" s="189"/>
      <c r="F372" s="189"/>
      <c r="G372" s="189"/>
      <c r="H372" s="189"/>
      <c r="I372" s="189"/>
      <c r="J372" s="189"/>
      <c r="K372" s="189"/>
      <c r="L372" s="189"/>
      <c r="M372" s="189"/>
      <c r="N372" s="189"/>
      <c r="O372" s="189"/>
      <c r="P372" s="189"/>
      <c r="Q372" s="189"/>
      <c r="R372" s="189"/>
      <c r="S372" s="189"/>
      <c r="T372" s="189"/>
      <c r="U372" s="189"/>
      <c r="V372" s="189"/>
      <c r="W372" s="189"/>
      <c r="X372" s="189"/>
      <c r="Y372" s="189"/>
      <c r="Z372" s="189"/>
      <c r="AA372" s="189"/>
      <c r="AB372" s="189"/>
      <c r="AC372" s="189"/>
      <c r="AD372" s="189"/>
      <c r="AE372" s="189"/>
      <c r="AF372" s="189"/>
    </row>
    <row r="373">
      <c r="A373" s="189"/>
      <c r="B373" s="189"/>
      <c r="C373" s="189"/>
      <c r="D373" s="189"/>
      <c r="E373" s="189"/>
      <c r="F373" s="189"/>
      <c r="G373" s="189"/>
      <c r="H373" s="189"/>
      <c r="I373" s="189"/>
      <c r="J373" s="189"/>
      <c r="K373" s="189"/>
      <c r="L373" s="189"/>
      <c r="M373" s="189"/>
      <c r="N373" s="189"/>
      <c r="O373" s="189"/>
      <c r="P373" s="189"/>
      <c r="Q373" s="189"/>
      <c r="R373" s="189"/>
      <c r="S373" s="189"/>
      <c r="T373" s="189"/>
      <c r="U373" s="189"/>
      <c r="V373" s="189"/>
      <c r="W373" s="189"/>
      <c r="X373" s="189"/>
      <c r="Y373" s="189"/>
      <c r="Z373" s="189"/>
      <c r="AA373" s="189"/>
      <c r="AB373" s="189"/>
      <c r="AC373" s="189"/>
      <c r="AD373" s="189"/>
      <c r="AE373" s="189"/>
      <c r="AF373" s="189"/>
    </row>
    <row r="374">
      <c r="A374" s="189"/>
      <c r="B374" s="189"/>
      <c r="C374" s="189"/>
      <c r="D374" s="189"/>
      <c r="E374" s="189"/>
      <c r="F374" s="189"/>
      <c r="G374" s="189"/>
      <c r="H374" s="189"/>
      <c r="I374" s="189"/>
      <c r="J374" s="189"/>
      <c r="K374" s="189"/>
      <c r="L374" s="189"/>
      <c r="M374" s="189"/>
      <c r="N374" s="189"/>
      <c r="O374" s="189"/>
      <c r="P374" s="189"/>
      <c r="Q374" s="189"/>
      <c r="R374" s="189"/>
      <c r="S374" s="189"/>
      <c r="T374" s="189"/>
      <c r="U374" s="189"/>
      <c r="V374" s="189"/>
      <c r="W374" s="189"/>
      <c r="X374" s="189"/>
      <c r="Y374" s="189"/>
      <c r="Z374" s="189"/>
      <c r="AA374" s="189"/>
      <c r="AB374" s="189"/>
      <c r="AC374" s="189"/>
      <c r="AD374" s="189"/>
      <c r="AE374" s="189"/>
      <c r="AF374" s="189"/>
    </row>
    <row r="375">
      <c r="A375" s="189"/>
      <c r="B375" s="189"/>
      <c r="C375" s="189"/>
      <c r="D375" s="189"/>
      <c r="E375" s="189"/>
      <c r="F375" s="189"/>
      <c r="G375" s="189"/>
      <c r="H375" s="189"/>
      <c r="I375" s="189"/>
      <c r="J375" s="189"/>
      <c r="K375" s="189"/>
      <c r="L375" s="189"/>
      <c r="M375" s="189"/>
      <c r="N375" s="189"/>
      <c r="O375" s="189"/>
      <c r="P375" s="189"/>
      <c r="Q375" s="189"/>
      <c r="R375" s="189"/>
      <c r="S375" s="189"/>
      <c r="T375" s="189"/>
      <c r="U375" s="189"/>
      <c r="V375" s="189"/>
      <c r="W375" s="189"/>
      <c r="X375" s="189"/>
      <c r="Y375" s="189"/>
      <c r="Z375" s="189"/>
      <c r="AA375" s="189"/>
      <c r="AB375" s="189"/>
      <c r="AC375" s="189"/>
      <c r="AD375" s="189"/>
      <c r="AE375" s="189"/>
      <c r="AF375" s="189"/>
    </row>
    <row r="376">
      <c r="A376" s="189"/>
      <c r="B376" s="189"/>
      <c r="C376" s="189"/>
      <c r="D376" s="189"/>
      <c r="E376" s="189"/>
      <c r="F376" s="189"/>
      <c r="G376" s="189"/>
      <c r="H376" s="189"/>
      <c r="I376" s="189"/>
      <c r="J376" s="189"/>
      <c r="K376" s="189"/>
      <c r="L376" s="189"/>
      <c r="M376" s="189"/>
      <c r="N376" s="189"/>
      <c r="O376" s="189"/>
      <c r="P376" s="189"/>
      <c r="Q376" s="189"/>
      <c r="R376" s="189"/>
      <c r="S376" s="189"/>
      <c r="T376" s="189"/>
      <c r="U376" s="189"/>
      <c r="V376" s="189"/>
      <c r="W376" s="189"/>
      <c r="X376" s="189"/>
      <c r="Y376" s="189"/>
      <c r="Z376" s="189"/>
      <c r="AA376" s="189"/>
      <c r="AB376" s="189"/>
      <c r="AC376" s="189"/>
      <c r="AD376" s="189"/>
      <c r="AE376" s="189"/>
      <c r="AF376" s="189"/>
    </row>
    <row r="377">
      <c r="A377" s="189"/>
      <c r="B377" s="189"/>
      <c r="C377" s="189"/>
      <c r="D377" s="189"/>
      <c r="E377" s="189"/>
      <c r="F377" s="189"/>
      <c r="G377" s="189"/>
      <c r="H377" s="189"/>
      <c r="I377" s="189"/>
      <c r="J377" s="189"/>
      <c r="K377" s="189"/>
      <c r="L377" s="189"/>
      <c r="M377" s="189"/>
      <c r="N377" s="189"/>
      <c r="O377" s="189"/>
      <c r="P377" s="189"/>
      <c r="Q377" s="189"/>
      <c r="R377" s="189"/>
      <c r="S377" s="189"/>
      <c r="T377" s="189"/>
      <c r="U377" s="189"/>
      <c r="V377" s="189"/>
      <c r="W377" s="189"/>
      <c r="X377" s="189"/>
      <c r="Y377" s="189"/>
      <c r="Z377" s="189"/>
      <c r="AA377" s="189"/>
      <c r="AB377" s="189"/>
      <c r="AC377" s="189"/>
      <c r="AD377" s="189"/>
      <c r="AE377" s="189"/>
      <c r="AF377" s="189"/>
    </row>
    <row r="378">
      <c r="A378" s="189"/>
      <c r="B378" s="189"/>
      <c r="C378" s="189"/>
      <c r="D378" s="189"/>
      <c r="E378" s="189"/>
      <c r="F378" s="189"/>
      <c r="G378" s="189"/>
      <c r="H378" s="189"/>
      <c r="I378" s="189"/>
      <c r="J378" s="189"/>
      <c r="K378" s="189"/>
      <c r="L378" s="189"/>
      <c r="M378" s="189"/>
      <c r="N378" s="189"/>
      <c r="O378" s="189"/>
      <c r="P378" s="189"/>
      <c r="Q378" s="189"/>
      <c r="R378" s="189"/>
      <c r="S378" s="189"/>
      <c r="T378" s="189"/>
      <c r="U378" s="189"/>
      <c r="V378" s="189"/>
      <c r="W378" s="189"/>
      <c r="X378" s="189"/>
      <c r="Y378" s="189"/>
      <c r="Z378" s="189"/>
      <c r="AA378" s="189"/>
      <c r="AB378" s="189"/>
      <c r="AC378" s="189"/>
      <c r="AD378" s="189"/>
      <c r="AE378" s="189"/>
      <c r="AF378" s="189"/>
    </row>
    <row r="379">
      <c r="A379" s="189"/>
      <c r="B379" s="189"/>
      <c r="C379" s="189"/>
      <c r="D379" s="189"/>
      <c r="E379" s="189"/>
      <c r="F379" s="189"/>
      <c r="G379" s="189"/>
      <c r="H379" s="189"/>
      <c r="I379" s="189"/>
      <c r="J379" s="189"/>
      <c r="K379" s="189"/>
      <c r="L379" s="189"/>
      <c r="M379" s="189"/>
      <c r="N379" s="189"/>
      <c r="O379" s="189"/>
      <c r="P379" s="189"/>
      <c r="Q379" s="189"/>
      <c r="R379" s="189"/>
      <c r="S379" s="189"/>
      <c r="T379" s="189"/>
      <c r="U379" s="189"/>
      <c r="V379" s="189"/>
      <c r="W379" s="189"/>
      <c r="X379" s="189"/>
      <c r="Y379" s="189"/>
      <c r="Z379" s="189"/>
      <c r="AA379" s="189"/>
      <c r="AB379" s="189"/>
      <c r="AC379" s="189"/>
      <c r="AD379" s="189"/>
      <c r="AE379" s="189"/>
      <c r="AF379" s="189"/>
    </row>
    <row r="380">
      <c r="A380" s="189"/>
      <c r="B380" s="189"/>
      <c r="C380" s="189"/>
      <c r="D380" s="189"/>
      <c r="E380" s="189"/>
      <c r="F380" s="189"/>
      <c r="G380" s="189"/>
      <c r="H380" s="189"/>
      <c r="I380" s="189"/>
      <c r="J380" s="189"/>
      <c r="K380" s="189"/>
      <c r="L380" s="189"/>
      <c r="M380" s="189"/>
      <c r="N380" s="189"/>
      <c r="O380" s="189"/>
      <c r="P380" s="189"/>
      <c r="Q380" s="189"/>
      <c r="R380" s="189"/>
      <c r="S380" s="189"/>
      <c r="T380" s="189"/>
      <c r="U380" s="189"/>
      <c r="V380" s="189"/>
      <c r="W380" s="189"/>
      <c r="X380" s="189"/>
      <c r="Y380" s="189"/>
      <c r="Z380" s="189"/>
      <c r="AA380" s="189"/>
      <c r="AB380" s="189"/>
      <c r="AC380" s="189"/>
      <c r="AD380" s="189"/>
      <c r="AE380" s="189"/>
      <c r="AF380" s="189"/>
    </row>
    <row r="381">
      <c r="A381" s="189"/>
      <c r="B381" s="189"/>
      <c r="C381" s="189"/>
      <c r="D381" s="189"/>
      <c r="E381" s="189"/>
      <c r="F381" s="189"/>
      <c r="G381" s="189"/>
      <c r="H381" s="189"/>
      <c r="I381" s="189"/>
      <c r="J381" s="189"/>
      <c r="K381" s="189"/>
      <c r="L381" s="189"/>
      <c r="M381" s="189"/>
      <c r="N381" s="189"/>
      <c r="O381" s="189"/>
      <c r="P381" s="189"/>
      <c r="Q381" s="189"/>
      <c r="R381" s="189"/>
      <c r="S381" s="189"/>
      <c r="T381" s="189"/>
      <c r="U381" s="189"/>
      <c r="V381" s="189"/>
      <c r="W381" s="189"/>
      <c r="X381" s="189"/>
      <c r="Y381" s="189"/>
      <c r="Z381" s="189"/>
      <c r="AA381" s="189"/>
      <c r="AB381" s="189"/>
      <c r="AC381" s="189"/>
      <c r="AD381" s="189"/>
      <c r="AE381" s="189"/>
      <c r="AF381" s="189"/>
    </row>
    <row r="382">
      <c r="A382" s="189"/>
      <c r="B382" s="189"/>
      <c r="C382" s="189"/>
      <c r="D382" s="189"/>
      <c r="E382" s="189"/>
      <c r="F382" s="189"/>
      <c r="G382" s="189"/>
      <c r="H382" s="189"/>
      <c r="I382" s="189"/>
      <c r="J382" s="189"/>
      <c r="K382" s="189"/>
      <c r="L382" s="189"/>
      <c r="M382" s="189"/>
      <c r="N382" s="189"/>
      <c r="O382" s="189"/>
      <c r="P382" s="189"/>
      <c r="Q382" s="189"/>
      <c r="R382" s="189"/>
      <c r="S382" s="189"/>
      <c r="T382" s="189"/>
      <c r="U382" s="189"/>
      <c r="V382" s="189"/>
      <c r="W382" s="189"/>
      <c r="X382" s="189"/>
      <c r="Y382" s="189"/>
      <c r="Z382" s="189"/>
      <c r="AA382" s="189"/>
      <c r="AB382" s="189"/>
      <c r="AC382" s="189"/>
      <c r="AD382" s="189"/>
      <c r="AE382" s="189"/>
      <c r="AF382" s="189"/>
    </row>
    <row r="383">
      <c r="A383" s="189"/>
      <c r="B383" s="189"/>
      <c r="C383" s="189"/>
      <c r="D383" s="189"/>
      <c r="E383" s="189"/>
      <c r="F383" s="189"/>
      <c r="G383" s="189"/>
      <c r="H383" s="189"/>
      <c r="I383" s="189"/>
      <c r="J383" s="189"/>
      <c r="K383" s="189"/>
      <c r="L383" s="189"/>
      <c r="M383" s="189"/>
      <c r="N383" s="189"/>
      <c r="O383" s="189"/>
      <c r="P383" s="189"/>
      <c r="Q383" s="189"/>
      <c r="R383" s="189"/>
      <c r="S383" s="189"/>
      <c r="T383" s="189"/>
      <c r="U383" s="189"/>
      <c r="V383" s="189"/>
      <c r="W383" s="189"/>
      <c r="X383" s="189"/>
      <c r="Y383" s="189"/>
      <c r="Z383" s="189"/>
      <c r="AA383" s="189"/>
      <c r="AB383" s="189"/>
      <c r="AC383" s="189"/>
      <c r="AD383" s="189"/>
      <c r="AE383" s="189"/>
      <c r="AF383" s="189"/>
    </row>
    <row r="384">
      <c r="A384" s="189"/>
      <c r="B384" s="189"/>
      <c r="C384" s="189"/>
      <c r="D384" s="189"/>
      <c r="E384" s="189"/>
      <c r="F384" s="189"/>
      <c r="G384" s="189"/>
      <c r="H384" s="189"/>
      <c r="I384" s="189"/>
      <c r="J384" s="189"/>
      <c r="K384" s="189"/>
      <c r="L384" s="189"/>
      <c r="M384" s="189"/>
      <c r="N384" s="189"/>
      <c r="O384" s="189"/>
      <c r="P384" s="189"/>
      <c r="Q384" s="189"/>
      <c r="R384" s="189"/>
      <c r="S384" s="189"/>
      <c r="T384" s="189"/>
      <c r="U384" s="189"/>
      <c r="V384" s="189"/>
      <c r="W384" s="189"/>
      <c r="X384" s="189"/>
      <c r="Y384" s="189"/>
      <c r="Z384" s="189"/>
      <c r="AA384" s="189"/>
      <c r="AB384" s="189"/>
      <c r="AC384" s="189"/>
      <c r="AD384" s="189"/>
      <c r="AE384" s="189"/>
      <c r="AF384" s="189"/>
    </row>
    <row r="385">
      <c r="A385" s="189"/>
      <c r="B385" s="189"/>
      <c r="C385" s="189"/>
      <c r="D385" s="189"/>
      <c r="E385" s="189"/>
      <c r="F385" s="189"/>
      <c r="G385" s="189"/>
      <c r="H385" s="189"/>
      <c r="I385" s="189"/>
      <c r="J385" s="189"/>
      <c r="K385" s="189"/>
      <c r="L385" s="189"/>
      <c r="M385" s="189"/>
      <c r="N385" s="189"/>
      <c r="O385" s="189"/>
      <c r="P385" s="189"/>
      <c r="Q385" s="189"/>
      <c r="R385" s="189"/>
      <c r="S385" s="189"/>
      <c r="T385" s="189"/>
      <c r="U385" s="189"/>
      <c r="V385" s="189"/>
      <c r="W385" s="189"/>
      <c r="X385" s="189"/>
      <c r="Y385" s="189"/>
      <c r="Z385" s="189"/>
      <c r="AA385" s="189"/>
      <c r="AB385" s="189"/>
      <c r="AC385" s="189"/>
      <c r="AD385" s="189"/>
      <c r="AE385" s="189"/>
      <c r="AF385" s="189"/>
    </row>
    <row r="386">
      <c r="A386" s="189"/>
      <c r="B386" s="189"/>
      <c r="C386" s="189"/>
      <c r="D386" s="189"/>
      <c r="E386" s="189"/>
      <c r="F386" s="189"/>
      <c r="G386" s="189"/>
      <c r="H386" s="189"/>
      <c r="I386" s="189"/>
      <c r="J386" s="189"/>
      <c r="K386" s="189"/>
      <c r="L386" s="189"/>
      <c r="M386" s="189"/>
      <c r="N386" s="189"/>
      <c r="O386" s="189"/>
      <c r="P386" s="189"/>
      <c r="Q386" s="189"/>
      <c r="R386" s="189"/>
      <c r="S386" s="189"/>
      <c r="T386" s="189"/>
      <c r="U386" s="189"/>
      <c r="V386" s="189"/>
      <c r="W386" s="189"/>
      <c r="X386" s="189"/>
      <c r="Y386" s="189"/>
      <c r="Z386" s="189"/>
      <c r="AA386" s="189"/>
      <c r="AB386" s="189"/>
      <c r="AC386" s="189"/>
      <c r="AD386" s="189"/>
      <c r="AE386" s="189"/>
      <c r="AF386" s="189"/>
    </row>
    <row r="387">
      <c r="A387" s="189"/>
      <c r="B387" s="189"/>
      <c r="C387" s="189"/>
      <c r="D387" s="189"/>
      <c r="E387" s="189"/>
      <c r="F387" s="189"/>
      <c r="G387" s="189"/>
      <c r="H387" s="189"/>
      <c r="I387" s="189"/>
      <c r="J387" s="189"/>
      <c r="K387" s="189"/>
      <c r="L387" s="189"/>
      <c r="M387" s="189"/>
      <c r="N387" s="189"/>
      <c r="O387" s="189"/>
      <c r="P387" s="189"/>
      <c r="Q387" s="189"/>
      <c r="R387" s="189"/>
      <c r="S387" s="189"/>
      <c r="T387" s="189"/>
      <c r="U387" s="189"/>
      <c r="V387" s="189"/>
      <c r="W387" s="189"/>
      <c r="X387" s="189"/>
      <c r="Y387" s="189"/>
      <c r="Z387" s="189"/>
      <c r="AA387" s="189"/>
      <c r="AB387" s="189"/>
      <c r="AC387" s="189"/>
      <c r="AD387" s="189"/>
      <c r="AE387" s="189"/>
      <c r="AF387" s="189"/>
    </row>
    <row r="388">
      <c r="A388" s="189"/>
      <c r="B388" s="189"/>
      <c r="C388" s="189"/>
      <c r="D388" s="189"/>
      <c r="E388" s="189"/>
      <c r="F388" s="189"/>
      <c r="G388" s="189"/>
      <c r="H388" s="189"/>
      <c r="I388" s="189"/>
      <c r="J388" s="189"/>
      <c r="K388" s="189"/>
      <c r="L388" s="189"/>
      <c r="M388" s="189"/>
      <c r="N388" s="189"/>
      <c r="O388" s="189"/>
      <c r="P388" s="189"/>
      <c r="Q388" s="189"/>
      <c r="R388" s="189"/>
      <c r="S388" s="189"/>
      <c r="T388" s="189"/>
      <c r="U388" s="189"/>
      <c r="V388" s="189"/>
      <c r="W388" s="189"/>
      <c r="X388" s="189"/>
      <c r="Y388" s="189"/>
      <c r="Z388" s="189"/>
      <c r="AA388" s="189"/>
      <c r="AB388" s="189"/>
      <c r="AC388" s="189"/>
      <c r="AD388" s="189"/>
      <c r="AE388" s="189"/>
      <c r="AF388" s="189"/>
    </row>
    <row r="389">
      <c r="A389" s="189"/>
      <c r="B389" s="189"/>
      <c r="C389" s="189"/>
      <c r="D389" s="189"/>
      <c r="E389" s="189"/>
      <c r="F389" s="189"/>
      <c r="G389" s="189"/>
      <c r="H389" s="189"/>
      <c r="I389" s="189"/>
      <c r="J389" s="189"/>
      <c r="K389" s="189"/>
      <c r="L389" s="189"/>
      <c r="M389" s="189"/>
      <c r="N389" s="189"/>
      <c r="O389" s="189"/>
      <c r="P389" s="189"/>
      <c r="Q389" s="189"/>
      <c r="R389" s="189"/>
      <c r="S389" s="189"/>
      <c r="T389" s="189"/>
      <c r="U389" s="189"/>
      <c r="V389" s="189"/>
      <c r="W389" s="189"/>
      <c r="X389" s="189"/>
      <c r="Y389" s="189"/>
      <c r="Z389" s="189"/>
      <c r="AA389" s="189"/>
      <c r="AB389" s="189"/>
      <c r="AC389" s="189"/>
      <c r="AD389" s="189"/>
      <c r="AE389" s="189"/>
      <c r="AF389" s="189"/>
    </row>
    <row r="390">
      <c r="A390" s="189"/>
      <c r="B390" s="189"/>
      <c r="C390" s="189"/>
      <c r="D390" s="189"/>
      <c r="E390" s="189"/>
      <c r="F390" s="189"/>
      <c r="G390" s="189"/>
      <c r="H390" s="189"/>
      <c r="I390" s="189"/>
      <c r="J390" s="189"/>
      <c r="K390" s="189"/>
      <c r="L390" s="189"/>
      <c r="M390" s="189"/>
      <c r="N390" s="189"/>
      <c r="O390" s="189"/>
      <c r="P390" s="189"/>
      <c r="Q390" s="189"/>
      <c r="R390" s="189"/>
      <c r="S390" s="189"/>
      <c r="T390" s="189"/>
      <c r="U390" s="189"/>
      <c r="V390" s="189"/>
      <c r="W390" s="189"/>
      <c r="X390" s="189"/>
      <c r="Y390" s="189"/>
      <c r="Z390" s="189"/>
      <c r="AA390" s="189"/>
      <c r="AB390" s="189"/>
      <c r="AC390" s="189"/>
      <c r="AD390" s="189"/>
      <c r="AE390" s="189"/>
      <c r="AF390" s="189"/>
    </row>
    <row r="391">
      <c r="A391" s="189"/>
      <c r="B391" s="189"/>
      <c r="C391" s="189"/>
      <c r="D391" s="189"/>
      <c r="E391" s="189"/>
      <c r="F391" s="189"/>
      <c r="G391" s="189"/>
      <c r="H391" s="189"/>
      <c r="I391" s="189"/>
      <c r="J391" s="189"/>
      <c r="K391" s="189"/>
      <c r="L391" s="189"/>
      <c r="M391" s="189"/>
      <c r="N391" s="189"/>
      <c r="O391" s="189"/>
      <c r="P391" s="189"/>
      <c r="Q391" s="189"/>
      <c r="R391" s="189"/>
      <c r="S391" s="189"/>
      <c r="T391" s="189"/>
      <c r="U391" s="189"/>
      <c r="V391" s="189"/>
      <c r="W391" s="189"/>
      <c r="X391" s="189"/>
      <c r="Y391" s="189"/>
      <c r="Z391" s="189"/>
      <c r="AA391" s="189"/>
      <c r="AB391" s="189"/>
      <c r="AC391" s="189"/>
      <c r="AD391" s="189"/>
      <c r="AE391" s="189"/>
      <c r="AF391" s="189"/>
    </row>
    <row r="392">
      <c r="A392" s="189"/>
      <c r="B392" s="189"/>
      <c r="C392" s="189"/>
      <c r="D392" s="189"/>
      <c r="E392" s="189"/>
      <c r="F392" s="189"/>
      <c r="G392" s="189"/>
      <c r="H392" s="189"/>
      <c r="I392" s="189"/>
      <c r="J392" s="189"/>
      <c r="K392" s="189"/>
      <c r="L392" s="189"/>
      <c r="M392" s="189"/>
      <c r="N392" s="189"/>
      <c r="O392" s="189"/>
      <c r="P392" s="189"/>
      <c r="Q392" s="189"/>
      <c r="R392" s="189"/>
      <c r="S392" s="189"/>
      <c r="T392" s="189"/>
      <c r="U392" s="189"/>
      <c r="V392" s="189"/>
      <c r="W392" s="189"/>
      <c r="X392" s="189"/>
      <c r="Y392" s="189"/>
      <c r="Z392" s="189"/>
      <c r="AA392" s="189"/>
      <c r="AB392" s="189"/>
      <c r="AC392" s="189"/>
      <c r="AD392" s="189"/>
      <c r="AE392" s="189"/>
      <c r="AF392" s="189"/>
    </row>
    <row r="393">
      <c r="A393" s="189"/>
      <c r="B393" s="189"/>
      <c r="C393" s="189"/>
      <c r="D393" s="189"/>
      <c r="E393" s="189"/>
      <c r="F393" s="189"/>
      <c r="G393" s="189"/>
      <c r="H393" s="189"/>
      <c r="I393" s="189"/>
      <c r="J393" s="189"/>
      <c r="K393" s="189"/>
      <c r="L393" s="189"/>
      <c r="M393" s="189"/>
      <c r="N393" s="189"/>
      <c r="O393" s="189"/>
      <c r="P393" s="189"/>
      <c r="Q393" s="189"/>
      <c r="R393" s="189"/>
      <c r="S393" s="189"/>
      <c r="T393" s="189"/>
      <c r="U393" s="189"/>
      <c r="V393" s="189"/>
      <c r="W393" s="189"/>
      <c r="X393" s="189"/>
      <c r="Y393" s="189"/>
      <c r="Z393" s="189"/>
      <c r="AA393" s="189"/>
      <c r="AB393" s="189"/>
      <c r="AC393" s="189"/>
      <c r="AD393" s="189"/>
      <c r="AE393" s="189"/>
      <c r="AF393" s="189"/>
    </row>
    <row r="394">
      <c r="A394" s="189"/>
      <c r="B394" s="189"/>
      <c r="C394" s="189"/>
      <c r="D394" s="189"/>
      <c r="E394" s="189"/>
      <c r="F394" s="189"/>
      <c r="G394" s="189"/>
      <c r="H394" s="189"/>
      <c r="I394" s="189"/>
      <c r="J394" s="189"/>
      <c r="K394" s="189"/>
      <c r="L394" s="189"/>
      <c r="M394" s="189"/>
      <c r="N394" s="189"/>
      <c r="O394" s="189"/>
      <c r="P394" s="189"/>
      <c r="Q394" s="189"/>
      <c r="R394" s="189"/>
      <c r="S394" s="189"/>
      <c r="T394" s="189"/>
      <c r="U394" s="189"/>
      <c r="V394" s="189"/>
      <c r="W394" s="189"/>
      <c r="X394" s="189"/>
      <c r="Y394" s="189"/>
      <c r="Z394" s="189"/>
      <c r="AA394" s="189"/>
      <c r="AB394" s="189"/>
      <c r="AC394" s="189"/>
      <c r="AD394" s="189"/>
      <c r="AE394" s="189"/>
      <c r="AF394" s="189"/>
    </row>
    <row r="395">
      <c r="A395" s="189"/>
      <c r="B395" s="189"/>
      <c r="C395" s="189"/>
      <c r="D395" s="189"/>
      <c r="E395" s="189"/>
      <c r="F395" s="189"/>
      <c r="G395" s="189"/>
      <c r="H395" s="189"/>
      <c r="I395" s="189"/>
      <c r="J395" s="189"/>
      <c r="K395" s="189"/>
      <c r="L395" s="189"/>
      <c r="M395" s="189"/>
      <c r="N395" s="189"/>
      <c r="O395" s="189"/>
      <c r="P395" s="189"/>
      <c r="Q395" s="189"/>
      <c r="R395" s="189"/>
      <c r="S395" s="189"/>
      <c r="T395" s="189"/>
      <c r="U395" s="189"/>
      <c r="V395" s="189"/>
      <c r="W395" s="189"/>
      <c r="X395" s="189"/>
      <c r="Y395" s="189"/>
      <c r="Z395" s="189"/>
      <c r="AA395" s="189"/>
      <c r="AB395" s="189"/>
      <c r="AC395" s="189"/>
      <c r="AD395" s="189"/>
      <c r="AE395" s="189"/>
      <c r="AF395" s="189"/>
    </row>
    <row r="396">
      <c r="A396" s="189"/>
      <c r="B396" s="189"/>
      <c r="C396" s="189"/>
      <c r="D396" s="189"/>
      <c r="E396" s="189"/>
      <c r="F396" s="189"/>
      <c r="G396" s="189"/>
      <c r="H396" s="189"/>
      <c r="I396" s="189"/>
      <c r="J396" s="189"/>
      <c r="K396" s="189"/>
      <c r="L396" s="189"/>
      <c r="M396" s="189"/>
      <c r="N396" s="189"/>
      <c r="O396" s="189"/>
      <c r="P396" s="189"/>
      <c r="Q396" s="189"/>
      <c r="R396" s="189"/>
      <c r="S396" s="189"/>
      <c r="T396" s="189"/>
      <c r="U396" s="189"/>
      <c r="V396" s="189"/>
      <c r="W396" s="189"/>
      <c r="X396" s="189"/>
      <c r="Y396" s="189"/>
      <c r="Z396" s="189"/>
      <c r="AA396" s="189"/>
      <c r="AB396" s="189"/>
      <c r="AC396" s="189"/>
      <c r="AD396" s="189"/>
      <c r="AE396" s="189"/>
      <c r="AF396" s="189"/>
    </row>
    <row r="397">
      <c r="A397" s="189"/>
      <c r="B397" s="189"/>
      <c r="C397" s="189"/>
      <c r="D397" s="189"/>
      <c r="E397" s="189"/>
      <c r="F397" s="189"/>
      <c r="G397" s="189"/>
      <c r="H397" s="189"/>
      <c r="I397" s="189"/>
      <c r="J397" s="189"/>
      <c r="K397" s="189"/>
      <c r="L397" s="189"/>
      <c r="M397" s="189"/>
      <c r="N397" s="189"/>
      <c r="O397" s="189"/>
      <c r="P397" s="189"/>
      <c r="Q397" s="189"/>
      <c r="R397" s="189"/>
      <c r="S397" s="189"/>
      <c r="T397" s="189"/>
      <c r="U397" s="189"/>
      <c r="V397" s="189"/>
      <c r="W397" s="189"/>
      <c r="X397" s="189"/>
      <c r="Y397" s="189"/>
      <c r="Z397" s="189"/>
      <c r="AA397" s="189"/>
      <c r="AB397" s="189"/>
      <c r="AC397" s="189"/>
      <c r="AD397" s="189"/>
      <c r="AE397" s="189"/>
      <c r="AF397" s="189"/>
    </row>
    <row r="398">
      <c r="A398" s="189"/>
      <c r="B398" s="189"/>
      <c r="C398" s="189"/>
      <c r="D398" s="189"/>
      <c r="E398" s="189"/>
      <c r="F398" s="189"/>
      <c r="G398" s="189"/>
      <c r="H398" s="189"/>
      <c r="I398" s="189"/>
      <c r="J398" s="189"/>
      <c r="K398" s="189"/>
      <c r="L398" s="189"/>
      <c r="M398" s="189"/>
      <c r="N398" s="189"/>
      <c r="O398" s="189"/>
      <c r="P398" s="189"/>
      <c r="Q398" s="189"/>
      <c r="R398" s="189"/>
      <c r="S398" s="189"/>
      <c r="T398" s="189"/>
      <c r="U398" s="189"/>
      <c r="V398" s="189"/>
      <c r="W398" s="189"/>
      <c r="X398" s="189"/>
      <c r="Y398" s="189"/>
      <c r="Z398" s="189"/>
      <c r="AA398" s="189"/>
      <c r="AB398" s="189"/>
      <c r="AC398" s="189"/>
      <c r="AD398" s="189"/>
      <c r="AE398" s="189"/>
      <c r="AF398" s="189"/>
    </row>
    <row r="399">
      <c r="A399" s="189"/>
      <c r="B399" s="189"/>
      <c r="C399" s="189"/>
      <c r="D399" s="189"/>
      <c r="E399" s="189"/>
      <c r="F399" s="189"/>
      <c r="G399" s="189"/>
      <c r="H399" s="189"/>
      <c r="I399" s="189"/>
      <c r="J399" s="189"/>
      <c r="K399" s="189"/>
      <c r="L399" s="189"/>
      <c r="M399" s="189"/>
      <c r="N399" s="189"/>
      <c r="O399" s="189"/>
      <c r="P399" s="189"/>
      <c r="Q399" s="189"/>
      <c r="R399" s="189"/>
      <c r="S399" s="189"/>
      <c r="T399" s="189"/>
      <c r="U399" s="189"/>
      <c r="V399" s="189"/>
      <c r="W399" s="189"/>
      <c r="X399" s="189"/>
      <c r="Y399" s="189"/>
      <c r="Z399" s="189"/>
      <c r="AA399" s="189"/>
      <c r="AB399" s="189"/>
      <c r="AC399" s="189"/>
      <c r="AD399" s="189"/>
      <c r="AE399" s="189"/>
      <c r="AF399" s="189"/>
    </row>
    <row r="400">
      <c r="A400" s="189"/>
      <c r="B400" s="189"/>
      <c r="C400" s="189"/>
      <c r="D400" s="189"/>
      <c r="E400" s="189"/>
      <c r="F400" s="189"/>
      <c r="G400" s="189"/>
      <c r="H400" s="189"/>
      <c r="I400" s="189"/>
      <c r="J400" s="189"/>
      <c r="K400" s="189"/>
      <c r="L400" s="189"/>
      <c r="M400" s="189"/>
      <c r="N400" s="189"/>
      <c r="O400" s="189"/>
      <c r="P400" s="189"/>
      <c r="Q400" s="189"/>
      <c r="R400" s="189"/>
      <c r="S400" s="189"/>
      <c r="T400" s="189"/>
      <c r="U400" s="189"/>
      <c r="V400" s="189"/>
      <c r="W400" s="189"/>
      <c r="X400" s="189"/>
      <c r="Y400" s="189"/>
      <c r="Z400" s="189"/>
      <c r="AA400" s="189"/>
      <c r="AB400" s="189"/>
      <c r="AC400" s="189"/>
      <c r="AD400" s="189"/>
      <c r="AE400" s="189"/>
      <c r="AF400" s="189"/>
    </row>
    <row r="401">
      <c r="A401" s="189"/>
      <c r="B401" s="189"/>
      <c r="C401" s="189"/>
      <c r="D401" s="189"/>
      <c r="E401" s="189"/>
      <c r="F401" s="189"/>
      <c r="G401" s="189"/>
      <c r="H401" s="189"/>
      <c r="I401" s="189"/>
      <c r="J401" s="189"/>
      <c r="K401" s="189"/>
      <c r="L401" s="189"/>
      <c r="M401" s="189"/>
      <c r="N401" s="189"/>
      <c r="O401" s="189"/>
      <c r="P401" s="189"/>
      <c r="Q401" s="189"/>
      <c r="R401" s="189"/>
      <c r="S401" s="189"/>
      <c r="T401" s="189"/>
      <c r="U401" s="189"/>
      <c r="V401" s="189"/>
      <c r="W401" s="189"/>
      <c r="X401" s="189"/>
      <c r="Y401" s="189"/>
      <c r="Z401" s="189"/>
      <c r="AA401" s="189"/>
      <c r="AB401" s="189"/>
      <c r="AC401" s="189"/>
      <c r="AD401" s="189"/>
      <c r="AE401" s="189"/>
      <c r="AF401" s="189"/>
    </row>
    <row r="402">
      <c r="A402" s="189"/>
      <c r="B402" s="189"/>
      <c r="C402" s="189"/>
      <c r="D402" s="189"/>
      <c r="E402" s="189"/>
      <c r="F402" s="189"/>
      <c r="G402" s="189"/>
      <c r="H402" s="189"/>
      <c r="I402" s="189"/>
      <c r="J402" s="189"/>
      <c r="K402" s="189"/>
      <c r="L402" s="189"/>
      <c r="M402" s="189"/>
      <c r="N402" s="189"/>
      <c r="O402" s="189"/>
      <c r="P402" s="189"/>
      <c r="Q402" s="189"/>
      <c r="R402" s="189"/>
      <c r="S402" s="189"/>
      <c r="T402" s="189"/>
      <c r="U402" s="189"/>
      <c r="V402" s="189"/>
      <c r="W402" s="189"/>
      <c r="X402" s="189"/>
      <c r="Y402" s="189"/>
      <c r="Z402" s="189"/>
      <c r="AA402" s="189"/>
      <c r="AB402" s="189"/>
      <c r="AC402" s="189"/>
      <c r="AD402" s="189"/>
      <c r="AE402" s="189"/>
      <c r="AF402" s="189"/>
    </row>
    <row r="403">
      <c r="A403" s="189"/>
      <c r="B403" s="189"/>
      <c r="C403" s="189"/>
      <c r="D403" s="189"/>
      <c r="E403" s="189"/>
      <c r="F403" s="189"/>
      <c r="G403" s="189"/>
      <c r="H403" s="189"/>
      <c r="I403" s="189"/>
      <c r="J403" s="189"/>
      <c r="K403" s="189"/>
      <c r="L403" s="189"/>
      <c r="M403" s="189"/>
      <c r="N403" s="189"/>
      <c r="O403" s="189"/>
      <c r="P403" s="189"/>
      <c r="Q403" s="189"/>
      <c r="R403" s="189"/>
      <c r="S403" s="189"/>
      <c r="T403" s="189"/>
      <c r="U403" s="189"/>
      <c r="V403" s="189"/>
      <c r="W403" s="189"/>
      <c r="X403" s="189"/>
      <c r="Y403" s="189"/>
      <c r="Z403" s="189"/>
      <c r="AA403" s="189"/>
      <c r="AB403" s="189"/>
      <c r="AC403" s="189"/>
      <c r="AD403" s="189"/>
      <c r="AE403" s="189"/>
      <c r="AF403" s="189"/>
    </row>
    <row r="404">
      <c r="A404" s="189"/>
      <c r="B404" s="189"/>
      <c r="C404" s="189"/>
      <c r="D404" s="189"/>
      <c r="E404" s="189"/>
      <c r="F404" s="189"/>
      <c r="G404" s="189"/>
      <c r="H404" s="189"/>
      <c r="I404" s="189"/>
      <c r="J404" s="189"/>
      <c r="K404" s="189"/>
      <c r="L404" s="189"/>
      <c r="M404" s="189"/>
      <c r="N404" s="189"/>
      <c r="O404" s="189"/>
      <c r="P404" s="189"/>
      <c r="Q404" s="189"/>
      <c r="R404" s="189"/>
      <c r="S404" s="189"/>
      <c r="T404" s="189"/>
      <c r="U404" s="189"/>
      <c r="V404" s="189"/>
      <c r="W404" s="189"/>
      <c r="X404" s="189"/>
      <c r="Y404" s="189"/>
      <c r="Z404" s="189"/>
      <c r="AA404" s="189"/>
      <c r="AB404" s="189"/>
      <c r="AC404" s="189"/>
      <c r="AD404" s="189"/>
      <c r="AE404" s="189"/>
      <c r="AF404" s="189"/>
    </row>
    <row r="405">
      <c r="A405" s="189"/>
      <c r="B405" s="189"/>
      <c r="C405" s="189"/>
      <c r="D405" s="189"/>
      <c r="E405" s="189"/>
      <c r="F405" s="189"/>
      <c r="G405" s="189"/>
      <c r="H405" s="189"/>
      <c r="I405" s="189"/>
      <c r="J405" s="189"/>
      <c r="K405" s="189"/>
      <c r="L405" s="189"/>
      <c r="M405" s="189"/>
      <c r="N405" s="189"/>
      <c r="O405" s="189"/>
      <c r="P405" s="189"/>
      <c r="Q405" s="189"/>
      <c r="R405" s="189"/>
      <c r="S405" s="189"/>
      <c r="T405" s="189"/>
      <c r="U405" s="189"/>
      <c r="V405" s="189"/>
      <c r="W405" s="189"/>
      <c r="X405" s="189"/>
      <c r="Y405" s="189"/>
      <c r="Z405" s="189"/>
      <c r="AA405" s="189"/>
      <c r="AB405" s="189"/>
      <c r="AC405" s="189"/>
      <c r="AD405" s="189"/>
      <c r="AE405" s="189"/>
      <c r="AF405" s="189"/>
    </row>
    <row r="406">
      <c r="A406" s="189"/>
      <c r="B406" s="189"/>
      <c r="C406" s="189"/>
      <c r="D406" s="189"/>
      <c r="E406" s="189"/>
      <c r="F406" s="189"/>
      <c r="G406" s="189"/>
      <c r="H406" s="189"/>
      <c r="I406" s="189"/>
      <c r="J406" s="189"/>
      <c r="K406" s="189"/>
      <c r="L406" s="189"/>
      <c r="M406" s="189"/>
      <c r="N406" s="189"/>
      <c r="O406" s="189"/>
      <c r="P406" s="189"/>
      <c r="Q406" s="189"/>
      <c r="R406" s="189"/>
      <c r="S406" s="189"/>
      <c r="T406" s="189"/>
      <c r="U406" s="189"/>
      <c r="V406" s="189"/>
      <c r="W406" s="189"/>
      <c r="X406" s="189"/>
      <c r="Y406" s="189"/>
      <c r="Z406" s="189"/>
      <c r="AA406" s="189"/>
      <c r="AB406" s="189"/>
      <c r="AC406" s="189"/>
      <c r="AD406" s="189"/>
      <c r="AE406" s="189"/>
      <c r="AF406" s="189"/>
    </row>
    <row r="407">
      <c r="A407" s="189"/>
      <c r="B407" s="189"/>
      <c r="C407" s="189"/>
      <c r="D407" s="189"/>
      <c r="E407" s="189"/>
      <c r="F407" s="189"/>
      <c r="G407" s="189"/>
      <c r="H407" s="189"/>
      <c r="I407" s="189"/>
      <c r="J407" s="189"/>
      <c r="K407" s="189"/>
      <c r="L407" s="189"/>
      <c r="M407" s="189"/>
      <c r="N407" s="189"/>
      <c r="O407" s="189"/>
      <c r="P407" s="189"/>
      <c r="Q407" s="189"/>
      <c r="R407" s="189"/>
      <c r="S407" s="189"/>
      <c r="T407" s="189"/>
      <c r="U407" s="189"/>
      <c r="V407" s="189"/>
      <c r="W407" s="189"/>
      <c r="X407" s="189"/>
      <c r="Y407" s="189"/>
      <c r="Z407" s="189"/>
      <c r="AA407" s="189"/>
      <c r="AB407" s="189"/>
      <c r="AC407" s="189"/>
      <c r="AD407" s="189"/>
      <c r="AE407" s="189"/>
      <c r="AF407" s="189"/>
    </row>
    <row r="408">
      <c r="A408" s="189"/>
      <c r="B408" s="189"/>
      <c r="C408" s="189"/>
      <c r="D408" s="189"/>
      <c r="E408" s="189"/>
      <c r="F408" s="189"/>
      <c r="G408" s="189"/>
      <c r="H408" s="189"/>
      <c r="I408" s="189"/>
      <c r="J408" s="189"/>
      <c r="K408" s="189"/>
      <c r="L408" s="189"/>
      <c r="M408" s="189"/>
      <c r="N408" s="189"/>
      <c r="O408" s="189"/>
      <c r="P408" s="189"/>
      <c r="Q408" s="189"/>
      <c r="R408" s="189"/>
      <c r="S408" s="189"/>
      <c r="T408" s="189"/>
      <c r="U408" s="189"/>
      <c r="V408" s="189"/>
      <c r="W408" s="189"/>
      <c r="X408" s="189"/>
      <c r="Y408" s="189"/>
      <c r="Z408" s="189"/>
      <c r="AA408" s="189"/>
      <c r="AB408" s="189"/>
      <c r="AC408" s="189"/>
      <c r="AD408" s="189"/>
      <c r="AE408" s="189"/>
      <c r="AF408" s="189"/>
    </row>
    <row r="409">
      <c r="A409" s="189"/>
      <c r="B409" s="189"/>
      <c r="C409" s="189"/>
      <c r="D409" s="189"/>
      <c r="E409" s="189"/>
      <c r="F409" s="189"/>
      <c r="G409" s="189"/>
      <c r="H409" s="189"/>
      <c r="I409" s="189"/>
      <c r="J409" s="189"/>
      <c r="K409" s="189"/>
      <c r="L409" s="189"/>
      <c r="M409" s="189"/>
      <c r="O409" s="189"/>
      <c r="P409" s="189"/>
      <c r="Q409" s="189"/>
      <c r="R409" s="189"/>
      <c r="S409" s="189"/>
      <c r="T409" s="189"/>
      <c r="U409" s="189"/>
      <c r="V409" s="189"/>
      <c r="W409" s="189"/>
      <c r="X409" s="189"/>
      <c r="Y409" s="189"/>
      <c r="Z409" s="189"/>
      <c r="AA409" s="189"/>
      <c r="AB409" s="189"/>
      <c r="AC409" s="189"/>
      <c r="AD409" s="189"/>
      <c r="AE409" s="189"/>
      <c r="AF409" s="189"/>
    </row>
    <row r="410">
      <c r="A410" s="189"/>
      <c r="B410" s="189"/>
      <c r="C410" s="189"/>
      <c r="D410" s="189"/>
      <c r="E410" s="189"/>
      <c r="F410" s="189"/>
      <c r="G410" s="189"/>
      <c r="H410" s="189"/>
      <c r="I410" s="189"/>
      <c r="J410" s="189"/>
      <c r="K410" s="189"/>
      <c r="L410" s="189"/>
      <c r="M410" s="189"/>
      <c r="N410" s="189"/>
      <c r="O410" s="189"/>
      <c r="P410" s="189"/>
      <c r="Q410" s="189"/>
      <c r="R410" s="189"/>
      <c r="S410" s="189"/>
      <c r="T410" s="189"/>
      <c r="U410" s="189"/>
      <c r="V410" s="189"/>
      <c r="W410" s="189"/>
      <c r="X410" s="189"/>
      <c r="Y410" s="189"/>
      <c r="Z410" s="189"/>
      <c r="AA410" s="189"/>
      <c r="AB410" s="189"/>
      <c r="AC410" s="189"/>
      <c r="AD410" s="189"/>
      <c r="AE410" s="189"/>
      <c r="AF410" s="189"/>
    </row>
    <row r="411">
      <c r="A411" s="189"/>
      <c r="B411" s="189"/>
      <c r="C411" s="189"/>
      <c r="D411" s="189"/>
      <c r="E411" s="189"/>
      <c r="F411" s="189"/>
      <c r="G411" s="189"/>
      <c r="H411" s="189"/>
      <c r="I411" s="189"/>
      <c r="J411" s="189"/>
      <c r="K411" s="189"/>
      <c r="L411" s="189"/>
      <c r="M411" s="189"/>
      <c r="N411" s="189"/>
      <c r="O411" s="189"/>
      <c r="P411" s="189"/>
      <c r="Q411" s="189"/>
      <c r="R411" s="189"/>
      <c r="S411" s="189"/>
      <c r="T411" s="189"/>
      <c r="U411" s="189"/>
      <c r="V411" s="189"/>
      <c r="W411" s="189"/>
      <c r="X411" s="189"/>
      <c r="Y411" s="189"/>
      <c r="Z411" s="189"/>
      <c r="AA411" s="189"/>
      <c r="AB411" s="189"/>
      <c r="AC411" s="189"/>
      <c r="AD411" s="189"/>
      <c r="AE411" s="189"/>
      <c r="AF411" s="189"/>
    </row>
    <row r="412">
      <c r="A412" s="189"/>
      <c r="B412" s="189"/>
      <c r="C412" s="189"/>
      <c r="D412" s="189"/>
      <c r="E412" s="189"/>
      <c r="F412" s="189"/>
      <c r="G412" s="189"/>
      <c r="H412" s="189"/>
      <c r="I412" s="189"/>
      <c r="J412" s="189"/>
      <c r="K412" s="189"/>
      <c r="L412" s="189"/>
      <c r="M412" s="189"/>
      <c r="O412" s="189"/>
      <c r="P412" s="189"/>
      <c r="Q412" s="189"/>
      <c r="S412" s="189"/>
      <c r="T412" s="189"/>
      <c r="U412" s="189"/>
      <c r="V412" s="189"/>
      <c r="W412" s="189"/>
      <c r="X412" s="189"/>
      <c r="Y412" s="189"/>
      <c r="Z412" s="189"/>
      <c r="AB412" s="189"/>
      <c r="AC412" s="189"/>
      <c r="AD412" s="189"/>
      <c r="AE412" s="189"/>
      <c r="AF412" s="189"/>
    </row>
    <row r="413">
      <c r="A413" s="189"/>
      <c r="B413" s="189"/>
      <c r="C413" s="189"/>
      <c r="D413" s="189"/>
      <c r="E413" s="189"/>
      <c r="F413" s="189"/>
      <c r="G413" s="189"/>
      <c r="H413" s="189"/>
      <c r="I413" s="189"/>
      <c r="J413" s="189"/>
      <c r="K413" s="189"/>
      <c r="L413" s="189"/>
      <c r="M413" s="189"/>
      <c r="O413" s="189"/>
      <c r="P413" s="189"/>
      <c r="Q413" s="189"/>
      <c r="S413" s="189"/>
      <c r="T413" s="189"/>
      <c r="U413" s="189"/>
      <c r="V413" s="189"/>
      <c r="W413" s="189"/>
      <c r="X413" s="189"/>
      <c r="Y413" s="189"/>
      <c r="Z413" s="189"/>
      <c r="AB413" s="189"/>
      <c r="AC413" s="189"/>
      <c r="AD413" s="189"/>
      <c r="AE413" s="189"/>
      <c r="AF413" s="189"/>
    </row>
    <row r="414">
      <c r="A414" s="189"/>
      <c r="B414" s="189"/>
      <c r="C414" s="191"/>
      <c r="D414" s="189"/>
      <c r="E414" s="189"/>
      <c r="F414" s="189"/>
      <c r="G414" s="189"/>
      <c r="H414" s="189"/>
      <c r="I414" s="189"/>
      <c r="J414" s="189"/>
      <c r="K414" s="189"/>
      <c r="L414" s="189"/>
      <c r="M414" s="189"/>
      <c r="O414" s="189"/>
      <c r="P414" s="189"/>
      <c r="Q414" s="189"/>
      <c r="S414" s="189"/>
      <c r="T414" s="189"/>
      <c r="U414" s="189"/>
      <c r="V414" s="189"/>
      <c r="W414" s="189"/>
      <c r="X414" s="189"/>
      <c r="Y414" s="189"/>
      <c r="Z414" s="189"/>
      <c r="AB414" s="189"/>
      <c r="AC414" s="189"/>
      <c r="AD414" s="189"/>
      <c r="AE414" s="189"/>
      <c r="AF414" s="189"/>
    </row>
    <row r="415">
      <c r="A415" s="189"/>
      <c r="B415" s="189"/>
      <c r="C415" s="189"/>
      <c r="D415" s="189"/>
      <c r="E415" s="189"/>
      <c r="F415" s="189"/>
      <c r="G415" s="189"/>
      <c r="H415" s="189"/>
      <c r="I415" s="189"/>
      <c r="J415" s="189"/>
      <c r="K415" s="189"/>
      <c r="L415" s="189"/>
      <c r="M415" s="189"/>
      <c r="O415" s="189"/>
      <c r="P415" s="189"/>
      <c r="Q415" s="189"/>
      <c r="S415" s="189"/>
      <c r="T415" s="189"/>
      <c r="U415" s="189"/>
      <c r="V415" s="189"/>
      <c r="W415" s="189"/>
      <c r="X415" s="189"/>
      <c r="Y415" s="189"/>
      <c r="Z415" s="189"/>
      <c r="AB415" s="189"/>
      <c r="AC415" s="189"/>
      <c r="AD415" s="189"/>
      <c r="AE415" s="189"/>
      <c r="AF415" s="189"/>
    </row>
    <row r="416">
      <c r="A416" s="189"/>
      <c r="B416" s="189"/>
      <c r="C416" s="189"/>
      <c r="D416" s="189"/>
      <c r="E416" s="189"/>
      <c r="F416" s="189"/>
      <c r="G416" s="189"/>
      <c r="H416" s="189"/>
      <c r="I416" s="189"/>
      <c r="J416" s="189"/>
      <c r="K416" s="189"/>
      <c r="L416" s="189"/>
      <c r="M416" s="189"/>
      <c r="N416" s="189"/>
      <c r="O416" s="189"/>
      <c r="P416" s="189"/>
      <c r="Q416" s="189"/>
      <c r="S416" s="189"/>
      <c r="T416" s="189"/>
      <c r="U416" s="189"/>
      <c r="V416" s="189"/>
      <c r="W416" s="189"/>
      <c r="X416" s="189"/>
      <c r="Y416" s="189"/>
      <c r="Z416" s="189"/>
      <c r="AB416" s="189"/>
      <c r="AC416" s="189"/>
      <c r="AD416" s="189"/>
      <c r="AE416" s="189"/>
      <c r="AF416" s="189"/>
    </row>
    <row r="417">
      <c r="A417" s="189"/>
      <c r="B417" s="189"/>
      <c r="C417" s="189"/>
      <c r="D417" s="189"/>
      <c r="E417" s="189"/>
      <c r="F417" s="189"/>
      <c r="G417" s="189"/>
      <c r="H417" s="189"/>
      <c r="I417" s="189"/>
      <c r="J417" s="189"/>
      <c r="K417" s="189"/>
      <c r="L417" s="189"/>
      <c r="M417" s="189"/>
      <c r="O417" s="189"/>
      <c r="P417" s="189"/>
      <c r="Q417" s="189"/>
      <c r="S417" s="189"/>
      <c r="T417" s="189"/>
      <c r="U417" s="189"/>
      <c r="V417" s="189"/>
      <c r="W417" s="189"/>
      <c r="X417" s="189"/>
      <c r="Y417" s="189"/>
      <c r="Z417" s="189"/>
      <c r="AB417" s="189"/>
      <c r="AC417" s="189"/>
      <c r="AD417" s="189"/>
      <c r="AE417" s="189"/>
      <c r="AF417" s="189"/>
    </row>
    <row r="418">
      <c r="A418" s="189"/>
      <c r="B418" s="189"/>
      <c r="C418" s="189"/>
      <c r="D418" s="189"/>
      <c r="E418" s="189"/>
      <c r="F418" s="189"/>
      <c r="G418" s="189"/>
      <c r="H418" s="189"/>
      <c r="I418" s="189"/>
      <c r="J418" s="189"/>
      <c r="K418" s="189"/>
      <c r="L418" s="189"/>
      <c r="M418" s="189"/>
      <c r="N418" s="189"/>
      <c r="O418" s="189"/>
      <c r="P418" s="189"/>
      <c r="Q418" s="189"/>
      <c r="R418" s="189"/>
      <c r="S418" s="189"/>
      <c r="T418" s="189"/>
      <c r="U418" s="189"/>
      <c r="V418" s="189"/>
      <c r="W418" s="189"/>
      <c r="X418" s="189"/>
      <c r="Y418" s="189"/>
      <c r="Z418" s="189"/>
      <c r="AA418" s="189"/>
      <c r="AB418" s="189"/>
      <c r="AC418" s="189"/>
      <c r="AD418" s="189"/>
      <c r="AE418" s="189"/>
      <c r="AF418" s="189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2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2">
        <f>IFERROR(__xludf.DUMMYFUNCTION("IMPORTRANGE(""1TpIiNTfR1pnpn85VWQTTdvQ2Xcr0GStmWJ2UvfKxG_A"", ""Mzdy!ac1:ad200"")"),31.0)</f>
        <v>31</v>
      </c>
      <c r="W1" s="193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1603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3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3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4" t="s">
        <v>1604</v>
      </c>
      <c r="B4" s="194" t="s">
        <v>1605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3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5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3">
        <f>IFERROR(__xludf.DUMMYFUNCTION("""COMPUTED_VALUE"""),432.3078)</f>
        <v>432.3078</v>
      </c>
      <c r="W5" s="193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5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3">
        <f>IFERROR(__xludf.DUMMYFUNCTION("""COMPUTED_VALUE"""),432.3078)</f>
        <v>432.3078</v>
      </c>
      <c r="W6" s="193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5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3">
        <f>IFERROR(__xludf.DUMMYFUNCTION("""COMPUTED_VALUE"""),341.19)</f>
        <v>341.19</v>
      </c>
      <c r="W7" s="193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5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IFERROR(__xludf.DUMMYFUNCTION("""COMPUTED_VALUE"""),"Zličín")</f>
        <v>Zličín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3">
        <f>IFERROR(__xludf.DUMMYFUNCTION("""COMPUTED_VALUE"""),432.3078)</f>
        <v>432.3078</v>
      </c>
      <c r="W8" s="193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5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3">
        <f>IFERROR(__xludf.DUMMYFUNCTION("""COMPUTED_VALUE"""),341.19)</f>
        <v>341.19</v>
      </c>
      <c r="W9" s="193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5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3">
        <f>IFERROR(__xludf.DUMMYFUNCTION("""COMPUTED_VALUE"""),432.3078)</f>
        <v>432.3078</v>
      </c>
      <c r="W10" s="193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5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3">
        <f>IFERROR(__xludf.DUMMYFUNCTION("""COMPUTED_VALUE"""),295.698)</f>
        <v>295.698</v>
      </c>
      <c r="W11" s="193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5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3">
        <f>IFERROR(__xludf.DUMMYFUNCTION("""COMPUTED_VALUE"""),0.0)</f>
        <v>0</v>
      </c>
      <c r="W12" s="193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5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3">
        <f>IFERROR(__xludf.DUMMYFUNCTION("""COMPUTED_VALUE"""),341.19)</f>
        <v>341.19</v>
      </c>
      <c r="W13" s="193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5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3">
        <f>IFERROR(__xludf.DUMMYFUNCTION("""COMPUTED_VALUE"""),250.20600000000002)</f>
        <v>250.206</v>
      </c>
      <c r="W14" s="193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5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3">
        <f>IFERROR(__xludf.DUMMYFUNCTION("""COMPUTED_VALUE"""),341.19)</f>
        <v>341.19</v>
      </c>
      <c r="W15" s="193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5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3">
        <f>IFERROR(__xludf.DUMMYFUNCTION("""COMPUTED_VALUE"""),341.19)</f>
        <v>341.19</v>
      </c>
      <c r="W16" s="193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5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3">
        <f>IFERROR(__xludf.DUMMYFUNCTION("""COMPUTED_VALUE"""),267.6)</f>
        <v>267.6</v>
      </c>
      <c r="W17" s="193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5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IFERROR(__xludf.DUMMYFUNCTION("""COMPUTED_VALUE"""),"Stepanenko Solomiia")</f>
        <v>Stepanenko Solomiia</v>
      </c>
      <c r="E18" s="6" t="str">
        <f>IFERROR(__xludf.DUMMYFUNCTION("""COMPUTED_VALUE"""),"Výroba")</f>
        <v>Výroba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3">
        <f>IFERROR(__xludf.DUMMYFUNCTION("""COMPUTED_VALUE"""),286.332)</f>
        <v>286.332</v>
      </c>
      <c r="W18" s="193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5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 t="str">
        <f>IFERROR(__xludf.DUMMYFUNCTION("""COMPUTED_VALUE"""),"Rothová Anastasia")</f>
        <v>Rothová Anastasia</v>
      </c>
      <c r="E19" s="6" t="str">
        <f>IFERROR(__xludf.DUMMYFUNCTION("""COMPUTED_VALUE"""),"Bolevec")</f>
        <v>Bolevec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3">
        <f>IFERROR(__xludf.DUMMYFUNCTION("""COMPUTED_VALUE"""),341.19)</f>
        <v>341.19</v>
      </c>
      <c r="W19" s="193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5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3">
        <f>IFERROR(__xludf.DUMMYFUNCTION("""COMPUTED_VALUE"""),267.6)</f>
        <v>267.6</v>
      </c>
      <c r="W20" s="193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5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3">
        <f>IFERROR(__xludf.DUMMYFUNCTION("""COMPUTED_VALUE"""),432.3078)</f>
        <v>432.3078</v>
      </c>
      <c r="W21" s="193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5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3">
        <f>IFERROR(__xludf.DUMMYFUNCTION("""COMPUTED_VALUE"""),432.3078)</f>
        <v>432.3078</v>
      </c>
      <c r="W22" s="193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5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3">
        <f>IFERROR(__xludf.DUMMYFUNCTION("""COMPUTED_VALUE"""),250.20600000000002)</f>
        <v>250.206</v>
      </c>
      <c r="W23" s="193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5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3">
        <f>IFERROR(__xludf.DUMMYFUNCTION("""COMPUTED_VALUE"""),267.6)</f>
        <v>267.6</v>
      </c>
      <c r="W24" s="193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5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3">
        <f>IFERROR(__xludf.DUMMYFUNCTION("""COMPUTED_VALUE"""),231.474)</f>
        <v>231.474</v>
      </c>
      <c r="W25" s="193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5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3">
        <f>IFERROR(__xludf.DUMMYFUNCTION("""COMPUTED_VALUE"""),0.0)</f>
        <v>0</v>
      </c>
      <c r="W26" s="193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5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3">
        <f>IFERROR(__xludf.DUMMYFUNCTION("""COMPUTED_VALUE"""),286.332)</f>
        <v>286.332</v>
      </c>
      <c r="W27" s="193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5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IFERROR(__xludf.DUMMYFUNCTION("""COMPUTED_VALUE"""),"Chodov")</f>
        <v>Chodov</v>
      </c>
      <c r="F28" s="6" t="str">
        <f>IFERROR(__xludf.DUMMYFUNCTION("""COMPUTED_VALUE"""),"Malešice")</f>
        <v>Malešice</v>
      </c>
      <c r="G28" s="6" t="str">
        <f>IFERROR(__xludf.DUMMYFUNCTION("""COMPUTED_VALUE"""),"Zličín")</f>
        <v>Zličín</v>
      </c>
      <c r="H28" s="6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3">
        <f>IFERROR(__xludf.DUMMYFUNCTION("""COMPUTED_VALUE"""),267.6)</f>
        <v>267.6</v>
      </c>
      <c r="W28" s="193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5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 t="str">
        <f>IFERROR(__xludf.DUMMYFUNCTION("""COMPUTED_VALUE"""),"Raboch Tomáš")</f>
        <v>Raboch Tomáš</v>
      </c>
      <c r="E29" s="6" t="str">
        <f>IFERROR(__xludf.DUMMYFUNCTION("""COMPUTED_VALUE"""),"Bolevec")</f>
        <v>Bolevec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3">
        <f>IFERROR(__xludf.DUMMYFUNCTION("""COMPUTED_VALUE"""),250.20600000000002)</f>
        <v>250.206</v>
      </c>
      <c r="W29" s="193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5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3">
        <f>IFERROR(__xludf.DUMMYFUNCTION("""COMPUTED_VALUE"""),250.20600000000002)</f>
        <v>250.206</v>
      </c>
      <c r="W30" s="193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5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3">
        <f>IFERROR(__xludf.DUMMYFUNCTION("""COMPUTED_VALUE"""),231.474)</f>
        <v>231.474</v>
      </c>
      <c r="W31" s="193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5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3">
        <f>IFERROR(__xludf.DUMMYFUNCTION("""COMPUTED_VALUE"""),267.6)</f>
        <v>267.6</v>
      </c>
      <c r="W32" s="193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5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3">
        <f>IFERROR(__xludf.DUMMYFUNCTION("""COMPUTED_VALUE"""),214.08)</f>
        <v>214.08</v>
      </c>
      <c r="W33" s="193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5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3">
        <f>IFERROR(__xludf.DUMMYFUNCTION("""COMPUTED_VALUE"""),231.474)</f>
        <v>231.474</v>
      </c>
      <c r="W34" s="193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5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3">
        <f>IFERROR(__xludf.DUMMYFUNCTION("""COMPUTED_VALUE"""),250.20600000000002)</f>
        <v>250.206</v>
      </c>
      <c r="W35" s="193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5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3">
        <f>IFERROR(__xludf.DUMMYFUNCTION("""COMPUTED_VALUE"""),250.20600000000002)</f>
        <v>250.206</v>
      </c>
      <c r="W36" s="193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5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3">
        <f>IFERROR(__xludf.DUMMYFUNCTION("""COMPUTED_VALUE"""),250.20600000000002)</f>
        <v>250.206</v>
      </c>
      <c r="W37" s="193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5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3">
        <f>IFERROR(__xludf.DUMMYFUNCTION("""COMPUTED_VALUE"""),250.20600000000002)</f>
        <v>250.206</v>
      </c>
      <c r="W38" s="193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5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3">
        <f>IFERROR(__xludf.DUMMYFUNCTION("""COMPUTED_VALUE"""),250.20600000000002)</f>
        <v>250.206</v>
      </c>
      <c r="W39" s="193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5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3">
        <f>IFERROR(__xludf.DUMMYFUNCTION("""COMPUTED_VALUE"""),250.20600000000002)</f>
        <v>250.206</v>
      </c>
      <c r="W40" s="193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5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3">
        <f>IFERROR(__xludf.DUMMYFUNCTION("""COMPUTED_VALUE"""),250.20600000000002)</f>
        <v>250.206</v>
      </c>
      <c r="W41" s="193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5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3">
        <f>IFERROR(__xludf.DUMMYFUNCTION("""COMPUTED_VALUE"""),0.0)</f>
        <v>0</v>
      </c>
      <c r="W42" s="193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5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3">
        <f>IFERROR(__xludf.DUMMYFUNCTION("""COMPUTED_VALUE"""),0.0)</f>
        <v>0</v>
      </c>
      <c r="W43" s="193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6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3">
        <f>IFERROR(__xludf.DUMMYFUNCTION("""COMPUTED_VALUE"""),0.0)</f>
        <v>0</v>
      </c>
      <c r="W44" s="193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6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3">
        <f>IFERROR(__xludf.DUMMYFUNCTION("""COMPUTED_VALUE"""),0.0)</f>
        <v>0</v>
      </c>
      <c r="W45" s="193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6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3">
        <f>IFERROR(__xludf.DUMMYFUNCTION("""COMPUTED_VALUE"""),0.0)</f>
        <v>0</v>
      </c>
      <c r="W46" s="193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6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3">
        <f>IFERROR(__xludf.DUMMYFUNCTION("""COMPUTED_VALUE"""),0.0)</f>
        <v>0</v>
      </c>
      <c r="W47" s="193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6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3">
        <f>IFERROR(__xludf.DUMMYFUNCTION("""COMPUTED_VALUE"""),0.0)</f>
        <v>0</v>
      </c>
      <c r="W48" s="193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6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3">
        <f>IFERROR(__xludf.DUMMYFUNCTION("""COMPUTED_VALUE"""),0.0)</f>
        <v>0</v>
      </c>
      <c r="W49" s="193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6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3">
        <f>IFERROR(__xludf.DUMMYFUNCTION("""COMPUTED_VALUE"""),0.0)</f>
        <v>0</v>
      </c>
      <c r="W50" s="193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6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3">
        <f>IFERROR(__xludf.DUMMYFUNCTION("""COMPUTED_VALUE"""),0.0)</f>
        <v>0</v>
      </c>
      <c r="W51" s="193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6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3">
        <f>IFERROR(__xludf.DUMMYFUNCTION("""COMPUTED_VALUE"""),0.0)</f>
        <v>0</v>
      </c>
      <c r="W52" s="193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6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3">
        <f>IFERROR(__xludf.DUMMYFUNCTION("""COMPUTED_VALUE"""),0.0)</f>
        <v>0</v>
      </c>
      <c r="W53" s="193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6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3">
        <f>IFERROR(__xludf.DUMMYFUNCTION("""COMPUTED_VALUE"""),0.0)</f>
        <v>0</v>
      </c>
      <c r="W54" s="193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6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3">
        <f>IFERROR(__xludf.DUMMYFUNCTION("""COMPUTED_VALUE"""),0.0)</f>
        <v>0</v>
      </c>
      <c r="W55" s="193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6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3">
        <f>IFERROR(__xludf.DUMMYFUNCTION("""COMPUTED_VALUE"""),250.20600000000002)</f>
        <v>250.206</v>
      </c>
      <c r="W56" s="193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6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3">
        <f>IFERROR(__xludf.DUMMYFUNCTION("""COMPUTED_VALUE"""),0.0)</f>
        <v>0</v>
      </c>
      <c r="W57" s="193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6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3">
        <f>IFERROR(__xludf.DUMMYFUNCTION("""COMPUTED_VALUE"""),0.0)</f>
        <v>0</v>
      </c>
      <c r="W58" s="193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6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3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6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3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5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3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5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3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5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3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5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3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5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3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5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3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5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3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5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3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5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3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5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3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5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3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5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3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5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3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5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3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5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3">
        <f>IFERROR(__xludf.DUMMYFUNCTION("""COMPUTED_VALUE"""),150.0)</f>
        <v>150</v>
      </c>
      <c r="W75" s="193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5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3">
        <f>IFERROR(__xludf.DUMMYFUNCTION("""COMPUTED_VALUE"""),267.6)</f>
        <v>267.6</v>
      </c>
      <c r="W76" s="193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5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3">
        <f>IFERROR(__xludf.DUMMYFUNCTION("""COMPUTED_VALUE"""),231.474)</f>
        <v>231.474</v>
      </c>
      <c r="W77" s="193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5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3">
        <f>IFERROR(__xludf.DUMMYFUNCTION("""COMPUTED_VALUE"""),267.6)</f>
        <v>267.6</v>
      </c>
      <c r="W78" s="193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5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3">
        <f>IFERROR(__xludf.DUMMYFUNCTION("""COMPUTED_VALUE"""),231.474)</f>
        <v>231.474</v>
      </c>
      <c r="W79" s="193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5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3">
        <f>IFERROR(__xludf.DUMMYFUNCTION("""COMPUTED_VALUE"""),250.20600000000002)</f>
        <v>250.206</v>
      </c>
      <c r="W80" s="193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5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3">
        <f>IFERROR(__xludf.DUMMYFUNCTION("""COMPUTED_VALUE"""),231.474)</f>
        <v>231.474</v>
      </c>
      <c r="W81" s="193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5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3">
        <f>IFERROR(__xludf.DUMMYFUNCTION("""COMPUTED_VALUE"""),231.474)</f>
        <v>231.474</v>
      </c>
      <c r="W82" s="193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5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3">
        <f>IFERROR(__xludf.DUMMYFUNCTION("""COMPUTED_VALUE"""),231.474)</f>
        <v>231.474</v>
      </c>
      <c r="W83" s="193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5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3">
        <f>IFERROR(__xludf.DUMMYFUNCTION("""COMPUTED_VALUE"""),250.20600000000002)</f>
        <v>250.206</v>
      </c>
      <c r="W84" s="193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5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3">
        <f>IFERROR(__xludf.DUMMYFUNCTION("""COMPUTED_VALUE"""),150.0)</f>
        <v>150</v>
      </c>
      <c r="W85" s="193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5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3">
        <f>IFERROR(__xludf.DUMMYFUNCTION("""COMPUTED_VALUE"""),250.20600000000002)</f>
        <v>250.206</v>
      </c>
      <c r="W86" s="193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5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3">
        <f>IFERROR(__xludf.DUMMYFUNCTION("""COMPUTED_VALUE"""),231.474)</f>
        <v>231.474</v>
      </c>
      <c r="W87" s="193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5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3">
        <f>IFERROR(__xludf.DUMMYFUNCTION("""COMPUTED_VALUE"""),250.20600000000002)</f>
        <v>250.206</v>
      </c>
      <c r="W88" s="193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5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3">
        <f>IFERROR(__xludf.DUMMYFUNCTION("""COMPUTED_VALUE"""),170.0)</f>
        <v>170</v>
      </c>
      <c r="W89" s="193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5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3">
        <f>IFERROR(__xludf.DUMMYFUNCTION("""COMPUTED_VALUE"""),160.0)</f>
        <v>160</v>
      </c>
      <c r="W90" s="193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5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3">
        <f>IFERROR(__xludf.DUMMYFUNCTION("""COMPUTED_VALUE"""),0.0)</f>
        <v>0</v>
      </c>
      <c r="W91" s="193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5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3">
        <f>IFERROR(__xludf.DUMMYFUNCTION("""COMPUTED_VALUE"""),0.0)</f>
        <v>0</v>
      </c>
      <c r="W92" s="193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5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3">
        <f>IFERROR(__xludf.DUMMYFUNCTION("""COMPUTED_VALUE"""),250.20600000000002)</f>
        <v>250.206</v>
      </c>
      <c r="W93" s="193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5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3">
        <f>IFERROR(__xludf.DUMMYFUNCTION("""COMPUTED_VALUE"""),250.20600000000002)</f>
        <v>250.206</v>
      </c>
      <c r="W94" s="193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5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3">
        <f>IFERROR(__xludf.DUMMYFUNCTION("""COMPUTED_VALUE"""),0.0)</f>
        <v>0</v>
      </c>
      <c r="W95" s="193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5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3">
        <f>IFERROR(__xludf.DUMMYFUNCTION("""COMPUTED_VALUE"""),386.68199999999996)</f>
        <v>386.682</v>
      </c>
      <c r="W96" s="193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5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3">
        <f>IFERROR(__xludf.DUMMYFUNCTION("""COMPUTED_VALUE"""),250.20600000000002)</f>
        <v>250.206</v>
      </c>
      <c r="W97" s="193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5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3">
        <f>IFERROR(__xludf.DUMMYFUNCTION("""COMPUTED_VALUE"""),214.08)</f>
        <v>214.08</v>
      </c>
      <c r="W98" s="193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5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3">
        <f>IFERROR(__xludf.DUMMYFUNCTION("""COMPUTED_VALUE"""),214.08)</f>
        <v>214.08</v>
      </c>
      <c r="W99" s="193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5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3">
        <f>IFERROR(__xludf.DUMMYFUNCTION("""COMPUTED_VALUE"""),231.474)</f>
        <v>231.474</v>
      </c>
      <c r="W100" s="193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5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3">
        <f>IFERROR(__xludf.DUMMYFUNCTION("""COMPUTED_VALUE"""),231.474)</f>
        <v>231.474</v>
      </c>
      <c r="W101" s="193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5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3">
        <f>IFERROR(__xludf.DUMMYFUNCTION("""COMPUTED_VALUE"""),0.0)</f>
        <v>0</v>
      </c>
      <c r="W102" s="193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5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3">
        <f>IFERROR(__xludf.DUMMYFUNCTION("""COMPUTED_VALUE"""),0.0)</f>
        <v>0</v>
      </c>
      <c r="W103" s="193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5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3">
        <f>IFERROR(__xludf.DUMMYFUNCTION("""COMPUTED_VALUE"""),231.474)</f>
        <v>231.474</v>
      </c>
      <c r="W104" s="193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5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3">
        <f>IFERROR(__xludf.DUMMYFUNCTION("""COMPUTED_VALUE"""),231.474)</f>
        <v>231.474</v>
      </c>
      <c r="W105" s="193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5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3">
        <f>IFERROR(__xludf.DUMMYFUNCTION("""COMPUTED_VALUE"""),0.0)</f>
        <v>0</v>
      </c>
      <c r="W106" s="193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5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3">
        <f>IFERROR(__xludf.DUMMYFUNCTION("""COMPUTED_VALUE"""),140.0)</f>
        <v>140</v>
      </c>
      <c r="W107" s="193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5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3">
        <f>IFERROR(__xludf.DUMMYFUNCTION("""COMPUTED_VALUE"""),250.20600000000002)</f>
        <v>250.206</v>
      </c>
      <c r="W108" s="193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5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3">
        <f>IFERROR(__xludf.DUMMYFUNCTION("""COMPUTED_VALUE"""),231.474)</f>
        <v>231.474</v>
      </c>
      <c r="W109" s="193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5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3">
        <f>IFERROR(__xludf.DUMMYFUNCTION("""COMPUTED_VALUE"""),214.08)</f>
        <v>214.08</v>
      </c>
      <c r="W110" s="193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5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3">
        <f>IFERROR(__xludf.DUMMYFUNCTION("""COMPUTED_VALUE"""),231.474)</f>
        <v>231.474</v>
      </c>
      <c r="W111" s="193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5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3">
        <f>IFERROR(__xludf.DUMMYFUNCTION("""COMPUTED_VALUE"""),214.08)</f>
        <v>214.08</v>
      </c>
      <c r="W112" s="193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5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3">
        <f>IFERROR(__xludf.DUMMYFUNCTION("""COMPUTED_VALUE"""),214.08)</f>
        <v>214.08</v>
      </c>
      <c r="W113" s="193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5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3">
        <f>IFERROR(__xludf.DUMMYFUNCTION("""COMPUTED_VALUE"""),214.08)</f>
        <v>214.08</v>
      </c>
      <c r="W114" s="193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5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3">
        <f>IFERROR(__xludf.DUMMYFUNCTION("""COMPUTED_VALUE"""),250.20600000000002)</f>
        <v>250.206</v>
      </c>
      <c r="W115" s="193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5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3">
        <f>IFERROR(__xludf.DUMMYFUNCTION("""COMPUTED_VALUE"""),231.474)</f>
        <v>231.474</v>
      </c>
      <c r="W116" s="193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5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3">
        <f>IFERROR(__xludf.DUMMYFUNCTION("""COMPUTED_VALUE"""),250.20600000000002)</f>
        <v>250.206</v>
      </c>
      <c r="W117" s="193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5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3">
        <f>IFERROR(__xludf.DUMMYFUNCTION("""COMPUTED_VALUE"""),0.0)</f>
        <v>0</v>
      </c>
      <c r="W118" s="193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5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3">
        <f>IFERROR(__xludf.DUMMYFUNCTION("""COMPUTED_VALUE"""),214.08)</f>
        <v>214.08</v>
      </c>
      <c r="W119" s="193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5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3">
        <f>IFERROR(__xludf.DUMMYFUNCTION("""COMPUTED_VALUE"""),214.08)</f>
        <v>214.08</v>
      </c>
      <c r="W120" s="193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5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3">
        <f>IFERROR(__xludf.DUMMYFUNCTION("""COMPUTED_VALUE"""),231.474)</f>
        <v>231.474</v>
      </c>
      <c r="W121" s="193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5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3">
        <f>IFERROR(__xludf.DUMMYFUNCTION("""COMPUTED_VALUE"""),49506.0)</f>
        <v>49506</v>
      </c>
      <c r="W122" s="193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5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3">
        <f>IFERROR(__xludf.DUMMYFUNCTION("""COMPUTED_VALUE"""),0.0)</f>
        <v>0</v>
      </c>
      <c r="W123" s="193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5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3">
        <f>IFERROR(__xludf.DUMMYFUNCTION("""COMPUTED_VALUE"""),0.0)</f>
        <v>0</v>
      </c>
      <c r="W124" s="193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5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3">
        <f>IFERROR(__xludf.DUMMYFUNCTION("""COMPUTED_VALUE"""),231.474)</f>
        <v>231.474</v>
      </c>
      <c r="W125" s="193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5" t="str">
        <f>IF(OR(E126=Report!$B$1, F126=Report!$B$1, G126=Report!$B$1, H126=Report!$B$1), D126, "")</f>
        <v>Pavel Břicháč</v>
      </c>
      <c r="C126" s="6" t="b">
        <f>IFERROR(__xludf.DUMMYFUNCTION("""COMPUTED_VALUE"""),FALSE)</f>
        <v>0</v>
      </c>
      <c r="D126" s="6" t="str">
        <f>IFERROR(__xludf.DUMMYFUNCTION("""COMPUTED_VALUE"""),"Pavel Břicháč")</f>
        <v>Pavel Břicháč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3">
        <f>IFERROR(__xludf.DUMMYFUNCTION("""COMPUTED_VALUE"""),231.474)</f>
        <v>231.474</v>
      </c>
      <c r="W126" s="193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5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3">
        <f>IFERROR(__xludf.DUMMYFUNCTION("""COMPUTED_VALUE"""),0.0)</f>
        <v>0</v>
      </c>
      <c r="W127" s="193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5" t="str">
        <f>IF(OR(E128=Report!$B$1, F128=Report!$B$1, G128=Report!$B$1, H128=Report!$B$1), D128, "")</f>
        <v/>
      </c>
      <c r="C128" s="6" t="b">
        <f>IFERROR(__xludf.DUMMYFUNCTION("""COMPUTED_VALUE"""),FALSE)</f>
        <v>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3">
        <f>IFERROR(__xludf.DUMMYFUNCTION("""COMPUTED_VALUE"""),0.0)</f>
        <v>0</v>
      </c>
      <c r="W128" s="193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5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3">
        <f>IFERROR(__xludf.DUMMYFUNCTION("""COMPUTED_VALUE"""),0.0)</f>
        <v>0</v>
      </c>
      <c r="W129" s="193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5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3">
        <f>IFERROR(__xludf.DUMMYFUNCTION("""COMPUTED_VALUE"""),0.0)</f>
        <v>0</v>
      </c>
      <c r="W130" s="193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5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193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5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3">
        <f>IFERROR(__xludf.DUMMYFUNCTION("""COMPUTED_VALUE"""),0.0)</f>
        <v>0</v>
      </c>
      <c r="W132" s="193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5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3">
        <f>IFERROR(__xludf.DUMMYFUNCTION("""COMPUTED_VALUE"""),0.0)</f>
        <v>0</v>
      </c>
      <c r="W133" s="193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5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3">
        <f>IFERROR(__xludf.DUMMYFUNCTION("""COMPUTED_VALUE"""),0.0)</f>
        <v>0</v>
      </c>
      <c r="W134" s="193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5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3">
        <f>IFERROR(__xludf.DUMMYFUNCTION("""COMPUTED_VALUE"""),0.0)</f>
        <v>0</v>
      </c>
      <c r="W135" s="193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5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3">
        <f>IFERROR(__xludf.DUMMYFUNCTION("""COMPUTED_VALUE"""),0.0)</f>
        <v>0</v>
      </c>
      <c r="W136" s="193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5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3">
        <f>IFERROR(__xludf.DUMMYFUNCTION("""COMPUTED_VALUE"""),0.0)</f>
        <v>0</v>
      </c>
      <c r="W137" s="193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5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3">
        <f>IFERROR(__xludf.DUMMYFUNCTION("""COMPUTED_VALUE"""),0.0)</f>
        <v>0</v>
      </c>
      <c r="W138" s="193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5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3">
        <f>IFERROR(__xludf.DUMMYFUNCTION("""COMPUTED_VALUE"""),0.0)</f>
        <v>0</v>
      </c>
      <c r="W139" s="193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5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3">
        <f>IFERROR(__xludf.DUMMYFUNCTION("""COMPUTED_VALUE"""),0.0)</f>
        <v>0</v>
      </c>
      <c r="W140" s="193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5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3">
        <f>IFERROR(__xludf.DUMMYFUNCTION("""COMPUTED_VALUE"""),0.0)</f>
        <v>0</v>
      </c>
      <c r="W141" s="193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5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3">
        <f>IFERROR(__xludf.DUMMYFUNCTION("""COMPUTED_VALUE"""),0.0)</f>
        <v>0</v>
      </c>
      <c r="W142" s="193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5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3">
        <f>IFERROR(__xludf.DUMMYFUNCTION("""COMPUTED_VALUE"""),0.0)</f>
        <v>0</v>
      </c>
      <c r="W143" s="193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5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3">
        <f>IFERROR(__xludf.DUMMYFUNCTION("""COMPUTED_VALUE"""),0.0)</f>
        <v>0</v>
      </c>
      <c r="W144" s="193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5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3">
        <f>IFERROR(__xludf.DUMMYFUNCTION("""COMPUTED_VALUE"""),0.0)</f>
        <v>0</v>
      </c>
      <c r="W145" s="193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5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3">
        <f>IFERROR(__xludf.DUMMYFUNCTION("""COMPUTED_VALUE"""),0.0)</f>
        <v>0</v>
      </c>
      <c r="W146" s="193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5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3">
        <f>IFERROR(__xludf.DUMMYFUNCTION("""COMPUTED_VALUE"""),0.0)</f>
        <v>0</v>
      </c>
      <c r="W147" s="193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5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3">
        <f>IFERROR(__xludf.DUMMYFUNCTION("""COMPUTED_VALUE"""),0.0)</f>
        <v>0</v>
      </c>
      <c r="W148" s="193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5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3">
        <f>IFERROR(__xludf.DUMMYFUNCTION("""COMPUTED_VALUE"""),0.0)</f>
        <v>0</v>
      </c>
      <c r="W149" s="193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5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3">
        <f>IFERROR(__xludf.DUMMYFUNCTION("""COMPUTED_VALUE"""),0.0)</f>
        <v>0</v>
      </c>
      <c r="W150" s="193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5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3">
        <f>IFERROR(__xludf.DUMMYFUNCTION("""COMPUTED_VALUE"""),100.0)</f>
        <v>100</v>
      </c>
      <c r="W151" s="193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5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3">
        <f>IFERROR(__xludf.DUMMYFUNCTION("""COMPUTED_VALUE"""),100.0)</f>
        <v>100</v>
      </c>
      <c r="W152" s="193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5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3">
        <f>IFERROR(__xludf.DUMMYFUNCTION("""COMPUTED_VALUE"""),100.0)</f>
        <v>100</v>
      </c>
      <c r="W153" s="193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5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3">
        <f>IFERROR(__xludf.DUMMYFUNCTION("""COMPUTED_VALUE"""),100.0)</f>
        <v>100</v>
      </c>
      <c r="W154" s="193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5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3">
        <f>IFERROR(__xludf.DUMMYFUNCTION("""COMPUTED_VALUE"""),100.0)</f>
        <v>100</v>
      </c>
      <c r="W155" s="193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5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3">
        <f>IFERROR(__xludf.DUMMYFUNCTION("""COMPUTED_VALUE"""),100.0)</f>
        <v>100</v>
      </c>
      <c r="W156" s="193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5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3">
        <f>IFERROR(__xludf.DUMMYFUNCTION("""COMPUTED_VALUE"""),100.0)</f>
        <v>100</v>
      </c>
      <c r="W157" s="193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5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3">
        <f>IFERROR(__xludf.DUMMYFUNCTION("""COMPUTED_VALUE"""),100.0)</f>
        <v>100</v>
      </c>
      <c r="W158" s="193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5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3">
        <f>IFERROR(__xludf.DUMMYFUNCTION("""COMPUTED_VALUE"""),100.0)</f>
        <v>100</v>
      </c>
      <c r="W159" s="193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5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3">
        <f>IFERROR(__xludf.DUMMYFUNCTION("""COMPUTED_VALUE"""),100.0)</f>
        <v>100</v>
      </c>
      <c r="W160" s="193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5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3">
        <f>IFERROR(__xludf.DUMMYFUNCTION("""COMPUTED_VALUE"""),100.0)</f>
        <v>100</v>
      </c>
      <c r="W161" s="193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5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3">
        <f>IFERROR(__xludf.DUMMYFUNCTION("""COMPUTED_VALUE"""),100.0)</f>
        <v>100</v>
      </c>
      <c r="W162" s="193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5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3">
        <f>IFERROR(__xludf.DUMMYFUNCTION("""COMPUTED_VALUE"""),100.0)</f>
        <v>100</v>
      </c>
      <c r="W163" s="193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5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3">
        <f>IFERROR(__xludf.DUMMYFUNCTION("""COMPUTED_VALUE"""),100.0)</f>
        <v>100</v>
      </c>
      <c r="W164" s="193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5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3">
        <f>IFERROR(__xludf.DUMMYFUNCTION("""COMPUTED_VALUE"""),100.0)</f>
        <v>100</v>
      </c>
      <c r="W165" s="193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5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3">
        <f>IFERROR(__xludf.DUMMYFUNCTION("""COMPUTED_VALUE"""),100.0)</f>
        <v>100</v>
      </c>
      <c r="W166" s="193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5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3">
        <f>IFERROR(__xludf.DUMMYFUNCTION("""COMPUTED_VALUE"""),100.0)</f>
        <v>100</v>
      </c>
      <c r="W167" s="193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5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3">
        <f>IFERROR(__xludf.DUMMYFUNCTION("""COMPUTED_VALUE"""),100.0)</f>
        <v>100</v>
      </c>
      <c r="W168" s="193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5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3">
        <f>IFERROR(__xludf.DUMMYFUNCTION("""COMPUTED_VALUE"""),100.0)</f>
        <v>100</v>
      </c>
      <c r="W169" s="193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5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3">
        <f>IFERROR(__xludf.DUMMYFUNCTION("""COMPUTED_VALUE"""),100.0)</f>
        <v>100</v>
      </c>
      <c r="W170" s="193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5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3">
        <f>IFERROR(__xludf.DUMMYFUNCTION("""COMPUTED_VALUE"""),100.0)</f>
        <v>100</v>
      </c>
      <c r="W171" s="193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5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3">
        <f>IFERROR(__xludf.DUMMYFUNCTION("""COMPUTED_VALUE"""),100.0)</f>
        <v>100</v>
      </c>
      <c r="W172" s="193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5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3">
        <f>IFERROR(__xludf.DUMMYFUNCTION("""COMPUTED_VALUE"""),100.0)</f>
        <v>100</v>
      </c>
      <c r="W173" s="193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5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3">
        <f>IFERROR(__xludf.DUMMYFUNCTION("""COMPUTED_VALUE"""),100.0)</f>
        <v>100</v>
      </c>
      <c r="W174" s="193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5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3">
        <f>IFERROR(__xludf.DUMMYFUNCTION("""COMPUTED_VALUE"""),100.0)</f>
        <v>100</v>
      </c>
      <c r="W175" s="193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5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3">
        <f>IFERROR(__xludf.DUMMYFUNCTION("""COMPUTED_VALUE"""),100.0)</f>
        <v>100</v>
      </c>
      <c r="W176" s="193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5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3">
        <f>IFERROR(__xludf.DUMMYFUNCTION("""COMPUTED_VALUE"""),100.0)</f>
        <v>100</v>
      </c>
      <c r="W177" s="193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5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3">
        <f>IFERROR(__xludf.DUMMYFUNCTION("""COMPUTED_VALUE"""),100.0)</f>
        <v>100</v>
      </c>
      <c r="W178" s="193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5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3">
        <f>IFERROR(__xludf.DUMMYFUNCTION("""COMPUTED_VALUE"""),100.0)</f>
        <v>100</v>
      </c>
      <c r="W179" s="193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3">
        <f>IFERROR(__xludf.DUMMYFUNCTION("""COMPUTED_VALUE"""),100.0)</f>
        <v>100</v>
      </c>
      <c r="W180" s="193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3">
        <f>IFERROR(__xludf.DUMMYFUNCTION("""COMPUTED_VALUE"""),100.0)</f>
        <v>100</v>
      </c>
      <c r="W181" s="193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3">
        <f>IFERROR(__xludf.DUMMYFUNCTION("""COMPUTED_VALUE"""),100.0)</f>
        <v>100</v>
      </c>
      <c r="W182" s="193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3">
        <f>IFERROR(__xludf.DUMMYFUNCTION("""COMPUTED_VALUE"""),100.0)</f>
        <v>100</v>
      </c>
      <c r="W183" s="193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3">
        <f>IFERROR(__xludf.DUMMYFUNCTION("""COMPUTED_VALUE"""),100.0)</f>
        <v>100</v>
      </c>
      <c r="W184" s="193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3">
        <f>IFERROR(__xludf.DUMMYFUNCTION("""COMPUTED_VALUE"""),100.0)</f>
        <v>100</v>
      </c>
      <c r="W185" s="193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3">
        <f>IFERROR(__xludf.DUMMYFUNCTION("""COMPUTED_VALUE"""),100.0)</f>
        <v>100</v>
      </c>
      <c r="W186" s="193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3">
        <f>IFERROR(__xludf.DUMMYFUNCTION("""COMPUTED_VALUE"""),100.0)</f>
        <v>100</v>
      </c>
      <c r="W187" s="193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3">
        <f>IFERROR(__xludf.DUMMYFUNCTION("""COMPUTED_VALUE"""),100.0)</f>
        <v>100</v>
      </c>
      <c r="W188" s="193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3">
        <f>IFERROR(__xludf.DUMMYFUNCTION("""COMPUTED_VALUE"""),100.0)</f>
        <v>100</v>
      </c>
      <c r="W189" s="193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3">
        <f>IFERROR(__xludf.DUMMYFUNCTION("""COMPUTED_VALUE"""),100.0)</f>
        <v>100</v>
      </c>
      <c r="W190" s="193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3">
        <f>IFERROR(__xludf.DUMMYFUNCTION("""COMPUTED_VALUE"""),100.0)</f>
        <v>100</v>
      </c>
      <c r="W191" s="193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3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3">
        <f>IFERROR(__xludf.DUMMYFUNCTION("""COMPUTED_VALUE"""),0.0)</f>
        <v>0</v>
      </c>
      <c r="W193" s="193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3">
        <f>IFERROR(__xludf.DUMMYFUNCTION("""COMPUTED_VALUE"""),0.0)</f>
        <v>0</v>
      </c>
      <c r="W194" s="193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3">
        <f>IFERROR(__xludf.DUMMYFUNCTION("""COMPUTED_VALUE"""),0.0)</f>
        <v>0</v>
      </c>
      <c r="W195" s="193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3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3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3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3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3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3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3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3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3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3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3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3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3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3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3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3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3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3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3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3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3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3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3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3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3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3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3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3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3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3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3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3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3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3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3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3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3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3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3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3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3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3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3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3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3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3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3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3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3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3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3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3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3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3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3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3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3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3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3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3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3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3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3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3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3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3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3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3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3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3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3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3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3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3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3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3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3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3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3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3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3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3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3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3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3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3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3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3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3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3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3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3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3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3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3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3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3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3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3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3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3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3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3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3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3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3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3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3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3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3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3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3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3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3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3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3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3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3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3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3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3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3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3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3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3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3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3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3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3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3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3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3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3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3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3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3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3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3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3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3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3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3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3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3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3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3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3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3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3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3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3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3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3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3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3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3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3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3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3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3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3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3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3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3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3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3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3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3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3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3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3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3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3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3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3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3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3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3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3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3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3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3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3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3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3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3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3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3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3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3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3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3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3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3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3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3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3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3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3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3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3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3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3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3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3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3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3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3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3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3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3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3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3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3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3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3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3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3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3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3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3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3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3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3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3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3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3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3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3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3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3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3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3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3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3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3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3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3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3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3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3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3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3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3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3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3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3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3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3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3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3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3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3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3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3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3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3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3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3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3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3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3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3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3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3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3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3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3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3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3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3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3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3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3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3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3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3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3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3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3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3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3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3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3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3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3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3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3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3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3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3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3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3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3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3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3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3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3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3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3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3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3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3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3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3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3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3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3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3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3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3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3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3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3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3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3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3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3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3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3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3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3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3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3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3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3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3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3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3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3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3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3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3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3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3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3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3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3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3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3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3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3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3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3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3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3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3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3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3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3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3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3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3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3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3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3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3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3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3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3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3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3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3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3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3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3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3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3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3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3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3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3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3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3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3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3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3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3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3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3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3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3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3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3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3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3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3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3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3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3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3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3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3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3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3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3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3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3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3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3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3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3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3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3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3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3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3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3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3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3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3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3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3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3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3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3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3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3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3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3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3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3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3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3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3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3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3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3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3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3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3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3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3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3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3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3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3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3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3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3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3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3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3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3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3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3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3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3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3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3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3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3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3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3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3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3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3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3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3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3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3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3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3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3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3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3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3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3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3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3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3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3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3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3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3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3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3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3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3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3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3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3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3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3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3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3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3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3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3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3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3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3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3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3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3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3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3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3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3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3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3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3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3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3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3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3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3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3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3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3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3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3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3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3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3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3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3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3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3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3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3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3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3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3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3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3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3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3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3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3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3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3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3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3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3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3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3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3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3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3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3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3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3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3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3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3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3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3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3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3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3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3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3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3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3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3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3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3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3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3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3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3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3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3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3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3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3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3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3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3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3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3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3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3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3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3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3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3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3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3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3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3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3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3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3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3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3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3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3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3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3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3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3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3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3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3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3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3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3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3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3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3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3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3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3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3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3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3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3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3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3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3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3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3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3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3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3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3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3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3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3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3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3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3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3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3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3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3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3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3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3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3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3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3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3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3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3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3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3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3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3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3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3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3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3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3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3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3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3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3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3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3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3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3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3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3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3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3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3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3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3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3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3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3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3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3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3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3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3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3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3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3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3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3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3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3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3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3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3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3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3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3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3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3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3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3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3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3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3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3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3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3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3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3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3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3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3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3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3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3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3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3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3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3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3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3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3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3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3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3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3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3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3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3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3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3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3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3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3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3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3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3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3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3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3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3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3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3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3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3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3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3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3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3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3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3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3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3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3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3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3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3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3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3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3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3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3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3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3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3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3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3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3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3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3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3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3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3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3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3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3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3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3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3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3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3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3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3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3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3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3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3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3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3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3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3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3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3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3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3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3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3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3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3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3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3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3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3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3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3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3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3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3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3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3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3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3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3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3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3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3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3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3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3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3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7" t="s">
        <v>1606</v>
      </c>
      <c r="B1" s="14"/>
      <c r="C1" s="14"/>
      <c r="D1" s="14"/>
      <c r="E1" s="14"/>
      <c r="F1" s="14"/>
      <c r="G1" s="14"/>
      <c r="H1" s="15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</row>
    <row r="2">
      <c r="A2" s="1" t="s">
        <v>1607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1564</v>
      </c>
      <c r="B3" s="1" t="s">
        <v>1608</v>
      </c>
      <c r="C3" s="1" t="s">
        <v>1609</v>
      </c>
      <c r="D3" s="1" t="s">
        <v>1609</v>
      </c>
      <c r="E3" s="1" t="s">
        <v>1608</v>
      </c>
      <c r="F3" s="1" t="s">
        <v>1610</v>
      </c>
      <c r="G3" s="189"/>
      <c r="H3" s="1" t="s">
        <v>1608</v>
      </c>
    </row>
    <row r="4">
      <c r="A4" s="1" t="s">
        <v>1490</v>
      </c>
      <c r="B4" s="1" t="s">
        <v>1609</v>
      </c>
      <c r="C4" s="1" t="s">
        <v>1611</v>
      </c>
      <c r="D4" s="189"/>
      <c r="E4" s="1" t="s">
        <v>1609</v>
      </c>
      <c r="F4" s="1" t="s">
        <v>1611</v>
      </c>
      <c r="G4" s="1" t="s">
        <v>1612</v>
      </c>
      <c r="H4" s="1" t="s">
        <v>1613</v>
      </c>
      <c r="K4" s="189"/>
      <c r="L4" s="189"/>
      <c r="M4" s="189"/>
      <c r="O4" s="189"/>
      <c r="P4" s="189"/>
      <c r="Q4" s="189"/>
      <c r="S4" s="189"/>
      <c r="T4" s="189"/>
      <c r="U4" s="189"/>
      <c r="V4" s="189"/>
      <c r="Y4" s="189"/>
      <c r="Z4" s="189"/>
      <c r="AB4" s="1"/>
    </row>
    <row r="5">
      <c r="A5" s="1" t="s">
        <v>1531</v>
      </c>
      <c r="B5" s="1" t="s">
        <v>1614</v>
      </c>
      <c r="C5" s="189"/>
      <c r="D5" s="1" t="s">
        <v>1615</v>
      </c>
      <c r="E5" s="189"/>
      <c r="F5" s="1" t="s">
        <v>1615</v>
      </c>
      <c r="G5" s="189"/>
      <c r="H5" s="189"/>
      <c r="K5" s="189"/>
      <c r="L5" s="189"/>
      <c r="M5" s="189"/>
      <c r="N5" s="189"/>
      <c r="O5" s="189"/>
      <c r="P5" s="189"/>
      <c r="Q5" s="189"/>
      <c r="S5" s="189"/>
      <c r="T5" s="189"/>
      <c r="U5" s="189"/>
      <c r="V5" s="189"/>
      <c r="W5" s="189"/>
      <c r="X5" s="189"/>
      <c r="Y5" s="189"/>
      <c r="Z5" s="189"/>
      <c r="AB5" s="1"/>
    </row>
    <row r="6">
      <c r="A6" s="1" t="s">
        <v>1567</v>
      </c>
      <c r="B6" s="1" t="s">
        <v>1616</v>
      </c>
      <c r="C6" s="189"/>
      <c r="D6" s="189"/>
      <c r="E6" s="1" t="s">
        <v>1616</v>
      </c>
      <c r="F6" s="189"/>
      <c r="G6" s="189"/>
      <c r="H6" s="189"/>
      <c r="K6" s="189"/>
      <c r="L6" s="189"/>
      <c r="M6" s="189"/>
      <c r="N6" s="189"/>
      <c r="O6" s="189"/>
      <c r="P6" s="189"/>
      <c r="Q6" s="189"/>
      <c r="S6" s="189"/>
      <c r="T6" s="189"/>
      <c r="U6" s="189"/>
      <c r="V6" s="189"/>
      <c r="W6" s="189"/>
      <c r="X6" s="189"/>
      <c r="Y6" s="189"/>
      <c r="Z6" s="189"/>
      <c r="AB6" s="1"/>
    </row>
    <row r="7">
      <c r="A7" s="1" t="s">
        <v>1599</v>
      </c>
      <c r="B7" s="189"/>
      <c r="C7" s="1" t="s">
        <v>1617</v>
      </c>
      <c r="D7" s="189"/>
      <c r="E7" s="1" t="s">
        <v>1618</v>
      </c>
      <c r="F7" s="189"/>
      <c r="G7" s="189"/>
      <c r="H7" s="1" t="s">
        <v>1619</v>
      </c>
      <c r="I7" s="189"/>
      <c r="K7" s="189"/>
      <c r="L7" s="189"/>
      <c r="M7" s="189"/>
      <c r="O7" s="189"/>
      <c r="P7" s="189"/>
      <c r="Q7" s="189"/>
      <c r="T7" s="189"/>
      <c r="U7" s="189"/>
      <c r="V7" s="189"/>
      <c r="W7" s="189"/>
      <c r="X7" s="189"/>
      <c r="Y7" s="189"/>
      <c r="Z7" s="189"/>
      <c r="AB7" s="1"/>
    </row>
    <row r="8">
      <c r="A8" s="1" t="s">
        <v>1572</v>
      </c>
      <c r="B8" s="189"/>
      <c r="C8" s="1" t="s">
        <v>1620</v>
      </c>
      <c r="D8" s="1" t="s">
        <v>1620</v>
      </c>
      <c r="E8" s="189"/>
      <c r="F8" s="1" t="s">
        <v>1620</v>
      </c>
      <c r="G8" s="1" t="s">
        <v>1620</v>
      </c>
      <c r="H8" s="1" t="s">
        <v>1620</v>
      </c>
      <c r="K8" s="189"/>
      <c r="L8" s="189"/>
      <c r="M8" s="189"/>
      <c r="N8" s="189"/>
      <c r="O8" s="189"/>
      <c r="P8" s="189"/>
      <c r="Q8" s="189"/>
      <c r="S8" s="189"/>
      <c r="T8" s="189"/>
      <c r="U8" s="189"/>
      <c r="V8" s="189"/>
      <c r="W8" s="189"/>
      <c r="X8" s="189"/>
      <c r="Y8" s="189"/>
      <c r="Z8" s="189"/>
      <c r="AB8" s="1"/>
    </row>
    <row r="9">
      <c r="A9" s="1" t="s">
        <v>1589</v>
      </c>
      <c r="B9" s="189"/>
      <c r="C9" s="189"/>
      <c r="D9" s="1" t="s">
        <v>1608</v>
      </c>
      <c r="E9" s="189"/>
      <c r="F9" s="189"/>
      <c r="G9" s="189"/>
      <c r="H9" s="1" t="s">
        <v>1613</v>
      </c>
      <c r="K9" s="189"/>
      <c r="L9" s="189"/>
      <c r="M9" s="189"/>
      <c r="O9" s="189"/>
      <c r="P9" s="189"/>
      <c r="Q9" s="189"/>
      <c r="S9" s="189"/>
      <c r="T9" s="189"/>
      <c r="U9" s="189"/>
      <c r="V9" s="189"/>
      <c r="W9" s="189"/>
      <c r="X9" s="189"/>
      <c r="Y9" s="189"/>
      <c r="Z9" s="189"/>
      <c r="AB9" s="1"/>
    </row>
    <row r="10">
      <c r="A10" s="1" t="s">
        <v>1566</v>
      </c>
      <c r="B10" s="189"/>
      <c r="C10" s="189"/>
      <c r="D10" s="189"/>
      <c r="E10" s="189"/>
      <c r="F10" s="1" t="s">
        <v>1621</v>
      </c>
      <c r="G10" s="1" t="s">
        <v>1621</v>
      </c>
      <c r="H10" s="189"/>
      <c r="I10" s="189"/>
      <c r="K10" s="189"/>
      <c r="L10" s="189"/>
      <c r="M10" s="189"/>
      <c r="N10" s="189"/>
      <c r="O10" s="189"/>
      <c r="P10" s="189"/>
      <c r="Q10" s="189"/>
      <c r="S10" s="189"/>
      <c r="T10" s="189"/>
      <c r="U10" s="189"/>
      <c r="V10" s="189"/>
      <c r="W10" s="189"/>
      <c r="X10" s="189"/>
      <c r="Y10" s="189"/>
      <c r="Z10" s="189"/>
      <c r="AB10" s="1"/>
    </row>
    <row r="11">
      <c r="A11" s="1" t="s">
        <v>1574</v>
      </c>
      <c r="B11" s="189"/>
      <c r="C11" s="189"/>
      <c r="D11" s="189"/>
      <c r="E11" s="189"/>
      <c r="F11" s="1" t="s">
        <v>1619</v>
      </c>
      <c r="G11" s="1" t="s">
        <v>1622</v>
      </c>
      <c r="H11" s="189"/>
      <c r="K11" s="189"/>
      <c r="L11" s="189"/>
      <c r="M11" s="189"/>
      <c r="O11" s="189"/>
      <c r="P11" s="189"/>
      <c r="Q11" s="189"/>
      <c r="S11" s="189"/>
      <c r="T11" s="189"/>
      <c r="U11" s="189"/>
      <c r="V11" s="189"/>
      <c r="W11" s="189"/>
      <c r="X11" s="189"/>
      <c r="Y11" s="189"/>
      <c r="Z11" s="189"/>
      <c r="AB11" s="1"/>
    </row>
    <row r="12">
      <c r="A12" s="1" t="s">
        <v>1584</v>
      </c>
      <c r="B12" s="189"/>
      <c r="D12" s="189"/>
      <c r="E12" s="189"/>
      <c r="F12" s="189"/>
      <c r="G12" s="1" t="s">
        <v>1623</v>
      </c>
      <c r="H12" s="189"/>
      <c r="K12" s="189"/>
      <c r="L12" s="189"/>
      <c r="M12" s="189"/>
      <c r="N12" s="189"/>
      <c r="O12" s="189"/>
      <c r="P12" s="189"/>
      <c r="Q12" s="189"/>
      <c r="S12" s="189"/>
      <c r="T12" s="189"/>
      <c r="U12" s="189"/>
      <c r="V12" s="189"/>
      <c r="W12" s="189"/>
      <c r="X12" s="189"/>
      <c r="Y12" s="189"/>
      <c r="Z12" s="189"/>
      <c r="AB12" s="1"/>
    </row>
    <row r="13">
      <c r="A13" s="189"/>
      <c r="B13" s="189"/>
      <c r="D13" s="189"/>
      <c r="E13" s="189"/>
      <c r="F13" s="189"/>
      <c r="G13" s="189"/>
      <c r="H13" s="189"/>
      <c r="K13" s="189"/>
      <c r="L13" s="189"/>
      <c r="M13" s="189"/>
      <c r="N13" s="189"/>
      <c r="O13" s="189"/>
      <c r="P13" s="189"/>
      <c r="Q13" s="189"/>
      <c r="S13" s="189"/>
      <c r="T13" s="189"/>
      <c r="U13" s="189"/>
      <c r="V13" s="189"/>
      <c r="W13" s="189"/>
      <c r="X13" s="189"/>
      <c r="Y13" s="189"/>
      <c r="Z13" s="189"/>
      <c r="AB13" s="1"/>
    </row>
    <row r="14">
      <c r="A14" s="189"/>
      <c r="B14" s="189"/>
      <c r="E14" s="189"/>
      <c r="F14" s="189"/>
      <c r="G14" s="189"/>
      <c r="H14" s="189"/>
      <c r="K14" s="189"/>
      <c r="L14" s="189"/>
      <c r="M14" s="189"/>
      <c r="O14" s="189"/>
      <c r="P14" s="189"/>
      <c r="Q14" s="189"/>
      <c r="S14" s="189"/>
      <c r="T14" s="189"/>
      <c r="U14" s="189"/>
      <c r="V14" s="189"/>
      <c r="W14" s="189"/>
      <c r="X14" s="189"/>
      <c r="Y14" s="189"/>
      <c r="Z14" s="189"/>
      <c r="AB14" s="1"/>
    </row>
    <row r="15">
      <c r="A15" s="189"/>
      <c r="F15" s="189"/>
      <c r="G15" s="189"/>
      <c r="H15" s="189"/>
      <c r="K15" s="189"/>
      <c r="L15" s="189"/>
      <c r="M15" s="189"/>
      <c r="O15" s="189"/>
      <c r="P15" s="189"/>
      <c r="Q15" s="189"/>
      <c r="S15" s="189"/>
      <c r="T15" s="189"/>
      <c r="U15" s="189"/>
      <c r="V15" s="189"/>
      <c r="W15" s="189"/>
      <c r="X15" s="189"/>
      <c r="Y15" s="189"/>
      <c r="Z15" s="189"/>
      <c r="AB15" s="1"/>
    </row>
    <row r="16">
      <c r="A16" s="189"/>
      <c r="F16" s="189"/>
      <c r="G16" s="189"/>
      <c r="H16" s="189"/>
      <c r="K16" s="189"/>
      <c r="L16" s="189"/>
      <c r="M16" s="189"/>
      <c r="N16" s="189"/>
      <c r="O16" s="189"/>
      <c r="P16" s="189"/>
      <c r="Q16" s="189"/>
      <c r="T16" s="189"/>
      <c r="U16" s="189"/>
      <c r="V16" s="189"/>
      <c r="W16" s="189"/>
      <c r="X16" s="189"/>
      <c r="Y16" s="189"/>
      <c r="Z16" s="189"/>
      <c r="AB16" s="1"/>
    </row>
    <row r="17">
      <c r="A17" s="189"/>
      <c r="G17" s="189"/>
      <c r="H17" s="189"/>
      <c r="K17" s="189"/>
      <c r="L17" s="189"/>
      <c r="M17" s="189"/>
      <c r="N17" s="189"/>
      <c r="O17" s="189"/>
      <c r="P17" s="189"/>
      <c r="Q17" s="189"/>
      <c r="T17" s="189"/>
      <c r="U17" s="189"/>
      <c r="V17" s="189"/>
      <c r="W17" s="189"/>
      <c r="X17" s="189"/>
      <c r="Y17" s="189"/>
      <c r="Z17" s="189"/>
      <c r="AB17" s="1"/>
    </row>
    <row r="18">
      <c r="K18" s="189"/>
      <c r="L18" s="189"/>
      <c r="M18" s="189"/>
      <c r="N18" s="189"/>
      <c r="O18" s="189"/>
      <c r="P18" s="189"/>
      <c r="Q18" s="189"/>
      <c r="S18" s="189"/>
      <c r="T18" s="189"/>
      <c r="U18" s="189"/>
      <c r="V18" s="189"/>
      <c r="W18" s="189"/>
      <c r="X18" s="189"/>
      <c r="Y18" s="189"/>
      <c r="Z18" s="189"/>
      <c r="AB18" s="1"/>
    </row>
    <row r="19">
      <c r="A19" s="189"/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O19" s="189"/>
      <c r="P19" s="189"/>
      <c r="Q19" s="189"/>
      <c r="S19" s="189"/>
      <c r="T19" s="189"/>
      <c r="U19" s="189"/>
      <c r="V19" s="189"/>
      <c r="W19" s="189"/>
      <c r="X19" s="189"/>
      <c r="Y19" s="189"/>
      <c r="Z19" s="189"/>
      <c r="AB19" s="1"/>
    </row>
    <row r="20">
      <c r="A20" s="189"/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  <c r="AA20" s="1"/>
      <c r="AB20" s="1"/>
    </row>
    <row r="21">
      <c r="A21" s="189"/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  <c r="O21" s="189"/>
      <c r="P21" s="189"/>
      <c r="Q21" s="189"/>
      <c r="S21" s="189"/>
      <c r="T21" s="189"/>
      <c r="U21" s="189"/>
      <c r="V21" s="189"/>
      <c r="W21" s="189"/>
      <c r="X21" s="189"/>
      <c r="Y21" s="189"/>
      <c r="Z21" s="189"/>
      <c r="AB21" s="1">
        <v>0.0</v>
      </c>
    </row>
    <row r="22">
      <c r="A22" s="189"/>
      <c r="B22" s="189"/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O22" s="189"/>
      <c r="P22" s="189"/>
      <c r="Q22" s="189"/>
      <c r="S22" s="189"/>
      <c r="T22" s="189"/>
      <c r="U22" s="189"/>
      <c r="V22" s="189"/>
      <c r="W22" s="189"/>
      <c r="X22" s="189"/>
      <c r="Y22" s="189"/>
      <c r="Z22" s="189"/>
      <c r="AB22" s="1"/>
    </row>
    <row r="23">
      <c r="A23" s="189"/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T23" s="189"/>
      <c r="U23" s="189"/>
      <c r="V23" s="189"/>
      <c r="W23" s="189"/>
      <c r="X23" s="189"/>
      <c r="Y23" s="189"/>
      <c r="Z23" s="189"/>
      <c r="AB23" s="1"/>
    </row>
    <row r="24">
      <c r="A24" s="189"/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O24" s="189"/>
      <c r="P24" s="189"/>
      <c r="Q24" s="189"/>
      <c r="S24" s="189"/>
      <c r="T24" s="189"/>
      <c r="U24" s="189"/>
      <c r="V24" s="189"/>
      <c r="W24" s="189"/>
      <c r="X24" s="189"/>
      <c r="Y24" s="189"/>
      <c r="Z24" s="189"/>
      <c r="AB24" s="1"/>
    </row>
    <row r="25">
      <c r="A25" s="189"/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O25" s="189"/>
      <c r="P25" s="189"/>
      <c r="Q25" s="189"/>
      <c r="S25" s="189"/>
      <c r="T25" s="189"/>
      <c r="U25" s="189"/>
      <c r="V25" s="189"/>
      <c r="W25" s="189"/>
      <c r="X25" s="189"/>
      <c r="Y25" s="189"/>
      <c r="Z25" s="189"/>
      <c r="AB25" s="1"/>
    </row>
    <row r="26">
      <c r="A26" s="189"/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  <c r="O26" s="189"/>
      <c r="P26" s="189"/>
      <c r="Q26" s="189"/>
      <c r="S26" s="189"/>
      <c r="T26" s="189"/>
      <c r="U26" s="189"/>
      <c r="V26" s="189"/>
      <c r="W26" s="189"/>
      <c r="X26" s="189"/>
      <c r="Y26" s="189"/>
      <c r="Z26" s="189"/>
      <c r="AB26" s="1"/>
    </row>
    <row r="27">
      <c r="A27" s="189"/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O27" s="189"/>
      <c r="P27" s="189"/>
      <c r="Q27" s="189"/>
      <c r="S27" s="189"/>
      <c r="T27" s="189"/>
      <c r="U27" s="189"/>
      <c r="V27" s="189"/>
      <c r="W27" s="189"/>
      <c r="X27" s="189"/>
      <c r="Y27" s="189"/>
      <c r="Z27" s="189"/>
      <c r="AB27" s="1">
        <v>0.0</v>
      </c>
    </row>
    <row r="28">
      <c r="A28" s="189"/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S28" s="189"/>
      <c r="T28" s="189"/>
      <c r="U28" s="189"/>
      <c r="V28" s="189"/>
      <c r="W28" s="189"/>
      <c r="X28" s="189"/>
      <c r="Y28" s="189"/>
      <c r="Z28" s="189"/>
      <c r="AB28" s="1"/>
    </row>
    <row r="29">
      <c r="A29" s="189"/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  <c r="O29" s="189"/>
      <c r="P29" s="189"/>
      <c r="Q29" s="189"/>
      <c r="S29" s="189"/>
      <c r="T29" s="189"/>
      <c r="U29" s="189"/>
      <c r="V29" s="189"/>
      <c r="W29" s="189"/>
      <c r="X29" s="189"/>
      <c r="Y29" s="189"/>
      <c r="Z29" s="189"/>
      <c r="AB29" s="1"/>
    </row>
    <row r="30">
      <c r="A30" s="189"/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  <c r="O30" s="189"/>
      <c r="P30" s="189"/>
      <c r="Q30" s="189"/>
      <c r="S30" s="189"/>
      <c r="T30" s="189"/>
      <c r="U30" s="189"/>
      <c r="V30" s="189"/>
      <c r="W30" s="189"/>
      <c r="X30" s="189"/>
      <c r="Y30" s="189"/>
      <c r="Z30" s="189"/>
      <c r="AB30" s="1">
        <v>0.0</v>
      </c>
    </row>
    <row r="31">
      <c r="A31" s="189"/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  <c r="AA31" s="1"/>
      <c r="AB31" s="1"/>
    </row>
    <row r="32">
      <c r="A32" s="189"/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T32" s="189"/>
      <c r="U32" s="189"/>
      <c r="V32" s="189"/>
      <c r="W32" s="189"/>
      <c r="X32" s="189"/>
      <c r="Y32" s="189"/>
      <c r="Z32" s="189"/>
      <c r="AB32" s="1"/>
    </row>
    <row r="33">
      <c r="A33" s="189"/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O33" s="189"/>
      <c r="P33" s="189"/>
      <c r="Q33" s="189"/>
      <c r="S33" s="189"/>
      <c r="T33" s="189"/>
      <c r="U33" s="189"/>
      <c r="V33" s="189"/>
      <c r="W33" s="189"/>
      <c r="X33" s="189"/>
      <c r="Y33" s="189"/>
      <c r="Z33" s="189"/>
      <c r="AB33" s="1"/>
    </row>
    <row r="34">
      <c r="A34" s="189"/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T34" s="189"/>
      <c r="U34" s="189"/>
      <c r="V34" s="189"/>
      <c r="W34" s="189"/>
      <c r="X34" s="189"/>
      <c r="Y34" s="189"/>
      <c r="Z34" s="189"/>
      <c r="AB34" s="1"/>
    </row>
    <row r="35">
      <c r="A35" s="189"/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"/>
      <c r="AB35" s="1"/>
    </row>
    <row r="36">
      <c r="A36" s="189"/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O36" s="189"/>
      <c r="P36" s="189"/>
      <c r="Q36" s="189"/>
      <c r="S36" s="189"/>
      <c r="T36" s="189"/>
      <c r="U36" s="189"/>
      <c r="V36" s="189"/>
      <c r="W36" s="189"/>
      <c r="X36" s="189"/>
      <c r="Y36" s="189"/>
      <c r="Z36" s="189"/>
      <c r="AB36" s="1"/>
    </row>
    <row r="37">
      <c r="A37" s="189"/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  <c r="O37" s="189"/>
      <c r="P37" s="189"/>
      <c r="Q37" s="189"/>
      <c r="S37" s="189"/>
      <c r="T37" s="189"/>
      <c r="U37" s="189"/>
      <c r="V37" s="189"/>
      <c r="Y37" s="189"/>
      <c r="Z37" s="189"/>
      <c r="AB37" s="1">
        <v>0.0</v>
      </c>
    </row>
    <row r="38">
      <c r="A38" s="189"/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O38" s="189"/>
      <c r="P38" s="189"/>
      <c r="Q38" s="189"/>
      <c r="S38" s="189"/>
      <c r="T38" s="189"/>
      <c r="U38" s="189"/>
      <c r="V38" s="189"/>
      <c r="W38" s="189"/>
      <c r="X38" s="189"/>
      <c r="Y38" s="189"/>
      <c r="Z38" s="189"/>
      <c r="AB38" s="1"/>
    </row>
    <row r="39">
      <c r="A39" s="189"/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"/>
      <c r="AB39" s="1"/>
    </row>
    <row r="40">
      <c r="A40" s="189"/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"/>
      <c r="AB40" s="1"/>
    </row>
    <row r="41">
      <c r="A41" s="189"/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  <c r="O41" s="189"/>
      <c r="P41" s="189"/>
      <c r="Q41" s="189"/>
      <c r="S41" s="189"/>
      <c r="T41" s="189"/>
      <c r="U41" s="189"/>
      <c r="V41" s="189"/>
      <c r="W41" s="189"/>
      <c r="X41" s="189"/>
      <c r="Y41" s="189"/>
      <c r="Z41" s="189"/>
      <c r="AB41" s="1"/>
    </row>
    <row r="42">
      <c r="A42" s="189"/>
      <c r="B42" s="189"/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89"/>
      <c r="O42" s="189"/>
      <c r="P42" s="189"/>
      <c r="Q42" s="189"/>
      <c r="S42" s="189"/>
      <c r="T42" s="189"/>
      <c r="U42" s="189"/>
      <c r="V42" s="189"/>
      <c r="W42" s="189"/>
      <c r="X42" s="189"/>
      <c r="Y42" s="189"/>
      <c r="Z42" s="189"/>
      <c r="AB42" s="1"/>
    </row>
    <row r="43">
      <c r="A43" s="189"/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"/>
      <c r="AB43" s="1"/>
    </row>
    <row r="44">
      <c r="A44" s="189"/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T44" s="189"/>
      <c r="U44" s="189"/>
      <c r="V44" s="189"/>
      <c r="W44" s="189"/>
      <c r="X44" s="189"/>
      <c r="Y44" s="189"/>
      <c r="Z44" s="189"/>
      <c r="AB44" s="1"/>
    </row>
    <row r="45">
      <c r="A45" s="189"/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  <c r="O45" s="189"/>
      <c r="P45" s="189"/>
      <c r="Q45" s="189"/>
      <c r="S45" s="189"/>
      <c r="T45" s="189"/>
      <c r="U45" s="189"/>
      <c r="V45" s="189"/>
      <c r="W45" s="189"/>
      <c r="X45" s="189"/>
      <c r="Y45" s="189"/>
      <c r="Z45" s="189"/>
      <c r="AB45" s="1"/>
    </row>
    <row r="46">
      <c r="A46" s="189"/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  <c r="O46" s="189"/>
      <c r="P46" s="189"/>
      <c r="Q46" s="189"/>
      <c r="S46" s="189"/>
      <c r="T46" s="189"/>
      <c r="U46" s="189"/>
      <c r="V46" s="189"/>
      <c r="W46" s="189"/>
      <c r="X46" s="189"/>
      <c r="Y46" s="189"/>
      <c r="Z46" s="189"/>
      <c r="AB46" s="1">
        <v>0.0</v>
      </c>
    </row>
    <row r="47">
      <c r="A47" s="189"/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T47" s="189"/>
      <c r="U47" s="189"/>
      <c r="V47" s="189"/>
      <c r="W47" s="189"/>
      <c r="X47" s="189"/>
      <c r="Y47" s="189"/>
      <c r="Z47" s="189"/>
      <c r="AB47" s="1"/>
    </row>
    <row r="48">
      <c r="A48" s="189"/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  <c r="O48" s="189"/>
      <c r="P48" s="189"/>
      <c r="Q48" s="189"/>
      <c r="S48" s="189"/>
      <c r="T48" s="189"/>
      <c r="U48" s="189"/>
      <c r="V48" s="189"/>
      <c r="W48" s="189"/>
      <c r="X48" s="189"/>
      <c r="Y48" s="189"/>
      <c r="Z48" s="189"/>
      <c r="AB48" s="1">
        <v>0.0</v>
      </c>
    </row>
    <row r="49">
      <c r="A49" s="189"/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  <c r="Y49" s="189"/>
      <c r="Z49" s="189"/>
      <c r="AA49" s="1"/>
      <c r="AB49" s="1"/>
    </row>
    <row r="50">
      <c r="A50" s="189"/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T50" s="189"/>
      <c r="U50" s="189"/>
      <c r="V50" s="189"/>
      <c r="W50" s="189"/>
      <c r="X50" s="189"/>
      <c r="Y50" s="189"/>
      <c r="Z50" s="189"/>
      <c r="AB50" s="1"/>
    </row>
    <row r="51">
      <c r="A51" s="189"/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  <c r="O51" s="189"/>
      <c r="P51" s="189"/>
      <c r="Q51" s="189"/>
      <c r="S51" s="189"/>
      <c r="T51" s="189"/>
      <c r="U51" s="189"/>
      <c r="V51" s="189"/>
      <c r="W51" s="189"/>
      <c r="X51" s="189"/>
      <c r="Y51" s="189"/>
      <c r="Z51" s="189"/>
      <c r="AB51" s="1">
        <v>0.0</v>
      </c>
    </row>
    <row r="52">
      <c r="A52" s="189"/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O52" s="189"/>
      <c r="P52" s="189"/>
      <c r="Q52" s="189"/>
      <c r="S52" s="189"/>
      <c r="T52" s="189"/>
      <c r="U52" s="189"/>
      <c r="V52" s="189"/>
      <c r="W52" s="189"/>
      <c r="X52" s="189"/>
      <c r="Y52" s="189"/>
      <c r="Z52" s="189"/>
      <c r="AB52" s="1"/>
    </row>
    <row r="53">
      <c r="A53" s="189"/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  <c r="Z53" s="189"/>
      <c r="AA53" s="1"/>
      <c r="AB53" s="1"/>
    </row>
    <row r="54">
      <c r="A54" s="189"/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O54" s="189"/>
      <c r="P54" s="189"/>
      <c r="Q54" s="189"/>
      <c r="S54" s="189"/>
      <c r="T54" s="189"/>
      <c r="U54" s="189"/>
      <c r="V54" s="189"/>
      <c r="W54" s="189"/>
      <c r="X54" s="189"/>
      <c r="Y54" s="189"/>
      <c r="Z54" s="189"/>
      <c r="AB54" s="1">
        <v>0.0</v>
      </c>
    </row>
    <row r="55">
      <c r="A55" s="189"/>
      <c r="B55" s="189"/>
      <c r="C55" s="189"/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O55" s="189"/>
      <c r="P55" s="189"/>
      <c r="Q55" s="189"/>
      <c r="S55" s="189"/>
      <c r="T55" s="189"/>
      <c r="U55" s="189"/>
      <c r="V55" s="189"/>
      <c r="W55" s="189"/>
      <c r="X55" s="189"/>
      <c r="Y55" s="189"/>
      <c r="Z55" s="189"/>
      <c r="AB55" s="1">
        <v>0.0</v>
      </c>
    </row>
    <row r="56">
      <c r="A56" s="189"/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T56" s="189"/>
      <c r="U56" s="189"/>
      <c r="V56" s="189"/>
      <c r="W56" s="189"/>
      <c r="X56" s="189"/>
      <c r="Y56" s="189"/>
      <c r="Z56" s="189"/>
      <c r="AB56" s="1"/>
    </row>
    <row r="57">
      <c r="A57" s="189"/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T57" s="189"/>
      <c r="U57" s="189"/>
      <c r="V57" s="189"/>
      <c r="W57" s="189"/>
      <c r="X57" s="189"/>
      <c r="Y57" s="189"/>
      <c r="Z57" s="189"/>
      <c r="AB57" s="1"/>
    </row>
    <row r="58">
      <c r="A58" s="189"/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T58" s="189"/>
      <c r="U58" s="189"/>
      <c r="V58" s="189"/>
      <c r="W58" s="189"/>
      <c r="X58" s="189"/>
      <c r="Y58" s="189"/>
      <c r="Z58" s="189"/>
      <c r="AB58" s="1"/>
    </row>
    <row r="59">
      <c r="A59" s="189"/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  <c r="O59" s="189"/>
      <c r="P59" s="189"/>
      <c r="Q59" s="189"/>
      <c r="S59" s="189"/>
      <c r="T59" s="189"/>
      <c r="U59" s="189"/>
      <c r="V59" s="189"/>
      <c r="W59" s="189"/>
      <c r="X59" s="189"/>
      <c r="Y59" s="189"/>
      <c r="Z59" s="189"/>
      <c r="AB59" s="1"/>
    </row>
    <row r="60">
      <c r="A60" s="189"/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  <c r="Z60" s="189"/>
      <c r="AA60" s="1"/>
      <c r="AB60" s="1"/>
    </row>
    <row r="61">
      <c r="A61" s="189"/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T61" s="189"/>
      <c r="U61" s="189"/>
      <c r="V61" s="189"/>
      <c r="W61" s="189"/>
      <c r="X61" s="189"/>
      <c r="Y61" s="189"/>
      <c r="Z61" s="189"/>
      <c r="AB61" s="1"/>
    </row>
    <row r="62">
      <c r="A62" s="189"/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  <c r="O62" s="189"/>
      <c r="P62" s="189"/>
      <c r="Q62" s="189"/>
      <c r="S62" s="189"/>
      <c r="T62" s="189"/>
      <c r="U62" s="189"/>
      <c r="V62" s="189"/>
      <c r="W62" s="189"/>
      <c r="X62" s="189"/>
      <c r="Y62" s="189"/>
      <c r="Z62" s="189"/>
      <c r="AB62" s="1"/>
    </row>
    <row r="63">
      <c r="A63" s="189"/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T63" s="189"/>
      <c r="U63" s="189"/>
      <c r="V63" s="189"/>
      <c r="W63" s="189"/>
      <c r="X63" s="189"/>
      <c r="Y63" s="189"/>
      <c r="Z63" s="189"/>
      <c r="AB63" s="1"/>
    </row>
    <row r="64">
      <c r="A64" s="189"/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  <c r="Z64" s="189"/>
      <c r="AA64" s="1"/>
      <c r="AB64" s="1"/>
    </row>
    <row r="65">
      <c r="A65" s="189"/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  <c r="O65" s="189"/>
      <c r="P65" s="189"/>
      <c r="Q65" s="189"/>
      <c r="S65" s="189"/>
      <c r="T65" s="189"/>
      <c r="U65" s="189"/>
      <c r="V65" s="189"/>
      <c r="W65" s="189"/>
      <c r="X65" s="189"/>
      <c r="Y65" s="189"/>
      <c r="Z65" s="189"/>
      <c r="AB65" s="1"/>
    </row>
    <row r="66">
      <c r="A66" s="189"/>
      <c r="B66" s="189"/>
      <c r="C66" s="189"/>
      <c r="D66" s="189"/>
      <c r="E66" s="189"/>
      <c r="F66" s="189"/>
      <c r="G66" s="189"/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T66" s="189"/>
      <c r="U66" s="189"/>
      <c r="V66" s="189"/>
      <c r="W66" s="189"/>
      <c r="X66" s="189"/>
      <c r="Y66" s="189"/>
      <c r="Z66" s="189"/>
      <c r="AB66" s="1"/>
    </row>
    <row r="67">
      <c r="A67" s="189"/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T67" s="189"/>
      <c r="U67" s="189"/>
      <c r="V67" s="189"/>
      <c r="W67" s="189"/>
      <c r="X67" s="189"/>
      <c r="Y67" s="189"/>
      <c r="Z67" s="189"/>
      <c r="AB67" s="1"/>
    </row>
    <row r="68">
      <c r="A68" s="189"/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  <c r="O68" s="189"/>
      <c r="P68" s="189"/>
      <c r="Q68" s="189"/>
      <c r="S68" s="189"/>
      <c r="T68" s="189"/>
      <c r="U68" s="189"/>
      <c r="V68" s="189"/>
      <c r="W68" s="189"/>
      <c r="X68" s="189"/>
      <c r="Y68" s="189"/>
      <c r="Z68" s="189"/>
      <c r="AB68" s="1"/>
    </row>
    <row r="69">
      <c r="A69" s="189"/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  <c r="O69" s="189"/>
      <c r="P69" s="189"/>
      <c r="Q69" s="189"/>
      <c r="S69" s="189"/>
      <c r="T69" s="189"/>
      <c r="U69" s="189"/>
      <c r="V69" s="189"/>
      <c r="W69" s="189"/>
      <c r="X69" s="189"/>
      <c r="Y69" s="189"/>
      <c r="Z69" s="189"/>
      <c r="AB69" s="1"/>
    </row>
    <row r="70">
      <c r="A70" s="189"/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  <c r="O70" s="189"/>
      <c r="P70" s="189"/>
      <c r="Q70" s="189"/>
      <c r="S70" s="189"/>
      <c r="T70" s="189"/>
      <c r="U70" s="189"/>
      <c r="V70" s="189"/>
      <c r="W70" s="189"/>
      <c r="X70" s="189"/>
      <c r="Y70" s="189"/>
      <c r="Z70" s="189"/>
      <c r="AB70" s="1"/>
    </row>
    <row r="71">
      <c r="A71" s="189"/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  <c r="Y71" s="189"/>
      <c r="Z71" s="189"/>
      <c r="AA71" s="1"/>
      <c r="AB71" s="1"/>
    </row>
    <row r="72">
      <c r="A72" s="189"/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  <c r="O72" s="189"/>
      <c r="P72" s="189"/>
      <c r="Q72" s="189"/>
      <c r="S72" s="189"/>
      <c r="T72" s="189"/>
      <c r="U72" s="189"/>
      <c r="V72" s="189"/>
      <c r="W72" s="189"/>
      <c r="X72" s="189"/>
      <c r="Y72" s="189"/>
      <c r="Z72" s="189"/>
      <c r="AB72" s="1"/>
    </row>
    <row r="73">
      <c r="A73" s="189"/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  <c r="O73" s="189"/>
      <c r="P73" s="189"/>
      <c r="Q73" s="189"/>
      <c r="S73" s="189"/>
      <c r="T73" s="189"/>
      <c r="U73" s="189"/>
      <c r="V73" s="189"/>
      <c r="W73" s="189"/>
      <c r="X73" s="189"/>
      <c r="Y73" s="189"/>
      <c r="Z73" s="189"/>
      <c r="AB73" s="1"/>
    </row>
    <row r="74">
      <c r="A74" s="189"/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  <c r="O74" s="189"/>
      <c r="P74" s="189"/>
      <c r="Q74" s="189"/>
      <c r="S74" s="189"/>
      <c r="T74" s="189"/>
      <c r="U74" s="189"/>
      <c r="V74" s="189"/>
      <c r="W74" s="189"/>
      <c r="X74" s="189"/>
      <c r="Y74" s="189"/>
      <c r="Z74" s="189"/>
      <c r="AB74" s="1"/>
    </row>
    <row r="75">
      <c r="A75" s="189"/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  <c r="O75" s="189"/>
      <c r="P75" s="189"/>
      <c r="Q75" s="189"/>
      <c r="S75" s="189"/>
      <c r="T75" s="189"/>
      <c r="U75" s="189"/>
      <c r="V75" s="189"/>
      <c r="W75" s="189"/>
      <c r="X75" s="189"/>
      <c r="Y75" s="189"/>
      <c r="Z75" s="189"/>
      <c r="AB75" s="1"/>
    </row>
    <row r="76">
      <c r="A76" s="189"/>
      <c r="B76" s="189"/>
      <c r="C76" s="189"/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T76" s="189"/>
      <c r="U76" s="189"/>
      <c r="V76" s="189"/>
      <c r="W76" s="189"/>
      <c r="X76" s="189"/>
      <c r="Y76" s="189"/>
      <c r="Z76" s="189"/>
      <c r="AB76" s="1"/>
    </row>
    <row r="77">
      <c r="A77" s="189"/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O77" s="189"/>
      <c r="P77" s="189"/>
      <c r="Q77" s="189"/>
      <c r="S77" s="189"/>
      <c r="T77" s="189"/>
      <c r="U77" s="189"/>
      <c r="V77" s="189"/>
      <c r="W77" s="189"/>
      <c r="X77" s="189"/>
      <c r="Y77" s="189"/>
      <c r="Z77" s="189"/>
      <c r="AB77" s="1">
        <v>0.0</v>
      </c>
    </row>
    <row r="78">
      <c r="A78" s="189"/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T78" s="189"/>
      <c r="U78" s="189"/>
      <c r="V78" s="189"/>
      <c r="W78" s="189"/>
      <c r="X78" s="189"/>
      <c r="Y78" s="189"/>
      <c r="Z78" s="189"/>
      <c r="AB78" s="1"/>
    </row>
    <row r="79">
      <c r="A79" s="189"/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  <c r="O79" s="189"/>
      <c r="P79" s="189"/>
      <c r="Q79" s="189"/>
      <c r="S79" s="189"/>
      <c r="T79" s="189"/>
      <c r="U79" s="189"/>
      <c r="V79" s="189"/>
      <c r="W79" s="189"/>
      <c r="X79" s="189"/>
      <c r="Y79" s="189"/>
      <c r="Z79" s="189"/>
      <c r="AB79" s="1">
        <v>0.0</v>
      </c>
    </row>
    <row r="80">
      <c r="A80" s="189"/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T80" s="189"/>
      <c r="U80" s="189"/>
      <c r="V80" s="189"/>
      <c r="W80" s="189"/>
      <c r="X80" s="189"/>
      <c r="Y80" s="189"/>
      <c r="Z80" s="189"/>
      <c r="AB80" s="1"/>
    </row>
    <row r="81">
      <c r="A81" s="189"/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  <c r="O81" s="189"/>
      <c r="P81" s="189"/>
      <c r="Q81" s="189"/>
      <c r="S81" s="189"/>
      <c r="T81" s="189"/>
      <c r="U81" s="189"/>
      <c r="V81" s="189"/>
      <c r="W81" s="189"/>
      <c r="X81" s="189"/>
      <c r="Y81" s="189"/>
      <c r="Z81" s="189"/>
      <c r="AB81" s="1">
        <v>0.0</v>
      </c>
    </row>
    <row r="82">
      <c r="A82" s="189"/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  <c r="O82" s="189"/>
      <c r="P82" s="189"/>
      <c r="Q82" s="189"/>
      <c r="S82" s="189"/>
      <c r="T82" s="189"/>
      <c r="U82" s="189"/>
      <c r="V82" s="189"/>
      <c r="W82" s="189"/>
      <c r="X82" s="189"/>
      <c r="Y82" s="189"/>
      <c r="Z82" s="189"/>
      <c r="AB82" s="1"/>
    </row>
    <row r="83">
      <c r="A83" s="189"/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T83" s="189"/>
      <c r="U83" s="189"/>
      <c r="V83" s="189"/>
      <c r="W83" s="189"/>
      <c r="X83" s="189"/>
      <c r="Y83" s="189"/>
      <c r="Z83" s="189"/>
      <c r="AB83" s="1"/>
    </row>
    <row r="84">
      <c r="A84" s="189"/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  <c r="O84" s="189"/>
      <c r="P84" s="189"/>
      <c r="Q84" s="189"/>
      <c r="S84" s="189"/>
      <c r="T84" s="189"/>
      <c r="U84" s="189"/>
      <c r="V84" s="189"/>
      <c r="W84" s="189"/>
      <c r="X84" s="189"/>
      <c r="Y84" s="189"/>
      <c r="Z84" s="189"/>
      <c r="AB84" s="1">
        <v>0.0</v>
      </c>
    </row>
    <row r="85">
      <c r="A85" s="189"/>
      <c r="B85" s="189"/>
      <c r="C85" s="189"/>
      <c r="D85" s="189"/>
      <c r="E85" s="189"/>
      <c r="F85" s="189"/>
      <c r="G85" s="189"/>
      <c r="H85" s="189"/>
      <c r="I85" s="189"/>
      <c r="J85" s="189"/>
      <c r="K85" s="189"/>
      <c r="L85" s="189"/>
      <c r="M85" s="189"/>
      <c r="O85" s="189"/>
      <c r="P85" s="189"/>
      <c r="Q85" s="189"/>
      <c r="S85" s="189"/>
      <c r="T85" s="189"/>
      <c r="U85" s="189"/>
      <c r="V85" s="189"/>
      <c r="W85" s="189"/>
      <c r="X85" s="189"/>
      <c r="Y85" s="189"/>
      <c r="Z85" s="189"/>
      <c r="AB85" s="1"/>
    </row>
    <row r="86">
      <c r="A86" s="189"/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  <c r="O86" s="189"/>
      <c r="P86" s="189"/>
      <c r="Q86" s="189"/>
      <c r="S86" s="189"/>
      <c r="T86" s="189"/>
      <c r="U86" s="189"/>
      <c r="V86" s="189"/>
      <c r="W86" s="189"/>
      <c r="X86" s="189"/>
      <c r="Y86" s="189"/>
      <c r="Z86" s="189"/>
      <c r="AB86" s="1"/>
    </row>
    <row r="87">
      <c r="A87" s="189"/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  <c r="Z87" s="189"/>
      <c r="AA87" s="1"/>
      <c r="AB87" s="1"/>
    </row>
    <row r="88">
      <c r="A88" s="189"/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  <c r="Y88" s="189"/>
      <c r="Z88" s="189"/>
      <c r="AA88" s="1"/>
      <c r="AB88" s="1"/>
    </row>
    <row r="89">
      <c r="A89" s="189"/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  <c r="X89" s="189"/>
      <c r="Y89" s="189"/>
      <c r="Z89" s="189"/>
      <c r="AA89" s="1"/>
      <c r="AB89" s="1"/>
    </row>
    <row r="90">
      <c r="A90" s="189"/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  <c r="Z90" s="189"/>
      <c r="AA90" s="1"/>
      <c r="AB90" s="1"/>
    </row>
    <row r="91">
      <c r="A91" s="189"/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S91" s="189"/>
      <c r="T91" s="189"/>
      <c r="U91" s="189"/>
      <c r="V91" s="189"/>
      <c r="W91" s="189"/>
      <c r="X91" s="189"/>
      <c r="Y91" s="189"/>
      <c r="Z91" s="189"/>
      <c r="AB91" s="1"/>
    </row>
    <row r="92">
      <c r="A92" s="189"/>
      <c r="B92" s="189"/>
      <c r="C92" s="189"/>
      <c r="D92" s="189"/>
      <c r="E92" s="189"/>
      <c r="F92" s="189"/>
      <c r="G92" s="189"/>
      <c r="H92" s="189"/>
      <c r="I92" s="189"/>
      <c r="J92" s="189"/>
      <c r="K92" s="189"/>
      <c r="L92" s="189"/>
      <c r="M92" s="189"/>
      <c r="O92" s="189"/>
      <c r="P92" s="189"/>
      <c r="Q92" s="189"/>
      <c r="S92" s="189"/>
      <c r="T92" s="189"/>
      <c r="U92" s="189"/>
      <c r="V92" s="189"/>
      <c r="W92" s="189"/>
      <c r="X92" s="189"/>
      <c r="Y92" s="189"/>
      <c r="Z92" s="189"/>
      <c r="AB92" s="1"/>
    </row>
    <row r="93">
      <c r="A93" s="189"/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  <c r="Y93" s="189"/>
      <c r="Z93" s="189"/>
      <c r="AA93" s="1"/>
      <c r="AB93" s="1"/>
    </row>
    <row r="94">
      <c r="A94" s="189"/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  <c r="O94" s="189"/>
      <c r="P94" s="189"/>
      <c r="Q94" s="189"/>
      <c r="S94" s="189"/>
      <c r="T94" s="189"/>
      <c r="U94" s="189"/>
      <c r="V94" s="189"/>
      <c r="W94" s="189"/>
      <c r="X94" s="189"/>
      <c r="Y94" s="189"/>
      <c r="Z94" s="189"/>
      <c r="AB94" s="1"/>
    </row>
    <row r="95">
      <c r="A95" s="189"/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  <c r="N95" s="189"/>
      <c r="O95" s="189"/>
      <c r="P95" s="189"/>
      <c r="Q95" s="189"/>
      <c r="T95" s="189"/>
      <c r="U95" s="189"/>
      <c r="V95" s="189"/>
      <c r="W95" s="189"/>
      <c r="X95" s="189"/>
      <c r="Y95" s="189"/>
      <c r="Z95" s="189"/>
      <c r="AB95" s="1"/>
    </row>
    <row r="96">
      <c r="A96" s="189"/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T96" s="189"/>
      <c r="U96" s="189"/>
      <c r="V96" s="189"/>
      <c r="W96" s="189"/>
      <c r="X96" s="189"/>
      <c r="Y96" s="189"/>
      <c r="Z96" s="189"/>
      <c r="AB96" s="1"/>
    </row>
    <row r="97">
      <c r="A97" s="189"/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  <c r="O97" s="189"/>
      <c r="P97" s="189"/>
      <c r="Q97" s="189"/>
      <c r="S97" s="189"/>
      <c r="T97" s="189"/>
      <c r="U97" s="189"/>
      <c r="V97" s="189"/>
      <c r="W97" s="189"/>
      <c r="X97" s="189"/>
      <c r="Y97" s="189"/>
      <c r="Z97" s="189"/>
      <c r="AB97" s="1"/>
    </row>
    <row r="98">
      <c r="A98" s="189"/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  <c r="O98" s="189"/>
      <c r="P98" s="189"/>
      <c r="Q98" s="189"/>
      <c r="S98" s="189"/>
      <c r="T98" s="189"/>
      <c r="U98" s="189"/>
      <c r="V98" s="189"/>
      <c r="W98" s="189"/>
      <c r="X98" s="189"/>
      <c r="Y98" s="189"/>
      <c r="Z98" s="189"/>
      <c r="AB98" s="1">
        <v>0.0</v>
      </c>
    </row>
    <row r="99">
      <c r="A99" s="189"/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T99" s="189"/>
      <c r="U99" s="189"/>
      <c r="V99" s="189"/>
      <c r="W99" s="189"/>
      <c r="X99" s="189"/>
      <c r="Y99" s="189"/>
      <c r="Z99" s="189"/>
      <c r="AB99" s="1"/>
    </row>
    <row r="100">
      <c r="A100" s="189"/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  <c r="O100" s="189"/>
      <c r="P100" s="189"/>
      <c r="Q100" s="189"/>
      <c r="S100" s="189"/>
      <c r="T100" s="189"/>
      <c r="U100" s="189"/>
      <c r="V100" s="189"/>
      <c r="W100" s="189"/>
      <c r="X100" s="189"/>
      <c r="Y100" s="189"/>
      <c r="Z100" s="189"/>
      <c r="AB100" s="1"/>
    </row>
    <row r="101">
      <c r="A101" s="189"/>
      <c r="B101" s="189"/>
      <c r="C101" s="189"/>
      <c r="D101" s="189"/>
      <c r="E101" s="189"/>
      <c r="F101" s="189"/>
      <c r="G101" s="189"/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T101" s="189"/>
      <c r="U101" s="189"/>
      <c r="V101" s="189"/>
      <c r="W101" s="189"/>
      <c r="X101" s="189"/>
      <c r="Y101" s="189"/>
      <c r="Z101" s="189"/>
      <c r="AB101" s="1"/>
    </row>
    <row r="102">
      <c r="A102" s="189"/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  <c r="AA102" s="1"/>
      <c r="AB102" s="1"/>
    </row>
    <row r="103">
      <c r="A103" s="189"/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  <c r="AA103" s="1"/>
      <c r="AB103" s="1"/>
    </row>
    <row r="104">
      <c r="A104" s="189"/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  <c r="O104" s="189"/>
      <c r="P104" s="189"/>
      <c r="Q104" s="189"/>
      <c r="S104" s="189"/>
      <c r="T104" s="189"/>
      <c r="U104" s="189"/>
      <c r="V104" s="189"/>
      <c r="W104" s="189"/>
      <c r="X104" s="189"/>
      <c r="Y104" s="189"/>
      <c r="Z104" s="189"/>
      <c r="AB104" s="1"/>
    </row>
    <row r="105">
      <c r="A105" s="189"/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  <c r="N105" s="189"/>
      <c r="O105" s="189"/>
      <c r="P105" s="189"/>
      <c r="Q105" s="189"/>
      <c r="T105" s="189"/>
      <c r="U105" s="189"/>
      <c r="V105" s="189"/>
      <c r="W105" s="189"/>
      <c r="X105" s="189"/>
      <c r="Y105" s="189"/>
      <c r="Z105" s="189"/>
      <c r="AB105" s="1"/>
    </row>
    <row r="106">
      <c r="A106" s="189"/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  <c r="N106" s="189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  <c r="AA106" s="1"/>
      <c r="AB106" s="1"/>
    </row>
    <row r="107">
      <c r="A107" s="189"/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  <c r="O107" s="189"/>
      <c r="P107" s="189"/>
      <c r="Q107" s="189"/>
      <c r="S107" s="189"/>
      <c r="T107" s="189"/>
      <c r="U107" s="189"/>
      <c r="V107" s="189"/>
      <c r="W107" s="189"/>
      <c r="X107" s="189"/>
      <c r="Y107" s="189"/>
      <c r="Z107" s="189"/>
      <c r="AB107" s="1"/>
    </row>
    <row r="108">
      <c r="A108" s="189"/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  <c r="AA108" s="1"/>
      <c r="AB108" s="1"/>
    </row>
    <row r="109">
      <c r="A109" s="189"/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  <c r="O109" s="189"/>
      <c r="P109" s="189"/>
      <c r="Q109" s="189"/>
      <c r="S109" s="189"/>
      <c r="T109" s="189"/>
      <c r="U109" s="189"/>
      <c r="V109" s="189"/>
      <c r="W109" s="189"/>
      <c r="X109" s="189"/>
      <c r="Y109" s="189"/>
      <c r="Z109" s="189"/>
      <c r="AB109" s="1">
        <v>0.0</v>
      </c>
    </row>
    <row r="110">
      <c r="A110" s="189"/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  <c r="O110" s="189"/>
      <c r="P110" s="189"/>
      <c r="Q110" s="189"/>
      <c r="S110" s="189"/>
      <c r="T110" s="189"/>
      <c r="U110" s="189"/>
      <c r="V110" s="189"/>
      <c r="W110" s="189"/>
      <c r="X110" s="189"/>
      <c r="Y110" s="189"/>
      <c r="Z110" s="189"/>
      <c r="AB110" s="1"/>
    </row>
    <row r="111">
      <c r="A111" s="189"/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  <c r="AA111" s="1"/>
      <c r="AB111" s="1"/>
    </row>
    <row r="112">
      <c r="A112" s="189"/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  <c r="N112" s="189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  <c r="AA112" s="1"/>
      <c r="AB112" s="1"/>
    </row>
    <row r="113">
      <c r="A113" s="189"/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  <c r="AA113" s="1"/>
      <c r="AB113" s="1"/>
    </row>
    <row r="114">
      <c r="A114" s="189"/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T114" s="189"/>
      <c r="U114" s="189"/>
      <c r="V114" s="189"/>
      <c r="W114" s="189"/>
      <c r="X114" s="189"/>
      <c r="Y114" s="189"/>
      <c r="Z114" s="189"/>
      <c r="AB114" s="1"/>
    </row>
    <row r="115">
      <c r="A115" s="189"/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  <c r="AA115" s="1"/>
      <c r="AB115" s="1"/>
    </row>
    <row r="116">
      <c r="A116" s="189"/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  <c r="O116" s="189"/>
      <c r="P116" s="189"/>
      <c r="Q116" s="189"/>
      <c r="S116" s="189"/>
      <c r="T116" s="189"/>
      <c r="U116" s="189"/>
      <c r="V116" s="189"/>
      <c r="W116" s="189"/>
      <c r="X116" s="189"/>
      <c r="Y116" s="189"/>
      <c r="Z116" s="189"/>
      <c r="AB116" s="1"/>
    </row>
    <row r="117">
      <c r="A117" s="189"/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  <c r="O117" s="189"/>
      <c r="P117" s="189"/>
      <c r="Q117" s="189"/>
      <c r="S117" s="189"/>
      <c r="T117" s="189"/>
      <c r="U117" s="189"/>
      <c r="V117" s="189"/>
      <c r="W117" s="189"/>
      <c r="X117" s="189"/>
      <c r="Y117" s="189"/>
      <c r="Z117" s="189"/>
      <c r="AB117" s="1"/>
    </row>
    <row r="118">
      <c r="A118" s="189"/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  <c r="AA118" s="1"/>
      <c r="AB118" s="1"/>
    </row>
    <row r="119">
      <c r="A119" s="189"/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O119" s="189"/>
      <c r="P119" s="189"/>
      <c r="Q119" s="189"/>
      <c r="S119" s="189"/>
      <c r="T119" s="189"/>
      <c r="U119" s="189"/>
      <c r="V119" s="189"/>
      <c r="W119" s="189"/>
      <c r="X119" s="189"/>
      <c r="Y119" s="189"/>
      <c r="Z119" s="189"/>
      <c r="AB119" s="1"/>
    </row>
    <row r="120">
      <c r="A120" s="189"/>
      <c r="B120" s="189"/>
      <c r="C120" s="189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  <c r="AA120" s="1"/>
      <c r="AB120" s="1"/>
    </row>
    <row r="121">
      <c r="A121" s="189"/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T121" s="189"/>
      <c r="U121" s="189"/>
      <c r="V121" s="189"/>
      <c r="W121" s="189"/>
      <c r="X121" s="189"/>
      <c r="Y121" s="189"/>
      <c r="Z121" s="189"/>
      <c r="AB121" s="1"/>
    </row>
    <row r="122">
      <c r="A122" s="189"/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T122" s="189"/>
      <c r="U122" s="189"/>
      <c r="V122" s="189"/>
      <c r="W122" s="189"/>
      <c r="X122" s="189"/>
      <c r="Y122" s="189"/>
      <c r="Z122" s="189"/>
      <c r="AB122" s="1"/>
    </row>
    <row r="123">
      <c r="A123" s="189"/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T123" s="189"/>
      <c r="U123" s="189"/>
      <c r="V123" s="189"/>
      <c r="W123" s="189"/>
      <c r="X123" s="189"/>
      <c r="Y123" s="189"/>
      <c r="Z123" s="189"/>
      <c r="AB123" s="1"/>
    </row>
    <row r="124">
      <c r="A124" s="189"/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  <c r="AA124" s="1"/>
      <c r="AB124" s="1"/>
    </row>
    <row r="125">
      <c r="A125" s="189"/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S125" s="189"/>
      <c r="T125" s="189"/>
      <c r="U125" s="189"/>
      <c r="V125" s="189"/>
      <c r="W125" s="189"/>
      <c r="X125" s="189"/>
      <c r="Y125" s="189"/>
      <c r="Z125" s="189"/>
      <c r="AB125" s="1"/>
    </row>
    <row r="126">
      <c r="A126" s="189"/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O126" s="189"/>
      <c r="P126" s="189"/>
      <c r="Q126" s="189"/>
      <c r="S126" s="189"/>
      <c r="T126" s="189"/>
      <c r="U126" s="189"/>
      <c r="V126" s="189"/>
      <c r="W126" s="189"/>
      <c r="X126" s="189"/>
      <c r="Y126" s="189"/>
      <c r="Z126" s="189"/>
      <c r="AB126" s="1">
        <v>0.0</v>
      </c>
    </row>
    <row r="127">
      <c r="A127" s="189"/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O127" s="189"/>
      <c r="P127" s="189"/>
      <c r="Q127" s="189"/>
      <c r="S127" s="189"/>
      <c r="T127" s="189"/>
      <c r="U127" s="189"/>
      <c r="V127" s="189"/>
      <c r="W127" s="189"/>
      <c r="X127" s="189"/>
      <c r="Y127" s="189"/>
      <c r="Z127" s="189"/>
      <c r="AB127" s="1"/>
    </row>
    <row r="128">
      <c r="A128" s="189"/>
      <c r="B128" s="189"/>
      <c r="C128" s="189"/>
      <c r="D128" s="189"/>
      <c r="E128" s="189"/>
      <c r="F128" s="189"/>
      <c r="G128" s="189"/>
      <c r="H128" s="189"/>
      <c r="I128" s="189"/>
      <c r="J128" s="189"/>
      <c r="K128" s="189"/>
      <c r="L128" s="189"/>
      <c r="M128" s="189"/>
      <c r="O128" s="189"/>
      <c r="P128" s="189"/>
      <c r="Q128" s="189"/>
      <c r="S128" s="189"/>
      <c r="T128" s="189"/>
      <c r="U128" s="189"/>
      <c r="V128" s="189"/>
      <c r="W128" s="189"/>
      <c r="X128" s="189"/>
      <c r="Y128" s="189"/>
      <c r="Z128" s="189"/>
      <c r="AB128" s="1"/>
    </row>
    <row r="129">
      <c r="A129" s="189"/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  <c r="AA129" s="1"/>
      <c r="AB129" s="1"/>
    </row>
    <row r="130">
      <c r="A130" s="189"/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T130" s="189"/>
      <c r="U130" s="189"/>
      <c r="V130" s="189"/>
      <c r="W130" s="189"/>
      <c r="X130" s="189"/>
      <c r="Y130" s="189"/>
      <c r="Z130" s="189"/>
      <c r="AB130" s="1"/>
    </row>
    <row r="131">
      <c r="A131" s="189"/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T131" s="189"/>
      <c r="U131" s="189"/>
      <c r="V131" s="189"/>
      <c r="W131" s="189"/>
      <c r="X131" s="189"/>
      <c r="Y131" s="189"/>
      <c r="Z131" s="189"/>
      <c r="AB131" s="1"/>
    </row>
    <row r="132">
      <c r="A132" s="189"/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  <c r="O132" s="189"/>
      <c r="P132" s="189"/>
      <c r="Q132" s="189"/>
      <c r="S132" s="189"/>
      <c r="T132" s="189"/>
      <c r="U132" s="189"/>
      <c r="V132" s="189"/>
      <c r="W132" s="189"/>
      <c r="X132" s="189"/>
      <c r="Y132" s="189"/>
      <c r="Z132" s="189"/>
      <c r="AB132" s="1">
        <v>0.0</v>
      </c>
    </row>
    <row r="133">
      <c r="A133" s="189"/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  <c r="O133" s="189"/>
      <c r="P133" s="189"/>
      <c r="Q133" s="189"/>
      <c r="S133" s="189"/>
      <c r="T133" s="189"/>
      <c r="U133" s="189"/>
      <c r="V133" s="189"/>
      <c r="W133" s="189"/>
      <c r="X133" s="189"/>
      <c r="Y133" s="189"/>
      <c r="Z133" s="189"/>
      <c r="AB133" s="1">
        <v>0.0</v>
      </c>
    </row>
    <row r="13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O134" s="189"/>
      <c r="P134" s="189"/>
      <c r="Q134" s="189"/>
      <c r="S134" s="189"/>
      <c r="T134" s="189"/>
      <c r="U134" s="189"/>
      <c r="V134" s="189"/>
      <c r="W134" s="189"/>
      <c r="X134" s="189"/>
      <c r="Y134" s="189"/>
      <c r="Z134" s="189"/>
      <c r="AB134" s="1"/>
    </row>
    <row r="135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S135" s="189"/>
      <c r="T135" s="189"/>
      <c r="U135" s="189"/>
      <c r="V135" s="189"/>
      <c r="W135" s="189"/>
      <c r="X135" s="189"/>
      <c r="Y135" s="189"/>
      <c r="Z135" s="189"/>
      <c r="AB135" s="1"/>
    </row>
    <row r="136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S136" s="189"/>
      <c r="T136" s="189"/>
      <c r="U136" s="189"/>
      <c r="V136" s="189"/>
      <c r="W136" s="189"/>
      <c r="X136" s="189"/>
      <c r="Y136" s="189"/>
      <c r="Z136" s="189"/>
      <c r="AB136" s="1"/>
    </row>
    <row r="137">
      <c r="A137" s="189"/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O137" s="189"/>
      <c r="P137" s="189"/>
      <c r="Q137" s="189"/>
      <c r="S137" s="189"/>
      <c r="T137" s="189"/>
      <c r="U137" s="189"/>
      <c r="V137" s="189"/>
      <c r="W137" s="189"/>
      <c r="X137" s="189"/>
      <c r="Y137" s="189"/>
      <c r="Z137" s="189"/>
      <c r="AB137" s="1">
        <v>0.0</v>
      </c>
    </row>
    <row r="138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T138" s="189"/>
      <c r="U138" s="189"/>
      <c r="V138" s="189"/>
      <c r="W138" s="189"/>
      <c r="X138" s="189"/>
      <c r="Y138" s="189"/>
      <c r="Z138" s="189"/>
      <c r="AB138" s="1"/>
    </row>
    <row r="139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O139" s="189"/>
      <c r="P139" s="189"/>
      <c r="Q139" s="189"/>
      <c r="S139" s="189"/>
      <c r="T139" s="189"/>
      <c r="U139" s="189"/>
      <c r="V139" s="189"/>
      <c r="W139" s="189"/>
      <c r="X139" s="189"/>
      <c r="Y139" s="189"/>
      <c r="Z139" s="189"/>
      <c r="AB139" s="1">
        <v>0.0</v>
      </c>
    </row>
    <row r="140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S140" s="189"/>
      <c r="T140" s="189"/>
      <c r="U140" s="189"/>
      <c r="V140" s="189"/>
      <c r="W140" s="189"/>
      <c r="X140" s="189"/>
      <c r="Y140" s="189"/>
      <c r="Z140" s="189"/>
      <c r="AB140" s="1"/>
    </row>
    <row r="141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O141" s="189"/>
      <c r="P141" s="189"/>
      <c r="Q141" s="189"/>
      <c r="S141" s="189"/>
      <c r="T141" s="189"/>
      <c r="U141" s="189"/>
      <c r="V141" s="189"/>
      <c r="W141" s="189"/>
      <c r="X141" s="189"/>
      <c r="Y141" s="189"/>
      <c r="Z141" s="189"/>
      <c r="AB141" s="1"/>
    </row>
    <row r="142">
      <c r="A142" s="189"/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